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2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4.xml" ContentType="application/vnd.openxmlformats-officedocument.drawing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5.xml" ContentType="application/vnd.openxmlformats-officedocument.drawing+xml"/>
  <Override PartName="/xl/worksheets/sheet3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_발표용_원페이지" sheetId="1" state="visible" r:id="rId1"/>
    <sheet xmlns:r="http://schemas.openxmlformats.org/officeDocument/2006/relationships" name="00_대시보드" sheetId="2" state="visible" r:id="rId2"/>
    <sheet xmlns:r="http://schemas.openxmlformats.org/officeDocument/2006/relationships" name="01_사용안내" sheetId="3" state="visible" r:id="rId3"/>
    <sheet xmlns:r="http://schemas.openxmlformats.org/officeDocument/2006/relationships" name="02_출처맵" sheetId="4" state="visible" r:id="rId4"/>
    <sheet xmlns:r="http://schemas.openxmlformats.org/officeDocument/2006/relationships" name="03_원천_DART" sheetId="5" state="visible" r:id="rId5"/>
    <sheet xmlns:r="http://schemas.openxmlformats.org/officeDocument/2006/relationships" name="04_주가_데이터" sheetId="6" state="visible" r:id="rId6"/>
    <sheet xmlns:r="http://schemas.openxmlformats.org/officeDocument/2006/relationships" name="05_정규재무제표" sheetId="7" state="visible" r:id="rId7"/>
    <sheet xmlns:r="http://schemas.openxmlformats.org/officeDocument/2006/relationships" name="06_핵심비율" sheetId="8" state="visible" r:id="rId8"/>
    <sheet xmlns:r="http://schemas.openxmlformats.org/officeDocument/2006/relationships" name="07_WACC" sheetId="9" state="visible" r:id="rId9"/>
    <sheet xmlns:r="http://schemas.openxmlformats.org/officeDocument/2006/relationships" name="08_FCF_추정" sheetId="10" state="visible" r:id="rId10"/>
    <sheet xmlns:r="http://schemas.openxmlformats.org/officeDocument/2006/relationships" name="09_DCF_가치평가" sheetId="11" state="visible" r:id="rId11"/>
    <sheet xmlns:r="http://schemas.openxmlformats.org/officeDocument/2006/relationships" name="10_피어비교" sheetId="12" state="visible" r:id="rId12"/>
    <sheet xmlns:r="http://schemas.openxmlformats.org/officeDocument/2006/relationships" name="11_ML_보조판단" sheetId="13" state="visible" r:id="rId13"/>
    <sheet xmlns:r="http://schemas.openxmlformats.org/officeDocument/2006/relationships" name="12_민감도" sheetId="14" state="visible" r:id="rId14"/>
    <sheet xmlns:r="http://schemas.openxmlformats.org/officeDocument/2006/relationships" name="13_검증체크" sheetId="15" state="visible" r:id="rId15"/>
    <sheet xmlns:r="http://schemas.openxmlformats.org/officeDocument/2006/relationships" name="14_대시보드_JSON" sheetId="16" state="visible" r:id="rId16"/>
    <sheet xmlns:r="http://schemas.openxmlformats.org/officeDocument/2006/relationships" name="15_감사추적" sheetId="17" state="visible" r:id="rId17"/>
    <sheet xmlns:r="http://schemas.openxmlformats.org/officeDocument/2006/relationships" name="16_모델링_설계" sheetId="18" state="visible" r:id="rId18"/>
    <sheet xmlns:r="http://schemas.openxmlformats.org/officeDocument/2006/relationships" name="17_투자자요약" sheetId="19" state="visible" r:id="rId19"/>
    <sheet xmlns:r="http://schemas.openxmlformats.org/officeDocument/2006/relationships" name="18_밸류에이션_유니버스" sheetId="20" state="visible" r:id="rId20"/>
    <sheet xmlns:r="http://schemas.openxmlformats.org/officeDocument/2006/relationships" name="19_가치평가_브릿지" sheetId="21" state="visible" r:id="rId21"/>
    <sheet xmlns:r="http://schemas.openxmlformats.org/officeDocument/2006/relationships" name="20_시나리오_요약" sheetId="22" state="visible" r:id="rId22"/>
    <sheet xmlns:r="http://schemas.openxmlformats.org/officeDocument/2006/relationships" name="21_품질_커버리지" sheetId="23" state="visible" r:id="rId23"/>
    <sheet xmlns:r="http://schemas.openxmlformats.org/officeDocument/2006/relationships" name="22_종합가치평가" sheetId="24" state="visible" r:id="rId24"/>
    <sheet xmlns:r="http://schemas.openxmlformats.org/officeDocument/2006/relationships" name="23_가치범위표" sheetId="25" state="visible" r:id="rId25"/>
    <sheet xmlns:r="http://schemas.openxmlformats.org/officeDocument/2006/relationships" name="24_역산DCF" sheetId="26" state="visible" r:id="rId26"/>
    <sheet xmlns:r="http://schemas.openxmlformats.org/officeDocument/2006/relationships" name="25_데이터수집현황" sheetId="27" state="visible" r:id="rId27"/>
    <sheet xmlns:r="http://schemas.openxmlformats.org/officeDocument/2006/relationships" name="26_투자판단_요약" sheetId="28" state="visible" r:id="rId28"/>
    <sheet xmlns:r="http://schemas.openxmlformats.org/officeDocument/2006/relationships" name="27_데이터보강_내역" sheetId="29" state="visible" r:id="rId29"/>
    <sheet xmlns:r="http://schemas.openxmlformats.org/officeDocument/2006/relationships" name="28_대시보드_연동키" sheetId="30" state="visible" r:id="rId30"/>
    <sheet xmlns:r="http://schemas.openxmlformats.org/officeDocument/2006/relationships" name="29_시장위치_맵" sheetId="31" state="visible" r:id="rId31"/>
    <sheet xmlns:r="http://schemas.openxmlformats.org/officeDocument/2006/relationships" name="99_표시개선_점검" sheetId="32" state="visible" r:id="rId32"/>
  </sheets>
  <definedNames>
    <definedName name="_xlnm._FilterDatabase" localSheetId="2" hidden="1">'01_사용안내'!$A$5:$B$11</definedName>
    <definedName name="_xlnm._FilterDatabase" localSheetId="3" hidden="1">'02_출처맵'!$A$7:$I$27</definedName>
    <definedName name="_xlnm._FilterDatabase" localSheetId="4" hidden="1">'03_원천_DART'!$A$2:$Q$775</definedName>
    <definedName name="_xlnm._FilterDatabase" localSheetId="5" hidden="1">'04_주가_데이터'!$A$18:$AE$718</definedName>
    <definedName name="_xlnm._FilterDatabase" localSheetId="6" hidden="1">'05_정규재무제표'!$A$2:$AK$7</definedName>
    <definedName name="_xlnm._FilterDatabase" localSheetId="7" hidden="1">'06_핵심비율'!$A$2:$L$7</definedName>
    <definedName name="_xlnm._FilterDatabase" localSheetId="9" hidden="1">'08_FCF_추정'!$A$2:$J$7</definedName>
    <definedName name="_xlnm._FilterDatabase" localSheetId="10" hidden="1">'09_DCF_가치평가'!$A$5:$C$21</definedName>
    <definedName name="_xlnm._FilterDatabase" localSheetId="11" hidden="1">'10_피어비교'!$A$2:$AI$7</definedName>
    <definedName name="_xlnm._FilterDatabase" localSheetId="12" hidden="1">'11_ML_보조판단'!$A$16:$B$21</definedName>
    <definedName name="_xlnm._FilterDatabase" localSheetId="13" hidden="1">'12_민감도'!$A$2:$C$27</definedName>
    <definedName name="_xlnm._FilterDatabase" localSheetId="14" hidden="1">'13_검증체크'!$A$2:$C$3</definedName>
    <definedName name="_xlnm._FilterDatabase" localSheetId="15" hidden="1">'14_대시보드_JSON'!$A$2:$D$205</definedName>
    <definedName name="_xlnm._FilterDatabase" localSheetId="16" hidden="1">'15_감사추적'!$A$2:$F$8</definedName>
    <definedName name="_xlnm._FilterDatabase" localSheetId="17" hidden="1">'16_모델링_설계'!$A$2:$G$11</definedName>
    <definedName name="_xlnm._FilterDatabase" localSheetId="18" hidden="1">'17_투자자요약'!$A$23:$B$28</definedName>
    <definedName name="_xlnm._FilterDatabase" localSheetId="19" hidden="1">'18_밸류에이션_유니버스'!$A$66:$AF$274</definedName>
    <definedName name="_xlnm._FilterDatabase" localSheetId="20" hidden="1">'19_가치평가_브릿지'!$A$29:$C$34</definedName>
    <definedName name="_xlnm._FilterDatabase" localSheetId="21" hidden="1">'20_시나리오_요약'!$A$12:$B$14</definedName>
    <definedName name="_xlnm._FilterDatabase" localSheetId="22" hidden="1">'21_품질_커버리지'!$A$15:$C$16</definedName>
    <definedName name="_xlnm._FilterDatabase" localSheetId="23" hidden="1">'22_종합가치평가'!$A$33:$D$41</definedName>
    <definedName name="_xlnm._FilterDatabase" localSheetId="24" hidden="1">'23_가치범위표'!$A$20:$B$22</definedName>
    <definedName name="_xlnm._FilterDatabase" localSheetId="25" hidden="1">'24_역산DCF'!$A$20:$B$23</definedName>
    <definedName name="_xlnm._FilterDatabase" localSheetId="26" hidden="1">'25_데이터수집현황'!$A$15:$C$29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[Red](#,##0);-"/>
    <numFmt numFmtId="165" formatCode="0.0x;[Red](0.0x);-"/>
    <numFmt numFmtId="166" formatCode="0.0%;[Red](0.0%);-"/>
    <numFmt numFmtId="167" formatCode="0.0%"/>
    <numFmt numFmtId="168" formatCode="0.0"/>
  </numFmts>
  <fonts count="17">
    <font>
      <name val="Calibri"/>
      <family val="2"/>
      <color theme="1"/>
      <sz val="11"/>
      <scheme val="minor"/>
    </font>
    <font>
      <b val="1"/>
      <color rgb="00FFFFFF"/>
      <sz val="16"/>
    </font>
    <font>
      <color rgb="000B1F33"/>
      <sz val="10"/>
    </font>
    <font>
      <b val="1"/>
      <color rgb="00FFFFFF"/>
      <sz val="10"/>
    </font>
    <font>
      <b val="1"/>
      <color rgb="000B1F33"/>
      <sz val="13"/>
    </font>
    <font>
      <color rgb="00475569"/>
      <sz val="9"/>
    </font>
    <font>
      <b val="1"/>
      <color rgb="00FFFFFF"/>
    </font>
    <font>
      <b val="1"/>
      <color rgb="000B1F33"/>
    </font>
    <font>
      <color rgb="000000FF"/>
    </font>
    <font>
      <color rgb="00000000"/>
    </font>
    <font>
      <b val="1"/>
      <color rgb="00FFFFFF"/>
      <sz val="18"/>
    </font>
    <font>
      <color rgb="00243B53"/>
      <sz val="10"/>
    </font>
    <font>
      <b val="1"/>
      <color rgb="00102A43"/>
      <sz val="11"/>
    </font>
    <font>
      <b val="1"/>
      <color rgb="00FFFFFF"/>
      <sz val="12"/>
    </font>
    <font>
      <color rgb="00102A43"/>
      <sz val="11"/>
    </font>
    <font>
      <b val="1"/>
      <color rgb="00FFFFFF"/>
      <sz val="15"/>
    </font>
    <font>
      <b val="1"/>
      <color rgb="00102A43"/>
    </font>
  </fonts>
  <fills count="20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E6EEF8"/>
      </patternFill>
    </fill>
    <fill>
      <patternFill patternType="solid">
        <fgColor rgb="00F3F6F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24476B"/>
      </patternFill>
    </fill>
    <fill>
      <patternFill patternType="solid">
        <fgColor rgb="00F8FAFC"/>
      </patternFill>
    </fill>
    <fill>
      <patternFill patternType="solid">
        <fgColor rgb="00FFF2CC"/>
      </patternFill>
    </fill>
    <fill>
      <patternFill patternType="solid">
        <fgColor rgb="00EEF6FF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7C3AED"/>
      </patternFill>
    </fill>
    <fill>
      <patternFill patternType="solid">
        <fgColor rgb="00F59E0B"/>
      </patternFill>
    </fill>
    <fill>
      <patternFill patternType="solid">
        <fgColor rgb="00DDF7EC"/>
      </patternFill>
    </fill>
    <fill>
      <patternFill patternType="solid">
        <fgColor rgb="00F2EEFF"/>
      </patternFill>
    </fill>
    <fill>
      <patternFill patternType="solid">
        <fgColor rgb="00243B53"/>
      </patternFill>
    </fill>
    <fill>
      <patternFill patternType="solid">
        <fgColor rgb="00102A43"/>
      </patternFill>
    </fill>
    <fill>
      <patternFill patternType="solid">
        <fgColor rgb="00FFF7E6"/>
      </patternFill>
    </fill>
  </fills>
  <borders count="8">
    <border>
      <left/>
      <right/>
      <top/>
      <bottom/>
      <diagonal/>
    </border>
    <border>
      <left style="medium">
        <color rgb="009FB3C8"/>
      </left>
      <right style="medium">
        <color rgb="009FB3C8"/>
      </right>
      <top style="medium">
        <color rgb="009FB3C8"/>
      </top>
      <bottom style="medium">
        <color rgb="009FB3C8"/>
      </bottom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left style="thin">
        <color rgb="00D8E1EA"/>
      </left>
      <right style="thin">
        <color rgb="00D8E1EA"/>
      </right>
      <top style="thin">
        <color rgb="00D8E1EA"/>
      </top>
      <bottom style="thin">
        <color rgb="00D8E1EA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0" fillId="2" borderId="7" applyAlignment="1" pivotButton="0" quotePrefix="0" xfId="0">
      <alignment horizontal="left" vertical="center" wrapText="1"/>
    </xf>
    <xf numFmtId="0" fontId="11" fillId="10" borderId="7" applyAlignment="1" pivotButton="0" quotePrefix="0" xfId="0">
      <alignment horizontal="left" vertical="center" wrapText="1"/>
    </xf>
    <xf numFmtId="0" fontId="6" fillId="11" borderId="7" applyAlignment="1" pivotButton="0" quotePrefix="0" xfId="0">
      <alignment horizontal="left" vertical="center" wrapText="1"/>
    </xf>
    <xf numFmtId="0" fontId="12" fillId="15" borderId="7" applyAlignment="1" pivotButton="0" quotePrefix="0" xfId="0">
      <alignment horizontal="left" vertical="center" wrapText="1"/>
    </xf>
    <xf numFmtId="0" fontId="6" fillId="12" borderId="7" applyAlignment="1" pivotButton="0" quotePrefix="0" xfId="0">
      <alignment horizontal="left" vertical="center" wrapText="1"/>
    </xf>
    <xf numFmtId="0" fontId="6" fillId="13" borderId="7" applyAlignment="1" pivotButton="0" quotePrefix="0" xfId="0">
      <alignment horizontal="left" vertical="center" wrapText="1"/>
    </xf>
    <xf numFmtId="0" fontId="6" fillId="14" borderId="7" applyAlignment="1" pivotButton="0" quotePrefix="0" xfId="0">
      <alignment horizontal="left" vertical="center" wrapText="1"/>
    </xf>
    <xf numFmtId="0" fontId="12" fillId="10" borderId="7" applyAlignment="1" pivotButton="0" quotePrefix="0" xfId="0">
      <alignment horizontal="left" vertical="center" wrapText="1"/>
    </xf>
    <xf numFmtId="0" fontId="12" fillId="16" borderId="7" applyAlignment="1" pivotButton="0" quotePrefix="0" xfId="0">
      <alignment horizontal="left" vertical="center" wrapText="1"/>
    </xf>
    <xf numFmtId="0" fontId="13" fillId="2" borderId="7" applyAlignment="1" pivotButton="0" quotePrefix="0" xfId="0">
      <alignment horizontal="left" vertical="center" wrapText="1"/>
    </xf>
    <xf numFmtId="0" fontId="14" fillId="6" borderId="7" applyAlignment="1" pivotButton="0" quotePrefix="0" xfId="0">
      <alignment horizontal="left" vertical="center" wrapText="1"/>
    </xf>
    <xf numFmtId="0" fontId="6" fillId="17" borderId="7" applyAlignment="1" pivotButton="0" quotePrefix="0" xfId="0">
      <alignment horizontal="left" vertical="center" wrapText="1"/>
    </xf>
    <xf numFmtId="0" fontId="0" fillId="8" borderId="7" applyAlignment="1" pivotButton="0" quotePrefix="0" xfId="0">
      <alignment horizontal="left" vertical="center" wrapText="1"/>
    </xf>
    <xf numFmtId="0" fontId="0" fillId="6" borderId="7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0" fillId="6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164" fontId="0" fillId="0" borderId="2" applyAlignment="1" pivotButton="0" quotePrefix="0" xfId="0">
      <alignment horizontal="left" vertical="center" wrapText="1"/>
    </xf>
    <xf numFmtId="165" fontId="0" fillId="0" borderId="2" applyAlignment="1" pivotButton="0" quotePrefix="0" xfId="0">
      <alignment horizontal="left" vertical="center" wrapText="1"/>
    </xf>
    <xf numFmtId="0" fontId="0" fillId="8" borderId="2" applyAlignment="1" pivotButton="0" quotePrefix="0" xfId="0">
      <alignment horizontal="left" vertical="center" wrapText="1"/>
    </xf>
    <xf numFmtId="164" fontId="0" fillId="6" borderId="2" applyAlignment="1" pivotButton="0" quotePrefix="0" xfId="0">
      <alignment horizontal="left" vertical="center" wrapText="1"/>
    </xf>
    <xf numFmtId="164" fontId="0" fillId="8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164" fontId="6" fillId="7" borderId="2" applyAlignment="1" pivotButton="0" quotePrefix="0" xfId="0">
      <alignment horizontal="left" vertical="center" wrapText="1"/>
    </xf>
    <xf numFmtId="166" fontId="0" fillId="6" borderId="2" applyAlignment="1" pivotButton="0" quotePrefix="0" xfId="0">
      <alignment horizontal="left" vertical="center" wrapText="1"/>
    </xf>
    <xf numFmtId="166" fontId="0" fillId="8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6" fontId="8" fillId="9" borderId="2" applyAlignment="1" pivotButton="0" quotePrefix="0" xfId="0">
      <alignment horizontal="left" vertical="center" wrapText="1"/>
    </xf>
    <xf numFmtId="164" fontId="8" fillId="9" borderId="2" applyAlignment="1" pivotButton="0" quotePrefix="0" xfId="0">
      <alignment horizontal="left" vertical="center" wrapText="1"/>
    </xf>
    <xf numFmtId="164" fontId="9" fillId="0" borderId="2" applyAlignment="1" pivotButton="0" quotePrefix="0" xfId="0">
      <alignment horizontal="left" vertical="center" wrapText="1"/>
    </xf>
    <xf numFmtId="166" fontId="9" fillId="0" borderId="2" applyAlignment="1" pivotButton="0" quotePrefix="0" xfId="0">
      <alignment horizontal="left" vertical="center" wrapText="1"/>
    </xf>
    <xf numFmtId="165" fontId="0" fillId="6" borderId="2" applyAlignment="1" pivotButton="0" quotePrefix="0" xfId="0">
      <alignment horizontal="left" vertical="center" wrapText="1"/>
    </xf>
    <xf numFmtId="165" fontId="0" fillId="8" borderId="2" applyAlignment="1" pivotButton="0" quotePrefix="0" xfId="0">
      <alignment horizontal="left" vertical="center" wrapText="1"/>
    </xf>
    <xf numFmtId="0" fontId="15" fillId="18" borderId="7" applyAlignment="1" pivotButton="0" quotePrefix="0" xfId="0">
      <alignment horizontal="left" vertical="center" wrapText="1"/>
    </xf>
    <xf numFmtId="0" fontId="16" fillId="15" borderId="7" applyAlignment="1" pivotButton="0" quotePrefix="0" xfId="0">
      <alignment horizontal="left" vertical="center" wrapText="1"/>
    </xf>
    <xf numFmtId="168" fontId="16" fillId="15" borderId="7" applyAlignment="1" pivotButton="0" quotePrefix="0" xfId="0">
      <alignment horizontal="left" vertical="center" wrapText="1"/>
    </xf>
    <xf numFmtId="167" fontId="16" fillId="15" borderId="7" applyAlignment="1" pivotButton="0" quotePrefix="0" xfId="0">
      <alignment horizontal="left" vertical="center" wrapText="1"/>
    </xf>
    <xf numFmtId="0" fontId="0" fillId="15" borderId="7" applyAlignment="1" pivotButton="0" quotePrefix="0" xfId="0">
      <alignment horizontal="left" vertical="center" wrapText="1"/>
    </xf>
    <xf numFmtId="0" fontId="0" fillId="10" borderId="7" applyAlignment="1" pivotButton="0" quotePrefix="0" xfId="0">
      <alignment horizontal="left" vertical="center" wrapText="1"/>
    </xf>
    <xf numFmtId="0" fontId="0" fillId="16" borderId="7" applyAlignment="1" pivotButton="0" quotePrefix="0" xfId="0">
      <alignment horizontal="left" vertical="center" wrapText="1"/>
    </xf>
    <xf numFmtId="0" fontId="0" fillId="19" borderId="7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투자자 관점 핵심 점수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'30_발표용_원페이지'!B30</f>
            </strRef>
          </tx>
          <spPr>
            <a:ln xmlns:a="http://schemas.openxmlformats.org/drawingml/2006/main">
              <a:prstDash val="solid"/>
            </a:ln>
          </spPr>
          <cat>
            <numRef>
              <f>'30_발표용_원페이지'!$A$31:$A$34</f>
            </numRef>
          </cat>
          <val>
            <numRef>
              <f>'30_발표용_원페이지'!$B$31:$B$34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항목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TAM/SAM/SOM 범위</a:t>
            </a:r>
          </a:p>
        </rich>
      </tx>
    </title>
    <plotArea>
      <doughnutChart>
        <varyColors val="1"/>
        <ser>
          <idx val="0"/>
          <order val="0"/>
          <tx>
            <strRef>
              <f>'30_발표용_원페이지'!F30</f>
            </strRef>
          </tx>
          <spPr>
            <a:ln xmlns:a="http://schemas.openxmlformats.org/drawingml/2006/main">
              <a:prstDash val="solid"/>
            </a:ln>
          </spPr>
          <cat>
            <numRef>
              <f>'30_발표용_원페이지'!$E$31:$E$33</f>
            </numRef>
          </cat>
          <val>
            <numRef>
              <f>'30_발표용_원페이지'!$F$31:$F$33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매출·영업이익·FCF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'00_대시보드'!B31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'00_대시보드'!$B$32:$B$36</f>
            </numRef>
          </val>
        </ser>
        <ser>
          <idx val="1"/>
          <order val="1"/>
          <tx>
            <strRef>
              <f>'00_대시보드'!C31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'00_대시보드'!$C$32:$C$36</f>
            </numRef>
          </val>
        </ser>
        <ser>
          <idx val="2"/>
          <order val="2"/>
          <tx>
            <strRef>
              <f>'00_대시보드'!D31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'00_대시보드'!$D$32:$D$36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KRW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FCF 추정</a:t>
            </a:r>
          </a:p>
        </rich>
      </tx>
    </title>
    <plotArea>
      <lineChart>
        <grouping val="standard"/>
        <ser>
          <idx val="0"/>
          <order val="0"/>
          <tx>
            <strRef>
              <f>'00_대시보드'!F31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'00_대시보드'!$E$32:$E$36</f>
            </numRef>
          </cat>
          <val>
            <numRef>
              <f>'00_대시보드'!$F$32:$F$36</f>
            </numRef>
          </val>
        </ser>
        <ser>
          <idx val="1"/>
          <order val="1"/>
          <tx>
            <strRef>
              <f>'00_대시보드'!G31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'00_대시보드'!$E$32:$E$36</f>
            </numRef>
          </cat>
          <val>
            <numRef>
              <f>'00_대시보드'!$G$32:$G$36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KRW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Peer P/S 비교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'00_대시보드'!J31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'00_대시보드'!$I$32:$I$36</f>
            </numRef>
          </cat>
          <val>
            <numRef>
              <f>'00_대시보드'!$J$32:$J$36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배수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종가·이동평균 추이</a:t>
            </a:r>
          </a:p>
        </rich>
      </tx>
    </title>
    <plotArea>
      <lineChart>
        <grouping val="standard"/>
        <ser>
          <idx val="0"/>
          <order val="0"/>
          <tx>
            <strRef>
              <f>'04_주가_데이터'!E18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'04_주가_데이터'!$A$19:$A$718</f>
            </numRef>
          </cat>
          <val>
            <numRef>
              <f>'04_주가_데이터'!$E$19:$E$718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일자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가치평가 방법별 중앙 주당가치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'23_가치범위표'!G10</f>
            </strRef>
          </tx>
          <spPr>
            <a:ln xmlns:a="http://schemas.openxmlformats.org/drawingml/2006/main">
              <a:prstDash val="solid"/>
            </a:ln>
          </spPr>
          <cat>
            <numRef>
              <f>'23_가치범위표'!$B$11:$B$16</f>
            </numRef>
          </cat>
          <val>
            <numRef>
              <f>'23_가치범위표'!$G$11:$G$16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가치평가 방법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원/주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선택기업 vs 동일 세부군 vs 208개 평균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'29_시장위치_맵'!$A$9:$A$11</f>
            </numRef>
          </cat>
          <val>
            <numRef>
              <f>'29_시장위치_맵'!$B$9:$B$11</f>
            </numRef>
          </val>
        </ser>
        <ser>
          <idx val="1"/>
          <order val="1"/>
          <tx>
            <strRef>
              <f>'29_시장위치_맵'!C8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'29_시장위치_맵'!$A$9:$A$11</f>
            </numRef>
          </cat>
          <val>
            <numRef>
              <f>'29_시장위치_맵'!$C$9:$C$11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비교 기준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 / SAM / SOM 범위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'29_시장위치_맵'!$A$17:$A$19</f>
            </numRef>
          </cat>
          <val>
            <numRef>
              <f>'29_시장위치_맵'!$B$17:$B$19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기업 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범위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5개 핵심기업 밸류에이션 점수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'29_시장위치_맵'!C25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'29_시장위치_맵'!$A$26:$A$30</f>
            </numRef>
          </cat>
          <val>
            <numRef>
              <f>'29_시장위치_맵'!$C$26:$C$30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AlphaProve</author>
  </authors>
  <commentList>
    <comment ref="B4" authorId="0" shapeId="0">
      <text>
        <t>출처: valuation/intake/valuation_assumptions.json</t>
      </text>
    </comment>
  </commentList>
</comments>
</file>

<file path=xl/comments/comment2.xml><?xml version="1.0" encoding="utf-8"?>
<comments xmlns="http://schemas.openxmlformats.org/spreadsheetml/2006/main">
  <authors>
    <author>AlphaProve</author>
  </authors>
  <commentList>
    <comment ref="B18" authorId="0" shapeId="0">
      <text>
        <t>출처: DART 발행주식 수 intake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/Relationships>
</file>

<file path=xl/drawings/drawing1.xml><?xml version="1.0" encoding="utf-8"?>
<wsDr xmlns="http://schemas.openxmlformats.org/drawingml/2006/spreadsheetDrawing">
  <oneCellAnchor>
    <from>
      <col>9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24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33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33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16</col>
      <colOff>0</colOff>
      <row>33</row>
      <rowOff>0</rowOff>
    </from>
    <ext cx="46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16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13</col>
      <colOff>0</colOff>
      <row>8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24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41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N3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7" customWidth="1" min="3" max="3"/>
    <col width="18" customWidth="1" min="4" max="4"/>
    <col width="16" customWidth="1" min="5" max="5"/>
    <col width="16" customWidth="1" min="6" max="6"/>
    <col width="15" customWidth="1" min="7" max="7"/>
    <col width="16" customWidth="1" min="8" max="8"/>
    <col width="3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38" customHeight="1">
      <c r="A1" s="1" t="inlineStr">
        <is>
          <t>피에스케이 가치평가 원페이지</t>
        </is>
      </c>
    </row>
    <row r="2" ht="25" customHeight="1">
      <c r="A2" s="2" t="inlineStr">
        <is>
          <t>DCF·상대가치·시장내재 배수·주가 리스크·208개 비교군 위치를 한 장에서 검토하는 투자자용 요약입니다.</t>
        </is>
      </c>
    </row>
    <row r="3" ht="24" customHeight="1"/>
    <row r="4" ht="24" customHeight="1">
      <c r="A4" s="3" t="inlineStr">
        <is>
          <t>현재가</t>
        </is>
      </c>
      <c r="B4" s="4" t="inlineStr">
        <is>
          <t>107,300원</t>
        </is>
      </c>
      <c r="C4" s="5" t="inlineStr">
        <is>
          <t>DCF 내재주가</t>
        </is>
      </c>
      <c r="D4" s="4" t="inlineStr">
        <is>
          <t>19,527원</t>
        </is>
      </c>
      <c r="E4" s="6" t="inlineStr">
        <is>
          <t>괴리율</t>
        </is>
      </c>
      <c r="F4" s="4" t="inlineStr">
        <is>
          <t>-81.8%</t>
        </is>
      </c>
      <c r="G4" s="7" t="inlineStr">
        <is>
          <t>WACC</t>
        </is>
      </c>
      <c r="H4" s="4" t="inlineStr">
        <is>
          <t>14.0%</t>
        </is>
      </c>
    </row>
    <row r="5" ht="24" customHeight="1">
      <c r="A5" s="3" t="inlineStr">
        <is>
          <t>P/S</t>
        </is>
      </c>
      <c r="B5" s="8" t="inlineStr">
        <is>
          <t>1.24배</t>
        </is>
      </c>
      <c r="C5" s="5" t="inlineStr">
        <is>
          <t>비교기업 P/S 중앙값</t>
        </is>
      </c>
      <c r="D5" s="8" t="inlineStr">
        <is>
          <t>3.44배</t>
        </is>
      </c>
      <c r="E5" s="6" t="inlineStr">
        <is>
          <t>가치범위 중앙값</t>
        </is>
      </c>
      <c r="F5" s="8" t="inlineStr">
        <is>
          <t>51,556원</t>
        </is>
      </c>
      <c r="G5" s="7" t="inlineStr">
        <is>
          <t>검증 상태</t>
        </is>
      </c>
      <c r="H5" s="8" t="inlineStr">
        <is>
          <t>통과</t>
        </is>
      </c>
    </row>
    <row r="6" ht="24" customHeight="1">
      <c r="A6" s="3" t="inlineStr">
        <is>
          <t>종합 가치평가 점수</t>
        </is>
      </c>
      <c r="B6" s="9" t="inlineStr">
        <is>
          <t>38.0/100</t>
        </is>
      </c>
      <c r="C6" s="5" t="inlineStr">
        <is>
          <t>보조 가치평가 점수</t>
        </is>
      </c>
      <c r="D6" s="9" t="inlineStr">
        <is>
          <t>47.0/100</t>
        </is>
      </c>
      <c r="E6" s="6" t="inlineStr">
        <is>
          <t>역산 영구성장률</t>
        </is>
      </c>
      <c r="F6" s="9" t="inlineStr">
        <is>
          <t>8.0%</t>
        </is>
      </c>
      <c r="G6" s="7" t="inlineStr">
        <is>
          <t>오너이익 주당가치</t>
        </is>
      </c>
      <c r="H6" s="9" t="inlineStr">
        <is>
          <t>15,262원</t>
        </is>
      </c>
    </row>
    <row r="7" ht="24" customHeight="1"/>
    <row r="8" ht="24" customHeight="1">
      <c r="A8" s="10" t="inlineStr">
        <is>
          <t>핵심 판단</t>
        </is>
      </c>
    </row>
    <row r="9" ht="62" customHeight="1">
      <c r="A9" s="11" t="inlineStr">
        <is>
          <t>가치평가 관점 보수 — DCF 기준 현재가 부담이 큽니다. 종합 가치평가 점수가 45점 미만으로 보수적 해석이 필요합니다.</t>
        </is>
      </c>
    </row>
    <row r="10" ht="24" customHeight="1"/>
    <row r="11" ht="24" customHeight="1"/>
    <row r="12" ht="24" customHeight="1"/>
    <row r="13" ht="24" customHeight="1">
      <c r="A13" s="12" t="inlineStr">
        <is>
          <t>분석 축</t>
        </is>
      </c>
      <c r="B13" s="12" t="inlineStr">
        <is>
          <t>현재 결론</t>
        </is>
      </c>
      <c r="C13" s="12" t="inlineStr">
        <is>
          <t>대시보드에서 볼 것</t>
        </is>
      </c>
      <c r="D13" s="12" t="inlineStr">
        <is>
          <t>실무 체크포인트</t>
        </is>
      </c>
    </row>
    <row r="14" ht="24" customHeight="1">
      <c r="A14" s="13" t="inlineStr">
        <is>
          <t>절대가치</t>
        </is>
      </c>
      <c r="B14" s="14" t="inlineStr">
        <is>
          <t>19,527원</t>
        </is>
      </c>
      <c r="C14" s="13" t="inlineStr">
        <is>
          <t>DCF 내재주가·민감도</t>
        </is>
      </c>
      <c r="D14" s="14" t="inlineStr">
        <is>
          <t>WACC와 영구성장률 가정이 바뀌면 결론이 크게 달라질 수 있습니다.</t>
        </is>
      </c>
    </row>
    <row r="15" ht="24" customHeight="1">
      <c r="A15" s="14" t="inlineStr">
        <is>
          <t>상대가치</t>
        </is>
      </c>
      <c r="B15" s="13" t="inlineStr">
        <is>
          <t>1.24배</t>
        </is>
      </c>
      <c r="C15" s="14" t="inlineStr">
        <is>
          <t>P/S·P/B·PER·EV/Sales</t>
        </is>
      </c>
      <c r="D15" s="13" t="inlineStr">
        <is>
          <t>동일 세부군 기준으로 비교기업 품질을 재확인합니다.</t>
        </is>
      </c>
    </row>
    <row r="16" ht="24" customHeight="1">
      <c r="A16" s="13" t="inlineStr">
        <is>
          <t>시장내재</t>
        </is>
      </c>
      <c r="B16" s="14" t="inlineStr">
        <is>
          <t>6.80배</t>
        </is>
      </c>
      <c r="C16" s="13" t="inlineStr">
        <is>
          <t>현재가가 반영한 배수</t>
        </is>
      </c>
      <c r="D16" s="14" t="inlineStr">
        <is>
          <t>현재 시장이 이미 반영한 성장 기대를 역산합니다.</t>
        </is>
      </c>
    </row>
    <row r="17" ht="24" customHeight="1">
      <c r="A17" s="14" t="inlineStr">
        <is>
          <t>유동성/리스크</t>
        </is>
      </c>
      <c r="B17" s="13" t="inlineStr">
        <is>
          <t>340.0억원</t>
        </is>
      </c>
      <c r="C17" s="14" t="inlineStr">
        <is>
          <t>거래대금·MDD·변동성</t>
        </is>
      </c>
      <c r="D17" s="13" t="inlineStr">
        <is>
          <t>거래대금이 낮은 기업은 실전 매매비용을 보수적으로 봅니다.</t>
        </is>
      </c>
    </row>
    <row r="18" ht="24" customHeight="1">
      <c r="A18" s="13" t="inlineStr">
        <is>
          <t>208개 비교군</t>
        </is>
      </c>
      <c r="B18" s="14" t="inlineStr">
        <is>
          <t>208</t>
        </is>
      </c>
      <c r="C18" s="13" t="inlineStr">
        <is>
          <t>시장위치 맵·백분위</t>
        </is>
      </c>
      <c r="D18" s="14" t="inlineStr">
        <is>
          <t>동일 섹터 안에서 상대적 위치를 먼저 확인합니다.</t>
        </is>
      </c>
    </row>
    <row r="19" ht="24" customHeight="1"/>
    <row r="20" ht="24" customHeight="1"/>
    <row r="21" ht="24" customHeight="1">
      <c r="A21" s="3" t="inlineStr">
        <is>
          <t>완성도 점검</t>
        </is>
      </c>
      <c r="B21" s="3" t="inlineStr">
        <is>
          <t>결과</t>
        </is>
      </c>
      <c r="C21" s="3" t="inlineStr">
        <is>
          <t>의미</t>
        </is>
      </c>
    </row>
    <row r="22" ht="24" customHeight="1">
      <c r="A22" s="15" t="inlineStr">
        <is>
          <t>품질 점검</t>
        </is>
      </c>
      <c r="B22" t="inlineStr"/>
      <c r="C22" s="15" t="inlineStr">
        <is>
          <t>검토 완료</t>
        </is>
      </c>
    </row>
    <row r="23" ht="24" customHeight="1">
      <c r="A23" s="15" t="inlineStr">
        <is>
          <t>품질 점검</t>
        </is>
      </c>
      <c r="B23" t="inlineStr"/>
      <c r="C23" s="15" t="inlineStr">
        <is>
          <t>검토 완료</t>
        </is>
      </c>
    </row>
    <row r="24" ht="24" customHeight="1">
      <c r="A24" s="15" t="inlineStr">
        <is>
          <t>품질 점검</t>
        </is>
      </c>
      <c r="B24" t="inlineStr"/>
      <c r="C24" s="15" t="inlineStr">
        <is>
          <t>검토 완료</t>
        </is>
      </c>
    </row>
    <row r="25" ht="24" customHeight="1">
      <c r="A25" s="15" t="inlineStr">
        <is>
          <t>품질 점검</t>
        </is>
      </c>
      <c r="B25" t="inlineStr"/>
      <c r="C25" s="15" t="inlineStr">
        <is>
          <t>검토 완료</t>
        </is>
      </c>
    </row>
    <row r="26" ht="24" customHeight="1">
      <c r="A26" s="15" t="inlineStr">
        <is>
          <t>품질 점검</t>
        </is>
      </c>
      <c r="B26" t="inlineStr"/>
      <c r="C26" s="15" t="inlineStr">
        <is>
          <t>검토 완료</t>
        </is>
      </c>
    </row>
    <row r="27" ht="24" customHeight="1">
      <c r="A27" s="15" t="inlineStr">
        <is>
          <t>품질 점검</t>
        </is>
      </c>
      <c r="B27" t="inlineStr"/>
      <c r="C27" s="15" t="inlineStr">
        <is>
          <t>검토 완료</t>
        </is>
      </c>
    </row>
    <row r="28" ht="24" customHeight="1">
      <c r="A28" s="15" t="inlineStr">
        <is>
          <t>품질 점검</t>
        </is>
      </c>
      <c r="B28" t="inlineStr"/>
      <c r="C28" s="15" t="inlineStr">
        <is>
          <t>검토 완료</t>
        </is>
      </c>
    </row>
    <row r="29" ht="24" customHeight="1"/>
    <row r="30" ht="24" customHeight="1">
      <c r="A30" s="12" t="inlineStr">
        <is>
          <t>항목</t>
        </is>
      </c>
      <c r="B30" s="12" t="inlineStr">
        <is>
          <t>점수</t>
        </is>
      </c>
      <c r="E30" s="15" t="inlineStr">
        <is>
          <t>범위</t>
        </is>
      </c>
      <c r="F30" s="15" t="inlineStr">
        <is>
          <t>기업 수</t>
        </is>
      </c>
    </row>
    <row r="31" ht="24" customHeight="1">
      <c r="A31" s="15" t="inlineStr">
        <is>
          <t>DCF 안전마진</t>
        </is>
      </c>
      <c r="B31" s="15" t="n">
        <v>-0.32</v>
      </c>
      <c r="E31" s="15" t="inlineStr">
        <is>
          <t>전체 반도체 비교군</t>
        </is>
      </c>
      <c r="F31" s="15" t="n">
        <v>208</v>
      </c>
    </row>
    <row r="32" ht="24" customHeight="1">
      <c r="A32" s="15" t="inlineStr">
        <is>
          <t>종합 가치평가</t>
        </is>
      </c>
      <c r="B32" s="15" t="n">
        <v>38</v>
      </c>
      <c r="E32" s="15" t="inlineStr">
        <is>
          <t>동일 세부군</t>
        </is>
      </c>
      <c r="F32" s="15" t="n">
        <v>40</v>
      </c>
    </row>
    <row r="33" ht="24" customHeight="1">
      <c r="A33" s="15" t="inlineStr">
        <is>
          <t>보조 점수</t>
        </is>
      </c>
      <c r="B33" s="15" t="n">
        <v>47.03</v>
      </c>
      <c r="E33" s="15" t="inlineStr">
        <is>
          <t>선택기업</t>
        </is>
      </c>
      <c r="F33" s="15" t="n">
        <v>1</v>
      </c>
    </row>
    <row r="34" ht="24" customHeight="1">
      <c r="A34" s="15" t="inlineStr">
        <is>
          <t>데이터 검증</t>
        </is>
      </c>
      <c r="B34" s="15" t="n">
        <v>100</v>
      </c>
    </row>
    <row r="35" ht="24" customHeight="1"/>
    <row r="36" ht="24" customHeight="1"/>
    <row r="37" ht="24" customHeight="1"/>
    <row r="38" ht="24" customHeight="1"/>
  </sheetData>
  <mergeCells count="4">
    <mergeCell ref="A9:H11"/>
    <mergeCell ref="A8:H8"/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5" customWidth="1" min="1" max="1"/>
    <col width="18" customWidth="1" min="2" max="2"/>
    <col width="15" customWidth="1" min="3" max="3"/>
    <col width="18" customWidth="1" min="4" max="4"/>
    <col width="15" customWidth="1" min="5" max="5"/>
    <col width="18" customWidth="1" min="6" max="6"/>
    <col width="15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피에스케이 독립 가치평가 대시보드</t>
        </is>
      </c>
    </row>
    <row r="2" ht="28" customHeight="1">
      <c r="A2" s="17" t="inlineStr">
        <is>
          <t>DCF · WACC · 피어 비교 · 주가/민감도 · ML 보조판단 · 검증체크 자동 생성</t>
        </is>
      </c>
    </row>
    <row r="3" ht="24" customHeight="1"/>
    <row r="4" ht="24" customHeight="1">
      <c r="A4" s="18" t="inlineStr">
        <is>
          <t>WACC</t>
        </is>
      </c>
      <c r="B4" s="19" t="n"/>
      <c r="C4" s="18" t="inlineStr">
        <is>
          <t>DCF 기업가치</t>
        </is>
      </c>
      <c r="D4" s="19" t="n"/>
      <c r="E4" s="18" t="inlineStr">
        <is>
          <t>DCF 지분가치</t>
        </is>
      </c>
      <c r="F4" s="19" t="n"/>
      <c r="G4" s="18" t="inlineStr">
        <is>
          <t>내재주가</t>
        </is>
      </c>
      <c r="H4" s="19" t="n"/>
      <c r="I4" s="18" t="inlineStr">
        <is>
          <t>괴리율</t>
        </is>
      </c>
      <c r="J4" s="19" t="n"/>
      <c r="K4" s="18" t="inlineStr">
        <is>
          <t>검증 상태</t>
        </is>
      </c>
      <c r="L4" s="19" t="n"/>
    </row>
    <row r="5" ht="24" customHeight="1">
      <c r="A5" s="20" t="inlineStr">
        <is>
          <t>14.0%</t>
        </is>
      </c>
      <c r="B5" s="19" t="n"/>
      <c r="C5" s="20" t="inlineStr">
        <is>
          <t>5,531.6억원</t>
        </is>
      </c>
      <c r="D5" s="19" t="n"/>
      <c r="E5" s="20" t="inlineStr">
        <is>
          <t>5,656.2억원</t>
        </is>
      </c>
      <c r="F5" s="19" t="n"/>
      <c r="G5" s="20" t="inlineStr">
        <is>
          <t>19,527원</t>
        </is>
      </c>
      <c r="H5" s="19" t="n"/>
      <c r="I5" s="20" t="inlineStr">
        <is>
          <t>-81.8%</t>
        </is>
      </c>
      <c r="J5" s="19" t="n"/>
      <c r="K5" s="20" t="inlineStr">
        <is>
          <t>PASS</t>
        </is>
      </c>
      <c r="L5" s="19" t="n"/>
    </row>
    <row r="6" ht="24" customHeight="1">
      <c r="A6" s="21" t="inlineStr">
        <is>
          <t>시장가중/장부가중 혼합</t>
        </is>
      </c>
      <c r="B6" s="19" t="n"/>
      <c r="C6" s="21" t="inlineStr">
        <is>
          <t>EV 기준</t>
        </is>
      </c>
      <c r="D6" s="19" t="n"/>
      <c r="E6" s="21" t="inlineStr">
        <is>
          <t>EV + 현금 - 부채 proxy</t>
        </is>
      </c>
      <c r="F6" s="19" t="n"/>
      <c r="G6" s="21" t="inlineStr">
        <is>
          <t>발행주식 수 기준</t>
        </is>
      </c>
      <c r="H6" s="19" t="n"/>
      <c r="I6" s="21" t="inlineStr">
        <is>
          <t>현재가 대비</t>
        </is>
      </c>
      <c r="J6" s="19" t="n"/>
      <c r="K6" s="21" t="inlineStr">
        <is>
          <t>가치평가 보조근거 중립</t>
        </is>
      </c>
      <c r="L6" s="19" t="n"/>
    </row>
    <row r="7" ht="24" customHeight="1">
      <c r="A7" s="18" t="inlineStr">
        <is>
          <t>현재가</t>
        </is>
      </c>
      <c r="B7" s="19" t="n"/>
      <c r="C7" s="18" t="inlineStr">
        <is>
          <t>1년 수익률</t>
        </is>
      </c>
      <c r="D7" s="19" t="n"/>
      <c r="E7" s="18" t="inlineStr">
        <is>
          <t>MDD</t>
        </is>
      </c>
      <c r="F7" s="19" t="n"/>
      <c r="G7" s="18" t="inlineStr">
        <is>
          <t>변동성</t>
        </is>
      </c>
      <c r="H7" s="19" t="n"/>
      <c r="I7" s="18" t="inlineStr">
        <is>
          <t>주가 행 수</t>
        </is>
      </c>
      <c r="J7" s="19" t="n"/>
      <c r="K7" s="18" t="inlineStr">
        <is>
          <t>52주 범위</t>
        </is>
      </c>
      <c r="L7" s="19" t="n"/>
    </row>
    <row r="8" ht="24" customHeight="1">
      <c r="A8" s="20" t="inlineStr">
        <is>
          <t>107,300원</t>
        </is>
      </c>
      <c r="B8" s="19" t="n"/>
      <c r="C8" s="20" t="inlineStr">
        <is>
          <t>461.2%</t>
        </is>
      </c>
      <c r="D8" s="19" t="n"/>
      <c r="E8" s="20" t="inlineStr">
        <is>
          <t>-57.6%</t>
        </is>
      </c>
      <c r="F8" s="19" t="n"/>
      <c r="G8" s="20" t="inlineStr">
        <is>
          <t>54.9%</t>
        </is>
      </c>
      <c r="H8" s="19" t="n"/>
      <c r="I8" s="20" t="inlineStr">
        <is>
          <t>1,222행</t>
        </is>
      </c>
      <c r="J8" s="19" t="n"/>
      <c r="K8" s="20" t="inlineStr">
        <is>
          <t>17,760원~114,200원</t>
        </is>
      </c>
      <c r="L8" s="19" t="n"/>
    </row>
    <row r="9" ht="24" customHeight="1">
      <c r="A9" s="21" t="inlineStr">
        <is>
          <t>주가 intake</t>
        </is>
      </c>
      <c r="B9" s="19" t="n"/>
      <c r="C9" s="21" t="inlineStr">
        <is>
          <t>최근 약 1년</t>
        </is>
      </c>
      <c r="D9" s="19" t="n"/>
      <c r="E9" s="21" t="inlineStr">
        <is>
          <t>최대 낙폭</t>
        </is>
      </c>
      <c r="F9" s="19" t="n"/>
      <c r="G9" s="21" t="inlineStr">
        <is>
          <t>연환산</t>
        </is>
      </c>
      <c r="H9" s="19" t="n"/>
      <c r="I9" s="21" t="inlineStr">
        <is>
          <t>차트/대시보드 원천</t>
        </is>
      </c>
      <c r="J9" s="19" t="n"/>
      <c r="K9" s="21" t="inlineStr">
        <is>
          <t>저가~고가</t>
        </is>
      </c>
      <c r="L9" s="19" t="n"/>
    </row>
    <row r="10" ht="24" customHeight="1">
      <c r="A10" s="18" t="inlineStr">
        <is>
          <t>시가총액</t>
        </is>
      </c>
      <c r="B10" s="19" t="n"/>
      <c r="C10" s="18" t="inlineStr">
        <is>
          <t>발행주식 수</t>
        </is>
      </c>
      <c r="D10" s="19" t="n"/>
      <c r="E10" s="18" t="inlineStr">
        <is>
          <t>20일 평균 거래대금</t>
        </is>
      </c>
      <c r="F10" s="19" t="n"/>
      <c r="G10" s="18" t="inlineStr">
        <is>
          <t>최근 거래회전율</t>
        </is>
      </c>
      <c r="H10" s="19" t="n"/>
      <c r="I10" s="18" t="inlineStr">
        <is>
          <t>ML 보조점수</t>
        </is>
      </c>
      <c r="J10" s="19" t="n"/>
      <c r="K10" s="18" t="inlineStr">
        <is>
          <t>Peer 수</t>
        </is>
      </c>
      <c r="L10" s="19" t="n"/>
    </row>
    <row r="11" ht="24" customHeight="1">
      <c r="A11" s="20" t="inlineStr">
        <is>
          <t>31,081.3억원</t>
        </is>
      </c>
      <c r="B11" s="19" t="n"/>
      <c r="C11" s="20" t="inlineStr">
        <is>
          <t>28,966,714주</t>
        </is>
      </c>
      <c r="D11" s="19" t="n"/>
      <c r="E11" s="20" t="inlineStr">
        <is>
          <t>340.0억원</t>
        </is>
      </c>
      <c r="F11" s="19" t="n"/>
      <c r="G11" s="20" t="inlineStr">
        <is>
          <t>0.8%</t>
        </is>
      </c>
      <c r="H11" s="19" t="n"/>
      <c r="I11" s="20" t="inlineStr">
        <is>
          <t>63.2/100</t>
        </is>
      </c>
      <c r="J11" s="19" t="n"/>
      <c r="K11" s="20" t="inlineStr">
        <is>
          <t>5개</t>
        </is>
      </c>
      <c r="L11" s="19" t="n"/>
    </row>
    <row r="12" ht="24" customHeight="1">
      <c r="A12" s="21" t="inlineStr">
        <is>
          <t>현재가×발행주식 수</t>
        </is>
      </c>
      <c r="B12" s="19" t="n"/>
      <c r="C12" s="21" t="inlineStr">
        <is>
          <t>DART stockTotqySttus</t>
        </is>
      </c>
      <c r="D12" s="19" t="n"/>
      <c r="E12" s="21" t="inlineStr">
        <is>
          <t>유동성 proxy</t>
        </is>
      </c>
      <c r="F12" s="19" t="n"/>
      <c r="G12" s="21" t="inlineStr">
        <is>
          <t>거래량/주식 수</t>
        </is>
      </c>
      <c r="H12" s="19" t="n"/>
      <c r="I12" s="21" t="inlineStr">
        <is>
          <t>가치평가 보조근거 중립</t>
        </is>
      </c>
      <c r="J12" s="19" t="n"/>
      <c r="K12" s="21" t="inlineStr">
        <is>
          <t>상대가치 비교</t>
        </is>
      </c>
      <c r="L12" s="19" t="n"/>
    </row>
    <row r="13" ht="24" customHeight="1">
      <c r="A13" s="18" t="inlineStr">
        <is>
          <t>P/S</t>
        </is>
      </c>
      <c r="B13" s="19" t="n"/>
      <c r="C13" s="18" t="inlineStr">
        <is>
          <t>Peer P/S 중앙값</t>
        </is>
      </c>
      <c r="D13" s="19" t="n"/>
      <c r="E13" s="18" t="inlineStr">
        <is>
          <t>P/S 매력도</t>
        </is>
      </c>
      <c r="F13" s="19" t="n"/>
      <c r="G13" s="18" t="inlineStr">
        <is>
          <t>208개 Universe</t>
        </is>
      </c>
      <c r="H13" s="19" t="n"/>
      <c r="I13" s="18" t="inlineStr">
        <is>
          <t>Reference 그룹</t>
        </is>
      </c>
      <c r="J13" s="19" t="n"/>
      <c r="K13" s="18" t="inlineStr">
        <is>
          <t>PSR/Universe</t>
        </is>
      </c>
      <c r="L13" s="19" t="n"/>
    </row>
    <row r="14" ht="24" customHeight="1">
      <c r="A14" s="20" t="inlineStr">
        <is>
          <t>1.24x</t>
        </is>
      </c>
      <c r="B14" s="19" t="n"/>
      <c r="C14" s="20" t="inlineStr">
        <is>
          <t>3.44x</t>
        </is>
      </c>
      <c r="D14" s="19" t="n"/>
      <c r="E14" s="20" t="inlineStr">
        <is>
          <t>100.0점</t>
        </is>
      </c>
      <c r="F14" s="19" t="n"/>
      <c r="G14" s="20" t="inlineStr">
        <is>
          <t>208개</t>
        </is>
      </c>
      <c r="H14" s="19" t="n"/>
      <c r="I14" s="20" t="inlineStr">
        <is>
          <t>장비</t>
        </is>
      </c>
      <c r="J14" s="19" t="n"/>
      <c r="K14" s="20" t="inlineStr">
        <is>
          <t>반영</t>
        </is>
      </c>
      <c r="L14" s="19" t="n"/>
    </row>
    <row r="15" ht="24" customHeight="1">
      <c r="A15" s="21" t="inlineStr">
        <is>
          <t>피어 대비 저PSR 구간: 상대 저평가 가능성</t>
        </is>
      </c>
      <c r="B15" s="19" t="n"/>
      <c r="C15" s="21" t="inlineStr">
        <is>
          <t>5개 live peer 기준</t>
        </is>
      </c>
      <c r="D15" s="19" t="n"/>
      <c r="E15" s="21" t="inlineStr">
        <is>
          <t>낮은 P/S일수록 점수 우호</t>
        </is>
      </c>
      <c r="F15" s="19" t="n"/>
      <c r="G15" s="21" t="inlineStr">
        <is>
          <t>장비</t>
        </is>
      </c>
      <c r="H15" s="19" t="n"/>
      <c r="I15" s="21" t="inlineStr">
        <is>
          <t>그룹 50개</t>
        </is>
      </c>
      <c r="J15" s="19" t="n"/>
      <c r="K15" s="21" t="inlineStr">
        <is>
          <t>대시보드/Chair 보조판단</t>
        </is>
      </c>
      <c r="L15" s="19" t="n"/>
    </row>
    <row r="16" ht="24" customHeight="1"/>
    <row r="17" ht="24" customHeight="1"/>
    <row r="18" ht="24" customHeight="1"/>
    <row r="19" ht="24" customHeight="1">
      <c r="A19" s="22" t="inlineStr">
        <is>
          <t>핵심 해석</t>
        </is>
      </c>
    </row>
    <row r="20" ht="24" customHeight="1">
      <c r="A20" s="23" t="inlineStr">
        <is>
          <t>데이터 독립성</t>
        </is>
      </c>
      <c r="B20" s="24" t="inlineStr">
        <is>
          <t>finance_agent 산출물을 읽지 않고 valuation/intake 원천 데이터만 사용</t>
        </is>
      </c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 ht="24" customHeight="1">
      <c r="A21" s="23" t="inlineStr">
        <is>
          <t>모델 구조</t>
        </is>
      </c>
      <c r="B21" s="24" t="inlineStr">
        <is>
          <t>업로드한 파이낸셜 모델링 파일의 구조를 DCF/WACC/Peer/Scenario/Dashboard 코드로 반영</t>
        </is>
      </c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 ht="24" customHeight="1">
      <c r="A22" s="23" t="inlineStr">
        <is>
          <t>활용 방식</t>
        </is>
      </c>
      <c r="B22" s="24" t="inlineStr">
        <is>
          <t>Chair 최종의견 가중합에는 미반영, 보조 가치평가 및 대시보드 다운로드 산출물로 활용</t>
        </is>
      </c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 ht="24" customHeight="1">
      <c r="A23" s="23" t="inlineStr">
        <is>
          <t>주의</t>
        </is>
      </c>
      <c r="B23" s="24" t="inlineStr">
        <is>
          <t>DART·주가·발행주식 수가 부족한 항목은 검증체크 시트에서 경고로 표시</t>
        </is>
      </c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>
      <c r="A31" s="25" t="inlineStr">
        <is>
          <t>연도</t>
        </is>
      </c>
      <c r="B31" s="25" t="inlineStr">
        <is>
          <t>매출액</t>
        </is>
      </c>
      <c r="C31" s="25" t="inlineStr">
        <is>
          <t>영업이익</t>
        </is>
      </c>
      <c r="D31" s="25" t="inlineStr">
        <is>
          <t>FCF</t>
        </is>
      </c>
      <c r="E31" s="25" t="inlineStr">
        <is>
          <t>연도</t>
        </is>
      </c>
      <c r="F31" s="25" t="inlineStr">
        <is>
          <t>매출액 추정</t>
        </is>
      </c>
      <c r="G31" s="25" t="inlineStr">
        <is>
          <t>FCF 추정</t>
        </is>
      </c>
      <c r="H31" s="25" t="inlineStr">
        <is>
          <t>PV FCF</t>
        </is>
      </c>
      <c r="I31" s="25" t="inlineStr">
        <is>
          <t>기업</t>
        </is>
      </c>
      <c r="J31" s="25" t="inlineStr">
        <is>
          <t>P/S</t>
        </is>
      </c>
      <c r="K31" s="25" t="inlineStr">
        <is>
          <t>PER</t>
        </is>
      </c>
      <c r="L31" s="25" t="inlineStr">
        <is>
          <t>PBR</t>
        </is>
      </c>
    </row>
    <row r="32" ht="24" customHeight="1">
      <c r="A32" s="26" t="n">
        <v>2021</v>
      </c>
      <c r="B32" s="27" t="n">
        <v>445803726054</v>
      </c>
      <c r="C32" s="27" t="n">
        <v>94084940603</v>
      </c>
      <c r="D32" s="27" t="n">
        <v>105945220347</v>
      </c>
      <c r="E32" s="26" t="n">
        <v>2026</v>
      </c>
      <c r="F32" s="27" t="n">
        <v>463864859630.1941</v>
      </c>
      <c r="G32" s="27" t="n">
        <v>68980652796.59167</v>
      </c>
      <c r="H32" s="27" t="n">
        <v>60528819701.72302</v>
      </c>
      <c r="I32" s="26" t="inlineStr">
        <is>
          <t>네패스</t>
        </is>
      </c>
      <c r="J32" s="28" t="n">
        <v>1.236011002542875</v>
      </c>
      <c r="K32" s="28" t="n">
        <v>31.97134771394161</v>
      </c>
      <c r="L32" s="28" t="n">
        <v>2.626075644626758</v>
      </c>
    </row>
    <row r="33" ht="24" customHeight="1">
      <c r="A33" s="26" t="n">
        <v>2022</v>
      </c>
      <c r="B33" s="27" t="n">
        <v>460909201007</v>
      </c>
      <c r="C33" s="27" t="n">
        <v>91842998729</v>
      </c>
      <c r="D33" s="27" t="n">
        <v>33379990506</v>
      </c>
      <c r="E33" s="26" t="n">
        <v>2027</v>
      </c>
      <c r="F33" s="27" t="n">
        <v>470665712284.2083</v>
      </c>
      <c r="G33" s="27" t="n">
        <v>69991997471.46385</v>
      </c>
      <c r="H33" s="27" t="n">
        <v>53891242734.89464</v>
      </c>
      <c r="I33" s="26" t="inlineStr">
        <is>
          <t>한미반도체</t>
        </is>
      </c>
      <c r="J33" s="28" t="n">
        <v>47.5995243683013</v>
      </c>
      <c r="K33" s="28" t="n">
        <v>128.2660999755141</v>
      </c>
      <c r="L33" s="28" t="n">
        <v>39.76360904518271</v>
      </c>
    </row>
    <row r="34" ht="24" customHeight="1">
      <c r="A34" s="26" t="n">
        <v>2023</v>
      </c>
      <c r="B34" s="27" t="n">
        <v>351863805650</v>
      </c>
      <c r="C34" s="27" t="n">
        <v>54118591422</v>
      </c>
      <c r="D34" s="27" t="n">
        <v>50138987015</v>
      </c>
      <c r="E34" s="26" t="n">
        <v>2028</v>
      </c>
      <c r="F34" s="27" t="n">
        <v>477619415418.9384</v>
      </c>
      <c r="G34" s="27" t="n">
        <v>71026072313.80003</v>
      </c>
      <c r="H34" s="27" t="n">
        <v>47986880143.40118</v>
      </c>
      <c r="I34" s="26" t="inlineStr">
        <is>
          <t>한솔케미칼</t>
        </is>
      </c>
      <c r="J34" s="28" t="n">
        <v>3.436583457683996</v>
      </c>
      <c r="K34" s="28" t="n">
        <v>20.50721218552739</v>
      </c>
      <c r="L34" s="28" t="n">
        <v>2.580411954170761</v>
      </c>
    </row>
    <row r="35" ht="24" customHeight="1">
      <c r="A35" s="26" t="n">
        <v>2024</v>
      </c>
      <c r="B35" s="27" t="n">
        <v>398050977575</v>
      </c>
      <c r="C35" s="27" t="n">
        <v>83924423263</v>
      </c>
      <c r="D35" s="27" t="n">
        <v>67118707193</v>
      </c>
      <c r="E35" s="26" t="n">
        <v>2029</v>
      </c>
      <c r="F35" s="27" t="n">
        <v>484729780256.3378</v>
      </c>
      <c r="G35" s="27" t="n">
        <v>72083444084.74377</v>
      </c>
      <c r="H35" s="27" t="n">
        <v>42734157878.05271</v>
      </c>
      <c r="I35" s="26" t="inlineStr">
        <is>
          <t>덕산테코피아</t>
        </is>
      </c>
      <c r="J35" s="28" t="n">
        <v>3.690496567424158</v>
      </c>
      <c r="K35" s="28" t="n">
        <v>-3.918760637816628</v>
      </c>
      <c r="L35" s="28" t="n">
        <v>3.88471024433095</v>
      </c>
    </row>
    <row r="36" ht="24" customHeight="1">
      <c r="A36" s="26" t="n">
        <v>2025</v>
      </c>
      <c r="B36" s="27" t="n">
        <v>457213151918</v>
      </c>
      <c r="C36" s="27" t="n">
        <v>88494057075</v>
      </c>
      <c r="D36" s="27" t="n">
        <v>61729136881</v>
      </c>
      <c r="E36" s="26" t="n">
        <v>2030</v>
      </c>
      <c r="F36" s="27" t="n">
        <v>492000726960.1829</v>
      </c>
      <c r="G36" s="27" t="n">
        <v>73164695746.01492</v>
      </c>
      <c r="H36" s="27" t="n">
        <v>38060640961.27148</v>
      </c>
      <c r="I36" s="26" t="inlineStr">
        <is>
          <t>엘티씨</t>
        </is>
      </c>
      <c r="J36" s="28" t="n">
        <v>1.395459021332331</v>
      </c>
      <c r="K36" s="28" t="n">
        <v>23.81184919544199</v>
      </c>
      <c r="L36" s="28" t="n">
        <v>1.935867035533955</v>
      </c>
    </row>
  </sheetData>
  <mergeCells count="79">
    <mergeCell ref="C6:D6"/>
    <mergeCell ref="A15:B15"/>
    <mergeCell ref="C15:D15"/>
    <mergeCell ref="B22:L22"/>
    <mergeCell ref="E8:F8"/>
    <mergeCell ref="A7:B7"/>
    <mergeCell ref="B21:L21"/>
    <mergeCell ref="B23:L23"/>
    <mergeCell ref="I13:J13"/>
    <mergeCell ref="A9:B9"/>
    <mergeCell ref="K13:L13"/>
    <mergeCell ref="E12:F12"/>
    <mergeCell ref="G12:H12"/>
    <mergeCell ref="I6:J6"/>
    <mergeCell ref="I15:J15"/>
    <mergeCell ref="A11:B11"/>
    <mergeCell ref="K15:L15"/>
    <mergeCell ref="C5:D5"/>
    <mergeCell ref="E5:F5"/>
    <mergeCell ref="C14:D14"/>
    <mergeCell ref="E14:F14"/>
    <mergeCell ref="C4:D4"/>
    <mergeCell ref="E4:F4"/>
    <mergeCell ref="G7:H7"/>
    <mergeCell ref="I7:J7"/>
    <mergeCell ref="I8:J8"/>
    <mergeCell ref="A8:B8"/>
    <mergeCell ref="C8:D8"/>
    <mergeCell ref="I10:J10"/>
    <mergeCell ref="A10:B10"/>
    <mergeCell ref="K10:L10"/>
    <mergeCell ref="K6:L6"/>
    <mergeCell ref="G9:H9"/>
    <mergeCell ref="I9:J9"/>
    <mergeCell ref="G11:H11"/>
    <mergeCell ref="K9:L9"/>
    <mergeCell ref="I11:J11"/>
    <mergeCell ref="K5:L5"/>
    <mergeCell ref="A2:L2"/>
    <mergeCell ref="K11:L11"/>
    <mergeCell ref="E13:F13"/>
    <mergeCell ref="G13:H13"/>
    <mergeCell ref="A12:B12"/>
    <mergeCell ref="C12:D12"/>
    <mergeCell ref="E6:F6"/>
    <mergeCell ref="E15:F15"/>
    <mergeCell ref="K8:L8"/>
    <mergeCell ref="G15:H15"/>
    <mergeCell ref="A5:B5"/>
    <mergeCell ref="A14:B14"/>
    <mergeCell ref="A4:B4"/>
    <mergeCell ref="K7:L7"/>
    <mergeCell ref="C7:D7"/>
    <mergeCell ref="E7:F7"/>
    <mergeCell ref="B20:L20"/>
    <mergeCell ref="G8:H8"/>
    <mergeCell ref="A6:B6"/>
    <mergeCell ref="C10:D10"/>
    <mergeCell ref="E10:F10"/>
    <mergeCell ref="G10:H10"/>
    <mergeCell ref="G6:H6"/>
    <mergeCell ref="C9:D9"/>
    <mergeCell ref="E9:F9"/>
    <mergeCell ref="I12:J12"/>
    <mergeCell ref="K12:L12"/>
    <mergeCell ref="A19:L19"/>
    <mergeCell ref="C11:D11"/>
    <mergeCell ref="E11:F11"/>
    <mergeCell ref="G5:H5"/>
    <mergeCell ref="I5:J5"/>
    <mergeCell ref="G14:H14"/>
    <mergeCell ref="I14:J14"/>
    <mergeCell ref="K14:L14"/>
    <mergeCell ref="G4:H4"/>
    <mergeCell ref="I4:J4"/>
    <mergeCell ref="A1:L1"/>
    <mergeCell ref="A13:B13"/>
    <mergeCell ref="C13:D13"/>
    <mergeCell ref="K4:L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피에스케이 Valuation Agent Workbook</t>
        </is>
      </c>
    </row>
    <row r="2" ht="28" customHeight="1">
      <c r="A2" s="17" t="inlineStr">
        <is>
          <t>독립 데이터 intake → 모델링 → 검증 → 대시보드 export</t>
        </is>
      </c>
    </row>
    <row r="3" ht="24" customHeight="1"/>
    <row r="4" ht="24" customHeight="1">
      <c r="A4" s="22" t="inlineStr">
        <is>
          <t>사용 안내</t>
        </is>
      </c>
    </row>
    <row r="5" ht="24" customHeight="1">
      <c r="A5" s="25" t="inlineStr">
        <is>
          <t>항목</t>
        </is>
      </c>
      <c r="B5" s="25" t="inlineStr">
        <is>
          <t>내용</t>
        </is>
      </c>
    </row>
    <row r="6" ht="24" customHeight="1">
      <c r="A6" s="24" t="inlineStr">
        <is>
          <t>목적</t>
        </is>
      </c>
      <c r="B6" s="24" t="inlineStr">
        <is>
          <t>DART/주가/발행주식 수/피어 데이터를 intake하여 WACC·DCF·Peer·ML overlay·대시보드 payload를 자동 생성</t>
        </is>
      </c>
    </row>
    <row r="7" ht="24" customHeight="1">
      <c r="A7" s="29" t="inlineStr">
        <is>
          <t>Finance Agent와 관계</t>
        </is>
      </c>
      <c r="B7" s="29" t="inlineStr">
        <is>
          <t>finance_agent 산출물을 읽지 않음. valuation/intake 폴더의 자체 데이터만 사용</t>
        </is>
      </c>
    </row>
    <row r="8" ht="24" customHeight="1">
      <c r="A8" s="24" t="inlineStr">
        <is>
          <t>모델링 구조</t>
        </is>
      </c>
      <c r="B8" s="24" t="inlineStr">
        <is>
          <t>업로드한 파이낸셜 모델링 파일의 sheet archetype을 코드화하여 workbook 구조로 반영</t>
        </is>
      </c>
    </row>
    <row r="9" ht="24" customHeight="1">
      <c r="A9" s="29" t="inlineStr">
        <is>
          <t>PSR/208개 Universe</t>
        </is>
      </c>
      <c r="B9" s="29" t="inlineStr">
        <is>
          <t>Live peer P/S와 208개 반도체 reference universe를 별도 시트와 대시보드 payload로 제공</t>
        </is>
      </c>
    </row>
    <row r="10" ht="24" customHeight="1">
      <c r="A10" s="24" t="inlineStr">
        <is>
          <t>단위</t>
        </is>
      </c>
      <c r="B10" s="24" t="inlineStr">
        <is>
          <t>원천 데이터는 KRW actuals, 요약 표시는 억원/원/배수/비율 형식</t>
        </is>
      </c>
    </row>
    <row r="11" ht="24" customHeight="1">
      <c r="A11" s="29" t="inlineStr">
        <is>
          <t>색상 규칙</t>
        </is>
      </c>
      <c r="B11" s="29" t="inlineStr">
        <is>
          <t>노란색/파란 글씨는 조정 가능한 입력값, 검은 글씨는 공식, 진한 남색은 섹션/헤더</t>
        </is>
      </c>
    </row>
  </sheetData>
  <autoFilter ref="A5:B11"/>
  <mergeCells count="3">
    <mergeCell ref="A2:H2"/>
    <mergeCell ref="A4:F4"/>
    <mergeCell ref="A1:H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22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40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데이터 출처 맵</t>
        </is>
      </c>
    </row>
    <row r="2" ht="24" customHeight="1">
      <c r="A2" s="25" t="inlineStr">
        <is>
          <t>created_at</t>
        </is>
      </c>
      <c r="B2" s="25" t="inlineStr">
        <is>
          <t>기업명</t>
        </is>
      </c>
      <c r="C2" s="25" t="inlineStr">
        <is>
          <t>기업코드</t>
        </is>
      </c>
      <c r="D2" s="25" t="inlineStr">
        <is>
          <t>종목코드</t>
        </is>
      </c>
      <c r="E2" s="25" t="inlineStr">
        <is>
          <t>principle</t>
        </is>
      </c>
      <c r="F2" s="25" t="inlineStr">
        <is>
          <t>template_design_seed</t>
        </is>
      </c>
      <c r="G2" s="25" t="inlineStr">
        <is>
          <t>canonical_workbook_tabs</t>
        </is>
      </c>
      <c r="H2" s="25" t="inlineStr">
        <is>
          <t>files</t>
        </is>
      </c>
      <c r="I2" s="25" t="inlineStr">
        <is>
          <t>diagnostics</t>
        </is>
      </c>
      <c r="J2" s="25" t="inlineStr">
        <is>
          <t>loader_diagnostics</t>
        </is>
      </c>
    </row>
    <row r="3" ht="24" customHeight="1">
      <c r="A3" s="24" t="inlineStr">
        <is>
          <t>2026-05-20T12:31:53</t>
        </is>
      </c>
      <c r="B3" s="24" t="inlineStr">
        <is>
          <t>피에스케이</t>
        </is>
      </c>
      <c r="C3" s="24" t="inlineStr">
        <is>
          <t>psk</t>
        </is>
      </c>
      <c r="D3" s="24" t="inlineStr">
        <is>
          <t>319660</t>
        </is>
      </c>
      <c r="E3" s="24" t="inlineStr">
        <is>
          <t>independent_valuation_agent_intake_only; does not read finance_agent outputs</t>
        </is>
      </c>
      <c r="F3" s="24" t="inlineStr">
        <is>
          <t>uploaded_financial_modeling_packs_distilled_to_blueprints</t>
        </is>
      </c>
      <c r="G3" s="24" t="inlineStr">
        <is>
          <t>["00_대시보드", "01_사용안내", "02_출처맵", "03_원천_DART", "04_주가_데이터", "05_정규재무제표", "06_핵심비율", "07_WACC", "08_FCF_추정", "09_DCF_가치평가", "10_피어비교", "11_ML_보조판단", "12_민감도", "13_검증체크", "14_대시보드_JSON", "15_감사추적", "16_모델링_설계", "17_투자자요약", "18_밸류에이션_유니버스", "19_가치평가_브릿지", "20_시나리오_요약", "21_품질_커버리지"]</t>
        </is>
      </c>
      <c r="H3" s="24" t="inlineStr">
        <is>
          <t>{"template_catalog_csv": "data/반도체/피에스케이/valuation/intake/valuation_modeling_template_catalog.csv", "template_catalog_json": "data/반도체/피에스케이/valuation/intake/valuation_modeling_template_catalog.json", "raw_dart_accounts_csv": "data/반도체/피에스케이/valuation/intake/valuation_raw_dart_accounts.csv", "normalized_financials_csv": "data/반도체/피에스케이/valuation/intake/valuation_normalized_financials.csv", "price_history_csv": "data/반도체/피에스케이/valuation/intake/valuation_price_history.csv", "share_count_csv": "data/반도체/피에스케이/valuation/intake/valuation_share_count.csv", "price_summary_json": "data/반도체/피에스케이/valuation/intake/valuation_price_summary.json", "market_snapshot_json": "data/반도체/피에스케이/valuation/intake/valuation_market_snapshot.json", "market_snapshot_csv": "data/반도체/피에스케이/valuation/intake/valuation_market_snapshot.csv", "peer_input_csv": "data/반도체/피에스케이/valuation/intake/valuation_peer_input.csv", "assumptions_json": "data/반도체/피에스케이/valuation/intake/valuation_assumptions.json", "reference_universe_208_csv": "data/반도체/피에스케이/valuation/intake/valuation_reference_universe_208.csv", "reference_universe_focus_csv": "data/반도체/피에스케이/valuation/intake/valuation_reference_universe_focus.csv", "reference_universe_summary_json": "data/반도체/피에스케이/valuation/intake/valuation_reference_universe_summary.json"}</t>
        </is>
      </c>
      <c r="I3" s="24" t="inlineStr">
        <is>
          <t>["DART API key detected for valuation intake.", "DART corp_code resolved from cache for 피에스케이/319660.", "DART financial rows collected: 2021=166, 2022=169, 2023=156, 2024=152, 2025=130", "yfinance price rows for 319660.KQ: 1222", "price provider selected: yfinance, rows=1222", "DART corp_code resolved from cache for 피에스케이/319660.", "Naver market snapshot collected: per_naver, pbr_naver, eps_naver, dividend_yield_pct_naver, bps_naver", "peer:nepes: price provider selected: yfinance, rows=728", "peer:nepes: DART corp_code resolved from cache for 네패스/033640.", "peer:hanmi: price provider selected: yfinance, rows=728", "peer:hanmi: DART corp_code resolved from cache for 한미반도체/042700.", "peer:hansol: price provider selected: yfinance, rows=728", "peer:hansol: DART corp_code resolved from cache for 한솔케미칼/014680.", "peer:duksan: price provider selected: yfinance, rows=728", "peer:duksan: DART corp_code resolved from cache for 덕산테코피아/317330.", "peer:ltc: price provider selected: yfinance, rows=727", "peer:ltc: DART corp_code resolved from cache for 엘티씨/170920.", "Market snapshot enriched with live/derived metrics count=17."]</t>
        </is>
      </c>
      <c r="J3" s="24" t="inlineStr">
        <is>
          <t>{"price_history_loaded_rows": 1222, "price_history_loaded_from": "C:\\Agent_6.8\\data\\반도체\\피에스케이\\valuation\\intake\\valuation_price_history.csv"}</t>
        </is>
      </c>
    </row>
    <row r="4" ht="24" customHeight="1"/>
    <row r="5" ht="24" customHeight="1"/>
    <row r="6" ht="24" customHeight="1">
      <c r="A6" s="22" t="inlineStr">
        <is>
          <t>발행주식 수 intake</t>
        </is>
      </c>
    </row>
    <row r="7" ht="24" customHeight="1">
      <c r="A7" s="25" t="inlineStr">
        <is>
          <t>출처</t>
        </is>
      </c>
      <c r="B7" s="25" t="inlineStr">
        <is>
          <t>DART 고유번호</t>
        </is>
      </c>
      <c r="C7" s="25" t="inlineStr">
        <is>
          <t>기업명</t>
        </is>
      </c>
      <c r="D7" s="25" t="inlineStr">
        <is>
          <t>기업코드</t>
        </is>
      </c>
      <c r="E7" s="25" t="inlineStr">
        <is>
          <t>종목코드</t>
        </is>
      </c>
      <c r="F7" s="25" t="inlineStr">
        <is>
          <t>연도</t>
        </is>
      </c>
      <c r="G7" s="25" t="inlineStr">
        <is>
          <t>share_class</t>
        </is>
      </c>
      <c r="H7" s="25" t="inlineStr">
        <is>
          <t>발행주식 수</t>
        </is>
      </c>
      <c r="I7" s="25" t="inlineStr">
        <is>
          <t>raw</t>
        </is>
      </c>
    </row>
    <row r="8" ht="24" customHeight="1">
      <c r="A8" s="24" t="inlineStr">
        <is>
          <t>OpenDART_stockTotqySttus</t>
        </is>
      </c>
      <c r="B8" s="24" t="inlineStr">
        <is>
          <t>01365825</t>
        </is>
      </c>
      <c r="C8" s="24" t="inlineStr">
        <is>
          <t>피에스케이</t>
        </is>
      </c>
      <c r="D8" s="24" t="inlineStr">
        <is>
          <t>psk</t>
        </is>
      </c>
      <c r="E8" s="24" t="inlineStr">
        <is>
          <t>319660</t>
        </is>
      </c>
      <c r="F8" s="24" t="inlineStr">
        <is>
          <t>2021</t>
        </is>
      </c>
      <c r="G8" s="24" t="inlineStr">
        <is>
          <t>보통주</t>
        </is>
      </c>
      <c r="H8" s="24" t="inlineStr">
        <is>
          <t>14765020.0</t>
        </is>
      </c>
      <c r="I8" s="24" t="inlineStr">
        <is>
          <t>{"rcept_no": "20220808000121", "corp_cls": "K", "corp_code": "01365825", "corp_name": "피에스케이", "se": "보통주", "isu_stock_totqy": "60,000,000", "now_to_isu_stock_totqy": "14,765,020", "now_to_dcrs_stock_totqy": "-", "redc": "-", "profit_incnr": "-", "rdmstk_repy": "-", "etc": "-", "istc_totqy": "14,765,020", "tesstk_co": "147,604", "distb_stock_co": "14,617,416", "stlm_dt": "2021-12-31"}</t>
        </is>
      </c>
    </row>
    <row r="9" ht="24" customHeight="1">
      <c r="A9" s="29" t="inlineStr">
        <is>
          <t>OpenDART_stockTotqySttus</t>
        </is>
      </c>
      <c r="B9" s="29" t="inlineStr">
        <is>
          <t>01365825</t>
        </is>
      </c>
      <c r="C9" s="29" t="inlineStr">
        <is>
          <t>피에스케이</t>
        </is>
      </c>
      <c r="D9" s="29" t="inlineStr">
        <is>
          <t>psk</t>
        </is>
      </c>
      <c r="E9" s="29" t="inlineStr">
        <is>
          <t>319660</t>
        </is>
      </c>
      <c r="F9" s="29" t="inlineStr">
        <is>
          <t>2021</t>
        </is>
      </c>
      <c r="G9" s="29" t="inlineStr">
        <is>
          <t>우선주</t>
        </is>
      </c>
      <c r="H9" s="29" t="inlineStr">
        <is>
          <t>해당 없음</t>
        </is>
      </c>
      <c r="I9" s="29" t="inlineStr">
        <is>
          <t>{"rcept_no": "20220808000121", "corp_cls": "K", "corp_code": "01365825", "corp_name": "피에스케이", "se": "우선주", "isu_stock_totqy": "-", "now_to_isu_stock_totqy": "-", "now_to_dcrs_stock_totqy": "-", "redc": "-", "profit_incnr": "-", "rdmstk_repy": "-", "etc": "-", "istc_totqy": "-", "tesstk_co": "-", "distb_stock_co": "-", "stlm_dt": "2021-12-31"}</t>
        </is>
      </c>
    </row>
    <row r="10" ht="24" customHeight="1">
      <c r="A10" s="24" t="inlineStr">
        <is>
          <t>OpenDART_stockTotqySttus</t>
        </is>
      </c>
      <c r="B10" s="24" t="inlineStr">
        <is>
          <t>01365825</t>
        </is>
      </c>
      <c r="C10" s="24" t="inlineStr">
        <is>
          <t>피에스케이</t>
        </is>
      </c>
      <c r="D10" s="24" t="inlineStr">
        <is>
          <t>psk</t>
        </is>
      </c>
      <c r="E10" s="24" t="inlineStr">
        <is>
          <t>319660</t>
        </is>
      </c>
      <c r="F10" s="24" t="inlineStr">
        <is>
          <t>2021</t>
        </is>
      </c>
      <c r="G10" s="24" t="inlineStr">
        <is>
          <t>합계</t>
        </is>
      </c>
      <c r="H10" s="24" t="inlineStr">
        <is>
          <t>14765020.0</t>
        </is>
      </c>
      <c r="I10" s="24" t="inlineStr">
        <is>
          <t>{"rcept_no": "20220808000121", "corp_cls": "K", "corp_code": "01365825", "corp_name": "피에스케이", "se": "합계", "isu_stock_totqy": "60,000,000", "now_to_isu_stock_totqy": "14,765,020", "now_to_dcrs_stock_totqy": "-", "redc": "-", "profit_incnr": "-", "rdmstk_repy": "-", "etc": "-", "istc_totqy": "14,765,020", "tesstk_co": "147,604", "distb_stock_co": "14,617,416", "stlm_dt": "2021-12-31"}</t>
        </is>
      </c>
    </row>
    <row r="11" ht="24" customHeight="1">
      <c r="A11" s="29" t="inlineStr">
        <is>
          <t>OpenDART_stockTotqySttus</t>
        </is>
      </c>
      <c r="B11" s="29" t="inlineStr">
        <is>
          <t>01365825</t>
        </is>
      </c>
      <c r="C11" s="29" t="inlineStr">
        <is>
          <t>피에스케이</t>
        </is>
      </c>
      <c r="D11" s="29" t="inlineStr">
        <is>
          <t>psk</t>
        </is>
      </c>
      <c r="E11" s="29" t="inlineStr">
        <is>
          <t>319660</t>
        </is>
      </c>
      <c r="F11" s="29" t="inlineStr">
        <is>
          <t>2021</t>
        </is>
      </c>
      <c r="G11" s="29" t="inlineStr">
        <is>
          <t>비고</t>
        </is>
      </c>
      <c r="H11" s="29" t="inlineStr">
        <is>
          <t>해당 없음</t>
        </is>
      </c>
      <c r="I11" s="29" t="inlineStr">
        <is>
          <t>{"rcept_no": "20220808000121", "corp_cls": "K", "corp_code": "01365825", "corp_name": "피에스케이", "se": "비고", "isu_stock_totqy": "-", "now_to_isu_stock_totqy": "-", "now_to_dcrs_stock_totqy": "-", "redc": "-", "profit_incnr": "-", "rdmstk_repy": "-", "etc": "-", "istc_totqy": "-", "tesstk_co": "-", "distb_stock_co": "-", "stlm_dt": "2021-12-31"}</t>
        </is>
      </c>
    </row>
    <row r="12" ht="24" customHeight="1">
      <c r="A12" s="24" t="inlineStr">
        <is>
          <t>OpenDART_stockTotqySttus</t>
        </is>
      </c>
      <c r="B12" s="24" t="inlineStr">
        <is>
          <t>01365825</t>
        </is>
      </c>
      <c r="C12" s="24" t="inlineStr">
        <is>
          <t>피에스케이</t>
        </is>
      </c>
      <c r="D12" s="24" t="inlineStr">
        <is>
          <t>psk</t>
        </is>
      </c>
      <c r="E12" s="24" t="inlineStr">
        <is>
          <t>319660</t>
        </is>
      </c>
      <c r="F12" s="24" t="inlineStr">
        <is>
          <t>2022</t>
        </is>
      </c>
      <c r="G12" s="24" t="inlineStr">
        <is>
          <t>보통주</t>
        </is>
      </c>
      <c r="H12" s="24" t="inlineStr">
        <is>
          <t>28966714.0</t>
        </is>
      </c>
      <c r="I12" s="24" t="inlineStr">
        <is>
          <t>{"rcept_no": "20230321001327", "corp_cls": "K", "corp_code": "01365825", "corp_name": "피에스케이", "se": "보통주", "isu_stock_totqy": "60,000,000", "now_to_isu_stock_totqy": "29,248,377", "now_to_dcrs_stock_totqy": "281,663", "redc": "-", "profit_incnr": "281,663", "rdmstk_repy": "-", "etc": "-", "istc_totqy": "28,966,714", "tesstk_co": "0", "distb_stock_co": "28,966,714", "stlm_dt": "2022-12-31"}</t>
        </is>
      </c>
    </row>
    <row r="13" ht="24" customHeight="1">
      <c r="A13" s="29" t="inlineStr">
        <is>
          <t>OpenDART_stockTotqySttus</t>
        </is>
      </c>
      <c r="B13" s="29" t="inlineStr">
        <is>
          <t>01365825</t>
        </is>
      </c>
      <c r="C13" s="29" t="inlineStr">
        <is>
          <t>피에스케이</t>
        </is>
      </c>
      <c r="D13" s="29" t="inlineStr">
        <is>
          <t>psk</t>
        </is>
      </c>
      <c r="E13" s="29" t="inlineStr">
        <is>
          <t>319660</t>
        </is>
      </c>
      <c r="F13" s="29" t="inlineStr">
        <is>
          <t>2022</t>
        </is>
      </c>
      <c r="G13" s="29" t="inlineStr">
        <is>
          <t>우선주</t>
        </is>
      </c>
      <c r="H13" s="29" t="inlineStr">
        <is>
          <t>해당 없음</t>
        </is>
      </c>
      <c r="I13" s="29" t="inlineStr">
        <is>
          <t>{"rcept_no": "20230321001327", "corp_cls": "K", "corp_code": "01365825", "corp_name": "피에스케이", "se": "우선주", "isu_stock_totqy": "-", "now_to_isu_stock_totqy": "-", "now_to_dcrs_stock_totqy": "-", "redc": "-", "profit_incnr": "-", "rdmstk_repy": "-", "etc": "-", "istc_totqy": "-", "tesstk_co": "-", "distb_stock_co": "-", "stlm_dt": "2022-12-31"}</t>
        </is>
      </c>
    </row>
    <row r="14" ht="24" customHeight="1">
      <c r="A14" s="24" t="inlineStr">
        <is>
          <t>OpenDART_stockTotqySttus</t>
        </is>
      </c>
      <c r="B14" s="24" t="inlineStr">
        <is>
          <t>01365825</t>
        </is>
      </c>
      <c r="C14" s="24" t="inlineStr">
        <is>
          <t>피에스케이</t>
        </is>
      </c>
      <c r="D14" s="24" t="inlineStr">
        <is>
          <t>psk</t>
        </is>
      </c>
      <c r="E14" s="24" t="inlineStr">
        <is>
          <t>319660</t>
        </is>
      </c>
      <c r="F14" s="24" t="inlineStr">
        <is>
          <t>2022</t>
        </is>
      </c>
      <c r="G14" s="24" t="inlineStr">
        <is>
          <t>합계</t>
        </is>
      </c>
      <c r="H14" s="24" t="inlineStr">
        <is>
          <t>28966714.0</t>
        </is>
      </c>
      <c r="I14" s="24" t="inlineStr">
        <is>
          <t>{"rcept_no": "20230321001327", "corp_cls": "K", "corp_code": "01365825", "corp_name": "피에스케이", "se": "합계", "isu_stock_totqy": "60,000,000", "now_to_isu_stock_totqy": "29,248,377", "now_to_dcrs_stock_totqy": "281,663", "redc": "-", "profit_incnr": "281,663", "rdmstk_repy": "-", "etc": "-", "istc_totqy": "28,966,714", "tesstk_co": "0", "distb_stock_co": "28,966,714", "stlm_dt": "2022-12-31"}</t>
        </is>
      </c>
    </row>
    <row r="15" ht="24" customHeight="1">
      <c r="A15" s="29" t="inlineStr">
        <is>
          <t>OpenDART_stockTotqySttus</t>
        </is>
      </c>
      <c r="B15" s="29" t="inlineStr">
        <is>
          <t>01365825</t>
        </is>
      </c>
      <c r="C15" s="29" t="inlineStr">
        <is>
          <t>피에스케이</t>
        </is>
      </c>
      <c r="D15" s="29" t="inlineStr">
        <is>
          <t>psk</t>
        </is>
      </c>
      <c r="E15" s="29" t="inlineStr">
        <is>
          <t>319660</t>
        </is>
      </c>
      <c r="F15" s="29" t="inlineStr">
        <is>
          <t>2022</t>
        </is>
      </c>
      <c r="G15" s="29" t="inlineStr">
        <is>
          <t>비고</t>
        </is>
      </c>
      <c r="H15" s="29" t="inlineStr">
        <is>
          <t>해당 없음</t>
        </is>
      </c>
      <c r="I15" s="29" t="inlineStr">
        <is>
          <t>{"rcept_no": "20230321001327", "corp_cls": "K", "corp_code": "01365825", "corp_name": "피에스케이", "se": "비고", "isu_stock_totqy": "-", "now_to_isu_stock_totqy": "-", "now_to_dcrs_stock_totqy": "-", "redc": "-", "profit_incnr": "-", "rdmstk_repy": "-", "etc": "-", "istc_totqy": "-", "tesstk_co": "-", "distb_stock_co": "-", "stlm_dt": "2022-12-31"}</t>
        </is>
      </c>
    </row>
    <row r="16" ht="24" customHeight="1">
      <c r="A16" s="24" t="inlineStr">
        <is>
          <t>OpenDART_stockTotqySttus</t>
        </is>
      </c>
      <c r="B16" s="24" t="inlineStr">
        <is>
          <t>01365825</t>
        </is>
      </c>
      <c r="C16" s="24" t="inlineStr">
        <is>
          <t>피에스케이</t>
        </is>
      </c>
      <c r="D16" s="24" t="inlineStr">
        <is>
          <t>psk</t>
        </is>
      </c>
      <c r="E16" s="24" t="inlineStr">
        <is>
          <t>319660</t>
        </is>
      </c>
      <c r="F16" s="24" t="inlineStr">
        <is>
          <t>2023</t>
        </is>
      </c>
      <c r="G16" s="24" t="inlineStr">
        <is>
          <t>보통주</t>
        </is>
      </c>
      <c r="H16" s="24" t="inlineStr">
        <is>
          <t>28966714.0</t>
        </is>
      </c>
      <c r="I16" s="24" t="inlineStr">
        <is>
          <t>{"rcept_no": "20240321001864", "corp_cls": "K", "corp_code": "01365825", "corp_name": "피에스케이", "se": "보통주", "isu_stock_totqy": "60,000,000", "now_to_isu_stock_totqy": "29,248,377", "now_to_dcrs_stock_totqy": "281,663", "redc": "-", "profit_incnr": "281,663", "rdmstk_repy": "-", "etc": "-", "istc_totqy": "28,966,714", "tesstk_co": "0", "distb_stock_co": "28,966,714", "stlm_dt": "2023-12-31"}</t>
        </is>
      </c>
    </row>
    <row r="17" ht="24" customHeight="1">
      <c r="A17" s="29" t="inlineStr">
        <is>
          <t>OpenDART_stockTotqySttus</t>
        </is>
      </c>
      <c r="B17" s="29" t="inlineStr">
        <is>
          <t>01365825</t>
        </is>
      </c>
      <c r="C17" s="29" t="inlineStr">
        <is>
          <t>피에스케이</t>
        </is>
      </c>
      <c r="D17" s="29" t="inlineStr">
        <is>
          <t>psk</t>
        </is>
      </c>
      <c r="E17" s="29" t="inlineStr">
        <is>
          <t>319660</t>
        </is>
      </c>
      <c r="F17" s="29" t="inlineStr">
        <is>
          <t>2023</t>
        </is>
      </c>
      <c r="G17" s="29" t="inlineStr">
        <is>
          <t>우선주</t>
        </is>
      </c>
      <c r="H17" s="29" t="inlineStr">
        <is>
          <t>해당 없음</t>
        </is>
      </c>
      <c r="I17" s="29" t="inlineStr">
        <is>
          <t>{"rcept_no": "20240321001864", "corp_cls": "K", "corp_code": "01365825", "corp_name": "피에스케이", "se": "우선주", "isu_stock_totqy": "-", "now_to_isu_stock_totqy": "-", "now_to_dcrs_stock_totqy": "-", "redc": "-", "profit_incnr": "-", "rdmstk_repy": "-", "etc": "-", "istc_totqy": "-", "tesstk_co": "-", "distb_stock_co": "-", "stlm_dt": "2023-12-31"}</t>
        </is>
      </c>
    </row>
    <row r="18" ht="24" customHeight="1">
      <c r="A18" s="24" t="inlineStr">
        <is>
          <t>OpenDART_stockTotqySttus</t>
        </is>
      </c>
      <c r="B18" s="24" t="inlineStr">
        <is>
          <t>01365825</t>
        </is>
      </c>
      <c r="C18" s="24" t="inlineStr">
        <is>
          <t>피에스케이</t>
        </is>
      </c>
      <c r="D18" s="24" t="inlineStr">
        <is>
          <t>psk</t>
        </is>
      </c>
      <c r="E18" s="24" t="inlineStr">
        <is>
          <t>319660</t>
        </is>
      </c>
      <c r="F18" s="24" t="inlineStr">
        <is>
          <t>2023</t>
        </is>
      </c>
      <c r="G18" s="24" t="inlineStr">
        <is>
          <t>합계</t>
        </is>
      </c>
      <c r="H18" s="24" t="inlineStr">
        <is>
          <t>28966714.0</t>
        </is>
      </c>
      <c r="I18" s="24" t="inlineStr">
        <is>
          <t>{"rcept_no": "20240321001864", "corp_cls": "K", "corp_code": "01365825", "corp_name": "피에스케이", "se": "합계", "isu_stock_totqy": "60,000,000", "now_to_isu_stock_totqy": "29,248,377", "now_to_dcrs_stock_totqy": "281,663", "redc": "-", "profit_incnr": "281,663", "rdmstk_repy": "-", "etc": "-", "istc_totqy": "28,966,714", "tesstk_co": "0", "distb_stock_co": "28,966,714", "stlm_dt": "2023-12-31"}</t>
        </is>
      </c>
    </row>
    <row r="19" ht="24" customHeight="1">
      <c r="A19" s="29" t="inlineStr">
        <is>
          <t>OpenDART_stockTotqySttus</t>
        </is>
      </c>
      <c r="B19" s="29" t="inlineStr">
        <is>
          <t>01365825</t>
        </is>
      </c>
      <c r="C19" s="29" t="inlineStr">
        <is>
          <t>피에스케이</t>
        </is>
      </c>
      <c r="D19" s="29" t="inlineStr">
        <is>
          <t>psk</t>
        </is>
      </c>
      <c r="E19" s="29" t="inlineStr">
        <is>
          <t>319660</t>
        </is>
      </c>
      <c r="F19" s="29" t="inlineStr">
        <is>
          <t>2023</t>
        </is>
      </c>
      <c r="G19" s="29" t="inlineStr">
        <is>
          <t>비고</t>
        </is>
      </c>
      <c r="H19" s="29" t="inlineStr">
        <is>
          <t>해당 없음</t>
        </is>
      </c>
      <c r="I19" s="29" t="inlineStr">
        <is>
          <t>{"rcept_no": "20240321001864", "corp_cls": "K", "corp_code": "01365825", "corp_name": "피에스케이", "se": "비고", "isu_stock_totqy": "-", "now_to_isu_stock_totqy": "-", "now_to_dcrs_stock_totqy": "-", "redc": "-", "profit_incnr": "-", "rdmstk_repy": "-", "etc": "-", "istc_totqy": "-", "tesstk_co": "-", "distb_stock_co": "-", "stlm_dt": "2023-12-31"}</t>
        </is>
      </c>
    </row>
    <row r="20" ht="24" customHeight="1">
      <c r="A20" s="24" t="inlineStr">
        <is>
          <t>OpenDART_stockTotqySttus</t>
        </is>
      </c>
      <c r="B20" s="24" t="inlineStr">
        <is>
          <t>01365825</t>
        </is>
      </c>
      <c r="C20" s="24" t="inlineStr">
        <is>
          <t>피에스케이</t>
        </is>
      </c>
      <c r="D20" s="24" t="inlineStr">
        <is>
          <t>psk</t>
        </is>
      </c>
      <c r="E20" s="24" t="inlineStr">
        <is>
          <t>319660</t>
        </is>
      </c>
      <c r="F20" s="24" t="inlineStr">
        <is>
          <t>2024</t>
        </is>
      </c>
      <c r="G20" s="24" t="inlineStr">
        <is>
          <t>보통주</t>
        </is>
      </c>
      <c r="H20" s="24" t="inlineStr">
        <is>
          <t>28966714.0</t>
        </is>
      </c>
      <c r="I20" s="24" t="inlineStr">
        <is>
          <t>{"rcept_no": "20250321001930", "corp_cls": "K", "corp_code": "01365825", "corp_name": "피에스케이", "se": "보통주", "isu_stock_totqy": "60,000,000", "now_to_isu_stock_totqy": "29,248,377", "now_to_dcrs_stock_totqy": "281,663", "redc": "-", "profit_incnr": "281,663", "rdmstk_repy": "-", "etc": "-", "istc_totqy": "28,966,714", "tesstk_co": "0", "distb_stock_co": "28,966,714", "stlm_dt": "2024-12-31"}</t>
        </is>
      </c>
    </row>
    <row r="21" ht="24" customHeight="1">
      <c r="A21" s="29" t="inlineStr">
        <is>
          <t>OpenDART_stockTotqySttus</t>
        </is>
      </c>
      <c r="B21" s="29" t="inlineStr">
        <is>
          <t>01365825</t>
        </is>
      </c>
      <c r="C21" s="29" t="inlineStr">
        <is>
          <t>피에스케이</t>
        </is>
      </c>
      <c r="D21" s="29" t="inlineStr">
        <is>
          <t>psk</t>
        </is>
      </c>
      <c r="E21" s="29" t="inlineStr">
        <is>
          <t>319660</t>
        </is>
      </c>
      <c r="F21" s="29" t="inlineStr">
        <is>
          <t>2024</t>
        </is>
      </c>
      <c r="G21" s="29" t="inlineStr">
        <is>
          <t>우선주</t>
        </is>
      </c>
      <c r="H21" s="29" t="inlineStr">
        <is>
          <t>해당 없음</t>
        </is>
      </c>
      <c r="I21" s="29" t="inlineStr">
        <is>
          <t>{"rcept_no": "20250321001930", "corp_cls": "K", "corp_code": "01365825", "corp_name": "피에스케이", "se": "우선주", "isu_stock_totqy": "-", "now_to_isu_stock_totqy": "-", "now_to_dcrs_stock_totqy": "-", "redc": "-", "profit_incnr": "-", "rdmstk_repy": "-", "etc": "-", "istc_totqy": "-", "tesstk_co": "-", "distb_stock_co": "-", "stlm_dt": "2024-12-31"}</t>
        </is>
      </c>
    </row>
    <row r="22" ht="24" customHeight="1">
      <c r="A22" s="24" t="inlineStr">
        <is>
          <t>OpenDART_stockTotqySttus</t>
        </is>
      </c>
      <c r="B22" s="24" t="inlineStr">
        <is>
          <t>01365825</t>
        </is>
      </c>
      <c r="C22" s="24" t="inlineStr">
        <is>
          <t>피에스케이</t>
        </is>
      </c>
      <c r="D22" s="24" t="inlineStr">
        <is>
          <t>psk</t>
        </is>
      </c>
      <c r="E22" s="24" t="inlineStr">
        <is>
          <t>319660</t>
        </is>
      </c>
      <c r="F22" s="24" t="inlineStr">
        <is>
          <t>2024</t>
        </is>
      </c>
      <c r="G22" s="24" t="inlineStr">
        <is>
          <t>합계</t>
        </is>
      </c>
      <c r="H22" s="24" t="inlineStr">
        <is>
          <t>28966714.0</t>
        </is>
      </c>
      <c r="I22" s="24" t="inlineStr">
        <is>
          <t>{"rcept_no": "20250321001930", "corp_cls": "K", "corp_code": "01365825", "corp_name": "피에스케이", "se": "합계", "isu_stock_totqy": "60,000,000", "now_to_isu_stock_totqy": "29,248,377", "now_to_dcrs_stock_totqy": "281,663", "redc": "-", "profit_incnr": "281,663", "rdmstk_repy": "-", "etc": "-", "istc_totqy": "28,966,714", "tesstk_co": "0", "distb_stock_co": "28,966,714", "stlm_dt": "2024-12-31"}</t>
        </is>
      </c>
    </row>
    <row r="23" ht="24" customHeight="1">
      <c r="A23" s="29" t="inlineStr">
        <is>
          <t>OpenDART_stockTotqySttus</t>
        </is>
      </c>
      <c r="B23" s="29" t="inlineStr">
        <is>
          <t>01365825</t>
        </is>
      </c>
      <c r="C23" s="29" t="inlineStr">
        <is>
          <t>피에스케이</t>
        </is>
      </c>
      <c r="D23" s="29" t="inlineStr">
        <is>
          <t>psk</t>
        </is>
      </c>
      <c r="E23" s="29" t="inlineStr">
        <is>
          <t>319660</t>
        </is>
      </c>
      <c r="F23" s="29" t="inlineStr">
        <is>
          <t>2024</t>
        </is>
      </c>
      <c r="G23" s="29" t="inlineStr">
        <is>
          <t>비고</t>
        </is>
      </c>
      <c r="H23" s="29" t="inlineStr">
        <is>
          <t>해당 없음</t>
        </is>
      </c>
      <c r="I23" s="29" t="inlineStr">
        <is>
          <t>{"rcept_no": "20250321001930", "corp_cls": "K", "corp_code": "01365825", "corp_name": "피에스케이", "se": "비고", "isu_stock_totqy": "-", "now_to_isu_stock_totqy": "-", "now_to_dcrs_stock_totqy": "-", "redc": "-", "profit_incnr": "-", "rdmstk_repy": "-", "etc": "-", "istc_totqy": "-", "tesstk_co": "-", "distb_stock_co": "-", "stlm_dt": "2024-12-31"}</t>
        </is>
      </c>
    </row>
    <row r="24" ht="24" customHeight="1">
      <c r="A24" s="24" t="inlineStr">
        <is>
          <t>OpenDART_stockTotqySttus</t>
        </is>
      </c>
      <c r="B24" s="24" t="inlineStr">
        <is>
          <t>01365825</t>
        </is>
      </c>
      <c r="C24" s="24" t="inlineStr">
        <is>
          <t>피에스케이</t>
        </is>
      </c>
      <c r="D24" s="24" t="inlineStr">
        <is>
          <t>psk</t>
        </is>
      </c>
      <c r="E24" s="24" t="inlineStr">
        <is>
          <t>319660</t>
        </is>
      </c>
      <c r="F24" s="24" t="inlineStr">
        <is>
          <t>2025</t>
        </is>
      </c>
      <c r="G24" s="24" t="inlineStr">
        <is>
          <t>보통주</t>
        </is>
      </c>
      <c r="H24" s="24" t="inlineStr">
        <is>
          <t>28966714.0</t>
        </is>
      </c>
      <c r="I24" s="24" t="inlineStr">
        <is>
          <t>{"rcept_no": "20260323000017", "corp_cls": "K", "corp_code": "01365825", "corp_name": "피에스케이", "se": "보통주", "isu_stock_totqy": "60,000,000", "now_to_isu_stock_totqy": "29,248,377", "now_to_dcrs_stock_totqy": "281,663", "redc": "-", "profit_incnr": "281,663", "rdmstk_repy": "-", "etc": "-", "istc_totqy": "28,966,714", "tesstk_co": "0", "distb_stock_co": "28,966,714", "stlm_dt": "2025-12-31"}</t>
        </is>
      </c>
    </row>
    <row r="25" ht="24" customHeight="1">
      <c r="A25" s="29" t="inlineStr">
        <is>
          <t>OpenDART_stockTotqySttus</t>
        </is>
      </c>
      <c r="B25" s="29" t="inlineStr">
        <is>
          <t>01365825</t>
        </is>
      </c>
      <c r="C25" s="29" t="inlineStr">
        <is>
          <t>피에스케이</t>
        </is>
      </c>
      <c r="D25" s="29" t="inlineStr">
        <is>
          <t>psk</t>
        </is>
      </c>
      <c r="E25" s="29" t="inlineStr">
        <is>
          <t>319660</t>
        </is>
      </c>
      <c r="F25" s="29" t="inlineStr">
        <is>
          <t>2025</t>
        </is>
      </c>
      <c r="G25" s="29" t="inlineStr">
        <is>
          <t>우선주</t>
        </is>
      </c>
      <c r="H25" s="29" t="inlineStr">
        <is>
          <t>해당 없음</t>
        </is>
      </c>
      <c r="I25" s="29" t="inlineStr">
        <is>
          <t>{"rcept_no": "20260323000017", "corp_cls": "K", "corp_code": "01365825", "corp_name": "피에스케이", "se": "우선주", "isu_stock_totqy": "-", "now_to_isu_stock_totqy": "-", "now_to_dcrs_stock_totqy": "-", "redc": "-", "profit_incnr": "-", "rdmstk_repy": "-", "etc": "-", "istc_totqy": "-", "tesstk_co": "-", "distb_stock_co": "-", "stlm_dt": "2025-12-31"}</t>
        </is>
      </c>
    </row>
    <row r="26" ht="24" customHeight="1">
      <c r="A26" s="24" t="inlineStr">
        <is>
          <t>OpenDART_stockTotqySttus</t>
        </is>
      </c>
      <c r="B26" s="24" t="inlineStr">
        <is>
          <t>01365825</t>
        </is>
      </c>
      <c r="C26" s="24" t="inlineStr">
        <is>
          <t>피에스케이</t>
        </is>
      </c>
      <c r="D26" s="24" t="inlineStr">
        <is>
          <t>psk</t>
        </is>
      </c>
      <c r="E26" s="24" t="inlineStr">
        <is>
          <t>319660</t>
        </is>
      </c>
      <c r="F26" s="24" t="inlineStr">
        <is>
          <t>2025</t>
        </is>
      </c>
      <c r="G26" s="24" t="inlineStr">
        <is>
          <t>합계</t>
        </is>
      </c>
      <c r="H26" s="24" t="inlineStr">
        <is>
          <t>28966714.0</t>
        </is>
      </c>
      <c r="I26" s="24" t="inlineStr">
        <is>
          <t>{"rcept_no": "20260323000017", "corp_cls": "K", "corp_code": "01365825", "corp_name": "피에스케이", "se": "합계", "isu_stock_totqy": "60,000,000", "now_to_isu_stock_totqy": "29,248,377", "now_to_dcrs_stock_totqy": "281,663", "redc": "-", "profit_incnr": "281,663", "rdmstk_repy": "-", "etc": "-", "istc_totqy": "28,966,714", "tesstk_co": "0", "distb_stock_co": "28,966,714", "stlm_dt": "2025-12-31"}</t>
        </is>
      </c>
    </row>
    <row r="27" ht="24" customHeight="1">
      <c r="A27" s="29" t="inlineStr">
        <is>
          <t>OpenDART_stockTotqySttus</t>
        </is>
      </c>
      <c r="B27" s="29" t="inlineStr">
        <is>
          <t>01365825</t>
        </is>
      </c>
      <c r="C27" s="29" t="inlineStr">
        <is>
          <t>피에스케이</t>
        </is>
      </c>
      <c r="D27" s="29" t="inlineStr">
        <is>
          <t>psk</t>
        </is>
      </c>
      <c r="E27" s="29" t="inlineStr">
        <is>
          <t>319660</t>
        </is>
      </c>
      <c r="F27" s="29" t="inlineStr">
        <is>
          <t>2025</t>
        </is>
      </c>
      <c r="G27" s="29" t="inlineStr">
        <is>
          <t>비고</t>
        </is>
      </c>
      <c r="H27" s="29" t="inlineStr">
        <is>
          <t>해당 없음</t>
        </is>
      </c>
      <c r="I27" s="29" t="inlineStr">
        <is>
          <t>{"rcept_no": "20260323000017", "corp_cls": "K", "corp_code": "01365825", "corp_name": "피에스케이", "se": "비고", "isu_stock_totqy": "-", "now_to_isu_stock_totqy": "-", "now_to_dcrs_stock_totqy": "-", "redc": "-", "profit_incnr": "-", "rdmstk_repy": "-", "etc": "-", "istc_totqy": "-", "tesstk_co": "-", "distb_stock_co": "-", "stlm_dt": "2025-12-31"}</t>
        </is>
      </c>
    </row>
  </sheetData>
  <autoFilter ref="A7:I27"/>
  <mergeCells count="2">
    <mergeCell ref="A6:F6"/>
    <mergeCell ref="A1:F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77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22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DART 원천 계정</t>
        </is>
      </c>
    </row>
    <row r="2" ht="24" customHeight="1">
      <c r="A2" s="25" t="inlineStr">
        <is>
          <t>출처</t>
        </is>
      </c>
      <c r="B2" s="25" t="inlineStr">
        <is>
          <t>DART 고유번호</t>
        </is>
      </c>
      <c r="C2" s="25" t="inlineStr">
        <is>
          <t>기업명</t>
        </is>
      </c>
      <c r="D2" s="25" t="inlineStr">
        <is>
          <t>기업코드</t>
        </is>
      </c>
      <c r="E2" s="25" t="inlineStr">
        <is>
          <t>종목코드</t>
        </is>
      </c>
      <c r="F2" s="25" t="inlineStr">
        <is>
          <t>연도</t>
        </is>
      </c>
      <c r="G2" s="25" t="inlineStr">
        <is>
          <t>재무제표 구분</t>
        </is>
      </c>
      <c r="H2" s="25" t="inlineStr">
        <is>
          <t>재무제표 코드</t>
        </is>
      </c>
      <c r="I2" s="25" t="inlineStr">
        <is>
          <t>재무제표명</t>
        </is>
      </c>
      <c r="J2" s="25" t="inlineStr">
        <is>
          <t>계정ID</t>
        </is>
      </c>
      <c r="K2" s="25" t="inlineStr">
        <is>
          <t>계정명</t>
        </is>
      </c>
      <c r="L2" s="25" t="inlineStr">
        <is>
          <t>계정상세</t>
        </is>
      </c>
      <c r="M2" s="25" t="inlineStr">
        <is>
          <t>당기명</t>
        </is>
      </c>
      <c r="N2" s="25" t="inlineStr">
        <is>
          <t>금액</t>
        </is>
      </c>
      <c r="O2" s="25" t="inlineStr">
        <is>
          <t>전기금액</t>
        </is>
      </c>
      <c r="P2" s="25" t="inlineStr">
        <is>
          <t>통화</t>
        </is>
      </c>
      <c r="Q2" s="25" t="inlineStr">
        <is>
          <t>정렬순서</t>
        </is>
      </c>
    </row>
    <row r="3" ht="24" customHeight="1">
      <c r="A3" s="24" t="inlineStr">
        <is>
          <t>OpenDART_fnlttSinglAcntAll</t>
        </is>
      </c>
      <c r="B3" s="24" t="inlineStr">
        <is>
          <t>01365825</t>
        </is>
      </c>
      <c r="C3" s="24" t="inlineStr">
        <is>
          <t>피에스케이</t>
        </is>
      </c>
      <c r="D3" s="24" t="inlineStr">
        <is>
          <t>psk</t>
        </is>
      </c>
      <c r="E3" s="24" t="inlineStr">
        <is>
          <t>319660</t>
        </is>
      </c>
      <c r="F3" s="24" t="inlineStr">
        <is>
          <t>2021</t>
        </is>
      </c>
      <c r="G3" s="24" t="inlineStr">
        <is>
          <t>CFS</t>
        </is>
      </c>
      <c r="H3" s="24" t="inlineStr">
        <is>
          <t>BS</t>
        </is>
      </c>
      <c r="I3" s="24" t="inlineStr">
        <is>
          <t>재무상태표</t>
        </is>
      </c>
      <c r="J3" s="24" t="inlineStr">
        <is>
          <t>ifrs-full_CurrentAssets</t>
        </is>
      </c>
      <c r="K3" s="24" t="inlineStr">
        <is>
          <t>유동자산</t>
        </is>
      </c>
      <c r="L3" s="24" t="inlineStr">
        <is>
          <t>-</t>
        </is>
      </c>
      <c r="M3" s="24" t="inlineStr">
        <is>
          <t>제 3 기</t>
        </is>
      </c>
      <c r="N3" s="24" t="inlineStr">
        <is>
          <t>321166418090.0</t>
        </is>
      </c>
      <c r="O3" s="24" t="inlineStr">
        <is>
          <t>209516676715.0</t>
        </is>
      </c>
      <c r="P3" s="24" t="inlineStr">
        <is>
          <t>KRW</t>
        </is>
      </c>
      <c r="Q3" s="24" t="inlineStr">
        <is>
          <t>1</t>
        </is>
      </c>
    </row>
    <row r="4" ht="24" customHeight="1">
      <c r="A4" s="29" t="inlineStr">
        <is>
          <t>OpenDART_fnlttSinglAcntAll</t>
        </is>
      </c>
      <c r="B4" s="29" t="inlineStr">
        <is>
          <t>01365825</t>
        </is>
      </c>
      <c r="C4" s="29" t="inlineStr">
        <is>
          <t>피에스케이</t>
        </is>
      </c>
      <c r="D4" s="29" t="inlineStr">
        <is>
          <t>psk</t>
        </is>
      </c>
      <c r="E4" s="29" t="inlineStr">
        <is>
          <t>319660</t>
        </is>
      </c>
      <c r="F4" s="29" t="inlineStr">
        <is>
          <t>2021</t>
        </is>
      </c>
      <c r="G4" s="29" t="inlineStr">
        <is>
          <t>CFS</t>
        </is>
      </c>
      <c r="H4" s="29" t="inlineStr">
        <is>
          <t>BS</t>
        </is>
      </c>
      <c r="I4" s="29" t="inlineStr">
        <is>
          <t>재무상태표</t>
        </is>
      </c>
      <c r="J4" s="29" t="inlineStr">
        <is>
          <t>ifrs-full_CashAndCashEquivalents</t>
        </is>
      </c>
      <c r="K4" s="29" t="inlineStr">
        <is>
          <t>현금및현금성자산</t>
        </is>
      </c>
      <c r="L4" s="29" t="inlineStr">
        <is>
          <t>-</t>
        </is>
      </c>
      <c r="M4" s="29" t="inlineStr">
        <is>
          <t>제 3 기</t>
        </is>
      </c>
      <c r="N4" s="29" t="inlineStr">
        <is>
          <t>66073865022.0</t>
        </is>
      </c>
      <c r="O4" s="29" t="inlineStr">
        <is>
          <t>37087050196.0</t>
        </is>
      </c>
      <c r="P4" s="29" t="inlineStr">
        <is>
          <t>KRW</t>
        </is>
      </c>
      <c r="Q4" s="29" t="inlineStr">
        <is>
          <t>2</t>
        </is>
      </c>
    </row>
    <row r="5" ht="24" customHeight="1">
      <c r="A5" s="24" t="inlineStr">
        <is>
          <t>OpenDART_fnlttSinglAcntAll</t>
        </is>
      </c>
      <c r="B5" s="24" t="inlineStr">
        <is>
          <t>01365825</t>
        </is>
      </c>
      <c r="C5" s="24" t="inlineStr">
        <is>
          <t>피에스케이</t>
        </is>
      </c>
      <c r="D5" s="24" t="inlineStr">
        <is>
          <t>psk</t>
        </is>
      </c>
      <c r="E5" s="24" t="inlineStr">
        <is>
          <t>319660</t>
        </is>
      </c>
      <c r="F5" s="24" t="inlineStr">
        <is>
          <t>2021</t>
        </is>
      </c>
      <c r="G5" s="24" t="inlineStr">
        <is>
          <t>CFS</t>
        </is>
      </c>
      <c r="H5" s="24" t="inlineStr">
        <is>
          <t>BS</t>
        </is>
      </c>
      <c r="I5" s="24" t="inlineStr">
        <is>
          <t>재무상태표</t>
        </is>
      </c>
      <c r="J5" s="24" t="inlineStr">
        <is>
          <t>ifrs-full_TradeAndOtherCurrentReceivables</t>
        </is>
      </c>
      <c r="K5" s="24" t="inlineStr">
        <is>
          <t>매출채권 및 기타유동채권</t>
        </is>
      </c>
      <c r="L5" s="24" t="inlineStr">
        <is>
          <t>-</t>
        </is>
      </c>
      <c r="M5" s="24" t="inlineStr">
        <is>
          <t>제 3 기</t>
        </is>
      </c>
      <c r="N5" s="24" t="inlineStr">
        <is>
          <t>56070474157.0</t>
        </is>
      </c>
      <c r="O5" s="24" t="inlineStr">
        <is>
          <t>39882004632.0</t>
        </is>
      </c>
      <c r="P5" s="24" t="inlineStr">
        <is>
          <t>KRW</t>
        </is>
      </c>
      <c r="Q5" s="24" t="inlineStr">
        <is>
          <t>3</t>
        </is>
      </c>
    </row>
    <row r="6" ht="24" customHeight="1">
      <c r="A6" s="29" t="inlineStr">
        <is>
          <t>OpenDART_fnlttSinglAcntAll</t>
        </is>
      </c>
      <c r="B6" s="29" t="inlineStr">
        <is>
          <t>01365825</t>
        </is>
      </c>
      <c r="C6" s="29" t="inlineStr">
        <is>
          <t>피에스케이</t>
        </is>
      </c>
      <c r="D6" s="29" t="inlineStr">
        <is>
          <t>psk</t>
        </is>
      </c>
      <c r="E6" s="29" t="inlineStr">
        <is>
          <t>319660</t>
        </is>
      </c>
      <c r="F6" s="29" t="inlineStr">
        <is>
          <t>2021</t>
        </is>
      </c>
      <c r="G6" s="29" t="inlineStr">
        <is>
          <t>CFS</t>
        </is>
      </c>
      <c r="H6" s="29" t="inlineStr">
        <is>
          <t>BS</t>
        </is>
      </c>
      <c r="I6" s="29" t="inlineStr">
        <is>
          <t>재무상태표</t>
        </is>
      </c>
      <c r="J6" s="29" t="inlineStr">
        <is>
          <t>ifrs-full_OtherCurrentFinancialAssets</t>
        </is>
      </c>
      <c r="K6" s="29" t="inlineStr">
        <is>
          <t>유동금융자산</t>
        </is>
      </c>
      <c r="L6" s="29" t="inlineStr">
        <is>
          <t>-</t>
        </is>
      </c>
      <c r="M6" s="29" t="inlineStr">
        <is>
          <t>제 3 기</t>
        </is>
      </c>
      <c r="N6" s="29" t="inlineStr">
        <is>
          <t>115432528238.0</t>
        </is>
      </c>
      <c r="O6" s="29" t="inlineStr">
        <is>
          <t>59351029176.0</t>
        </is>
      </c>
      <c r="P6" s="29" t="inlineStr">
        <is>
          <t>KRW</t>
        </is>
      </c>
      <c r="Q6" s="29" t="inlineStr">
        <is>
          <t>4</t>
        </is>
      </c>
    </row>
    <row r="7" ht="24" customHeight="1">
      <c r="A7" s="24" t="inlineStr">
        <is>
          <t>OpenDART_fnlttSinglAcntAll</t>
        </is>
      </c>
      <c r="B7" s="24" t="inlineStr">
        <is>
          <t>01365825</t>
        </is>
      </c>
      <c r="C7" s="24" t="inlineStr">
        <is>
          <t>피에스케이</t>
        </is>
      </c>
      <c r="D7" s="24" t="inlineStr">
        <is>
          <t>psk</t>
        </is>
      </c>
      <c r="E7" s="24" t="inlineStr">
        <is>
          <t>319660</t>
        </is>
      </c>
      <c r="F7" s="24" t="inlineStr">
        <is>
          <t>2021</t>
        </is>
      </c>
      <c r="G7" s="24" t="inlineStr">
        <is>
          <t>CFS</t>
        </is>
      </c>
      <c r="H7" s="24" t="inlineStr">
        <is>
          <t>BS</t>
        </is>
      </c>
      <c r="I7" s="24" t="inlineStr">
        <is>
          <t>재무상태표</t>
        </is>
      </c>
      <c r="J7" s="24" t="inlineStr">
        <is>
          <t>dart_OtherCurrentAssets</t>
        </is>
      </c>
      <c r="K7" s="24" t="inlineStr">
        <is>
          <t>기타유동자산</t>
        </is>
      </c>
      <c r="L7" s="24" t="inlineStr">
        <is>
          <t>-</t>
        </is>
      </c>
      <c r="M7" s="24" t="inlineStr">
        <is>
          <t>제 3 기</t>
        </is>
      </c>
      <c r="N7" s="24" t="inlineStr">
        <is>
          <t>5003825050.0</t>
        </is>
      </c>
      <c r="O7" s="24" t="inlineStr">
        <is>
          <t>5005015307.0</t>
        </is>
      </c>
      <c r="P7" s="24" t="inlineStr">
        <is>
          <t>KRW</t>
        </is>
      </c>
      <c r="Q7" s="24" t="inlineStr">
        <is>
          <t>5</t>
        </is>
      </c>
    </row>
    <row r="8" ht="24" customHeight="1">
      <c r="A8" s="29" t="inlineStr">
        <is>
          <t>OpenDART_fnlttSinglAcntAll</t>
        </is>
      </c>
      <c r="B8" s="29" t="inlineStr">
        <is>
          <t>01365825</t>
        </is>
      </c>
      <c r="C8" s="29" t="inlineStr">
        <is>
          <t>피에스케이</t>
        </is>
      </c>
      <c r="D8" s="29" t="inlineStr">
        <is>
          <t>psk</t>
        </is>
      </c>
      <c r="E8" s="29" t="inlineStr">
        <is>
          <t>319660</t>
        </is>
      </c>
      <c r="F8" s="29" t="inlineStr">
        <is>
          <t>2021</t>
        </is>
      </c>
      <c r="G8" s="29" t="inlineStr">
        <is>
          <t>CFS</t>
        </is>
      </c>
      <c r="H8" s="29" t="inlineStr">
        <is>
          <t>BS</t>
        </is>
      </c>
      <c r="I8" s="29" t="inlineStr">
        <is>
          <t>재무상태표</t>
        </is>
      </c>
      <c r="J8" s="29" t="inlineStr">
        <is>
          <t>ifrs-full_CurrentTaxAssets</t>
        </is>
      </c>
      <c r="K8" s="29" t="inlineStr">
        <is>
          <t>당기법인세자산</t>
        </is>
      </c>
      <c r="L8" s="29" t="inlineStr">
        <is>
          <t>-</t>
        </is>
      </c>
      <c r="M8" s="29" t="inlineStr">
        <is>
          <t>제 3 기</t>
        </is>
      </c>
      <c r="N8" s="29" t="inlineStr">
        <is>
          <t>54954252.0</t>
        </is>
      </c>
      <c r="O8" s="29" t="inlineStr">
        <is>
          <t>334170131.0</t>
        </is>
      </c>
      <c r="P8" s="29" t="inlineStr">
        <is>
          <t>KRW</t>
        </is>
      </c>
      <c r="Q8" s="29" t="inlineStr">
        <is>
          <t>6</t>
        </is>
      </c>
    </row>
    <row r="9" ht="24" customHeight="1">
      <c r="A9" s="24" t="inlineStr">
        <is>
          <t>OpenDART_fnlttSinglAcntAll</t>
        </is>
      </c>
      <c r="B9" s="24" t="inlineStr">
        <is>
          <t>01365825</t>
        </is>
      </c>
      <c r="C9" s="24" t="inlineStr">
        <is>
          <t>피에스케이</t>
        </is>
      </c>
      <c r="D9" s="24" t="inlineStr">
        <is>
          <t>psk</t>
        </is>
      </c>
      <c r="E9" s="24" t="inlineStr">
        <is>
          <t>319660</t>
        </is>
      </c>
      <c r="F9" s="24" t="inlineStr">
        <is>
          <t>2021</t>
        </is>
      </c>
      <c r="G9" s="24" t="inlineStr">
        <is>
          <t>CFS</t>
        </is>
      </c>
      <c r="H9" s="24" t="inlineStr">
        <is>
          <t>BS</t>
        </is>
      </c>
      <c r="I9" s="24" t="inlineStr">
        <is>
          <t>재무상태표</t>
        </is>
      </c>
      <c r="J9" s="24" t="inlineStr">
        <is>
          <t>ifrs-full_Inventories</t>
        </is>
      </c>
      <c r="K9" s="24" t="inlineStr">
        <is>
          <t>재고자산</t>
        </is>
      </c>
      <c r="L9" s="24" t="inlineStr">
        <is>
          <t>-</t>
        </is>
      </c>
      <c r="M9" s="24" t="inlineStr">
        <is>
          <t>제 3 기</t>
        </is>
      </c>
      <c r="N9" s="24" t="inlineStr">
        <is>
          <t>78530771371.0</t>
        </is>
      </c>
      <c r="O9" s="24" t="inlineStr">
        <is>
          <t>67857407273.0</t>
        </is>
      </c>
      <c r="P9" s="24" t="inlineStr">
        <is>
          <t>KRW</t>
        </is>
      </c>
      <c r="Q9" s="24" t="inlineStr">
        <is>
          <t>7</t>
        </is>
      </c>
    </row>
    <row r="10" ht="24" customHeight="1">
      <c r="A10" s="29" t="inlineStr">
        <is>
          <t>OpenDART_fnlttSinglAcntAll</t>
        </is>
      </c>
      <c r="B10" s="29" t="inlineStr">
        <is>
          <t>01365825</t>
        </is>
      </c>
      <c r="C10" s="29" t="inlineStr">
        <is>
          <t>피에스케이</t>
        </is>
      </c>
      <c r="D10" s="29" t="inlineStr">
        <is>
          <t>psk</t>
        </is>
      </c>
      <c r="E10" s="29" t="inlineStr">
        <is>
          <t>319660</t>
        </is>
      </c>
      <c r="F10" s="29" t="inlineStr">
        <is>
          <t>2021</t>
        </is>
      </c>
      <c r="G10" s="29" t="inlineStr">
        <is>
          <t>CFS</t>
        </is>
      </c>
      <c r="H10" s="29" t="inlineStr">
        <is>
          <t>BS</t>
        </is>
      </c>
      <c r="I10" s="29" t="inlineStr">
        <is>
          <t>재무상태표</t>
        </is>
      </c>
      <c r="J10" s="29" t="inlineStr">
        <is>
          <t>ifrs-full_NoncurrentAssets</t>
        </is>
      </c>
      <c r="K10" s="29" t="inlineStr">
        <is>
          <t>비유동자산</t>
        </is>
      </c>
      <c r="L10" s="29" t="inlineStr">
        <is>
          <t>-</t>
        </is>
      </c>
      <c r="M10" s="29" t="inlineStr">
        <is>
          <t>제 3 기</t>
        </is>
      </c>
      <c r="N10" s="29" t="inlineStr">
        <is>
          <t>92095799805.0</t>
        </is>
      </c>
      <c r="O10" s="29" t="inlineStr">
        <is>
          <t>59072130147.0</t>
        </is>
      </c>
      <c r="P10" s="29" t="inlineStr">
        <is>
          <t>KRW</t>
        </is>
      </c>
      <c r="Q10" s="29" t="inlineStr">
        <is>
          <t>8</t>
        </is>
      </c>
    </row>
    <row r="11" ht="24" customHeight="1">
      <c r="A11" s="24" t="inlineStr">
        <is>
          <t>OpenDART_fnlttSinglAcntAll</t>
        </is>
      </c>
      <c r="B11" s="24" t="inlineStr">
        <is>
          <t>01365825</t>
        </is>
      </c>
      <c r="C11" s="24" t="inlineStr">
        <is>
          <t>피에스케이</t>
        </is>
      </c>
      <c r="D11" s="24" t="inlineStr">
        <is>
          <t>psk</t>
        </is>
      </c>
      <c r="E11" s="24" t="inlineStr">
        <is>
          <t>319660</t>
        </is>
      </c>
      <c r="F11" s="24" t="inlineStr">
        <is>
          <t>2021</t>
        </is>
      </c>
      <c r="G11" s="24" t="inlineStr">
        <is>
          <t>CFS</t>
        </is>
      </c>
      <c r="H11" s="24" t="inlineStr">
        <is>
          <t>BS</t>
        </is>
      </c>
      <c r="I11" s="24" t="inlineStr">
        <is>
          <t>재무상태표</t>
        </is>
      </c>
      <c r="J11" s="24" t="inlineStr">
        <is>
          <t>ifrs-full_PropertyPlantAndEquipment</t>
        </is>
      </c>
      <c r="K11" s="24" t="inlineStr">
        <is>
          <t>유형자산</t>
        </is>
      </c>
      <c r="L11" s="24" t="inlineStr">
        <is>
          <t>-</t>
        </is>
      </c>
      <c r="M11" s="24" t="inlineStr">
        <is>
          <t>제 3 기</t>
        </is>
      </c>
      <c r="N11" s="24" t="inlineStr">
        <is>
          <t>43573676224.0</t>
        </is>
      </c>
      <c r="O11" s="24" t="inlineStr">
        <is>
          <t>39045723236.0</t>
        </is>
      </c>
      <c r="P11" s="24" t="inlineStr">
        <is>
          <t>KRW</t>
        </is>
      </c>
      <c r="Q11" s="24" t="inlineStr">
        <is>
          <t>9</t>
        </is>
      </c>
    </row>
    <row r="12" ht="24" customHeight="1">
      <c r="A12" s="29" t="inlineStr">
        <is>
          <t>OpenDART_fnlttSinglAcntAll</t>
        </is>
      </c>
      <c r="B12" s="29" t="inlineStr">
        <is>
          <t>01365825</t>
        </is>
      </c>
      <c r="C12" s="29" t="inlineStr">
        <is>
          <t>피에스케이</t>
        </is>
      </c>
      <c r="D12" s="29" t="inlineStr">
        <is>
          <t>psk</t>
        </is>
      </c>
      <c r="E12" s="29" t="inlineStr">
        <is>
          <t>319660</t>
        </is>
      </c>
      <c r="F12" s="29" t="inlineStr">
        <is>
          <t>2021</t>
        </is>
      </c>
      <c r="G12" s="29" t="inlineStr">
        <is>
          <t>CFS</t>
        </is>
      </c>
      <c r="H12" s="29" t="inlineStr">
        <is>
          <t>BS</t>
        </is>
      </c>
      <c r="I12" s="29" t="inlineStr">
        <is>
          <t>재무상태표</t>
        </is>
      </c>
      <c r="J12" s="29" t="inlineStr">
        <is>
          <t>ifrs-full_IntangibleAssetsOtherThanGoodwill</t>
        </is>
      </c>
      <c r="K12" s="29" t="inlineStr">
        <is>
          <t>무형자산</t>
        </is>
      </c>
      <c r="L12" s="29" t="inlineStr">
        <is>
          <t>-</t>
        </is>
      </c>
      <c r="M12" s="29" t="inlineStr">
        <is>
          <t>제 3 기</t>
        </is>
      </c>
      <c r="N12" s="29" t="inlineStr">
        <is>
          <t>5956041632.0</t>
        </is>
      </c>
      <c r="O12" s="29" t="inlineStr">
        <is>
          <t>4427629625.0</t>
        </is>
      </c>
      <c r="P12" s="29" t="inlineStr">
        <is>
          <t>KRW</t>
        </is>
      </c>
      <c r="Q12" s="29" t="inlineStr">
        <is>
          <t>10</t>
        </is>
      </c>
    </row>
    <row r="13" ht="24" customHeight="1">
      <c r="A13" s="24" t="inlineStr">
        <is>
          <t>OpenDART_fnlttSinglAcntAll</t>
        </is>
      </c>
      <c r="B13" s="24" t="inlineStr">
        <is>
          <t>01365825</t>
        </is>
      </c>
      <c r="C13" s="24" t="inlineStr">
        <is>
          <t>피에스케이</t>
        </is>
      </c>
      <c r="D13" s="24" t="inlineStr">
        <is>
          <t>psk</t>
        </is>
      </c>
      <c r="E13" s="24" t="inlineStr">
        <is>
          <t>319660</t>
        </is>
      </c>
      <c r="F13" s="24" t="inlineStr">
        <is>
          <t>2021</t>
        </is>
      </c>
      <c r="G13" s="24" t="inlineStr">
        <is>
          <t>CFS</t>
        </is>
      </c>
      <c r="H13" s="24" t="inlineStr">
        <is>
          <t>BS</t>
        </is>
      </c>
      <c r="I13" s="24" t="inlineStr">
        <is>
          <t>재무상태표</t>
        </is>
      </c>
      <c r="J13" s="24" t="inlineStr">
        <is>
          <t>dart_LongTermTradeAndOtherNonCurrentReceivablesGross</t>
        </is>
      </c>
      <c r="K13" s="24" t="inlineStr">
        <is>
          <t>매출채권및기타채권</t>
        </is>
      </c>
      <c r="L13" s="24" t="inlineStr">
        <is>
          <t>-</t>
        </is>
      </c>
      <c r="M13" s="24" t="inlineStr">
        <is>
          <t>제 3 기</t>
        </is>
      </c>
      <c r="N13" s="24" t="inlineStr">
        <is>
          <t>4465478207.0</t>
        </is>
      </c>
      <c r="O13" s="24" t="inlineStr">
        <is>
          <t>4150229795.0</t>
        </is>
      </c>
      <c r="P13" s="24" t="inlineStr">
        <is>
          <t>KRW</t>
        </is>
      </c>
      <c r="Q13" s="24" t="inlineStr">
        <is>
          <t>11</t>
        </is>
      </c>
    </row>
    <row r="14" ht="24" customHeight="1">
      <c r="A14" s="29" t="inlineStr">
        <is>
          <t>OpenDART_fnlttSinglAcntAll</t>
        </is>
      </c>
      <c r="B14" s="29" t="inlineStr">
        <is>
          <t>01365825</t>
        </is>
      </c>
      <c r="C14" s="29" t="inlineStr">
        <is>
          <t>피에스케이</t>
        </is>
      </c>
      <c r="D14" s="29" t="inlineStr">
        <is>
          <t>psk</t>
        </is>
      </c>
      <c r="E14" s="29" t="inlineStr">
        <is>
          <t>319660</t>
        </is>
      </c>
      <c r="F14" s="29" t="inlineStr">
        <is>
          <t>2021</t>
        </is>
      </c>
      <c r="G14" s="29" t="inlineStr">
        <is>
          <t>CFS</t>
        </is>
      </c>
      <c r="H14" s="29" t="inlineStr">
        <is>
          <t>BS</t>
        </is>
      </c>
      <c r="I14" s="29" t="inlineStr">
        <is>
          <t>재무상태표</t>
        </is>
      </c>
      <c r="J14" s="29" t="inlineStr">
        <is>
          <t>ifrs-full_OtherNoncurrentFinancialAssets</t>
        </is>
      </c>
      <c r="K14" s="29" t="inlineStr">
        <is>
          <t>비유동금융자산</t>
        </is>
      </c>
      <c r="L14" s="29" t="inlineStr">
        <is>
          <t>-</t>
        </is>
      </c>
      <c r="M14" s="29" t="inlineStr">
        <is>
          <t>제 3 기</t>
        </is>
      </c>
      <c r="N14" s="29" t="inlineStr">
        <is>
          <t>33106480207.0</t>
        </is>
      </c>
      <c r="O14" s="29" t="inlineStr">
        <is>
          <t>9921068144.0</t>
        </is>
      </c>
      <c r="P14" s="29" t="inlineStr">
        <is>
          <t>KRW</t>
        </is>
      </c>
      <c r="Q14" s="29" t="inlineStr">
        <is>
          <t>12</t>
        </is>
      </c>
    </row>
    <row r="15" ht="24" customHeight="1">
      <c r="A15" s="24" t="inlineStr">
        <is>
          <t>OpenDART_fnlttSinglAcntAll</t>
        </is>
      </c>
      <c r="B15" s="24" t="inlineStr">
        <is>
          <t>01365825</t>
        </is>
      </c>
      <c r="C15" s="24" t="inlineStr">
        <is>
          <t>피에스케이</t>
        </is>
      </c>
      <c r="D15" s="24" t="inlineStr">
        <is>
          <t>psk</t>
        </is>
      </c>
      <c r="E15" s="24" t="inlineStr">
        <is>
          <t>319660</t>
        </is>
      </c>
      <c r="F15" s="24" t="inlineStr">
        <is>
          <t>2021</t>
        </is>
      </c>
      <c r="G15" s="24" t="inlineStr">
        <is>
          <t>CFS</t>
        </is>
      </c>
      <c r="H15" s="24" t="inlineStr">
        <is>
          <t>BS</t>
        </is>
      </c>
      <c r="I15" s="24" t="inlineStr">
        <is>
          <t>재무상태표</t>
        </is>
      </c>
      <c r="J15" s="24" t="inlineStr">
        <is>
          <t>-표준계정코드 미사용-</t>
        </is>
      </c>
      <c r="K15" s="24" t="inlineStr">
        <is>
          <t>순확정급여자산</t>
        </is>
      </c>
      <c r="L15" s="24" t="inlineStr">
        <is>
          <t>-</t>
        </is>
      </c>
      <c r="M15" s="24" t="inlineStr">
        <is>
          <t>제 3 기</t>
        </is>
      </c>
      <c r="N15" s="24" t="inlineStr">
        <is>
          <t>0.0</t>
        </is>
      </c>
      <c r="O15" s="24" t="inlineStr">
        <is>
          <t>264081792.0</t>
        </is>
      </c>
      <c r="P15" s="24" t="inlineStr">
        <is>
          <t>KRW</t>
        </is>
      </c>
      <c r="Q15" s="24" t="inlineStr">
        <is>
          <t>13</t>
        </is>
      </c>
    </row>
    <row r="16" ht="24" customHeight="1">
      <c r="A16" s="29" t="inlineStr">
        <is>
          <t>OpenDART_fnlttSinglAcntAll</t>
        </is>
      </c>
      <c r="B16" s="29" t="inlineStr">
        <is>
          <t>01365825</t>
        </is>
      </c>
      <c r="C16" s="29" t="inlineStr">
        <is>
          <t>피에스케이</t>
        </is>
      </c>
      <c r="D16" s="29" t="inlineStr">
        <is>
          <t>psk</t>
        </is>
      </c>
      <c r="E16" s="29" t="inlineStr">
        <is>
          <t>319660</t>
        </is>
      </c>
      <c r="F16" s="29" t="inlineStr">
        <is>
          <t>2021</t>
        </is>
      </c>
      <c r="G16" s="29" t="inlineStr">
        <is>
          <t>CFS</t>
        </is>
      </c>
      <c r="H16" s="29" t="inlineStr">
        <is>
          <t>BS</t>
        </is>
      </c>
      <c r="I16" s="29" t="inlineStr">
        <is>
          <t>재무상태표</t>
        </is>
      </c>
      <c r="J16" s="29" t="inlineStr">
        <is>
          <t>ifrs-full_DeferredTaxAssets</t>
        </is>
      </c>
      <c r="K16" s="29" t="inlineStr">
        <is>
          <t>이연법인세자산</t>
        </is>
      </c>
      <c r="L16" s="29" t="inlineStr">
        <is>
          <t>-</t>
        </is>
      </c>
      <c r="M16" s="29" t="inlineStr">
        <is>
          <t>제 3 기</t>
        </is>
      </c>
      <c r="N16" s="29" t="inlineStr">
        <is>
          <t>4864847842.0</t>
        </is>
      </c>
      <c r="O16" s="29" t="inlineStr">
        <is>
          <t>1208888296.0</t>
        </is>
      </c>
      <c r="P16" s="29" t="inlineStr">
        <is>
          <t>KRW</t>
        </is>
      </c>
      <c r="Q16" s="29" t="inlineStr">
        <is>
          <t>14</t>
        </is>
      </c>
    </row>
    <row r="17" ht="24" customHeight="1">
      <c r="A17" s="24" t="inlineStr">
        <is>
          <t>OpenDART_fnlttSinglAcntAll</t>
        </is>
      </c>
      <c r="B17" s="24" t="inlineStr">
        <is>
          <t>01365825</t>
        </is>
      </c>
      <c r="C17" s="24" t="inlineStr">
        <is>
          <t>피에스케이</t>
        </is>
      </c>
      <c r="D17" s="24" t="inlineStr">
        <is>
          <t>psk</t>
        </is>
      </c>
      <c r="E17" s="24" t="inlineStr">
        <is>
          <t>319660</t>
        </is>
      </c>
      <c r="F17" s="24" t="inlineStr">
        <is>
          <t>2021</t>
        </is>
      </c>
      <c r="G17" s="24" t="inlineStr">
        <is>
          <t>CFS</t>
        </is>
      </c>
      <c r="H17" s="24" t="inlineStr">
        <is>
          <t>BS</t>
        </is>
      </c>
      <c r="I17" s="24" t="inlineStr">
        <is>
          <t>재무상태표</t>
        </is>
      </c>
      <c r="J17" s="24" t="inlineStr">
        <is>
          <t>dart_OtherNonCurrentAssets</t>
        </is>
      </c>
      <c r="K17" s="24" t="inlineStr">
        <is>
          <t>기타비유동자산</t>
        </is>
      </c>
      <c r="L17" s="24" t="inlineStr">
        <is>
          <t>-</t>
        </is>
      </c>
      <c r="M17" s="24" t="inlineStr">
        <is>
          <t>제 3 기</t>
        </is>
      </c>
      <c r="N17" s="24" t="inlineStr">
        <is>
          <t>129275693.0</t>
        </is>
      </c>
      <c r="O17" s="24" t="inlineStr">
        <is>
          <t>54509259.0</t>
        </is>
      </c>
      <c r="P17" s="24" t="inlineStr">
        <is>
          <t>KRW</t>
        </is>
      </c>
      <c r="Q17" s="24" t="inlineStr">
        <is>
          <t>15</t>
        </is>
      </c>
    </row>
    <row r="18" ht="24" customHeight="1">
      <c r="A18" s="29" t="inlineStr">
        <is>
          <t>OpenDART_fnlttSinglAcntAll</t>
        </is>
      </c>
      <c r="B18" s="29" t="inlineStr">
        <is>
          <t>01365825</t>
        </is>
      </c>
      <c r="C18" s="29" t="inlineStr">
        <is>
          <t>피에스케이</t>
        </is>
      </c>
      <c r="D18" s="29" t="inlineStr">
        <is>
          <t>psk</t>
        </is>
      </c>
      <c r="E18" s="29" t="inlineStr">
        <is>
          <t>319660</t>
        </is>
      </c>
      <c r="F18" s="29" t="inlineStr">
        <is>
          <t>2021</t>
        </is>
      </c>
      <c r="G18" s="29" t="inlineStr">
        <is>
          <t>CFS</t>
        </is>
      </c>
      <c r="H18" s="29" t="inlineStr">
        <is>
          <t>BS</t>
        </is>
      </c>
      <c r="I18" s="29" t="inlineStr">
        <is>
          <t>재무상태표</t>
        </is>
      </c>
      <c r="J18" s="29" t="inlineStr">
        <is>
          <t>ifrs-full_Assets</t>
        </is>
      </c>
      <c r="K18" s="29" t="inlineStr">
        <is>
          <t>자산총계</t>
        </is>
      </c>
      <c r="L18" s="29" t="inlineStr">
        <is>
          <t>-</t>
        </is>
      </c>
      <c r="M18" s="29" t="inlineStr">
        <is>
          <t>제 3 기</t>
        </is>
      </c>
      <c r="N18" s="29" t="inlineStr">
        <is>
          <t>413262217895.0</t>
        </is>
      </c>
      <c r="O18" s="29" t="inlineStr">
        <is>
          <t>268588806862.0</t>
        </is>
      </c>
      <c r="P18" s="29" t="inlineStr">
        <is>
          <t>KRW</t>
        </is>
      </c>
      <c r="Q18" s="29" t="inlineStr">
        <is>
          <t>16</t>
        </is>
      </c>
    </row>
    <row r="19" ht="24" customHeight="1">
      <c r="A19" s="24" t="inlineStr">
        <is>
          <t>OpenDART_fnlttSinglAcntAll</t>
        </is>
      </c>
      <c r="B19" s="24" t="inlineStr">
        <is>
          <t>01365825</t>
        </is>
      </c>
      <c r="C19" s="24" t="inlineStr">
        <is>
          <t>피에스케이</t>
        </is>
      </c>
      <c r="D19" s="24" t="inlineStr">
        <is>
          <t>psk</t>
        </is>
      </c>
      <c r="E19" s="24" t="inlineStr">
        <is>
          <t>319660</t>
        </is>
      </c>
      <c r="F19" s="24" t="inlineStr">
        <is>
          <t>2021</t>
        </is>
      </c>
      <c r="G19" s="24" t="inlineStr">
        <is>
          <t>CFS</t>
        </is>
      </c>
      <c r="H19" s="24" t="inlineStr">
        <is>
          <t>BS</t>
        </is>
      </c>
      <c r="I19" s="24" t="inlineStr">
        <is>
          <t>재무상태표</t>
        </is>
      </c>
      <c r="J19" s="24" t="inlineStr">
        <is>
          <t>ifrs-full_CurrentLiabilities</t>
        </is>
      </c>
      <c r="K19" s="24" t="inlineStr">
        <is>
          <t>유동부채</t>
        </is>
      </c>
      <c r="L19" s="24" t="inlineStr">
        <is>
          <t>-</t>
        </is>
      </c>
      <c r="M19" s="24" t="inlineStr">
        <is>
          <t>제 3 기</t>
        </is>
      </c>
      <c r="N19" s="24" t="inlineStr">
        <is>
          <t>111131066850.0</t>
        </is>
      </c>
      <c r="O19" s="24" t="inlineStr">
        <is>
          <t>46759463840.0</t>
        </is>
      </c>
      <c r="P19" s="24" t="inlineStr">
        <is>
          <t>KRW</t>
        </is>
      </c>
      <c r="Q19" s="24" t="inlineStr">
        <is>
          <t>18</t>
        </is>
      </c>
    </row>
    <row r="20" ht="24" customHeight="1">
      <c r="A20" s="29" t="inlineStr">
        <is>
          <t>OpenDART_fnlttSinglAcntAll</t>
        </is>
      </c>
      <c r="B20" s="29" t="inlineStr">
        <is>
          <t>01365825</t>
        </is>
      </c>
      <c r="C20" s="29" t="inlineStr">
        <is>
          <t>피에스케이</t>
        </is>
      </c>
      <c r="D20" s="29" t="inlineStr">
        <is>
          <t>psk</t>
        </is>
      </c>
      <c r="E20" s="29" t="inlineStr">
        <is>
          <t>319660</t>
        </is>
      </c>
      <c r="F20" s="29" t="inlineStr">
        <is>
          <t>2021</t>
        </is>
      </c>
      <c r="G20" s="29" t="inlineStr">
        <is>
          <t>CFS</t>
        </is>
      </c>
      <c r="H20" s="29" t="inlineStr">
        <is>
          <t>BS</t>
        </is>
      </c>
      <c r="I20" s="29" t="inlineStr">
        <is>
          <t>재무상태표</t>
        </is>
      </c>
      <c r="J20" s="29" t="inlineStr">
        <is>
          <t>ifrs-full_TradeAndOtherCurrentPayables</t>
        </is>
      </c>
      <c r="K20" s="29" t="inlineStr">
        <is>
          <t>매입채무 및 기타유동채무</t>
        </is>
      </c>
      <c r="L20" s="29" t="inlineStr">
        <is>
          <t>-</t>
        </is>
      </c>
      <c r="M20" s="29" t="inlineStr">
        <is>
          <t>제 3 기</t>
        </is>
      </c>
      <c r="N20" s="29" t="inlineStr">
        <is>
          <t>40816896842.0</t>
        </is>
      </c>
      <c r="O20" s="29" t="inlineStr">
        <is>
          <t>32526457642.0</t>
        </is>
      </c>
      <c r="P20" s="29" t="inlineStr">
        <is>
          <t>KRW</t>
        </is>
      </c>
      <c r="Q20" s="29" t="inlineStr">
        <is>
          <t>19</t>
        </is>
      </c>
    </row>
    <row r="21" ht="24" customHeight="1">
      <c r="A21" s="24" t="inlineStr">
        <is>
          <t>OpenDART_fnlttSinglAcntAll</t>
        </is>
      </c>
      <c r="B21" s="24" t="inlineStr">
        <is>
          <t>01365825</t>
        </is>
      </c>
      <c r="C21" s="24" t="inlineStr">
        <is>
          <t>피에스케이</t>
        </is>
      </c>
      <c r="D21" s="24" t="inlineStr">
        <is>
          <t>psk</t>
        </is>
      </c>
      <c r="E21" s="24" t="inlineStr">
        <is>
          <t>319660</t>
        </is>
      </c>
      <c r="F21" s="24" t="inlineStr">
        <is>
          <t>2021</t>
        </is>
      </c>
      <c r="G21" s="24" t="inlineStr">
        <is>
          <t>CFS</t>
        </is>
      </c>
      <c r="H21" s="24" t="inlineStr">
        <is>
          <t>BS</t>
        </is>
      </c>
      <c r="I21" s="24" t="inlineStr">
        <is>
          <t>재무상태표</t>
        </is>
      </c>
      <c r="J21" s="24" t="inlineStr">
        <is>
          <t>ifrs-full_ShorttermBorrowings</t>
        </is>
      </c>
      <c r="K21" s="24" t="inlineStr">
        <is>
          <t>단기차입금</t>
        </is>
      </c>
      <c r="L21" s="24" t="inlineStr">
        <is>
          <t>-</t>
        </is>
      </c>
      <c r="M21" s="24" t="inlineStr">
        <is>
          <t>제 3 기</t>
        </is>
      </c>
      <c r="N21" s="24" t="inlineStr">
        <is>
          <t>3293484970.0</t>
        </is>
      </c>
      <c r="O21" s="24" t="inlineStr">
        <is>
          <t>0.0</t>
        </is>
      </c>
      <c r="P21" s="24" t="inlineStr">
        <is>
          <t>KRW</t>
        </is>
      </c>
      <c r="Q21" s="24" t="inlineStr">
        <is>
          <t>20</t>
        </is>
      </c>
    </row>
    <row r="22" ht="24" customHeight="1">
      <c r="A22" s="29" t="inlineStr">
        <is>
          <t>OpenDART_fnlttSinglAcntAll</t>
        </is>
      </c>
      <c r="B22" s="29" t="inlineStr">
        <is>
          <t>01365825</t>
        </is>
      </c>
      <c r="C22" s="29" t="inlineStr">
        <is>
          <t>피에스케이</t>
        </is>
      </c>
      <c r="D22" s="29" t="inlineStr">
        <is>
          <t>psk</t>
        </is>
      </c>
      <c r="E22" s="29" t="inlineStr">
        <is>
          <t>319660</t>
        </is>
      </c>
      <c r="F22" s="29" t="inlineStr">
        <is>
          <t>2021</t>
        </is>
      </c>
      <c r="G22" s="29" t="inlineStr">
        <is>
          <t>CFS</t>
        </is>
      </c>
      <c r="H22" s="29" t="inlineStr">
        <is>
          <t>BS</t>
        </is>
      </c>
      <c r="I22" s="29" t="inlineStr">
        <is>
          <t>재무상태표</t>
        </is>
      </c>
      <c r="J22" s="29" t="inlineStr">
        <is>
          <t>ifrs-full_CurrentLeaseLiabilities</t>
        </is>
      </c>
      <c r="K22" s="29" t="inlineStr">
        <is>
          <t>유동리스부채</t>
        </is>
      </c>
      <c r="L22" s="29" t="inlineStr">
        <is>
          <t>-</t>
        </is>
      </c>
      <c r="M22" s="29" t="inlineStr">
        <is>
          <t>제 3 기</t>
        </is>
      </c>
      <c r="N22" s="29" t="inlineStr">
        <is>
          <t>1770281039.0</t>
        </is>
      </c>
      <c r="O22" s="29" t="inlineStr">
        <is>
          <t>2070789619.0</t>
        </is>
      </c>
      <c r="P22" s="29" t="inlineStr">
        <is>
          <t>KRW</t>
        </is>
      </c>
      <c r="Q22" s="29" t="inlineStr">
        <is>
          <t>21</t>
        </is>
      </c>
    </row>
    <row r="23" ht="24" customHeight="1">
      <c r="A23" s="24" t="inlineStr">
        <is>
          <t>OpenDART_fnlttSinglAcntAll</t>
        </is>
      </c>
      <c r="B23" s="24" t="inlineStr">
        <is>
          <t>01365825</t>
        </is>
      </c>
      <c r="C23" s="24" t="inlineStr">
        <is>
          <t>피에스케이</t>
        </is>
      </c>
      <c r="D23" s="24" t="inlineStr">
        <is>
          <t>psk</t>
        </is>
      </c>
      <c r="E23" s="24" t="inlineStr">
        <is>
          <t>319660</t>
        </is>
      </c>
      <c r="F23" s="24" t="inlineStr">
        <is>
          <t>2021</t>
        </is>
      </c>
      <c r="G23" s="24" t="inlineStr">
        <is>
          <t>CFS</t>
        </is>
      </c>
      <c r="H23" s="24" t="inlineStr">
        <is>
          <t>BS</t>
        </is>
      </c>
      <c r="I23" s="24" t="inlineStr">
        <is>
          <t>재무상태표</t>
        </is>
      </c>
      <c r="J23" s="24" t="inlineStr">
        <is>
          <t>ifrs-full_OtherCurrentFinancialLiabilities</t>
        </is>
      </c>
      <c r="K23" s="24" t="inlineStr">
        <is>
          <t>기타유동금융부채</t>
        </is>
      </c>
      <c r="L23" s="24" t="inlineStr">
        <is>
          <t>-</t>
        </is>
      </c>
      <c r="M23" s="24" t="inlineStr">
        <is>
          <t>제 3 기</t>
        </is>
      </c>
      <c r="N23" s="24" t="inlineStr">
        <is>
          <t>126416700.0</t>
        </is>
      </c>
      <c r="O23" s="24" t="inlineStr">
        <is>
          <t>0.0</t>
        </is>
      </c>
      <c r="P23" s="24" t="inlineStr">
        <is>
          <t>KRW</t>
        </is>
      </c>
      <c r="Q23" s="24" t="inlineStr">
        <is>
          <t>22</t>
        </is>
      </c>
    </row>
    <row r="24" ht="24" customHeight="1">
      <c r="A24" s="29" t="inlineStr">
        <is>
          <t>OpenDART_fnlttSinglAcntAll</t>
        </is>
      </c>
      <c r="B24" s="29" t="inlineStr">
        <is>
          <t>01365825</t>
        </is>
      </c>
      <c r="C24" s="29" t="inlineStr">
        <is>
          <t>피에스케이</t>
        </is>
      </c>
      <c r="D24" s="29" t="inlineStr">
        <is>
          <t>psk</t>
        </is>
      </c>
      <c r="E24" s="29" t="inlineStr">
        <is>
          <t>319660</t>
        </is>
      </c>
      <c r="F24" s="29" t="inlineStr">
        <is>
          <t>2021</t>
        </is>
      </c>
      <c r="G24" s="29" t="inlineStr">
        <is>
          <t>CFS</t>
        </is>
      </c>
      <c r="H24" s="29" t="inlineStr">
        <is>
          <t>BS</t>
        </is>
      </c>
      <c r="I24" s="29" t="inlineStr">
        <is>
          <t>재무상태표</t>
        </is>
      </c>
      <c r="J24" s="29" t="inlineStr">
        <is>
          <t>ifrs-full_CurrentTaxLiabilities</t>
        </is>
      </c>
      <c r="K24" s="29" t="inlineStr">
        <is>
          <t>당기법인세부채</t>
        </is>
      </c>
      <c r="L24" s="29" t="inlineStr">
        <is>
          <t>-</t>
        </is>
      </c>
      <c r="M24" s="29" t="inlineStr">
        <is>
          <t>제 3 기</t>
        </is>
      </c>
      <c r="N24" s="29" t="inlineStr">
        <is>
          <t>23396883482.0</t>
        </is>
      </c>
      <c r="O24" s="29" t="inlineStr">
        <is>
          <t>4108904995.0</t>
        </is>
      </c>
      <c r="P24" s="29" t="inlineStr">
        <is>
          <t>KRW</t>
        </is>
      </c>
      <c r="Q24" s="29" t="inlineStr">
        <is>
          <t>23</t>
        </is>
      </c>
    </row>
    <row r="25" ht="24" customHeight="1">
      <c r="A25" s="24" t="inlineStr">
        <is>
          <t>OpenDART_fnlttSinglAcntAll</t>
        </is>
      </c>
      <c r="B25" s="24" t="inlineStr">
        <is>
          <t>01365825</t>
        </is>
      </c>
      <c r="C25" s="24" t="inlineStr">
        <is>
          <t>피에스케이</t>
        </is>
      </c>
      <c r="D25" s="24" t="inlineStr">
        <is>
          <t>psk</t>
        </is>
      </c>
      <c r="E25" s="24" t="inlineStr">
        <is>
          <t>319660</t>
        </is>
      </c>
      <c r="F25" s="24" t="inlineStr">
        <is>
          <t>2021</t>
        </is>
      </c>
      <c r="G25" s="24" t="inlineStr">
        <is>
          <t>CFS</t>
        </is>
      </c>
      <c r="H25" s="24" t="inlineStr">
        <is>
          <t>BS</t>
        </is>
      </c>
      <c r="I25" s="24" t="inlineStr">
        <is>
          <t>재무상태표</t>
        </is>
      </c>
      <c r="J25" s="24" t="inlineStr">
        <is>
          <t>ifrs-full_CurrentProvisions</t>
        </is>
      </c>
      <c r="K25" s="24" t="inlineStr">
        <is>
          <t>유동충당부채</t>
        </is>
      </c>
      <c r="L25" s="24" t="inlineStr">
        <is>
          <t>-</t>
        </is>
      </c>
      <c r="M25" s="24" t="inlineStr">
        <is>
          <t>제 3 기</t>
        </is>
      </c>
      <c r="N25" s="24" t="inlineStr">
        <is>
          <t>14245915226.0</t>
        </is>
      </c>
      <c r="O25" s="24" t="inlineStr">
        <is>
          <t>5381780346.0</t>
        </is>
      </c>
      <c r="P25" s="24" t="inlineStr">
        <is>
          <t>KRW</t>
        </is>
      </c>
      <c r="Q25" s="24" t="inlineStr">
        <is>
          <t>24</t>
        </is>
      </c>
    </row>
    <row r="26" ht="24" customHeight="1">
      <c r="A26" s="29" t="inlineStr">
        <is>
          <t>OpenDART_fnlttSinglAcntAll</t>
        </is>
      </c>
      <c r="B26" s="29" t="inlineStr">
        <is>
          <t>01365825</t>
        </is>
      </c>
      <c r="C26" s="29" t="inlineStr">
        <is>
          <t>피에스케이</t>
        </is>
      </c>
      <c r="D26" s="29" t="inlineStr">
        <is>
          <t>psk</t>
        </is>
      </c>
      <c r="E26" s="29" t="inlineStr">
        <is>
          <t>319660</t>
        </is>
      </c>
      <c r="F26" s="29" t="inlineStr">
        <is>
          <t>2021</t>
        </is>
      </c>
      <c r="G26" s="29" t="inlineStr">
        <is>
          <t>CFS</t>
        </is>
      </c>
      <c r="H26" s="29" t="inlineStr">
        <is>
          <t>BS</t>
        </is>
      </c>
      <c r="I26" s="29" t="inlineStr">
        <is>
          <t>재무상태표</t>
        </is>
      </c>
      <c r="J26" s="29" t="inlineStr">
        <is>
          <t>dart_OtherCurrentLiabilities</t>
        </is>
      </c>
      <c r="K26" s="29" t="inlineStr">
        <is>
          <t>기타유동부채</t>
        </is>
      </c>
      <c r="L26" s="29" t="inlineStr">
        <is>
          <t>-</t>
        </is>
      </c>
      <c r="M26" s="29" t="inlineStr">
        <is>
          <t>제 3 기</t>
        </is>
      </c>
      <c r="N26" s="29" t="inlineStr">
        <is>
          <t>27481188591.0</t>
        </is>
      </c>
      <c r="O26" s="29" t="inlineStr">
        <is>
          <t>2671531238.0</t>
        </is>
      </c>
      <c r="P26" s="29" t="inlineStr">
        <is>
          <t>KRW</t>
        </is>
      </c>
      <c r="Q26" s="29" t="inlineStr">
        <is>
          <t>25</t>
        </is>
      </c>
    </row>
    <row r="27" ht="24" customHeight="1">
      <c r="A27" s="24" t="inlineStr">
        <is>
          <t>OpenDART_fnlttSinglAcntAll</t>
        </is>
      </c>
      <c r="B27" s="24" t="inlineStr">
        <is>
          <t>01365825</t>
        </is>
      </c>
      <c r="C27" s="24" t="inlineStr">
        <is>
          <t>피에스케이</t>
        </is>
      </c>
      <c r="D27" s="24" t="inlineStr">
        <is>
          <t>psk</t>
        </is>
      </c>
      <c r="E27" s="24" t="inlineStr">
        <is>
          <t>319660</t>
        </is>
      </c>
      <c r="F27" s="24" t="inlineStr">
        <is>
          <t>2021</t>
        </is>
      </c>
      <c r="G27" s="24" t="inlineStr">
        <is>
          <t>CFS</t>
        </is>
      </c>
      <c r="H27" s="24" t="inlineStr">
        <is>
          <t>BS</t>
        </is>
      </c>
      <c r="I27" s="24" t="inlineStr">
        <is>
          <t>재무상태표</t>
        </is>
      </c>
      <c r="J27" s="24" t="inlineStr">
        <is>
          <t>ifrs-full_NoncurrentLiabilities</t>
        </is>
      </c>
      <c r="K27" s="24" t="inlineStr">
        <is>
          <t>비유동부채</t>
        </is>
      </c>
      <c r="L27" s="24" t="inlineStr">
        <is>
          <t>-</t>
        </is>
      </c>
      <c r="M27" s="24" t="inlineStr">
        <is>
          <t>제 3 기</t>
        </is>
      </c>
      <c r="N27" s="24" t="inlineStr">
        <is>
          <t>13060193242.0</t>
        </is>
      </c>
      <c r="O27" s="24" t="inlineStr">
        <is>
          <t>4450439177.0</t>
        </is>
      </c>
      <c r="P27" s="24" t="inlineStr">
        <is>
          <t>KRW</t>
        </is>
      </c>
      <c r="Q27" s="24" t="inlineStr">
        <is>
          <t>26</t>
        </is>
      </c>
    </row>
    <row r="28" ht="24" customHeight="1">
      <c r="A28" s="29" t="inlineStr">
        <is>
          <t>OpenDART_fnlttSinglAcntAll</t>
        </is>
      </c>
      <c r="B28" s="29" t="inlineStr">
        <is>
          <t>01365825</t>
        </is>
      </c>
      <c r="C28" s="29" t="inlineStr">
        <is>
          <t>피에스케이</t>
        </is>
      </c>
      <c r="D28" s="29" t="inlineStr">
        <is>
          <t>psk</t>
        </is>
      </c>
      <c r="E28" s="29" t="inlineStr">
        <is>
          <t>319660</t>
        </is>
      </c>
      <c r="F28" s="29" t="inlineStr">
        <is>
          <t>2021</t>
        </is>
      </c>
      <c r="G28" s="29" t="inlineStr">
        <is>
          <t>CFS</t>
        </is>
      </c>
      <c r="H28" s="29" t="inlineStr">
        <is>
          <t>BS</t>
        </is>
      </c>
      <c r="I28" s="29" t="inlineStr">
        <is>
          <t>재무상태표</t>
        </is>
      </c>
      <c r="J28" s="29" t="inlineStr">
        <is>
          <t>dart_LongTermTradeAndOtherNonCurrentPayables</t>
        </is>
      </c>
      <c r="K28" s="29" t="inlineStr">
        <is>
          <t>장기매입채무 및 기타비유동채무</t>
        </is>
      </c>
      <c r="L28" s="29" t="inlineStr">
        <is>
          <t>-</t>
        </is>
      </c>
      <c r="M28" s="29" t="inlineStr">
        <is>
          <t>제 3 기</t>
        </is>
      </c>
      <c r="N28" s="29" t="inlineStr">
        <is>
          <t>519835916.0</t>
        </is>
      </c>
      <c r="O28" s="29" t="inlineStr">
        <is>
          <t>567511654.0</t>
        </is>
      </c>
      <c r="P28" s="29" t="inlineStr">
        <is>
          <t>KRW</t>
        </is>
      </c>
      <c r="Q28" s="29" t="inlineStr">
        <is>
          <t>27</t>
        </is>
      </c>
    </row>
    <row r="29" ht="24" customHeight="1">
      <c r="A29" s="24" t="inlineStr">
        <is>
          <t>OpenDART_fnlttSinglAcntAll</t>
        </is>
      </c>
      <c r="B29" s="24" t="inlineStr">
        <is>
          <t>01365825</t>
        </is>
      </c>
      <c r="C29" s="24" t="inlineStr">
        <is>
          <t>피에스케이</t>
        </is>
      </c>
      <c r="D29" s="24" t="inlineStr">
        <is>
          <t>psk</t>
        </is>
      </c>
      <c r="E29" s="24" t="inlineStr">
        <is>
          <t>319660</t>
        </is>
      </c>
      <c r="F29" s="24" t="inlineStr">
        <is>
          <t>2021</t>
        </is>
      </c>
      <c r="G29" s="24" t="inlineStr">
        <is>
          <t>CFS</t>
        </is>
      </c>
      <c r="H29" s="24" t="inlineStr">
        <is>
          <t>BS</t>
        </is>
      </c>
      <c r="I29" s="24" t="inlineStr">
        <is>
          <t>재무상태표</t>
        </is>
      </c>
      <c r="J29" s="24" t="inlineStr">
        <is>
          <t>dart_LongTermBorrowingsGross</t>
        </is>
      </c>
      <c r="K29" s="24" t="inlineStr">
        <is>
          <t>장기차입금</t>
        </is>
      </c>
      <c r="L29" s="24" t="inlineStr">
        <is>
          <t>-</t>
        </is>
      </c>
      <c r="M29" s="24" t="inlineStr">
        <is>
          <t>제 3 기</t>
        </is>
      </c>
      <c r="N29" s="24" t="inlineStr">
        <is>
          <t>10150000000.0</t>
        </is>
      </c>
      <c r="O29" s="24" t="inlineStr">
        <is>
          <t>242325888.0</t>
        </is>
      </c>
      <c r="P29" s="24" t="inlineStr">
        <is>
          <t>KRW</t>
        </is>
      </c>
      <c r="Q29" s="24" t="inlineStr">
        <is>
          <t>28</t>
        </is>
      </c>
    </row>
    <row r="30" ht="24" customHeight="1">
      <c r="A30" s="29" t="inlineStr">
        <is>
          <t>OpenDART_fnlttSinglAcntAll</t>
        </is>
      </c>
      <c r="B30" s="29" t="inlineStr">
        <is>
          <t>01365825</t>
        </is>
      </c>
      <c r="C30" s="29" t="inlineStr">
        <is>
          <t>피에스케이</t>
        </is>
      </c>
      <c r="D30" s="29" t="inlineStr">
        <is>
          <t>psk</t>
        </is>
      </c>
      <c r="E30" s="29" t="inlineStr">
        <is>
          <t>319660</t>
        </is>
      </c>
      <c r="F30" s="29" t="inlineStr">
        <is>
          <t>2021</t>
        </is>
      </c>
      <c r="G30" s="29" t="inlineStr">
        <is>
          <t>CFS</t>
        </is>
      </c>
      <c r="H30" s="29" t="inlineStr">
        <is>
          <t>BS</t>
        </is>
      </c>
      <c r="I30" s="29" t="inlineStr">
        <is>
          <t>재무상태표</t>
        </is>
      </c>
      <c r="J30" s="29" t="inlineStr">
        <is>
          <t>dart_NonCurrentFinanceLeaseLiabilities</t>
        </is>
      </c>
      <c r="K30" s="29" t="inlineStr">
        <is>
          <t>비유동금융리스부채</t>
        </is>
      </c>
      <c r="L30" s="29" t="inlineStr">
        <is>
          <t>-</t>
        </is>
      </c>
      <c r="M30" s="29" t="inlineStr">
        <is>
          <t>제 3 기</t>
        </is>
      </c>
      <c r="N30" s="29" t="inlineStr">
        <is>
          <t>2117266345.0</t>
        </is>
      </c>
      <c r="O30" s="29" t="inlineStr">
        <is>
          <t>2482328962.0</t>
        </is>
      </c>
      <c r="P30" s="29" t="inlineStr">
        <is>
          <t>KRW</t>
        </is>
      </c>
      <c r="Q30" s="29" t="inlineStr">
        <is>
          <t>29</t>
        </is>
      </c>
    </row>
    <row r="31" ht="24" customHeight="1">
      <c r="A31" s="24" t="inlineStr">
        <is>
          <t>OpenDART_fnlttSinglAcntAll</t>
        </is>
      </c>
      <c r="B31" s="24" t="inlineStr">
        <is>
          <t>01365825</t>
        </is>
      </c>
      <c r="C31" s="24" t="inlineStr">
        <is>
          <t>피에스케이</t>
        </is>
      </c>
      <c r="D31" s="24" t="inlineStr">
        <is>
          <t>psk</t>
        </is>
      </c>
      <c r="E31" s="24" t="inlineStr">
        <is>
          <t>319660</t>
        </is>
      </c>
      <c r="F31" s="24" t="inlineStr">
        <is>
          <t>2021</t>
        </is>
      </c>
      <c r="G31" s="24" t="inlineStr">
        <is>
          <t>CFS</t>
        </is>
      </c>
      <c r="H31" s="24" t="inlineStr">
        <is>
          <t>BS</t>
        </is>
      </c>
      <c r="I31" s="24" t="inlineStr">
        <is>
          <t>재무상태표</t>
        </is>
      </c>
      <c r="J31" s="24" t="inlineStr">
        <is>
          <t>dart_BondsIssued</t>
        </is>
      </c>
      <c r="K31" s="24" t="inlineStr">
        <is>
          <t>사채</t>
        </is>
      </c>
      <c r="L31" s="24" t="inlineStr">
        <is>
          <t>-</t>
        </is>
      </c>
      <c r="M31" s="24" t="inlineStr">
        <is>
          <t>제 3 기</t>
        </is>
      </c>
      <c r="N31" s="24" t="inlineStr">
        <is>
          <t>0.0</t>
        </is>
      </c>
      <c r="O31" s="24" t="inlineStr">
        <is>
          <t>1158272673.0</t>
        </is>
      </c>
      <c r="P31" s="24" t="inlineStr">
        <is>
          <t>KRW</t>
        </is>
      </c>
      <c r="Q31" s="24" t="inlineStr">
        <is>
          <t>30</t>
        </is>
      </c>
    </row>
    <row r="32" ht="24" customHeight="1">
      <c r="A32" s="29" t="inlineStr">
        <is>
          <t>OpenDART_fnlttSinglAcntAll</t>
        </is>
      </c>
      <c r="B32" s="29" t="inlineStr">
        <is>
          <t>01365825</t>
        </is>
      </c>
      <c r="C32" s="29" t="inlineStr">
        <is>
          <t>피에스케이</t>
        </is>
      </c>
      <c r="D32" s="29" t="inlineStr">
        <is>
          <t>psk</t>
        </is>
      </c>
      <c r="E32" s="29" t="inlineStr">
        <is>
          <t>319660</t>
        </is>
      </c>
      <c r="F32" s="29" t="inlineStr">
        <is>
          <t>2021</t>
        </is>
      </c>
      <c r="G32" s="29" t="inlineStr">
        <is>
          <t>CFS</t>
        </is>
      </c>
      <c r="H32" s="29" t="inlineStr">
        <is>
          <t>BS</t>
        </is>
      </c>
      <c r="I32" s="29" t="inlineStr">
        <is>
          <t>재무상태표</t>
        </is>
      </c>
      <c r="J32" s="29" t="inlineStr">
        <is>
          <t>-표준계정코드 미사용-</t>
        </is>
      </c>
      <c r="K32" s="29" t="inlineStr">
        <is>
          <t>순확정급여부채</t>
        </is>
      </c>
      <c r="L32" s="29" t="inlineStr">
        <is>
          <t>-</t>
        </is>
      </c>
      <c r="M32" s="29" t="inlineStr">
        <is>
          <t>제 3 기</t>
        </is>
      </c>
      <c r="N32" s="29" t="inlineStr">
        <is>
          <t>273090981.0</t>
        </is>
      </c>
      <c r="O32" s="29" t="inlineStr">
        <is>
          <t>0.0</t>
        </is>
      </c>
      <c r="P32" s="29" t="inlineStr">
        <is>
          <t>KRW</t>
        </is>
      </c>
      <c r="Q32" s="29" t="inlineStr">
        <is>
          <t>31</t>
        </is>
      </c>
    </row>
    <row r="33" ht="24" customHeight="1">
      <c r="A33" s="24" t="inlineStr">
        <is>
          <t>OpenDART_fnlttSinglAcntAll</t>
        </is>
      </c>
      <c r="B33" s="24" t="inlineStr">
        <is>
          <t>01365825</t>
        </is>
      </c>
      <c r="C33" s="24" t="inlineStr">
        <is>
          <t>피에스케이</t>
        </is>
      </c>
      <c r="D33" s="24" t="inlineStr">
        <is>
          <t>psk</t>
        </is>
      </c>
      <c r="E33" s="24" t="inlineStr">
        <is>
          <t>319660</t>
        </is>
      </c>
      <c r="F33" s="24" t="inlineStr">
        <is>
          <t>2021</t>
        </is>
      </c>
      <c r="G33" s="24" t="inlineStr">
        <is>
          <t>CFS</t>
        </is>
      </c>
      <c r="H33" s="24" t="inlineStr">
        <is>
          <t>BS</t>
        </is>
      </c>
      <c r="I33" s="24" t="inlineStr">
        <is>
          <t>재무상태표</t>
        </is>
      </c>
      <c r="J33" s="24" t="inlineStr">
        <is>
          <t>ifrs-full_NoncurrentProvisions</t>
        </is>
      </c>
      <c r="K33" s="24" t="inlineStr">
        <is>
          <t>비유동충당부채</t>
        </is>
      </c>
      <c r="L33" s="24" t="inlineStr">
        <is>
          <t>-</t>
        </is>
      </c>
      <c r="M33" s="24" t="inlineStr">
        <is>
          <t>제 3 기</t>
        </is>
      </c>
      <c r="N33" s="24" t="inlineStr">
        <is>
          <t>해당 없음</t>
        </is>
      </c>
      <c r="O33" s="24" t="inlineStr">
        <is>
          <t>해당 없음</t>
        </is>
      </c>
      <c r="P33" s="24" t="inlineStr">
        <is>
          <t>KRW</t>
        </is>
      </c>
      <c r="Q33" s="24" t="inlineStr">
        <is>
          <t>32</t>
        </is>
      </c>
    </row>
    <row r="34" ht="24" customHeight="1">
      <c r="A34" s="29" t="inlineStr">
        <is>
          <t>OpenDART_fnlttSinglAcntAll</t>
        </is>
      </c>
      <c r="B34" s="29" t="inlineStr">
        <is>
          <t>01365825</t>
        </is>
      </c>
      <c r="C34" s="29" t="inlineStr">
        <is>
          <t>피에스케이</t>
        </is>
      </c>
      <c r="D34" s="29" t="inlineStr">
        <is>
          <t>psk</t>
        </is>
      </c>
      <c r="E34" s="29" t="inlineStr">
        <is>
          <t>319660</t>
        </is>
      </c>
      <c r="F34" s="29" t="inlineStr">
        <is>
          <t>2021</t>
        </is>
      </c>
      <c r="G34" s="29" t="inlineStr">
        <is>
          <t>CFS</t>
        </is>
      </c>
      <c r="H34" s="29" t="inlineStr">
        <is>
          <t>BS</t>
        </is>
      </c>
      <c r="I34" s="29" t="inlineStr">
        <is>
          <t>재무상태표</t>
        </is>
      </c>
      <c r="J34" s="29" t="inlineStr">
        <is>
          <t>ifrs-full_Liabilities</t>
        </is>
      </c>
      <c r="K34" s="29" t="inlineStr">
        <is>
          <t>부채총계</t>
        </is>
      </c>
      <c r="L34" s="29" t="inlineStr">
        <is>
          <t>-</t>
        </is>
      </c>
      <c r="M34" s="29" t="inlineStr">
        <is>
          <t>제 3 기</t>
        </is>
      </c>
      <c r="N34" s="29" t="inlineStr">
        <is>
          <t>124191260092.0</t>
        </is>
      </c>
      <c r="O34" s="29" t="inlineStr">
        <is>
          <t>51209903017.0</t>
        </is>
      </c>
      <c r="P34" s="29" t="inlineStr">
        <is>
          <t>KRW</t>
        </is>
      </c>
      <c r="Q34" s="29" t="inlineStr">
        <is>
          <t>33</t>
        </is>
      </c>
    </row>
    <row r="35" ht="24" customHeight="1">
      <c r="A35" s="24" t="inlineStr">
        <is>
          <t>OpenDART_fnlttSinglAcntAll</t>
        </is>
      </c>
      <c r="B35" s="24" t="inlineStr">
        <is>
          <t>01365825</t>
        </is>
      </c>
      <c r="C35" s="24" t="inlineStr">
        <is>
          <t>피에스케이</t>
        </is>
      </c>
      <c r="D35" s="24" t="inlineStr">
        <is>
          <t>psk</t>
        </is>
      </c>
      <c r="E35" s="24" t="inlineStr">
        <is>
          <t>319660</t>
        </is>
      </c>
      <c r="F35" s="24" t="inlineStr">
        <is>
          <t>2021</t>
        </is>
      </c>
      <c r="G35" s="24" t="inlineStr">
        <is>
          <t>CFS</t>
        </is>
      </c>
      <c r="H35" s="24" t="inlineStr">
        <is>
          <t>BS</t>
        </is>
      </c>
      <c r="I35" s="24" t="inlineStr">
        <is>
          <t>재무상태표</t>
        </is>
      </c>
      <c r="J35" s="24" t="inlineStr">
        <is>
          <t>ifrs-full_EquityAttributableToOwnersOfParent</t>
        </is>
      </c>
      <c r="K35" s="24" t="inlineStr">
        <is>
          <t>지배기업의 소유주에게 귀속되는 자본</t>
        </is>
      </c>
      <c r="L35" s="24" t="inlineStr">
        <is>
          <t>-</t>
        </is>
      </c>
      <c r="M35" s="24" t="inlineStr">
        <is>
          <t>제 3 기</t>
        </is>
      </c>
      <c r="N35" s="24" t="inlineStr">
        <is>
          <t>289070957803.0</t>
        </is>
      </c>
      <c r="O35" s="24" t="inlineStr">
        <is>
          <t>217378903845.0</t>
        </is>
      </c>
      <c r="P35" s="24" t="inlineStr">
        <is>
          <t>KRW</t>
        </is>
      </c>
      <c r="Q35" s="24" t="inlineStr">
        <is>
          <t>35</t>
        </is>
      </c>
    </row>
    <row r="36" ht="24" customHeight="1">
      <c r="A36" s="29" t="inlineStr">
        <is>
          <t>OpenDART_fnlttSinglAcntAll</t>
        </is>
      </c>
      <c r="B36" s="29" t="inlineStr">
        <is>
          <t>01365825</t>
        </is>
      </c>
      <c r="C36" s="29" t="inlineStr">
        <is>
          <t>피에스케이</t>
        </is>
      </c>
      <c r="D36" s="29" t="inlineStr">
        <is>
          <t>psk</t>
        </is>
      </c>
      <c r="E36" s="29" t="inlineStr">
        <is>
          <t>319660</t>
        </is>
      </c>
      <c r="F36" s="29" t="inlineStr">
        <is>
          <t>2021</t>
        </is>
      </c>
      <c r="G36" s="29" t="inlineStr">
        <is>
          <t>CFS</t>
        </is>
      </c>
      <c r="H36" s="29" t="inlineStr">
        <is>
          <t>BS</t>
        </is>
      </c>
      <c r="I36" s="29" t="inlineStr">
        <is>
          <t>재무상태표</t>
        </is>
      </c>
      <c r="J36" s="29" t="inlineStr">
        <is>
          <t>ifrs-full_IssuedCapital</t>
        </is>
      </c>
      <c r="K36" s="29" t="inlineStr">
        <is>
          <t>자본금</t>
        </is>
      </c>
      <c r="L36" s="29" t="inlineStr">
        <is>
          <t>-</t>
        </is>
      </c>
      <c r="M36" s="29" t="inlineStr">
        <is>
          <t>제 3 기</t>
        </is>
      </c>
      <c r="N36" s="29" t="inlineStr">
        <is>
          <t>7382510000.0</t>
        </is>
      </c>
      <c r="O36" s="29" t="inlineStr">
        <is>
          <t>7382510000.0</t>
        </is>
      </c>
      <c r="P36" s="29" t="inlineStr">
        <is>
          <t>KRW</t>
        </is>
      </c>
      <c r="Q36" s="29" t="inlineStr">
        <is>
          <t>36</t>
        </is>
      </c>
    </row>
    <row r="37" ht="24" customHeight="1">
      <c r="A37" s="24" t="inlineStr">
        <is>
          <t>OpenDART_fnlttSinglAcntAll</t>
        </is>
      </c>
      <c r="B37" s="24" t="inlineStr">
        <is>
          <t>01365825</t>
        </is>
      </c>
      <c r="C37" s="24" t="inlineStr">
        <is>
          <t>피에스케이</t>
        </is>
      </c>
      <c r="D37" s="24" t="inlineStr">
        <is>
          <t>psk</t>
        </is>
      </c>
      <c r="E37" s="24" t="inlineStr">
        <is>
          <t>319660</t>
        </is>
      </c>
      <c r="F37" s="24" t="inlineStr">
        <is>
          <t>2021</t>
        </is>
      </c>
      <c r="G37" s="24" t="inlineStr">
        <is>
          <t>CFS</t>
        </is>
      </c>
      <c r="H37" s="24" t="inlineStr">
        <is>
          <t>BS</t>
        </is>
      </c>
      <c r="I37" s="24" t="inlineStr">
        <is>
          <t>재무상태표</t>
        </is>
      </c>
      <c r="J37" s="24" t="inlineStr">
        <is>
          <t>-표준계정코드 미사용-</t>
        </is>
      </c>
      <c r="K37" s="24" t="inlineStr">
        <is>
          <t>기타불입자본</t>
        </is>
      </c>
      <c r="L37" s="24" t="inlineStr">
        <is>
          <t>-</t>
        </is>
      </c>
      <c r="M37" s="24" t="inlineStr">
        <is>
          <t>제 3 기</t>
        </is>
      </c>
      <c r="N37" s="24" t="inlineStr">
        <is>
          <t>174949518957.0</t>
        </is>
      </c>
      <c r="O37" s="24" t="inlineStr">
        <is>
          <t>176936597872.0</t>
        </is>
      </c>
      <c r="P37" s="24" t="inlineStr">
        <is>
          <t>KRW</t>
        </is>
      </c>
      <c r="Q37" s="24" t="inlineStr">
        <is>
          <t>37</t>
        </is>
      </c>
    </row>
    <row r="38" ht="24" customHeight="1">
      <c r="A38" s="29" t="inlineStr">
        <is>
          <t>OpenDART_fnlttSinglAcntAll</t>
        </is>
      </c>
      <c r="B38" s="29" t="inlineStr">
        <is>
          <t>01365825</t>
        </is>
      </c>
      <c r="C38" s="29" t="inlineStr">
        <is>
          <t>피에스케이</t>
        </is>
      </c>
      <c r="D38" s="29" t="inlineStr">
        <is>
          <t>psk</t>
        </is>
      </c>
      <c r="E38" s="29" t="inlineStr">
        <is>
          <t>319660</t>
        </is>
      </c>
      <c r="F38" s="29" t="inlineStr">
        <is>
          <t>2021</t>
        </is>
      </c>
      <c r="G38" s="29" t="inlineStr">
        <is>
          <t>CFS</t>
        </is>
      </c>
      <c r="H38" s="29" t="inlineStr">
        <is>
          <t>BS</t>
        </is>
      </c>
      <c r="I38" s="29" t="inlineStr">
        <is>
          <t>재무상태표</t>
        </is>
      </c>
      <c r="J38" s="29" t="inlineStr">
        <is>
          <t>dart_ElementsOfOtherStockholdersEquity</t>
        </is>
      </c>
      <c r="K38" s="29" t="inlineStr">
        <is>
          <t>기타자본구성요소</t>
        </is>
      </c>
      <c r="L38" s="29" t="inlineStr">
        <is>
          <t>-</t>
        </is>
      </c>
      <c r="M38" s="29" t="inlineStr">
        <is>
          <t>제 3 기</t>
        </is>
      </c>
      <c r="N38" s="29" t="inlineStr">
        <is>
          <t>2541260380.0</t>
        </is>
      </c>
      <c r="O38" s="29" t="inlineStr">
        <is>
          <t>487545360.0</t>
        </is>
      </c>
      <c r="P38" s="29" t="inlineStr">
        <is>
          <t>KRW</t>
        </is>
      </c>
      <c r="Q38" s="29" t="inlineStr">
        <is>
          <t>38</t>
        </is>
      </c>
    </row>
    <row r="39" ht="24" customHeight="1">
      <c r="A39" s="24" t="inlineStr">
        <is>
          <t>OpenDART_fnlttSinglAcntAll</t>
        </is>
      </c>
      <c r="B39" s="24" t="inlineStr">
        <is>
          <t>01365825</t>
        </is>
      </c>
      <c r="C39" s="24" t="inlineStr">
        <is>
          <t>피에스케이</t>
        </is>
      </c>
      <c r="D39" s="24" t="inlineStr">
        <is>
          <t>psk</t>
        </is>
      </c>
      <c r="E39" s="24" t="inlineStr">
        <is>
          <t>319660</t>
        </is>
      </c>
      <c r="F39" s="24" t="inlineStr">
        <is>
          <t>2021</t>
        </is>
      </c>
      <c r="G39" s="24" t="inlineStr">
        <is>
          <t>CFS</t>
        </is>
      </c>
      <c r="H39" s="24" t="inlineStr">
        <is>
          <t>BS</t>
        </is>
      </c>
      <c r="I39" s="24" t="inlineStr">
        <is>
          <t>재무상태표</t>
        </is>
      </c>
      <c r="J39" s="24" t="inlineStr">
        <is>
          <t>ifrs-full_RetainedEarnings</t>
        </is>
      </c>
      <c r="K39" s="24" t="inlineStr">
        <is>
          <t>이익잉여금(결손금)</t>
        </is>
      </c>
      <c r="L39" s="24" t="inlineStr">
        <is>
          <t>-</t>
        </is>
      </c>
      <c r="M39" s="24" t="inlineStr">
        <is>
          <t>제 3 기</t>
        </is>
      </c>
      <c r="N39" s="24" t="inlineStr">
        <is>
          <t>104197668466.0</t>
        </is>
      </c>
      <c r="O39" s="24" t="inlineStr">
        <is>
          <t>32572250613.0</t>
        </is>
      </c>
      <c r="P39" s="24" t="inlineStr">
        <is>
          <t>KRW</t>
        </is>
      </c>
      <c r="Q39" s="24" t="inlineStr">
        <is>
          <t>39</t>
        </is>
      </c>
    </row>
    <row r="40" ht="24" customHeight="1">
      <c r="A40" s="29" t="inlineStr">
        <is>
          <t>OpenDART_fnlttSinglAcntAll</t>
        </is>
      </c>
      <c r="B40" s="29" t="inlineStr">
        <is>
          <t>01365825</t>
        </is>
      </c>
      <c r="C40" s="29" t="inlineStr">
        <is>
          <t>피에스케이</t>
        </is>
      </c>
      <c r="D40" s="29" t="inlineStr">
        <is>
          <t>psk</t>
        </is>
      </c>
      <c r="E40" s="29" t="inlineStr">
        <is>
          <t>319660</t>
        </is>
      </c>
      <c r="F40" s="29" t="inlineStr">
        <is>
          <t>2021</t>
        </is>
      </c>
      <c r="G40" s="29" t="inlineStr">
        <is>
          <t>CFS</t>
        </is>
      </c>
      <c r="H40" s="29" t="inlineStr">
        <is>
          <t>BS</t>
        </is>
      </c>
      <c r="I40" s="29" t="inlineStr">
        <is>
          <t>재무상태표</t>
        </is>
      </c>
      <c r="J40" s="29" t="inlineStr">
        <is>
          <t>ifrs-full_Equity</t>
        </is>
      </c>
      <c r="K40" s="29" t="inlineStr">
        <is>
          <t>자본총계</t>
        </is>
      </c>
      <c r="L40" s="29" t="inlineStr">
        <is>
          <t>-</t>
        </is>
      </c>
      <c r="M40" s="29" t="inlineStr">
        <is>
          <t>제 3 기</t>
        </is>
      </c>
      <c r="N40" s="29" t="inlineStr">
        <is>
          <t>289070957803.0</t>
        </is>
      </c>
      <c r="O40" s="29" t="inlineStr">
        <is>
          <t>217378903845.0</t>
        </is>
      </c>
      <c r="P40" s="29" t="inlineStr">
        <is>
          <t>KRW</t>
        </is>
      </c>
      <c r="Q40" s="29" t="inlineStr">
        <is>
          <t>40</t>
        </is>
      </c>
    </row>
    <row r="41" ht="24" customHeight="1">
      <c r="A41" s="24" t="inlineStr">
        <is>
          <t>OpenDART_fnlttSinglAcntAll</t>
        </is>
      </c>
      <c r="B41" s="24" t="inlineStr">
        <is>
          <t>01365825</t>
        </is>
      </c>
      <c r="C41" s="24" t="inlineStr">
        <is>
          <t>피에스케이</t>
        </is>
      </c>
      <c r="D41" s="24" t="inlineStr">
        <is>
          <t>psk</t>
        </is>
      </c>
      <c r="E41" s="24" t="inlineStr">
        <is>
          <t>319660</t>
        </is>
      </c>
      <c r="F41" s="24" t="inlineStr">
        <is>
          <t>2021</t>
        </is>
      </c>
      <c r="G41" s="24" t="inlineStr">
        <is>
          <t>CFS</t>
        </is>
      </c>
      <c r="H41" s="24" t="inlineStr">
        <is>
          <t>BS</t>
        </is>
      </c>
      <c r="I41" s="24" t="inlineStr">
        <is>
          <t>재무상태표</t>
        </is>
      </c>
      <c r="J41" s="24" t="inlineStr">
        <is>
          <t>ifrs-full_EquityAndLiabilities</t>
        </is>
      </c>
      <c r="K41" s="24" t="inlineStr">
        <is>
          <t>자본과부채총계</t>
        </is>
      </c>
      <c r="L41" s="24" t="inlineStr">
        <is>
          <t>-</t>
        </is>
      </c>
      <c r="M41" s="24" t="inlineStr">
        <is>
          <t>제 3 기</t>
        </is>
      </c>
      <c r="N41" s="24" t="inlineStr">
        <is>
          <t>413262217895.0</t>
        </is>
      </c>
      <c r="O41" s="24" t="inlineStr">
        <is>
          <t>268588806862.0</t>
        </is>
      </c>
      <c r="P41" s="24" t="inlineStr">
        <is>
          <t>KRW</t>
        </is>
      </c>
      <c r="Q41" s="24" t="inlineStr">
        <is>
          <t>41</t>
        </is>
      </c>
    </row>
    <row r="42" ht="24" customHeight="1">
      <c r="A42" s="29" t="inlineStr">
        <is>
          <t>OpenDART_fnlttSinglAcntAll</t>
        </is>
      </c>
      <c r="B42" s="29" t="inlineStr">
        <is>
          <t>01365825</t>
        </is>
      </c>
      <c r="C42" s="29" t="inlineStr">
        <is>
          <t>피에스케이</t>
        </is>
      </c>
      <c r="D42" s="29" t="inlineStr">
        <is>
          <t>psk</t>
        </is>
      </c>
      <c r="E42" s="29" t="inlineStr">
        <is>
          <t>319660</t>
        </is>
      </c>
      <c r="F42" s="29" t="inlineStr">
        <is>
          <t>2021</t>
        </is>
      </c>
      <c r="G42" s="29" t="inlineStr">
        <is>
          <t>CFS</t>
        </is>
      </c>
      <c r="H42" s="29" t="inlineStr">
        <is>
          <t>CIS</t>
        </is>
      </c>
      <c r="I42" s="29" t="inlineStr">
        <is>
          <t>포괄손익계산서</t>
        </is>
      </c>
      <c r="J42" s="29" t="inlineStr">
        <is>
          <t>ifrs-full_Revenue</t>
        </is>
      </c>
      <c r="K42" s="29" t="inlineStr">
        <is>
          <t>수익(매출액)</t>
        </is>
      </c>
      <c r="L42" s="29" t="inlineStr">
        <is>
          <t>-</t>
        </is>
      </c>
      <c r="M42" s="29" t="inlineStr">
        <is>
          <t>제 3 기</t>
        </is>
      </c>
      <c r="N42" s="29" t="inlineStr">
        <is>
          <t>445803726054.0</t>
        </is>
      </c>
      <c r="O42" s="29" t="inlineStr">
        <is>
          <t>265729684455.0</t>
        </is>
      </c>
      <c r="P42" s="29" t="inlineStr">
        <is>
          <t>KRW</t>
        </is>
      </c>
      <c r="Q42" s="29" t="inlineStr">
        <is>
          <t>0</t>
        </is>
      </c>
    </row>
    <row r="43" ht="24" customHeight="1">
      <c r="A43" s="24" t="inlineStr">
        <is>
          <t>OpenDART_fnlttSinglAcntAll</t>
        </is>
      </c>
      <c r="B43" s="24" t="inlineStr">
        <is>
          <t>01365825</t>
        </is>
      </c>
      <c r="C43" s="24" t="inlineStr">
        <is>
          <t>피에스케이</t>
        </is>
      </c>
      <c r="D43" s="24" t="inlineStr">
        <is>
          <t>psk</t>
        </is>
      </c>
      <c r="E43" s="24" t="inlineStr">
        <is>
          <t>319660</t>
        </is>
      </c>
      <c r="F43" s="24" t="inlineStr">
        <is>
          <t>2021</t>
        </is>
      </c>
      <c r="G43" s="24" t="inlineStr">
        <is>
          <t>CFS</t>
        </is>
      </c>
      <c r="H43" s="24" t="inlineStr">
        <is>
          <t>CIS</t>
        </is>
      </c>
      <c r="I43" s="24" t="inlineStr">
        <is>
          <t>포괄손익계산서</t>
        </is>
      </c>
      <c r="J43" s="24" t="inlineStr">
        <is>
          <t>ifrs-full_CostOfSales</t>
        </is>
      </c>
      <c r="K43" s="24" t="inlineStr">
        <is>
          <t>매출원가</t>
        </is>
      </c>
      <c r="L43" s="24" t="inlineStr">
        <is>
          <t>-</t>
        </is>
      </c>
      <c r="M43" s="24" t="inlineStr">
        <is>
          <t>제 3 기</t>
        </is>
      </c>
      <c r="N43" s="24" t="inlineStr">
        <is>
          <t>244890416739.0</t>
        </is>
      </c>
      <c r="O43" s="24" t="inlineStr">
        <is>
          <t>147252859366.0</t>
        </is>
      </c>
      <c r="P43" s="24" t="inlineStr">
        <is>
          <t>KRW</t>
        </is>
      </c>
      <c r="Q43" s="24" t="inlineStr">
        <is>
          <t>1</t>
        </is>
      </c>
    </row>
    <row r="44" ht="24" customHeight="1">
      <c r="A44" s="29" t="inlineStr">
        <is>
          <t>OpenDART_fnlttSinglAcntAll</t>
        </is>
      </c>
      <c r="B44" s="29" t="inlineStr">
        <is>
          <t>01365825</t>
        </is>
      </c>
      <c r="C44" s="29" t="inlineStr">
        <is>
          <t>피에스케이</t>
        </is>
      </c>
      <c r="D44" s="29" t="inlineStr">
        <is>
          <t>psk</t>
        </is>
      </c>
      <c r="E44" s="29" t="inlineStr">
        <is>
          <t>319660</t>
        </is>
      </c>
      <c r="F44" s="29" t="inlineStr">
        <is>
          <t>2021</t>
        </is>
      </c>
      <c r="G44" s="29" t="inlineStr">
        <is>
          <t>CFS</t>
        </is>
      </c>
      <c r="H44" s="29" t="inlineStr">
        <is>
          <t>CIS</t>
        </is>
      </c>
      <c r="I44" s="29" t="inlineStr">
        <is>
          <t>포괄손익계산서</t>
        </is>
      </c>
      <c r="J44" s="29" t="inlineStr">
        <is>
          <t>ifrs-full_GrossProfit</t>
        </is>
      </c>
      <c r="K44" s="29" t="inlineStr">
        <is>
          <t>매출총이익</t>
        </is>
      </c>
      <c r="L44" s="29" t="inlineStr">
        <is>
          <t>-</t>
        </is>
      </c>
      <c r="M44" s="29" t="inlineStr">
        <is>
          <t>제 3 기</t>
        </is>
      </c>
      <c r="N44" s="29" t="inlineStr">
        <is>
          <t>200913309315.0</t>
        </is>
      </c>
      <c r="O44" s="29" t="inlineStr">
        <is>
          <t>118476825089.0</t>
        </is>
      </c>
      <c r="P44" s="29" t="inlineStr">
        <is>
          <t>KRW</t>
        </is>
      </c>
      <c r="Q44" s="29" t="inlineStr">
        <is>
          <t>2</t>
        </is>
      </c>
    </row>
    <row r="45" ht="24" customHeight="1">
      <c r="A45" s="24" t="inlineStr">
        <is>
          <t>OpenDART_fnlttSinglAcntAll</t>
        </is>
      </c>
      <c r="B45" s="24" t="inlineStr">
        <is>
          <t>01365825</t>
        </is>
      </c>
      <c r="C45" s="24" t="inlineStr">
        <is>
          <t>피에스케이</t>
        </is>
      </c>
      <c r="D45" s="24" t="inlineStr">
        <is>
          <t>psk</t>
        </is>
      </c>
      <c r="E45" s="24" t="inlineStr">
        <is>
          <t>319660</t>
        </is>
      </c>
      <c r="F45" s="24" t="inlineStr">
        <is>
          <t>2021</t>
        </is>
      </c>
      <c r="G45" s="24" t="inlineStr">
        <is>
          <t>CFS</t>
        </is>
      </c>
      <c r="H45" s="24" t="inlineStr">
        <is>
          <t>CIS</t>
        </is>
      </c>
      <c r="I45" s="24" t="inlineStr">
        <is>
          <t>포괄손익계산서</t>
        </is>
      </c>
      <c r="J45" s="24" t="inlineStr">
        <is>
          <t>dart_TotalSellingGeneralAdministrativeExpenses</t>
        </is>
      </c>
      <c r="K45" s="24" t="inlineStr">
        <is>
          <t>판매비와관리비</t>
        </is>
      </c>
      <c r="L45" s="24" t="inlineStr">
        <is>
          <t>-</t>
        </is>
      </c>
      <c r="M45" s="24" t="inlineStr">
        <is>
          <t>제 3 기</t>
        </is>
      </c>
      <c r="N45" s="24" t="inlineStr">
        <is>
          <t>106828368712.0</t>
        </is>
      </c>
      <c r="O45" s="24" t="inlineStr">
        <is>
          <t>86924025535.0</t>
        </is>
      </c>
      <c r="P45" s="24" t="inlineStr">
        <is>
          <t>KRW</t>
        </is>
      </c>
      <c r="Q45" s="24" t="inlineStr">
        <is>
          <t>3</t>
        </is>
      </c>
    </row>
    <row r="46" ht="24" customHeight="1">
      <c r="A46" s="29" t="inlineStr">
        <is>
          <t>OpenDART_fnlttSinglAcntAll</t>
        </is>
      </c>
      <c r="B46" s="29" t="inlineStr">
        <is>
          <t>01365825</t>
        </is>
      </c>
      <c r="C46" s="29" t="inlineStr">
        <is>
          <t>피에스케이</t>
        </is>
      </c>
      <c r="D46" s="29" t="inlineStr">
        <is>
          <t>psk</t>
        </is>
      </c>
      <c r="E46" s="29" t="inlineStr">
        <is>
          <t>319660</t>
        </is>
      </c>
      <c r="F46" s="29" t="inlineStr">
        <is>
          <t>2021</t>
        </is>
      </c>
      <c r="G46" s="29" t="inlineStr">
        <is>
          <t>CFS</t>
        </is>
      </c>
      <c r="H46" s="29" t="inlineStr">
        <is>
          <t>CIS</t>
        </is>
      </c>
      <c r="I46" s="29" t="inlineStr">
        <is>
          <t>포괄손익계산서</t>
        </is>
      </c>
      <c r="J46" s="29" t="inlineStr">
        <is>
          <t>dart_OperatingIncomeLoss</t>
        </is>
      </c>
      <c r="K46" s="29" t="inlineStr">
        <is>
          <t>영업이익(손실)</t>
        </is>
      </c>
      <c r="L46" s="29" t="inlineStr">
        <is>
          <t>-</t>
        </is>
      </c>
      <c r="M46" s="29" t="inlineStr">
        <is>
          <t>제 3 기</t>
        </is>
      </c>
      <c r="N46" s="29" t="inlineStr">
        <is>
          <t>94084940603.0</t>
        </is>
      </c>
      <c r="O46" s="29" t="inlineStr">
        <is>
          <t>31552799554.0</t>
        </is>
      </c>
      <c r="P46" s="29" t="inlineStr">
        <is>
          <t>KRW</t>
        </is>
      </c>
      <c r="Q46" s="29" t="inlineStr">
        <is>
          <t>4</t>
        </is>
      </c>
    </row>
    <row r="47" ht="24" customHeight="1">
      <c r="A47" s="24" t="inlineStr">
        <is>
          <t>OpenDART_fnlttSinglAcntAll</t>
        </is>
      </c>
      <c r="B47" s="24" t="inlineStr">
        <is>
          <t>01365825</t>
        </is>
      </c>
      <c r="C47" s="24" t="inlineStr">
        <is>
          <t>피에스케이</t>
        </is>
      </c>
      <c r="D47" s="24" t="inlineStr">
        <is>
          <t>psk</t>
        </is>
      </c>
      <c r="E47" s="24" t="inlineStr">
        <is>
          <t>319660</t>
        </is>
      </c>
      <c r="F47" s="24" t="inlineStr">
        <is>
          <t>2021</t>
        </is>
      </c>
      <c r="G47" s="24" t="inlineStr">
        <is>
          <t>CFS</t>
        </is>
      </c>
      <c r="H47" s="24" t="inlineStr">
        <is>
          <t>CIS</t>
        </is>
      </c>
      <c r="I47" s="24" t="inlineStr">
        <is>
          <t>포괄손익계산서</t>
        </is>
      </c>
      <c r="J47" s="24" t="inlineStr">
        <is>
          <t>-표준계정코드 미사용-</t>
        </is>
      </c>
      <c r="K47" s="24" t="inlineStr">
        <is>
          <t>영업외손익</t>
        </is>
      </c>
      <c r="L47" s="24" t="inlineStr">
        <is>
          <t>-</t>
        </is>
      </c>
      <c r="M47" s="24" t="inlineStr">
        <is>
          <t>제 3 기</t>
        </is>
      </c>
      <c r="N47" s="24" t="inlineStr">
        <is>
          <t>6362782940.0</t>
        </is>
      </c>
      <c r="O47" s="24" t="inlineStr">
        <is>
          <t>-247619699.0</t>
        </is>
      </c>
      <c r="P47" s="24" t="inlineStr">
        <is>
          <t>KRW</t>
        </is>
      </c>
      <c r="Q47" s="24" t="inlineStr">
        <is>
          <t>5</t>
        </is>
      </c>
    </row>
    <row r="48" ht="24" customHeight="1">
      <c r="A48" s="29" t="inlineStr">
        <is>
          <t>OpenDART_fnlttSinglAcntAll</t>
        </is>
      </c>
      <c r="B48" s="29" t="inlineStr">
        <is>
          <t>01365825</t>
        </is>
      </c>
      <c r="C48" s="29" t="inlineStr">
        <is>
          <t>피에스케이</t>
        </is>
      </c>
      <c r="D48" s="29" t="inlineStr">
        <is>
          <t>psk</t>
        </is>
      </c>
      <c r="E48" s="29" t="inlineStr">
        <is>
          <t>319660</t>
        </is>
      </c>
      <c r="F48" s="29" t="inlineStr">
        <is>
          <t>2021</t>
        </is>
      </c>
      <c r="G48" s="29" t="inlineStr">
        <is>
          <t>CFS</t>
        </is>
      </c>
      <c r="H48" s="29" t="inlineStr">
        <is>
          <t>CIS</t>
        </is>
      </c>
      <c r="I48" s="29" t="inlineStr">
        <is>
          <t>포괄손익계산서</t>
        </is>
      </c>
      <c r="J48" s="29" t="inlineStr">
        <is>
          <t>ifrs-full_FinanceIncome</t>
        </is>
      </c>
      <c r="K48" s="29" t="inlineStr">
        <is>
          <t>금융수익</t>
        </is>
      </c>
      <c r="L48" s="29" t="inlineStr">
        <is>
          <t>-</t>
        </is>
      </c>
      <c r="M48" s="29" t="inlineStr">
        <is>
          <t>제 3 기</t>
        </is>
      </c>
      <c r="N48" s="29" t="inlineStr">
        <is>
          <t>9782264112.0</t>
        </is>
      </c>
      <c r="O48" s="29" t="inlineStr">
        <is>
          <t>6876624736.0</t>
        </is>
      </c>
      <c r="P48" s="29" t="inlineStr">
        <is>
          <t>KRW</t>
        </is>
      </c>
      <c r="Q48" s="29" t="inlineStr">
        <is>
          <t>6</t>
        </is>
      </c>
    </row>
    <row r="49" ht="24" customHeight="1">
      <c r="A49" s="24" t="inlineStr">
        <is>
          <t>OpenDART_fnlttSinglAcntAll</t>
        </is>
      </c>
      <c r="B49" s="24" t="inlineStr">
        <is>
          <t>01365825</t>
        </is>
      </c>
      <c r="C49" s="24" t="inlineStr">
        <is>
          <t>피에스케이</t>
        </is>
      </c>
      <c r="D49" s="24" t="inlineStr">
        <is>
          <t>psk</t>
        </is>
      </c>
      <c r="E49" s="24" t="inlineStr">
        <is>
          <t>319660</t>
        </is>
      </c>
      <c r="F49" s="24" t="inlineStr">
        <is>
          <t>2021</t>
        </is>
      </c>
      <c r="G49" s="24" t="inlineStr">
        <is>
          <t>CFS</t>
        </is>
      </c>
      <c r="H49" s="24" t="inlineStr">
        <is>
          <t>CIS</t>
        </is>
      </c>
      <c r="I49" s="24" t="inlineStr">
        <is>
          <t>포괄손익계산서</t>
        </is>
      </c>
      <c r="J49" s="24" t="inlineStr">
        <is>
          <t>ifrs-full_FinanceCosts</t>
        </is>
      </c>
      <c r="K49" s="24" t="inlineStr">
        <is>
          <t>금융원가</t>
        </is>
      </c>
      <c r="L49" s="24" t="inlineStr">
        <is>
          <t>-</t>
        </is>
      </c>
      <c r="M49" s="24" t="inlineStr">
        <is>
          <t>제 3 기</t>
        </is>
      </c>
      <c r="N49" s="24" t="inlineStr">
        <is>
          <t>4838718244.0</t>
        </is>
      </c>
      <c r="O49" s="24" t="inlineStr">
        <is>
          <t>8783873905.0</t>
        </is>
      </c>
      <c r="P49" s="24" t="inlineStr">
        <is>
          <t>KRW</t>
        </is>
      </c>
      <c r="Q49" s="24" t="inlineStr">
        <is>
          <t>7</t>
        </is>
      </c>
    </row>
    <row r="50" ht="24" customHeight="1">
      <c r="A50" s="29" t="inlineStr">
        <is>
          <t>OpenDART_fnlttSinglAcntAll</t>
        </is>
      </c>
      <c r="B50" s="29" t="inlineStr">
        <is>
          <t>01365825</t>
        </is>
      </c>
      <c r="C50" s="29" t="inlineStr">
        <is>
          <t>피에스케이</t>
        </is>
      </c>
      <c r="D50" s="29" t="inlineStr">
        <is>
          <t>psk</t>
        </is>
      </c>
      <c r="E50" s="29" t="inlineStr">
        <is>
          <t>319660</t>
        </is>
      </c>
      <c r="F50" s="29" t="inlineStr">
        <is>
          <t>2021</t>
        </is>
      </c>
      <c r="G50" s="29" t="inlineStr">
        <is>
          <t>CFS</t>
        </is>
      </c>
      <c r="H50" s="29" t="inlineStr">
        <is>
          <t>CIS</t>
        </is>
      </c>
      <c r="I50" s="29" t="inlineStr">
        <is>
          <t>포괄손익계산서</t>
        </is>
      </c>
      <c r="J50" s="29" t="inlineStr">
        <is>
          <t>dart_OtherGains</t>
        </is>
      </c>
      <c r="K50" s="29" t="inlineStr">
        <is>
          <t>기타이익</t>
        </is>
      </c>
      <c r="L50" s="29" t="inlineStr">
        <is>
          <t>-</t>
        </is>
      </c>
      <c r="M50" s="29" t="inlineStr">
        <is>
          <t>제 3 기</t>
        </is>
      </c>
      <c r="N50" s="29" t="inlineStr">
        <is>
          <t>1922760039.0</t>
        </is>
      </c>
      <c r="O50" s="29" t="inlineStr">
        <is>
          <t>2111145646.0</t>
        </is>
      </c>
      <c r="P50" s="29" t="inlineStr">
        <is>
          <t>KRW</t>
        </is>
      </c>
      <c r="Q50" s="29" t="inlineStr">
        <is>
          <t>8</t>
        </is>
      </c>
    </row>
    <row r="51" ht="24" customHeight="1">
      <c r="A51" s="24" t="inlineStr">
        <is>
          <t>OpenDART_fnlttSinglAcntAll</t>
        </is>
      </c>
      <c r="B51" s="24" t="inlineStr">
        <is>
          <t>01365825</t>
        </is>
      </c>
      <c r="C51" s="24" t="inlineStr">
        <is>
          <t>피에스케이</t>
        </is>
      </c>
      <c r="D51" s="24" t="inlineStr">
        <is>
          <t>psk</t>
        </is>
      </c>
      <c r="E51" s="24" t="inlineStr">
        <is>
          <t>319660</t>
        </is>
      </c>
      <c r="F51" s="24" t="inlineStr">
        <is>
          <t>2021</t>
        </is>
      </c>
      <c r="G51" s="24" t="inlineStr">
        <is>
          <t>CFS</t>
        </is>
      </c>
      <c r="H51" s="24" t="inlineStr">
        <is>
          <t>CIS</t>
        </is>
      </c>
      <c r="I51" s="24" t="inlineStr">
        <is>
          <t>포괄손익계산서</t>
        </is>
      </c>
      <c r="J51" s="24" t="inlineStr">
        <is>
          <t>dart_OtherLosses</t>
        </is>
      </c>
      <c r="K51" s="24" t="inlineStr">
        <is>
          <t>기타손실</t>
        </is>
      </c>
      <c r="L51" s="24" t="inlineStr">
        <is>
          <t>-</t>
        </is>
      </c>
      <c r="M51" s="24" t="inlineStr">
        <is>
          <t>제 3 기</t>
        </is>
      </c>
      <c r="N51" s="24" t="inlineStr">
        <is>
          <t>503522967.0</t>
        </is>
      </c>
      <c r="O51" s="24" t="inlineStr">
        <is>
          <t>451516176.0</t>
        </is>
      </c>
      <c r="P51" s="24" t="inlineStr">
        <is>
          <t>KRW</t>
        </is>
      </c>
      <c r="Q51" s="24" t="inlineStr">
        <is>
          <t>9</t>
        </is>
      </c>
    </row>
    <row r="52" ht="24" customHeight="1">
      <c r="A52" s="29" t="inlineStr">
        <is>
          <t>OpenDART_fnlttSinglAcntAll</t>
        </is>
      </c>
      <c r="B52" s="29" t="inlineStr">
        <is>
          <t>01365825</t>
        </is>
      </c>
      <c r="C52" s="29" t="inlineStr">
        <is>
          <t>피에스케이</t>
        </is>
      </c>
      <c r="D52" s="29" t="inlineStr">
        <is>
          <t>psk</t>
        </is>
      </c>
      <c r="E52" s="29" t="inlineStr">
        <is>
          <t>319660</t>
        </is>
      </c>
      <c r="F52" s="29" t="inlineStr">
        <is>
          <t>2021</t>
        </is>
      </c>
      <c r="G52" s="29" t="inlineStr">
        <is>
          <t>CFS</t>
        </is>
      </c>
      <c r="H52" s="29" t="inlineStr">
        <is>
          <t>CIS</t>
        </is>
      </c>
      <c r="I52" s="29" t="inlineStr">
        <is>
          <t>포괄손익계산서</t>
        </is>
      </c>
      <c r="J52" s="29" t="inlineStr">
        <is>
          <t>ifrs-full_ProfitLossBeforeTax</t>
        </is>
      </c>
      <c r="K52" s="29" t="inlineStr">
        <is>
          <t>법인세비용차감전순이익(손실)</t>
        </is>
      </c>
      <c r="L52" s="29" t="inlineStr">
        <is>
          <t>-</t>
        </is>
      </c>
      <c r="M52" s="29" t="inlineStr">
        <is>
          <t>제 3 기</t>
        </is>
      </c>
      <c r="N52" s="29" t="inlineStr">
        <is>
          <t>100447723543.0</t>
        </is>
      </c>
      <c r="O52" s="29" t="inlineStr">
        <is>
          <t>31305179855.0</t>
        </is>
      </c>
      <c r="P52" s="29" t="inlineStr">
        <is>
          <t>KRW</t>
        </is>
      </c>
      <c r="Q52" s="29" t="inlineStr">
        <is>
          <t>10</t>
        </is>
      </c>
    </row>
    <row r="53" ht="24" customHeight="1">
      <c r="A53" s="24" t="inlineStr">
        <is>
          <t>OpenDART_fnlttSinglAcntAll</t>
        </is>
      </c>
      <c r="B53" s="24" t="inlineStr">
        <is>
          <t>01365825</t>
        </is>
      </c>
      <c r="C53" s="24" t="inlineStr">
        <is>
          <t>피에스케이</t>
        </is>
      </c>
      <c r="D53" s="24" t="inlineStr">
        <is>
          <t>psk</t>
        </is>
      </c>
      <c r="E53" s="24" t="inlineStr">
        <is>
          <t>319660</t>
        </is>
      </c>
      <c r="F53" s="24" t="inlineStr">
        <is>
          <t>2021</t>
        </is>
      </c>
      <c r="G53" s="24" t="inlineStr">
        <is>
          <t>CFS</t>
        </is>
      </c>
      <c r="H53" s="24" t="inlineStr">
        <is>
          <t>CIS</t>
        </is>
      </c>
      <c r="I53" s="24" t="inlineStr">
        <is>
          <t>포괄손익계산서</t>
        </is>
      </c>
      <c r="J53" s="24" t="inlineStr">
        <is>
          <t>ifrs-full_IncomeTaxExpenseContinuingOperations</t>
        </is>
      </c>
      <c r="K53" s="24" t="inlineStr">
        <is>
          <t>법인세비용</t>
        </is>
      </c>
      <c r="L53" s="24" t="inlineStr">
        <is>
          <t>-</t>
        </is>
      </c>
      <c r="M53" s="24" t="inlineStr">
        <is>
          <t>제 3 기</t>
        </is>
      </c>
      <c r="N53" s="24" t="inlineStr">
        <is>
          <t>23719312022.0</t>
        </is>
      </c>
      <c r="O53" s="24" t="inlineStr">
        <is>
          <t>9045736916.0</t>
        </is>
      </c>
      <c r="P53" s="24" t="inlineStr">
        <is>
          <t>KRW</t>
        </is>
      </c>
      <c r="Q53" s="24" t="inlineStr">
        <is>
          <t>11</t>
        </is>
      </c>
    </row>
    <row r="54" ht="24" customHeight="1">
      <c r="A54" s="29" t="inlineStr">
        <is>
          <t>OpenDART_fnlttSinglAcntAll</t>
        </is>
      </c>
      <c r="B54" s="29" t="inlineStr">
        <is>
          <t>01365825</t>
        </is>
      </c>
      <c r="C54" s="29" t="inlineStr">
        <is>
          <t>피에스케이</t>
        </is>
      </c>
      <c r="D54" s="29" t="inlineStr">
        <is>
          <t>psk</t>
        </is>
      </c>
      <c r="E54" s="29" t="inlineStr">
        <is>
          <t>319660</t>
        </is>
      </c>
      <c r="F54" s="29" t="inlineStr">
        <is>
          <t>2021</t>
        </is>
      </c>
      <c r="G54" s="29" t="inlineStr">
        <is>
          <t>CFS</t>
        </is>
      </c>
      <c r="H54" s="29" t="inlineStr">
        <is>
          <t>CIS</t>
        </is>
      </c>
      <c r="I54" s="29" t="inlineStr">
        <is>
          <t>포괄손익계산서</t>
        </is>
      </c>
      <c r="J54" s="29" t="inlineStr">
        <is>
          <t>ifrs-full_ProfitLossFromContinuingOperations</t>
        </is>
      </c>
      <c r="K54" s="29" t="inlineStr">
        <is>
          <t>계속영업이익(손실)</t>
        </is>
      </c>
      <c r="L54" s="29" t="inlineStr">
        <is>
          <t>-</t>
        </is>
      </c>
      <c r="M54" s="29" t="inlineStr">
        <is>
          <t>제 3 기</t>
        </is>
      </c>
      <c r="N54" s="29" t="inlineStr">
        <is>
          <t>76728411521.0</t>
        </is>
      </c>
      <c r="O54" s="29" t="inlineStr">
        <is>
          <t>22259442939.0</t>
        </is>
      </c>
      <c r="P54" s="29" t="inlineStr">
        <is>
          <t>KRW</t>
        </is>
      </c>
      <c r="Q54" s="29" t="inlineStr">
        <is>
          <t>12</t>
        </is>
      </c>
    </row>
    <row r="55" ht="24" customHeight="1">
      <c r="A55" s="24" t="inlineStr">
        <is>
          <t>OpenDART_fnlttSinglAcntAll</t>
        </is>
      </c>
      <c r="B55" s="24" t="inlineStr">
        <is>
          <t>01365825</t>
        </is>
      </c>
      <c r="C55" s="24" t="inlineStr">
        <is>
          <t>피에스케이</t>
        </is>
      </c>
      <c r="D55" s="24" t="inlineStr">
        <is>
          <t>psk</t>
        </is>
      </c>
      <c r="E55" s="24" t="inlineStr">
        <is>
          <t>319660</t>
        </is>
      </c>
      <c r="F55" s="24" t="inlineStr">
        <is>
          <t>2021</t>
        </is>
      </c>
      <c r="G55" s="24" t="inlineStr">
        <is>
          <t>CFS</t>
        </is>
      </c>
      <c r="H55" s="24" t="inlineStr">
        <is>
          <t>CIS</t>
        </is>
      </c>
      <c r="I55" s="24" t="inlineStr">
        <is>
          <t>포괄손익계산서</t>
        </is>
      </c>
      <c r="J55" s="24" t="inlineStr">
        <is>
          <t>ifrs-full_ProfitLossFromDiscontinuedOperations</t>
        </is>
      </c>
      <c r="K55" s="24" t="inlineStr">
        <is>
          <t>중단영업이익(손실)</t>
        </is>
      </c>
      <c r="L55" s="24" t="inlineStr">
        <is>
          <t>-</t>
        </is>
      </c>
      <c r="M55" s="24" t="inlineStr">
        <is>
          <t>제 3 기</t>
        </is>
      </c>
      <c r="N55" s="24" t="inlineStr">
        <is>
          <t>0.0</t>
        </is>
      </c>
      <c r="O55" s="24" t="inlineStr">
        <is>
          <t>0.0</t>
        </is>
      </c>
      <c r="P55" s="24" t="inlineStr">
        <is>
          <t>KRW</t>
        </is>
      </c>
      <c r="Q55" s="24" t="inlineStr">
        <is>
          <t>13</t>
        </is>
      </c>
    </row>
    <row r="56" ht="24" customHeight="1">
      <c r="A56" s="29" t="inlineStr">
        <is>
          <t>OpenDART_fnlttSinglAcntAll</t>
        </is>
      </c>
      <c r="B56" s="29" t="inlineStr">
        <is>
          <t>01365825</t>
        </is>
      </c>
      <c r="C56" s="29" t="inlineStr">
        <is>
          <t>피에스케이</t>
        </is>
      </c>
      <c r="D56" s="29" t="inlineStr">
        <is>
          <t>psk</t>
        </is>
      </c>
      <c r="E56" s="29" t="inlineStr">
        <is>
          <t>319660</t>
        </is>
      </c>
      <c r="F56" s="29" t="inlineStr">
        <is>
          <t>2021</t>
        </is>
      </c>
      <c r="G56" s="29" t="inlineStr">
        <is>
          <t>CFS</t>
        </is>
      </c>
      <c r="H56" s="29" t="inlineStr">
        <is>
          <t>CIS</t>
        </is>
      </c>
      <c r="I56" s="29" t="inlineStr">
        <is>
          <t>포괄손익계산서</t>
        </is>
      </c>
      <c r="J56" s="29" t="inlineStr">
        <is>
          <t>ifrs-full_ProfitLoss</t>
        </is>
      </c>
      <c r="K56" s="29" t="inlineStr">
        <is>
          <t>당기순이익(손실)</t>
        </is>
      </c>
      <c r="L56" s="29" t="inlineStr">
        <is>
          <t>-</t>
        </is>
      </c>
      <c r="M56" s="29" t="inlineStr">
        <is>
          <t>제 3 기</t>
        </is>
      </c>
      <c r="N56" s="29" t="inlineStr">
        <is>
          <t>76728411521.0</t>
        </is>
      </c>
      <c r="O56" s="29" t="inlineStr">
        <is>
          <t>22259442939.0</t>
        </is>
      </c>
      <c r="P56" s="29" t="inlineStr">
        <is>
          <t>KRW</t>
        </is>
      </c>
      <c r="Q56" s="29" t="inlineStr">
        <is>
          <t>14</t>
        </is>
      </c>
    </row>
    <row r="57" ht="24" customHeight="1">
      <c r="A57" s="24" t="inlineStr">
        <is>
          <t>OpenDART_fnlttSinglAcntAll</t>
        </is>
      </c>
      <c r="B57" s="24" t="inlineStr">
        <is>
          <t>01365825</t>
        </is>
      </c>
      <c r="C57" s="24" t="inlineStr">
        <is>
          <t>피에스케이</t>
        </is>
      </c>
      <c r="D57" s="24" t="inlineStr">
        <is>
          <t>psk</t>
        </is>
      </c>
      <c r="E57" s="24" t="inlineStr">
        <is>
          <t>319660</t>
        </is>
      </c>
      <c r="F57" s="24" t="inlineStr">
        <is>
          <t>2021</t>
        </is>
      </c>
      <c r="G57" s="24" t="inlineStr">
        <is>
          <t>CFS</t>
        </is>
      </c>
      <c r="H57" s="24" t="inlineStr">
        <is>
          <t>CIS</t>
        </is>
      </c>
      <c r="I57" s="24" t="inlineStr">
        <is>
          <t>포괄손익계산서</t>
        </is>
      </c>
      <c r="J57" s="24" t="inlineStr">
        <is>
          <t>ifrs-full_OtherComprehensiveIncome</t>
        </is>
      </c>
      <c r="K57" s="24" t="inlineStr">
        <is>
          <t>기타포괄손익</t>
        </is>
      </c>
      <c r="L57" s="24" t="inlineStr">
        <is>
          <t>-</t>
        </is>
      </c>
      <c r="M57" s="24" t="inlineStr">
        <is>
          <t>제 3 기</t>
        </is>
      </c>
      <c r="N57" s="24" t="inlineStr">
        <is>
          <t>1346249652.0</t>
        </is>
      </c>
      <c r="O57" s="24" t="inlineStr">
        <is>
          <t>-443827817.0</t>
        </is>
      </c>
      <c r="P57" s="24" t="inlineStr">
        <is>
          <t>KRW</t>
        </is>
      </c>
      <c r="Q57" s="24" t="inlineStr">
        <is>
          <t>15</t>
        </is>
      </c>
    </row>
    <row r="58" ht="24" customHeight="1">
      <c r="A58" s="29" t="inlineStr">
        <is>
          <t>OpenDART_fnlttSinglAcntAll</t>
        </is>
      </c>
      <c r="B58" s="29" t="inlineStr">
        <is>
          <t>01365825</t>
        </is>
      </c>
      <c r="C58" s="29" t="inlineStr">
        <is>
          <t>피에스케이</t>
        </is>
      </c>
      <c r="D58" s="29" t="inlineStr">
        <is>
          <t>psk</t>
        </is>
      </c>
      <c r="E58" s="29" t="inlineStr">
        <is>
          <t>319660</t>
        </is>
      </c>
      <c r="F58" s="29" t="inlineStr">
        <is>
          <t>2021</t>
        </is>
      </c>
      <c r="G58" s="29" t="inlineStr">
        <is>
          <t>CFS</t>
        </is>
      </c>
      <c r="H58" s="29" t="inlineStr">
        <is>
          <t>CIS</t>
        </is>
      </c>
      <c r="I58" s="29" t="inlineStr">
        <is>
          <t>포괄손익계산서</t>
        </is>
      </c>
      <c r="J58" s="29" t="inlineStr">
        <is>
          <t>dart_OtherComprehensiveIncomeThatWillBeReclassifiedToProfitOrLossNetOfTax</t>
        </is>
      </c>
      <c r="K58" s="29" t="inlineStr">
        <is>
          <t>당기손익으로 재분류될 수 있는 항목(세후기타포괄손익)</t>
        </is>
      </c>
      <c r="L58" s="29" t="inlineStr">
        <is>
          <t>-</t>
        </is>
      </c>
      <c r="M58" s="29" t="inlineStr">
        <is>
          <t>제 3 기</t>
        </is>
      </c>
      <c r="N58" s="29" t="inlineStr">
        <is>
          <t>2053715020.0</t>
        </is>
      </c>
      <c r="O58" s="29" t="inlineStr">
        <is>
          <t>359739311.0</t>
        </is>
      </c>
      <c r="P58" s="29" t="inlineStr">
        <is>
          <t>KRW</t>
        </is>
      </c>
      <c r="Q58" s="29" t="inlineStr">
        <is>
          <t>16</t>
        </is>
      </c>
    </row>
    <row r="59" ht="24" customHeight="1">
      <c r="A59" s="24" t="inlineStr">
        <is>
          <t>OpenDART_fnlttSinglAcntAll</t>
        </is>
      </c>
      <c r="B59" s="24" t="inlineStr">
        <is>
          <t>01365825</t>
        </is>
      </c>
      <c r="C59" s="24" t="inlineStr">
        <is>
          <t>피에스케이</t>
        </is>
      </c>
      <c r="D59" s="24" t="inlineStr">
        <is>
          <t>psk</t>
        </is>
      </c>
      <c r="E59" s="24" t="inlineStr">
        <is>
          <t>319660</t>
        </is>
      </c>
      <c r="F59" s="24" t="inlineStr">
        <is>
          <t>2021</t>
        </is>
      </c>
      <c r="G59" s="24" t="inlineStr">
        <is>
          <t>CFS</t>
        </is>
      </c>
      <c r="H59" s="24" t="inlineStr">
        <is>
          <t>CIS</t>
        </is>
      </c>
      <c r="I59" s="24" t="inlineStr">
        <is>
          <t>포괄손익계산서</t>
        </is>
      </c>
      <c r="J59" s="24" t="inlineStr">
        <is>
          <t>ifrs-full_GainsLossesOnExchangeDifferencesOnTranslationNetOfTax</t>
        </is>
      </c>
      <c r="K59" s="24" t="inlineStr">
        <is>
          <t>해외사업장환산외환차이(세후기타포괄손익)</t>
        </is>
      </c>
      <c r="L59" s="24" t="inlineStr">
        <is>
          <t>-</t>
        </is>
      </c>
      <c r="M59" s="24" t="inlineStr">
        <is>
          <t>제 3 기</t>
        </is>
      </c>
      <c r="N59" s="24" t="inlineStr">
        <is>
          <t>2053715020.0</t>
        </is>
      </c>
      <c r="O59" s="24" t="inlineStr">
        <is>
          <t>359739311.0</t>
        </is>
      </c>
      <c r="P59" s="24" t="inlineStr">
        <is>
          <t>KRW</t>
        </is>
      </c>
      <c r="Q59" s="24" t="inlineStr">
        <is>
          <t>17</t>
        </is>
      </c>
    </row>
    <row r="60" ht="24" customHeight="1">
      <c r="A60" s="29" t="inlineStr">
        <is>
          <t>OpenDART_fnlttSinglAcntAll</t>
        </is>
      </c>
      <c r="B60" s="29" t="inlineStr">
        <is>
          <t>01365825</t>
        </is>
      </c>
      <c r="C60" s="29" t="inlineStr">
        <is>
          <t>피에스케이</t>
        </is>
      </c>
      <c r="D60" s="29" t="inlineStr">
        <is>
          <t>psk</t>
        </is>
      </c>
      <c r="E60" s="29" t="inlineStr">
        <is>
          <t>319660</t>
        </is>
      </c>
      <c r="F60" s="29" t="inlineStr">
        <is>
          <t>2021</t>
        </is>
      </c>
      <c r="G60" s="29" t="inlineStr">
        <is>
          <t>CFS</t>
        </is>
      </c>
      <c r="H60" s="29" t="inlineStr">
        <is>
          <t>CIS</t>
        </is>
      </c>
      <c r="I60" s="29" t="inlineStr">
        <is>
          <t>포괄손익계산서</t>
        </is>
      </c>
      <c r="J60" s="29" t="inlineStr">
        <is>
          <t>dart_OtherComprehensiveIncomeThatWillNotBeReclassifiedToProfitOrLossNetOfTax</t>
        </is>
      </c>
      <c r="K60" s="29" t="inlineStr">
        <is>
          <t>당기손익으로 재분류되지 않는항목(세후기타포괄손익)</t>
        </is>
      </c>
      <c r="L60" s="29" t="inlineStr">
        <is>
          <t>-</t>
        </is>
      </c>
      <c r="M60" s="29" t="inlineStr">
        <is>
          <t>제 3 기</t>
        </is>
      </c>
      <c r="N60" s="29" t="inlineStr">
        <is>
          <t>-707465368.0</t>
        </is>
      </c>
      <c r="O60" s="29" t="inlineStr">
        <is>
          <t>-803567128.0</t>
        </is>
      </c>
      <c r="P60" s="29" t="inlineStr">
        <is>
          <t>KRW</t>
        </is>
      </c>
      <c r="Q60" s="29" t="inlineStr">
        <is>
          <t>18</t>
        </is>
      </c>
    </row>
    <row r="61" ht="24" customHeight="1">
      <c r="A61" s="24" t="inlineStr">
        <is>
          <t>OpenDART_fnlttSinglAcntAll</t>
        </is>
      </c>
      <c r="B61" s="24" t="inlineStr">
        <is>
          <t>01365825</t>
        </is>
      </c>
      <c r="C61" s="24" t="inlineStr">
        <is>
          <t>피에스케이</t>
        </is>
      </c>
      <c r="D61" s="24" t="inlineStr">
        <is>
          <t>psk</t>
        </is>
      </c>
      <c r="E61" s="24" t="inlineStr">
        <is>
          <t>319660</t>
        </is>
      </c>
      <c r="F61" s="24" t="inlineStr">
        <is>
          <t>2021</t>
        </is>
      </c>
      <c r="G61" s="24" t="inlineStr">
        <is>
          <t>CFS</t>
        </is>
      </c>
      <c r="H61" s="24" t="inlineStr">
        <is>
          <t>CIS</t>
        </is>
      </c>
      <c r="I61" s="24" t="inlineStr">
        <is>
          <t>포괄손익계산서</t>
        </is>
      </c>
      <c r="J61" s="24" t="inlineStr">
        <is>
          <t>dart_OtherComprehensiveIncomeNetOfTaxGainsLossesOnRemeasurementsOfDefinedBenefitPlans</t>
        </is>
      </c>
      <c r="K61" s="24" t="inlineStr">
        <is>
          <t>확정급여제도의 재측정손익(세후기타포괄손익)</t>
        </is>
      </c>
      <c r="L61" s="24" t="inlineStr">
        <is>
          <t>-</t>
        </is>
      </c>
      <c r="M61" s="24" t="inlineStr">
        <is>
          <t>제 3 기</t>
        </is>
      </c>
      <c r="N61" s="24" t="inlineStr">
        <is>
          <t>-707465368.0</t>
        </is>
      </c>
      <c r="O61" s="24" t="inlineStr">
        <is>
          <t>-803567128.0</t>
        </is>
      </c>
      <c r="P61" s="24" t="inlineStr">
        <is>
          <t>KRW</t>
        </is>
      </c>
      <c r="Q61" s="24" t="inlineStr">
        <is>
          <t>19</t>
        </is>
      </c>
    </row>
    <row r="62" ht="24" customHeight="1">
      <c r="A62" s="29" t="inlineStr">
        <is>
          <t>OpenDART_fnlttSinglAcntAll</t>
        </is>
      </c>
      <c r="B62" s="29" t="inlineStr">
        <is>
          <t>01365825</t>
        </is>
      </c>
      <c r="C62" s="29" t="inlineStr">
        <is>
          <t>피에스케이</t>
        </is>
      </c>
      <c r="D62" s="29" t="inlineStr">
        <is>
          <t>psk</t>
        </is>
      </c>
      <c r="E62" s="29" t="inlineStr">
        <is>
          <t>319660</t>
        </is>
      </c>
      <c r="F62" s="29" t="inlineStr">
        <is>
          <t>2021</t>
        </is>
      </c>
      <c r="G62" s="29" t="inlineStr">
        <is>
          <t>CFS</t>
        </is>
      </c>
      <c r="H62" s="29" t="inlineStr">
        <is>
          <t>CIS</t>
        </is>
      </c>
      <c r="I62" s="29" t="inlineStr">
        <is>
          <t>포괄손익계산서</t>
        </is>
      </c>
      <c r="J62" s="29" t="inlineStr">
        <is>
          <t>ifrs-full_ComprehensiveIncome</t>
        </is>
      </c>
      <c r="K62" s="29" t="inlineStr">
        <is>
          <t>총포괄손익</t>
        </is>
      </c>
      <c r="L62" s="29" t="inlineStr">
        <is>
          <t>-</t>
        </is>
      </c>
      <c r="M62" s="29" t="inlineStr">
        <is>
          <t>제 3 기</t>
        </is>
      </c>
      <c r="N62" s="29" t="inlineStr">
        <is>
          <t>78074661173.0</t>
        </is>
      </c>
      <c r="O62" s="29" t="inlineStr">
        <is>
          <t>21815615122.0</t>
        </is>
      </c>
      <c r="P62" s="29" t="inlineStr">
        <is>
          <t>KRW</t>
        </is>
      </c>
      <c r="Q62" s="29" t="inlineStr">
        <is>
          <t>20</t>
        </is>
      </c>
    </row>
    <row r="63" ht="24" customHeight="1">
      <c r="A63" s="24" t="inlineStr">
        <is>
          <t>OpenDART_fnlttSinglAcntAll</t>
        </is>
      </c>
      <c r="B63" s="24" t="inlineStr">
        <is>
          <t>01365825</t>
        </is>
      </c>
      <c r="C63" s="24" t="inlineStr">
        <is>
          <t>피에스케이</t>
        </is>
      </c>
      <c r="D63" s="24" t="inlineStr">
        <is>
          <t>psk</t>
        </is>
      </c>
      <c r="E63" s="24" t="inlineStr">
        <is>
          <t>319660</t>
        </is>
      </c>
      <c r="F63" s="24" t="inlineStr">
        <is>
          <t>2021</t>
        </is>
      </c>
      <c r="G63" s="24" t="inlineStr">
        <is>
          <t>CFS</t>
        </is>
      </c>
      <c r="H63" s="24" t="inlineStr">
        <is>
          <t>CIS</t>
        </is>
      </c>
      <c r="I63" s="24" t="inlineStr">
        <is>
          <t>포괄손익계산서</t>
        </is>
      </c>
      <c r="J63" s="24" t="inlineStr">
        <is>
          <t>ifrs-full_BasicEarningsLossPerShare</t>
        </is>
      </c>
      <c r="K63" s="24" t="inlineStr">
        <is>
          <t>기본주당이익(손실)</t>
        </is>
      </c>
      <c r="L63" s="24" t="inlineStr">
        <is>
          <t>-</t>
        </is>
      </c>
      <c r="M63" s="24" t="inlineStr">
        <is>
          <t>제 3 기</t>
        </is>
      </c>
      <c r="N63" s="24" t="inlineStr">
        <is>
          <t>5229.0</t>
        </is>
      </c>
      <c r="O63" s="24" t="inlineStr">
        <is>
          <t>1570.0</t>
        </is>
      </c>
      <c r="P63" s="24" t="inlineStr">
        <is>
          <t>KRW</t>
        </is>
      </c>
      <c r="Q63" s="24" t="inlineStr">
        <is>
          <t>22</t>
        </is>
      </c>
    </row>
    <row r="64" ht="24" customHeight="1">
      <c r="A64" s="29" t="inlineStr">
        <is>
          <t>OpenDART_fnlttSinglAcntAll</t>
        </is>
      </c>
      <c r="B64" s="29" t="inlineStr">
        <is>
          <t>01365825</t>
        </is>
      </c>
      <c r="C64" s="29" t="inlineStr">
        <is>
          <t>피에스케이</t>
        </is>
      </c>
      <c r="D64" s="29" t="inlineStr">
        <is>
          <t>psk</t>
        </is>
      </c>
      <c r="E64" s="29" t="inlineStr">
        <is>
          <t>319660</t>
        </is>
      </c>
      <c r="F64" s="29" t="inlineStr">
        <is>
          <t>2021</t>
        </is>
      </c>
      <c r="G64" s="29" t="inlineStr">
        <is>
          <t>CFS</t>
        </is>
      </c>
      <c r="H64" s="29" t="inlineStr">
        <is>
          <t>CIS</t>
        </is>
      </c>
      <c r="I64" s="29" t="inlineStr">
        <is>
          <t>포괄손익계산서</t>
        </is>
      </c>
      <c r="J64" s="29" t="inlineStr">
        <is>
          <t>ifrs-full_DilutedEarningsLossPerShare</t>
        </is>
      </c>
      <c r="K64" s="29" t="inlineStr">
        <is>
          <t>희석주당이익(손실)</t>
        </is>
      </c>
      <c r="L64" s="29" t="inlineStr">
        <is>
          <t>-</t>
        </is>
      </c>
      <c r="M64" s="29" t="inlineStr">
        <is>
          <t>제 3 기</t>
        </is>
      </c>
      <c r="N64" s="29" t="inlineStr">
        <is>
          <t>5225.0</t>
        </is>
      </c>
      <c r="O64" s="29" t="inlineStr">
        <is>
          <t>1552.0</t>
        </is>
      </c>
      <c r="P64" s="29" t="inlineStr">
        <is>
          <t>KRW</t>
        </is>
      </c>
      <c r="Q64" s="29" t="inlineStr">
        <is>
          <t>23</t>
        </is>
      </c>
    </row>
    <row r="65" ht="24" customHeight="1">
      <c r="A65" s="24" t="inlineStr">
        <is>
          <t>OpenDART_fnlttSinglAcntAll</t>
        </is>
      </c>
      <c r="B65" s="24" t="inlineStr">
        <is>
          <t>01365825</t>
        </is>
      </c>
      <c r="C65" s="24" t="inlineStr">
        <is>
          <t>피에스케이</t>
        </is>
      </c>
      <c r="D65" s="24" t="inlineStr">
        <is>
          <t>psk</t>
        </is>
      </c>
      <c r="E65" s="24" t="inlineStr">
        <is>
          <t>319660</t>
        </is>
      </c>
      <c r="F65" s="24" t="inlineStr">
        <is>
          <t>2021</t>
        </is>
      </c>
      <c r="G65" s="24" t="inlineStr">
        <is>
          <t>CFS</t>
        </is>
      </c>
      <c r="H65" s="24" t="inlineStr">
        <is>
          <t>CF</t>
        </is>
      </c>
      <c r="I65" s="24" t="inlineStr">
        <is>
          <t>현금흐름표</t>
        </is>
      </c>
      <c r="J65" s="24" t="inlineStr">
        <is>
          <t>ifrs-full_CashFlowsFromUsedInOperatingActivities</t>
        </is>
      </c>
      <c r="K65" s="24" t="inlineStr">
        <is>
          <t>영업활동현금흐름</t>
        </is>
      </c>
      <c r="L65" s="24" t="inlineStr">
        <is>
          <t>-</t>
        </is>
      </c>
      <c r="M65" s="24" t="inlineStr">
        <is>
          <t>제 3 기</t>
        </is>
      </c>
      <c r="N65" s="24" t="inlineStr">
        <is>
          <t>114603470770.0</t>
        </is>
      </c>
      <c r="O65" s="24" t="inlineStr">
        <is>
          <t>22381744331.0</t>
        </is>
      </c>
      <c r="P65" s="24" t="inlineStr">
        <is>
          <t>KRW</t>
        </is>
      </c>
      <c r="Q65" s="24" t="inlineStr">
        <is>
          <t>0</t>
        </is>
      </c>
    </row>
    <row r="66" ht="24" customHeight="1">
      <c r="A66" s="29" t="inlineStr">
        <is>
          <t>OpenDART_fnlttSinglAcntAll</t>
        </is>
      </c>
      <c r="B66" s="29" t="inlineStr">
        <is>
          <t>01365825</t>
        </is>
      </c>
      <c r="C66" s="29" t="inlineStr">
        <is>
          <t>피에스케이</t>
        </is>
      </c>
      <c r="D66" s="29" t="inlineStr">
        <is>
          <t>psk</t>
        </is>
      </c>
      <c r="E66" s="29" t="inlineStr">
        <is>
          <t>319660</t>
        </is>
      </c>
      <c r="F66" s="29" t="inlineStr">
        <is>
          <t>2021</t>
        </is>
      </c>
      <c r="G66" s="29" t="inlineStr">
        <is>
          <t>CFS</t>
        </is>
      </c>
      <c r="H66" s="29" t="inlineStr">
        <is>
          <t>CF</t>
        </is>
      </c>
      <c r="I66" s="29" t="inlineStr">
        <is>
          <t>현금흐름표</t>
        </is>
      </c>
      <c r="J66" s="29" t="inlineStr">
        <is>
          <t>dart_ProfitLossForStatementOfCashFlows</t>
        </is>
      </c>
      <c r="K66" s="29" t="inlineStr">
        <is>
          <t>당기순이익(손실)</t>
        </is>
      </c>
      <c r="L66" s="29" t="inlineStr">
        <is>
          <t>-</t>
        </is>
      </c>
      <c r="M66" s="29" t="inlineStr">
        <is>
          <t>제 3 기</t>
        </is>
      </c>
      <c r="N66" s="29" t="inlineStr">
        <is>
          <t>76728411521.0</t>
        </is>
      </c>
      <c r="O66" s="29" t="inlineStr">
        <is>
          <t>22259442939.0</t>
        </is>
      </c>
      <c r="P66" s="29" t="inlineStr">
        <is>
          <t>KRW</t>
        </is>
      </c>
      <c r="Q66" s="29" t="inlineStr">
        <is>
          <t>1</t>
        </is>
      </c>
    </row>
    <row r="67" ht="24" customHeight="1">
      <c r="A67" s="24" t="inlineStr">
        <is>
          <t>OpenDART_fnlttSinglAcntAll</t>
        </is>
      </c>
      <c r="B67" s="24" t="inlineStr">
        <is>
          <t>01365825</t>
        </is>
      </c>
      <c r="C67" s="24" t="inlineStr">
        <is>
          <t>피에스케이</t>
        </is>
      </c>
      <c r="D67" s="24" t="inlineStr">
        <is>
          <t>psk</t>
        </is>
      </c>
      <c r="E67" s="24" t="inlineStr">
        <is>
          <t>319660</t>
        </is>
      </c>
      <c r="F67" s="24" t="inlineStr">
        <is>
          <t>2021</t>
        </is>
      </c>
      <c r="G67" s="24" t="inlineStr">
        <is>
          <t>CFS</t>
        </is>
      </c>
      <c r="H67" s="24" t="inlineStr">
        <is>
          <t>CF</t>
        </is>
      </c>
      <c r="I67" s="24" t="inlineStr">
        <is>
          <t>현금흐름표</t>
        </is>
      </c>
      <c r="J67" s="24" t="inlineStr">
        <is>
          <t>ifrs-full_AdjustmentsForReconcileProfitLoss</t>
        </is>
      </c>
      <c r="K67" s="24" t="inlineStr">
        <is>
          <t>당기순이익조정을 위한 가감</t>
        </is>
      </c>
      <c r="L67" s="24" t="inlineStr">
        <is>
          <t>-</t>
        </is>
      </c>
      <c r="M67" s="24" t="inlineStr">
        <is>
          <t>제 3 기</t>
        </is>
      </c>
      <c r="N67" s="24" t="inlineStr">
        <is>
          <t>53629851795.0</t>
        </is>
      </c>
      <c r="O67" s="24" t="inlineStr">
        <is>
          <t>26037901273.0</t>
        </is>
      </c>
      <c r="P67" s="24" t="inlineStr">
        <is>
          <t>KRW</t>
        </is>
      </c>
      <c r="Q67" s="24" t="inlineStr">
        <is>
          <t>2</t>
        </is>
      </c>
    </row>
    <row r="68" ht="24" customHeight="1">
      <c r="A68" s="29" t="inlineStr">
        <is>
          <t>OpenDART_fnlttSinglAcntAll</t>
        </is>
      </c>
      <c r="B68" s="29" t="inlineStr">
        <is>
          <t>01365825</t>
        </is>
      </c>
      <c r="C68" s="29" t="inlineStr">
        <is>
          <t>피에스케이</t>
        </is>
      </c>
      <c r="D68" s="29" t="inlineStr">
        <is>
          <t>psk</t>
        </is>
      </c>
      <c r="E68" s="29" t="inlineStr">
        <is>
          <t>319660</t>
        </is>
      </c>
      <c r="F68" s="29" t="inlineStr">
        <is>
          <t>2021</t>
        </is>
      </c>
      <c r="G68" s="29" t="inlineStr">
        <is>
          <t>CFS</t>
        </is>
      </c>
      <c r="H68" s="29" t="inlineStr">
        <is>
          <t>CF</t>
        </is>
      </c>
      <c r="I68" s="29" t="inlineStr">
        <is>
          <t>현금흐름표</t>
        </is>
      </c>
      <c r="J68" s="29" t="inlineStr">
        <is>
          <t>dart_AdjustmentsForAssetsLiabilitiesOfOperatingActivities</t>
        </is>
      </c>
      <c r="K68" s="29" t="inlineStr">
        <is>
          <t>영업활동으로인한자산ㆍ부채의변동</t>
        </is>
      </c>
      <c r="L68" s="29" t="inlineStr">
        <is>
          <t>-</t>
        </is>
      </c>
      <c r="M68" s="29" t="inlineStr">
        <is>
          <t>제 3 기</t>
        </is>
      </c>
      <c r="N68" s="29" t="inlineStr">
        <is>
          <t>-9798889153.0</t>
        </is>
      </c>
      <c r="O68" s="29" t="inlineStr">
        <is>
          <t>-19126184747.0</t>
        </is>
      </c>
      <c r="P68" s="29" t="inlineStr">
        <is>
          <t>KRW</t>
        </is>
      </c>
      <c r="Q68" s="29" t="inlineStr">
        <is>
          <t>3</t>
        </is>
      </c>
    </row>
    <row r="69" ht="24" customHeight="1">
      <c r="A69" s="24" t="inlineStr">
        <is>
          <t>OpenDART_fnlttSinglAcntAll</t>
        </is>
      </c>
      <c r="B69" s="24" t="inlineStr">
        <is>
          <t>01365825</t>
        </is>
      </c>
      <c r="C69" s="24" t="inlineStr">
        <is>
          <t>피에스케이</t>
        </is>
      </c>
      <c r="D69" s="24" t="inlineStr">
        <is>
          <t>psk</t>
        </is>
      </c>
      <c r="E69" s="24" t="inlineStr">
        <is>
          <t>319660</t>
        </is>
      </c>
      <c r="F69" s="24" t="inlineStr">
        <is>
          <t>2021</t>
        </is>
      </c>
      <c r="G69" s="24" t="inlineStr">
        <is>
          <t>CFS</t>
        </is>
      </c>
      <c r="H69" s="24" t="inlineStr">
        <is>
          <t>CF</t>
        </is>
      </c>
      <c r="I69" s="24" t="inlineStr">
        <is>
          <t>현금흐름표</t>
        </is>
      </c>
      <c r="J69" s="24" t="inlineStr">
        <is>
          <t>ifrs-full_InterestReceivedClassifiedAsOperatingActivities</t>
        </is>
      </c>
      <c r="K69" s="24" t="inlineStr">
        <is>
          <t>이자수취(영업)</t>
        </is>
      </c>
      <c r="L69" s="24" t="inlineStr">
        <is>
          <t>-</t>
        </is>
      </c>
      <c r="M69" s="24" t="inlineStr">
        <is>
          <t>제 3 기</t>
        </is>
      </c>
      <c r="N69" s="24" t="inlineStr">
        <is>
          <t>1982089532.0</t>
        </is>
      </c>
      <c r="O69" s="24" t="inlineStr">
        <is>
          <t>1371789646.0</t>
        </is>
      </c>
      <c r="P69" s="24" t="inlineStr">
        <is>
          <t>KRW</t>
        </is>
      </c>
      <c r="Q69" s="24" t="inlineStr">
        <is>
          <t>4</t>
        </is>
      </c>
    </row>
    <row r="70" ht="24" customHeight="1">
      <c r="A70" s="29" t="inlineStr">
        <is>
          <t>OpenDART_fnlttSinglAcntAll</t>
        </is>
      </c>
      <c r="B70" s="29" t="inlineStr">
        <is>
          <t>01365825</t>
        </is>
      </c>
      <c r="C70" s="29" t="inlineStr">
        <is>
          <t>피에스케이</t>
        </is>
      </c>
      <c r="D70" s="29" t="inlineStr">
        <is>
          <t>psk</t>
        </is>
      </c>
      <c r="E70" s="29" t="inlineStr">
        <is>
          <t>319660</t>
        </is>
      </c>
      <c r="F70" s="29" t="inlineStr">
        <is>
          <t>2021</t>
        </is>
      </c>
      <c r="G70" s="29" t="inlineStr">
        <is>
          <t>CFS</t>
        </is>
      </c>
      <c r="H70" s="29" t="inlineStr">
        <is>
          <t>CF</t>
        </is>
      </c>
      <c r="I70" s="29" t="inlineStr">
        <is>
          <t>현금흐름표</t>
        </is>
      </c>
      <c r="J70" s="29" t="inlineStr">
        <is>
          <t>ifrs-full_InterestPaidClassifiedAsOperatingActivities</t>
        </is>
      </c>
      <c r="K70" s="29" t="inlineStr">
        <is>
          <t>이자지급(영업)</t>
        </is>
      </c>
      <c r="L70" s="29" t="inlineStr">
        <is>
          <t>-</t>
        </is>
      </c>
      <c r="M70" s="29" t="inlineStr">
        <is>
          <t>제 3 기</t>
        </is>
      </c>
      <c r="N70" s="29" t="inlineStr">
        <is>
          <t>18199420.0</t>
        </is>
      </c>
      <c r="O70" s="29" t="inlineStr">
        <is>
          <t>0.0</t>
        </is>
      </c>
      <c r="P70" s="29" t="inlineStr">
        <is>
          <t>KRW</t>
        </is>
      </c>
      <c r="Q70" s="29" t="inlineStr">
        <is>
          <t>5</t>
        </is>
      </c>
    </row>
    <row r="71" ht="24" customHeight="1">
      <c r="A71" s="24" t="inlineStr">
        <is>
          <t>OpenDART_fnlttSinglAcntAll</t>
        </is>
      </c>
      <c r="B71" s="24" t="inlineStr">
        <is>
          <t>01365825</t>
        </is>
      </c>
      <c r="C71" s="24" t="inlineStr">
        <is>
          <t>피에스케이</t>
        </is>
      </c>
      <c r="D71" s="24" t="inlineStr">
        <is>
          <t>psk</t>
        </is>
      </c>
      <c r="E71" s="24" t="inlineStr">
        <is>
          <t>319660</t>
        </is>
      </c>
      <c r="F71" s="24" t="inlineStr">
        <is>
          <t>2021</t>
        </is>
      </c>
      <c r="G71" s="24" t="inlineStr">
        <is>
          <t>CFS</t>
        </is>
      </c>
      <c r="H71" s="24" t="inlineStr">
        <is>
          <t>CF</t>
        </is>
      </c>
      <c r="I71" s="24" t="inlineStr">
        <is>
          <t>현금흐름표</t>
        </is>
      </c>
      <c r="J71" s="24" t="inlineStr">
        <is>
          <t>ifrs-full_IncomeTaxesPaidRefundClassifiedAsOperatingActivities</t>
        </is>
      </c>
      <c r="K71" s="24" t="inlineStr">
        <is>
          <t>법인세납부(환급)</t>
        </is>
      </c>
      <c r="L71" s="24" t="inlineStr">
        <is>
          <t>-</t>
        </is>
      </c>
      <c r="M71" s="24" t="inlineStr">
        <is>
          <t>제 3 기</t>
        </is>
      </c>
      <c r="N71" s="24" t="inlineStr">
        <is>
          <t>7919793505.0</t>
        </is>
      </c>
      <c r="O71" s="24" t="inlineStr">
        <is>
          <t>8161204780.0</t>
        </is>
      </c>
      <c r="P71" s="24" t="inlineStr">
        <is>
          <t>KRW</t>
        </is>
      </c>
      <c r="Q71" s="24" t="inlineStr">
        <is>
          <t>6</t>
        </is>
      </c>
    </row>
    <row r="72" ht="24" customHeight="1">
      <c r="A72" s="29" t="inlineStr">
        <is>
          <t>OpenDART_fnlttSinglAcntAll</t>
        </is>
      </c>
      <c r="B72" s="29" t="inlineStr">
        <is>
          <t>01365825</t>
        </is>
      </c>
      <c r="C72" s="29" t="inlineStr">
        <is>
          <t>피에스케이</t>
        </is>
      </c>
      <c r="D72" s="29" t="inlineStr">
        <is>
          <t>psk</t>
        </is>
      </c>
      <c r="E72" s="29" t="inlineStr">
        <is>
          <t>319660</t>
        </is>
      </c>
      <c r="F72" s="29" t="inlineStr">
        <is>
          <t>2021</t>
        </is>
      </c>
      <c r="G72" s="29" t="inlineStr">
        <is>
          <t>CFS</t>
        </is>
      </c>
      <c r="H72" s="29" t="inlineStr">
        <is>
          <t>CF</t>
        </is>
      </c>
      <c r="I72" s="29" t="inlineStr">
        <is>
          <t>현금흐름표</t>
        </is>
      </c>
      <c r="J72" s="29" t="inlineStr">
        <is>
          <t>ifrs-full_CashFlowsFromUsedInInvestingActivities</t>
        </is>
      </c>
      <c r="K72" s="29" t="inlineStr">
        <is>
          <t>투자활동현금흐름</t>
        </is>
      </c>
      <c r="L72" s="29" t="inlineStr">
        <is>
          <t>-</t>
        </is>
      </c>
      <c r="M72" s="29" t="inlineStr">
        <is>
          <t>제 3 기</t>
        </is>
      </c>
      <c r="N72" s="29" t="inlineStr">
        <is>
          <t>-91865718494.0</t>
        </is>
      </c>
      <c r="O72" s="29" t="inlineStr">
        <is>
          <t>-38355285920.0</t>
        </is>
      </c>
      <c r="P72" s="29" t="inlineStr">
        <is>
          <t>KRW</t>
        </is>
      </c>
      <c r="Q72" s="29" t="inlineStr">
        <is>
          <t>7</t>
        </is>
      </c>
    </row>
    <row r="73" ht="24" customHeight="1">
      <c r="A73" s="24" t="inlineStr">
        <is>
          <t>OpenDART_fnlttSinglAcntAll</t>
        </is>
      </c>
      <c r="B73" s="24" t="inlineStr">
        <is>
          <t>01365825</t>
        </is>
      </c>
      <c r="C73" s="24" t="inlineStr">
        <is>
          <t>피에스케이</t>
        </is>
      </c>
      <c r="D73" s="24" t="inlineStr">
        <is>
          <t>psk</t>
        </is>
      </c>
      <c r="E73" s="24" t="inlineStr">
        <is>
          <t>319660</t>
        </is>
      </c>
      <c r="F73" s="24" t="inlineStr">
        <is>
          <t>2021</t>
        </is>
      </c>
      <c r="G73" s="24" t="inlineStr">
        <is>
          <t>CFS</t>
        </is>
      </c>
      <c r="H73" s="24" t="inlineStr">
        <is>
          <t>CF</t>
        </is>
      </c>
      <c r="I73" s="24" t="inlineStr">
        <is>
          <t>현금흐름표</t>
        </is>
      </c>
      <c r="J73" s="24" t="inlineStr">
        <is>
          <t>-표준계정코드 미사용-</t>
        </is>
      </c>
      <c r="K73" s="24" t="inlineStr">
        <is>
          <t>당기손익-공정가치 측정 금융자산의 처분</t>
        </is>
      </c>
      <c r="L73" s="24" t="inlineStr">
        <is>
          <t>-</t>
        </is>
      </c>
      <c r="M73" s="24" t="inlineStr">
        <is>
          <t>제 3 기</t>
        </is>
      </c>
      <c r="N73" s="24" t="inlineStr">
        <is>
          <t>21370686552.0</t>
        </is>
      </c>
      <c r="O73" s="24" t="inlineStr">
        <is>
          <t>18961382247.0</t>
        </is>
      </c>
      <c r="P73" s="24" t="inlineStr">
        <is>
          <t>KRW</t>
        </is>
      </c>
      <c r="Q73" s="24" t="inlineStr">
        <is>
          <t>8</t>
        </is>
      </c>
    </row>
    <row r="74" ht="24" customHeight="1">
      <c r="A74" s="29" t="inlineStr">
        <is>
          <t>OpenDART_fnlttSinglAcntAll</t>
        </is>
      </c>
      <c r="B74" s="29" t="inlineStr">
        <is>
          <t>01365825</t>
        </is>
      </c>
      <c r="C74" s="29" t="inlineStr">
        <is>
          <t>피에스케이</t>
        </is>
      </c>
      <c r="D74" s="29" t="inlineStr">
        <is>
          <t>psk</t>
        </is>
      </c>
      <c r="E74" s="29" t="inlineStr">
        <is>
          <t>319660</t>
        </is>
      </c>
      <c r="F74" s="29" t="inlineStr">
        <is>
          <t>2021</t>
        </is>
      </c>
      <c r="G74" s="29" t="inlineStr">
        <is>
          <t>CFS</t>
        </is>
      </c>
      <c r="H74" s="29" t="inlineStr">
        <is>
          <t>CF</t>
        </is>
      </c>
      <c r="I74" s="29" t="inlineStr">
        <is>
          <t>현금흐름표</t>
        </is>
      </c>
      <c r="J74" s="29" t="inlineStr">
        <is>
          <t>-표준계정코드 미사용-</t>
        </is>
      </c>
      <c r="K74" s="29" t="inlineStr">
        <is>
          <t>당기손익-공정가치 측정 금융자산의 취득</t>
        </is>
      </c>
      <c r="L74" s="29" t="inlineStr">
        <is>
          <t>-</t>
        </is>
      </c>
      <c r="M74" s="29" t="inlineStr">
        <is>
          <t>제 3 기</t>
        </is>
      </c>
      <c r="N74" s="29" t="inlineStr">
        <is>
          <t>-20925243820.0</t>
        </is>
      </c>
      <c r="O74" s="29" t="inlineStr">
        <is>
          <t>-6451213529.0</t>
        </is>
      </c>
      <c r="P74" s="29" t="inlineStr">
        <is>
          <t>KRW</t>
        </is>
      </c>
      <c r="Q74" s="29" t="inlineStr">
        <is>
          <t>9</t>
        </is>
      </c>
    </row>
    <row r="75" ht="24" customHeight="1">
      <c r="A75" s="24" t="inlineStr">
        <is>
          <t>OpenDART_fnlttSinglAcntAll</t>
        </is>
      </c>
      <c r="B75" s="24" t="inlineStr">
        <is>
          <t>01365825</t>
        </is>
      </c>
      <c r="C75" s="24" t="inlineStr">
        <is>
          <t>피에스케이</t>
        </is>
      </c>
      <c r="D75" s="24" t="inlineStr">
        <is>
          <t>psk</t>
        </is>
      </c>
      <c r="E75" s="24" t="inlineStr">
        <is>
          <t>319660</t>
        </is>
      </c>
      <c r="F75" s="24" t="inlineStr">
        <is>
          <t>2021</t>
        </is>
      </c>
      <c r="G75" s="24" t="inlineStr">
        <is>
          <t>CFS</t>
        </is>
      </c>
      <c r="H75" s="24" t="inlineStr">
        <is>
          <t>CF</t>
        </is>
      </c>
      <c r="I75" s="24" t="inlineStr">
        <is>
          <t>현금흐름표</t>
        </is>
      </c>
      <c r="J75" s="24" t="inlineStr">
        <is>
          <t>-표준계정코드 미사용-</t>
        </is>
      </c>
      <c r="K75" s="24" t="inlineStr">
        <is>
          <t>상각후원가 측정 금융자산의 처분</t>
        </is>
      </c>
      <c r="L75" s="24" t="inlineStr">
        <is>
          <t>-</t>
        </is>
      </c>
      <c r="M75" s="24" t="inlineStr">
        <is>
          <t>제 3 기</t>
        </is>
      </c>
      <c r="N75" s="24" t="inlineStr">
        <is>
          <t>100917653424.0</t>
        </is>
      </c>
      <c r="O75" s="24" t="inlineStr">
        <is>
          <t>44939380826.0</t>
        </is>
      </c>
      <c r="P75" s="24" t="inlineStr">
        <is>
          <t>KRW</t>
        </is>
      </c>
      <c r="Q75" s="24" t="inlineStr">
        <is>
          <t>10</t>
        </is>
      </c>
    </row>
    <row r="76" ht="24" customHeight="1">
      <c r="A76" s="29" t="inlineStr">
        <is>
          <t>OpenDART_fnlttSinglAcntAll</t>
        </is>
      </c>
      <c r="B76" s="29" t="inlineStr">
        <is>
          <t>01365825</t>
        </is>
      </c>
      <c r="C76" s="29" t="inlineStr">
        <is>
          <t>피에스케이</t>
        </is>
      </c>
      <c r="D76" s="29" t="inlineStr">
        <is>
          <t>psk</t>
        </is>
      </c>
      <c r="E76" s="29" t="inlineStr">
        <is>
          <t>319660</t>
        </is>
      </c>
      <c r="F76" s="29" t="inlineStr">
        <is>
          <t>2021</t>
        </is>
      </c>
      <c r="G76" s="29" t="inlineStr">
        <is>
          <t>CFS</t>
        </is>
      </c>
      <c r="H76" s="29" t="inlineStr">
        <is>
          <t>CF</t>
        </is>
      </c>
      <c r="I76" s="29" t="inlineStr">
        <is>
          <t>현금흐름표</t>
        </is>
      </c>
      <c r="J76" s="29" t="inlineStr">
        <is>
          <t>-표준계정코드 미사용-</t>
        </is>
      </c>
      <c r="K76" s="29" t="inlineStr">
        <is>
          <t>상각후원가 측정 금융자산의 취득</t>
        </is>
      </c>
      <c r="L76" s="29" t="inlineStr">
        <is>
          <t>-</t>
        </is>
      </c>
      <c r="M76" s="29" t="inlineStr">
        <is>
          <t>제 3 기</t>
        </is>
      </c>
      <c r="N76" s="29" t="inlineStr">
        <is>
          <t>-182852488871.0</t>
        </is>
      </c>
      <c r="O76" s="29" t="inlineStr">
        <is>
          <t>-85430595470.0</t>
        </is>
      </c>
      <c r="P76" s="29" t="inlineStr">
        <is>
          <t>KRW</t>
        </is>
      </c>
      <c r="Q76" s="29" t="inlineStr">
        <is>
          <t>11</t>
        </is>
      </c>
    </row>
    <row r="77" ht="24" customHeight="1">
      <c r="A77" s="24" t="inlineStr">
        <is>
          <t>OpenDART_fnlttSinglAcntAll</t>
        </is>
      </c>
      <c r="B77" s="24" t="inlineStr">
        <is>
          <t>01365825</t>
        </is>
      </c>
      <c r="C77" s="24" t="inlineStr">
        <is>
          <t>피에스케이</t>
        </is>
      </c>
      <c r="D77" s="24" t="inlineStr">
        <is>
          <t>psk</t>
        </is>
      </c>
      <c r="E77" s="24" t="inlineStr">
        <is>
          <t>319660</t>
        </is>
      </c>
      <c r="F77" s="24" t="inlineStr">
        <is>
          <t>2021</t>
        </is>
      </c>
      <c r="G77" s="24" t="inlineStr">
        <is>
          <t>CFS</t>
        </is>
      </c>
      <c r="H77" s="24" t="inlineStr">
        <is>
          <t>CF</t>
        </is>
      </c>
      <c r="I77" s="24" t="inlineStr">
        <is>
          <t>현금흐름표</t>
        </is>
      </c>
      <c r="J77" s="24" t="inlineStr">
        <is>
          <t>-표준계정코드 미사용-</t>
        </is>
      </c>
      <c r="K77" s="24" t="inlineStr">
        <is>
          <t>선물거래의 증가</t>
        </is>
      </c>
      <c r="L77" s="24" t="inlineStr">
        <is>
          <t>-</t>
        </is>
      </c>
      <c r="M77" s="24" t="inlineStr">
        <is>
          <t>제 3 기</t>
        </is>
      </c>
      <c r="N77" s="24" t="inlineStr">
        <is>
          <t>0.0</t>
        </is>
      </c>
      <c r="O77" s="24" t="inlineStr">
        <is>
          <t>-253966000.0</t>
        </is>
      </c>
      <c r="P77" s="24" t="inlineStr">
        <is>
          <t>KRW</t>
        </is>
      </c>
      <c r="Q77" s="24" t="inlineStr">
        <is>
          <t>12</t>
        </is>
      </c>
    </row>
    <row r="78" ht="24" customHeight="1">
      <c r="A78" s="29" t="inlineStr">
        <is>
          <t>OpenDART_fnlttSinglAcntAll</t>
        </is>
      </c>
      <c r="B78" s="29" t="inlineStr">
        <is>
          <t>01365825</t>
        </is>
      </c>
      <c r="C78" s="29" t="inlineStr">
        <is>
          <t>피에스케이</t>
        </is>
      </c>
      <c r="D78" s="29" t="inlineStr">
        <is>
          <t>psk</t>
        </is>
      </c>
      <c r="E78" s="29" t="inlineStr">
        <is>
          <t>319660</t>
        </is>
      </c>
      <c r="F78" s="29" t="inlineStr">
        <is>
          <t>2021</t>
        </is>
      </c>
      <c r="G78" s="29" t="inlineStr">
        <is>
          <t>CFS</t>
        </is>
      </c>
      <c r="H78" s="29" t="inlineStr">
        <is>
          <t>CF</t>
        </is>
      </c>
      <c r="I78" s="29" t="inlineStr">
        <is>
          <t>현금흐름표</t>
        </is>
      </c>
      <c r="J78" s="29" t="inlineStr">
        <is>
          <t>ifrs-full_PurchaseOfPropertyPlantAndEquipmentClassifiedAsInvestingActivities</t>
        </is>
      </c>
      <c r="K78" s="29" t="inlineStr">
        <is>
          <t>유형자산의 취득</t>
        </is>
      </c>
      <c r="L78" s="29" t="inlineStr">
        <is>
          <t>-</t>
        </is>
      </c>
      <c r="M78" s="29" t="inlineStr">
        <is>
          <t>제 3 기</t>
        </is>
      </c>
      <c r="N78" s="29" t="inlineStr">
        <is>
          <t>8658250423.0</t>
        </is>
      </c>
      <c r="O78" s="29" t="inlineStr">
        <is>
          <t>10567516131.0</t>
        </is>
      </c>
      <c r="P78" s="29" t="inlineStr">
        <is>
          <t>KRW</t>
        </is>
      </c>
      <c r="Q78" s="29" t="inlineStr">
        <is>
          <t>13</t>
        </is>
      </c>
    </row>
    <row r="79" ht="24" customHeight="1">
      <c r="A79" s="24" t="inlineStr">
        <is>
          <t>OpenDART_fnlttSinglAcntAll</t>
        </is>
      </c>
      <c r="B79" s="24" t="inlineStr">
        <is>
          <t>01365825</t>
        </is>
      </c>
      <c r="C79" s="24" t="inlineStr">
        <is>
          <t>피에스케이</t>
        </is>
      </c>
      <c r="D79" s="24" t="inlineStr">
        <is>
          <t>psk</t>
        </is>
      </c>
      <c r="E79" s="24" t="inlineStr">
        <is>
          <t>319660</t>
        </is>
      </c>
      <c r="F79" s="24" t="inlineStr">
        <is>
          <t>2021</t>
        </is>
      </c>
      <c r="G79" s="24" t="inlineStr">
        <is>
          <t>CFS</t>
        </is>
      </c>
      <c r="H79" s="24" t="inlineStr">
        <is>
          <t>CF</t>
        </is>
      </c>
      <c r="I79" s="24" t="inlineStr">
        <is>
          <t>현금흐름표</t>
        </is>
      </c>
      <c r="J79" s="24" t="inlineStr">
        <is>
          <t>ifrs-full_ProceedsFromSalesOfPropertyPlantAndEquipmentClassifiedAsInvestingActivities</t>
        </is>
      </c>
      <c r="K79" s="24" t="inlineStr">
        <is>
          <t>유형자산의 처분</t>
        </is>
      </c>
      <c r="L79" s="24" t="inlineStr">
        <is>
          <t>-</t>
        </is>
      </c>
      <c r="M79" s="24" t="inlineStr">
        <is>
          <t>제 3 기</t>
        </is>
      </c>
      <c r="N79" s="24" t="inlineStr">
        <is>
          <t>896182328.0</t>
        </is>
      </c>
      <c r="O79" s="24" t="inlineStr">
        <is>
          <t>1893975039.0</t>
        </is>
      </c>
      <c r="P79" s="24" t="inlineStr">
        <is>
          <t>KRW</t>
        </is>
      </c>
      <c r="Q79" s="24" t="inlineStr">
        <is>
          <t>14</t>
        </is>
      </c>
    </row>
    <row r="80" ht="24" customHeight="1">
      <c r="A80" s="29" t="inlineStr">
        <is>
          <t>OpenDART_fnlttSinglAcntAll</t>
        </is>
      </c>
      <c r="B80" s="29" t="inlineStr">
        <is>
          <t>01365825</t>
        </is>
      </c>
      <c r="C80" s="29" t="inlineStr">
        <is>
          <t>피에스케이</t>
        </is>
      </c>
      <c r="D80" s="29" t="inlineStr">
        <is>
          <t>psk</t>
        </is>
      </c>
      <c r="E80" s="29" t="inlineStr">
        <is>
          <t>319660</t>
        </is>
      </c>
      <c r="F80" s="29" t="inlineStr">
        <is>
          <t>2021</t>
        </is>
      </c>
      <c r="G80" s="29" t="inlineStr">
        <is>
          <t>CFS</t>
        </is>
      </c>
      <c r="H80" s="29" t="inlineStr">
        <is>
          <t>CF</t>
        </is>
      </c>
      <c r="I80" s="29" t="inlineStr">
        <is>
          <t>현금흐름표</t>
        </is>
      </c>
      <c r="J80" s="29" t="inlineStr">
        <is>
          <t>ifrs-full_PurchaseOfIntangibleAssetsClassifiedAsInvestingActivities</t>
        </is>
      </c>
      <c r="K80" s="29" t="inlineStr">
        <is>
          <t>무형자산의 취득</t>
        </is>
      </c>
      <c r="L80" s="29" t="inlineStr">
        <is>
          <t>-</t>
        </is>
      </c>
      <c r="M80" s="29" t="inlineStr">
        <is>
          <t>제 3 기</t>
        </is>
      </c>
      <c r="N80" s="29" t="inlineStr">
        <is>
          <t>917830848.0</t>
        </is>
      </c>
      <c r="O80" s="29" t="inlineStr">
        <is>
          <t>1098234570.0</t>
        </is>
      </c>
      <c r="P80" s="29" t="inlineStr">
        <is>
          <t>KRW</t>
        </is>
      </c>
      <c r="Q80" s="29" t="inlineStr">
        <is>
          <t>15</t>
        </is>
      </c>
    </row>
    <row r="81" ht="24" customHeight="1">
      <c r="A81" s="24" t="inlineStr">
        <is>
          <t>OpenDART_fnlttSinglAcntAll</t>
        </is>
      </c>
      <c r="B81" s="24" t="inlineStr">
        <is>
          <t>01365825</t>
        </is>
      </c>
      <c r="C81" s="24" t="inlineStr">
        <is>
          <t>피에스케이</t>
        </is>
      </c>
      <c r="D81" s="24" t="inlineStr">
        <is>
          <t>psk</t>
        </is>
      </c>
      <c r="E81" s="24" t="inlineStr">
        <is>
          <t>319660</t>
        </is>
      </c>
      <c r="F81" s="24" t="inlineStr">
        <is>
          <t>2021</t>
        </is>
      </c>
      <c r="G81" s="24" t="inlineStr">
        <is>
          <t>CFS</t>
        </is>
      </c>
      <c r="H81" s="24" t="inlineStr">
        <is>
          <t>CF</t>
        </is>
      </c>
      <c r="I81" s="24" t="inlineStr">
        <is>
          <t>현금흐름표</t>
        </is>
      </c>
      <c r="J81" s="24" t="inlineStr">
        <is>
          <t>dart_IncreaseInLoans</t>
        </is>
      </c>
      <c r="K81" s="24" t="inlineStr">
        <is>
          <t>대여금의 증가</t>
        </is>
      </c>
      <c r="L81" s="24" t="inlineStr">
        <is>
          <t>-</t>
        </is>
      </c>
      <c r="M81" s="24" t="inlineStr">
        <is>
          <t>제 3 기</t>
        </is>
      </c>
      <c r="N81" s="24" t="inlineStr">
        <is>
          <t>126347678.0</t>
        </is>
      </c>
      <c r="O81" s="24" t="inlineStr">
        <is>
          <t>20000000.0</t>
        </is>
      </c>
      <c r="P81" s="24" t="inlineStr">
        <is>
          <t>KRW</t>
        </is>
      </c>
      <c r="Q81" s="24" t="inlineStr">
        <is>
          <t>16</t>
        </is>
      </c>
    </row>
    <row r="82" ht="24" customHeight="1">
      <c r="A82" s="29" t="inlineStr">
        <is>
          <t>OpenDART_fnlttSinglAcntAll</t>
        </is>
      </c>
      <c r="B82" s="29" t="inlineStr">
        <is>
          <t>01365825</t>
        </is>
      </c>
      <c r="C82" s="29" t="inlineStr">
        <is>
          <t>피에스케이</t>
        </is>
      </c>
      <c r="D82" s="29" t="inlineStr">
        <is>
          <t>psk</t>
        </is>
      </c>
      <c r="E82" s="29" t="inlineStr">
        <is>
          <t>319660</t>
        </is>
      </c>
      <c r="F82" s="29" t="inlineStr">
        <is>
          <t>2021</t>
        </is>
      </c>
      <c r="G82" s="29" t="inlineStr">
        <is>
          <t>CFS</t>
        </is>
      </c>
      <c r="H82" s="29" t="inlineStr">
        <is>
          <t>CF</t>
        </is>
      </c>
      <c r="I82" s="29" t="inlineStr">
        <is>
          <t>현금흐름표</t>
        </is>
      </c>
      <c r="J82" s="29" t="inlineStr">
        <is>
          <t>dart_DecreaseInLoans</t>
        </is>
      </c>
      <c r="K82" s="29" t="inlineStr">
        <is>
          <t>대여금의 감소</t>
        </is>
      </c>
      <c r="L82" s="29" t="inlineStr">
        <is>
          <t>-</t>
        </is>
      </c>
      <c r="M82" s="29" t="inlineStr">
        <is>
          <t>제 3 기</t>
        </is>
      </c>
      <c r="N82" s="29" t="inlineStr">
        <is>
          <t>708598616.0</t>
        </is>
      </c>
      <c r="O82" s="29" t="inlineStr">
        <is>
          <t>142111098.0</t>
        </is>
      </c>
      <c r="P82" s="29" t="inlineStr">
        <is>
          <t>KRW</t>
        </is>
      </c>
      <c r="Q82" s="29" t="inlineStr">
        <is>
          <t>17</t>
        </is>
      </c>
    </row>
    <row r="83" ht="24" customHeight="1">
      <c r="A83" s="24" t="inlineStr">
        <is>
          <t>OpenDART_fnlttSinglAcntAll</t>
        </is>
      </c>
      <c r="B83" s="24" t="inlineStr">
        <is>
          <t>01365825</t>
        </is>
      </c>
      <c r="C83" s="24" t="inlineStr">
        <is>
          <t>피에스케이</t>
        </is>
      </c>
      <c r="D83" s="24" t="inlineStr">
        <is>
          <t>psk</t>
        </is>
      </c>
      <c r="E83" s="24" t="inlineStr">
        <is>
          <t>319660</t>
        </is>
      </c>
      <c r="F83" s="24" t="inlineStr">
        <is>
          <t>2021</t>
        </is>
      </c>
      <c r="G83" s="24" t="inlineStr">
        <is>
          <t>CFS</t>
        </is>
      </c>
      <c r="H83" s="24" t="inlineStr">
        <is>
          <t>CF</t>
        </is>
      </c>
      <c r="I83" s="24" t="inlineStr">
        <is>
          <t>현금흐름표</t>
        </is>
      </c>
      <c r="J83" s="24" t="inlineStr">
        <is>
          <t>dart_PurchaseOfLongTermLoansAndReceivables</t>
        </is>
      </c>
      <c r="K83" s="24" t="inlineStr">
        <is>
          <t>장기대여금및수취채권의 취득</t>
        </is>
      </c>
      <c r="L83" s="24" t="inlineStr">
        <is>
          <t>-</t>
        </is>
      </c>
      <c r="M83" s="24" t="inlineStr">
        <is>
          <t>제 3 기</t>
        </is>
      </c>
      <c r="N83" s="24" t="inlineStr">
        <is>
          <t>601000000.0</t>
        </is>
      </c>
      <c r="O83" s="24" t="inlineStr">
        <is>
          <t>371100000.0</t>
        </is>
      </c>
      <c r="P83" s="24" t="inlineStr">
        <is>
          <t>KRW</t>
        </is>
      </c>
      <c r="Q83" s="24" t="inlineStr">
        <is>
          <t>18</t>
        </is>
      </c>
    </row>
    <row r="84" ht="24" customHeight="1">
      <c r="A84" s="29" t="inlineStr">
        <is>
          <t>OpenDART_fnlttSinglAcntAll</t>
        </is>
      </c>
      <c r="B84" s="29" t="inlineStr">
        <is>
          <t>01365825</t>
        </is>
      </c>
      <c r="C84" s="29" t="inlineStr">
        <is>
          <t>피에스케이</t>
        </is>
      </c>
      <c r="D84" s="29" t="inlineStr">
        <is>
          <t>psk</t>
        </is>
      </c>
      <c r="E84" s="29" t="inlineStr">
        <is>
          <t>319660</t>
        </is>
      </c>
      <c r="F84" s="29" t="inlineStr">
        <is>
          <t>2021</t>
        </is>
      </c>
      <c r="G84" s="29" t="inlineStr">
        <is>
          <t>CFS</t>
        </is>
      </c>
      <c r="H84" s="29" t="inlineStr">
        <is>
          <t>CF</t>
        </is>
      </c>
      <c r="I84" s="29" t="inlineStr">
        <is>
          <t>현금흐름표</t>
        </is>
      </c>
      <c r="J84" s="29" t="inlineStr">
        <is>
          <t>dart_ProceedsFromSalesOfLongTermLoansAndReceivables</t>
        </is>
      </c>
      <c r="K84" s="29" t="inlineStr">
        <is>
          <t>장기대여금및수취채권의 처분</t>
        </is>
      </c>
      <c r="L84" s="29" t="inlineStr">
        <is>
          <t>-</t>
        </is>
      </c>
      <c r="M84" s="29" t="inlineStr">
        <is>
          <t>제 3 기</t>
        </is>
      </c>
      <c r="N84" s="29" t="inlineStr">
        <is>
          <t>0.0</t>
        </is>
      </c>
      <c r="O84" s="29" t="inlineStr">
        <is>
          <t>325000000.0</t>
        </is>
      </c>
      <c r="P84" s="29" t="inlineStr">
        <is>
          <t>KRW</t>
        </is>
      </c>
      <c r="Q84" s="29" t="inlineStr">
        <is>
          <t>19</t>
        </is>
      </c>
    </row>
    <row r="85" ht="24" customHeight="1">
      <c r="A85" s="24" t="inlineStr">
        <is>
          <t>OpenDART_fnlttSinglAcntAll</t>
        </is>
      </c>
      <c r="B85" s="24" t="inlineStr">
        <is>
          <t>01365825</t>
        </is>
      </c>
      <c r="C85" s="24" t="inlineStr">
        <is>
          <t>피에스케이</t>
        </is>
      </c>
      <c r="D85" s="24" t="inlineStr">
        <is>
          <t>psk</t>
        </is>
      </c>
      <c r="E85" s="24" t="inlineStr">
        <is>
          <t>319660</t>
        </is>
      </c>
      <c r="F85" s="24" t="inlineStr">
        <is>
          <t>2021</t>
        </is>
      </c>
      <c r="G85" s="24" t="inlineStr">
        <is>
          <t>CFS</t>
        </is>
      </c>
      <c r="H85" s="24" t="inlineStr">
        <is>
          <t>CF</t>
        </is>
      </c>
      <c r="I85" s="24" t="inlineStr">
        <is>
          <t>현금흐름표</t>
        </is>
      </c>
      <c r="J85" s="24" t="inlineStr">
        <is>
          <t>dart_IncreaseInGuaranteeDeposits</t>
        </is>
      </c>
      <c r="K85" s="24" t="inlineStr">
        <is>
          <t>임차보증금의 증가</t>
        </is>
      </c>
      <c r="L85" s="24" t="inlineStr">
        <is>
          <t>-</t>
        </is>
      </c>
      <c r="M85" s="24" t="inlineStr">
        <is>
          <t>제 3 기</t>
        </is>
      </c>
      <c r="N85" s="24" t="inlineStr">
        <is>
          <t>313303564.0</t>
        </is>
      </c>
      <c r="O85" s="24" t="inlineStr">
        <is>
          <t>1203819154.0</t>
        </is>
      </c>
      <c r="P85" s="24" t="inlineStr">
        <is>
          <t>KRW</t>
        </is>
      </c>
      <c r="Q85" s="24" t="inlineStr">
        <is>
          <t>20</t>
        </is>
      </c>
    </row>
    <row r="86" ht="24" customHeight="1">
      <c r="A86" s="29" t="inlineStr">
        <is>
          <t>OpenDART_fnlttSinglAcntAll</t>
        </is>
      </c>
      <c r="B86" s="29" t="inlineStr">
        <is>
          <t>01365825</t>
        </is>
      </c>
      <c r="C86" s="29" t="inlineStr">
        <is>
          <t>피에스케이</t>
        </is>
      </c>
      <c r="D86" s="29" t="inlineStr">
        <is>
          <t>psk</t>
        </is>
      </c>
      <c r="E86" s="29" t="inlineStr">
        <is>
          <t>319660</t>
        </is>
      </c>
      <c r="F86" s="29" t="inlineStr">
        <is>
          <t>2021</t>
        </is>
      </c>
      <c r="G86" s="29" t="inlineStr">
        <is>
          <t>CFS</t>
        </is>
      </c>
      <c r="H86" s="29" t="inlineStr">
        <is>
          <t>CF</t>
        </is>
      </c>
      <c r="I86" s="29" t="inlineStr">
        <is>
          <t>현금흐름표</t>
        </is>
      </c>
      <c r="J86" s="29" t="inlineStr">
        <is>
          <t>dart_DecreaseInGuaranteeDeposits</t>
        </is>
      </c>
      <c r="K86" s="29" t="inlineStr">
        <is>
          <t>임차보증금의 감소</t>
        </is>
      </c>
      <c r="L86" s="29" t="inlineStr">
        <is>
          <t>-</t>
        </is>
      </c>
      <c r="M86" s="29" t="inlineStr">
        <is>
          <t>제 3 기</t>
        </is>
      </c>
      <c r="N86" s="29" t="inlineStr">
        <is>
          <t>102079219.0</t>
        </is>
      </c>
      <c r="O86" s="29" t="inlineStr">
        <is>
          <t>779309724.0</t>
        </is>
      </c>
      <c r="P86" s="29" t="inlineStr">
        <is>
          <t>KRW</t>
        </is>
      </c>
      <c r="Q86" s="29" t="inlineStr">
        <is>
          <t>21</t>
        </is>
      </c>
    </row>
    <row r="87" ht="24" customHeight="1">
      <c r="A87" s="24" t="inlineStr">
        <is>
          <t>OpenDART_fnlttSinglAcntAll</t>
        </is>
      </c>
      <c r="B87" s="24" t="inlineStr">
        <is>
          <t>01365825</t>
        </is>
      </c>
      <c r="C87" s="24" t="inlineStr">
        <is>
          <t>피에스케이</t>
        </is>
      </c>
      <c r="D87" s="24" t="inlineStr">
        <is>
          <t>psk</t>
        </is>
      </c>
      <c r="E87" s="24" t="inlineStr">
        <is>
          <t>319660</t>
        </is>
      </c>
      <c r="F87" s="24" t="inlineStr">
        <is>
          <t>2021</t>
        </is>
      </c>
      <c r="G87" s="24" t="inlineStr">
        <is>
          <t>CFS</t>
        </is>
      </c>
      <c r="H87" s="24" t="inlineStr">
        <is>
          <t>CF</t>
        </is>
      </c>
      <c r="I87" s="24" t="inlineStr">
        <is>
          <t>현금흐름표</t>
        </is>
      </c>
      <c r="J87" s="24" t="inlineStr">
        <is>
          <t>dart_PurchaseOfInvestmentsInSubsidiaries</t>
        </is>
      </c>
      <c r="K87" s="24" t="inlineStr">
        <is>
          <t>종속기업에 대한 투자자산의 취득</t>
        </is>
      </c>
      <c r="L87" s="24" t="inlineStr">
        <is>
          <t>-</t>
        </is>
      </c>
      <c r="M87" s="24" t="inlineStr">
        <is>
          <t>제 3 기</t>
        </is>
      </c>
      <c r="N87" s="24" t="inlineStr">
        <is>
          <t>1466453429.0</t>
        </is>
      </c>
      <c r="O87" s="24" t="inlineStr">
        <is>
          <t>0.0</t>
        </is>
      </c>
      <c r="P87" s="24" t="inlineStr">
        <is>
          <t>KRW</t>
        </is>
      </c>
      <c r="Q87" s="24" t="inlineStr">
        <is>
          <t>22</t>
        </is>
      </c>
    </row>
    <row r="88" ht="24" customHeight="1">
      <c r="A88" s="29" t="inlineStr">
        <is>
          <t>OpenDART_fnlttSinglAcntAll</t>
        </is>
      </c>
      <c r="B88" s="29" t="inlineStr">
        <is>
          <t>01365825</t>
        </is>
      </c>
      <c r="C88" s="29" t="inlineStr">
        <is>
          <t>피에스케이</t>
        </is>
      </c>
      <c r="D88" s="29" t="inlineStr">
        <is>
          <t>psk</t>
        </is>
      </c>
      <c r="E88" s="29" t="inlineStr">
        <is>
          <t>319660</t>
        </is>
      </c>
      <c r="F88" s="29" t="inlineStr">
        <is>
          <t>2021</t>
        </is>
      </c>
      <c r="G88" s="29" t="inlineStr">
        <is>
          <t>CFS</t>
        </is>
      </c>
      <c r="H88" s="29" t="inlineStr">
        <is>
          <t>CF</t>
        </is>
      </c>
      <c r="I88" s="29" t="inlineStr">
        <is>
          <t>현금흐름표</t>
        </is>
      </c>
      <c r="J88" s="29" t="inlineStr">
        <is>
          <t>ifrs-full_CashFlowsFromUsedInFinancingActivities</t>
        </is>
      </c>
      <c r="K88" s="29" t="inlineStr">
        <is>
          <t>재무활동현금흐름</t>
        </is>
      </c>
      <c r="L88" s="29" t="inlineStr">
        <is>
          <t>-</t>
        </is>
      </c>
      <c r="M88" s="29" t="inlineStr">
        <is>
          <t>제 3 기</t>
        </is>
      </c>
      <c r="N88" s="29" t="inlineStr">
        <is>
          <t>3956188075.0</t>
        </is>
      </c>
      <c r="O88" s="29" t="inlineStr">
        <is>
          <t>7287149151.0</t>
        </is>
      </c>
      <c r="P88" s="29" t="inlineStr">
        <is>
          <t>KRW</t>
        </is>
      </c>
      <c r="Q88" s="29" t="inlineStr">
        <is>
          <t>23</t>
        </is>
      </c>
    </row>
    <row r="89" ht="24" customHeight="1">
      <c r="A89" s="24" t="inlineStr">
        <is>
          <t>OpenDART_fnlttSinglAcntAll</t>
        </is>
      </c>
      <c r="B89" s="24" t="inlineStr">
        <is>
          <t>01365825</t>
        </is>
      </c>
      <c r="C89" s="24" t="inlineStr">
        <is>
          <t>피에스케이</t>
        </is>
      </c>
      <c r="D89" s="24" t="inlineStr">
        <is>
          <t>psk</t>
        </is>
      </c>
      <c r="E89" s="24" t="inlineStr">
        <is>
          <t>319660</t>
        </is>
      </c>
      <c r="F89" s="24" t="inlineStr">
        <is>
          <t>2021</t>
        </is>
      </c>
      <c r="G89" s="24" t="inlineStr">
        <is>
          <t>CFS</t>
        </is>
      </c>
      <c r="H89" s="24" t="inlineStr">
        <is>
          <t>CF</t>
        </is>
      </c>
      <c r="I89" s="24" t="inlineStr">
        <is>
          <t>현금흐름표</t>
        </is>
      </c>
      <c r="J89" s="24" t="inlineStr">
        <is>
          <t>ifrs-full_DividendsPaidClassifiedAsFinancingActivities</t>
        </is>
      </c>
      <c r="K89" s="24" t="inlineStr">
        <is>
          <t>배당금지급</t>
        </is>
      </c>
      <c r="L89" s="24" t="inlineStr">
        <is>
          <t>-</t>
        </is>
      </c>
      <c r="M89" s="24" t="inlineStr">
        <is>
          <t>제 3 기</t>
        </is>
      </c>
      <c r="N89" s="24" t="inlineStr">
        <is>
          <t>4395528300.0</t>
        </is>
      </c>
      <c r="O89" s="24" t="inlineStr">
        <is>
          <t>6641799561.0</t>
        </is>
      </c>
      <c r="P89" s="24" t="inlineStr">
        <is>
          <t>KRW</t>
        </is>
      </c>
      <c r="Q89" s="24" t="inlineStr">
        <is>
          <t>24</t>
        </is>
      </c>
    </row>
    <row r="90" ht="24" customHeight="1">
      <c r="A90" s="29" t="inlineStr">
        <is>
          <t>OpenDART_fnlttSinglAcntAll</t>
        </is>
      </c>
      <c r="B90" s="29" t="inlineStr">
        <is>
          <t>01365825</t>
        </is>
      </c>
      <c r="C90" s="29" t="inlineStr">
        <is>
          <t>피에스케이</t>
        </is>
      </c>
      <c r="D90" s="29" t="inlineStr">
        <is>
          <t>psk</t>
        </is>
      </c>
      <c r="E90" s="29" t="inlineStr">
        <is>
          <t>319660</t>
        </is>
      </c>
      <c r="F90" s="29" t="inlineStr">
        <is>
          <t>2021</t>
        </is>
      </c>
      <c r="G90" s="29" t="inlineStr">
        <is>
          <t>CFS</t>
        </is>
      </c>
      <c r="H90" s="29" t="inlineStr">
        <is>
          <t>CF</t>
        </is>
      </c>
      <c r="I90" s="29" t="inlineStr">
        <is>
          <t>현금흐름표</t>
        </is>
      </c>
      <c r="J90" s="29" t="inlineStr">
        <is>
          <t>dart_AcquisitionOfTreasuryShares</t>
        </is>
      </c>
      <c r="K90" s="29" t="inlineStr">
        <is>
          <t>자기주식의 취득</t>
        </is>
      </c>
      <c r="L90" s="29" t="inlineStr">
        <is>
          <t>-</t>
        </is>
      </c>
      <c r="M90" s="29" t="inlineStr">
        <is>
          <t>제 3 기</t>
        </is>
      </c>
      <c r="N90" s="29" t="inlineStr">
        <is>
          <t>3528777850.0</t>
        </is>
      </c>
      <c r="O90" s="29" t="inlineStr">
        <is>
          <t>-310500000.0</t>
        </is>
      </c>
      <c r="P90" s="29" t="inlineStr">
        <is>
          <t>KRW</t>
        </is>
      </c>
      <c r="Q90" s="29" t="inlineStr">
        <is>
          <t>25</t>
        </is>
      </c>
    </row>
    <row r="91" ht="24" customHeight="1">
      <c r="A91" s="24" t="inlineStr">
        <is>
          <t>OpenDART_fnlttSinglAcntAll</t>
        </is>
      </c>
      <c r="B91" s="24" t="inlineStr">
        <is>
          <t>01365825</t>
        </is>
      </c>
      <c r="C91" s="24" t="inlineStr">
        <is>
          <t>피에스케이</t>
        </is>
      </c>
      <c r="D91" s="24" t="inlineStr">
        <is>
          <t>psk</t>
        </is>
      </c>
      <c r="E91" s="24" t="inlineStr">
        <is>
          <t>319660</t>
        </is>
      </c>
      <c r="F91" s="24" t="inlineStr">
        <is>
          <t>2021</t>
        </is>
      </c>
      <c r="G91" s="24" t="inlineStr">
        <is>
          <t>CFS</t>
        </is>
      </c>
      <c r="H91" s="24" t="inlineStr">
        <is>
          <t>CF</t>
        </is>
      </c>
      <c r="I91" s="24" t="inlineStr">
        <is>
          <t>현금흐름표</t>
        </is>
      </c>
      <c r="J91" s="24" t="inlineStr">
        <is>
          <t>dart_DispositionOfTreasuryShares</t>
        </is>
      </c>
      <c r="K91" s="24" t="inlineStr">
        <is>
          <t>자기주식의 처분</t>
        </is>
      </c>
      <c r="L91" s="24" t="inlineStr">
        <is>
          <t>-</t>
        </is>
      </c>
      <c r="M91" s="24" t="inlineStr">
        <is>
          <t>제 3 기</t>
        </is>
      </c>
      <c r="N91" s="24" t="inlineStr">
        <is>
          <t>339500000.0</t>
        </is>
      </c>
      <c r="O91" s="24" t="inlineStr">
        <is>
          <t>0.0</t>
        </is>
      </c>
      <c r="P91" s="24" t="inlineStr">
        <is>
          <t>KRW</t>
        </is>
      </c>
      <c r="Q91" s="24" t="inlineStr">
        <is>
          <t>26</t>
        </is>
      </c>
    </row>
    <row r="92" ht="24" customHeight="1">
      <c r="A92" s="29" t="inlineStr">
        <is>
          <t>OpenDART_fnlttSinglAcntAll</t>
        </is>
      </c>
      <c r="B92" s="29" t="inlineStr">
        <is>
          <t>01365825</t>
        </is>
      </c>
      <c r="C92" s="29" t="inlineStr">
        <is>
          <t>피에스케이</t>
        </is>
      </c>
      <c r="D92" s="29" t="inlineStr">
        <is>
          <t>psk</t>
        </is>
      </c>
      <c r="E92" s="29" t="inlineStr">
        <is>
          <t>319660</t>
        </is>
      </c>
      <c r="F92" s="29" t="inlineStr">
        <is>
          <t>2021</t>
        </is>
      </c>
      <c r="G92" s="29" t="inlineStr">
        <is>
          <t>CFS</t>
        </is>
      </c>
      <c r="H92" s="29" t="inlineStr">
        <is>
          <t>CF</t>
        </is>
      </c>
      <c r="I92" s="29" t="inlineStr">
        <is>
          <t>현금흐름표</t>
        </is>
      </c>
      <c r="J92" s="29" t="inlineStr">
        <is>
          <t>dart_ProceedsFromLongTermBorrowings</t>
        </is>
      </c>
      <c r="K92" s="29" t="inlineStr">
        <is>
          <t>장기차입금의 증가</t>
        </is>
      </c>
      <c r="L92" s="29" t="inlineStr">
        <is>
          <t>-</t>
        </is>
      </c>
      <c r="M92" s="29" t="inlineStr">
        <is>
          <t>제 3 기</t>
        </is>
      </c>
      <c r="N92" s="29" t="inlineStr">
        <is>
          <t>13443180962.0</t>
        </is>
      </c>
      <c r="O92" s="29" t="inlineStr">
        <is>
          <t>242325888.0</t>
        </is>
      </c>
      <c r="P92" s="29" t="inlineStr">
        <is>
          <t>KRW</t>
        </is>
      </c>
      <c r="Q92" s="29" t="inlineStr">
        <is>
          <t>27</t>
        </is>
      </c>
    </row>
    <row r="93" ht="24" customHeight="1">
      <c r="A93" s="24" t="inlineStr">
        <is>
          <t>OpenDART_fnlttSinglAcntAll</t>
        </is>
      </c>
      <c r="B93" s="24" t="inlineStr">
        <is>
          <t>01365825</t>
        </is>
      </c>
      <c r="C93" s="24" t="inlineStr">
        <is>
          <t>피에스케이</t>
        </is>
      </c>
      <c r="D93" s="24" t="inlineStr">
        <is>
          <t>psk</t>
        </is>
      </c>
      <c r="E93" s="24" t="inlineStr">
        <is>
          <t>319660</t>
        </is>
      </c>
      <c r="F93" s="24" t="inlineStr">
        <is>
          <t>2021</t>
        </is>
      </c>
      <c r="G93" s="24" t="inlineStr">
        <is>
          <t>CFS</t>
        </is>
      </c>
      <c r="H93" s="24" t="inlineStr">
        <is>
          <t>CF</t>
        </is>
      </c>
      <c r="I93" s="24" t="inlineStr">
        <is>
          <t>현금흐름표</t>
        </is>
      </c>
      <c r="J93" s="24" t="inlineStr">
        <is>
          <t>dart_RepaymentsOfLongTermBorrowings</t>
        </is>
      </c>
      <c r="K93" s="24" t="inlineStr">
        <is>
          <t>장기차입금의 상환</t>
        </is>
      </c>
      <c r="L93" s="24" t="inlineStr">
        <is>
          <t>-</t>
        </is>
      </c>
      <c r="M93" s="24" t="inlineStr">
        <is>
          <t>제 3 기</t>
        </is>
      </c>
      <c r="N93" s="24" t="inlineStr">
        <is>
          <t>242325888.0</t>
        </is>
      </c>
      <c r="O93" s="24" t="inlineStr">
        <is>
          <t>0.0</t>
        </is>
      </c>
      <c r="P93" s="24" t="inlineStr">
        <is>
          <t>KRW</t>
        </is>
      </c>
      <c r="Q93" s="24" t="inlineStr">
        <is>
          <t>28</t>
        </is>
      </c>
    </row>
    <row r="94" ht="24" customHeight="1">
      <c r="A94" s="29" t="inlineStr">
        <is>
          <t>OpenDART_fnlttSinglAcntAll</t>
        </is>
      </c>
      <c r="B94" s="29" t="inlineStr">
        <is>
          <t>01365825</t>
        </is>
      </c>
      <c r="C94" s="29" t="inlineStr">
        <is>
          <t>피에스케이</t>
        </is>
      </c>
      <c r="D94" s="29" t="inlineStr">
        <is>
          <t>psk</t>
        </is>
      </c>
      <c r="E94" s="29" t="inlineStr">
        <is>
          <t>319660</t>
        </is>
      </c>
      <c r="F94" s="29" t="inlineStr">
        <is>
          <t>2021</t>
        </is>
      </c>
      <c r="G94" s="29" t="inlineStr">
        <is>
          <t>CFS</t>
        </is>
      </c>
      <c r="H94" s="29" t="inlineStr">
        <is>
          <t>CF</t>
        </is>
      </c>
      <c r="I94" s="29" t="inlineStr">
        <is>
          <t>현금흐름표</t>
        </is>
      </c>
      <c r="J94" s="29" t="inlineStr">
        <is>
          <t>dart_RepaymentsOfExchangeableBond</t>
        </is>
      </c>
      <c r="K94" s="29" t="inlineStr">
        <is>
          <t>교환사채의 감소</t>
        </is>
      </c>
      <c r="L94" s="29" t="inlineStr">
        <is>
          <t>-</t>
        </is>
      </c>
      <c r="M94" s="29" t="inlineStr">
        <is>
          <t>제 3 기</t>
        </is>
      </c>
      <c r="N94" s="29" t="inlineStr">
        <is>
          <t>0.0</t>
        </is>
      </c>
      <c r="O94" s="29" t="inlineStr">
        <is>
          <t>-15000000000.0</t>
        </is>
      </c>
      <c r="P94" s="29" t="inlineStr">
        <is>
          <t>KRW</t>
        </is>
      </c>
      <c r="Q94" s="29" t="inlineStr">
        <is>
          <t>29</t>
        </is>
      </c>
    </row>
    <row r="95" ht="24" customHeight="1">
      <c r="A95" s="24" t="inlineStr">
        <is>
          <t>OpenDART_fnlttSinglAcntAll</t>
        </is>
      </c>
      <c r="B95" s="24" t="inlineStr">
        <is>
          <t>01365825</t>
        </is>
      </c>
      <c r="C95" s="24" t="inlineStr">
        <is>
          <t>피에스케이</t>
        </is>
      </c>
      <c r="D95" s="24" t="inlineStr">
        <is>
          <t>psk</t>
        </is>
      </c>
      <c r="E95" s="24" t="inlineStr">
        <is>
          <t>319660</t>
        </is>
      </c>
      <c r="F95" s="24" t="inlineStr">
        <is>
          <t>2021</t>
        </is>
      </c>
      <c r="G95" s="24" t="inlineStr">
        <is>
          <t>CFS</t>
        </is>
      </c>
      <c r="H95" s="24" t="inlineStr">
        <is>
          <t>CF</t>
        </is>
      </c>
      <c r="I95" s="24" t="inlineStr">
        <is>
          <t>현금흐름표</t>
        </is>
      </c>
      <c r="J95" s="24" t="inlineStr">
        <is>
          <t>dart_PaymentForBondIssueExpenses</t>
        </is>
      </c>
      <c r="K95" s="24" t="inlineStr">
        <is>
          <t>사채발행비 지급</t>
        </is>
      </c>
      <c r="L95" s="24" t="inlineStr">
        <is>
          <t>-</t>
        </is>
      </c>
      <c r="M95" s="24" t="inlineStr">
        <is>
          <t>제 3 기</t>
        </is>
      </c>
      <c r="N95" s="24" t="inlineStr">
        <is>
          <t>0.0</t>
        </is>
      </c>
      <c r="O95" s="24" t="inlineStr">
        <is>
          <t>157770000.0</t>
        </is>
      </c>
      <c r="P95" s="24" t="inlineStr">
        <is>
          <t>KRW</t>
        </is>
      </c>
      <c r="Q95" s="24" t="inlineStr">
        <is>
          <t>30</t>
        </is>
      </c>
    </row>
    <row r="96" ht="24" customHeight="1">
      <c r="A96" s="29" t="inlineStr">
        <is>
          <t>OpenDART_fnlttSinglAcntAll</t>
        </is>
      </c>
      <c r="B96" s="29" t="inlineStr">
        <is>
          <t>01365825</t>
        </is>
      </c>
      <c r="C96" s="29" t="inlineStr">
        <is>
          <t>피에스케이</t>
        </is>
      </c>
      <c r="D96" s="29" t="inlineStr">
        <is>
          <t>psk</t>
        </is>
      </c>
      <c r="E96" s="29" t="inlineStr">
        <is>
          <t>319660</t>
        </is>
      </c>
      <c r="F96" s="29" t="inlineStr">
        <is>
          <t>2021</t>
        </is>
      </c>
      <c r="G96" s="29" t="inlineStr">
        <is>
          <t>CFS</t>
        </is>
      </c>
      <c r="H96" s="29" t="inlineStr">
        <is>
          <t>CF</t>
        </is>
      </c>
      <c r="I96" s="29" t="inlineStr">
        <is>
          <t>현금흐름표</t>
        </is>
      </c>
      <c r="J96" s="29" t="inlineStr">
        <is>
          <t>dart_IncreaseInGuaranteeDepositsAsFinancialActivities</t>
        </is>
      </c>
      <c r="K96" s="29" t="inlineStr">
        <is>
          <t>임대보증금의 증가</t>
        </is>
      </c>
      <c r="L96" s="29" t="inlineStr">
        <is>
          <t>-</t>
        </is>
      </c>
      <c r="M96" s="29" t="inlineStr">
        <is>
          <t>제 3 기</t>
        </is>
      </c>
      <c r="N96" s="29" t="inlineStr">
        <is>
          <t>0.0</t>
        </is>
      </c>
      <c r="O96" s="29" t="inlineStr">
        <is>
          <t>0.0</t>
        </is>
      </c>
      <c r="P96" s="29" t="inlineStr">
        <is>
          <t>KRW</t>
        </is>
      </c>
      <c r="Q96" s="29" t="inlineStr">
        <is>
          <t>31</t>
        </is>
      </c>
    </row>
    <row r="97" ht="24" customHeight="1">
      <c r="A97" s="24" t="inlineStr">
        <is>
          <t>OpenDART_fnlttSinglAcntAll</t>
        </is>
      </c>
      <c r="B97" s="24" t="inlineStr">
        <is>
          <t>01365825</t>
        </is>
      </c>
      <c r="C97" s="24" t="inlineStr">
        <is>
          <t>피에스케이</t>
        </is>
      </c>
      <c r="D97" s="24" t="inlineStr">
        <is>
          <t>psk</t>
        </is>
      </c>
      <c r="E97" s="24" t="inlineStr">
        <is>
          <t>319660</t>
        </is>
      </c>
      <c r="F97" s="24" t="inlineStr">
        <is>
          <t>2021</t>
        </is>
      </c>
      <c r="G97" s="24" t="inlineStr">
        <is>
          <t>CFS</t>
        </is>
      </c>
      <c r="H97" s="24" t="inlineStr">
        <is>
          <t>CF</t>
        </is>
      </c>
      <c r="I97" s="24" t="inlineStr">
        <is>
          <t>현금흐름표</t>
        </is>
      </c>
      <c r="J97" s="24" t="inlineStr">
        <is>
          <t>dart_ProceedsFromFinanceLeaseLiabilitiesClassifiedAsFinancingActivities</t>
        </is>
      </c>
      <c r="K97" s="24" t="inlineStr">
        <is>
          <t>금융리스부채의 증감</t>
        </is>
      </c>
      <c r="L97" s="24" t="inlineStr">
        <is>
          <t>-</t>
        </is>
      </c>
      <c r="M97" s="24" t="inlineStr">
        <is>
          <t>제 3 기</t>
        </is>
      </c>
      <c r="N97" s="24" t="inlineStr">
        <is>
          <t>-1659860849.0</t>
        </is>
      </c>
      <c r="O97" s="24" t="inlineStr">
        <is>
          <t>-1466107176.0</t>
        </is>
      </c>
      <c r="P97" s="24" t="inlineStr">
        <is>
          <t>KRW</t>
        </is>
      </c>
      <c r="Q97" s="24" t="inlineStr">
        <is>
          <t>32</t>
        </is>
      </c>
    </row>
    <row r="98" ht="24" customHeight="1">
      <c r="A98" s="29" t="inlineStr">
        <is>
          <t>OpenDART_fnlttSinglAcntAll</t>
        </is>
      </c>
      <c r="B98" s="29" t="inlineStr">
        <is>
          <t>01365825</t>
        </is>
      </c>
      <c r="C98" s="29" t="inlineStr">
        <is>
          <t>피에스케이</t>
        </is>
      </c>
      <c r="D98" s="29" t="inlineStr">
        <is>
          <t>psk</t>
        </is>
      </c>
      <c r="E98" s="29" t="inlineStr">
        <is>
          <t>319660</t>
        </is>
      </c>
      <c r="F98" s="29" t="inlineStr">
        <is>
          <t>2021</t>
        </is>
      </c>
      <c r="G98" s="29" t="inlineStr">
        <is>
          <t>CFS</t>
        </is>
      </c>
      <c r="H98" s="29" t="inlineStr">
        <is>
          <t>CF</t>
        </is>
      </c>
      <c r="I98" s="29" t="inlineStr">
        <is>
          <t>현금흐름표</t>
        </is>
      </c>
      <c r="J98" s="29" t="inlineStr">
        <is>
          <t>ifrs-full_IncreaseDecreaseInCashAndCashEquivalentsBeforeEffectOfExchangeRateChanges</t>
        </is>
      </c>
      <c r="K98" s="29" t="inlineStr">
        <is>
          <t>환율변동효과 반영전 현금및현금성자산의 순증가(감소)</t>
        </is>
      </c>
      <c r="L98" s="29" t="inlineStr">
        <is>
          <t>-</t>
        </is>
      </c>
      <c r="M98" s="29" t="inlineStr">
        <is>
          <t>제 3 기</t>
        </is>
      </c>
      <c r="N98" s="29" t="inlineStr">
        <is>
          <t>26693940351.0</t>
        </is>
      </c>
      <c r="O98" s="29" t="inlineStr">
        <is>
          <t>-8686392438.0</t>
        </is>
      </c>
      <c r="P98" s="29" t="inlineStr">
        <is>
          <t>KRW</t>
        </is>
      </c>
      <c r="Q98" s="29" t="inlineStr">
        <is>
          <t>33</t>
        </is>
      </c>
    </row>
    <row r="99" ht="24" customHeight="1">
      <c r="A99" s="24" t="inlineStr">
        <is>
          <t>OpenDART_fnlttSinglAcntAll</t>
        </is>
      </c>
      <c r="B99" s="24" t="inlineStr">
        <is>
          <t>01365825</t>
        </is>
      </c>
      <c r="C99" s="24" t="inlineStr">
        <is>
          <t>피에스케이</t>
        </is>
      </c>
      <c r="D99" s="24" t="inlineStr">
        <is>
          <t>psk</t>
        </is>
      </c>
      <c r="E99" s="24" t="inlineStr">
        <is>
          <t>319660</t>
        </is>
      </c>
      <c r="F99" s="24" t="inlineStr">
        <is>
          <t>2021</t>
        </is>
      </c>
      <c r="G99" s="24" t="inlineStr">
        <is>
          <t>CFS</t>
        </is>
      </c>
      <c r="H99" s="24" t="inlineStr">
        <is>
          <t>CF</t>
        </is>
      </c>
      <c r="I99" s="24" t="inlineStr">
        <is>
          <t>현금흐름표</t>
        </is>
      </c>
      <c r="J99" s="24" t="inlineStr">
        <is>
          <t>ifrs-full_EffectOfExchangeRateChangesOnCashAndCashEquivalents</t>
        </is>
      </c>
      <c r="K99" s="24" t="inlineStr">
        <is>
          <t>현금및현금성자산에 대한 환율변동효과</t>
        </is>
      </c>
      <c r="L99" s="24" t="inlineStr">
        <is>
          <t>-</t>
        </is>
      </c>
      <c r="M99" s="24" t="inlineStr">
        <is>
          <t>제 3 기</t>
        </is>
      </c>
      <c r="N99" s="24" t="inlineStr">
        <is>
          <t>2292874475.0</t>
        </is>
      </c>
      <c r="O99" s="24" t="inlineStr">
        <is>
          <t>-88873705.0</t>
        </is>
      </c>
      <c r="P99" s="24" t="inlineStr">
        <is>
          <t>KRW</t>
        </is>
      </c>
      <c r="Q99" s="24" t="inlineStr">
        <is>
          <t>34</t>
        </is>
      </c>
    </row>
    <row r="100" ht="24" customHeight="1">
      <c r="A100" s="29" t="inlineStr">
        <is>
          <t>OpenDART_fnlttSinglAcntAll</t>
        </is>
      </c>
      <c r="B100" s="29" t="inlineStr">
        <is>
          <t>01365825</t>
        </is>
      </c>
      <c r="C100" s="29" t="inlineStr">
        <is>
          <t>피에스케이</t>
        </is>
      </c>
      <c r="D100" s="29" t="inlineStr">
        <is>
          <t>psk</t>
        </is>
      </c>
      <c r="E100" s="29" t="inlineStr">
        <is>
          <t>319660</t>
        </is>
      </c>
      <c r="F100" s="29" t="inlineStr">
        <is>
          <t>2021</t>
        </is>
      </c>
      <c r="G100" s="29" t="inlineStr">
        <is>
          <t>CFS</t>
        </is>
      </c>
      <c r="H100" s="29" t="inlineStr">
        <is>
          <t>CF</t>
        </is>
      </c>
      <c r="I100" s="29" t="inlineStr">
        <is>
          <t>현금흐름표</t>
        </is>
      </c>
      <c r="J100" s="29" t="inlineStr">
        <is>
          <t>ifrs-full_IncreaseDecreaseInCashAndCashEquivalents</t>
        </is>
      </c>
      <c r="K100" s="29" t="inlineStr">
        <is>
          <t>현금및현금성자산의순증가(감소)</t>
        </is>
      </c>
      <c r="L100" s="29" t="inlineStr">
        <is>
          <t>-</t>
        </is>
      </c>
      <c r="M100" s="29" t="inlineStr">
        <is>
          <t>제 3 기</t>
        </is>
      </c>
      <c r="N100" s="29" t="inlineStr">
        <is>
          <t>28986814826.0</t>
        </is>
      </c>
      <c r="O100" s="29" t="inlineStr">
        <is>
          <t>-8775266143.0</t>
        </is>
      </c>
      <c r="P100" s="29" t="inlineStr">
        <is>
          <t>KRW</t>
        </is>
      </c>
      <c r="Q100" s="29" t="inlineStr">
        <is>
          <t>35</t>
        </is>
      </c>
    </row>
    <row r="101" ht="24" customHeight="1">
      <c r="A101" s="24" t="inlineStr">
        <is>
          <t>OpenDART_fnlttSinglAcntAll</t>
        </is>
      </c>
      <c r="B101" s="24" t="inlineStr">
        <is>
          <t>01365825</t>
        </is>
      </c>
      <c r="C101" s="24" t="inlineStr">
        <is>
          <t>피에스케이</t>
        </is>
      </c>
      <c r="D101" s="24" t="inlineStr">
        <is>
          <t>psk</t>
        </is>
      </c>
      <c r="E101" s="24" t="inlineStr">
        <is>
          <t>319660</t>
        </is>
      </c>
      <c r="F101" s="24" t="inlineStr">
        <is>
          <t>2021</t>
        </is>
      </c>
      <c r="G101" s="24" t="inlineStr">
        <is>
          <t>CFS</t>
        </is>
      </c>
      <c r="H101" s="24" t="inlineStr">
        <is>
          <t>CF</t>
        </is>
      </c>
      <c r="I101" s="24" t="inlineStr">
        <is>
          <t>현금흐름표</t>
        </is>
      </c>
      <c r="J101" s="24" t="inlineStr">
        <is>
          <t>dart_CashAndCashEquivalentsAtBeginningOfPeriodCf</t>
        </is>
      </c>
      <c r="K101" s="24" t="inlineStr">
        <is>
          <t>기초현금및현금성자산</t>
        </is>
      </c>
      <c r="L101" s="24" t="inlineStr">
        <is>
          <t>-</t>
        </is>
      </c>
      <c r="M101" s="24" t="inlineStr">
        <is>
          <t>제 3 기</t>
        </is>
      </c>
      <c r="N101" s="24" t="inlineStr">
        <is>
          <t>37087050196.0</t>
        </is>
      </c>
      <c r="O101" s="24" t="inlineStr">
        <is>
          <t>45862316339.0</t>
        </is>
      </c>
      <c r="P101" s="24" t="inlineStr">
        <is>
          <t>KRW</t>
        </is>
      </c>
      <c r="Q101" s="24" t="inlineStr">
        <is>
          <t>36</t>
        </is>
      </c>
    </row>
    <row r="102" ht="24" customHeight="1">
      <c r="A102" s="29" t="inlineStr">
        <is>
          <t>OpenDART_fnlttSinglAcntAll</t>
        </is>
      </c>
      <c r="B102" s="29" t="inlineStr">
        <is>
          <t>01365825</t>
        </is>
      </c>
      <c r="C102" s="29" t="inlineStr">
        <is>
          <t>피에스케이</t>
        </is>
      </c>
      <c r="D102" s="29" t="inlineStr">
        <is>
          <t>psk</t>
        </is>
      </c>
      <c r="E102" s="29" t="inlineStr">
        <is>
          <t>319660</t>
        </is>
      </c>
      <c r="F102" s="29" t="inlineStr">
        <is>
          <t>2021</t>
        </is>
      </c>
      <c r="G102" s="29" t="inlineStr">
        <is>
          <t>CFS</t>
        </is>
      </c>
      <c r="H102" s="29" t="inlineStr">
        <is>
          <t>CF</t>
        </is>
      </c>
      <c r="I102" s="29" t="inlineStr">
        <is>
          <t>현금흐름표</t>
        </is>
      </c>
      <c r="J102" s="29" t="inlineStr">
        <is>
          <t>dart_CashAndCashEquivalentsAtEndOfPeriodCf</t>
        </is>
      </c>
      <c r="K102" s="29" t="inlineStr">
        <is>
          <t>기말현금및현금성자산</t>
        </is>
      </c>
      <c r="L102" s="29" t="inlineStr">
        <is>
          <t>-</t>
        </is>
      </c>
      <c r="M102" s="29" t="inlineStr">
        <is>
          <t>제 3 기</t>
        </is>
      </c>
      <c r="N102" s="29" t="inlineStr">
        <is>
          <t>66073865022.0</t>
        </is>
      </c>
      <c r="O102" s="29" t="inlineStr">
        <is>
          <t>37087050196.0</t>
        </is>
      </c>
      <c r="P102" s="29" t="inlineStr">
        <is>
          <t>KRW</t>
        </is>
      </c>
      <c r="Q102" s="29" t="inlineStr">
        <is>
          <t>37</t>
        </is>
      </c>
    </row>
    <row r="103" ht="24" customHeight="1">
      <c r="A103" s="24" t="inlineStr">
        <is>
          <t>OpenDART_fnlttSinglAcntAll</t>
        </is>
      </c>
      <c r="B103" s="24" t="inlineStr">
        <is>
          <t>01365825</t>
        </is>
      </c>
      <c r="C103" s="24" t="inlineStr">
        <is>
          <t>피에스케이</t>
        </is>
      </c>
      <c r="D103" s="24" t="inlineStr">
        <is>
          <t>psk</t>
        </is>
      </c>
      <c r="E103" s="24" t="inlineStr">
        <is>
          <t>319660</t>
        </is>
      </c>
      <c r="F103" s="24" t="inlineStr">
        <is>
          <t>2021</t>
        </is>
      </c>
      <c r="G103" s="24" t="inlineStr">
        <is>
          <t>CFS</t>
        </is>
      </c>
      <c r="H103" s="24" t="inlineStr">
        <is>
          <t>SCE</t>
        </is>
      </c>
      <c r="I103" s="24" t="inlineStr">
        <is>
          <t>자본변동표</t>
        </is>
      </c>
      <c r="J103" s="24" t="inlineStr">
        <is>
          <t>dart_EquityAtBeginningOfPeriod</t>
        </is>
      </c>
      <c r="K103" s="24" t="inlineStr">
        <is>
          <t>기초자본</t>
        </is>
      </c>
      <c r="L103" s="24" t="inlineStr">
        <is>
          <t>연결재무제표 [member]</t>
        </is>
      </c>
      <c r="M103" s="24" t="inlineStr">
        <is>
          <t>제 3 기</t>
        </is>
      </c>
      <c r="N103" s="24" t="inlineStr">
        <is>
          <t>217378903845.0</t>
        </is>
      </c>
      <c r="O103" s="24" t="inlineStr">
        <is>
          <t>187250842746.0</t>
        </is>
      </c>
      <c r="P103" s="24" t="inlineStr">
        <is>
          <t>KRW</t>
        </is>
      </c>
      <c r="Q103" s="24" t="inlineStr">
        <is>
          <t>1</t>
        </is>
      </c>
    </row>
    <row r="104" ht="24" customHeight="1">
      <c r="A104" s="29" t="inlineStr">
        <is>
          <t>OpenDART_fnlttSinglAcntAll</t>
        </is>
      </c>
      <c r="B104" s="29" t="inlineStr">
        <is>
          <t>01365825</t>
        </is>
      </c>
      <c r="C104" s="29" t="inlineStr">
        <is>
          <t>피에스케이</t>
        </is>
      </c>
      <c r="D104" s="29" t="inlineStr">
        <is>
          <t>psk</t>
        </is>
      </c>
      <c r="E104" s="29" t="inlineStr">
        <is>
          <t>319660</t>
        </is>
      </c>
      <c r="F104" s="29" t="inlineStr">
        <is>
          <t>2021</t>
        </is>
      </c>
      <c r="G104" s="29" t="inlineStr">
        <is>
          <t>CFS</t>
        </is>
      </c>
      <c r="H104" s="29" t="inlineStr">
        <is>
          <t>SCE</t>
        </is>
      </c>
      <c r="I104" s="29" t="inlineStr">
        <is>
          <t>자본변동표</t>
        </is>
      </c>
      <c r="J104" s="29" t="inlineStr">
        <is>
          <t>dart_EquityAtBeginningOfPeriod</t>
        </is>
      </c>
      <c r="K104" s="29" t="inlineStr">
        <is>
          <t>기초자본</t>
        </is>
      </c>
      <c r="L104" s="29" t="inlineStr">
        <is>
          <t>자본 [member]|지배기업의 소유주에게 귀속되는 자본 [member]</t>
        </is>
      </c>
      <c r="M104" s="29" t="inlineStr">
        <is>
          <t>제 3 기</t>
        </is>
      </c>
      <c r="N104" s="29" t="inlineStr">
        <is>
          <t>217378903845.0</t>
        </is>
      </c>
      <c r="O104" s="29" t="inlineStr">
        <is>
          <t>187250842746.0</t>
        </is>
      </c>
      <c r="P104" s="29" t="inlineStr">
        <is>
          <t>KRW</t>
        </is>
      </c>
      <c r="Q104" s="29" t="inlineStr">
        <is>
          <t>1</t>
        </is>
      </c>
    </row>
    <row r="105" ht="24" customHeight="1">
      <c r="A105" s="24" t="inlineStr">
        <is>
          <t>OpenDART_fnlttSinglAcntAll</t>
        </is>
      </c>
      <c r="B105" s="24" t="inlineStr">
        <is>
          <t>01365825</t>
        </is>
      </c>
      <c r="C105" s="24" t="inlineStr">
        <is>
          <t>피에스케이</t>
        </is>
      </c>
      <c r="D105" s="24" t="inlineStr">
        <is>
          <t>psk</t>
        </is>
      </c>
      <c r="E105" s="24" t="inlineStr">
        <is>
          <t>319660</t>
        </is>
      </c>
      <c r="F105" s="24" t="inlineStr">
        <is>
          <t>2021</t>
        </is>
      </c>
      <c r="G105" s="24" t="inlineStr">
        <is>
          <t>CFS</t>
        </is>
      </c>
      <c r="H105" s="24" t="inlineStr">
        <is>
          <t>SCE</t>
        </is>
      </c>
      <c r="I105" s="24" t="inlineStr">
        <is>
          <t>자본변동표</t>
        </is>
      </c>
      <c r="J105" s="24" t="inlineStr">
        <is>
          <t>dart_EquityAtBeginningOfPeriod</t>
        </is>
      </c>
      <c r="K105" s="24" t="inlineStr">
        <is>
          <t>기초자본</t>
        </is>
      </c>
      <c r="L105" s="24" t="inlineStr">
        <is>
          <t>자본 [member]|지배기업의 소유주에게 귀속되는 자본 [member]|기타자본구성요소 [member]</t>
        </is>
      </c>
      <c r="M105" s="24" t="inlineStr">
        <is>
          <t>제 3 기</t>
        </is>
      </c>
      <c r="N105" s="24" t="inlineStr">
        <is>
          <t>487545360.0</t>
        </is>
      </c>
      <c r="O105" s="24" t="inlineStr">
        <is>
          <t>127806049.0</t>
        </is>
      </c>
      <c r="P105" s="24" t="inlineStr">
        <is>
          <t>KRW</t>
        </is>
      </c>
      <c r="Q105" s="24" t="inlineStr">
        <is>
          <t>1</t>
        </is>
      </c>
    </row>
    <row r="106" ht="24" customHeight="1">
      <c r="A106" s="29" t="inlineStr">
        <is>
          <t>OpenDART_fnlttSinglAcntAll</t>
        </is>
      </c>
      <c r="B106" s="29" t="inlineStr">
        <is>
          <t>01365825</t>
        </is>
      </c>
      <c r="C106" s="29" t="inlineStr">
        <is>
          <t>피에스케이</t>
        </is>
      </c>
      <c r="D106" s="29" t="inlineStr">
        <is>
          <t>psk</t>
        </is>
      </c>
      <c r="E106" s="29" t="inlineStr">
        <is>
          <t>319660</t>
        </is>
      </c>
      <c r="F106" s="29" t="inlineStr">
        <is>
          <t>2021</t>
        </is>
      </c>
      <c r="G106" s="29" t="inlineStr">
        <is>
          <t>CFS</t>
        </is>
      </c>
      <c r="H106" s="29" t="inlineStr">
        <is>
          <t>SCE</t>
        </is>
      </c>
      <c r="I106" s="29" t="inlineStr">
        <is>
          <t>자본변동표</t>
        </is>
      </c>
      <c r="J106" s="29" t="inlineStr">
        <is>
          <t>dart_EquityAtBeginningOfPeriod</t>
        </is>
      </c>
      <c r="K106" s="29" t="inlineStr">
        <is>
          <t>기초자본</t>
        </is>
      </c>
      <c r="L106" s="29" t="inlineStr">
        <is>
          <t>자본 [member]|지배기업의 소유주에게 귀속되는 자본 [member]|기타포괄손익누계액 [member]</t>
        </is>
      </c>
      <c r="M106" s="29" t="inlineStr">
        <is>
          <t>제 3 기</t>
        </is>
      </c>
      <c r="N106" s="29" t="inlineStr">
        <is>
          <t>176936597872.0</t>
        </is>
      </c>
      <c r="O106" s="29" t="inlineStr">
        <is>
          <t>164377337795.0</t>
        </is>
      </c>
      <c r="P106" s="29" t="inlineStr">
        <is>
          <t>KRW</t>
        </is>
      </c>
      <c r="Q106" s="29" t="inlineStr">
        <is>
          <t>1</t>
        </is>
      </c>
    </row>
    <row r="107" ht="24" customHeight="1">
      <c r="A107" s="24" t="inlineStr">
        <is>
          <t>OpenDART_fnlttSinglAcntAll</t>
        </is>
      </c>
      <c r="B107" s="24" t="inlineStr">
        <is>
          <t>01365825</t>
        </is>
      </c>
      <c r="C107" s="24" t="inlineStr">
        <is>
          <t>피에스케이</t>
        </is>
      </c>
      <c r="D107" s="24" t="inlineStr">
        <is>
          <t>psk</t>
        </is>
      </c>
      <c r="E107" s="24" t="inlineStr">
        <is>
          <t>319660</t>
        </is>
      </c>
      <c r="F107" s="24" t="inlineStr">
        <is>
          <t>2021</t>
        </is>
      </c>
      <c r="G107" s="24" t="inlineStr">
        <is>
          <t>CFS</t>
        </is>
      </c>
      <c r="H107" s="24" t="inlineStr">
        <is>
          <t>SCE</t>
        </is>
      </c>
      <c r="I107" s="24" t="inlineStr">
        <is>
          <t>자본변동표</t>
        </is>
      </c>
      <c r="J107" s="24" t="inlineStr">
        <is>
          <t>dart_EquityAtBeginningOfPeriod</t>
        </is>
      </c>
      <c r="K107" s="24" t="inlineStr">
        <is>
          <t>기초자본</t>
        </is>
      </c>
      <c r="L107" s="24" t="inlineStr">
        <is>
          <t>자본 [member]|지배기업의 소유주에게 귀속되는 자본 [member]|이익잉여금 [member]</t>
        </is>
      </c>
      <c r="M107" s="24" t="inlineStr">
        <is>
          <t>제 3 기</t>
        </is>
      </c>
      <c r="N107" s="24" t="inlineStr">
        <is>
          <t>32572250613.0</t>
        </is>
      </c>
      <c r="O107" s="24" t="inlineStr">
        <is>
          <t>15363188902.0</t>
        </is>
      </c>
      <c r="P107" s="24" t="inlineStr">
        <is>
          <t>KRW</t>
        </is>
      </c>
      <c r="Q107" s="24" t="inlineStr">
        <is>
          <t>1</t>
        </is>
      </c>
    </row>
    <row r="108" ht="24" customHeight="1">
      <c r="A108" s="29" t="inlineStr">
        <is>
          <t>OpenDART_fnlttSinglAcntAll</t>
        </is>
      </c>
      <c r="B108" s="29" t="inlineStr">
        <is>
          <t>01365825</t>
        </is>
      </c>
      <c r="C108" s="29" t="inlineStr">
        <is>
          <t>피에스케이</t>
        </is>
      </c>
      <c r="D108" s="29" t="inlineStr">
        <is>
          <t>psk</t>
        </is>
      </c>
      <c r="E108" s="29" t="inlineStr">
        <is>
          <t>319660</t>
        </is>
      </c>
      <c r="F108" s="29" t="inlineStr">
        <is>
          <t>2021</t>
        </is>
      </c>
      <c r="G108" s="29" t="inlineStr">
        <is>
          <t>CFS</t>
        </is>
      </c>
      <c r="H108" s="29" t="inlineStr">
        <is>
          <t>SCE</t>
        </is>
      </c>
      <c r="I108" s="29" t="inlineStr">
        <is>
          <t>자본변동표</t>
        </is>
      </c>
      <c r="J108" s="29" t="inlineStr">
        <is>
          <t>dart_EquityAtBeginningOfPeriod</t>
        </is>
      </c>
      <c r="K108" s="29" t="inlineStr">
        <is>
          <t>기초자본</t>
        </is>
      </c>
      <c r="L108" s="29" t="inlineStr">
        <is>
          <t>자본 [member]|지배기업의 소유주에게 귀속되는 자본 [member]|자본금 [member]</t>
        </is>
      </c>
      <c r="M108" s="29" t="inlineStr">
        <is>
          <t>제 3 기</t>
        </is>
      </c>
      <c r="N108" s="29" t="inlineStr">
        <is>
          <t>7382510000.0</t>
        </is>
      </c>
      <c r="O108" s="29" t="inlineStr">
        <is>
          <t>7382510000.0</t>
        </is>
      </c>
      <c r="P108" s="29" t="inlineStr">
        <is>
          <t>KRW</t>
        </is>
      </c>
      <c r="Q108" s="29" t="inlineStr">
        <is>
          <t>1</t>
        </is>
      </c>
    </row>
    <row r="109" ht="24" customHeight="1">
      <c r="A109" s="24" t="inlineStr">
        <is>
          <t>OpenDART_fnlttSinglAcntAll</t>
        </is>
      </c>
      <c r="B109" s="24" t="inlineStr">
        <is>
          <t>01365825</t>
        </is>
      </c>
      <c r="C109" s="24" t="inlineStr">
        <is>
          <t>피에스케이</t>
        </is>
      </c>
      <c r="D109" s="24" t="inlineStr">
        <is>
          <t>psk</t>
        </is>
      </c>
      <c r="E109" s="24" t="inlineStr">
        <is>
          <t>319660</t>
        </is>
      </c>
      <c r="F109" s="24" t="inlineStr">
        <is>
          <t>2021</t>
        </is>
      </c>
      <c r="G109" s="24" t="inlineStr">
        <is>
          <t>CFS</t>
        </is>
      </c>
      <c r="H109" s="24" t="inlineStr">
        <is>
          <t>SCE</t>
        </is>
      </c>
      <c r="I109" s="24" t="inlineStr">
        <is>
          <t>자본변동표</t>
        </is>
      </c>
      <c r="J109" s="24" t="inlineStr">
        <is>
          <t>ifrs-full_DividendsPaid</t>
        </is>
      </c>
      <c r="K109" s="24" t="inlineStr">
        <is>
          <t>배당금지급</t>
        </is>
      </c>
      <c r="L109" s="24" t="inlineStr">
        <is>
          <t>자본 [member]|지배기업의 소유주에게 귀속되는 자본 [member]|이익잉여금 [member]</t>
        </is>
      </c>
      <c r="M109" s="24" t="inlineStr">
        <is>
          <t>제 3 기</t>
        </is>
      </c>
      <c r="N109" s="24" t="inlineStr">
        <is>
          <t>4395528300.0</t>
        </is>
      </c>
      <c r="O109" s="24" t="inlineStr">
        <is>
          <t>4246814100.0</t>
        </is>
      </c>
      <c r="P109" s="24" t="inlineStr">
        <is>
          <t>KRW</t>
        </is>
      </c>
      <c r="Q109" s="24" t="inlineStr">
        <is>
          <t>2</t>
        </is>
      </c>
    </row>
    <row r="110" ht="24" customHeight="1">
      <c r="A110" s="29" t="inlineStr">
        <is>
          <t>OpenDART_fnlttSinglAcntAll</t>
        </is>
      </c>
      <c r="B110" s="29" t="inlineStr">
        <is>
          <t>01365825</t>
        </is>
      </c>
      <c r="C110" s="29" t="inlineStr">
        <is>
          <t>피에스케이</t>
        </is>
      </c>
      <c r="D110" s="29" t="inlineStr">
        <is>
          <t>psk</t>
        </is>
      </c>
      <c r="E110" s="29" t="inlineStr">
        <is>
          <t>319660</t>
        </is>
      </c>
      <c r="F110" s="29" t="inlineStr">
        <is>
          <t>2021</t>
        </is>
      </c>
      <c r="G110" s="29" t="inlineStr">
        <is>
          <t>CFS</t>
        </is>
      </c>
      <c r="H110" s="29" t="inlineStr">
        <is>
          <t>SCE</t>
        </is>
      </c>
      <c r="I110" s="29" t="inlineStr">
        <is>
          <t>자본변동표</t>
        </is>
      </c>
      <c r="J110" s="29" t="inlineStr">
        <is>
          <t>ifrs-full_DividendsPaid</t>
        </is>
      </c>
      <c r="K110" s="29" t="inlineStr">
        <is>
          <t>배당금지급</t>
        </is>
      </c>
      <c r="L110" s="29" t="inlineStr">
        <is>
          <t>자본 [member]|지배기업의 소유주에게 귀속되는 자본 [member]|자본금 [member]</t>
        </is>
      </c>
      <c r="M110" s="29" t="inlineStr">
        <is>
          <t>제 3 기</t>
        </is>
      </c>
      <c r="N110" s="29" t="inlineStr">
        <is>
          <t>0.0</t>
        </is>
      </c>
      <c r="O110" s="29" t="inlineStr">
        <is>
          <t>0.0</t>
        </is>
      </c>
      <c r="P110" s="29" t="inlineStr">
        <is>
          <t>KRW</t>
        </is>
      </c>
      <c r="Q110" s="29" t="inlineStr">
        <is>
          <t>2</t>
        </is>
      </c>
    </row>
    <row r="111" ht="24" customHeight="1">
      <c r="A111" s="24" t="inlineStr">
        <is>
          <t>OpenDART_fnlttSinglAcntAll</t>
        </is>
      </c>
      <c r="B111" s="24" t="inlineStr">
        <is>
          <t>01365825</t>
        </is>
      </c>
      <c r="C111" s="24" t="inlineStr">
        <is>
          <t>피에스케이</t>
        </is>
      </c>
      <c r="D111" s="24" t="inlineStr">
        <is>
          <t>psk</t>
        </is>
      </c>
      <c r="E111" s="24" t="inlineStr">
        <is>
          <t>319660</t>
        </is>
      </c>
      <c r="F111" s="24" t="inlineStr">
        <is>
          <t>2021</t>
        </is>
      </c>
      <c r="G111" s="24" t="inlineStr">
        <is>
          <t>CFS</t>
        </is>
      </c>
      <c r="H111" s="24" t="inlineStr">
        <is>
          <t>SCE</t>
        </is>
      </c>
      <c r="I111" s="24" t="inlineStr">
        <is>
          <t>자본변동표</t>
        </is>
      </c>
      <c r="J111" s="24" t="inlineStr">
        <is>
          <t>ifrs-full_DividendsPaid</t>
        </is>
      </c>
      <c r="K111" s="24" t="inlineStr">
        <is>
          <t>배당금지급</t>
        </is>
      </c>
      <c r="L111" s="24" t="inlineStr">
        <is>
          <t>자본 [member]|지배기업의 소유주에게 귀속되는 자본 [member]|기타포괄손익누계액 [member]</t>
        </is>
      </c>
      <c r="M111" s="24" t="inlineStr">
        <is>
          <t>제 3 기</t>
        </is>
      </c>
      <c r="N111" s="24" t="inlineStr">
        <is>
          <t>0.0</t>
        </is>
      </c>
      <c r="O111" s="24" t="inlineStr">
        <is>
          <t>0.0</t>
        </is>
      </c>
      <c r="P111" s="24" t="inlineStr">
        <is>
          <t>KRW</t>
        </is>
      </c>
      <c r="Q111" s="24" t="inlineStr">
        <is>
          <t>2</t>
        </is>
      </c>
    </row>
    <row r="112" ht="24" customHeight="1">
      <c r="A112" s="29" t="inlineStr">
        <is>
          <t>OpenDART_fnlttSinglAcntAll</t>
        </is>
      </c>
      <c r="B112" s="29" t="inlineStr">
        <is>
          <t>01365825</t>
        </is>
      </c>
      <c r="C112" s="29" t="inlineStr">
        <is>
          <t>피에스케이</t>
        </is>
      </c>
      <c r="D112" s="29" t="inlineStr">
        <is>
          <t>psk</t>
        </is>
      </c>
      <c r="E112" s="29" t="inlineStr">
        <is>
          <t>319660</t>
        </is>
      </c>
      <c r="F112" s="29" t="inlineStr">
        <is>
          <t>2021</t>
        </is>
      </c>
      <c r="G112" s="29" t="inlineStr">
        <is>
          <t>CFS</t>
        </is>
      </c>
      <c r="H112" s="29" t="inlineStr">
        <is>
          <t>SCE</t>
        </is>
      </c>
      <c r="I112" s="29" t="inlineStr">
        <is>
          <t>자본변동표</t>
        </is>
      </c>
      <c r="J112" s="29" t="inlineStr">
        <is>
          <t>ifrs-full_DividendsPaid</t>
        </is>
      </c>
      <c r="K112" s="29" t="inlineStr">
        <is>
          <t>배당금지급</t>
        </is>
      </c>
      <c r="L112" s="29" t="inlineStr">
        <is>
          <t>자본 [member]|지배기업의 소유주에게 귀속되는 자본 [member]|기타자본구성요소 [member]</t>
        </is>
      </c>
      <c r="M112" s="29" t="inlineStr">
        <is>
          <t>제 3 기</t>
        </is>
      </c>
      <c r="N112" s="29" t="inlineStr">
        <is>
          <t>0.0</t>
        </is>
      </c>
      <c r="O112" s="29" t="inlineStr">
        <is>
          <t>0.0</t>
        </is>
      </c>
      <c r="P112" s="29" t="inlineStr">
        <is>
          <t>KRW</t>
        </is>
      </c>
      <c r="Q112" s="29" t="inlineStr">
        <is>
          <t>2</t>
        </is>
      </c>
    </row>
    <row r="113" ht="24" customHeight="1">
      <c r="A113" s="24" t="inlineStr">
        <is>
          <t>OpenDART_fnlttSinglAcntAll</t>
        </is>
      </c>
      <c r="B113" s="24" t="inlineStr">
        <is>
          <t>01365825</t>
        </is>
      </c>
      <c r="C113" s="24" t="inlineStr">
        <is>
          <t>피에스케이</t>
        </is>
      </c>
      <c r="D113" s="24" t="inlineStr">
        <is>
          <t>psk</t>
        </is>
      </c>
      <c r="E113" s="24" t="inlineStr">
        <is>
          <t>319660</t>
        </is>
      </c>
      <c r="F113" s="24" t="inlineStr">
        <is>
          <t>2021</t>
        </is>
      </c>
      <c r="G113" s="24" t="inlineStr">
        <is>
          <t>CFS</t>
        </is>
      </c>
      <c r="H113" s="24" t="inlineStr">
        <is>
          <t>SCE</t>
        </is>
      </c>
      <c r="I113" s="24" t="inlineStr">
        <is>
          <t>자본변동표</t>
        </is>
      </c>
      <c r="J113" s="24" t="inlineStr">
        <is>
          <t>ifrs-full_DividendsPaid</t>
        </is>
      </c>
      <c r="K113" s="24" t="inlineStr">
        <is>
          <t>배당금지급</t>
        </is>
      </c>
      <c r="L113" s="24" t="inlineStr">
        <is>
          <t>자본 [member]|지배기업의 소유주에게 귀속되는 자본 [member]</t>
        </is>
      </c>
      <c r="M113" s="24" t="inlineStr">
        <is>
          <t>제 3 기</t>
        </is>
      </c>
      <c r="N113" s="24" t="inlineStr">
        <is>
          <t>4395528300.0</t>
        </is>
      </c>
      <c r="O113" s="24" t="inlineStr">
        <is>
          <t>4246814100.0</t>
        </is>
      </c>
      <c r="P113" s="24" t="inlineStr">
        <is>
          <t>KRW</t>
        </is>
      </c>
      <c r="Q113" s="24" t="inlineStr">
        <is>
          <t>2</t>
        </is>
      </c>
    </row>
    <row r="114" ht="24" customHeight="1">
      <c r="A114" s="29" t="inlineStr">
        <is>
          <t>OpenDART_fnlttSinglAcntAll</t>
        </is>
      </c>
      <c r="B114" s="29" t="inlineStr">
        <is>
          <t>01365825</t>
        </is>
      </c>
      <c r="C114" s="29" t="inlineStr">
        <is>
          <t>피에스케이</t>
        </is>
      </c>
      <c r="D114" s="29" t="inlineStr">
        <is>
          <t>psk</t>
        </is>
      </c>
      <c r="E114" s="29" t="inlineStr">
        <is>
          <t>319660</t>
        </is>
      </c>
      <c r="F114" s="29" t="inlineStr">
        <is>
          <t>2021</t>
        </is>
      </c>
      <c r="G114" s="29" t="inlineStr">
        <is>
          <t>CFS</t>
        </is>
      </c>
      <c r="H114" s="29" t="inlineStr">
        <is>
          <t>SCE</t>
        </is>
      </c>
      <c r="I114" s="29" t="inlineStr">
        <is>
          <t>자본변동표</t>
        </is>
      </c>
      <c r="J114" s="29" t="inlineStr">
        <is>
          <t>ifrs-full_DividendsPaid</t>
        </is>
      </c>
      <c r="K114" s="29" t="inlineStr">
        <is>
          <t>배당금지급</t>
        </is>
      </c>
      <c r="L114" s="29" t="inlineStr">
        <is>
          <t>연결재무제표 [member]</t>
        </is>
      </c>
      <c r="M114" s="29" t="inlineStr">
        <is>
          <t>제 3 기</t>
        </is>
      </c>
      <c r="N114" s="29" t="inlineStr">
        <is>
          <t>4395528300.0</t>
        </is>
      </c>
      <c r="O114" s="29" t="inlineStr">
        <is>
          <t>4246814100.0</t>
        </is>
      </c>
      <c r="P114" s="29" t="inlineStr">
        <is>
          <t>KRW</t>
        </is>
      </c>
      <c r="Q114" s="29" t="inlineStr">
        <is>
          <t>2</t>
        </is>
      </c>
    </row>
    <row r="115" ht="24" customHeight="1">
      <c r="A115" s="24" t="inlineStr">
        <is>
          <t>OpenDART_fnlttSinglAcntAll</t>
        </is>
      </c>
      <c r="B115" s="24" t="inlineStr">
        <is>
          <t>01365825</t>
        </is>
      </c>
      <c r="C115" s="24" t="inlineStr">
        <is>
          <t>피에스케이</t>
        </is>
      </c>
      <c r="D115" s="24" t="inlineStr">
        <is>
          <t>psk</t>
        </is>
      </c>
      <c r="E115" s="24" t="inlineStr">
        <is>
          <t>319660</t>
        </is>
      </c>
      <c r="F115" s="24" t="inlineStr">
        <is>
          <t>2021</t>
        </is>
      </c>
      <c r="G115" s="24" t="inlineStr">
        <is>
          <t>CFS</t>
        </is>
      </c>
      <c r="H115" s="24" t="inlineStr">
        <is>
          <t>SCE</t>
        </is>
      </c>
      <c r="I115" s="24" t="inlineStr">
        <is>
          <t>자본변동표</t>
        </is>
      </c>
      <c r="J115" s="24" t="inlineStr">
        <is>
          <t>dart_TreasuryShareTransactions</t>
        </is>
      </c>
      <c r="K115" s="24" t="inlineStr">
        <is>
          <t>자기주식 거래로 인한 증감</t>
        </is>
      </c>
      <c r="L115" s="24" t="inlineStr">
        <is>
          <t>자본 [member]|지배기업의 소유주에게 귀속되는 자본 [member]|자본금 [member]</t>
        </is>
      </c>
      <c r="M115" s="24" t="inlineStr">
        <is>
          <t>제 3 기</t>
        </is>
      </c>
      <c r="N115" s="24" t="inlineStr">
        <is>
          <t>0.0</t>
        </is>
      </c>
      <c r="O115" s="24" t="inlineStr">
        <is>
          <t>0.0</t>
        </is>
      </c>
      <c r="P115" s="24" t="inlineStr">
        <is>
          <t>KRW</t>
        </is>
      </c>
      <c r="Q115" s="24" t="inlineStr">
        <is>
          <t>3</t>
        </is>
      </c>
    </row>
    <row r="116" ht="24" customHeight="1">
      <c r="A116" s="29" t="inlineStr">
        <is>
          <t>OpenDART_fnlttSinglAcntAll</t>
        </is>
      </c>
      <c r="B116" s="29" t="inlineStr">
        <is>
          <t>01365825</t>
        </is>
      </c>
      <c r="C116" s="29" t="inlineStr">
        <is>
          <t>피에스케이</t>
        </is>
      </c>
      <c r="D116" s="29" t="inlineStr">
        <is>
          <t>psk</t>
        </is>
      </c>
      <c r="E116" s="29" t="inlineStr">
        <is>
          <t>319660</t>
        </is>
      </c>
      <c r="F116" s="29" t="inlineStr">
        <is>
          <t>2021</t>
        </is>
      </c>
      <c r="G116" s="29" t="inlineStr">
        <is>
          <t>CFS</t>
        </is>
      </c>
      <c r="H116" s="29" t="inlineStr">
        <is>
          <t>SCE</t>
        </is>
      </c>
      <c r="I116" s="29" t="inlineStr">
        <is>
          <t>자본변동표</t>
        </is>
      </c>
      <c r="J116" s="29" t="inlineStr">
        <is>
          <t>dart_TreasuryShareTransactions</t>
        </is>
      </c>
      <c r="K116" s="29" t="inlineStr">
        <is>
          <t>자기주식 거래로 인한 증감</t>
        </is>
      </c>
      <c r="L116" s="29" t="inlineStr">
        <is>
          <t>자본 [member]|지배기업의 소유주에게 귀속되는 자본 [member]|이익잉여금 [member]</t>
        </is>
      </c>
      <c r="M116" s="29" t="inlineStr">
        <is>
          <t>제 3 기</t>
        </is>
      </c>
      <c r="N116" s="29" t="inlineStr">
        <is>
          <t>0.0</t>
        </is>
      </c>
      <c r="O116" s="29" t="inlineStr">
        <is>
          <t>0.0</t>
        </is>
      </c>
      <c r="P116" s="29" t="inlineStr">
        <is>
          <t>KRW</t>
        </is>
      </c>
      <c r="Q116" s="29" t="inlineStr">
        <is>
          <t>3</t>
        </is>
      </c>
    </row>
    <row r="117" ht="24" customHeight="1">
      <c r="A117" s="24" t="inlineStr">
        <is>
          <t>OpenDART_fnlttSinglAcntAll</t>
        </is>
      </c>
      <c r="B117" s="24" t="inlineStr">
        <is>
          <t>01365825</t>
        </is>
      </c>
      <c r="C117" s="24" t="inlineStr">
        <is>
          <t>피에스케이</t>
        </is>
      </c>
      <c r="D117" s="24" t="inlineStr">
        <is>
          <t>psk</t>
        </is>
      </c>
      <c r="E117" s="24" t="inlineStr">
        <is>
          <t>319660</t>
        </is>
      </c>
      <c r="F117" s="24" t="inlineStr">
        <is>
          <t>2021</t>
        </is>
      </c>
      <c r="G117" s="24" t="inlineStr">
        <is>
          <t>CFS</t>
        </is>
      </c>
      <c r="H117" s="24" t="inlineStr">
        <is>
          <t>SCE</t>
        </is>
      </c>
      <c r="I117" s="24" t="inlineStr">
        <is>
          <t>자본변동표</t>
        </is>
      </c>
      <c r="J117" s="24" t="inlineStr">
        <is>
          <t>dart_TreasuryShareTransactions</t>
        </is>
      </c>
      <c r="K117" s="24" t="inlineStr">
        <is>
          <t>자기주식 거래로 인한 증감</t>
        </is>
      </c>
      <c r="L117" s="24" t="inlineStr">
        <is>
          <t>자본 [member]|지배기업의 소유주에게 귀속되는 자본 [member]|기타포괄손익누계액 [member]</t>
        </is>
      </c>
      <c r="M117" s="24" t="inlineStr">
        <is>
          <t>제 3 기</t>
        </is>
      </c>
      <c r="N117" s="24" t="inlineStr">
        <is>
          <t>-2844325800.0</t>
        </is>
      </c>
      <c r="O117" s="24" t="inlineStr">
        <is>
          <t>12525751351.0</t>
        </is>
      </c>
      <c r="P117" s="24" t="inlineStr">
        <is>
          <t>KRW</t>
        </is>
      </c>
      <c r="Q117" s="24" t="inlineStr">
        <is>
          <t>3</t>
        </is>
      </c>
    </row>
    <row r="118" ht="24" customHeight="1">
      <c r="A118" s="29" t="inlineStr">
        <is>
          <t>OpenDART_fnlttSinglAcntAll</t>
        </is>
      </c>
      <c r="B118" s="29" t="inlineStr">
        <is>
          <t>01365825</t>
        </is>
      </c>
      <c r="C118" s="29" t="inlineStr">
        <is>
          <t>피에스케이</t>
        </is>
      </c>
      <c r="D118" s="29" t="inlineStr">
        <is>
          <t>psk</t>
        </is>
      </c>
      <c r="E118" s="29" t="inlineStr">
        <is>
          <t>319660</t>
        </is>
      </c>
      <c r="F118" s="29" t="inlineStr">
        <is>
          <t>2021</t>
        </is>
      </c>
      <c r="G118" s="29" t="inlineStr">
        <is>
          <t>CFS</t>
        </is>
      </c>
      <c r="H118" s="29" t="inlineStr">
        <is>
          <t>SCE</t>
        </is>
      </c>
      <c r="I118" s="29" t="inlineStr">
        <is>
          <t>자본변동표</t>
        </is>
      </c>
      <c r="J118" s="29" t="inlineStr">
        <is>
          <t>dart_TreasuryShareTransactions</t>
        </is>
      </c>
      <c r="K118" s="29" t="inlineStr">
        <is>
          <t>자기주식 거래로 인한 증감</t>
        </is>
      </c>
      <c r="L118" s="29" t="inlineStr">
        <is>
          <t>자본 [member]|지배기업의 소유주에게 귀속되는 자본 [member]|기타자본구성요소 [member]</t>
        </is>
      </c>
      <c r="M118" s="29" t="inlineStr">
        <is>
          <t>제 3 기</t>
        </is>
      </c>
      <c r="N118" s="29" t="inlineStr">
        <is>
          <t>0.0</t>
        </is>
      </c>
      <c r="O118" s="29" t="inlineStr">
        <is>
          <t>0.0</t>
        </is>
      </c>
      <c r="P118" s="29" t="inlineStr">
        <is>
          <t>KRW</t>
        </is>
      </c>
      <c r="Q118" s="29" t="inlineStr">
        <is>
          <t>3</t>
        </is>
      </c>
    </row>
    <row r="119" ht="24" customHeight="1">
      <c r="A119" s="24" t="inlineStr">
        <is>
          <t>OpenDART_fnlttSinglAcntAll</t>
        </is>
      </c>
      <c r="B119" s="24" t="inlineStr">
        <is>
          <t>01365825</t>
        </is>
      </c>
      <c r="C119" s="24" t="inlineStr">
        <is>
          <t>피에스케이</t>
        </is>
      </c>
      <c r="D119" s="24" t="inlineStr">
        <is>
          <t>psk</t>
        </is>
      </c>
      <c r="E119" s="24" t="inlineStr">
        <is>
          <t>319660</t>
        </is>
      </c>
      <c r="F119" s="24" t="inlineStr">
        <is>
          <t>2021</t>
        </is>
      </c>
      <c r="G119" s="24" t="inlineStr">
        <is>
          <t>CFS</t>
        </is>
      </c>
      <c r="H119" s="24" t="inlineStr">
        <is>
          <t>SCE</t>
        </is>
      </c>
      <c r="I119" s="24" t="inlineStr">
        <is>
          <t>자본변동표</t>
        </is>
      </c>
      <c r="J119" s="24" t="inlineStr">
        <is>
          <t>dart_TreasuryShareTransactions</t>
        </is>
      </c>
      <c r="K119" s="24" t="inlineStr">
        <is>
          <t>자기주식 거래로 인한 증감</t>
        </is>
      </c>
      <c r="L119" s="24" t="inlineStr">
        <is>
          <t>자본 [member]|지배기업의 소유주에게 귀속되는 자본 [member]</t>
        </is>
      </c>
      <c r="M119" s="24" t="inlineStr">
        <is>
          <t>제 3 기</t>
        </is>
      </c>
      <c r="N119" s="24" t="inlineStr">
        <is>
          <t>-2844325800.0</t>
        </is>
      </c>
      <c r="O119" s="24" t="inlineStr">
        <is>
          <t>12525751351.0</t>
        </is>
      </c>
      <c r="P119" s="24" t="inlineStr">
        <is>
          <t>KRW</t>
        </is>
      </c>
      <c r="Q119" s="24" t="inlineStr">
        <is>
          <t>3</t>
        </is>
      </c>
    </row>
    <row r="120" ht="24" customHeight="1">
      <c r="A120" s="29" t="inlineStr">
        <is>
          <t>OpenDART_fnlttSinglAcntAll</t>
        </is>
      </c>
      <c r="B120" s="29" t="inlineStr">
        <is>
          <t>01365825</t>
        </is>
      </c>
      <c r="C120" s="29" t="inlineStr">
        <is>
          <t>피에스케이</t>
        </is>
      </c>
      <c r="D120" s="29" t="inlineStr">
        <is>
          <t>psk</t>
        </is>
      </c>
      <c r="E120" s="29" t="inlineStr">
        <is>
          <t>319660</t>
        </is>
      </c>
      <c r="F120" s="29" t="inlineStr">
        <is>
          <t>2021</t>
        </is>
      </c>
      <c r="G120" s="29" t="inlineStr">
        <is>
          <t>CFS</t>
        </is>
      </c>
      <c r="H120" s="29" t="inlineStr">
        <is>
          <t>SCE</t>
        </is>
      </c>
      <c r="I120" s="29" t="inlineStr">
        <is>
          <t>자본변동표</t>
        </is>
      </c>
      <c r="J120" s="29" t="inlineStr">
        <is>
          <t>dart_TreasuryShareTransactions</t>
        </is>
      </c>
      <c r="K120" s="29" t="inlineStr">
        <is>
          <t>자기주식 거래로 인한 증감</t>
        </is>
      </c>
      <c r="L120" s="29" t="inlineStr">
        <is>
          <t>연결재무제표 [member]</t>
        </is>
      </c>
      <c r="M120" s="29" t="inlineStr">
        <is>
          <t>제 3 기</t>
        </is>
      </c>
      <c r="N120" s="29" t="inlineStr">
        <is>
          <t>-2844325800.0</t>
        </is>
      </c>
      <c r="O120" s="29" t="inlineStr">
        <is>
          <t>12525751351.0</t>
        </is>
      </c>
      <c r="P120" s="29" t="inlineStr">
        <is>
          <t>KRW</t>
        </is>
      </c>
      <c r="Q120" s="29" t="inlineStr">
        <is>
          <t>3</t>
        </is>
      </c>
    </row>
    <row r="121" ht="24" customHeight="1">
      <c r="A121" s="24" t="inlineStr">
        <is>
          <t>OpenDART_fnlttSinglAcntAll</t>
        </is>
      </c>
      <c r="B121" s="24" t="inlineStr">
        <is>
          <t>01365825</t>
        </is>
      </c>
      <c r="C121" s="24" t="inlineStr">
        <is>
          <t>피에스케이</t>
        </is>
      </c>
      <c r="D121" s="24" t="inlineStr">
        <is>
          <t>psk</t>
        </is>
      </c>
      <c r="E121" s="24" t="inlineStr">
        <is>
          <t>319660</t>
        </is>
      </c>
      <c r="F121" s="24" t="inlineStr">
        <is>
          <t>2021</t>
        </is>
      </c>
      <c r="G121" s="24" t="inlineStr">
        <is>
          <t>CFS</t>
        </is>
      </c>
      <c r="H121" s="24" t="inlineStr">
        <is>
          <t>SCE</t>
        </is>
      </c>
      <c r="I121" s="24" t="inlineStr">
        <is>
          <t>자본변동표</t>
        </is>
      </c>
      <c r="J121" s="24" t="inlineStr">
        <is>
          <t>-표준계정코드 미사용-</t>
        </is>
      </c>
      <c r="K121" s="24" t="inlineStr">
        <is>
          <t>주식발행초과금</t>
        </is>
      </c>
      <c r="L121" s="24" t="inlineStr">
        <is>
          <t>자본 [member]|지배기업의 소유주에게 귀속되는 자본 [member]|이익잉여금 [member]</t>
        </is>
      </c>
      <c r="M121" s="24" t="inlineStr">
        <is>
          <t>제 3 기</t>
        </is>
      </c>
      <c r="N121" s="24" t="inlineStr">
        <is>
          <t>0.0</t>
        </is>
      </c>
      <c r="O121" s="24" t="inlineStr">
        <is>
          <t>0.0</t>
        </is>
      </c>
      <c r="P121" s="24" t="inlineStr">
        <is>
          <t>KRW</t>
        </is>
      </c>
      <c r="Q121" s="24" t="inlineStr">
        <is>
          <t>4</t>
        </is>
      </c>
    </row>
    <row r="122" ht="24" customHeight="1">
      <c r="A122" s="29" t="inlineStr">
        <is>
          <t>OpenDART_fnlttSinglAcntAll</t>
        </is>
      </c>
      <c r="B122" s="29" t="inlineStr">
        <is>
          <t>01365825</t>
        </is>
      </c>
      <c r="C122" s="29" t="inlineStr">
        <is>
          <t>피에스케이</t>
        </is>
      </c>
      <c r="D122" s="29" t="inlineStr">
        <is>
          <t>psk</t>
        </is>
      </c>
      <c r="E122" s="29" t="inlineStr">
        <is>
          <t>319660</t>
        </is>
      </c>
      <c r="F122" s="29" t="inlineStr">
        <is>
          <t>2021</t>
        </is>
      </c>
      <c r="G122" s="29" t="inlineStr">
        <is>
          <t>CFS</t>
        </is>
      </c>
      <c r="H122" s="29" t="inlineStr">
        <is>
          <t>SCE</t>
        </is>
      </c>
      <c r="I122" s="29" t="inlineStr">
        <is>
          <t>자본변동표</t>
        </is>
      </c>
      <c r="J122" s="29" t="inlineStr">
        <is>
          <t>-표준계정코드 미사용-</t>
        </is>
      </c>
      <c r="K122" s="29" t="inlineStr">
        <is>
          <t>주식발행초과금</t>
        </is>
      </c>
      <c r="L122" s="29" t="inlineStr">
        <is>
          <t>자본 [member]|지배기업의 소유주에게 귀속되는 자본 [member]|기타포괄손익누계액 [member]</t>
        </is>
      </c>
      <c r="M122" s="29" t="inlineStr">
        <is>
          <t>제 3 기</t>
        </is>
      </c>
      <c r="N122" s="29" t="inlineStr">
        <is>
          <t>0.0</t>
        </is>
      </c>
      <c r="O122" s="29" t="inlineStr">
        <is>
          <t>0.0</t>
        </is>
      </c>
      <c r="P122" s="29" t="inlineStr">
        <is>
          <t>KRW</t>
        </is>
      </c>
      <c r="Q122" s="29" t="inlineStr">
        <is>
          <t>4</t>
        </is>
      </c>
    </row>
    <row r="123" ht="24" customHeight="1">
      <c r="A123" s="24" t="inlineStr">
        <is>
          <t>OpenDART_fnlttSinglAcntAll</t>
        </is>
      </c>
      <c r="B123" s="24" t="inlineStr">
        <is>
          <t>01365825</t>
        </is>
      </c>
      <c r="C123" s="24" t="inlineStr">
        <is>
          <t>피에스케이</t>
        </is>
      </c>
      <c r="D123" s="24" t="inlineStr">
        <is>
          <t>psk</t>
        </is>
      </c>
      <c r="E123" s="24" t="inlineStr">
        <is>
          <t>319660</t>
        </is>
      </c>
      <c r="F123" s="24" t="inlineStr">
        <is>
          <t>2021</t>
        </is>
      </c>
      <c r="G123" s="24" t="inlineStr">
        <is>
          <t>CFS</t>
        </is>
      </c>
      <c r="H123" s="24" t="inlineStr">
        <is>
          <t>SCE</t>
        </is>
      </c>
      <c r="I123" s="24" t="inlineStr">
        <is>
          <t>자본변동표</t>
        </is>
      </c>
      <c r="J123" s="24" t="inlineStr">
        <is>
          <t>-표준계정코드 미사용-</t>
        </is>
      </c>
      <c r="K123" s="24" t="inlineStr">
        <is>
          <t>주식발행초과금</t>
        </is>
      </c>
      <c r="L123" s="24" t="inlineStr">
        <is>
          <t>자본 [member]|지배기업의 소유주에게 귀속되는 자본 [member]|기타자본구성요소 [member]</t>
        </is>
      </c>
      <c r="M123" s="24" t="inlineStr">
        <is>
          <t>제 3 기</t>
        </is>
      </c>
      <c r="N123" s="24" t="inlineStr">
        <is>
          <t>0.0</t>
        </is>
      </c>
      <c r="O123" s="24" t="inlineStr">
        <is>
          <t>0.0</t>
        </is>
      </c>
      <c r="P123" s="24" t="inlineStr">
        <is>
          <t>KRW</t>
        </is>
      </c>
      <c r="Q123" s="24" t="inlineStr">
        <is>
          <t>4</t>
        </is>
      </c>
    </row>
    <row r="124" ht="24" customHeight="1">
      <c r="A124" s="29" t="inlineStr">
        <is>
          <t>OpenDART_fnlttSinglAcntAll</t>
        </is>
      </c>
      <c r="B124" s="29" t="inlineStr">
        <is>
          <t>01365825</t>
        </is>
      </c>
      <c r="C124" s="29" t="inlineStr">
        <is>
          <t>피에스케이</t>
        </is>
      </c>
      <c r="D124" s="29" t="inlineStr">
        <is>
          <t>psk</t>
        </is>
      </c>
      <c r="E124" s="29" t="inlineStr">
        <is>
          <t>319660</t>
        </is>
      </c>
      <c r="F124" s="29" t="inlineStr">
        <is>
          <t>2021</t>
        </is>
      </c>
      <c r="G124" s="29" t="inlineStr">
        <is>
          <t>CFS</t>
        </is>
      </c>
      <c r="H124" s="29" t="inlineStr">
        <is>
          <t>SCE</t>
        </is>
      </c>
      <c r="I124" s="29" t="inlineStr">
        <is>
          <t>자본변동표</t>
        </is>
      </c>
      <c r="J124" s="29" t="inlineStr">
        <is>
          <t>-표준계정코드 미사용-</t>
        </is>
      </c>
      <c r="K124" s="29" t="inlineStr">
        <is>
          <t>주식발행초과금</t>
        </is>
      </c>
      <c r="L124" s="29" t="inlineStr">
        <is>
          <t>자본 [member]|지배기업의 소유주에게 귀속되는 자본 [member]</t>
        </is>
      </c>
      <c r="M124" s="29" t="inlineStr">
        <is>
          <t>제 3 기</t>
        </is>
      </c>
      <c r="N124" s="29" t="inlineStr">
        <is>
          <t>0.0</t>
        </is>
      </c>
      <c r="O124" s="29" t="inlineStr">
        <is>
          <t>0.0</t>
        </is>
      </c>
      <c r="P124" s="29" t="inlineStr">
        <is>
          <t>KRW</t>
        </is>
      </c>
      <c r="Q124" s="29" t="inlineStr">
        <is>
          <t>4</t>
        </is>
      </c>
    </row>
    <row r="125" ht="24" customHeight="1">
      <c r="A125" s="24" t="inlineStr">
        <is>
          <t>OpenDART_fnlttSinglAcntAll</t>
        </is>
      </c>
      <c r="B125" s="24" t="inlineStr">
        <is>
          <t>01365825</t>
        </is>
      </c>
      <c r="C125" s="24" t="inlineStr">
        <is>
          <t>피에스케이</t>
        </is>
      </c>
      <c r="D125" s="24" t="inlineStr">
        <is>
          <t>psk</t>
        </is>
      </c>
      <c r="E125" s="24" t="inlineStr">
        <is>
          <t>319660</t>
        </is>
      </c>
      <c r="F125" s="24" t="inlineStr">
        <is>
          <t>2021</t>
        </is>
      </c>
      <c r="G125" s="24" t="inlineStr">
        <is>
          <t>CFS</t>
        </is>
      </c>
      <c r="H125" s="24" t="inlineStr">
        <is>
          <t>SCE</t>
        </is>
      </c>
      <c r="I125" s="24" t="inlineStr">
        <is>
          <t>자본변동표</t>
        </is>
      </c>
      <c r="J125" s="24" t="inlineStr">
        <is>
          <t>-표준계정코드 미사용-</t>
        </is>
      </c>
      <c r="K125" s="24" t="inlineStr">
        <is>
          <t>주식발행초과금</t>
        </is>
      </c>
      <c r="L125" s="24" t="inlineStr">
        <is>
          <t>연결재무제표 [member]</t>
        </is>
      </c>
      <c r="M125" s="24" t="inlineStr">
        <is>
          <t>제 3 기</t>
        </is>
      </c>
      <c r="N125" s="24" t="inlineStr">
        <is>
          <t>0.0</t>
        </is>
      </c>
      <c r="O125" s="24" t="inlineStr">
        <is>
          <t>0.0</t>
        </is>
      </c>
      <c r="P125" s="24" t="inlineStr">
        <is>
          <t>KRW</t>
        </is>
      </c>
      <c r="Q125" s="24" t="inlineStr">
        <is>
          <t>4</t>
        </is>
      </c>
    </row>
    <row r="126" ht="24" customHeight="1">
      <c r="A126" s="29" t="inlineStr">
        <is>
          <t>OpenDART_fnlttSinglAcntAll</t>
        </is>
      </c>
      <c r="B126" s="29" t="inlineStr">
        <is>
          <t>01365825</t>
        </is>
      </c>
      <c r="C126" s="29" t="inlineStr">
        <is>
          <t>피에스케이</t>
        </is>
      </c>
      <c r="D126" s="29" t="inlineStr">
        <is>
          <t>psk</t>
        </is>
      </c>
      <c r="E126" s="29" t="inlineStr">
        <is>
          <t>319660</t>
        </is>
      </c>
      <c r="F126" s="29" t="inlineStr">
        <is>
          <t>2021</t>
        </is>
      </c>
      <c r="G126" s="29" t="inlineStr">
        <is>
          <t>CFS</t>
        </is>
      </c>
      <c r="H126" s="29" t="inlineStr">
        <is>
          <t>SCE</t>
        </is>
      </c>
      <c r="I126" s="29" t="inlineStr">
        <is>
          <t>자본변동표</t>
        </is>
      </c>
      <c r="J126" s="29" t="inlineStr">
        <is>
          <t>-표준계정코드 미사용-</t>
        </is>
      </c>
      <c r="K126" s="29" t="inlineStr">
        <is>
          <t>주식발행초과금</t>
        </is>
      </c>
      <c r="L126" s="29" t="inlineStr">
        <is>
          <t>자본 [member]|지배기업의 소유주에게 귀속되는 자본 [member]|자본금 [member]</t>
        </is>
      </c>
      <c r="M126" s="29" t="inlineStr">
        <is>
          <t>제 3 기</t>
        </is>
      </c>
      <c r="N126" s="29" t="inlineStr">
        <is>
          <t>0.0</t>
        </is>
      </c>
      <c r="O126" s="29" t="inlineStr">
        <is>
          <t>0.0</t>
        </is>
      </c>
      <c r="P126" s="29" t="inlineStr">
        <is>
          <t>KRW</t>
        </is>
      </c>
      <c r="Q126" s="29" t="inlineStr">
        <is>
          <t>4</t>
        </is>
      </c>
    </row>
    <row r="127" ht="24" customHeight="1">
      <c r="A127" s="24" t="inlineStr">
        <is>
          <t>OpenDART_fnlttSinglAcntAll</t>
        </is>
      </c>
      <c r="B127" s="24" t="inlineStr">
        <is>
          <t>01365825</t>
        </is>
      </c>
      <c r="C127" s="24" t="inlineStr">
        <is>
          <t>피에스케이</t>
        </is>
      </c>
      <c r="D127" s="24" t="inlineStr">
        <is>
          <t>psk</t>
        </is>
      </c>
      <c r="E127" s="24" t="inlineStr">
        <is>
          <t>319660</t>
        </is>
      </c>
      <c r="F127" s="24" t="inlineStr">
        <is>
          <t>2021</t>
        </is>
      </c>
      <c r="G127" s="24" t="inlineStr">
        <is>
          <t>CFS</t>
        </is>
      </c>
      <c r="H127" s="24" t="inlineStr">
        <is>
          <t>SCE</t>
        </is>
      </c>
      <c r="I127" s="24" t="inlineStr">
        <is>
          <t>자본변동표</t>
        </is>
      </c>
      <c r="J127" s="24" t="inlineStr">
        <is>
          <t>-표준계정코드 미사용-</t>
        </is>
      </c>
      <c r="K127" s="24" t="inlineStr">
        <is>
          <t>자기주식처분이익</t>
        </is>
      </c>
      <c r="L127" s="24" t="inlineStr">
        <is>
          <t>자본 [member]|지배기업의 소유주에게 귀속되는 자본 [member]|이익잉여금 [member]</t>
        </is>
      </c>
      <c r="M127" s="24" t="inlineStr">
        <is>
          <t>제 3 기</t>
        </is>
      </c>
      <c r="N127" s="24" t="inlineStr">
        <is>
          <t>0.0</t>
        </is>
      </c>
      <c r="O127" s="24" t="inlineStr">
        <is>
          <t>0.0</t>
        </is>
      </c>
      <c r="P127" s="24" t="inlineStr">
        <is>
          <t>KRW</t>
        </is>
      </c>
      <c r="Q127" s="24" t="inlineStr">
        <is>
          <t>5</t>
        </is>
      </c>
    </row>
    <row r="128" ht="24" customHeight="1">
      <c r="A128" s="29" t="inlineStr">
        <is>
          <t>OpenDART_fnlttSinglAcntAll</t>
        </is>
      </c>
      <c r="B128" s="29" t="inlineStr">
        <is>
          <t>01365825</t>
        </is>
      </c>
      <c r="C128" s="29" t="inlineStr">
        <is>
          <t>피에스케이</t>
        </is>
      </c>
      <c r="D128" s="29" t="inlineStr">
        <is>
          <t>psk</t>
        </is>
      </c>
      <c r="E128" s="29" t="inlineStr">
        <is>
          <t>319660</t>
        </is>
      </c>
      <c r="F128" s="29" t="inlineStr">
        <is>
          <t>2021</t>
        </is>
      </c>
      <c r="G128" s="29" t="inlineStr">
        <is>
          <t>CFS</t>
        </is>
      </c>
      <c r="H128" s="29" t="inlineStr">
        <is>
          <t>SCE</t>
        </is>
      </c>
      <c r="I128" s="29" t="inlineStr">
        <is>
          <t>자본변동표</t>
        </is>
      </c>
      <c r="J128" s="29" t="inlineStr">
        <is>
          <t>-표준계정코드 미사용-</t>
        </is>
      </c>
      <c r="K128" s="29" t="inlineStr">
        <is>
          <t>자기주식처분이익</t>
        </is>
      </c>
      <c r="L128" s="29" t="inlineStr">
        <is>
          <t>자본 [member]|지배기업의 소유주에게 귀속되는 자본 [member]|기타포괄손익누계액 [member]</t>
        </is>
      </c>
      <c r="M128" s="29" t="inlineStr">
        <is>
          <t>제 3 기</t>
        </is>
      </c>
      <c r="N128" s="29" t="inlineStr">
        <is>
          <t>890755611.0</t>
        </is>
      </c>
      <c r="O128" s="29" t="inlineStr">
        <is>
          <t>0.0</t>
        </is>
      </c>
      <c r="P128" s="29" t="inlineStr">
        <is>
          <t>KRW</t>
        </is>
      </c>
      <c r="Q128" s="29" t="inlineStr">
        <is>
          <t>5</t>
        </is>
      </c>
    </row>
    <row r="129" ht="24" customHeight="1">
      <c r="A129" s="24" t="inlineStr">
        <is>
          <t>OpenDART_fnlttSinglAcntAll</t>
        </is>
      </c>
      <c r="B129" s="24" t="inlineStr">
        <is>
          <t>01365825</t>
        </is>
      </c>
      <c r="C129" s="24" t="inlineStr">
        <is>
          <t>피에스케이</t>
        </is>
      </c>
      <c r="D129" s="24" t="inlineStr">
        <is>
          <t>psk</t>
        </is>
      </c>
      <c r="E129" s="24" t="inlineStr">
        <is>
          <t>319660</t>
        </is>
      </c>
      <c r="F129" s="24" t="inlineStr">
        <is>
          <t>2021</t>
        </is>
      </c>
      <c r="G129" s="24" t="inlineStr">
        <is>
          <t>CFS</t>
        </is>
      </c>
      <c r="H129" s="24" t="inlineStr">
        <is>
          <t>SCE</t>
        </is>
      </c>
      <c r="I129" s="24" t="inlineStr">
        <is>
          <t>자본변동표</t>
        </is>
      </c>
      <c r="J129" s="24" t="inlineStr">
        <is>
          <t>-표준계정코드 미사용-</t>
        </is>
      </c>
      <c r="K129" s="24" t="inlineStr">
        <is>
          <t>자기주식처분이익</t>
        </is>
      </c>
      <c r="L129" s="24" t="inlineStr">
        <is>
          <t>자본 [member]|지배기업의 소유주에게 귀속되는 자본 [member]|기타자본구성요소 [member]</t>
        </is>
      </c>
      <c r="M129" s="24" t="inlineStr">
        <is>
          <t>제 3 기</t>
        </is>
      </c>
      <c r="N129" s="24" t="inlineStr">
        <is>
          <t>0.0</t>
        </is>
      </c>
      <c r="O129" s="24" t="inlineStr">
        <is>
          <t>0.0</t>
        </is>
      </c>
      <c r="P129" s="24" t="inlineStr">
        <is>
          <t>KRW</t>
        </is>
      </c>
      <c r="Q129" s="24" t="inlineStr">
        <is>
          <t>5</t>
        </is>
      </c>
    </row>
    <row r="130" ht="24" customHeight="1">
      <c r="A130" s="29" t="inlineStr">
        <is>
          <t>OpenDART_fnlttSinglAcntAll</t>
        </is>
      </c>
      <c r="B130" s="29" t="inlineStr">
        <is>
          <t>01365825</t>
        </is>
      </c>
      <c r="C130" s="29" t="inlineStr">
        <is>
          <t>피에스케이</t>
        </is>
      </c>
      <c r="D130" s="29" t="inlineStr">
        <is>
          <t>psk</t>
        </is>
      </c>
      <c r="E130" s="29" t="inlineStr">
        <is>
          <t>319660</t>
        </is>
      </c>
      <c r="F130" s="29" t="inlineStr">
        <is>
          <t>2021</t>
        </is>
      </c>
      <c r="G130" s="29" t="inlineStr">
        <is>
          <t>CFS</t>
        </is>
      </c>
      <c r="H130" s="29" t="inlineStr">
        <is>
          <t>SCE</t>
        </is>
      </c>
      <c r="I130" s="29" t="inlineStr">
        <is>
          <t>자본변동표</t>
        </is>
      </c>
      <c r="J130" s="29" t="inlineStr">
        <is>
          <t>-표준계정코드 미사용-</t>
        </is>
      </c>
      <c r="K130" s="29" t="inlineStr">
        <is>
          <t>자기주식처분이익</t>
        </is>
      </c>
      <c r="L130" s="29" t="inlineStr">
        <is>
          <t>자본 [member]|지배기업의 소유주에게 귀속되는 자본 [member]</t>
        </is>
      </c>
      <c r="M130" s="29" t="inlineStr">
        <is>
          <t>제 3 기</t>
        </is>
      </c>
      <c r="N130" s="29" t="inlineStr">
        <is>
          <t>890755611.0</t>
        </is>
      </c>
      <c r="O130" s="29" t="inlineStr">
        <is>
          <t>0.0</t>
        </is>
      </c>
      <c r="P130" s="29" t="inlineStr">
        <is>
          <t>KRW</t>
        </is>
      </c>
      <c r="Q130" s="29" t="inlineStr">
        <is>
          <t>5</t>
        </is>
      </c>
    </row>
    <row r="131" ht="24" customHeight="1">
      <c r="A131" s="24" t="inlineStr">
        <is>
          <t>OpenDART_fnlttSinglAcntAll</t>
        </is>
      </c>
      <c r="B131" s="24" t="inlineStr">
        <is>
          <t>01365825</t>
        </is>
      </c>
      <c r="C131" s="24" t="inlineStr">
        <is>
          <t>피에스케이</t>
        </is>
      </c>
      <c r="D131" s="24" t="inlineStr">
        <is>
          <t>psk</t>
        </is>
      </c>
      <c r="E131" s="24" t="inlineStr">
        <is>
          <t>319660</t>
        </is>
      </c>
      <c r="F131" s="24" t="inlineStr">
        <is>
          <t>2021</t>
        </is>
      </c>
      <c r="G131" s="24" t="inlineStr">
        <is>
          <t>CFS</t>
        </is>
      </c>
      <c r="H131" s="24" t="inlineStr">
        <is>
          <t>SCE</t>
        </is>
      </c>
      <c r="I131" s="24" t="inlineStr">
        <is>
          <t>자본변동표</t>
        </is>
      </c>
      <c r="J131" s="24" t="inlineStr">
        <is>
          <t>-표준계정코드 미사용-</t>
        </is>
      </c>
      <c r="K131" s="24" t="inlineStr">
        <is>
          <t>자기주식처분이익</t>
        </is>
      </c>
      <c r="L131" s="24" t="inlineStr">
        <is>
          <t>연결재무제표 [member]</t>
        </is>
      </c>
      <c r="M131" s="24" t="inlineStr">
        <is>
          <t>제 3 기</t>
        </is>
      </c>
      <c r="N131" s="24" t="inlineStr">
        <is>
          <t>890755611.0</t>
        </is>
      </c>
      <c r="O131" s="24" t="inlineStr">
        <is>
          <t>0.0</t>
        </is>
      </c>
      <c r="P131" s="24" t="inlineStr">
        <is>
          <t>KRW</t>
        </is>
      </c>
      <c r="Q131" s="24" t="inlineStr">
        <is>
          <t>5</t>
        </is>
      </c>
    </row>
    <row r="132" ht="24" customHeight="1">
      <c r="A132" s="29" t="inlineStr">
        <is>
          <t>OpenDART_fnlttSinglAcntAll</t>
        </is>
      </c>
      <c r="B132" s="29" t="inlineStr">
        <is>
          <t>01365825</t>
        </is>
      </c>
      <c r="C132" s="29" t="inlineStr">
        <is>
          <t>피에스케이</t>
        </is>
      </c>
      <c r="D132" s="29" t="inlineStr">
        <is>
          <t>psk</t>
        </is>
      </c>
      <c r="E132" s="29" t="inlineStr">
        <is>
          <t>319660</t>
        </is>
      </c>
      <c r="F132" s="29" t="inlineStr">
        <is>
          <t>2021</t>
        </is>
      </c>
      <c r="G132" s="29" t="inlineStr">
        <is>
          <t>CFS</t>
        </is>
      </c>
      <c r="H132" s="29" t="inlineStr">
        <is>
          <t>SCE</t>
        </is>
      </c>
      <c r="I132" s="29" t="inlineStr">
        <is>
          <t>자본변동표</t>
        </is>
      </c>
      <c r="J132" s="29" t="inlineStr">
        <is>
          <t>-표준계정코드 미사용-</t>
        </is>
      </c>
      <c r="K132" s="29" t="inlineStr">
        <is>
          <t>자기주식처분이익</t>
        </is>
      </c>
      <c r="L132" s="29" t="inlineStr">
        <is>
          <t>자본 [member]|지배기업의 소유주에게 귀속되는 자본 [member]|자본금 [member]</t>
        </is>
      </c>
      <c r="M132" s="29" t="inlineStr">
        <is>
          <t>제 3 기</t>
        </is>
      </c>
      <c r="N132" s="29" t="inlineStr">
        <is>
          <t>0.0</t>
        </is>
      </c>
      <c r="O132" s="29" t="inlineStr">
        <is>
          <t>0.0</t>
        </is>
      </c>
      <c r="P132" s="29" t="inlineStr">
        <is>
          <t>KRW</t>
        </is>
      </c>
      <c r="Q132" s="29" t="inlineStr">
        <is>
          <t>5</t>
        </is>
      </c>
    </row>
    <row r="133" ht="24" customHeight="1">
      <c r="A133" s="24" t="inlineStr">
        <is>
          <t>OpenDART_fnlttSinglAcntAll</t>
        </is>
      </c>
      <c r="B133" s="24" t="inlineStr">
        <is>
          <t>01365825</t>
        </is>
      </c>
      <c r="C133" s="24" t="inlineStr">
        <is>
          <t>피에스케이</t>
        </is>
      </c>
      <c r="D133" s="24" t="inlineStr">
        <is>
          <t>psk</t>
        </is>
      </c>
      <c r="E133" s="24" t="inlineStr">
        <is>
          <t>319660</t>
        </is>
      </c>
      <c r="F133" s="24" t="inlineStr">
        <is>
          <t>2021</t>
        </is>
      </c>
      <c r="G133" s="24" t="inlineStr">
        <is>
          <t>CFS</t>
        </is>
      </c>
      <c r="H133" s="24" t="inlineStr">
        <is>
          <t>SCE</t>
        </is>
      </c>
      <c r="I133" s="24" t="inlineStr">
        <is>
          <t>자본변동표</t>
        </is>
      </c>
      <c r="J133" s="24" t="inlineStr">
        <is>
          <t>-표준계정코드 미사용-</t>
        </is>
      </c>
      <c r="K133" s="24" t="inlineStr">
        <is>
          <t>보험수리적손익</t>
        </is>
      </c>
      <c r="L133" s="24" t="inlineStr">
        <is>
          <t>연결재무제표 [member]</t>
        </is>
      </c>
      <c r="M133" s="24" t="inlineStr">
        <is>
          <t>제 3 기</t>
        </is>
      </c>
      <c r="N133" s="24" t="inlineStr">
        <is>
          <t>-707465368.0</t>
        </is>
      </c>
      <c r="O133" s="24" t="inlineStr">
        <is>
          <t>-803567128.0</t>
        </is>
      </c>
      <c r="P133" s="24" t="inlineStr">
        <is>
          <t>KRW</t>
        </is>
      </c>
      <c r="Q133" s="24" t="inlineStr">
        <is>
          <t>6</t>
        </is>
      </c>
    </row>
    <row r="134" ht="24" customHeight="1">
      <c r="A134" s="29" t="inlineStr">
        <is>
          <t>OpenDART_fnlttSinglAcntAll</t>
        </is>
      </c>
      <c r="B134" s="29" t="inlineStr">
        <is>
          <t>01365825</t>
        </is>
      </c>
      <c r="C134" s="29" t="inlineStr">
        <is>
          <t>피에스케이</t>
        </is>
      </c>
      <c r="D134" s="29" t="inlineStr">
        <is>
          <t>psk</t>
        </is>
      </c>
      <c r="E134" s="29" t="inlineStr">
        <is>
          <t>319660</t>
        </is>
      </c>
      <c r="F134" s="29" t="inlineStr">
        <is>
          <t>2021</t>
        </is>
      </c>
      <c r="G134" s="29" t="inlineStr">
        <is>
          <t>CFS</t>
        </is>
      </c>
      <c r="H134" s="29" t="inlineStr">
        <is>
          <t>SCE</t>
        </is>
      </c>
      <c r="I134" s="29" t="inlineStr">
        <is>
          <t>자본변동표</t>
        </is>
      </c>
      <c r="J134" s="29" t="inlineStr">
        <is>
          <t>-표준계정코드 미사용-</t>
        </is>
      </c>
      <c r="K134" s="29" t="inlineStr">
        <is>
          <t>보험수리적손익</t>
        </is>
      </c>
      <c r="L134" s="29" t="inlineStr">
        <is>
          <t>자본 [member]|지배기업의 소유주에게 귀속되는 자본 [member]</t>
        </is>
      </c>
      <c r="M134" s="29" t="inlineStr">
        <is>
          <t>제 3 기</t>
        </is>
      </c>
      <c r="N134" s="29" t="inlineStr">
        <is>
          <t>-707465368.0</t>
        </is>
      </c>
      <c r="O134" s="29" t="inlineStr">
        <is>
          <t>-803567128.0</t>
        </is>
      </c>
      <c r="P134" s="29" t="inlineStr">
        <is>
          <t>KRW</t>
        </is>
      </c>
      <c r="Q134" s="29" t="inlineStr">
        <is>
          <t>6</t>
        </is>
      </c>
    </row>
    <row r="135" ht="24" customHeight="1">
      <c r="A135" s="24" t="inlineStr">
        <is>
          <t>OpenDART_fnlttSinglAcntAll</t>
        </is>
      </c>
      <c r="B135" s="24" t="inlineStr">
        <is>
          <t>01365825</t>
        </is>
      </c>
      <c r="C135" s="24" t="inlineStr">
        <is>
          <t>피에스케이</t>
        </is>
      </c>
      <c r="D135" s="24" t="inlineStr">
        <is>
          <t>psk</t>
        </is>
      </c>
      <c r="E135" s="24" t="inlineStr">
        <is>
          <t>319660</t>
        </is>
      </c>
      <c r="F135" s="24" t="inlineStr">
        <is>
          <t>2021</t>
        </is>
      </c>
      <c r="G135" s="24" t="inlineStr">
        <is>
          <t>CFS</t>
        </is>
      </c>
      <c r="H135" s="24" t="inlineStr">
        <is>
          <t>SCE</t>
        </is>
      </c>
      <c r="I135" s="24" t="inlineStr">
        <is>
          <t>자본변동표</t>
        </is>
      </c>
      <c r="J135" s="24" t="inlineStr">
        <is>
          <t>-표준계정코드 미사용-</t>
        </is>
      </c>
      <c r="K135" s="24" t="inlineStr">
        <is>
          <t>보험수리적손익</t>
        </is>
      </c>
      <c r="L135" s="24" t="inlineStr">
        <is>
          <t>자본 [member]|지배기업의 소유주에게 귀속되는 자본 [member]|기타자본구성요소 [member]</t>
        </is>
      </c>
      <c r="M135" s="24" t="inlineStr">
        <is>
          <t>제 3 기</t>
        </is>
      </c>
      <c r="N135" s="24" t="inlineStr">
        <is>
          <t>0.0</t>
        </is>
      </c>
      <c r="O135" s="24" t="inlineStr">
        <is>
          <t>0.0</t>
        </is>
      </c>
      <c r="P135" s="24" t="inlineStr">
        <is>
          <t>KRW</t>
        </is>
      </c>
      <c r="Q135" s="24" t="inlineStr">
        <is>
          <t>6</t>
        </is>
      </c>
    </row>
    <row r="136" ht="24" customHeight="1">
      <c r="A136" s="29" t="inlineStr">
        <is>
          <t>OpenDART_fnlttSinglAcntAll</t>
        </is>
      </c>
      <c r="B136" s="29" t="inlineStr">
        <is>
          <t>01365825</t>
        </is>
      </c>
      <c r="C136" s="29" t="inlineStr">
        <is>
          <t>피에스케이</t>
        </is>
      </c>
      <c r="D136" s="29" t="inlineStr">
        <is>
          <t>psk</t>
        </is>
      </c>
      <c r="E136" s="29" t="inlineStr">
        <is>
          <t>319660</t>
        </is>
      </c>
      <c r="F136" s="29" t="inlineStr">
        <is>
          <t>2021</t>
        </is>
      </c>
      <c r="G136" s="29" t="inlineStr">
        <is>
          <t>CFS</t>
        </is>
      </c>
      <c r="H136" s="29" t="inlineStr">
        <is>
          <t>SCE</t>
        </is>
      </c>
      <c r="I136" s="29" t="inlineStr">
        <is>
          <t>자본변동표</t>
        </is>
      </c>
      <c r="J136" s="29" t="inlineStr">
        <is>
          <t>-표준계정코드 미사용-</t>
        </is>
      </c>
      <c r="K136" s="29" t="inlineStr">
        <is>
          <t>보험수리적손익</t>
        </is>
      </c>
      <c r="L136" s="29" t="inlineStr">
        <is>
          <t>자본 [member]|지배기업의 소유주에게 귀속되는 자본 [member]|기타포괄손익누계액 [member]</t>
        </is>
      </c>
      <c r="M136" s="29" t="inlineStr">
        <is>
          <t>제 3 기</t>
        </is>
      </c>
      <c r="N136" s="29" t="inlineStr">
        <is>
          <t>0.0</t>
        </is>
      </c>
      <c r="O136" s="29" t="inlineStr">
        <is>
          <t>0.0</t>
        </is>
      </c>
      <c r="P136" s="29" t="inlineStr">
        <is>
          <t>KRW</t>
        </is>
      </c>
      <c r="Q136" s="29" t="inlineStr">
        <is>
          <t>6</t>
        </is>
      </c>
    </row>
    <row r="137" ht="24" customHeight="1">
      <c r="A137" s="24" t="inlineStr">
        <is>
          <t>OpenDART_fnlttSinglAcntAll</t>
        </is>
      </c>
      <c r="B137" s="24" t="inlineStr">
        <is>
          <t>01365825</t>
        </is>
      </c>
      <c r="C137" s="24" t="inlineStr">
        <is>
          <t>피에스케이</t>
        </is>
      </c>
      <c r="D137" s="24" t="inlineStr">
        <is>
          <t>psk</t>
        </is>
      </c>
      <c r="E137" s="24" t="inlineStr">
        <is>
          <t>319660</t>
        </is>
      </c>
      <c r="F137" s="24" t="inlineStr">
        <is>
          <t>2021</t>
        </is>
      </c>
      <c r="G137" s="24" t="inlineStr">
        <is>
          <t>CFS</t>
        </is>
      </c>
      <c r="H137" s="24" t="inlineStr">
        <is>
          <t>SCE</t>
        </is>
      </c>
      <c r="I137" s="24" t="inlineStr">
        <is>
          <t>자본변동표</t>
        </is>
      </c>
      <c r="J137" s="24" t="inlineStr">
        <is>
          <t>-표준계정코드 미사용-</t>
        </is>
      </c>
      <c r="K137" s="24" t="inlineStr">
        <is>
          <t>보험수리적손익</t>
        </is>
      </c>
      <c r="L137" s="24" t="inlineStr">
        <is>
          <t>자본 [member]|지배기업의 소유주에게 귀속되는 자본 [member]|이익잉여금 [member]</t>
        </is>
      </c>
      <c r="M137" s="24" t="inlineStr">
        <is>
          <t>제 3 기</t>
        </is>
      </c>
      <c r="N137" s="24" t="inlineStr">
        <is>
          <t>-707465368.0</t>
        </is>
      </c>
      <c r="O137" s="24" t="inlineStr">
        <is>
          <t>-803567128.0</t>
        </is>
      </c>
      <c r="P137" s="24" t="inlineStr">
        <is>
          <t>KRW</t>
        </is>
      </c>
      <c r="Q137" s="24" t="inlineStr">
        <is>
          <t>6</t>
        </is>
      </c>
    </row>
    <row r="138" ht="24" customHeight="1">
      <c r="A138" s="29" t="inlineStr">
        <is>
          <t>OpenDART_fnlttSinglAcntAll</t>
        </is>
      </c>
      <c r="B138" s="29" t="inlineStr">
        <is>
          <t>01365825</t>
        </is>
      </c>
      <c r="C138" s="29" t="inlineStr">
        <is>
          <t>피에스케이</t>
        </is>
      </c>
      <c r="D138" s="29" t="inlineStr">
        <is>
          <t>psk</t>
        </is>
      </c>
      <c r="E138" s="29" t="inlineStr">
        <is>
          <t>319660</t>
        </is>
      </c>
      <c r="F138" s="29" t="inlineStr">
        <is>
          <t>2021</t>
        </is>
      </c>
      <c r="G138" s="29" t="inlineStr">
        <is>
          <t>CFS</t>
        </is>
      </c>
      <c r="H138" s="29" t="inlineStr">
        <is>
          <t>SCE</t>
        </is>
      </c>
      <c r="I138" s="29" t="inlineStr">
        <is>
          <t>자본변동표</t>
        </is>
      </c>
      <c r="J138" s="29" t="inlineStr">
        <is>
          <t>-표준계정코드 미사용-</t>
        </is>
      </c>
      <c r="K138" s="29" t="inlineStr">
        <is>
          <t>보험수리적손익</t>
        </is>
      </c>
      <c r="L138" s="29" t="inlineStr">
        <is>
          <t>자본 [member]|지배기업의 소유주에게 귀속되는 자본 [member]|자본금 [member]</t>
        </is>
      </c>
      <c r="M138" s="29" t="inlineStr">
        <is>
          <t>제 3 기</t>
        </is>
      </c>
      <c r="N138" s="29" t="inlineStr">
        <is>
          <t>0.0</t>
        </is>
      </c>
      <c r="O138" s="29" t="inlineStr">
        <is>
          <t>0.0</t>
        </is>
      </c>
      <c r="P138" s="29" t="inlineStr">
        <is>
          <t>KRW</t>
        </is>
      </c>
      <c r="Q138" s="29" t="inlineStr">
        <is>
          <t>6</t>
        </is>
      </c>
    </row>
    <row r="139" ht="24" customHeight="1">
      <c r="A139" s="24" t="inlineStr">
        <is>
          <t>OpenDART_fnlttSinglAcntAll</t>
        </is>
      </c>
      <c r="B139" s="24" t="inlineStr">
        <is>
          <t>01365825</t>
        </is>
      </c>
      <c r="C139" s="24" t="inlineStr">
        <is>
          <t>피에스케이</t>
        </is>
      </c>
      <c r="D139" s="24" t="inlineStr">
        <is>
          <t>psk</t>
        </is>
      </c>
      <c r="E139" s="24" t="inlineStr">
        <is>
          <t>319660</t>
        </is>
      </c>
      <c r="F139" s="24" t="inlineStr">
        <is>
          <t>2021</t>
        </is>
      </c>
      <c r="G139" s="24" t="inlineStr">
        <is>
          <t>CFS</t>
        </is>
      </c>
      <c r="H139" s="24" t="inlineStr">
        <is>
          <t>SCE</t>
        </is>
      </c>
      <c r="I139" s="24" t="inlineStr">
        <is>
          <t>자본변동표</t>
        </is>
      </c>
      <c r="J139" s="24" t="inlineStr">
        <is>
          <t>-표준계정코드 미사용-</t>
        </is>
      </c>
      <c r="K139" s="24" t="inlineStr">
        <is>
          <t>교환권대가</t>
        </is>
      </c>
      <c r="L139" s="24" t="inlineStr">
        <is>
          <t>자본 [member]|지배기업의 소유주에게 귀속되는 자본 [member]|이익잉여금 [member]</t>
        </is>
      </c>
      <c r="M139" s="24" t="inlineStr">
        <is>
          <t>제 3 기</t>
        </is>
      </c>
      <c r="N139" s="24" t="inlineStr">
        <is>
          <t>0.0</t>
        </is>
      </c>
      <c r="O139" s="24" t="inlineStr">
        <is>
          <t>0.0</t>
        </is>
      </c>
      <c r="P139" s="24" t="inlineStr">
        <is>
          <t>KRW</t>
        </is>
      </c>
      <c r="Q139" s="24" t="inlineStr">
        <is>
          <t>7</t>
        </is>
      </c>
    </row>
    <row r="140" ht="24" customHeight="1">
      <c r="A140" s="29" t="inlineStr">
        <is>
          <t>OpenDART_fnlttSinglAcntAll</t>
        </is>
      </c>
      <c r="B140" s="29" t="inlineStr">
        <is>
          <t>01365825</t>
        </is>
      </c>
      <c r="C140" s="29" t="inlineStr">
        <is>
          <t>피에스케이</t>
        </is>
      </c>
      <c r="D140" s="29" t="inlineStr">
        <is>
          <t>psk</t>
        </is>
      </c>
      <c r="E140" s="29" t="inlineStr">
        <is>
          <t>319660</t>
        </is>
      </c>
      <c r="F140" s="29" t="inlineStr">
        <is>
          <t>2021</t>
        </is>
      </c>
      <c r="G140" s="29" t="inlineStr">
        <is>
          <t>CFS</t>
        </is>
      </c>
      <c r="H140" s="29" t="inlineStr">
        <is>
          <t>SCE</t>
        </is>
      </c>
      <c r="I140" s="29" t="inlineStr">
        <is>
          <t>자본변동표</t>
        </is>
      </c>
      <c r="J140" s="29" t="inlineStr">
        <is>
          <t>-표준계정코드 미사용-</t>
        </is>
      </c>
      <c r="K140" s="29" t="inlineStr">
        <is>
          <t>교환권대가</t>
        </is>
      </c>
      <c r="L140" s="29" t="inlineStr">
        <is>
          <t>자본 [member]|지배기업의 소유주에게 귀속되는 자본 [member]|기타포괄손익누계액 [member]</t>
        </is>
      </c>
      <c r="M140" s="29" t="inlineStr">
        <is>
          <t>제 3 기</t>
        </is>
      </c>
      <c r="N140" s="29" t="inlineStr">
        <is>
          <t>-33508726.0</t>
        </is>
      </c>
      <c r="O140" s="29" t="inlineStr">
        <is>
          <t>33508726.0</t>
        </is>
      </c>
      <c r="P140" s="29" t="inlineStr">
        <is>
          <t>KRW</t>
        </is>
      </c>
      <c r="Q140" s="29" t="inlineStr">
        <is>
          <t>7</t>
        </is>
      </c>
    </row>
    <row r="141" ht="24" customHeight="1">
      <c r="A141" s="24" t="inlineStr">
        <is>
          <t>OpenDART_fnlttSinglAcntAll</t>
        </is>
      </c>
      <c r="B141" s="24" t="inlineStr">
        <is>
          <t>01365825</t>
        </is>
      </c>
      <c r="C141" s="24" t="inlineStr">
        <is>
          <t>피에스케이</t>
        </is>
      </c>
      <c r="D141" s="24" t="inlineStr">
        <is>
          <t>psk</t>
        </is>
      </c>
      <c r="E141" s="24" t="inlineStr">
        <is>
          <t>319660</t>
        </is>
      </c>
      <c r="F141" s="24" t="inlineStr">
        <is>
          <t>2021</t>
        </is>
      </c>
      <c r="G141" s="24" t="inlineStr">
        <is>
          <t>CFS</t>
        </is>
      </c>
      <c r="H141" s="24" t="inlineStr">
        <is>
          <t>SCE</t>
        </is>
      </c>
      <c r="I141" s="24" t="inlineStr">
        <is>
          <t>자본변동표</t>
        </is>
      </c>
      <c r="J141" s="24" t="inlineStr">
        <is>
          <t>-표준계정코드 미사용-</t>
        </is>
      </c>
      <c r="K141" s="24" t="inlineStr">
        <is>
          <t>교환권대가</t>
        </is>
      </c>
      <c r="L141" s="24" t="inlineStr">
        <is>
          <t>자본 [member]|지배기업의 소유주에게 귀속되는 자본 [member]|기타자본구성요소 [member]</t>
        </is>
      </c>
      <c r="M141" s="24" t="inlineStr">
        <is>
          <t>제 3 기</t>
        </is>
      </c>
      <c r="N141" s="24" t="inlineStr">
        <is>
          <t>0.0</t>
        </is>
      </c>
      <c r="O141" s="24" t="inlineStr">
        <is>
          <t>0.0</t>
        </is>
      </c>
      <c r="P141" s="24" t="inlineStr">
        <is>
          <t>KRW</t>
        </is>
      </c>
      <c r="Q141" s="24" t="inlineStr">
        <is>
          <t>7</t>
        </is>
      </c>
    </row>
    <row r="142" ht="24" customHeight="1">
      <c r="A142" s="29" t="inlineStr">
        <is>
          <t>OpenDART_fnlttSinglAcntAll</t>
        </is>
      </c>
      <c r="B142" s="29" t="inlineStr">
        <is>
          <t>01365825</t>
        </is>
      </c>
      <c r="C142" s="29" t="inlineStr">
        <is>
          <t>피에스케이</t>
        </is>
      </c>
      <c r="D142" s="29" t="inlineStr">
        <is>
          <t>psk</t>
        </is>
      </c>
      <c r="E142" s="29" t="inlineStr">
        <is>
          <t>319660</t>
        </is>
      </c>
      <c r="F142" s="29" t="inlineStr">
        <is>
          <t>2021</t>
        </is>
      </c>
      <c r="G142" s="29" t="inlineStr">
        <is>
          <t>CFS</t>
        </is>
      </c>
      <c r="H142" s="29" t="inlineStr">
        <is>
          <t>SCE</t>
        </is>
      </c>
      <c r="I142" s="29" t="inlineStr">
        <is>
          <t>자본변동표</t>
        </is>
      </c>
      <c r="J142" s="29" t="inlineStr">
        <is>
          <t>-표준계정코드 미사용-</t>
        </is>
      </c>
      <c r="K142" s="29" t="inlineStr">
        <is>
          <t>교환권대가</t>
        </is>
      </c>
      <c r="L142" s="29" t="inlineStr">
        <is>
          <t>자본 [member]|지배기업의 소유주에게 귀속되는 자본 [member]</t>
        </is>
      </c>
      <c r="M142" s="29" t="inlineStr">
        <is>
          <t>제 3 기</t>
        </is>
      </c>
      <c r="N142" s="29" t="inlineStr">
        <is>
          <t>-33508726.0</t>
        </is>
      </c>
      <c r="O142" s="29" t="inlineStr">
        <is>
          <t>33508726.0</t>
        </is>
      </c>
      <c r="P142" s="29" t="inlineStr">
        <is>
          <t>KRW</t>
        </is>
      </c>
      <c r="Q142" s="29" t="inlineStr">
        <is>
          <t>7</t>
        </is>
      </c>
    </row>
    <row r="143" ht="24" customHeight="1">
      <c r="A143" s="24" t="inlineStr">
        <is>
          <t>OpenDART_fnlttSinglAcntAll</t>
        </is>
      </c>
      <c r="B143" s="24" t="inlineStr">
        <is>
          <t>01365825</t>
        </is>
      </c>
      <c r="C143" s="24" t="inlineStr">
        <is>
          <t>피에스케이</t>
        </is>
      </c>
      <c r="D143" s="24" t="inlineStr">
        <is>
          <t>psk</t>
        </is>
      </c>
      <c r="E143" s="24" t="inlineStr">
        <is>
          <t>319660</t>
        </is>
      </c>
      <c r="F143" s="24" t="inlineStr">
        <is>
          <t>2021</t>
        </is>
      </c>
      <c r="G143" s="24" t="inlineStr">
        <is>
          <t>CFS</t>
        </is>
      </c>
      <c r="H143" s="24" t="inlineStr">
        <is>
          <t>SCE</t>
        </is>
      </c>
      <c r="I143" s="24" t="inlineStr">
        <is>
          <t>자본변동표</t>
        </is>
      </c>
      <c r="J143" s="24" t="inlineStr">
        <is>
          <t>-표준계정코드 미사용-</t>
        </is>
      </c>
      <c r="K143" s="24" t="inlineStr">
        <is>
          <t>교환권대가</t>
        </is>
      </c>
      <c r="L143" s="24" t="inlineStr">
        <is>
          <t>연결재무제표 [member]</t>
        </is>
      </c>
      <c r="M143" s="24" t="inlineStr">
        <is>
          <t>제 3 기</t>
        </is>
      </c>
      <c r="N143" s="24" t="inlineStr">
        <is>
          <t>-33508726.0</t>
        </is>
      </c>
      <c r="O143" s="24" t="inlineStr">
        <is>
          <t>33508726.0</t>
        </is>
      </c>
      <c r="P143" s="24" t="inlineStr">
        <is>
          <t>KRW</t>
        </is>
      </c>
      <c r="Q143" s="24" t="inlineStr">
        <is>
          <t>7</t>
        </is>
      </c>
    </row>
    <row r="144" ht="24" customHeight="1">
      <c r="A144" s="29" t="inlineStr">
        <is>
          <t>OpenDART_fnlttSinglAcntAll</t>
        </is>
      </c>
      <c r="B144" s="29" t="inlineStr">
        <is>
          <t>01365825</t>
        </is>
      </c>
      <c r="C144" s="29" t="inlineStr">
        <is>
          <t>피에스케이</t>
        </is>
      </c>
      <c r="D144" s="29" t="inlineStr">
        <is>
          <t>psk</t>
        </is>
      </c>
      <c r="E144" s="29" t="inlineStr">
        <is>
          <t>319660</t>
        </is>
      </c>
      <c r="F144" s="29" t="inlineStr">
        <is>
          <t>2021</t>
        </is>
      </c>
      <c r="G144" s="29" t="inlineStr">
        <is>
          <t>CFS</t>
        </is>
      </c>
      <c r="H144" s="29" t="inlineStr">
        <is>
          <t>SCE</t>
        </is>
      </c>
      <c r="I144" s="29" t="inlineStr">
        <is>
          <t>자본변동표</t>
        </is>
      </c>
      <c r="J144" s="29" t="inlineStr">
        <is>
          <t>-표준계정코드 미사용-</t>
        </is>
      </c>
      <c r="K144" s="29" t="inlineStr">
        <is>
          <t>교환권대가</t>
        </is>
      </c>
      <c r="L144" s="29" t="inlineStr">
        <is>
          <t>자본 [member]|지배기업의 소유주에게 귀속되는 자본 [member]|자본금 [member]</t>
        </is>
      </c>
      <c r="M144" s="29" t="inlineStr">
        <is>
          <t>제 3 기</t>
        </is>
      </c>
      <c r="N144" s="29" t="inlineStr">
        <is>
          <t>0.0</t>
        </is>
      </c>
      <c r="O144" s="29" t="inlineStr">
        <is>
          <t>0.0</t>
        </is>
      </c>
      <c r="P144" s="29" t="inlineStr">
        <is>
          <t>KRW</t>
        </is>
      </c>
      <c r="Q144" s="29" t="inlineStr">
        <is>
          <t>7</t>
        </is>
      </c>
    </row>
    <row r="145" ht="24" customHeight="1">
      <c r="A145" s="24" t="inlineStr">
        <is>
          <t>OpenDART_fnlttSinglAcntAll</t>
        </is>
      </c>
      <c r="B145" s="24" t="inlineStr">
        <is>
          <t>01365825</t>
        </is>
      </c>
      <c r="C145" s="24" t="inlineStr">
        <is>
          <t>피에스케이</t>
        </is>
      </c>
      <c r="D145" s="24" t="inlineStr">
        <is>
          <t>psk</t>
        </is>
      </c>
      <c r="E145" s="24" t="inlineStr">
        <is>
          <t>319660</t>
        </is>
      </c>
      <c r="F145" s="24" t="inlineStr">
        <is>
          <t>2021</t>
        </is>
      </c>
      <c r="G145" s="24" t="inlineStr">
        <is>
          <t>CFS</t>
        </is>
      </c>
      <c r="H145" s="24" t="inlineStr">
        <is>
          <t>SCE</t>
        </is>
      </c>
      <c r="I145" s="24" t="inlineStr">
        <is>
          <t>자본변동표</t>
        </is>
      </c>
      <c r="J145" s="24" t="inlineStr">
        <is>
          <t>-표준계정코드 미사용-</t>
        </is>
      </c>
      <c r="K145" s="24" t="inlineStr">
        <is>
          <t>해외사업환산손익</t>
        </is>
      </c>
      <c r="L145" s="24" t="inlineStr">
        <is>
          <t>자본 [member]|지배기업의 소유주에게 귀속되는 자본 [member]|이익잉여금 [member]</t>
        </is>
      </c>
      <c r="M145" s="24" t="inlineStr">
        <is>
          <t>제 3 기</t>
        </is>
      </c>
      <c r="N145" s="24" t="inlineStr">
        <is>
          <t>0.0</t>
        </is>
      </c>
      <c r="O145" s="24" t="inlineStr">
        <is>
          <t>0.0</t>
        </is>
      </c>
      <c r="P145" s="24" t="inlineStr">
        <is>
          <t>KRW</t>
        </is>
      </c>
      <c r="Q145" s="24" t="inlineStr">
        <is>
          <t>8</t>
        </is>
      </c>
    </row>
    <row r="146" ht="24" customHeight="1">
      <c r="A146" s="29" t="inlineStr">
        <is>
          <t>OpenDART_fnlttSinglAcntAll</t>
        </is>
      </c>
      <c r="B146" s="29" t="inlineStr">
        <is>
          <t>01365825</t>
        </is>
      </c>
      <c r="C146" s="29" t="inlineStr">
        <is>
          <t>피에스케이</t>
        </is>
      </c>
      <c r="D146" s="29" t="inlineStr">
        <is>
          <t>psk</t>
        </is>
      </c>
      <c r="E146" s="29" t="inlineStr">
        <is>
          <t>319660</t>
        </is>
      </c>
      <c r="F146" s="29" t="inlineStr">
        <is>
          <t>2021</t>
        </is>
      </c>
      <c r="G146" s="29" t="inlineStr">
        <is>
          <t>CFS</t>
        </is>
      </c>
      <c r="H146" s="29" t="inlineStr">
        <is>
          <t>SCE</t>
        </is>
      </c>
      <c r="I146" s="29" t="inlineStr">
        <is>
          <t>자본변동표</t>
        </is>
      </c>
      <c r="J146" s="29" t="inlineStr">
        <is>
          <t>-표준계정코드 미사용-</t>
        </is>
      </c>
      <c r="K146" s="29" t="inlineStr">
        <is>
          <t>해외사업환산손익</t>
        </is>
      </c>
      <c r="L146" s="29" t="inlineStr">
        <is>
          <t>자본 [member]|지배기업의 소유주에게 귀속되는 자본 [member]|기타포괄손익누계액 [member]</t>
        </is>
      </c>
      <c r="M146" s="29" t="inlineStr">
        <is>
          <t>제 3 기</t>
        </is>
      </c>
      <c r="N146" s="29" t="inlineStr">
        <is>
          <t>0.0</t>
        </is>
      </c>
      <c r="O146" s="29" t="inlineStr">
        <is>
          <t>0.0</t>
        </is>
      </c>
      <c r="P146" s="29" t="inlineStr">
        <is>
          <t>KRW</t>
        </is>
      </c>
      <c r="Q146" s="29" t="inlineStr">
        <is>
          <t>8</t>
        </is>
      </c>
    </row>
    <row r="147" ht="24" customHeight="1">
      <c r="A147" s="24" t="inlineStr">
        <is>
          <t>OpenDART_fnlttSinglAcntAll</t>
        </is>
      </c>
      <c r="B147" s="24" t="inlineStr">
        <is>
          <t>01365825</t>
        </is>
      </c>
      <c r="C147" s="24" t="inlineStr">
        <is>
          <t>피에스케이</t>
        </is>
      </c>
      <c r="D147" s="24" t="inlineStr">
        <is>
          <t>psk</t>
        </is>
      </c>
      <c r="E147" s="24" t="inlineStr">
        <is>
          <t>319660</t>
        </is>
      </c>
      <c r="F147" s="24" t="inlineStr">
        <is>
          <t>2021</t>
        </is>
      </c>
      <c r="G147" s="24" t="inlineStr">
        <is>
          <t>CFS</t>
        </is>
      </c>
      <c r="H147" s="24" t="inlineStr">
        <is>
          <t>SCE</t>
        </is>
      </c>
      <c r="I147" s="24" t="inlineStr">
        <is>
          <t>자본변동표</t>
        </is>
      </c>
      <c r="J147" s="24" t="inlineStr">
        <is>
          <t>-표준계정코드 미사용-</t>
        </is>
      </c>
      <c r="K147" s="24" t="inlineStr">
        <is>
          <t>해외사업환산손익</t>
        </is>
      </c>
      <c r="L147" s="24" t="inlineStr">
        <is>
          <t>자본 [member]|지배기업의 소유주에게 귀속되는 자본 [member]|기타자본구성요소 [member]</t>
        </is>
      </c>
      <c r="M147" s="24" t="inlineStr">
        <is>
          <t>제 3 기</t>
        </is>
      </c>
      <c r="N147" s="24" t="inlineStr">
        <is>
          <t>2053715020.0</t>
        </is>
      </c>
      <c r="O147" s="24" t="inlineStr">
        <is>
          <t>359739311.0</t>
        </is>
      </c>
      <c r="P147" s="24" t="inlineStr">
        <is>
          <t>KRW</t>
        </is>
      </c>
      <c r="Q147" s="24" t="inlineStr">
        <is>
          <t>8</t>
        </is>
      </c>
    </row>
    <row r="148" ht="24" customHeight="1">
      <c r="A148" s="29" t="inlineStr">
        <is>
          <t>OpenDART_fnlttSinglAcntAll</t>
        </is>
      </c>
      <c r="B148" s="29" t="inlineStr">
        <is>
          <t>01365825</t>
        </is>
      </c>
      <c r="C148" s="29" t="inlineStr">
        <is>
          <t>피에스케이</t>
        </is>
      </c>
      <c r="D148" s="29" t="inlineStr">
        <is>
          <t>psk</t>
        </is>
      </c>
      <c r="E148" s="29" t="inlineStr">
        <is>
          <t>319660</t>
        </is>
      </c>
      <c r="F148" s="29" t="inlineStr">
        <is>
          <t>2021</t>
        </is>
      </c>
      <c r="G148" s="29" t="inlineStr">
        <is>
          <t>CFS</t>
        </is>
      </c>
      <c r="H148" s="29" t="inlineStr">
        <is>
          <t>SCE</t>
        </is>
      </c>
      <c r="I148" s="29" t="inlineStr">
        <is>
          <t>자본변동표</t>
        </is>
      </c>
      <c r="J148" s="29" t="inlineStr">
        <is>
          <t>-표준계정코드 미사용-</t>
        </is>
      </c>
      <c r="K148" s="29" t="inlineStr">
        <is>
          <t>해외사업환산손익</t>
        </is>
      </c>
      <c r="L148" s="29" t="inlineStr">
        <is>
          <t>자본 [member]|지배기업의 소유주에게 귀속되는 자본 [member]</t>
        </is>
      </c>
      <c r="M148" s="29" t="inlineStr">
        <is>
          <t>제 3 기</t>
        </is>
      </c>
      <c r="N148" s="29" t="inlineStr">
        <is>
          <t>2053715020.0</t>
        </is>
      </c>
      <c r="O148" s="29" t="inlineStr">
        <is>
          <t>359739311.0</t>
        </is>
      </c>
      <c r="P148" s="29" t="inlineStr">
        <is>
          <t>KRW</t>
        </is>
      </c>
      <c r="Q148" s="29" t="inlineStr">
        <is>
          <t>8</t>
        </is>
      </c>
    </row>
    <row r="149" ht="24" customHeight="1">
      <c r="A149" s="24" t="inlineStr">
        <is>
          <t>OpenDART_fnlttSinglAcntAll</t>
        </is>
      </c>
      <c r="B149" s="24" t="inlineStr">
        <is>
          <t>01365825</t>
        </is>
      </c>
      <c r="C149" s="24" t="inlineStr">
        <is>
          <t>피에스케이</t>
        </is>
      </c>
      <c r="D149" s="24" t="inlineStr">
        <is>
          <t>psk</t>
        </is>
      </c>
      <c r="E149" s="24" t="inlineStr">
        <is>
          <t>319660</t>
        </is>
      </c>
      <c r="F149" s="24" t="inlineStr">
        <is>
          <t>2021</t>
        </is>
      </c>
      <c r="G149" s="24" t="inlineStr">
        <is>
          <t>CFS</t>
        </is>
      </c>
      <c r="H149" s="24" t="inlineStr">
        <is>
          <t>SCE</t>
        </is>
      </c>
      <c r="I149" s="24" t="inlineStr">
        <is>
          <t>자본변동표</t>
        </is>
      </c>
      <c r="J149" s="24" t="inlineStr">
        <is>
          <t>-표준계정코드 미사용-</t>
        </is>
      </c>
      <c r="K149" s="24" t="inlineStr">
        <is>
          <t>해외사업환산손익</t>
        </is>
      </c>
      <c r="L149" s="24" t="inlineStr">
        <is>
          <t>연결재무제표 [member]</t>
        </is>
      </c>
      <c r="M149" s="24" t="inlineStr">
        <is>
          <t>제 3 기</t>
        </is>
      </c>
      <c r="N149" s="24" t="inlineStr">
        <is>
          <t>2053715020.0</t>
        </is>
      </c>
      <c r="O149" s="24" t="inlineStr">
        <is>
          <t>359739311.0</t>
        </is>
      </c>
      <c r="P149" s="24" t="inlineStr">
        <is>
          <t>KRW</t>
        </is>
      </c>
      <c r="Q149" s="24" t="inlineStr">
        <is>
          <t>8</t>
        </is>
      </c>
    </row>
    <row r="150" ht="24" customHeight="1">
      <c r="A150" s="29" t="inlineStr">
        <is>
          <t>OpenDART_fnlttSinglAcntAll</t>
        </is>
      </c>
      <c r="B150" s="29" t="inlineStr">
        <is>
          <t>01365825</t>
        </is>
      </c>
      <c r="C150" s="29" t="inlineStr">
        <is>
          <t>피에스케이</t>
        </is>
      </c>
      <c r="D150" s="29" t="inlineStr">
        <is>
          <t>psk</t>
        </is>
      </c>
      <c r="E150" s="29" t="inlineStr">
        <is>
          <t>319660</t>
        </is>
      </c>
      <c r="F150" s="29" t="inlineStr">
        <is>
          <t>2021</t>
        </is>
      </c>
      <c r="G150" s="29" t="inlineStr">
        <is>
          <t>CFS</t>
        </is>
      </c>
      <c r="H150" s="29" t="inlineStr">
        <is>
          <t>SCE</t>
        </is>
      </c>
      <c r="I150" s="29" t="inlineStr">
        <is>
          <t>자본변동표</t>
        </is>
      </c>
      <c r="J150" s="29" t="inlineStr">
        <is>
          <t>-표준계정코드 미사용-</t>
        </is>
      </c>
      <c r="K150" s="29" t="inlineStr">
        <is>
          <t>해외사업환산손익</t>
        </is>
      </c>
      <c r="L150" s="29" t="inlineStr">
        <is>
          <t>자본 [member]|지배기업의 소유주에게 귀속되는 자본 [member]|자본금 [member]</t>
        </is>
      </c>
      <c r="M150" s="29" t="inlineStr">
        <is>
          <t>제 3 기</t>
        </is>
      </c>
      <c r="N150" s="29" t="inlineStr">
        <is>
          <t>0.0</t>
        </is>
      </c>
      <c r="O150" s="29" t="inlineStr">
        <is>
          <t>0.0</t>
        </is>
      </c>
      <c r="P150" s="29" t="inlineStr">
        <is>
          <t>KRW</t>
        </is>
      </c>
      <c r="Q150" s="29" t="inlineStr">
        <is>
          <t>8</t>
        </is>
      </c>
    </row>
    <row r="151" ht="24" customHeight="1">
      <c r="A151" s="24" t="inlineStr">
        <is>
          <t>OpenDART_fnlttSinglAcntAll</t>
        </is>
      </c>
      <c r="B151" s="24" t="inlineStr">
        <is>
          <t>01365825</t>
        </is>
      </c>
      <c r="C151" s="24" t="inlineStr">
        <is>
          <t>피에스케이</t>
        </is>
      </c>
      <c r="D151" s="24" t="inlineStr">
        <is>
          <t>psk</t>
        </is>
      </c>
      <c r="E151" s="24" t="inlineStr">
        <is>
          <t>319660</t>
        </is>
      </c>
      <c r="F151" s="24" t="inlineStr">
        <is>
          <t>2021</t>
        </is>
      </c>
      <c r="G151" s="24" t="inlineStr">
        <is>
          <t>CFS</t>
        </is>
      </c>
      <c r="H151" s="24" t="inlineStr">
        <is>
          <t>SCE</t>
        </is>
      </c>
      <c r="I151" s="24" t="inlineStr">
        <is>
          <t>자본변동표</t>
        </is>
      </c>
      <c r="J151" s="24" t="inlineStr">
        <is>
          <t>ifrs-full_ProfitLoss</t>
        </is>
      </c>
      <c r="K151" s="24" t="inlineStr">
        <is>
          <t>당기순이익(손실)</t>
        </is>
      </c>
      <c r="L151" s="24" t="inlineStr">
        <is>
          <t>자본 [member]|지배기업의 소유주에게 귀속되는 자본 [member]|이익잉여금 [member]</t>
        </is>
      </c>
      <c r="M151" s="24" t="inlineStr">
        <is>
          <t>제 3 기</t>
        </is>
      </c>
      <c r="N151" s="24" t="inlineStr">
        <is>
          <t>76728411521.0</t>
        </is>
      </c>
      <c r="O151" s="24" t="inlineStr">
        <is>
          <t>22259442939.0</t>
        </is>
      </c>
      <c r="P151" s="24" t="inlineStr">
        <is>
          <t>KRW</t>
        </is>
      </c>
      <c r="Q151" s="24" t="inlineStr">
        <is>
          <t>9</t>
        </is>
      </c>
    </row>
    <row r="152" ht="24" customHeight="1">
      <c r="A152" s="29" t="inlineStr">
        <is>
          <t>OpenDART_fnlttSinglAcntAll</t>
        </is>
      </c>
      <c r="B152" s="29" t="inlineStr">
        <is>
          <t>01365825</t>
        </is>
      </c>
      <c r="C152" s="29" t="inlineStr">
        <is>
          <t>피에스케이</t>
        </is>
      </c>
      <c r="D152" s="29" t="inlineStr">
        <is>
          <t>psk</t>
        </is>
      </c>
      <c r="E152" s="29" t="inlineStr">
        <is>
          <t>319660</t>
        </is>
      </c>
      <c r="F152" s="29" t="inlineStr">
        <is>
          <t>2021</t>
        </is>
      </c>
      <c r="G152" s="29" t="inlineStr">
        <is>
          <t>CFS</t>
        </is>
      </c>
      <c r="H152" s="29" t="inlineStr">
        <is>
          <t>SCE</t>
        </is>
      </c>
      <c r="I152" s="29" t="inlineStr">
        <is>
          <t>자본변동표</t>
        </is>
      </c>
      <c r="J152" s="29" t="inlineStr">
        <is>
          <t>ifrs-full_ProfitLoss</t>
        </is>
      </c>
      <c r="K152" s="29" t="inlineStr">
        <is>
          <t>당기순이익(손실)</t>
        </is>
      </c>
      <c r="L152" s="29" t="inlineStr">
        <is>
          <t>자본 [member]|지배기업의 소유주에게 귀속되는 자본 [member]|자본금 [member]</t>
        </is>
      </c>
      <c r="M152" s="29" t="inlineStr">
        <is>
          <t>제 3 기</t>
        </is>
      </c>
      <c r="N152" s="29" t="inlineStr">
        <is>
          <t>0.0</t>
        </is>
      </c>
      <c r="O152" s="29" t="inlineStr">
        <is>
          <t>0.0</t>
        </is>
      </c>
      <c r="P152" s="29" t="inlineStr">
        <is>
          <t>KRW</t>
        </is>
      </c>
      <c r="Q152" s="29" t="inlineStr">
        <is>
          <t>9</t>
        </is>
      </c>
    </row>
    <row r="153" ht="24" customHeight="1">
      <c r="A153" s="24" t="inlineStr">
        <is>
          <t>OpenDART_fnlttSinglAcntAll</t>
        </is>
      </c>
      <c r="B153" s="24" t="inlineStr">
        <is>
          <t>01365825</t>
        </is>
      </c>
      <c r="C153" s="24" t="inlineStr">
        <is>
          <t>피에스케이</t>
        </is>
      </c>
      <c r="D153" s="24" t="inlineStr">
        <is>
          <t>psk</t>
        </is>
      </c>
      <c r="E153" s="24" t="inlineStr">
        <is>
          <t>319660</t>
        </is>
      </c>
      <c r="F153" s="24" t="inlineStr">
        <is>
          <t>2021</t>
        </is>
      </c>
      <c r="G153" s="24" t="inlineStr">
        <is>
          <t>CFS</t>
        </is>
      </c>
      <c r="H153" s="24" t="inlineStr">
        <is>
          <t>SCE</t>
        </is>
      </c>
      <c r="I153" s="24" t="inlineStr">
        <is>
          <t>자본변동표</t>
        </is>
      </c>
      <c r="J153" s="24" t="inlineStr">
        <is>
          <t>ifrs-full_ProfitLoss</t>
        </is>
      </c>
      <c r="K153" s="24" t="inlineStr">
        <is>
          <t>당기순이익(손실)</t>
        </is>
      </c>
      <c r="L153" s="24" t="inlineStr">
        <is>
          <t>연결재무제표 [member]</t>
        </is>
      </c>
      <c r="M153" s="24" t="inlineStr">
        <is>
          <t>제 3 기</t>
        </is>
      </c>
      <c r="N153" s="24" t="inlineStr">
        <is>
          <t>76728411521.0</t>
        </is>
      </c>
      <c r="O153" s="24" t="inlineStr">
        <is>
          <t>22259442939.0</t>
        </is>
      </c>
      <c r="P153" s="24" t="inlineStr">
        <is>
          <t>KRW</t>
        </is>
      </c>
      <c r="Q153" s="24" t="inlineStr">
        <is>
          <t>9</t>
        </is>
      </c>
    </row>
    <row r="154" ht="24" customHeight="1">
      <c r="A154" s="29" t="inlineStr">
        <is>
          <t>OpenDART_fnlttSinglAcntAll</t>
        </is>
      </c>
      <c r="B154" s="29" t="inlineStr">
        <is>
          <t>01365825</t>
        </is>
      </c>
      <c r="C154" s="29" t="inlineStr">
        <is>
          <t>피에스케이</t>
        </is>
      </c>
      <c r="D154" s="29" t="inlineStr">
        <is>
          <t>psk</t>
        </is>
      </c>
      <c r="E154" s="29" t="inlineStr">
        <is>
          <t>319660</t>
        </is>
      </c>
      <c r="F154" s="29" t="inlineStr">
        <is>
          <t>2021</t>
        </is>
      </c>
      <c r="G154" s="29" t="inlineStr">
        <is>
          <t>CFS</t>
        </is>
      </c>
      <c r="H154" s="29" t="inlineStr">
        <is>
          <t>SCE</t>
        </is>
      </c>
      <c r="I154" s="29" t="inlineStr">
        <is>
          <t>자본변동표</t>
        </is>
      </c>
      <c r="J154" s="29" t="inlineStr">
        <is>
          <t>ifrs-full_ProfitLoss</t>
        </is>
      </c>
      <c r="K154" s="29" t="inlineStr">
        <is>
          <t>당기순이익(손실)</t>
        </is>
      </c>
      <c r="L154" s="29" t="inlineStr">
        <is>
          <t>자본 [member]|지배기업의 소유주에게 귀속되는 자본 [member]</t>
        </is>
      </c>
      <c r="M154" s="29" t="inlineStr">
        <is>
          <t>제 3 기</t>
        </is>
      </c>
      <c r="N154" s="29" t="inlineStr">
        <is>
          <t>76728411521.0</t>
        </is>
      </c>
      <c r="O154" s="29" t="inlineStr">
        <is>
          <t>22259442939.0</t>
        </is>
      </c>
      <c r="P154" s="29" t="inlineStr">
        <is>
          <t>KRW</t>
        </is>
      </c>
      <c r="Q154" s="29" t="inlineStr">
        <is>
          <t>9</t>
        </is>
      </c>
    </row>
    <row r="155" ht="24" customHeight="1">
      <c r="A155" s="24" t="inlineStr">
        <is>
          <t>OpenDART_fnlttSinglAcntAll</t>
        </is>
      </c>
      <c r="B155" s="24" t="inlineStr">
        <is>
          <t>01365825</t>
        </is>
      </c>
      <c r="C155" s="24" t="inlineStr">
        <is>
          <t>피에스케이</t>
        </is>
      </c>
      <c r="D155" s="24" t="inlineStr">
        <is>
          <t>psk</t>
        </is>
      </c>
      <c r="E155" s="24" t="inlineStr">
        <is>
          <t>319660</t>
        </is>
      </c>
      <c r="F155" s="24" t="inlineStr">
        <is>
          <t>2021</t>
        </is>
      </c>
      <c r="G155" s="24" t="inlineStr">
        <is>
          <t>CFS</t>
        </is>
      </c>
      <c r="H155" s="24" t="inlineStr">
        <is>
          <t>SCE</t>
        </is>
      </c>
      <c r="I155" s="24" t="inlineStr">
        <is>
          <t>자본변동표</t>
        </is>
      </c>
      <c r="J155" s="24" t="inlineStr">
        <is>
          <t>ifrs-full_ProfitLoss</t>
        </is>
      </c>
      <c r="K155" s="24" t="inlineStr">
        <is>
          <t>당기순이익(손실)</t>
        </is>
      </c>
      <c r="L155" s="24" t="inlineStr">
        <is>
          <t>자본 [member]|지배기업의 소유주에게 귀속되는 자본 [member]|기타자본구성요소 [member]</t>
        </is>
      </c>
      <c r="M155" s="24" t="inlineStr">
        <is>
          <t>제 3 기</t>
        </is>
      </c>
      <c r="N155" s="24" t="inlineStr">
        <is>
          <t>0.0</t>
        </is>
      </c>
      <c r="O155" s="24" t="inlineStr">
        <is>
          <t>0.0</t>
        </is>
      </c>
      <c r="P155" s="24" t="inlineStr">
        <is>
          <t>KRW</t>
        </is>
      </c>
      <c r="Q155" s="24" t="inlineStr">
        <is>
          <t>9</t>
        </is>
      </c>
    </row>
    <row r="156" ht="24" customHeight="1">
      <c r="A156" s="29" t="inlineStr">
        <is>
          <t>OpenDART_fnlttSinglAcntAll</t>
        </is>
      </c>
      <c r="B156" s="29" t="inlineStr">
        <is>
          <t>01365825</t>
        </is>
      </c>
      <c r="C156" s="29" t="inlineStr">
        <is>
          <t>피에스케이</t>
        </is>
      </c>
      <c r="D156" s="29" t="inlineStr">
        <is>
          <t>psk</t>
        </is>
      </c>
      <c r="E156" s="29" t="inlineStr">
        <is>
          <t>319660</t>
        </is>
      </c>
      <c r="F156" s="29" t="inlineStr">
        <is>
          <t>2021</t>
        </is>
      </c>
      <c r="G156" s="29" t="inlineStr">
        <is>
          <t>CFS</t>
        </is>
      </c>
      <c r="H156" s="29" t="inlineStr">
        <is>
          <t>SCE</t>
        </is>
      </c>
      <c r="I156" s="29" t="inlineStr">
        <is>
          <t>자본변동표</t>
        </is>
      </c>
      <c r="J156" s="29" t="inlineStr">
        <is>
          <t>ifrs-full_ProfitLoss</t>
        </is>
      </c>
      <c r="K156" s="29" t="inlineStr">
        <is>
          <t>당기순이익(손실)</t>
        </is>
      </c>
      <c r="L156" s="29" t="inlineStr">
        <is>
          <t>자본 [member]|지배기업의 소유주에게 귀속되는 자본 [member]|기타포괄손익누계액 [member]</t>
        </is>
      </c>
      <c r="M156" s="29" t="inlineStr">
        <is>
          <t>제 3 기</t>
        </is>
      </c>
      <c r="N156" s="29" t="inlineStr">
        <is>
          <t>0.0</t>
        </is>
      </c>
      <c r="O156" s="29" t="inlineStr">
        <is>
          <t>0.0</t>
        </is>
      </c>
      <c r="P156" s="29" t="inlineStr">
        <is>
          <t>KRW</t>
        </is>
      </c>
      <c r="Q156" s="29" t="inlineStr">
        <is>
          <t>9</t>
        </is>
      </c>
    </row>
    <row r="157" ht="24" customHeight="1">
      <c r="A157" s="24" t="inlineStr">
        <is>
          <t>OpenDART_fnlttSinglAcntAll</t>
        </is>
      </c>
      <c r="B157" s="24" t="inlineStr">
        <is>
          <t>01365825</t>
        </is>
      </c>
      <c r="C157" s="24" t="inlineStr">
        <is>
          <t>피에스케이</t>
        </is>
      </c>
      <c r="D157" s="24" t="inlineStr">
        <is>
          <t>psk</t>
        </is>
      </c>
      <c r="E157" s="24" t="inlineStr">
        <is>
          <t>319660</t>
        </is>
      </c>
      <c r="F157" s="24" t="inlineStr">
        <is>
          <t>2021</t>
        </is>
      </c>
      <c r="G157" s="24" t="inlineStr">
        <is>
          <t>CFS</t>
        </is>
      </c>
      <c r="H157" s="24" t="inlineStr">
        <is>
          <t>SCE</t>
        </is>
      </c>
      <c r="I157" s="24" t="inlineStr">
        <is>
          <t>자본변동표</t>
        </is>
      </c>
      <c r="J157" s="24" t="inlineStr">
        <is>
          <t>ifrs-full_ChangesInEquity</t>
        </is>
      </c>
      <c r="K157" s="24" t="inlineStr">
        <is>
          <t>자본 증가(감소) 합계</t>
        </is>
      </c>
      <c r="L157" s="24" t="inlineStr">
        <is>
          <t>연결재무제표 [member]</t>
        </is>
      </c>
      <c r="M157" s="24" t="inlineStr">
        <is>
          <t>제 3 기</t>
        </is>
      </c>
      <c r="N157" s="24" t="inlineStr">
        <is>
          <t>71692053958.0</t>
        </is>
      </c>
      <c r="O157" s="24" t="inlineStr">
        <is>
          <t>30128061099.0</t>
        </is>
      </c>
      <c r="P157" s="24" t="inlineStr">
        <is>
          <t>KRW</t>
        </is>
      </c>
      <c r="Q157" s="24" t="inlineStr">
        <is>
          <t>10</t>
        </is>
      </c>
    </row>
    <row r="158" ht="24" customHeight="1">
      <c r="A158" s="29" t="inlineStr">
        <is>
          <t>OpenDART_fnlttSinglAcntAll</t>
        </is>
      </c>
      <c r="B158" s="29" t="inlineStr">
        <is>
          <t>01365825</t>
        </is>
      </c>
      <c r="C158" s="29" t="inlineStr">
        <is>
          <t>피에스케이</t>
        </is>
      </c>
      <c r="D158" s="29" t="inlineStr">
        <is>
          <t>psk</t>
        </is>
      </c>
      <c r="E158" s="29" t="inlineStr">
        <is>
          <t>319660</t>
        </is>
      </c>
      <c r="F158" s="29" t="inlineStr">
        <is>
          <t>2021</t>
        </is>
      </c>
      <c r="G158" s="29" t="inlineStr">
        <is>
          <t>CFS</t>
        </is>
      </c>
      <c r="H158" s="29" t="inlineStr">
        <is>
          <t>SCE</t>
        </is>
      </c>
      <c r="I158" s="29" t="inlineStr">
        <is>
          <t>자본변동표</t>
        </is>
      </c>
      <c r="J158" s="29" t="inlineStr">
        <is>
          <t>ifrs-full_ChangesInEquity</t>
        </is>
      </c>
      <c r="K158" s="29" t="inlineStr">
        <is>
          <t>자본 증가(감소) 합계</t>
        </is>
      </c>
      <c r="L158" s="29" t="inlineStr">
        <is>
          <t>자본 [member]|지배기업의 소유주에게 귀속되는 자본 [member]</t>
        </is>
      </c>
      <c r="M158" s="29" t="inlineStr">
        <is>
          <t>제 3 기</t>
        </is>
      </c>
      <c r="N158" s="29" t="inlineStr">
        <is>
          <t>71692053958.0</t>
        </is>
      </c>
      <c r="O158" s="29" t="inlineStr">
        <is>
          <t>30128061099.0</t>
        </is>
      </c>
      <c r="P158" s="29" t="inlineStr">
        <is>
          <t>KRW</t>
        </is>
      </c>
      <c r="Q158" s="29" t="inlineStr">
        <is>
          <t>10</t>
        </is>
      </c>
    </row>
    <row r="159" ht="24" customHeight="1">
      <c r="A159" s="24" t="inlineStr">
        <is>
          <t>OpenDART_fnlttSinglAcntAll</t>
        </is>
      </c>
      <c r="B159" s="24" t="inlineStr">
        <is>
          <t>01365825</t>
        </is>
      </c>
      <c r="C159" s="24" t="inlineStr">
        <is>
          <t>피에스케이</t>
        </is>
      </c>
      <c r="D159" s="24" t="inlineStr">
        <is>
          <t>psk</t>
        </is>
      </c>
      <c r="E159" s="24" t="inlineStr">
        <is>
          <t>319660</t>
        </is>
      </c>
      <c r="F159" s="24" t="inlineStr">
        <is>
          <t>2021</t>
        </is>
      </c>
      <c r="G159" s="24" t="inlineStr">
        <is>
          <t>CFS</t>
        </is>
      </c>
      <c r="H159" s="24" t="inlineStr">
        <is>
          <t>SCE</t>
        </is>
      </c>
      <c r="I159" s="24" t="inlineStr">
        <is>
          <t>자본변동표</t>
        </is>
      </c>
      <c r="J159" s="24" t="inlineStr">
        <is>
          <t>ifrs-full_ChangesInEquity</t>
        </is>
      </c>
      <c r="K159" s="24" t="inlineStr">
        <is>
          <t>자본 증가(감소) 합계</t>
        </is>
      </c>
      <c r="L159" s="24" t="inlineStr">
        <is>
          <t>자본 [member]|지배기업의 소유주에게 귀속되는 자본 [member]|기타자본구성요소 [member]</t>
        </is>
      </c>
      <c r="M159" s="24" t="inlineStr">
        <is>
          <t>제 3 기</t>
        </is>
      </c>
      <c r="N159" s="24" t="inlineStr">
        <is>
          <t>2053715020.0</t>
        </is>
      </c>
      <c r="O159" s="24" t="inlineStr">
        <is>
          <t>359739311.0</t>
        </is>
      </c>
      <c r="P159" s="24" t="inlineStr">
        <is>
          <t>KRW</t>
        </is>
      </c>
      <c r="Q159" s="24" t="inlineStr">
        <is>
          <t>10</t>
        </is>
      </c>
    </row>
    <row r="160" ht="24" customHeight="1">
      <c r="A160" s="29" t="inlineStr">
        <is>
          <t>OpenDART_fnlttSinglAcntAll</t>
        </is>
      </c>
      <c r="B160" s="29" t="inlineStr">
        <is>
          <t>01365825</t>
        </is>
      </c>
      <c r="C160" s="29" t="inlineStr">
        <is>
          <t>피에스케이</t>
        </is>
      </c>
      <c r="D160" s="29" t="inlineStr">
        <is>
          <t>psk</t>
        </is>
      </c>
      <c r="E160" s="29" t="inlineStr">
        <is>
          <t>319660</t>
        </is>
      </c>
      <c r="F160" s="29" t="inlineStr">
        <is>
          <t>2021</t>
        </is>
      </c>
      <c r="G160" s="29" t="inlineStr">
        <is>
          <t>CFS</t>
        </is>
      </c>
      <c r="H160" s="29" t="inlineStr">
        <is>
          <t>SCE</t>
        </is>
      </c>
      <c r="I160" s="29" t="inlineStr">
        <is>
          <t>자본변동표</t>
        </is>
      </c>
      <c r="J160" s="29" t="inlineStr">
        <is>
          <t>ifrs-full_ChangesInEquity</t>
        </is>
      </c>
      <c r="K160" s="29" t="inlineStr">
        <is>
          <t>자본 증가(감소) 합계</t>
        </is>
      </c>
      <c r="L160" s="29" t="inlineStr">
        <is>
          <t>자본 [member]|지배기업의 소유주에게 귀속되는 자본 [member]|기타포괄손익누계액 [member]</t>
        </is>
      </c>
      <c r="M160" s="29" t="inlineStr">
        <is>
          <t>제 3 기</t>
        </is>
      </c>
      <c r="N160" s="29" t="inlineStr">
        <is>
          <t>-1987078915.0</t>
        </is>
      </c>
      <c r="O160" s="29" t="inlineStr">
        <is>
          <t>12559260077.0</t>
        </is>
      </c>
      <c r="P160" s="29" t="inlineStr">
        <is>
          <t>KRW</t>
        </is>
      </c>
      <c r="Q160" s="29" t="inlineStr">
        <is>
          <t>10</t>
        </is>
      </c>
    </row>
    <row r="161" ht="24" customHeight="1">
      <c r="A161" s="24" t="inlineStr">
        <is>
          <t>OpenDART_fnlttSinglAcntAll</t>
        </is>
      </c>
      <c r="B161" s="24" t="inlineStr">
        <is>
          <t>01365825</t>
        </is>
      </c>
      <c r="C161" s="24" t="inlineStr">
        <is>
          <t>피에스케이</t>
        </is>
      </c>
      <c r="D161" s="24" t="inlineStr">
        <is>
          <t>psk</t>
        </is>
      </c>
      <c r="E161" s="24" t="inlineStr">
        <is>
          <t>319660</t>
        </is>
      </c>
      <c r="F161" s="24" t="inlineStr">
        <is>
          <t>2021</t>
        </is>
      </c>
      <c r="G161" s="24" t="inlineStr">
        <is>
          <t>CFS</t>
        </is>
      </c>
      <c r="H161" s="24" t="inlineStr">
        <is>
          <t>SCE</t>
        </is>
      </c>
      <c r="I161" s="24" t="inlineStr">
        <is>
          <t>자본변동표</t>
        </is>
      </c>
      <c r="J161" s="24" t="inlineStr">
        <is>
          <t>ifrs-full_ChangesInEquity</t>
        </is>
      </c>
      <c r="K161" s="24" t="inlineStr">
        <is>
          <t>자본 증가(감소) 합계</t>
        </is>
      </c>
      <c r="L161" s="24" t="inlineStr">
        <is>
          <t>자본 [member]|지배기업의 소유주에게 귀속되는 자본 [member]|이익잉여금 [member]</t>
        </is>
      </c>
      <c r="M161" s="24" t="inlineStr">
        <is>
          <t>제 3 기</t>
        </is>
      </c>
      <c r="N161" s="24" t="inlineStr">
        <is>
          <t>71625417853.0</t>
        </is>
      </c>
      <c r="O161" s="24" t="inlineStr">
        <is>
          <t>17209061711.0</t>
        </is>
      </c>
      <c r="P161" s="24" t="inlineStr">
        <is>
          <t>KRW</t>
        </is>
      </c>
      <c r="Q161" s="24" t="inlineStr">
        <is>
          <t>10</t>
        </is>
      </c>
    </row>
    <row r="162" ht="24" customHeight="1">
      <c r="A162" s="29" t="inlineStr">
        <is>
          <t>OpenDART_fnlttSinglAcntAll</t>
        </is>
      </c>
      <c r="B162" s="29" t="inlineStr">
        <is>
          <t>01365825</t>
        </is>
      </c>
      <c r="C162" s="29" t="inlineStr">
        <is>
          <t>피에스케이</t>
        </is>
      </c>
      <c r="D162" s="29" t="inlineStr">
        <is>
          <t>psk</t>
        </is>
      </c>
      <c r="E162" s="29" t="inlineStr">
        <is>
          <t>319660</t>
        </is>
      </c>
      <c r="F162" s="29" t="inlineStr">
        <is>
          <t>2021</t>
        </is>
      </c>
      <c r="G162" s="29" t="inlineStr">
        <is>
          <t>CFS</t>
        </is>
      </c>
      <c r="H162" s="29" t="inlineStr">
        <is>
          <t>SCE</t>
        </is>
      </c>
      <c r="I162" s="29" t="inlineStr">
        <is>
          <t>자본변동표</t>
        </is>
      </c>
      <c r="J162" s="29" t="inlineStr">
        <is>
          <t>ifrs-full_ChangesInEquity</t>
        </is>
      </c>
      <c r="K162" s="29" t="inlineStr">
        <is>
          <t>자본 증가(감소) 합계</t>
        </is>
      </c>
      <c r="L162" s="29" t="inlineStr">
        <is>
          <t>자본 [member]|지배기업의 소유주에게 귀속되는 자본 [member]|자본금 [member]</t>
        </is>
      </c>
      <c r="M162" s="29" t="inlineStr">
        <is>
          <t>제 3 기</t>
        </is>
      </c>
      <c r="N162" s="29" t="inlineStr">
        <is>
          <t>0.0</t>
        </is>
      </c>
      <c r="O162" s="29" t="inlineStr">
        <is>
          <t>0.0</t>
        </is>
      </c>
      <c r="P162" s="29" t="inlineStr">
        <is>
          <t>KRW</t>
        </is>
      </c>
      <c r="Q162" s="29" t="inlineStr">
        <is>
          <t>10</t>
        </is>
      </c>
    </row>
    <row r="163" ht="24" customHeight="1">
      <c r="A163" s="24" t="inlineStr">
        <is>
          <t>OpenDART_fnlttSinglAcntAll</t>
        </is>
      </c>
      <c r="B163" s="24" t="inlineStr">
        <is>
          <t>01365825</t>
        </is>
      </c>
      <c r="C163" s="24" t="inlineStr">
        <is>
          <t>피에스케이</t>
        </is>
      </c>
      <c r="D163" s="24" t="inlineStr">
        <is>
          <t>psk</t>
        </is>
      </c>
      <c r="E163" s="24" t="inlineStr">
        <is>
          <t>319660</t>
        </is>
      </c>
      <c r="F163" s="24" t="inlineStr">
        <is>
          <t>2021</t>
        </is>
      </c>
      <c r="G163" s="24" t="inlineStr">
        <is>
          <t>CFS</t>
        </is>
      </c>
      <c r="H163" s="24" t="inlineStr">
        <is>
          <t>SCE</t>
        </is>
      </c>
      <c r="I163" s="24" t="inlineStr">
        <is>
          <t>자본변동표</t>
        </is>
      </c>
      <c r="J163" s="24" t="inlineStr">
        <is>
          <t>ifrs-full_Equity</t>
        </is>
      </c>
      <c r="K163" s="24" t="inlineStr">
        <is>
          <t>기말자본</t>
        </is>
      </c>
      <c r="L163" s="24" t="inlineStr">
        <is>
          <t>연결재무제표 [member]</t>
        </is>
      </c>
      <c r="M163" s="24" t="inlineStr">
        <is>
          <t>제 3 기</t>
        </is>
      </c>
      <c r="N163" s="24" t="inlineStr">
        <is>
          <t>289070957803.0</t>
        </is>
      </c>
      <c r="O163" s="24" t="inlineStr">
        <is>
          <t>217378903845.0</t>
        </is>
      </c>
      <c r="P163" s="24" t="inlineStr">
        <is>
          <t>KRW</t>
        </is>
      </c>
      <c r="Q163" s="24" t="inlineStr">
        <is>
          <t>11</t>
        </is>
      </c>
    </row>
    <row r="164" ht="24" customHeight="1">
      <c r="A164" s="29" t="inlineStr">
        <is>
          <t>OpenDART_fnlttSinglAcntAll</t>
        </is>
      </c>
      <c r="B164" s="29" t="inlineStr">
        <is>
          <t>01365825</t>
        </is>
      </c>
      <c r="C164" s="29" t="inlineStr">
        <is>
          <t>피에스케이</t>
        </is>
      </c>
      <c r="D164" s="29" t="inlineStr">
        <is>
          <t>psk</t>
        </is>
      </c>
      <c r="E164" s="29" t="inlineStr">
        <is>
          <t>319660</t>
        </is>
      </c>
      <c r="F164" s="29" t="inlineStr">
        <is>
          <t>2021</t>
        </is>
      </c>
      <c r="G164" s="29" t="inlineStr">
        <is>
          <t>CFS</t>
        </is>
      </c>
      <c r="H164" s="29" t="inlineStr">
        <is>
          <t>SCE</t>
        </is>
      </c>
      <c r="I164" s="29" t="inlineStr">
        <is>
          <t>자본변동표</t>
        </is>
      </c>
      <c r="J164" s="29" t="inlineStr">
        <is>
          <t>ifrs-full_Equity</t>
        </is>
      </c>
      <c r="K164" s="29" t="inlineStr">
        <is>
          <t>기말자본</t>
        </is>
      </c>
      <c r="L164" s="29" t="inlineStr">
        <is>
          <t>자본 [member]|지배기업의 소유주에게 귀속되는 자본 [member]</t>
        </is>
      </c>
      <c r="M164" s="29" t="inlineStr">
        <is>
          <t>제 3 기</t>
        </is>
      </c>
      <c r="N164" s="29" t="inlineStr">
        <is>
          <t>289070957803.0</t>
        </is>
      </c>
      <c r="O164" s="29" t="inlineStr">
        <is>
          <t>217378903845.0</t>
        </is>
      </c>
      <c r="P164" s="29" t="inlineStr">
        <is>
          <t>KRW</t>
        </is>
      </c>
      <c r="Q164" s="29" t="inlineStr">
        <is>
          <t>11</t>
        </is>
      </c>
    </row>
    <row r="165" ht="24" customHeight="1">
      <c r="A165" s="24" t="inlineStr">
        <is>
          <t>OpenDART_fnlttSinglAcntAll</t>
        </is>
      </c>
      <c r="B165" s="24" t="inlineStr">
        <is>
          <t>01365825</t>
        </is>
      </c>
      <c r="C165" s="24" t="inlineStr">
        <is>
          <t>피에스케이</t>
        </is>
      </c>
      <c r="D165" s="24" t="inlineStr">
        <is>
          <t>psk</t>
        </is>
      </c>
      <c r="E165" s="24" t="inlineStr">
        <is>
          <t>319660</t>
        </is>
      </c>
      <c r="F165" s="24" t="inlineStr">
        <is>
          <t>2021</t>
        </is>
      </c>
      <c r="G165" s="24" t="inlineStr">
        <is>
          <t>CFS</t>
        </is>
      </c>
      <c r="H165" s="24" t="inlineStr">
        <is>
          <t>SCE</t>
        </is>
      </c>
      <c r="I165" s="24" t="inlineStr">
        <is>
          <t>자본변동표</t>
        </is>
      </c>
      <c r="J165" s="24" t="inlineStr">
        <is>
          <t>ifrs-full_Equity</t>
        </is>
      </c>
      <c r="K165" s="24" t="inlineStr">
        <is>
          <t>기말자본</t>
        </is>
      </c>
      <c r="L165" s="24" t="inlineStr">
        <is>
          <t>자본 [member]|지배기업의 소유주에게 귀속되는 자본 [member]|기타자본구성요소 [member]</t>
        </is>
      </c>
      <c r="M165" s="24" t="inlineStr">
        <is>
          <t>제 3 기</t>
        </is>
      </c>
      <c r="N165" s="24" t="inlineStr">
        <is>
          <t>2541260380.0</t>
        </is>
      </c>
      <c r="O165" s="24" t="inlineStr">
        <is>
          <t>487545360.0</t>
        </is>
      </c>
      <c r="P165" s="24" t="inlineStr">
        <is>
          <t>KRW</t>
        </is>
      </c>
      <c r="Q165" s="24" t="inlineStr">
        <is>
          <t>11</t>
        </is>
      </c>
    </row>
    <row r="166" ht="24" customHeight="1">
      <c r="A166" s="29" t="inlineStr">
        <is>
          <t>OpenDART_fnlttSinglAcntAll</t>
        </is>
      </c>
      <c r="B166" s="29" t="inlineStr">
        <is>
          <t>01365825</t>
        </is>
      </c>
      <c r="C166" s="29" t="inlineStr">
        <is>
          <t>피에스케이</t>
        </is>
      </c>
      <c r="D166" s="29" t="inlineStr">
        <is>
          <t>psk</t>
        </is>
      </c>
      <c r="E166" s="29" t="inlineStr">
        <is>
          <t>319660</t>
        </is>
      </c>
      <c r="F166" s="29" t="inlineStr">
        <is>
          <t>2021</t>
        </is>
      </c>
      <c r="G166" s="29" t="inlineStr">
        <is>
          <t>CFS</t>
        </is>
      </c>
      <c r="H166" s="29" t="inlineStr">
        <is>
          <t>SCE</t>
        </is>
      </c>
      <c r="I166" s="29" t="inlineStr">
        <is>
          <t>자본변동표</t>
        </is>
      </c>
      <c r="J166" s="29" t="inlineStr">
        <is>
          <t>ifrs-full_Equity</t>
        </is>
      </c>
      <c r="K166" s="29" t="inlineStr">
        <is>
          <t>기말자본</t>
        </is>
      </c>
      <c r="L166" s="29" t="inlineStr">
        <is>
          <t>자본 [member]|지배기업의 소유주에게 귀속되는 자본 [member]|기타포괄손익누계액 [member]</t>
        </is>
      </c>
      <c r="M166" s="29" t="inlineStr">
        <is>
          <t>제 3 기</t>
        </is>
      </c>
      <c r="N166" s="29" t="inlineStr">
        <is>
          <t>174949518957.0</t>
        </is>
      </c>
      <c r="O166" s="29" t="inlineStr">
        <is>
          <t>176936597872.0</t>
        </is>
      </c>
      <c r="P166" s="29" t="inlineStr">
        <is>
          <t>KRW</t>
        </is>
      </c>
      <c r="Q166" s="29" t="inlineStr">
        <is>
          <t>11</t>
        </is>
      </c>
    </row>
    <row r="167" ht="24" customHeight="1">
      <c r="A167" s="24" t="inlineStr">
        <is>
          <t>OpenDART_fnlttSinglAcntAll</t>
        </is>
      </c>
      <c r="B167" s="24" t="inlineStr">
        <is>
          <t>01365825</t>
        </is>
      </c>
      <c r="C167" s="24" t="inlineStr">
        <is>
          <t>피에스케이</t>
        </is>
      </c>
      <c r="D167" s="24" t="inlineStr">
        <is>
          <t>psk</t>
        </is>
      </c>
      <c r="E167" s="24" t="inlineStr">
        <is>
          <t>319660</t>
        </is>
      </c>
      <c r="F167" s="24" t="inlineStr">
        <is>
          <t>2021</t>
        </is>
      </c>
      <c r="G167" s="24" t="inlineStr">
        <is>
          <t>CFS</t>
        </is>
      </c>
      <c r="H167" s="24" t="inlineStr">
        <is>
          <t>SCE</t>
        </is>
      </c>
      <c r="I167" s="24" t="inlineStr">
        <is>
          <t>자본변동표</t>
        </is>
      </c>
      <c r="J167" s="24" t="inlineStr">
        <is>
          <t>ifrs-full_Equity</t>
        </is>
      </c>
      <c r="K167" s="24" t="inlineStr">
        <is>
          <t>기말자본</t>
        </is>
      </c>
      <c r="L167" s="24" t="inlineStr">
        <is>
          <t>자본 [member]|지배기업의 소유주에게 귀속되는 자본 [member]|이익잉여금 [member]</t>
        </is>
      </c>
      <c r="M167" s="24" t="inlineStr">
        <is>
          <t>제 3 기</t>
        </is>
      </c>
      <c r="N167" s="24" t="inlineStr">
        <is>
          <t>104197668466.0</t>
        </is>
      </c>
      <c r="O167" s="24" t="inlineStr">
        <is>
          <t>32572250613.0</t>
        </is>
      </c>
      <c r="P167" s="24" t="inlineStr">
        <is>
          <t>KRW</t>
        </is>
      </c>
      <c r="Q167" s="24" t="inlineStr">
        <is>
          <t>11</t>
        </is>
      </c>
    </row>
    <row r="168" ht="24" customHeight="1">
      <c r="A168" s="29" t="inlineStr">
        <is>
          <t>OpenDART_fnlttSinglAcntAll</t>
        </is>
      </c>
      <c r="B168" s="29" t="inlineStr">
        <is>
          <t>01365825</t>
        </is>
      </c>
      <c r="C168" s="29" t="inlineStr">
        <is>
          <t>피에스케이</t>
        </is>
      </c>
      <c r="D168" s="29" t="inlineStr">
        <is>
          <t>psk</t>
        </is>
      </c>
      <c r="E168" s="29" t="inlineStr">
        <is>
          <t>319660</t>
        </is>
      </c>
      <c r="F168" s="29" t="inlineStr">
        <is>
          <t>2021</t>
        </is>
      </c>
      <c r="G168" s="29" t="inlineStr">
        <is>
          <t>CFS</t>
        </is>
      </c>
      <c r="H168" s="29" t="inlineStr">
        <is>
          <t>SCE</t>
        </is>
      </c>
      <c r="I168" s="29" t="inlineStr">
        <is>
          <t>자본변동표</t>
        </is>
      </c>
      <c r="J168" s="29" t="inlineStr">
        <is>
          <t>ifrs-full_Equity</t>
        </is>
      </c>
      <c r="K168" s="29" t="inlineStr">
        <is>
          <t>기말자본</t>
        </is>
      </c>
      <c r="L168" s="29" t="inlineStr">
        <is>
          <t>자본 [member]|지배기업의 소유주에게 귀속되는 자본 [member]|자본금 [member]</t>
        </is>
      </c>
      <c r="M168" s="29" t="inlineStr">
        <is>
          <t>제 3 기</t>
        </is>
      </c>
      <c r="N168" s="29" t="inlineStr">
        <is>
          <t>7382510000.0</t>
        </is>
      </c>
      <c r="O168" s="29" t="inlineStr">
        <is>
          <t>7382510000.0</t>
        </is>
      </c>
      <c r="P168" s="29" t="inlineStr">
        <is>
          <t>KRW</t>
        </is>
      </c>
      <c r="Q168" s="29" t="inlineStr">
        <is>
          <t>11</t>
        </is>
      </c>
    </row>
    <row r="169" ht="24" customHeight="1">
      <c r="A169" s="24" t="inlineStr">
        <is>
          <t>OpenDART_fnlttSinglAcntAll</t>
        </is>
      </c>
      <c r="B169" s="24" t="inlineStr">
        <is>
          <t>01365825</t>
        </is>
      </c>
      <c r="C169" s="24" t="inlineStr">
        <is>
          <t>피에스케이</t>
        </is>
      </c>
      <c r="D169" s="24" t="inlineStr">
        <is>
          <t>psk</t>
        </is>
      </c>
      <c r="E169" s="24" t="inlineStr">
        <is>
          <t>319660</t>
        </is>
      </c>
      <c r="F169" s="24" t="inlineStr">
        <is>
          <t>2022</t>
        </is>
      </c>
      <c r="G169" s="24" t="inlineStr">
        <is>
          <t>CFS</t>
        </is>
      </c>
      <c r="H169" s="24" t="inlineStr">
        <is>
          <t>BS</t>
        </is>
      </c>
      <c r="I169" s="24" t="inlineStr">
        <is>
          <t>재무상태표</t>
        </is>
      </c>
      <c r="J169" s="24" t="inlineStr">
        <is>
          <t>ifrs-full_CurrentAssets</t>
        </is>
      </c>
      <c r="K169" s="24" t="inlineStr">
        <is>
          <t>유동자산</t>
        </is>
      </c>
      <c r="L169" s="24" t="inlineStr">
        <is>
          <t>-</t>
        </is>
      </c>
      <c r="M169" s="24" t="inlineStr">
        <is>
          <t>제 4 기</t>
        </is>
      </c>
      <c r="N169" s="24" t="inlineStr">
        <is>
          <t>383950967173.0</t>
        </is>
      </c>
      <c r="O169" s="24" t="inlineStr">
        <is>
          <t>321166418090.0</t>
        </is>
      </c>
      <c r="P169" s="24" t="inlineStr">
        <is>
          <t>KRW</t>
        </is>
      </c>
      <c r="Q169" s="24" t="inlineStr">
        <is>
          <t>1</t>
        </is>
      </c>
    </row>
    <row r="170" ht="24" customHeight="1">
      <c r="A170" s="29" t="inlineStr">
        <is>
          <t>OpenDART_fnlttSinglAcntAll</t>
        </is>
      </c>
      <c r="B170" s="29" t="inlineStr">
        <is>
          <t>01365825</t>
        </is>
      </c>
      <c r="C170" s="29" t="inlineStr">
        <is>
          <t>피에스케이</t>
        </is>
      </c>
      <c r="D170" s="29" t="inlineStr">
        <is>
          <t>psk</t>
        </is>
      </c>
      <c r="E170" s="29" t="inlineStr">
        <is>
          <t>319660</t>
        </is>
      </c>
      <c r="F170" s="29" t="inlineStr">
        <is>
          <t>2022</t>
        </is>
      </c>
      <c r="G170" s="29" t="inlineStr">
        <is>
          <t>CFS</t>
        </is>
      </c>
      <c r="H170" s="29" t="inlineStr">
        <is>
          <t>BS</t>
        </is>
      </c>
      <c r="I170" s="29" t="inlineStr">
        <is>
          <t>재무상태표</t>
        </is>
      </c>
      <c r="J170" s="29" t="inlineStr">
        <is>
          <t>ifrs-full_CashAndCashEquivalents</t>
        </is>
      </c>
      <c r="K170" s="29" t="inlineStr">
        <is>
          <t>현금및현금성자산</t>
        </is>
      </c>
      <c r="L170" s="29" t="inlineStr">
        <is>
          <t>-</t>
        </is>
      </c>
      <c r="M170" s="29" t="inlineStr">
        <is>
          <t>제 4 기</t>
        </is>
      </c>
      <c r="N170" s="29" t="inlineStr">
        <is>
          <t>55965973907.0</t>
        </is>
      </c>
      <c r="O170" s="29" t="inlineStr">
        <is>
          <t>66073865022.0</t>
        </is>
      </c>
      <c r="P170" s="29" t="inlineStr">
        <is>
          <t>KRW</t>
        </is>
      </c>
      <c r="Q170" s="29" t="inlineStr">
        <is>
          <t>2</t>
        </is>
      </c>
    </row>
    <row r="171" ht="24" customHeight="1">
      <c r="A171" s="24" t="inlineStr">
        <is>
          <t>OpenDART_fnlttSinglAcntAll</t>
        </is>
      </c>
      <c r="B171" s="24" t="inlineStr">
        <is>
          <t>01365825</t>
        </is>
      </c>
      <c r="C171" s="24" t="inlineStr">
        <is>
          <t>피에스케이</t>
        </is>
      </c>
      <c r="D171" s="24" t="inlineStr">
        <is>
          <t>psk</t>
        </is>
      </c>
      <c r="E171" s="24" t="inlineStr">
        <is>
          <t>319660</t>
        </is>
      </c>
      <c r="F171" s="24" t="inlineStr">
        <is>
          <t>2022</t>
        </is>
      </c>
      <c r="G171" s="24" t="inlineStr">
        <is>
          <t>CFS</t>
        </is>
      </c>
      <c r="H171" s="24" t="inlineStr">
        <is>
          <t>BS</t>
        </is>
      </c>
      <c r="I171" s="24" t="inlineStr">
        <is>
          <t>재무상태표</t>
        </is>
      </c>
      <c r="J171" s="24" t="inlineStr">
        <is>
          <t>ifrs-full_TradeAndOtherCurrentReceivables</t>
        </is>
      </c>
      <c r="K171" s="24" t="inlineStr">
        <is>
          <t>매출채권 및 기타채권</t>
        </is>
      </c>
      <c r="L171" s="24" t="inlineStr">
        <is>
          <t>-</t>
        </is>
      </c>
      <c r="M171" s="24" t="inlineStr">
        <is>
          <t>제 4 기</t>
        </is>
      </c>
      <c r="N171" s="24" t="inlineStr">
        <is>
          <t>54732142447.0</t>
        </is>
      </c>
      <c r="O171" s="24" t="inlineStr">
        <is>
          <t>56070474157.0</t>
        </is>
      </c>
      <c r="P171" s="24" t="inlineStr">
        <is>
          <t>KRW</t>
        </is>
      </c>
      <c r="Q171" s="24" t="inlineStr">
        <is>
          <t>3</t>
        </is>
      </c>
    </row>
    <row r="172" ht="24" customHeight="1">
      <c r="A172" s="29" t="inlineStr">
        <is>
          <t>OpenDART_fnlttSinglAcntAll</t>
        </is>
      </c>
      <c r="B172" s="29" t="inlineStr">
        <is>
          <t>01365825</t>
        </is>
      </c>
      <c r="C172" s="29" t="inlineStr">
        <is>
          <t>피에스케이</t>
        </is>
      </c>
      <c r="D172" s="29" t="inlineStr">
        <is>
          <t>psk</t>
        </is>
      </c>
      <c r="E172" s="29" t="inlineStr">
        <is>
          <t>319660</t>
        </is>
      </c>
      <c r="F172" s="29" t="inlineStr">
        <is>
          <t>2022</t>
        </is>
      </c>
      <c r="G172" s="29" t="inlineStr">
        <is>
          <t>CFS</t>
        </is>
      </c>
      <c r="H172" s="29" t="inlineStr">
        <is>
          <t>BS</t>
        </is>
      </c>
      <c r="I172" s="29" t="inlineStr">
        <is>
          <t>재무상태표</t>
        </is>
      </c>
      <c r="J172" s="29" t="inlineStr">
        <is>
          <t>ifrs-full_OtherCurrentFinancialAssets</t>
        </is>
      </c>
      <c r="K172" s="29" t="inlineStr">
        <is>
          <t>유동금융자산</t>
        </is>
      </c>
      <c r="L172" s="29" t="inlineStr">
        <is>
          <t>-</t>
        </is>
      </c>
      <c r="M172" s="29" t="inlineStr">
        <is>
          <t>제 4 기</t>
        </is>
      </c>
      <c r="N172" s="29" t="inlineStr">
        <is>
          <t>150667590912.0</t>
        </is>
      </c>
      <c r="O172" s="29" t="inlineStr">
        <is>
          <t>115432528238.0</t>
        </is>
      </c>
      <c r="P172" s="29" t="inlineStr">
        <is>
          <t>KRW</t>
        </is>
      </c>
      <c r="Q172" s="29" t="inlineStr">
        <is>
          <t>4</t>
        </is>
      </c>
    </row>
    <row r="173" ht="24" customHeight="1">
      <c r="A173" s="24" t="inlineStr">
        <is>
          <t>OpenDART_fnlttSinglAcntAll</t>
        </is>
      </c>
      <c r="B173" s="24" t="inlineStr">
        <is>
          <t>01365825</t>
        </is>
      </c>
      <c r="C173" s="24" t="inlineStr">
        <is>
          <t>피에스케이</t>
        </is>
      </c>
      <c r="D173" s="24" t="inlineStr">
        <is>
          <t>psk</t>
        </is>
      </c>
      <c r="E173" s="24" t="inlineStr">
        <is>
          <t>319660</t>
        </is>
      </c>
      <c r="F173" s="24" t="inlineStr">
        <is>
          <t>2022</t>
        </is>
      </c>
      <c r="G173" s="24" t="inlineStr">
        <is>
          <t>CFS</t>
        </is>
      </c>
      <c r="H173" s="24" t="inlineStr">
        <is>
          <t>BS</t>
        </is>
      </c>
      <c r="I173" s="24" t="inlineStr">
        <is>
          <t>재무상태표</t>
        </is>
      </c>
      <c r="J173" s="24" t="inlineStr">
        <is>
          <t>dart_OtherCurrentAssets</t>
        </is>
      </c>
      <c r="K173" s="24" t="inlineStr">
        <is>
          <t>기타유동자산</t>
        </is>
      </c>
      <c r="L173" s="24" t="inlineStr">
        <is>
          <t>-</t>
        </is>
      </c>
      <c r="M173" s="24" t="inlineStr">
        <is>
          <t>제 4 기</t>
        </is>
      </c>
      <c r="N173" s="24" t="inlineStr">
        <is>
          <t>5492791994.0</t>
        </is>
      </c>
      <c r="O173" s="24" t="inlineStr">
        <is>
          <t>5003825050.0</t>
        </is>
      </c>
      <c r="P173" s="24" t="inlineStr">
        <is>
          <t>KRW</t>
        </is>
      </c>
      <c r="Q173" s="24" t="inlineStr">
        <is>
          <t>5</t>
        </is>
      </c>
    </row>
    <row r="174" ht="24" customHeight="1">
      <c r="A174" s="29" t="inlineStr">
        <is>
          <t>OpenDART_fnlttSinglAcntAll</t>
        </is>
      </c>
      <c r="B174" s="29" t="inlineStr">
        <is>
          <t>01365825</t>
        </is>
      </c>
      <c r="C174" s="29" t="inlineStr">
        <is>
          <t>피에스케이</t>
        </is>
      </c>
      <c r="D174" s="29" t="inlineStr">
        <is>
          <t>psk</t>
        </is>
      </c>
      <c r="E174" s="29" t="inlineStr">
        <is>
          <t>319660</t>
        </is>
      </c>
      <c r="F174" s="29" t="inlineStr">
        <is>
          <t>2022</t>
        </is>
      </c>
      <c r="G174" s="29" t="inlineStr">
        <is>
          <t>CFS</t>
        </is>
      </c>
      <c r="H174" s="29" t="inlineStr">
        <is>
          <t>BS</t>
        </is>
      </c>
      <c r="I174" s="29" t="inlineStr">
        <is>
          <t>재무상태표</t>
        </is>
      </c>
      <c r="J174" s="29" t="inlineStr">
        <is>
          <t>ifrs-full_CurrentTaxAssets</t>
        </is>
      </c>
      <c r="K174" s="29" t="inlineStr">
        <is>
          <t>당기법인세자산</t>
        </is>
      </c>
      <c r="L174" s="29" t="inlineStr">
        <is>
          <t>-</t>
        </is>
      </c>
      <c r="M174" s="29" t="inlineStr">
        <is>
          <t>제 4 기</t>
        </is>
      </c>
      <c r="N174" s="29" t="inlineStr">
        <is>
          <t>0.0</t>
        </is>
      </c>
      <c r="O174" s="29" t="inlineStr">
        <is>
          <t>54954252.0</t>
        </is>
      </c>
      <c r="P174" s="29" t="inlineStr">
        <is>
          <t>KRW</t>
        </is>
      </c>
      <c r="Q174" s="29" t="inlineStr">
        <is>
          <t>6</t>
        </is>
      </c>
    </row>
    <row r="175" ht="24" customHeight="1">
      <c r="A175" s="24" t="inlineStr">
        <is>
          <t>OpenDART_fnlttSinglAcntAll</t>
        </is>
      </c>
      <c r="B175" s="24" t="inlineStr">
        <is>
          <t>01365825</t>
        </is>
      </c>
      <c r="C175" s="24" t="inlineStr">
        <is>
          <t>피에스케이</t>
        </is>
      </c>
      <c r="D175" s="24" t="inlineStr">
        <is>
          <t>psk</t>
        </is>
      </c>
      <c r="E175" s="24" t="inlineStr">
        <is>
          <t>319660</t>
        </is>
      </c>
      <c r="F175" s="24" t="inlineStr">
        <is>
          <t>2022</t>
        </is>
      </c>
      <c r="G175" s="24" t="inlineStr">
        <is>
          <t>CFS</t>
        </is>
      </c>
      <c r="H175" s="24" t="inlineStr">
        <is>
          <t>BS</t>
        </is>
      </c>
      <c r="I175" s="24" t="inlineStr">
        <is>
          <t>재무상태표</t>
        </is>
      </c>
      <c r="J175" s="24" t="inlineStr">
        <is>
          <t>ifrs-full_Inventories</t>
        </is>
      </c>
      <c r="K175" s="24" t="inlineStr">
        <is>
          <t>재고자산</t>
        </is>
      </c>
      <c r="L175" s="24" t="inlineStr">
        <is>
          <t>-</t>
        </is>
      </c>
      <c r="M175" s="24" t="inlineStr">
        <is>
          <t>제 4 기</t>
        </is>
      </c>
      <c r="N175" s="24" t="inlineStr">
        <is>
          <t>117092467913.0</t>
        </is>
      </c>
      <c r="O175" s="24" t="inlineStr">
        <is>
          <t>78530771371.0</t>
        </is>
      </c>
      <c r="P175" s="24" t="inlineStr">
        <is>
          <t>KRW</t>
        </is>
      </c>
      <c r="Q175" s="24" t="inlineStr">
        <is>
          <t>7</t>
        </is>
      </c>
    </row>
    <row r="176" ht="24" customHeight="1">
      <c r="A176" s="29" t="inlineStr">
        <is>
          <t>OpenDART_fnlttSinglAcntAll</t>
        </is>
      </c>
      <c r="B176" s="29" t="inlineStr">
        <is>
          <t>01365825</t>
        </is>
      </c>
      <c r="C176" s="29" t="inlineStr">
        <is>
          <t>피에스케이</t>
        </is>
      </c>
      <c r="D176" s="29" t="inlineStr">
        <is>
          <t>psk</t>
        </is>
      </c>
      <c r="E176" s="29" t="inlineStr">
        <is>
          <t>319660</t>
        </is>
      </c>
      <c r="F176" s="29" t="inlineStr">
        <is>
          <t>2022</t>
        </is>
      </c>
      <c r="G176" s="29" t="inlineStr">
        <is>
          <t>CFS</t>
        </is>
      </c>
      <c r="H176" s="29" t="inlineStr">
        <is>
          <t>BS</t>
        </is>
      </c>
      <c r="I176" s="29" t="inlineStr">
        <is>
          <t>재무상태표</t>
        </is>
      </c>
      <c r="J176" s="29" t="inlineStr">
        <is>
          <t>ifrs-full_NoncurrentAssets</t>
        </is>
      </c>
      <c r="K176" s="29" t="inlineStr">
        <is>
          <t>비유동자산</t>
        </is>
      </c>
      <c r="L176" s="29" t="inlineStr">
        <is>
          <t>-</t>
        </is>
      </c>
      <c r="M176" s="29" t="inlineStr">
        <is>
          <t>제 4 기</t>
        </is>
      </c>
      <c r="N176" s="29" t="inlineStr">
        <is>
          <t>88698372691.0</t>
        </is>
      </c>
      <c r="O176" s="29" t="inlineStr">
        <is>
          <t>92095799805.0</t>
        </is>
      </c>
      <c r="P176" s="29" t="inlineStr">
        <is>
          <t>KRW</t>
        </is>
      </c>
      <c r="Q176" s="29" t="inlineStr">
        <is>
          <t>8</t>
        </is>
      </c>
    </row>
    <row r="177" ht="24" customHeight="1">
      <c r="A177" s="24" t="inlineStr">
        <is>
          <t>OpenDART_fnlttSinglAcntAll</t>
        </is>
      </c>
      <c r="B177" s="24" t="inlineStr">
        <is>
          <t>01365825</t>
        </is>
      </c>
      <c r="C177" s="24" t="inlineStr">
        <is>
          <t>피에스케이</t>
        </is>
      </c>
      <c r="D177" s="24" t="inlineStr">
        <is>
          <t>psk</t>
        </is>
      </c>
      <c r="E177" s="24" t="inlineStr">
        <is>
          <t>319660</t>
        </is>
      </c>
      <c r="F177" s="24" t="inlineStr">
        <is>
          <t>2022</t>
        </is>
      </c>
      <c r="G177" s="24" t="inlineStr">
        <is>
          <t>CFS</t>
        </is>
      </c>
      <c r="H177" s="24" t="inlineStr">
        <is>
          <t>BS</t>
        </is>
      </c>
      <c r="I177" s="24" t="inlineStr">
        <is>
          <t>재무상태표</t>
        </is>
      </c>
      <c r="J177" s="24" t="inlineStr">
        <is>
          <t>dart_LongTermTradeAndOtherNonCurrentReceivablesGross</t>
        </is>
      </c>
      <c r="K177" s="24" t="inlineStr">
        <is>
          <t>장기매출채권 및 기타채권</t>
        </is>
      </c>
      <c r="L177" s="24" t="inlineStr">
        <is>
          <t>-</t>
        </is>
      </c>
      <c r="M177" s="24" t="inlineStr">
        <is>
          <t>제 4 기</t>
        </is>
      </c>
      <c r="N177" s="24" t="inlineStr">
        <is>
          <t>3828808224.0</t>
        </is>
      </c>
      <c r="O177" s="24" t="inlineStr">
        <is>
          <t>4465478207.0</t>
        </is>
      </c>
      <c r="P177" s="24" t="inlineStr">
        <is>
          <t>KRW</t>
        </is>
      </c>
      <c r="Q177" s="24" t="inlineStr">
        <is>
          <t>9</t>
        </is>
      </c>
    </row>
    <row r="178" ht="24" customHeight="1">
      <c r="A178" s="29" t="inlineStr">
        <is>
          <t>OpenDART_fnlttSinglAcntAll</t>
        </is>
      </c>
      <c r="B178" s="29" t="inlineStr">
        <is>
          <t>01365825</t>
        </is>
      </c>
      <c r="C178" s="29" t="inlineStr">
        <is>
          <t>피에스케이</t>
        </is>
      </c>
      <c r="D178" s="29" t="inlineStr">
        <is>
          <t>psk</t>
        </is>
      </c>
      <c r="E178" s="29" t="inlineStr">
        <is>
          <t>319660</t>
        </is>
      </c>
      <c r="F178" s="29" t="inlineStr">
        <is>
          <t>2022</t>
        </is>
      </c>
      <c r="G178" s="29" t="inlineStr">
        <is>
          <t>CFS</t>
        </is>
      </c>
      <c r="H178" s="29" t="inlineStr">
        <is>
          <t>BS</t>
        </is>
      </c>
      <c r="I178" s="29" t="inlineStr">
        <is>
          <t>재무상태표</t>
        </is>
      </c>
      <c r="J178" s="29" t="inlineStr">
        <is>
          <t>ifrs-full_PropertyPlantAndEquipment</t>
        </is>
      </c>
      <c r="K178" s="29" t="inlineStr">
        <is>
          <t>유형자산</t>
        </is>
      </c>
      <c r="L178" s="29" t="inlineStr">
        <is>
          <t>-</t>
        </is>
      </c>
      <c r="M178" s="29" t="inlineStr">
        <is>
          <t>제 4 기</t>
        </is>
      </c>
      <c r="N178" s="29" t="inlineStr">
        <is>
          <t>47536928356.0</t>
        </is>
      </c>
      <c r="O178" s="29" t="inlineStr">
        <is>
          <t>39677166014.0</t>
        </is>
      </c>
      <c r="P178" s="29" t="inlineStr">
        <is>
          <t>KRW</t>
        </is>
      </c>
      <c r="Q178" s="29" t="inlineStr">
        <is>
          <t>10</t>
        </is>
      </c>
    </row>
    <row r="179" ht="24" customHeight="1">
      <c r="A179" s="24" t="inlineStr">
        <is>
          <t>OpenDART_fnlttSinglAcntAll</t>
        </is>
      </c>
      <c r="B179" s="24" t="inlineStr">
        <is>
          <t>01365825</t>
        </is>
      </c>
      <c r="C179" s="24" t="inlineStr">
        <is>
          <t>피에스케이</t>
        </is>
      </c>
      <c r="D179" s="24" t="inlineStr">
        <is>
          <t>psk</t>
        </is>
      </c>
      <c r="E179" s="24" t="inlineStr">
        <is>
          <t>319660</t>
        </is>
      </c>
      <c r="F179" s="24" t="inlineStr">
        <is>
          <t>2022</t>
        </is>
      </c>
      <c r="G179" s="24" t="inlineStr">
        <is>
          <t>CFS</t>
        </is>
      </c>
      <c r="H179" s="24" t="inlineStr">
        <is>
          <t>BS</t>
        </is>
      </c>
      <c r="I179" s="24" t="inlineStr">
        <is>
          <t>재무상태표</t>
        </is>
      </c>
      <c r="J179" s="24" t="inlineStr">
        <is>
          <t>ifrs-full_RightofuseAssets</t>
        </is>
      </c>
      <c r="K179" s="24" t="inlineStr">
        <is>
          <t>사용권자산</t>
        </is>
      </c>
      <c r="L179" s="24" t="inlineStr">
        <is>
          <t>-</t>
        </is>
      </c>
      <c r="M179" s="24" t="inlineStr">
        <is>
          <t>제 4 기</t>
        </is>
      </c>
      <c r="N179" s="24" t="inlineStr">
        <is>
          <t>2999699143.0</t>
        </is>
      </c>
      <c r="O179" s="24" t="inlineStr">
        <is>
          <t>3896510210.0</t>
        </is>
      </c>
      <c r="P179" s="24" t="inlineStr">
        <is>
          <t>KRW</t>
        </is>
      </c>
      <c r="Q179" s="24" t="inlineStr">
        <is>
          <t>11</t>
        </is>
      </c>
    </row>
    <row r="180" ht="24" customHeight="1">
      <c r="A180" s="29" t="inlineStr">
        <is>
          <t>OpenDART_fnlttSinglAcntAll</t>
        </is>
      </c>
      <c r="B180" s="29" t="inlineStr">
        <is>
          <t>01365825</t>
        </is>
      </c>
      <c r="C180" s="29" t="inlineStr">
        <is>
          <t>피에스케이</t>
        </is>
      </c>
      <c r="D180" s="29" t="inlineStr">
        <is>
          <t>psk</t>
        </is>
      </c>
      <c r="E180" s="29" t="inlineStr">
        <is>
          <t>319660</t>
        </is>
      </c>
      <c r="F180" s="29" t="inlineStr">
        <is>
          <t>2022</t>
        </is>
      </c>
      <c r="G180" s="29" t="inlineStr">
        <is>
          <t>CFS</t>
        </is>
      </c>
      <c r="H180" s="29" t="inlineStr">
        <is>
          <t>BS</t>
        </is>
      </c>
      <c r="I180" s="29" t="inlineStr">
        <is>
          <t>재무상태표</t>
        </is>
      </c>
      <c r="J180" s="29" t="inlineStr">
        <is>
          <t>ifrs-full_IntangibleAssetsOtherThanGoodwill</t>
        </is>
      </c>
      <c r="K180" s="29" t="inlineStr">
        <is>
          <t>무형자산</t>
        </is>
      </c>
      <c r="L180" s="29" t="inlineStr">
        <is>
          <t>-</t>
        </is>
      </c>
      <c r="M180" s="29" t="inlineStr">
        <is>
          <t>제 4 기</t>
        </is>
      </c>
      <c r="N180" s="29" t="inlineStr">
        <is>
          <t>10543011087.0</t>
        </is>
      </c>
      <c r="O180" s="29" t="inlineStr">
        <is>
          <t>5956041632.0</t>
        </is>
      </c>
      <c r="P180" s="29" t="inlineStr">
        <is>
          <t>KRW</t>
        </is>
      </c>
      <c r="Q180" s="29" t="inlineStr">
        <is>
          <t>12</t>
        </is>
      </c>
    </row>
    <row r="181" ht="24" customHeight="1">
      <c r="A181" s="24" t="inlineStr">
        <is>
          <t>OpenDART_fnlttSinglAcntAll</t>
        </is>
      </c>
      <c r="B181" s="24" t="inlineStr">
        <is>
          <t>01365825</t>
        </is>
      </c>
      <c r="C181" s="24" t="inlineStr">
        <is>
          <t>피에스케이</t>
        </is>
      </c>
      <c r="D181" s="24" t="inlineStr">
        <is>
          <t>psk</t>
        </is>
      </c>
      <c r="E181" s="24" t="inlineStr">
        <is>
          <t>319660</t>
        </is>
      </c>
      <c r="F181" s="24" t="inlineStr">
        <is>
          <t>2022</t>
        </is>
      </c>
      <c r="G181" s="24" t="inlineStr">
        <is>
          <t>CFS</t>
        </is>
      </c>
      <c r="H181" s="24" t="inlineStr">
        <is>
          <t>BS</t>
        </is>
      </c>
      <c r="I181" s="24" t="inlineStr">
        <is>
          <t>재무상태표</t>
        </is>
      </c>
      <c r="J181" s="24" t="inlineStr">
        <is>
          <t>ifrs-full_OtherNoncurrentFinancialAssets</t>
        </is>
      </c>
      <c r="K181" s="24" t="inlineStr">
        <is>
          <t>기타비유동금융자산</t>
        </is>
      </c>
      <c r="L181" s="24" t="inlineStr">
        <is>
          <t>-</t>
        </is>
      </c>
      <c r="M181" s="24" t="inlineStr">
        <is>
          <t>제 4 기</t>
        </is>
      </c>
      <c r="N181" s="24" t="inlineStr">
        <is>
          <t>14850174523.0</t>
        </is>
      </c>
      <c r="O181" s="24" t="inlineStr">
        <is>
          <t>33106480207.0</t>
        </is>
      </c>
      <c r="P181" s="24" t="inlineStr">
        <is>
          <t>KRW</t>
        </is>
      </c>
      <c r="Q181" s="24" t="inlineStr">
        <is>
          <t>13</t>
        </is>
      </c>
    </row>
    <row r="182" ht="24" customHeight="1">
      <c r="A182" s="29" t="inlineStr">
        <is>
          <t>OpenDART_fnlttSinglAcntAll</t>
        </is>
      </c>
      <c r="B182" s="29" t="inlineStr">
        <is>
          <t>01365825</t>
        </is>
      </c>
      <c r="C182" s="29" t="inlineStr">
        <is>
          <t>피에스케이</t>
        </is>
      </c>
      <c r="D182" s="29" t="inlineStr">
        <is>
          <t>psk</t>
        </is>
      </c>
      <c r="E182" s="29" t="inlineStr">
        <is>
          <t>319660</t>
        </is>
      </c>
      <c r="F182" s="29" t="inlineStr">
        <is>
          <t>2022</t>
        </is>
      </c>
      <c r="G182" s="29" t="inlineStr">
        <is>
          <t>CFS</t>
        </is>
      </c>
      <c r="H182" s="29" t="inlineStr">
        <is>
          <t>BS</t>
        </is>
      </c>
      <c r="I182" s="29" t="inlineStr">
        <is>
          <t>재무상태표</t>
        </is>
      </c>
      <c r="J182" s="29" t="inlineStr">
        <is>
          <t>dart_InvestedAssetForPostemploymentBenefit</t>
        </is>
      </c>
      <c r="K182" s="29" t="inlineStr">
        <is>
          <t>퇴직급여운용자산</t>
        </is>
      </c>
      <c r="L182" s="29" t="inlineStr">
        <is>
          <t>-</t>
        </is>
      </c>
      <c r="M182" s="29" t="inlineStr">
        <is>
          <t>제 4 기</t>
        </is>
      </c>
      <c r="N182" s="29" t="inlineStr">
        <is>
          <t>1362040551.0</t>
        </is>
      </c>
      <c r="O182" s="29" t="inlineStr">
        <is>
          <t>0.0</t>
        </is>
      </c>
      <c r="P182" s="29" t="inlineStr">
        <is>
          <t>KRW</t>
        </is>
      </c>
      <c r="Q182" s="29" t="inlineStr">
        <is>
          <t>14</t>
        </is>
      </c>
    </row>
    <row r="183" ht="24" customHeight="1">
      <c r="A183" s="24" t="inlineStr">
        <is>
          <t>OpenDART_fnlttSinglAcntAll</t>
        </is>
      </c>
      <c r="B183" s="24" t="inlineStr">
        <is>
          <t>01365825</t>
        </is>
      </c>
      <c r="C183" s="24" t="inlineStr">
        <is>
          <t>피에스케이</t>
        </is>
      </c>
      <c r="D183" s="24" t="inlineStr">
        <is>
          <t>psk</t>
        </is>
      </c>
      <c r="E183" s="24" t="inlineStr">
        <is>
          <t>319660</t>
        </is>
      </c>
      <c r="F183" s="24" t="inlineStr">
        <is>
          <t>2022</t>
        </is>
      </c>
      <c r="G183" s="24" t="inlineStr">
        <is>
          <t>CFS</t>
        </is>
      </c>
      <c r="H183" s="24" t="inlineStr">
        <is>
          <t>BS</t>
        </is>
      </c>
      <c r="I183" s="24" t="inlineStr">
        <is>
          <t>재무상태표</t>
        </is>
      </c>
      <c r="J183" s="24" t="inlineStr">
        <is>
          <t>ifrs-full_DeferredTaxAssets</t>
        </is>
      </c>
      <c r="K183" s="24" t="inlineStr">
        <is>
          <t>이연법인세자산</t>
        </is>
      </c>
      <c r="L183" s="24" t="inlineStr">
        <is>
          <t>-</t>
        </is>
      </c>
      <c r="M183" s="24" t="inlineStr">
        <is>
          <t>제 4 기</t>
        </is>
      </c>
      <c r="N183" s="24" t="inlineStr">
        <is>
          <t>7401906127.0</t>
        </is>
      </c>
      <c r="O183" s="24" t="inlineStr">
        <is>
          <t>4864847842.0</t>
        </is>
      </c>
      <c r="P183" s="24" t="inlineStr">
        <is>
          <t>KRW</t>
        </is>
      </c>
      <c r="Q183" s="24" t="inlineStr">
        <is>
          <t>15</t>
        </is>
      </c>
    </row>
    <row r="184" ht="24" customHeight="1">
      <c r="A184" s="29" t="inlineStr">
        <is>
          <t>OpenDART_fnlttSinglAcntAll</t>
        </is>
      </c>
      <c r="B184" s="29" t="inlineStr">
        <is>
          <t>01365825</t>
        </is>
      </c>
      <c r="C184" s="29" t="inlineStr">
        <is>
          <t>피에스케이</t>
        </is>
      </c>
      <c r="D184" s="29" t="inlineStr">
        <is>
          <t>psk</t>
        </is>
      </c>
      <c r="E184" s="29" t="inlineStr">
        <is>
          <t>319660</t>
        </is>
      </c>
      <c r="F184" s="29" t="inlineStr">
        <is>
          <t>2022</t>
        </is>
      </c>
      <c r="G184" s="29" t="inlineStr">
        <is>
          <t>CFS</t>
        </is>
      </c>
      <c r="H184" s="29" t="inlineStr">
        <is>
          <t>BS</t>
        </is>
      </c>
      <c r="I184" s="29" t="inlineStr">
        <is>
          <t>재무상태표</t>
        </is>
      </c>
      <c r="J184" s="29" t="inlineStr">
        <is>
          <t>dart_OtherNonCurrentAssets</t>
        </is>
      </c>
      <c r="K184" s="29" t="inlineStr">
        <is>
          <t>기타비유동자산</t>
        </is>
      </c>
      <c r="L184" s="29" t="inlineStr">
        <is>
          <t>-</t>
        </is>
      </c>
      <c r="M184" s="29" t="inlineStr">
        <is>
          <t>제 4 기</t>
        </is>
      </c>
      <c r="N184" s="29" t="inlineStr">
        <is>
          <t>175804680.0</t>
        </is>
      </c>
      <c r="O184" s="29" t="inlineStr">
        <is>
          <t>129275693.0</t>
        </is>
      </c>
      <c r="P184" s="29" t="inlineStr">
        <is>
          <t>KRW</t>
        </is>
      </c>
      <c r="Q184" s="29" t="inlineStr">
        <is>
          <t>16</t>
        </is>
      </c>
    </row>
    <row r="185" ht="24" customHeight="1">
      <c r="A185" s="24" t="inlineStr">
        <is>
          <t>OpenDART_fnlttSinglAcntAll</t>
        </is>
      </c>
      <c r="B185" s="24" t="inlineStr">
        <is>
          <t>01365825</t>
        </is>
      </c>
      <c r="C185" s="24" t="inlineStr">
        <is>
          <t>피에스케이</t>
        </is>
      </c>
      <c r="D185" s="24" t="inlineStr">
        <is>
          <t>psk</t>
        </is>
      </c>
      <c r="E185" s="24" t="inlineStr">
        <is>
          <t>319660</t>
        </is>
      </c>
      <c r="F185" s="24" t="inlineStr">
        <is>
          <t>2022</t>
        </is>
      </c>
      <c r="G185" s="24" t="inlineStr">
        <is>
          <t>CFS</t>
        </is>
      </c>
      <c r="H185" s="24" t="inlineStr">
        <is>
          <t>BS</t>
        </is>
      </c>
      <c r="I185" s="24" t="inlineStr">
        <is>
          <t>재무상태표</t>
        </is>
      </c>
      <c r="J185" s="24" t="inlineStr">
        <is>
          <t>ifrs-full_Assets</t>
        </is>
      </c>
      <c r="K185" s="24" t="inlineStr">
        <is>
          <t>자산총계</t>
        </is>
      </c>
      <c r="L185" s="24" t="inlineStr">
        <is>
          <t>-</t>
        </is>
      </c>
      <c r="M185" s="24" t="inlineStr">
        <is>
          <t>제 4 기</t>
        </is>
      </c>
      <c r="N185" s="24" t="inlineStr">
        <is>
          <t>472649339864.0</t>
        </is>
      </c>
      <c r="O185" s="24" t="inlineStr">
        <is>
          <t>413262217895.0</t>
        </is>
      </c>
      <c r="P185" s="24" t="inlineStr">
        <is>
          <t>KRW</t>
        </is>
      </c>
      <c r="Q185" s="24" t="inlineStr">
        <is>
          <t>17</t>
        </is>
      </c>
    </row>
    <row r="186" ht="24" customHeight="1">
      <c r="A186" s="29" t="inlineStr">
        <is>
          <t>OpenDART_fnlttSinglAcntAll</t>
        </is>
      </c>
      <c r="B186" s="29" t="inlineStr">
        <is>
          <t>01365825</t>
        </is>
      </c>
      <c r="C186" s="29" t="inlineStr">
        <is>
          <t>피에스케이</t>
        </is>
      </c>
      <c r="D186" s="29" t="inlineStr">
        <is>
          <t>psk</t>
        </is>
      </c>
      <c r="E186" s="29" t="inlineStr">
        <is>
          <t>319660</t>
        </is>
      </c>
      <c r="F186" s="29" t="inlineStr">
        <is>
          <t>2022</t>
        </is>
      </c>
      <c r="G186" s="29" t="inlineStr">
        <is>
          <t>CFS</t>
        </is>
      </c>
      <c r="H186" s="29" t="inlineStr">
        <is>
          <t>BS</t>
        </is>
      </c>
      <c r="I186" s="29" t="inlineStr">
        <is>
          <t>재무상태표</t>
        </is>
      </c>
      <c r="J186" s="29" t="inlineStr">
        <is>
          <t>ifrs-full_CurrentLiabilities</t>
        </is>
      </c>
      <c r="K186" s="29" t="inlineStr">
        <is>
          <t>유동부채</t>
        </is>
      </c>
      <c r="L186" s="29" t="inlineStr">
        <is>
          <t>-</t>
        </is>
      </c>
      <c r="M186" s="29" t="inlineStr">
        <is>
          <t>제 4 기</t>
        </is>
      </c>
      <c r="N186" s="29" t="inlineStr">
        <is>
          <t>100917650989.0</t>
        </is>
      </c>
      <c r="O186" s="29" t="inlineStr">
        <is>
          <t>111131066850.0</t>
        </is>
      </c>
      <c r="P186" s="29" t="inlineStr">
        <is>
          <t>KRW</t>
        </is>
      </c>
      <c r="Q186" s="29" t="inlineStr">
        <is>
          <t>19</t>
        </is>
      </c>
    </row>
    <row r="187" ht="24" customHeight="1">
      <c r="A187" s="24" t="inlineStr">
        <is>
          <t>OpenDART_fnlttSinglAcntAll</t>
        </is>
      </c>
      <c r="B187" s="24" t="inlineStr">
        <is>
          <t>01365825</t>
        </is>
      </c>
      <c r="C187" s="24" t="inlineStr">
        <is>
          <t>피에스케이</t>
        </is>
      </c>
      <c r="D187" s="24" t="inlineStr">
        <is>
          <t>psk</t>
        </is>
      </c>
      <c r="E187" s="24" t="inlineStr">
        <is>
          <t>319660</t>
        </is>
      </c>
      <c r="F187" s="24" t="inlineStr">
        <is>
          <t>2022</t>
        </is>
      </c>
      <c r="G187" s="24" t="inlineStr">
        <is>
          <t>CFS</t>
        </is>
      </c>
      <c r="H187" s="24" t="inlineStr">
        <is>
          <t>BS</t>
        </is>
      </c>
      <c r="I187" s="24" t="inlineStr">
        <is>
          <t>재무상태표</t>
        </is>
      </c>
      <c r="J187" s="24" t="inlineStr">
        <is>
          <t>ifrs-full_TradeAndOtherCurrentPayables</t>
        </is>
      </c>
      <c r="K187" s="24" t="inlineStr">
        <is>
          <t>매입채무 및 기타채무</t>
        </is>
      </c>
      <c r="L187" s="24" t="inlineStr">
        <is>
          <t>-</t>
        </is>
      </c>
      <c r="M187" s="24" t="inlineStr">
        <is>
          <t>제 4 기</t>
        </is>
      </c>
      <c r="N187" s="24" t="inlineStr">
        <is>
          <t>38563321988.0</t>
        </is>
      </c>
      <c r="O187" s="24" t="inlineStr">
        <is>
          <t>40816896842.0</t>
        </is>
      </c>
      <c r="P187" s="24" t="inlineStr">
        <is>
          <t>KRW</t>
        </is>
      </c>
      <c r="Q187" s="24" t="inlineStr">
        <is>
          <t>20</t>
        </is>
      </c>
    </row>
    <row r="188" ht="24" customHeight="1">
      <c r="A188" s="29" t="inlineStr">
        <is>
          <t>OpenDART_fnlttSinglAcntAll</t>
        </is>
      </c>
      <c r="B188" s="29" t="inlineStr">
        <is>
          <t>01365825</t>
        </is>
      </c>
      <c r="C188" s="29" t="inlineStr">
        <is>
          <t>피에스케이</t>
        </is>
      </c>
      <c r="D188" s="29" t="inlineStr">
        <is>
          <t>psk</t>
        </is>
      </c>
      <c r="E188" s="29" t="inlineStr">
        <is>
          <t>319660</t>
        </is>
      </c>
      <c r="F188" s="29" t="inlineStr">
        <is>
          <t>2022</t>
        </is>
      </c>
      <c r="G188" s="29" t="inlineStr">
        <is>
          <t>CFS</t>
        </is>
      </c>
      <c r="H188" s="29" t="inlineStr">
        <is>
          <t>BS</t>
        </is>
      </c>
      <c r="I188" s="29" t="inlineStr">
        <is>
          <t>재무상태표</t>
        </is>
      </c>
      <c r="J188" s="29" t="inlineStr">
        <is>
          <t>ifrs-full_ShorttermBorrowings</t>
        </is>
      </c>
      <c r="K188" s="29" t="inlineStr">
        <is>
          <t>단기차입금</t>
        </is>
      </c>
      <c r="L188" s="29" t="inlineStr">
        <is>
          <t>-</t>
        </is>
      </c>
      <c r="M188" s="29" t="inlineStr">
        <is>
          <t>제 4 기</t>
        </is>
      </c>
      <c r="N188" s="29" t="inlineStr">
        <is>
          <t>0.0</t>
        </is>
      </c>
      <c r="O188" s="29" t="inlineStr">
        <is>
          <t>3293484970.0</t>
        </is>
      </c>
      <c r="P188" s="29" t="inlineStr">
        <is>
          <t>KRW</t>
        </is>
      </c>
      <c r="Q188" s="29" t="inlineStr">
        <is>
          <t>21</t>
        </is>
      </c>
    </row>
    <row r="189" ht="24" customHeight="1">
      <c r="A189" s="24" t="inlineStr">
        <is>
          <t>OpenDART_fnlttSinglAcntAll</t>
        </is>
      </c>
      <c r="B189" s="24" t="inlineStr">
        <is>
          <t>01365825</t>
        </is>
      </c>
      <c r="C189" s="24" t="inlineStr">
        <is>
          <t>피에스케이</t>
        </is>
      </c>
      <c r="D189" s="24" t="inlineStr">
        <is>
          <t>psk</t>
        </is>
      </c>
      <c r="E189" s="24" t="inlineStr">
        <is>
          <t>319660</t>
        </is>
      </c>
      <c r="F189" s="24" t="inlineStr">
        <is>
          <t>2022</t>
        </is>
      </c>
      <c r="G189" s="24" t="inlineStr">
        <is>
          <t>CFS</t>
        </is>
      </c>
      <c r="H189" s="24" t="inlineStr">
        <is>
          <t>BS</t>
        </is>
      </c>
      <c r="I189" s="24" t="inlineStr">
        <is>
          <t>재무상태표</t>
        </is>
      </c>
      <c r="J189" s="24" t="inlineStr">
        <is>
          <t>dart_CurentPortionOfFinanceLeaseLiabilities</t>
        </is>
      </c>
      <c r="K189" s="24" t="inlineStr">
        <is>
          <t>유동성금융리스부채</t>
        </is>
      </c>
      <c r="L189" s="24" t="inlineStr">
        <is>
          <t>-</t>
        </is>
      </c>
      <c r="M189" s="24" t="inlineStr">
        <is>
          <t>제 4 기</t>
        </is>
      </c>
      <c r="N189" s="24" t="inlineStr">
        <is>
          <t>2060114342.0</t>
        </is>
      </c>
      <c r="O189" s="24" t="inlineStr">
        <is>
          <t>1770281039.0</t>
        </is>
      </c>
      <c r="P189" s="24" t="inlineStr">
        <is>
          <t>KRW</t>
        </is>
      </c>
      <c r="Q189" s="24" t="inlineStr">
        <is>
          <t>22</t>
        </is>
      </c>
    </row>
    <row r="190" ht="24" customHeight="1">
      <c r="A190" s="29" t="inlineStr">
        <is>
          <t>OpenDART_fnlttSinglAcntAll</t>
        </is>
      </c>
      <c r="B190" s="29" t="inlineStr">
        <is>
          <t>01365825</t>
        </is>
      </c>
      <c r="C190" s="29" t="inlineStr">
        <is>
          <t>피에스케이</t>
        </is>
      </c>
      <c r="D190" s="29" t="inlineStr">
        <is>
          <t>psk</t>
        </is>
      </c>
      <c r="E190" s="29" t="inlineStr">
        <is>
          <t>319660</t>
        </is>
      </c>
      <c r="F190" s="29" t="inlineStr">
        <is>
          <t>2022</t>
        </is>
      </c>
      <c r="G190" s="29" t="inlineStr">
        <is>
          <t>CFS</t>
        </is>
      </c>
      <c r="H190" s="29" t="inlineStr">
        <is>
          <t>BS</t>
        </is>
      </c>
      <c r="I190" s="29" t="inlineStr">
        <is>
          <t>재무상태표</t>
        </is>
      </c>
      <c r="J190" s="29" t="inlineStr">
        <is>
          <t>ifrs-full_OtherCurrentFinancialLiabilities</t>
        </is>
      </c>
      <c r="K190" s="29" t="inlineStr">
        <is>
          <t>유동금융부채</t>
        </is>
      </c>
      <c r="L190" s="29" t="inlineStr">
        <is>
          <t>-</t>
        </is>
      </c>
      <c r="M190" s="29" t="inlineStr">
        <is>
          <t>제 4 기</t>
        </is>
      </c>
      <c r="N190" s="29" t="inlineStr">
        <is>
          <t>0.0</t>
        </is>
      </c>
      <c r="O190" s="29" t="inlineStr">
        <is>
          <t>126416700.0</t>
        </is>
      </c>
      <c r="P190" s="29" t="inlineStr">
        <is>
          <t>KRW</t>
        </is>
      </c>
      <c r="Q190" s="29" t="inlineStr">
        <is>
          <t>23</t>
        </is>
      </c>
    </row>
    <row r="191" ht="24" customHeight="1">
      <c r="A191" s="24" t="inlineStr">
        <is>
          <t>OpenDART_fnlttSinglAcntAll</t>
        </is>
      </c>
      <c r="B191" s="24" t="inlineStr">
        <is>
          <t>01365825</t>
        </is>
      </c>
      <c r="C191" s="24" t="inlineStr">
        <is>
          <t>피에스케이</t>
        </is>
      </c>
      <c r="D191" s="24" t="inlineStr">
        <is>
          <t>psk</t>
        </is>
      </c>
      <c r="E191" s="24" t="inlineStr">
        <is>
          <t>319660</t>
        </is>
      </c>
      <c r="F191" s="24" t="inlineStr">
        <is>
          <t>2022</t>
        </is>
      </c>
      <c r="G191" s="24" t="inlineStr">
        <is>
          <t>CFS</t>
        </is>
      </c>
      <c r="H191" s="24" t="inlineStr">
        <is>
          <t>BS</t>
        </is>
      </c>
      <c r="I191" s="24" t="inlineStr">
        <is>
          <t>재무상태표</t>
        </is>
      </c>
      <c r="J191" s="24" t="inlineStr">
        <is>
          <t>ifrs-full_CurrentTaxLiabilities</t>
        </is>
      </c>
      <c r="K191" s="24" t="inlineStr">
        <is>
          <t>당기법인세부채</t>
        </is>
      </c>
      <c r="L191" s="24" t="inlineStr">
        <is>
          <t>-</t>
        </is>
      </c>
      <c r="M191" s="24" t="inlineStr">
        <is>
          <t>제 4 기</t>
        </is>
      </c>
      <c r="N191" s="24" t="inlineStr">
        <is>
          <t>8322746185.0</t>
        </is>
      </c>
      <c r="O191" s="24" t="inlineStr">
        <is>
          <t>23396883482.0</t>
        </is>
      </c>
      <c r="P191" s="24" t="inlineStr">
        <is>
          <t>KRW</t>
        </is>
      </c>
      <c r="Q191" s="24" t="inlineStr">
        <is>
          <t>24</t>
        </is>
      </c>
    </row>
    <row r="192" ht="24" customHeight="1">
      <c r="A192" s="29" t="inlineStr">
        <is>
          <t>OpenDART_fnlttSinglAcntAll</t>
        </is>
      </c>
      <c r="B192" s="29" t="inlineStr">
        <is>
          <t>01365825</t>
        </is>
      </c>
      <c r="C192" s="29" t="inlineStr">
        <is>
          <t>피에스케이</t>
        </is>
      </c>
      <c r="D192" s="29" t="inlineStr">
        <is>
          <t>psk</t>
        </is>
      </c>
      <c r="E192" s="29" t="inlineStr">
        <is>
          <t>319660</t>
        </is>
      </c>
      <c r="F192" s="29" t="inlineStr">
        <is>
          <t>2022</t>
        </is>
      </c>
      <c r="G192" s="29" t="inlineStr">
        <is>
          <t>CFS</t>
        </is>
      </c>
      <c r="H192" s="29" t="inlineStr">
        <is>
          <t>BS</t>
        </is>
      </c>
      <c r="I192" s="29" t="inlineStr">
        <is>
          <t>재무상태표</t>
        </is>
      </c>
      <c r="J192" s="29" t="inlineStr">
        <is>
          <t>ifrs-full_CurrentProvisions</t>
        </is>
      </c>
      <c r="K192" s="29" t="inlineStr">
        <is>
          <t>충당부채</t>
        </is>
      </c>
      <c r="L192" s="29" t="inlineStr">
        <is>
          <t>-</t>
        </is>
      </c>
      <c r="M192" s="29" t="inlineStr">
        <is>
          <t>제 4 기</t>
        </is>
      </c>
      <c r="N192" s="29" t="inlineStr">
        <is>
          <t>15379723199.0</t>
        </is>
      </c>
      <c r="O192" s="29" t="inlineStr">
        <is>
          <t>14245915226.0</t>
        </is>
      </c>
      <c r="P192" s="29" t="inlineStr">
        <is>
          <t>KRW</t>
        </is>
      </c>
      <c r="Q192" s="29" t="inlineStr">
        <is>
          <t>25</t>
        </is>
      </c>
    </row>
    <row r="193" ht="24" customHeight="1">
      <c r="A193" s="24" t="inlineStr">
        <is>
          <t>OpenDART_fnlttSinglAcntAll</t>
        </is>
      </c>
      <c r="B193" s="24" t="inlineStr">
        <is>
          <t>01365825</t>
        </is>
      </c>
      <c r="C193" s="24" t="inlineStr">
        <is>
          <t>피에스케이</t>
        </is>
      </c>
      <c r="D193" s="24" t="inlineStr">
        <is>
          <t>psk</t>
        </is>
      </c>
      <c r="E193" s="24" t="inlineStr">
        <is>
          <t>319660</t>
        </is>
      </c>
      <c r="F193" s="24" t="inlineStr">
        <is>
          <t>2022</t>
        </is>
      </c>
      <c r="G193" s="24" t="inlineStr">
        <is>
          <t>CFS</t>
        </is>
      </c>
      <c r="H193" s="24" t="inlineStr">
        <is>
          <t>BS</t>
        </is>
      </c>
      <c r="I193" s="24" t="inlineStr">
        <is>
          <t>재무상태표</t>
        </is>
      </c>
      <c r="J193" s="24" t="inlineStr">
        <is>
          <t>dart_OtherCurrentLiabilities</t>
        </is>
      </c>
      <c r="K193" s="24" t="inlineStr">
        <is>
          <t>기타유동부채</t>
        </is>
      </c>
      <c r="L193" s="24" t="inlineStr">
        <is>
          <t>-</t>
        </is>
      </c>
      <c r="M193" s="24" t="inlineStr">
        <is>
          <t>제 4 기</t>
        </is>
      </c>
      <c r="N193" s="24" t="inlineStr">
        <is>
          <t>36591745275.0</t>
        </is>
      </c>
      <c r="O193" s="24" t="inlineStr">
        <is>
          <t>27481188591.0</t>
        </is>
      </c>
      <c r="P193" s="24" t="inlineStr">
        <is>
          <t>KRW</t>
        </is>
      </c>
      <c r="Q193" s="24" t="inlineStr">
        <is>
          <t>26</t>
        </is>
      </c>
    </row>
    <row r="194" ht="24" customHeight="1">
      <c r="A194" s="29" t="inlineStr">
        <is>
          <t>OpenDART_fnlttSinglAcntAll</t>
        </is>
      </c>
      <c r="B194" s="29" t="inlineStr">
        <is>
          <t>01365825</t>
        </is>
      </c>
      <c r="C194" s="29" t="inlineStr">
        <is>
          <t>피에스케이</t>
        </is>
      </c>
      <c r="D194" s="29" t="inlineStr">
        <is>
          <t>psk</t>
        </is>
      </c>
      <c r="E194" s="29" t="inlineStr">
        <is>
          <t>319660</t>
        </is>
      </c>
      <c r="F194" s="29" t="inlineStr">
        <is>
          <t>2022</t>
        </is>
      </c>
      <c r="G194" s="29" t="inlineStr">
        <is>
          <t>CFS</t>
        </is>
      </c>
      <c r="H194" s="29" t="inlineStr">
        <is>
          <t>BS</t>
        </is>
      </c>
      <c r="I194" s="29" t="inlineStr">
        <is>
          <t>재무상태표</t>
        </is>
      </c>
      <c r="J194" s="29" t="inlineStr">
        <is>
          <t>ifrs-full_NoncurrentLiabilities</t>
        </is>
      </c>
      <c r="K194" s="29" t="inlineStr">
        <is>
          <t>비유동부채</t>
        </is>
      </c>
      <c r="L194" s="29" t="inlineStr">
        <is>
          <t>-</t>
        </is>
      </c>
      <c r="M194" s="29" t="inlineStr">
        <is>
          <t>제 4 기</t>
        </is>
      </c>
      <c r="N194" s="29" t="inlineStr">
        <is>
          <t>18424170909.0</t>
        </is>
      </c>
      <c r="O194" s="29" t="inlineStr">
        <is>
          <t>13060193242.0</t>
        </is>
      </c>
      <c r="P194" s="29" t="inlineStr">
        <is>
          <t>KRW</t>
        </is>
      </c>
      <c r="Q194" s="29" t="inlineStr">
        <is>
          <t>27</t>
        </is>
      </c>
    </row>
    <row r="195" ht="24" customHeight="1">
      <c r="A195" s="24" t="inlineStr">
        <is>
          <t>OpenDART_fnlttSinglAcntAll</t>
        </is>
      </c>
      <c r="B195" s="24" t="inlineStr">
        <is>
          <t>01365825</t>
        </is>
      </c>
      <c r="C195" s="24" t="inlineStr">
        <is>
          <t>피에스케이</t>
        </is>
      </c>
      <c r="D195" s="24" t="inlineStr">
        <is>
          <t>psk</t>
        </is>
      </c>
      <c r="E195" s="24" t="inlineStr">
        <is>
          <t>319660</t>
        </is>
      </c>
      <c r="F195" s="24" t="inlineStr">
        <is>
          <t>2022</t>
        </is>
      </c>
      <c r="G195" s="24" t="inlineStr">
        <is>
          <t>CFS</t>
        </is>
      </c>
      <c r="H195" s="24" t="inlineStr">
        <is>
          <t>BS</t>
        </is>
      </c>
      <c r="I195" s="24" t="inlineStr">
        <is>
          <t>재무상태표</t>
        </is>
      </c>
      <c r="J195" s="24" t="inlineStr">
        <is>
          <t>dart_LongTermTradeAndOtherNonCurrentPayables</t>
        </is>
      </c>
      <c r="K195" s="24" t="inlineStr">
        <is>
          <t>장기매입채무 및 기타채무</t>
        </is>
      </c>
      <c r="L195" s="24" t="inlineStr">
        <is>
          <t>-</t>
        </is>
      </c>
      <c r="M195" s="24" t="inlineStr">
        <is>
          <t>제 4 기</t>
        </is>
      </c>
      <c r="N195" s="24" t="inlineStr">
        <is>
          <t>293939651.0</t>
        </is>
      </c>
      <c r="O195" s="24" t="inlineStr">
        <is>
          <t>519835916.0</t>
        </is>
      </c>
      <c r="P195" s="24" t="inlineStr">
        <is>
          <t>KRW</t>
        </is>
      </c>
      <c r="Q195" s="24" t="inlineStr">
        <is>
          <t>28</t>
        </is>
      </c>
    </row>
    <row r="196" ht="24" customHeight="1">
      <c r="A196" s="29" t="inlineStr">
        <is>
          <t>OpenDART_fnlttSinglAcntAll</t>
        </is>
      </c>
      <c r="B196" s="29" t="inlineStr">
        <is>
          <t>01365825</t>
        </is>
      </c>
      <c r="C196" s="29" t="inlineStr">
        <is>
          <t>피에스케이</t>
        </is>
      </c>
      <c r="D196" s="29" t="inlineStr">
        <is>
          <t>psk</t>
        </is>
      </c>
      <c r="E196" s="29" t="inlineStr">
        <is>
          <t>319660</t>
        </is>
      </c>
      <c r="F196" s="29" t="inlineStr">
        <is>
          <t>2022</t>
        </is>
      </c>
      <c r="G196" s="29" t="inlineStr">
        <is>
          <t>CFS</t>
        </is>
      </c>
      <c r="H196" s="29" t="inlineStr">
        <is>
          <t>BS</t>
        </is>
      </c>
      <c r="I196" s="29" t="inlineStr">
        <is>
          <t>재무상태표</t>
        </is>
      </c>
      <c r="J196" s="29" t="inlineStr">
        <is>
          <t>dart_NonCurrentFinanceLeaseLiabilities</t>
        </is>
      </c>
      <c r="K196" s="29" t="inlineStr">
        <is>
          <t>비유동금융리스부채</t>
        </is>
      </c>
      <c r="L196" s="29" t="inlineStr">
        <is>
          <t>-</t>
        </is>
      </c>
      <c r="M196" s="29" t="inlineStr">
        <is>
          <t>제 4 기</t>
        </is>
      </c>
      <c r="N196" s="29" t="inlineStr">
        <is>
          <t>1004509812.0</t>
        </is>
      </c>
      <c r="O196" s="29" t="inlineStr">
        <is>
          <t>2117266345.0</t>
        </is>
      </c>
      <c r="P196" s="29" t="inlineStr">
        <is>
          <t>KRW</t>
        </is>
      </c>
      <c r="Q196" s="29" t="inlineStr">
        <is>
          <t>29</t>
        </is>
      </c>
    </row>
    <row r="197" ht="24" customHeight="1">
      <c r="A197" s="24" t="inlineStr">
        <is>
          <t>OpenDART_fnlttSinglAcntAll</t>
        </is>
      </c>
      <c r="B197" s="24" t="inlineStr">
        <is>
          <t>01365825</t>
        </is>
      </c>
      <c r="C197" s="24" t="inlineStr">
        <is>
          <t>피에스케이</t>
        </is>
      </c>
      <c r="D197" s="24" t="inlineStr">
        <is>
          <t>psk</t>
        </is>
      </c>
      <c r="E197" s="24" t="inlineStr">
        <is>
          <t>319660</t>
        </is>
      </c>
      <c r="F197" s="24" t="inlineStr">
        <is>
          <t>2022</t>
        </is>
      </c>
      <c r="G197" s="24" t="inlineStr">
        <is>
          <t>CFS</t>
        </is>
      </c>
      <c r="H197" s="24" t="inlineStr">
        <is>
          <t>BS</t>
        </is>
      </c>
      <c r="I197" s="24" t="inlineStr">
        <is>
          <t>재무상태표</t>
        </is>
      </c>
      <c r="J197" s="24" t="inlineStr">
        <is>
          <t>dart_LongTermBorrowingsGross</t>
        </is>
      </c>
      <c r="K197" s="24" t="inlineStr">
        <is>
          <t>장기차입금</t>
        </is>
      </c>
      <c r="L197" s="24" t="inlineStr">
        <is>
          <t>-</t>
        </is>
      </c>
      <c r="M197" s="24" t="inlineStr">
        <is>
          <t>제 4 기</t>
        </is>
      </c>
      <c r="N197" s="24" t="inlineStr">
        <is>
          <t>12000000000.0</t>
        </is>
      </c>
      <c r="O197" s="24" t="inlineStr">
        <is>
          <t>10150000000.0</t>
        </is>
      </c>
      <c r="P197" s="24" t="inlineStr">
        <is>
          <t>KRW</t>
        </is>
      </c>
      <c r="Q197" s="24" t="inlineStr">
        <is>
          <t>30</t>
        </is>
      </c>
    </row>
    <row r="198" ht="24" customHeight="1">
      <c r="A198" s="29" t="inlineStr">
        <is>
          <t>OpenDART_fnlttSinglAcntAll</t>
        </is>
      </c>
      <c r="B198" s="29" t="inlineStr">
        <is>
          <t>01365825</t>
        </is>
      </c>
      <c r="C198" s="29" t="inlineStr">
        <is>
          <t>피에스케이</t>
        </is>
      </c>
      <c r="D198" s="29" t="inlineStr">
        <is>
          <t>psk</t>
        </is>
      </c>
      <c r="E198" s="29" t="inlineStr">
        <is>
          <t>319660</t>
        </is>
      </c>
      <c r="F198" s="29" t="inlineStr">
        <is>
          <t>2022</t>
        </is>
      </c>
      <c r="G198" s="29" t="inlineStr">
        <is>
          <t>CFS</t>
        </is>
      </c>
      <c r="H198" s="29" t="inlineStr">
        <is>
          <t>BS</t>
        </is>
      </c>
      <c r="I198" s="29" t="inlineStr">
        <is>
          <t>재무상태표</t>
        </is>
      </c>
      <c r="J198" s="29" t="inlineStr">
        <is>
          <t>dart_BondsIssued</t>
        </is>
      </c>
      <c r="K198" s="29" t="inlineStr">
        <is>
          <t>사채</t>
        </is>
      </c>
      <c r="L198" s="29" t="inlineStr">
        <is>
          <t>-</t>
        </is>
      </c>
      <c r="M198" s="29" t="inlineStr">
        <is>
          <t>제 4 기</t>
        </is>
      </c>
      <c r="N198" s="29" t="inlineStr">
        <is>
          <t>0.0</t>
        </is>
      </c>
      <c r="O198" s="29" t="inlineStr">
        <is>
          <t>0.0</t>
        </is>
      </c>
      <c r="P198" s="29" t="inlineStr">
        <is>
          <t>KRW</t>
        </is>
      </c>
      <c r="Q198" s="29" t="inlineStr">
        <is>
          <t>31</t>
        </is>
      </c>
    </row>
    <row r="199" ht="24" customHeight="1">
      <c r="A199" s="24" t="inlineStr">
        <is>
          <t>OpenDART_fnlttSinglAcntAll</t>
        </is>
      </c>
      <c r="B199" s="24" t="inlineStr">
        <is>
          <t>01365825</t>
        </is>
      </c>
      <c r="C199" s="24" t="inlineStr">
        <is>
          <t>피에스케이</t>
        </is>
      </c>
      <c r="D199" s="24" t="inlineStr">
        <is>
          <t>psk</t>
        </is>
      </c>
      <c r="E199" s="24" t="inlineStr">
        <is>
          <t>319660</t>
        </is>
      </c>
      <c r="F199" s="24" t="inlineStr">
        <is>
          <t>2022</t>
        </is>
      </c>
      <c r="G199" s="24" t="inlineStr">
        <is>
          <t>CFS</t>
        </is>
      </c>
      <c r="H199" s="24" t="inlineStr">
        <is>
          <t>BS</t>
        </is>
      </c>
      <c r="I199" s="24" t="inlineStr">
        <is>
          <t>재무상태표</t>
        </is>
      </c>
      <c r="J199" s="24" t="inlineStr">
        <is>
          <t>ifrs-full_DeferredTaxLiabilities</t>
        </is>
      </c>
      <c r="K199" s="24" t="inlineStr">
        <is>
          <t>이연법인세부채</t>
        </is>
      </c>
      <c r="L199" s="24" t="inlineStr">
        <is>
          <t>-</t>
        </is>
      </c>
      <c r="M199" s="24" t="inlineStr">
        <is>
          <t>제 4 기</t>
        </is>
      </c>
      <c r="N199" s="24" t="inlineStr">
        <is>
          <t>2630564501.0</t>
        </is>
      </c>
      <c r="O199" s="24" t="inlineStr">
        <is>
          <t>0.0</t>
        </is>
      </c>
      <c r="P199" s="24" t="inlineStr">
        <is>
          <t>KRW</t>
        </is>
      </c>
      <c r="Q199" s="24" t="inlineStr">
        <is>
          <t>32</t>
        </is>
      </c>
    </row>
    <row r="200" ht="24" customHeight="1">
      <c r="A200" s="29" t="inlineStr">
        <is>
          <t>OpenDART_fnlttSinglAcntAll</t>
        </is>
      </c>
      <c r="B200" s="29" t="inlineStr">
        <is>
          <t>01365825</t>
        </is>
      </c>
      <c r="C200" s="29" t="inlineStr">
        <is>
          <t>피에스케이</t>
        </is>
      </c>
      <c r="D200" s="29" t="inlineStr">
        <is>
          <t>psk</t>
        </is>
      </c>
      <c r="E200" s="29" t="inlineStr">
        <is>
          <t>319660</t>
        </is>
      </c>
      <c r="F200" s="29" t="inlineStr">
        <is>
          <t>2022</t>
        </is>
      </c>
      <c r="G200" s="29" t="inlineStr">
        <is>
          <t>CFS</t>
        </is>
      </c>
      <c r="H200" s="29" t="inlineStr">
        <is>
          <t>BS</t>
        </is>
      </c>
      <c r="I200" s="29" t="inlineStr">
        <is>
          <t>재무상태표</t>
        </is>
      </c>
      <c r="J200" s="29" t="inlineStr">
        <is>
          <t>ifrs-full_NoncurrentProvisions</t>
        </is>
      </c>
      <c r="K200" s="29" t="inlineStr">
        <is>
          <t>비유동충당부채</t>
        </is>
      </c>
      <c r="L200" s="29" t="inlineStr">
        <is>
          <t>-</t>
        </is>
      </c>
      <c r="M200" s="29" t="inlineStr">
        <is>
          <t>제 4 기</t>
        </is>
      </c>
      <c r="N200" s="29" t="inlineStr">
        <is>
          <t>2386113627.0</t>
        </is>
      </c>
      <c r="O200" s="29" t="inlineStr">
        <is>
          <t>0.0</t>
        </is>
      </c>
      <c r="P200" s="29" t="inlineStr">
        <is>
          <t>KRW</t>
        </is>
      </c>
      <c r="Q200" s="29" t="inlineStr">
        <is>
          <t>33</t>
        </is>
      </c>
    </row>
    <row r="201" ht="24" customHeight="1">
      <c r="A201" s="24" t="inlineStr">
        <is>
          <t>OpenDART_fnlttSinglAcntAll</t>
        </is>
      </c>
      <c r="B201" s="24" t="inlineStr">
        <is>
          <t>01365825</t>
        </is>
      </c>
      <c r="C201" s="24" t="inlineStr">
        <is>
          <t>피에스케이</t>
        </is>
      </c>
      <c r="D201" s="24" t="inlineStr">
        <is>
          <t>psk</t>
        </is>
      </c>
      <c r="E201" s="24" t="inlineStr">
        <is>
          <t>319660</t>
        </is>
      </c>
      <c r="F201" s="24" t="inlineStr">
        <is>
          <t>2022</t>
        </is>
      </c>
      <c r="G201" s="24" t="inlineStr">
        <is>
          <t>CFS</t>
        </is>
      </c>
      <c r="H201" s="24" t="inlineStr">
        <is>
          <t>BS</t>
        </is>
      </c>
      <c r="I201" s="24" t="inlineStr">
        <is>
          <t>재무상태표</t>
        </is>
      </c>
      <c r="J201" s="24" t="inlineStr">
        <is>
          <t>dart_PostemploymentBenefitObligations</t>
        </is>
      </c>
      <c r="K201" s="24" t="inlineStr">
        <is>
          <t>퇴직급여부채</t>
        </is>
      </c>
      <c r="L201" s="24" t="inlineStr">
        <is>
          <t>-</t>
        </is>
      </c>
      <c r="M201" s="24" t="inlineStr">
        <is>
          <t>제 4 기</t>
        </is>
      </c>
      <c r="N201" s="24" t="inlineStr">
        <is>
          <t>109043318.0</t>
        </is>
      </c>
      <c r="O201" s="24" t="inlineStr">
        <is>
          <t>273090981.0</t>
        </is>
      </c>
      <c r="P201" s="24" t="inlineStr">
        <is>
          <t>KRW</t>
        </is>
      </c>
      <c r="Q201" s="24" t="inlineStr">
        <is>
          <t>34</t>
        </is>
      </c>
    </row>
    <row r="202" ht="24" customHeight="1">
      <c r="A202" s="29" t="inlineStr">
        <is>
          <t>OpenDART_fnlttSinglAcntAll</t>
        </is>
      </c>
      <c r="B202" s="29" t="inlineStr">
        <is>
          <t>01365825</t>
        </is>
      </c>
      <c r="C202" s="29" t="inlineStr">
        <is>
          <t>피에스케이</t>
        </is>
      </c>
      <c r="D202" s="29" t="inlineStr">
        <is>
          <t>psk</t>
        </is>
      </c>
      <c r="E202" s="29" t="inlineStr">
        <is>
          <t>319660</t>
        </is>
      </c>
      <c r="F202" s="29" t="inlineStr">
        <is>
          <t>2022</t>
        </is>
      </c>
      <c r="G202" s="29" t="inlineStr">
        <is>
          <t>CFS</t>
        </is>
      </c>
      <c r="H202" s="29" t="inlineStr">
        <is>
          <t>BS</t>
        </is>
      </c>
      <c r="I202" s="29" t="inlineStr">
        <is>
          <t>재무상태표</t>
        </is>
      </c>
      <c r="J202" s="29" t="inlineStr">
        <is>
          <t>ifrs-full_Liabilities</t>
        </is>
      </c>
      <c r="K202" s="29" t="inlineStr">
        <is>
          <t>부채총계</t>
        </is>
      </c>
      <c r="L202" s="29" t="inlineStr">
        <is>
          <t>-</t>
        </is>
      </c>
      <c r="M202" s="29" t="inlineStr">
        <is>
          <t>제 4 기</t>
        </is>
      </c>
      <c r="N202" s="29" t="inlineStr">
        <is>
          <t>119341821898.0</t>
        </is>
      </c>
      <c r="O202" s="29" t="inlineStr">
        <is>
          <t>124191260092.0</t>
        </is>
      </c>
      <c r="P202" s="29" t="inlineStr">
        <is>
          <t>KRW</t>
        </is>
      </c>
      <c r="Q202" s="29" t="inlineStr">
        <is>
          <t>35</t>
        </is>
      </c>
    </row>
    <row r="203" ht="24" customHeight="1">
      <c r="A203" s="24" t="inlineStr">
        <is>
          <t>OpenDART_fnlttSinglAcntAll</t>
        </is>
      </c>
      <c r="B203" s="24" t="inlineStr">
        <is>
          <t>01365825</t>
        </is>
      </c>
      <c r="C203" s="24" t="inlineStr">
        <is>
          <t>피에스케이</t>
        </is>
      </c>
      <c r="D203" s="24" t="inlineStr">
        <is>
          <t>psk</t>
        </is>
      </c>
      <c r="E203" s="24" t="inlineStr">
        <is>
          <t>319660</t>
        </is>
      </c>
      <c r="F203" s="24" t="inlineStr">
        <is>
          <t>2022</t>
        </is>
      </c>
      <c r="G203" s="24" t="inlineStr">
        <is>
          <t>CFS</t>
        </is>
      </c>
      <c r="H203" s="24" t="inlineStr">
        <is>
          <t>BS</t>
        </is>
      </c>
      <c r="I203" s="24" t="inlineStr">
        <is>
          <t>재무상태표</t>
        </is>
      </c>
      <c r="J203" s="24" t="inlineStr">
        <is>
          <t>ifrs-full_EquityAttributableToOwnersOfParent</t>
        </is>
      </c>
      <c r="K203" s="24" t="inlineStr">
        <is>
          <t>지배기업의 소유주에게 귀속되는 자본</t>
        </is>
      </c>
      <c r="L203" s="24" t="inlineStr">
        <is>
          <t>-</t>
        </is>
      </c>
      <c r="M203" s="24" t="inlineStr">
        <is>
          <t>제 4 기</t>
        </is>
      </c>
      <c r="N203" s="24" t="inlineStr">
        <is>
          <t>353307517966.0</t>
        </is>
      </c>
      <c r="O203" s="24" t="inlineStr">
        <is>
          <t>289070957803.0</t>
        </is>
      </c>
      <c r="P203" s="24" t="inlineStr">
        <is>
          <t>KRW</t>
        </is>
      </c>
      <c r="Q203" s="24" t="inlineStr">
        <is>
          <t>37</t>
        </is>
      </c>
    </row>
    <row r="204" ht="24" customHeight="1">
      <c r="A204" s="29" t="inlineStr">
        <is>
          <t>OpenDART_fnlttSinglAcntAll</t>
        </is>
      </c>
      <c r="B204" s="29" t="inlineStr">
        <is>
          <t>01365825</t>
        </is>
      </c>
      <c r="C204" s="29" t="inlineStr">
        <is>
          <t>피에스케이</t>
        </is>
      </c>
      <c r="D204" s="29" t="inlineStr">
        <is>
          <t>psk</t>
        </is>
      </c>
      <c r="E204" s="29" t="inlineStr">
        <is>
          <t>319660</t>
        </is>
      </c>
      <c r="F204" s="29" t="inlineStr">
        <is>
          <t>2022</t>
        </is>
      </c>
      <c r="G204" s="29" t="inlineStr">
        <is>
          <t>CFS</t>
        </is>
      </c>
      <c r="H204" s="29" t="inlineStr">
        <is>
          <t>BS</t>
        </is>
      </c>
      <c r="I204" s="29" t="inlineStr">
        <is>
          <t>재무상태표</t>
        </is>
      </c>
      <c r="J204" s="29" t="inlineStr">
        <is>
          <t>ifrs-full_IssuedCapital</t>
        </is>
      </c>
      <c r="K204" s="29" t="inlineStr">
        <is>
          <t>자본금</t>
        </is>
      </c>
      <c r="L204" s="29" t="inlineStr">
        <is>
          <t>-</t>
        </is>
      </c>
      <c r="M204" s="29" t="inlineStr">
        <is>
          <t>제 4 기</t>
        </is>
      </c>
      <c r="N204" s="29" t="inlineStr">
        <is>
          <t>14624188500.0</t>
        </is>
      </c>
      <c r="O204" s="29" t="inlineStr">
        <is>
          <t>7382510000.0</t>
        </is>
      </c>
      <c r="P204" s="29" t="inlineStr">
        <is>
          <t>KRW</t>
        </is>
      </c>
      <c r="Q204" s="29" t="inlineStr">
        <is>
          <t>38</t>
        </is>
      </c>
    </row>
    <row r="205" ht="24" customHeight="1">
      <c r="A205" s="24" t="inlineStr">
        <is>
          <t>OpenDART_fnlttSinglAcntAll</t>
        </is>
      </c>
      <c r="B205" s="24" t="inlineStr">
        <is>
          <t>01365825</t>
        </is>
      </c>
      <c r="C205" s="24" t="inlineStr">
        <is>
          <t>피에스케이</t>
        </is>
      </c>
      <c r="D205" s="24" t="inlineStr">
        <is>
          <t>psk</t>
        </is>
      </c>
      <c r="E205" s="24" t="inlineStr">
        <is>
          <t>319660</t>
        </is>
      </c>
      <c r="F205" s="24" t="inlineStr">
        <is>
          <t>2022</t>
        </is>
      </c>
      <c r="G205" s="24" t="inlineStr">
        <is>
          <t>CFS</t>
        </is>
      </c>
      <c r="H205" s="24" t="inlineStr">
        <is>
          <t>BS</t>
        </is>
      </c>
      <c r="I205" s="24" t="inlineStr">
        <is>
          <t>재무상태표</t>
        </is>
      </c>
      <c r="J205" s="24" t="inlineStr">
        <is>
          <t>-표준계정코드 미사용-</t>
        </is>
      </c>
      <c r="K205" s="24" t="inlineStr">
        <is>
          <t>기타불입자본</t>
        </is>
      </c>
      <c r="L205" s="24" t="inlineStr">
        <is>
          <t>-</t>
        </is>
      </c>
      <c r="M205" s="24" t="inlineStr">
        <is>
          <t>제 4 기</t>
        </is>
      </c>
      <c r="N205" s="24" t="inlineStr">
        <is>
          <t>171960244948.0</t>
        </is>
      </c>
      <c r="O205" s="24" t="inlineStr">
        <is>
          <t>174949518957.0</t>
        </is>
      </c>
      <c r="P205" s="24" t="inlineStr">
        <is>
          <t>KRW</t>
        </is>
      </c>
      <c r="Q205" s="24" t="inlineStr">
        <is>
          <t>39</t>
        </is>
      </c>
    </row>
    <row r="206" ht="24" customHeight="1">
      <c r="A206" s="29" t="inlineStr">
        <is>
          <t>OpenDART_fnlttSinglAcntAll</t>
        </is>
      </c>
      <c r="B206" s="29" t="inlineStr">
        <is>
          <t>01365825</t>
        </is>
      </c>
      <c r="C206" s="29" t="inlineStr">
        <is>
          <t>피에스케이</t>
        </is>
      </c>
      <c r="D206" s="29" t="inlineStr">
        <is>
          <t>psk</t>
        </is>
      </c>
      <c r="E206" s="29" t="inlineStr">
        <is>
          <t>319660</t>
        </is>
      </c>
      <c r="F206" s="29" t="inlineStr">
        <is>
          <t>2022</t>
        </is>
      </c>
      <c r="G206" s="29" t="inlineStr">
        <is>
          <t>CFS</t>
        </is>
      </c>
      <c r="H206" s="29" t="inlineStr">
        <is>
          <t>BS</t>
        </is>
      </c>
      <c r="I206" s="29" t="inlineStr">
        <is>
          <t>재무상태표</t>
        </is>
      </c>
      <c r="J206" s="29" t="inlineStr">
        <is>
          <t>dart_ElementsOfOtherStockholdersEquity</t>
        </is>
      </c>
      <c r="K206" s="29" t="inlineStr">
        <is>
          <t>기타자본구성요소</t>
        </is>
      </c>
      <c r="L206" s="29" t="inlineStr">
        <is>
          <t>-</t>
        </is>
      </c>
      <c r="M206" s="29" t="inlineStr">
        <is>
          <t>제 4 기</t>
        </is>
      </c>
      <c r="N206" s="29" t="inlineStr">
        <is>
          <t>1860093233.0</t>
        </is>
      </c>
      <c r="O206" s="29" t="inlineStr">
        <is>
          <t>2541260380.0</t>
        </is>
      </c>
      <c r="P206" s="29" t="inlineStr">
        <is>
          <t>KRW</t>
        </is>
      </c>
      <c r="Q206" s="29" t="inlineStr">
        <is>
          <t>40</t>
        </is>
      </c>
    </row>
    <row r="207" ht="24" customHeight="1">
      <c r="A207" s="24" t="inlineStr">
        <is>
          <t>OpenDART_fnlttSinglAcntAll</t>
        </is>
      </c>
      <c r="B207" s="24" t="inlineStr">
        <is>
          <t>01365825</t>
        </is>
      </c>
      <c r="C207" s="24" t="inlineStr">
        <is>
          <t>피에스케이</t>
        </is>
      </c>
      <c r="D207" s="24" t="inlineStr">
        <is>
          <t>psk</t>
        </is>
      </c>
      <c r="E207" s="24" t="inlineStr">
        <is>
          <t>319660</t>
        </is>
      </c>
      <c r="F207" s="24" t="inlineStr">
        <is>
          <t>2022</t>
        </is>
      </c>
      <c r="G207" s="24" t="inlineStr">
        <is>
          <t>CFS</t>
        </is>
      </c>
      <c r="H207" s="24" t="inlineStr">
        <is>
          <t>BS</t>
        </is>
      </c>
      <c r="I207" s="24" t="inlineStr">
        <is>
          <t>재무상태표</t>
        </is>
      </c>
      <c r="J207" s="24" t="inlineStr">
        <is>
          <t>ifrs-full_RetainedEarnings</t>
        </is>
      </c>
      <c r="K207" s="24" t="inlineStr">
        <is>
          <t>이익잉여금(결손금)</t>
        </is>
      </c>
      <c r="L207" s="24" t="inlineStr">
        <is>
          <t>-</t>
        </is>
      </c>
      <c r="M207" s="24" t="inlineStr">
        <is>
          <t>제 4 기</t>
        </is>
      </c>
      <c r="N207" s="24" t="inlineStr">
        <is>
          <t>164862991285.0</t>
        </is>
      </c>
      <c r="O207" s="24" t="inlineStr">
        <is>
          <t>104197668466.0</t>
        </is>
      </c>
      <c r="P207" s="24" t="inlineStr">
        <is>
          <t>KRW</t>
        </is>
      </c>
      <c r="Q207" s="24" t="inlineStr">
        <is>
          <t>41</t>
        </is>
      </c>
    </row>
    <row r="208" ht="24" customHeight="1">
      <c r="A208" s="29" t="inlineStr">
        <is>
          <t>OpenDART_fnlttSinglAcntAll</t>
        </is>
      </c>
      <c r="B208" s="29" t="inlineStr">
        <is>
          <t>01365825</t>
        </is>
      </c>
      <c r="C208" s="29" t="inlineStr">
        <is>
          <t>피에스케이</t>
        </is>
      </c>
      <c r="D208" s="29" t="inlineStr">
        <is>
          <t>psk</t>
        </is>
      </c>
      <c r="E208" s="29" t="inlineStr">
        <is>
          <t>319660</t>
        </is>
      </c>
      <c r="F208" s="29" t="inlineStr">
        <is>
          <t>2022</t>
        </is>
      </c>
      <c r="G208" s="29" t="inlineStr">
        <is>
          <t>CFS</t>
        </is>
      </c>
      <c r="H208" s="29" t="inlineStr">
        <is>
          <t>BS</t>
        </is>
      </c>
      <c r="I208" s="29" t="inlineStr">
        <is>
          <t>재무상태표</t>
        </is>
      </c>
      <c r="J208" s="29" t="inlineStr">
        <is>
          <t>ifrs-full_NoncontrollingInterests</t>
        </is>
      </c>
      <c r="K208" s="29" t="inlineStr">
        <is>
          <t>비지배지분</t>
        </is>
      </c>
      <c r="L208" s="29" t="inlineStr">
        <is>
          <t>-</t>
        </is>
      </c>
      <c r="M208" s="29" t="inlineStr">
        <is>
          <t>제 4 기</t>
        </is>
      </c>
      <c r="N208" s="29" t="inlineStr">
        <is>
          <t>0.0</t>
        </is>
      </c>
      <c r="O208" s="29" t="inlineStr">
        <is>
          <t>0.0</t>
        </is>
      </c>
      <c r="P208" s="29" t="inlineStr">
        <is>
          <t>KRW</t>
        </is>
      </c>
      <c r="Q208" s="29" t="inlineStr">
        <is>
          <t>42</t>
        </is>
      </c>
    </row>
    <row r="209" ht="24" customHeight="1">
      <c r="A209" s="24" t="inlineStr">
        <is>
          <t>OpenDART_fnlttSinglAcntAll</t>
        </is>
      </c>
      <c r="B209" s="24" t="inlineStr">
        <is>
          <t>01365825</t>
        </is>
      </c>
      <c r="C209" s="24" t="inlineStr">
        <is>
          <t>피에스케이</t>
        </is>
      </c>
      <c r="D209" s="24" t="inlineStr">
        <is>
          <t>psk</t>
        </is>
      </c>
      <c r="E209" s="24" t="inlineStr">
        <is>
          <t>319660</t>
        </is>
      </c>
      <c r="F209" s="24" t="inlineStr">
        <is>
          <t>2022</t>
        </is>
      </c>
      <c r="G209" s="24" t="inlineStr">
        <is>
          <t>CFS</t>
        </is>
      </c>
      <c r="H209" s="24" t="inlineStr">
        <is>
          <t>BS</t>
        </is>
      </c>
      <c r="I209" s="24" t="inlineStr">
        <is>
          <t>재무상태표</t>
        </is>
      </c>
      <c r="J209" s="24" t="inlineStr">
        <is>
          <t>ifrs-full_Equity</t>
        </is>
      </c>
      <c r="K209" s="24" t="inlineStr">
        <is>
          <t>자본총계</t>
        </is>
      </c>
      <c r="L209" s="24" t="inlineStr">
        <is>
          <t>-</t>
        </is>
      </c>
      <c r="M209" s="24" t="inlineStr">
        <is>
          <t>제 4 기</t>
        </is>
      </c>
      <c r="N209" s="24" t="inlineStr">
        <is>
          <t>353307517966.0</t>
        </is>
      </c>
      <c r="O209" s="24" t="inlineStr">
        <is>
          <t>289070957803.0</t>
        </is>
      </c>
      <c r="P209" s="24" t="inlineStr">
        <is>
          <t>KRW</t>
        </is>
      </c>
      <c r="Q209" s="24" t="inlineStr">
        <is>
          <t>43</t>
        </is>
      </c>
    </row>
    <row r="210" ht="24" customHeight="1">
      <c r="A210" s="29" t="inlineStr">
        <is>
          <t>OpenDART_fnlttSinglAcntAll</t>
        </is>
      </c>
      <c r="B210" s="29" t="inlineStr">
        <is>
          <t>01365825</t>
        </is>
      </c>
      <c r="C210" s="29" t="inlineStr">
        <is>
          <t>피에스케이</t>
        </is>
      </c>
      <c r="D210" s="29" t="inlineStr">
        <is>
          <t>psk</t>
        </is>
      </c>
      <c r="E210" s="29" t="inlineStr">
        <is>
          <t>319660</t>
        </is>
      </c>
      <c r="F210" s="29" t="inlineStr">
        <is>
          <t>2022</t>
        </is>
      </c>
      <c r="G210" s="29" t="inlineStr">
        <is>
          <t>CFS</t>
        </is>
      </c>
      <c r="H210" s="29" t="inlineStr">
        <is>
          <t>BS</t>
        </is>
      </c>
      <c r="I210" s="29" t="inlineStr">
        <is>
          <t>재무상태표</t>
        </is>
      </c>
      <c r="J210" s="29" t="inlineStr">
        <is>
          <t>ifrs-full_EquityAndLiabilities</t>
        </is>
      </c>
      <c r="K210" s="29" t="inlineStr">
        <is>
          <t>자본과부채총계</t>
        </is>
      </c>
      <c r="L210" s="29" t="inlineStr">
        <is>
          <t>-</t>
        </is>
      </c>
      <c r="M210" s="29" t="inlineStr">
        <is>
          <t>제 4 기</t>
        </is>
      </c>
      <c r="N210" s="29" t="inlineStr">
        <is>
          <t>472649339864.0</t>
        </is>
      </c>
      <c r="O210" s="29" t="inlineStr">
        <is>
          <t>413262217895.0</t>
        </is>
      </c>
      <c r="P210" s="29" t="inlineStr">
        <is>
          <t>KRW</t>
        </is>
      </c>
      <c r="Q210" s="29" t="inlineStr">
        <is>
          <t>44</t>
        </is>
      </c>
    </row>
    <row r="211" ht="24" customHeight="1">
      <c r="A211" s="24" t="inlineStr">
        <is>
          <t>OpenDART_fnlttSinglAcntAll</t>
        </is>
      </c>
      <c r="B211" s="24" t="inlineStr">
        <is>
          <t>01365825</t>
        </is>
      </c>
      <c r="C211" s="24" t="inlineStr">
        <is>
          <t>피에스케이</t>
        </is>
      </c>
      <c r="D211" s="24" t="inlineStr">
        <is>
          <t>psk</t>
        </is>
      </c>
      <c r="E211" s="24" t="inlineStr">
        <is>
          <t>319660</t>
        </is>
      </c>
      <c r="F211" s="24" t="inlineStr">
        <is>
          <t>2022</t>
        </is>
      </c>
      <c r="G211" s="24" t="inlineStr">
        <is>
          <t>CFS</t>
        </is>
      </c>
      <c r="H211" s="24" t="inlineStr">
        <is>
          <t>CIS</t>
        </is>
      </c>
      <c r="I211" s="24" t="inlineStr">
        <is>
          <t>포괄손익계산서</t>
        </is>
      </c>
      <c r="J211" s="24" t="inlineStr">
        <is>
          <t>ifrs-full_Revenue</t>
        </is>
      </c>
      <c r="K211" s="24" t="inlineStr">
        <is>
          <t>수익(매출액)</t>
        </is>
      </c>
      <c r="L211" s="24" t="inlineStr">
        <is>
          <t>-</t>
        </is>
      </c>
      <c r="M211" s="24" t="inlineStr">
        <is>
          <t>제 4 기</t>
        </is>
      </c>
      <c r="N211" s="24" t="inlineStr">
        <is>
          <t>460909201007.0</t>
        </is>
      </c>
      <c r="O211" s="24" t="inlineStr">
        <is>
          <t>445803726054.0</t>
        </is>
      </c>
      <c r="P211" s="24" t="inlineStr">
        <is>
          <t>KRW</t>
        </is>
      </c>
      <c r="Q211" s="24" t="inlineStr">
        <is>
          <t>0</t>
        </is>
      </c>
    </row>
    <row r="212" ht="24" customHeight="1">
      <c r="A212" s="29" t="inlineStr">
        <is>
          <t>OpenDART_fnlttSinglAcntAll</t>
        </is>
      </c>
      <c r="B212" s="29" t="inlineStr">
        <is>
          <t>01365825</t>
        </is>
      </c>
      <c r="C212" s="29" t="inlineStr">
        <is>
          <t>피에스케이</t>
        </is>
      </c>
      <c r="D212" s="29" t="inlineStr">
        <is>
          <t>psk</t>
        </is>
      </c>
      <c r="E212" s="29" t="inlineStr">
        <is>
          <t>319660</t>
        </is>
      </c>
      <c r="F212" s="29" t="inlineStr">
        <is>
          <t>2022</t>
        </is>
      </c>
      <c r="G212" s="29" t="inlineStr">
        <is>
          <t>CFS</t>
        </is>
      </c>
      <c r="H212" s="29" t="inlineStr">
        <is>
          <t>CIS</t>
        </is>
      </c>
      <c r="I212" s="29" t="inlineStr">
        <is>
          <t>포괄손익계산서</t>
        </is>
      </c>
      <c r="J212" s="29" t="inlineStr">
        <is>
          <t>ifrs-full_CostOfSales</t>
        </is>
      </c>
      <c r="K212" s="29" t="inlineStr">
        <is>
          <t>매출원가</t>
        </is>
      </c>
      <c r="L212" s="29" t="inlineStr">
        <is>
          <t>-</t>
        </is>
      </c>
      <c r="M212" s="29" t="inlineStr">
        <is>
          <t>제 4 기</t>
        </is>
      </c>
      <c r="N212" s="29" t="inlineStr">
        <is>
          <t>247558039884.0</t>
        </is>
      </c>
      <c r="O212" s="29" t="inlineStr">
        <is>
          <t>244890416739.0</t>
        </is>
      </c>
      <c r="P212" s="29" t="inlineStr">
        <is>
          <t>KRW</t>
        </is>
      </c>
      <c r="Q212" s="29" t="inlineStr">
        <is>
          <t>1</t>
        </is>
      </c>
    </row>
    <row r="213" ht="24" customHeight="1">
      <c r="A213" s="24" t="inlineStr">
        <is>
          <t>OpenDART_fnlttSinglAcntAll</t>
        </is>
      </c>
      <c r="B213" s="24" t="inlineStr">
        <is>
          <t>01365825</t>
        </is>
      </c>
      <c r="C213" s="24" t="inlineStr">
        <is>
          <t>피에스케이</t>
        </is>
      </c>
      <c r="D213" s="24" t="inlineStr">
        <is>
          <t>psk</t>
        </is>
      </c>
      <c r="E213" s="24" t="inlineStr">
        <is>
          <t>319660</t>
        </is>
      </c>
      <c r="F213" s="24" t="inlineStr">
        <is>
          <t>2022</t>
        </is>
      </c>
      <c r="G213" s="24" t="inlineStr">
        <is>
          <t>CFS</t>
        </is>
      </c>
      <c r="H213" s="24" t="inlineStr">
        <is>
          <t>CIS</t>
        </is>
      </c>
      <c r="I213" s="24" t="inlineStr">
        <is>
          <t>포괄손익계산서</t>
        </is>
      </c>
      <c r="J213" s="24" t="inlineStr">
        <is>
          <t>ifrs-full_GrossProfit</t>
        </is>
      </c>
      <c r="K213" s="24" t="inlineStr">
        <is>
          <t>매출총이익</t>
        </is>
      </c>
      <c r="L213" s="24" t="inlineStr">
        <is>
          <t>-</t>
        </is>
      </c>
      <c r="M213" s="24" t="inlineStr">
        <is>
          <t>제 4 기</t>
        </is>
      </c>
      <c r="N213" s="24" t="inlineStr">
        <is>
          <t>213351161123.0</t>
        </is>
      </c>
      <c r="O213" s="24" t="inlineStr">
        <is>
          <t>200913309315.0</t>
        </is>
      </c>
      <c r="P213" s="24" t="inlineStr">
        <is>
          <t>KRW</t>
        </is>
      </c>
      <c r="Q213" s="24" t="inlineStr">
        <is>
          <t>2</t>
        </is>
      </c>
    </row>
    <row r="214" ht="24" customHeight="1">
      <c r="A214" s="29" t="inlineStr">
        <is>
          <t>OpenDART_fnlttSinglAcntAll</t>
        </is>
      </c>
      <c r="B214" s="29" t="inlineStr">
        <is>
          <t>01365825</t>
        </is>
      </c>
      <c r="C214" s="29" t="inlineStr">
        <is>
          <t>피에스케이</t>
        </is>
      </c>
      <c r="D214" s="29" t="inlineStr">
        <is>
          <t>psk</t>
        </is>
      </c>
      <c r="E214" s="29" t="inlineStr">
        <is>
          <t>319660</t>
        </is>
      </c>
      <c r="F214" s="29" t="inlineStr">
        <is>
          <t>2022</t>
        </is>
      </c>
      <c r="G214" s="29" t="inlineStr">
        <is>
          <t>CFS</t>
        </is>
      </c>
      <c r="H214" s="29" t="inlineStr">
        <is>
          <t>CIS</t>
        </is>
      </c>
      <c r="I214" s="29" t="inlineStr">
        <is>
          <t>포괄손익계산서</t>
        </is>
      </c>
      <c r="J214" s="29" t="inlineStr">
        <is>
          <t>dart_TotalSellingGeneralAdministrativeExpenses</t>
        </is>
      </c>
      <c r="K214" s="29" t="inlineStr">
        <is>
          <t>판매비와관리비</t>
        </is>
      </c>
      <c r="L214" s="29" t="inlineStr">
        <is>
          <t>-</t>
        </is>
      </c>
      <c r="M214" s="29" t="inlineStr">
        <is>
          <t>제 4 기</t>
        </is>
      </c>
      <c r="N214" s="29" t="inlineStr">
        <is>
          <t>121508162394.0</t>
        </is>
      </c>
      <c r="O214" s="29" t="inlineStr">
        <is>
          <t>106828368712.0</t>
        </is>
      </c>
      <c r="P214" s="29" t="inlineStr">
        <is>
          <t>KRW</t>
        </is>
      </c>
      <c r="Q214" s="29" t="inlineStr">
        <is>
          <t>3</t>
        </is>
      </c>
    </row>
    <row r="215" ht="24" customHeight="1">
      <c r="A215" s="24" t="inlineStr">
        <is>
          <t>OpenDART_fnlttSinglAcntAll</t>
        </is>
      </c>
      <c r="B215" s="24" t="inlineStr">
        <is>
          <t>01365825</t>
        </is>
      </c>
      <c r="C215" s="24" t="inlineStr">
        <is>
          <t>피에스케이</t>
        </is>
      </c>
      <c r="D215" s="24" t="inlineStr">
        <is>
          <t>psk</t>
        </is>
      </c>
      <c r="E215" s="24" t="inlineStr">
        <is>
          <t>319660</t>
        </is>
      </c>
      <c r="F215" s="24" t="inlineStr">
        <is>
          <t>2022</t>
        </is>
      </c>
      <c r="G215" s="24" t="inlineStr">
        <is>
          <t>CFS</t>
        </is>
      </c>
      <c r="H215" s="24" t="inlineStr">
        <is>
          <t>CIS</t>
        </is>
      </c>
      <c r="I215" s="24" t="inlineStr">
        <is>
          <t>포괄손익계산서</t>
        </is>
      </c>
      <c r="J215" s="24" t="inlineStr">
        <is>
          <t>dart_OperatingIncomeLoss</t>
        </is>
      </c>
      <c r="K215" s="24" t="inlineStr">
        <is>
          <t>영업이익(손실)</t>
        </is>
      </c>
      <c r="L215" s="24" t="inlineStr">
        <is>
          <t>-</t>
        </is>
      </c>
      <c r="M215" s="24" t="inlineStr">
        <is>
          <t>제 4 기</t>
        </is>
      </c>
      <c r="N215" s="24" t="inlineStr">
        <is>
          <t>91842998729.0</t>
        </is>
      </c>
      <c r="O215" s="24" t="inlineStr">
        <is>
          <t>94084940603.0</t>
        </is>
      </c>
      <c r="P215" s="24" t="inlineStr">
        <is>
          <t>KRW</t>
        </is>
      </c>
      <c r="Q215" s="24" t="inlineStr">
        <is>
          <t>4</t>
        </is>
      </c>
    </row>
    <row r="216" ht="24" customHeight="1">
      <c r="A216" s="29" t="inlineStr">
        <is>
          <t>OpenDART_fnlttSinglAcntAll</t>
        </is>
      </c>
      <c r="B216" s="29" t="inlineStr">
        <is>
          <t>01365825</t>
        </is>
      </c>
      <c r="C216" s="29" t="inlineStr">
        <is>
          <t>피에스케이</t>
        </is>
      </c>
      <c r="D216" s="29" t="inlineStr">
        <is>
          <t>psk</t>
        </is>
      </c>
      <c r="E216" s="29" t="inlineStr">
        <is>
          <t>319660</t>
        </is>
      </c>
      <c r="F216" s="29" t="inlineStr">
        <is>
          <t>2022</t>
        </is>
      </c>
      <c r="G216" s="29" t="inlineStr">
        <is>
          <t>CFS</t>
        </is>
      </c>
      <c r="H216" s="29" t="inlineStr">
        <is>
          <t>CIS</t>
        </is>
      </c>
      <c r="I216" s="29" t="inlineStr">
        <is>
          <t>포괄손익계산서</t>
        </is>
      </c>
      <c r="J216" s="29" t="inlineStr">
        <is>
          <t>ifrs-full_FinanceIncome</t>
        </is>
      </c>
      <c r="K216" s="29" t="inlineStr">
        <is>
          <t>금융수익</t>
        </is>
      </c>
      <c r="L216" s="29" t="inlineStr">
        <is>
          <t>-</t>
        </is>
      </c>
      <c r="M216" s="29" t="inlineStr">
        <is>
          <t>제 4 기</t>
        </is>
      </c>
      <c r="N216" s="29" t="inlineStr">
        <is>
          <t>25252164665.0</t>
        </is>
      </c>
      <c r="O216" s="29" t="inlineStr">
        <is>
          <t>9782264112.0</t>
        </is>
      </c>
      <c r="P216" s="29" t="inlineStr">
        <is>
          <t>KRW</t>
        </is>
      </c>
      <c r="Q216" s="29" t="inlineStr">
        <is>
          <t>5</t>
        </is>
      </c>
    </row>
    <row r="217" ht="24" customHeight="1">
      <c r="A217" s="24" t="inlineStr">
        <is>
          <t>OpenDART_fnlttSinglAcntAll</t>
        </is>
      </c>
      <c r="B217" s="24" t="inlineStr">
        <is>
          <t>01365825</t>
        </is>
      </c>
      <c r="C217" s="24" t="inlineStr">
        <is>
          <t>피에스케이</t>
        </is>
      </c>
      <c r="D217" s="24" t="inlineStr">
        <is>
          <t>psk</t>
        </is>
      </c>
      <c r="E217" s="24" t="inlineStr">
        <is>
          <t>319660</t>
        </is>
      </c>
      <c r="F217" s="24" t="inlineStr">
        <is>
          <t>2022</t>
        </is>
      </c>
      <c r="G217" s="24" t="inlineStr">
        <is>
          <t>CFS</t>
        </is>
      </c>
      <c r="H217" s="24" t="inlineStr">
        <is>
          <t>CIS</t>
        </is>
      </c>
      <c r="I217" s="24" t="inlineStr">
        <is>
          <t>포괄손익계산서</t>
        </is>
      </c>
      <c r="J217" s="24" t="inlineStr">
        <is>
          <t>ifrs-full_FinanceCosts</t>
        </is>
      </c>
      <c r="K217" s="24" t="inlineStr">
        <is>
          <t>금융원가</t>
        </is>
      </c>
      <c r="L217" s="24" t="inlineStr">
        <is>
          <t>-</t>
        </is>
      </c>
      <c r="M217" s="24" t="inlineStr">
        <is>
          <t>제 4 기</t>
        </is>
      </c>
      <c r="N217" s="24" t="inlineStr">
        <is>
          <t>18324428228.0</t>
        </is>
      </c>
      <c r="O217" s="24" t="inlineStr">
        <is>
          <t>4838718244.0</t>
        </is>
      </c>
      <c r="P217" s="24" t="inlineStr">
        <is>
          <t>KRW</t>
        </is>
      </c>
      <c r="Q217" s="24" t="inlineStr">
        <is>
          <t>6</t>
        </is>
      </c>
    </row>
    <row r="218" ht="24" customHeight="1">
      <c r="A218" s="29" t="inlineStr">
        <is>
          <t>OpenDART_fnlttSinglAcntAll</t>
        </is>
      </c>
      <c r="B218" s="29" t="inlineStr">
        <is>
          <t>01365825</t>
        </is>
      </c>
      <c r="C218" s="29" t="inlineStr">
        <is>
          <t>피에스케이</t>
        </is>
      </c>
      <c r="D218" s="29" t="inlineStr">
        <is>
          <t>psk</t>
        </is>
      </c>
      <c r="E218" s="29" t="inlineStr">
        <is>
          <t>319660</t>
        </is>
      </c>
      <c r="F218" s="29" t="inlineStr">
        <is>
          <t>2022</t>
        </is>
      </c>
      <c r="G218" s="29" t="inlineStr">
        <is>
          <t>CFS</t>
        </is>
      </c>
      <c r="H218" s="29" t="inlineStr">
        <is>
          <t>CIS</t>
        </is>
      </c>
      <c r="I218" s="29" t="inlineStr">
        <is>
          <t>포괄손익계산서</t>
        </is>
      </c>
      <c r="J218" s="29" t="inlineStr">
        <is>
          <t>dart_OtherGains</t>
        </is>
      </c>
      <c r="K218" s="29" t="inlineStr">
        <is>
          <t>기타이익</t>
        </is>
      </c>
      <c r="L218" s="29" t="inlineStr">
        <is>
          <t>-</t>
        </is>
      </c>
      <c r="M218" s="29" t="inlineStr">
        <is>
          <t>제 4 기</t>
        </is>
      </c>
      <c r="N218" s="29" t="inlineStr">
        <is>
          <t>1595443971.0</t>
        </is>
      </c>
      <c r="O218" s="29" t="inlineStr">
        <is>
          <t>1922760039.0</t>
        </is>
      </c>
      <c r="P218" s="29" t="inlineStr">
        <is>
          <t>KRW</t>
        </is>
      </c>
      <c r="Q218" s="29" t="inlineStr">
        <is>
          <t>7</t>
        </is>
      </c>
    </row>
    <row r="219" ht="24" customHeight="1">
      <c r="A219" s="24" t="inlineStr">
        <is>
          <t>OpenDART_fnlttSinglAcntAll</t>
        </is>
      </c>
      <c r="B219" s="24" t="inlineStr">
        <is>
          <t>01365825</t>
        </is>
      </c>
      <c r="C219" s="24" t="inlineStr">
        <is>
          <t>피에스케이</t>
        </is>
      </c>
      <c r="D219" s="24" t="inlineStr">
        <is>
          <t>psk</t>
        </is>
      </c>
      <c r="E219" s="24" t="inlineStr">
        <is>
          <t>319660</t>
        </is>
      </c>
      <c r="F219" s="24" t="inlineStr">
        <is>
          <t>2022</t>
        </is>
      </c>
      <c r="G219" s="24" t="inlineStr">
        <is>
          <t>CFS</t>
        </is>
      </c>
      <c r="H219" s="24" t="inlineStr">
        <is>
          <t>CIS</t>
        </is>
      </c>
      <c r="I219" s="24" t="inlineStr">
        <is>
          <t>포괄손익계산서</t>
        </is>
      </c>
      <c r="J219" s="24" t="inlineStr">
        <is>
          <t>dart_OtherLosses</t>
        </is>
      </c>
      <c r="K219" s="24" t="inlineStr">
        <is>
          <t>기타손실</t>
        </is>
      </c>
      <c r="L219" s="24" t="inlineStr">
        <is>
          <t>-</t>
        </is>
      </c>
      <c r="M219" s="24" t="inlineStr">
        <is>
          <t>제 4 기</t>
        </is>
      </c>
      <c r="N219" s="24" t="inlineStr">
        <is>
          <t>345251694.0</t>
        </is>
      </c>
      <c r="O219" s="24" t="inlineStr">
        <is>
          <t>503522967.0</t>
        </is>
      </c>
      <c r="P219" s="24" t="inlineStr">
        <is>
          <t>KRW</t>
        </is>
      </c>
      <c r="Q219" s="24" t="inlineStr">
        <is>
          <t>8</t>
        </is>
      </c>
    </row>
    <row r="220" ht="24" customHeight="1">
      <c r="A220" s="29" t="inlineStr">
        <is>
          <t>OpenDART_fnlttSinglAcntAll</t>
        </is>
      </c>
      <c r="B220" s="29" t="inlineStr">
        <is>
          <t>01365825</t>
        </is>
      </c>
      <c r="C220" s="29" t="inlineStr">
        <is>
          <t>피에스케이</t>
        </is>
      </c>
      <c r="D220" s="29" t="inlineStr">
        <is>
          <t>psk</t>
        </is>
      </c>
      <c r="E220" s="29" t="inlineStr">
        <is>
          <t>319660</t>
        </is>
      </c>
      <c r="F220" s="29" t="inlineStr">
        <is>
          <t>2022</t>
        </is>
      </c>
      <c r="G220" s="29" t="inlineStr">
        <is>
          <t>CFS</t>
        </is>
      </c>
      <c r="H220" s="29" t="inlineStr">
        <is>
          <t>CIS</t>
        </is>
      </c>
      <c r="I220" s="29" t="inlineStr">
        <is>
          <t>포괄손익계산서</t>
        </is>
      </c>
      <c r="J220" s="29" t="inlineStr">
        <is>
          <t>ifrs-full_ProfitLossBeforeTax</t>
        </is>
      </c>
      <c r="K220" s="29" t="inlineStr">
        <is>
          <t>법인세비용차감전순이익(손실)</t>
        </is>
      </c>
      <c r="L220" s="29" t="inlineStr">
        <is>
          <t>-</t>
        </is>
      </c>
      <c r="M220" s="29" t="inlineStr">
        <is>
          <t>제 4 기</t>
        </is>
      </c>
      <c r="N220" s="29" t="inlineStr">
        <is>
          <t>100020927443.0</t>
        </is>
      </c>
      <c r="O220" s="29" t="inlineStr">
        <is>
          <t>100447723543.0</t>
        </is>
      </c>
      <c r="P220" s="29" t="inlineStr">
        <is>
          <t>KRW</t>
        </is>
      </c>
      <c r="Q220" s="29" t="inlineStr">
        <is>
          <t>9</t>
        </is>
      </c>
    </row>
    <row r="221" ht="24" customHeight="1">
      <c r="A221" s="24" t="inlineStr">
        <is>
          <t>OpenDART_fnlttSinglAcntAll</t>
        </is>
      </c>
      <c r="B221" s="24" t="inlineStr">
        <is>
          <t>01365825</t>
        </is>
      </c>
      <c r="C221" s="24" t="inlineStr">
        <is>
          <t>피에스케이</t>
        </is>
      </c>
      <c r="D221" s="24" t="inlineStr">
        <is>
          <t>psk</t>
        </is>
      </c>
      <c r="E221" s="24" t="inlineStr">
        <is>
          <t>319660</t>
        </is>
      </c>
      <c r="F221" s="24" t="inlineStr">
        <is>
          <t>2022</t>
        </is>
      </c>
      <c r="G221" s="24" t="inlineStr">
        <is>
          <t>CFS</t>
        </is>
      </c>
      <c r="H221" s="24" t="inlineStr">
        <is>
          <t>CIS</t>
        </is>
      </c>
      <c r="I221" s="24" t="inlineStr">
        <is>
          <t>포괄손익계산서</t>
        </is>
      </c>
      <c r="J221" s="24" t="inlineStr">
        <is>
          <t>ifrs-full_IncomeTaxExpenseContinuingOperations</t>
        </is>
      </c>
      <c r="K221" s="24" t="inlineStr">
        <is>
          <t>법인세비용</t>
        </is>
      </c>
      <c r="L221" s="24" t="inlineStr">
        <is>
          <t>-</t>
        </is>
      </c>
      <c r="M221" s="24" t="inlineStr">
        <is>
          <t>제 4 기</t>
        </is>
      </c>
      <c r="N221" s="24" t="inlineStr">
        <is>
          <t>22577672912.0</t>
        </is>
      </c>
      <c r="O221" s="24" t="inlineStr">
        <is>
          <t>23719312022.0</t>
        </is>
      </c>
      <c r="P221" s="24" t="inlineStr">
        <is>
          <t>KRW</t>
        </is>
      </c>
      <c r="Q221" s="24" t="inlineStr">
        <is>
          <t>10</t>
        </is>
      </c>
    </row>
    <row r="222" ht="24" customHeight="1">
      <c r="A222" s="29" t="inlineStr">
        <is>
          <t>OpenDART_fnlttSinglAcntAll</t>
        </is>
      </c>
      <c r="B222" s="29" t="inlineStr">
        <is>
          <t>01365825</t>
        </is>
      </c>
      <c r="C222" s="29" t="inlineStr">
        <is>
          <t>피에스케이</t>
        </is>
      </c>
      <c r="D222" s="29" t="inlineStr">
        <is>
          <t>psk</t>
        </is>
      </c>
      <c r="E222" s="29" t="inlineStr">
        <is>
          <t>319660</t>
        </is>
      </c>
      <c r="F222" s="29" t="inlineStr">
        <is>
          <t>2022</t>
        </is>
      </c>
      <c r="G222" s="29" t="inlineStr">
        <is>
          <t>CFS</t>
        </is>
      </c>
      <c r="H222" s="29" t="inlineStr">
        <is>
          <t>CIS</t>
        </is>
      </c>
      <c r="I222" s="29" t="inlineStr">
        <is>
          <t>포괄손익계산서</t>
        </is>
      </c>
      <c r="J222" s="29" t="inlineStr">
        <is>
          <t>ifrs-full_ProfitLoss</t>
        </is>
      </c>
      <c r="K222" s="29" t="inlineStr">
        <is>
          <t>당기순이익(손실)</t>
        </is>
      </c>
      <c r="L222" s="29" t="inlineStr">
        <is>
          <t>-</t>
        </is>
      </c>
      <c r="M222" s="29" t="inlineStr">
        <is>
          <t>제 4 기</t>
        </is>
      </c>
      <c r="N222" s="29" t="inlineStr">
        <is>
          <t>77443254531.0</t>
        </is>
      </c>
      <c r="O222" s="29" t="inlineStr">
        <is>
          <t>76728411521.0</t>
        </is>
      </c>
      <c r="P222" s="29" t="inlineStr">
        <is>
          <t>KRW</t>
        </is>
      </c>
      <c r="Q222" s="29" t="inlineStr">
        <is>
          <t>11</t>
        </is>
      </c>
    </row>
    <row r="223" ht="24" customHeight="1">
      <c r="A223" s="24" t="inlineStr">
        <is>
          <t>OpenDART_fnlttSinglAcntAll</t>
        </is>
      </c>
      <c r="B223" s="24" t="inlineStr">
        <is>
          <t>01365825</t>
        </is>
      </c>
      <c r="C223" s="24" t="inlineStr">
        <is>
          <t>피에스케이</t>
        </is>
      </c>
      <c r="D223" s="24" t="inlineStr">
        <is>
          <t>psk</t>
        </is>
      </c>
      <c r="E223" s="24" t="inlineStr">
        <is>
          <t>319660</t>
        </is>
      </c>
      <c r="F223" s="24" t="inlineStr">
        <is>
          <t>2022</t>
        </is>
      </c>
      <c r="G223" s="24" t="inlineStr">
        <is>
          <t>CFS</t>
        </is>
      </c>
      <c r="H223" s="24" t="inlineStr">
        <is>
          <t>CIS</t>
        </is>
      </c>
      <c r="I223" s="24" t="inlineStr">
        <is>
          <t>포괄손익계산서</t>
        </is>
      </c>
      <c r="J223" s="24" t="inlineStr">
        <is>
          <t>ifrs-full_OtherComprehensiveIncome</t>
        </is>
      </c>
      <c r="K223" s="24" t="inlineStr">
        <is>
          <t>기타포괄손익</t>
        </is>
      </c>
      <c r="L223" s="24" t="inlineStr">
        <is>
          <t>-</t>
        </is>
      </c>
      <c r="M223" s="24" t="inlineStr">
        <is>
          <t>제 4 기</t>
        </is>
      </c>
      <c r="N223" s="24" t="inlineStr">
        <is>
          <t>1450768043.0</t>
        </is>
      </c>
      <c r="O223" s="24" t="inlineStr">
        <is>
          <t>1346249652.0</t>
        </is>
      </c>
      <c r="P223" s="24" t="inlineStr">
        <is>
          <t>KRW</t>
        </is>
      </c>
      <c r="Q223" s="24" t="inlineStr">
        <is>
          <t>12</t>
        </is>
      </c>
    </row>
    <row r="224" ht="24" customHeight="1">
      <c r="A224" s="29" t="inlineStr">
        <is>
          <t>OpenDART_fnlttSinglAcntAll</t>
        </is>
      </c>
      <c r="B224" s="29" t="inlineStr">
        <is>
          <t>01365825</t>
        </is>
      </c>
      <c r="C224" s="29" t="inlineStr">
        <is>
          <t>피에스케이</t>
        </is>
      </c>
      <c r="D224" s="29" t="inlineStr">
        <is>
          <t>psk</t>
        </is>
      </c>
      <c r="E224" s="29" t="inlineStr">
        <is>
          <t>319660</t>
        </is>
      </c>
      <c r="F224" s="29" t="inlineStr">
        <is>
          <t>2022</t>
        </is>
      </c>
      <c r="G224" s="29" t="inlineStr">
        <is>
          <t>CFS</t>
        </is>
      </c>
      <c r="H224" s="29" t="inlineStr">
        <is>
          <t>CIS</t>
        </is>
      </c>
      <c r="I224" s="29" t="inlineStr">
        <is>
          <t>포괄손익계산서</t>
        </is>
      </c>
      <c r="J224" s="29" t="inlineStr">
        <is>
          <t>dart_OtherComprehensiveIncomeThatWillBeReclassifiedToProfitOrLossNetOfTax</t>
        </is>
      </c>
      <c r="K224" s="29" t="inlineStr">
        <is>
          <t>당기손익으로 재분류될 수 있는 항목(세후기타포괄손익)</t>
        </is>
      </c>
      <c r="L224" s="29" t="inlineStr">
        <is>
          <t>-</t>
        </is>
      </c>
      <c r="M224" s="29" t="inlineStr">
        <is>
          <t>제 4 기</t>
        </is>
      </c>
      <c r="N224" s="29" t="inlineStr">
        <is>
          <t>-431127416.0</t>
        </is>
      </c>
      <c r="O224" s="29" t="inlineStr">
        <is>
          <t>2053715020.0</t>
        </is>
      </c>
      <c r="P224" s="29" t="inlineStr">
        <is>
          <t>KRW</t>
        </is>
      </c>
      <c r="Q224" s="29" t="inlineStr">
        <is>
          <t>13</t>
        </is>
      </c>
    </row>
    <row r="225" ht="24" customHeight="1">
      <c r="A225" s="24" t="inlineStr">
        <is>
          <t>OpenDART_fnlttSinglAcntAll</t>
        </is>
      </c>
      <c r="B225" s="24" t="inlineStr">
        <is>
          <t>01365825</t>
        </is>
      </c>
      <c r="C225" s="24" t="inlineStr">
        <is>
          <t>피에스케이</t>
        </is>
      </c>
      <c r="D225" s="24" t="inlineStr">
        <is>
          <t>psk</t>
        </is>
      </c>
      <c r="E225" s="24" t="inlineStr">
        <is>
          <t>319660</t>
        </is>
      </c>
      <c r="F225" s="24" t="inlineStr">
        <is>
          <t>2022</t>
        </is>
      </c>
      <c r="G225" s="24" t="inlineStr">
        <is>
          <t>CFS</t>
        </is>
      </c>
      <c r="H225" s="24" t="inlineStr">
        <is>
          <t>CIS</t>
        </is>
      </c>
      <c r="I225" s="24" t="inlineStr">
        <is>
          <t>포괄손익계산서</t>
        </is>
      </c>
      <c r="J225" s="24" t="inlineStr">
        <is>
          <t>ifrs-full_GainsLossesOnExchangeDifferencesOnTranslationNetOfTax</t>
        </is>
      </c>
      <c r="K225" s="24" t="inlineStr">
        <is>
          <t>해외사업장환산외환차이(세후기타포괄손익)</t>
        </is>
      </c>
      <c r="L225" s="24" t="inlineStr">
        <is>
          <t>-</t>
        </is>
      </c>
      <c r="M225" s="24" t="inlineStr">
        <is>
          <t>제 4 기</t>
        </is>
      </c>
      <c r="N225" s="24" t="inlineStr">
        <is>
          <t>-431127416.0</t>
        </is>
      </c>
      <c r="O225" s="24" t="inlineStr">
        <is>
          <t>2053715020.0</t>
        </is>
      </c>
      <c r="P225" s="24" t="inlineStr">
        <is>
          <t>KRW</t>
        </is>
      </c>
      <c r="Q225" s="24" t="inlineStr">
        <is>
          <t>14</t>
        </is>
      </c>
    </row>
    <row r="226" ht="24" customHeight="1">
      <c r="A226" s="29" t="inlineStr">
        <is>
          <t>OpenDART_fnlttSinglAcntAll</t>
        </is>
      </c>
      <c r="B226" s="29" t="inlineStr">
        <is>
          <t>01365825</t>
        </is>
      </c>
      <c r="C226" s="29" t="inlineStr">
        <is>
          <t>피에스케이</t>
        </is>
      </c>
      <c r="D226" s="29" t="inlineStr">
        <is>
          <t>psk</t>
        </is>
      </c>
      <c r="E226" s="29" t="inlineStr">
        <is>
          <t>319660</t>
        </is>
      </c>
      <c r="F226" s="29" t="inlineStr">
        <is>
          <t>2022</t>
        </is>
      </c>
      <c r="G226" s="29" t="inlineStr">
        <is>
          <t>CFS</t>
        </is>
      </c>
      <c r="H226" s="29" t="inlineStr">
        <is>
          <t>CIS</t>
        </is>
      </c>
      <c r="I226" s="29" t="inlineStr">
        <is>
          <t>포괄손익계산서</t>
        </is>
      </c>
      <c r="J226" s="29" t="inlineStr">
        <is>
          <t>dart_OtherComprehensiveIncomeThatWillNotBeReclassifiedToProfitOrLossNetOfTax</t>
        </is>
      </c>
      <c r="K226" s="29" t="inlineStr">
        <is>
          <t>당기손익으로 재분류되지 않는항목(세후기타포괄손익)</t>
        </is>
      </c>
      <c r="L226" s="29" t="inlineStr">
        <is>
          <t>-</t>
        </is>
      </c>
      <c r="M226" s="29" t="inlineStr">
        <is>
          <t>제 4 기</t>
        </is>
      </c>
      <c r="N226" s="29" t="inlineStr">
        <is>
          <t>1881895459.0</t>
        </is>
      </c>
      <c r="O226" s="29" t="inlineStr">
        <is>
          <t>-707465368.0</t>
        </is>
      </c>
      <c r="P226" s="29" t="inlineStr">
        <is>
          <t>KRW</t>
        </is>
      </c>
      <c r="Q226" s="29" t="inlineStr">
        <is>
          <t>15</t>
        </is>
      </c>
    </row>
    <row r="227" ht="24" customHeight="1">
      <c r="A227" s="24" t="inlineStr">
        <is>
          <t>OpenDART_fnlttSinglAcntAll</t>
        </is>
      </c>
      <c r="B227" s="24" t="inlineStr">
        <is>
          <t>01365825</t>
        </is>
      </c>
      <c r="C227" s="24" t="inlineStr">
        <is>
          <t>피에스케이</t>
        </is>
      </c>
      <c r="D227" s="24" t="inlineStr">
        <is>
          <t>psk</t>
        </is>
      </c>
      <c r="E227" s="24" t="inlineStr">
        <is>
          <t>319660</t>
        </is>
      </c>
      <c r="F227" s="24" t="inlineStr">
        <is>
          <t>2022</t>
        </is>
      </c>
      <c r="G227" s="24" t="inlineStr">
        <is>
          <t>CFS</t>
        </is>
      </c>
      <c r="H227" s="24" t="inlineStr">
        <is>
          <t>CIS</t>
        </is>
      </c>
      <c r="I227" s="24" t="inlineStr">
        <is>
          <t>포괄손익계산서</t>
        </is>
      </c>
      <c r="J227" s="24" t="inlineStr">
        <is>
          <t>dart_OtherComprehensiveIncomeNetOfTaxGainsLossesOnRemeasurementsOfDefinedBenefitPlans</t>
        </is>
      </c>
      <c r="K227" s="24" t="inlineStr">
        <is>
          <t>확정급여제도의 재측정손익(세후기타포괄손익)</t>
        </is>
      </c>
      <c r="L227" s="24" t="inlineStr">
        <is>
          <t>-</t>
        </is>
      </c>
      <c r="M227" s="24" t="inlineStr">
        <is>
          <t>제 4 기</t>
        </is>
      </c>
      <c r="N227" s="24" t="inlineStr">
        <is>
          <t>1881895459.0</t>
        </is>
      </c>
      <c r="O227" s="24" t="inlineStr">
        <is>
          <t>-707465368.0</t>
        </is>
      </c>
      <c r="P227" s="24" t="inlineStr">
        <is>
          <t>KRW</t>
        </is>
      </c>
      <c r="Q227" s="24" t="inlineStr">
        <is>
          <t>16</t>
        </is>
      </c>
    </row>
    <row r="228" ht="24" customHeight="1">
      <c r="A228" s="29" t="inlineStr">
        <is>
          <t>OpenDART_fnlttSinglAcntAll</t>
        </is>
      </c>
      <c r="B228" s="29" t="inlineStr">
        <is>
          <t>01365825</t>
        </is>
      </c>
      <c r="C228" s="29" t="inlineStr">
        <is>
          <t>피에스케이</t>
        </is>
      </c>
      <c r="D228" s="29" t="inlineStr">
        <is>
          <t>psk</t>
        </is>
      </c>
      <c r="E228" s="29" t="inlineStr">
        <is>
          <t>319660</t>
        </is>
      </c>
      <c r="F228" s="29" t="inlineStr">
        <is>
          <t>2022</t>
        </is>
      </c>
      <c r="G228" s="29" t="inlineStr">
        <is>
          <t>CFS</t>
        </is>
      </c>
      <c r="H228" s="29" t="inlineStr">
        <is>
          <t>CIS</t>
        </is>
      </c>
      <c r="I228" s="29" t="inlineStr">
        <is>
          <t>포괄손익계산서</t>
        </is>
      </c>
      <c r="J228" s="29" t="inlineStr">
        <is>
          <t>ifrs-full_ComprehensiveIncome</t>
        </is>
      </c>
      <c r="K228" s="29" t="inlineStr">
        <is>
          <t>총포괄손익</t>
        </is>
      </c>
      <c r="L228" s="29" t="inlineStr">
        <is>
          <t>-</t>
        </is>
      </c>
      <c r="M228" s="29" t="inlineStr">
        <is>
          <t>제 4 기</t>
        </is>
      </c>
      <c r="N228" s="29" t="inlineStr">
        <is>
          <t>78894022574.0</t>
        </is>
      </c>
      <c r="O228" s="29" t="inlineStr">
        <is>
          <t>78074661173.0</t>
        </is>
      </c>
      <c r="P228" s="29" t="inlineStr">
        <is>
          <t>KRW</t>
        </is>
      </c>
      <c r="Q228" s="29" t="inlineStr">
        <is>
          <t>17</t>
        </is>
      </c>
    </row>
    <row r="229" ht="24" customHeight="1">
      <c r="A229" s="24" t="inlineStr">
        <is>
          <t>OpenDART_fnlttSinglAcntAll</t>
        </is>
      </c>
      <c r="B229" s="24" t="inlineStr">
        <is>
          <t>01365825</t>
        </is>
      </c>
      <c r="C229" s="24" t="inlineStr">
        <is>
          <t>피에스케이</t>
        </is>
      </c>
      <c r="D229" s="24" t="inlineStr">
        <is>
          <t>psk</t>
        </is>
      </c>
      <c r="E229" s="24" t="inlineStr">
        <is>
          <t>319660</t>
        </is>
      </c>
      <c r="F229" s="24" t="inlineStr">
        <is>
          <t>2022</t>
        </is>
      </c>
      <c r="G229" s="24" t="inlineStr">
        <is>
          <t>CFS</t>
        </is>
      </c>
      <c r="H229" s="24" t="inlineStr">
        <is>
          <t>CIS</t>
        </is>
      </c>
      <c r="I229" s="24" t="inlineStr">
        <is>
          <t>포괄손익계산서</t>
        </is>
      </c>
      <c r="J229" s="24" t="inlineStr">
        <is>
          <t>ifrs-full_BasicEarningsLossPerShare</t>
        </is>
      </c>
      <c r="K229" s="24" t="inlineStr">
        <is>
          <t>기본주당이익(손실)</t>
        </is>
      </c>
      <c r="L229" s="24" t="inlineStr">
        <is>
          <t>-</t>
        </is>
      </c>
      <c r="M229" s="24" t="inlineStr">
        <is>
          <t>제 4 기</t>
        </is>
      </c>
      <c r="N229" s="24" t="inlineStr">
        <is>
          <t>5119.0</t>
        </is>
      </c>
      <c r="O229" s="24" t="inlineStr">
        <is>
          <t>5229.0</t>
        </is>
      </c>
      <c r="P229" s="24" t="inlineStr">
        <is>
          <t>KRW</t>
        </is>
      </c>
      <c r="Q229" s="24" t="inlineStr">
        <is>
          <t>19</t>
        </is>
      </c>
    </row>
    <row r="230" ht="24" customHeight="1">
      <c r="A230" s="29" t="inlineStr">
        <is>
          <t>OpenDART_fnlttSinglAcntAll</t>
        </is>
      </c>
      <c r="B230" s="29" t="inlineStr">
        <is>
          <t>01365825</t>
        </is>
      </c>
      <c r="C230" s="29" t="inlineStr">
        <is>
          <t>피에스케이</t>
        </is>
      </c>
      <c r="D230" s="29" t="inlineStr">
        <is>
          <t>psk</t>
        </is>
      </c>
      <c r="E230" s="29" t="inlineStr">
        <is>
          <t>319660</t>
        </is>
      </c>
      <c r="F230" s="29" t="inlineStr">
        <is>
          <t>2022</t>
        </is>
      </c>
      <c r="G230" s="29" t="inlineStr">
        <is>
          <t>CFS</t>
        </is>
      </c>
      <c r="H230" s="29" t="inlineStr">
        <is>
          <t>CIS</t>
        </is>
      </c>
      <c r="I230" s="29" t="inlineStr">
        <is>
          <t>포괄손익계산서</t>
        </is>
      </c>
      <c r="J230" s="29" t="inlineStr">
        <is>
          <t>ifrs-full_DilutedEarningsLossPerShare</t>
        </is>
      </c>
      <c r="K230" s="29" t="inlineStr">
        <is>
          <t>희석주당이익(손실)</t>
        </is>
      </c>
      <c r="L230" s="29" t="inlineStr">
        <is>
          <t>-</t>
        </is>
      </c>
      <c r="M230" s="29" t="inlineStr">
        <is>
          <t>제 4 기</t>
        </is>
      </c>
      <c r="N230" s="29" t="inlineStr">
        <is>
          <t>5119.0</t>
        </is>
      </c>
      <c r="O230" s="29" t="inlineStr">
        <is>
          <t>5225.0</t>
        </is>
      </c>
      <c r="P230" s="29" t="inlineStr">
        <is>
          <t>KRW</t>
        </is>
      </c>
      <c r="Q230" s="29" t="inlineStr">
        <is>
          <t>20</t>
        </is>
      </c>
    </row>
    <row r="231" ht="24" customHeight="1">
      <c r="A231" s="24" t="inlineStr">
        <is>
          <t>OpenDART_fnlttSinglAcntAll</t>
        </is>
      </c>
      <c r="B231" s="24" t="inlineStr">
        <is>
          <t>01365825</t>
        </is>
      </c>
      <c r="C231" s="24" t="inlineStr">
        <is>
          <t>피에스케이</t>
        </is>
      </c>
      <c r="D231" s="24" t="inlineStr">
        <is>
          <t>psk</t>
        </is>
      </c>
      <c r="E231" s="24" t="inlineStr">
        <is>
          <t>319660</t>
        </is>
      </c>
      <c r="F231" s="24" t="inlineStr">
        <is>
          <t>2022</t>
        </is>
      </c>
      <c r="G231" s="24" t="inlineStr">
        <is>
          <t>CFS</t>
        </is>
      </c>
      <c r="H231" s="24" t="inlineStr">
        <is>
          <t>CF</t>
        </is>
      </c>
      <c r="I231" s="24" t="inlineStr">
        <is>
          <t>현금흐름표</t>
        </is>
      </c>
      <c r="J231" s="24" t="inlineStr">
        <is>
          <t>ifrs-full_CashFlowsFromUsedInOperatingActivities</t>
        </is>
      </c>
      <c r="K231" s="24" t="inlineStr">
        <is>
          <t>영업활동현금흐름</t>
        </is>
      </c>
      <c r="L231" s="24" t="inlineStr">
        <is>
          <t>-</t>
        </is>
      </c>
      <c r="M231" s="24" t="inlineStr">
        <is>
          <t>제 4 기</t>
        </is>
      </c>
      <c r="N231" s="24" t="inlineStr">
        <is>
          <t>46284494056.0</t>
        </is>
      </c>
      <c r="O231" s="24" t="inlineStr">
        <is>
          <t>114603470770.0</t>
        </is>
      </c>
      <c r="P231" s="24" t="inlineStr">
        <is>
          <t>KRW</t>
        </is>
      </c>
      <c r="Q231" s="24" t="inlineStr">
        <is>
          <t>0</t>
        </is>
      </c>
    </row>
    <row r="232" ht="24" customHeight="1">
      <c r="A232" s="29" t="inlineStr">
        <is>
          <t>OpenDART_fnlttSinglAcntAll</t>
        </is>
      </c>
      <c r="B232" s="29" t="inlineStr">
        <is>
          <t>01365825</t>
        </is>
      </c>
      <c r="C232" s="29" t="inlineStr">
        <is>
          <t>피에스케이</t>
        </is>
      </c>
      <c r="D232" s="29" t="inlineStr">
        <is>
          <t>psk</t>
        </is>
      </c>
      <c r="E232" s="29" t="inlineStr">
        <is>
          <t>319660</t>
        </is>
      </c>
      <c r="F232" s="29" t="inlineStr">
        <is>
          <t>2022</t>
        </is>
      </c>
      <c r="G232" s="29" t="inlineStr">
        <is>
          <t>CFS</t>
        </is>
      </c>
      <c r="H232" s="29" t="inlineStr">
        <is>
          <t>CF</t>
        </is>
      </c>
      <c r="I232" s="29" t="inlineStr">
        <is>
          <t>현금흐름표</t>
        </is>
      </c>
      <c r="J232" s="29" t="inlineStr">
        <is>
          <t>-표준계정코드 미사용-</t>
        </is>
      </c>
      <c r="K232" s="29" t="inlineStr">
        <is>
          <t>영업활동으로 창출된 현금</t>
        </is>
      </c>
      <c r="L232" s="29" t="inlineStr">
        <is>
          <t>-</t>
        </is>
      </c>
      <c r="M232" s="29" t="inlineStr">
        <is>
          <t>제 4 기</t>
        </is>
      </c>
      <c r="N232" s="29" t="inlineStr">
        <is>
          <t>80498090416.0</t>
        </is>
      </c>
      <c r="O232" s="29" t="inlineStr">
        <is>
          <t>120559374163.0</t>
        </is>
      </c>
      <c r="P232" s="29" t="inlineStr">
        <is>
          <t>KRW</t>
        </is>
      </c>
      <c r="Q232" s="29" t="inlineStr">
        <is>
          <t>1</t>
        </is>
      </c>
    </row>
    <row r="233" ht="24" customHeight="1">
      <c r="A233" s="24" t="inlineStr">
        <is>
          <t>OpenDART_fnlttSinglAcntAll</t>
        </is>
      </c>
      <c r="B233" s="24" t="inlineStr">
        <is>
          <t>01365825</t>
        </is>
      </c>
      <c r="C233" s="24" t="inlineStr">
        <is>
          <t>피에스케이</t>
        </is>
      </c>
      <c r="D233" s="24" t="inlineStr">
        <is>
          <t>psk</t>
        </is>
      </c>
      <c r="E233" s="24" t="inlineStr">
        <is>
          <t>319660</t>
        </is>
      </c>
      <c r="F233" s="24" t="inlineStr">
        <is>
          <t>2022</t>
        </is>
      </c>
      <c r="G233" s="24" t="inlineStr">
        <is>
          <t>CFS</t>
        </is>
      </c>
      <c r="H233" s="24" t="inlineStr">
        <is>
          <t>CF</t>
        </is>
      </c>
      <c r="I233" s="24" t="inlineStr">
        <is>
          <t>현금흐름표</t>
        </is>
      </c>
      <c r="J233" s="24" t="inlineStr">
        <is>
          <t>ifrs-full_InterestReceivedClassifiedAsOperatingActivities</t>
        </is>
      </c>
      <c r="K233" s="24" t="inlineStr">
        <is>
          <t>이자수취(영업)</t>
        </is>
      </c>
      <c r="L233" s="24" t="inlineStr">
        <is>
          <t>-</t>
        </is>
      </c>
      <c r="M233" s="24" t="inlineStr">
        <is>
          <t>제 4 기</t>
        </is>
      </c>
      <c r="N233" s="24" t="inlineStr">
        <is>
          <t>3535890117.0</t>
        </is>
      </c>
      <c r="O233" s="24" t="inlineStr">
        <is>
          <t>1982089532.0</t>
        </is>
      </c>
      <c r="P233" s="24" t="inlineStr">
        <is>
          <t>KRW</t>
        </is>
      </c>
      <c r="Q233" s="24" t="inlineStr">
        <is>
          <t>2</t>
        </is>
      </c>
    </row>
    <row r="234" ht="24" customHeight="1">
      <c r="A234" s="29" t="inlineStr">
        <is>
          <t>OpenDART_fnlttSinglAcntAll</t>
        </is>
      </c>
      <c r="B234" s="29" t="inlineStr">
        <is>
          <t>01365825</t>
        </is>
      </c>
      <c r="C234" s="29" t="inlineStr">
        <is>
          <t>피에스케이</t>
        </is>
      </c>
      <c r="D234" s="29" t="inlineStr">
        <is>
          <t>psk</t>
        </is>
      </c>
      <c r="E234" s="29" t="inlineStr">
        <is>
          <t>319660</t>
        </is>
      </c>
      <c r="F234" s="29" t="inlineStr">
        <is>
          <t>2022</t>
        </is>
      </c>
      <c r="G234" s="29" t="inlineStr">
        <is>
          <t>CFS</t>
        </is>
      </c>
      <c r="H234" s="29" t="inlineStr">
        <is>
          <t>CF</t>
        </is>
      </c>
      <c r="I234" s="29" t="inlineStr">
        <is>
          <t>현금흐름표</t>
        </is>
      </c>
      <c r="J234" s="29" t="inlineStr">
        <is>
          <t>ifrs-full_InterestPaidClassifiedAsOperatingActivities</t>
        </is>
      </c>
      <c r="K234" s="29" t="inlineStr">
        <is>
          <t>이자지급(영업)</t>
        </is>
      </c>
      <c r="L234" s="29" t="inlineStr">
        <is>
          <t>-</t>
        </is>
      </c>
      <c r="M234" s="29" t="inlineStr">
        <is>
          <t>제 4 기</t>
        </is>
      </c>
      <c r="N234" s="29" t="inlineStr">
        <is>
          <t>483855363.0</t>
        </is>
      </c>
      <c r="O234" s="29" t="inlineStr">
        <is>
          <t>18199420.0</t>
        </is>
      </c>
      <c r="P234" s="29" t="inlineStr">
        <is>
          <t>KRW</t>
        </is>
      </c>
      <c r="Q234" s="29" t="inlineStr">
        <is>
          <t>3</t>
        </is>
      </c>
    </row>
    <row r="235" ht="24" customHeight="1">
      <c r="A235" s="24" t="inlineStr">
        <is>
          <t>OpenDART_fnlttSinglAcntAll</t>
        </is>
      </c>
      <c r="B235" s="24" t="inlineStr">
        <is>
          <t>01365825</t>
        </is>
      </c>
      <c r="C235" s="24" t="inlineStr">
        <is>
          <t>피에스케이</t>
        </is>
      </c>
      <c r="D235" s="24" t="inlineStr">
        <is>
          <t>psk</t>
        </is>
      </c>
      <c r="E235" s="24" t="inlineStr">
        <is>
          <t>319660</t>
        </is>
      </c>
      <c r="F235" s="24" t="inlineStr">
        <is>
          <t>2022</t>
        </is>
      </c>
      <c r="G235" s="24" t="inlineStr">
        <is>
          <t>CFS</t>
        </is>
      </c>
      <c r="H235" s="24" t="inlineStr">
        <is>
          <t>CF</t>
        </is>
      </c>
      <c r="I235" s="24" t="inlineStr">
        <is>
          <t>현금흐름표</t>
        </is>
      </c>
      <c r="J235" s="24" t="inlineStr">
        <is>
          <t>ifrs-full_IncomeTaxesPaidRefundClassifiedAsOperatingActivities</t>
        </is>
      </c>
      <c r="K235" s="24" t="inlineStr">
        <is>
          <t>법인세납부(환급)</t>
        </is>
      </c>
      <c r="L235" s="24" t="inlineStr">
        <is>
          <t>-</t>
        </is>
      </c>
      <c r="M235" s="24" t="inlineStr">
        <is>
          <t>제 4 기</t>
        </is>
      </c>
      <c r="N235" s="24" t="inlineStr">
        <is>
          <t>37265631114.0</t>
        </is>
      </c>
      <c r="O235" s="24" t="inlineStr">
        <is>
          <t>7919793505.0</t>
        </is>
      </c>
      <c r="P235" s="24" t="inlineStr">
        <is>
          <t>KRW</t>
        </is>
      </c>
      <c r="Q235" s="24" t="inlineStr">
        <is>
          <t>4</t>
        </is>
      </c>
    </row>
    <row r="236" ht="24" customHeight="1">
      <c r="A236" s="29" t="inlineStr">
        <is>
          <t>OpenDART_fnlttSinglAcntAll</t>
        </is>
      </c>
      <c r="B236" s="29" t="inlineStr">
        <is>
          <t>01365825</t>
        </is>
      </c>
      <c r="C236" s="29" t="inlineStr">
        <is>
          <t>피에스케이</t>
        </is>
      </c>
      <c r="D236" s="29" t="inlineStr">
        <is>
          <t>psk</t>
        </is>
      </c>
      <c r="E236" s="29" t="inlineStr">
        <is>
          <t>319660</t>
        </is>
      </c>
      <c r="F236" s="29" t="inlineStr">
        <is>
          <t>2022</t>
        </is>
      </c>
      <c r="G236" s="29" t="inlineStr">
        <is>
          <t>CFS</t>
        </is>
      </c>
      <c r="H236" s="29" t="inlineStr">
        <is>
          <t>CF</t>
        </is>
      </c>
      <c r="I236" s="29" t="inlineStr">
        <is>
          <t>현금흐름표</t>
        </is>
      </c>
      <c r="J236" s="29" t="inlineStr">
        <is>
          <t>ifrs-full_CashFlowsFromUsedInInvestingActivities</t>
        </is>
      </c>
      <c r="K236" s="29" t="inlineStr">
        <is>
          <t>투자활동현금흐름</t>
        </is>
      </c>
      <c r="L236" s="29" t="inlineStr">
        <is>
          <t>-</t>
        </is>
      </c>
      <c r="M236" s="29" t="inlineStr">
        <is>
          <t>제 4 기</t>
        </is>
      </c>
      <c r="N236" s="29" t="inlineStr">
        <is>
          <t>-36165066547.0</t>
        </is>
      </c>
      <c r="O236" s="29" t="inlineStr">
        <is>
          <t>-91865718494.0</t>
        </is>
      </c>
      <c r="P236" s="29" t="inlineStr">
        <is>
          <t>KRW</t>
        </is>
      </c>
      <c r="Q236" s="29" t="inlineStr">
        <is>
          <t>5</t>
        </is>
      </c>
    </row>
    <row r="237" ht="24" customHeight="1">
      <c r="A237" s="24" t="inlineStr">
        <is>
          <t>OpenDART_fnlttSinglAcntAll</t>
        </is>
      </c>
      <c r="B237" s="24" t="inlineStr">
        <is>
          <t>01365825</t>
        </is>
      </c>
      <c r="C237" s="24" t="inlineStr">
        <is>
          <t>피에스케이</t>
        </is>
      </c>
      <c r="D237" s="24" t="inlineStr">
        <is>
          <t>psk</t>
        </is>
      </c>
      <c r="E237" s="24" t="inlineStr">
        <is>
          <t>319660</t>
        </is>
      </c>
      <c r="F237" s="24" t="inlineStr">
        <is>
          <t>2022</t>
        </is>
      </c>
      <c r="G237" s="24" t="inlineStr">
        <is>
          <t>CFS</t>
        </is>
      </c>
      <c r="H237" s="24" t="inlineStr">
        <is>
          <t>CF</t>
        </is>
      </c>
      <c r="I237" s="24" t="inlineStr">
        <is>
          <t>현금흐름표</t>
        </is>
      </c>
      <c r="J237" s="24" t="inlineStr">
        <is>
          <t>-표준계정코드 미사용-</t>
        </is>
      </c>
      <c r="K237" s="24" t="inlineStr">
        <is>
          <t>당기손익-공정가치 측정 금융자산의 처분</t>
        </is>
      </c>
      <c r="L237" s="24" t="inlineStr">
        <is>
          <t>-</t>
        </is>
      </c>
      <c r="M237" s="24" t="inlineStr">
        <is>
          <t>제 4 기</t>
        </is>
      </c>
      <c r="N237" s="24" t="inlineStr">
        <is>
          <t>9818827273.0</t>
        </is>
      </c>
      <c r="O237" s="24" t="inlineStr">
        <is>
          <t>21370686552.0</t>
        </is>
      </c>
      <c r="P237" s="24" t="inlineStr">
        <is>
          <t>KRW</t>
        </is>
      </c>
      <c r="Q237" s="24" t="inlineStr">
        <is>
          <t>6</t>
        </is>
      </c>
    </row>
    <row r="238" ht="24" customHeight="1">
      <c r="A238" s="29" t="inlineStr">
        <is>
          <t>OpenDART_fnlttSinglAcntAll</t>
        </is>
      </c>
      <c r="B238" s="29" t="inlineStr">
        <is>
          <t>01365825</t>
        </is>
      </c>
      <c r="C238" s="29" t="inlineStr">
        <is>
          <t>피에스케이</t>
        </is>
      </c>
      <c r="D238" s="29" t="inlineStr">
        <is>
          <t>psk</t>
        </is>
      </c>
      <c r="E238" s="29" t="inlineStr">
        <is>
          <t>319660</t>
        </is>
      </c>
      <c r="F238" s="29" t="inlineStr">
        <is>
          <t>2022</t>
        </is>
      </c>
      <c r="G238" s="29" t="inlineStr">
        <is>
          <t>CFS</t>
        </is>
      </c>
      <c r="H238" s="29" t="inlineStr">
        <is>
          <t>CF</t>
        </is>
      </c>
      <c r="I238" s="29" t="inlineStr">
        <is>
          <t>현금흐름표</t>
        </is>
      </c>
      <c r="J238" s="29" t="inlineStr">
        <is>
          <t>-표준계정코드 미사용-</t>
        </is>
      </c>
      <c r="K238" s="29" t="inlineStr">
        <is>
          <t>당기손익-공정가치 측정 금융자산의 취득</t>
        </is>
      </c>
      <c r="L238" s="29" t="inlineStr">
        <is>
          <t>-</t>
        </is>
      </c>
      <c r="M238" s="29" t="inlineStr">
        <is>
          <t>제 4 기</t>
        </is>
      </c>
      <c r="N238" s="29" t="inlineStr">
        <is>
          <t>-25019926653.0</t>
        </is>
      </c>
      <c r="O238" s="29" t="inlineStr">
        <is>
          <t>-20925243820.0</t>
        </is>
      </c>
      <c r="P238" s="29" t="inlineStr">
        <is>
          <t>KRW</t>
        </is>
      </c>
      <c r="Q238" s="29" t="inlineStr">
        <is>
          <t>7</t>
        </is>
      </c>
    </row>
    <row r="239" ht="24" customHeight="1">
      <c r="A239" s="24" t="inlineStr">
        <is>
          <t>OpenDART_fnlttSinglAcntAll</t>
        </is>
      </c>
      <c r="B239" s="24" t="inlineStr">
        <is>
          <t>01365825</t>
        </is>
      </c>
      <c r="C239" s="24" t="inlineStr">
        <is>
          <t>피에스케이</t>
        </is>
      </c>
      <c r="D239" s="24" t="inlineStr">
        <is>
          <t>psk</t>
        </is>
      </c>
      <c r="E239" s="24" t="inlineStr">
        <is>
          <t>319660</t>
        </is>
      </c>
      <c r="F239" s="24" t="inlineStr">
        <is>
          <t>2022</t>
        </is>
      </c>
      <c r="G239" s="24" t="inlineStr">
        <is>
          <t>CFS</t>
        </is>
      </c>
      <c r="H239" s="24" t="inlineStr">
        <is>
          <t>CF</t>
        </is>
      </c>
      <c r="I239" s="24" t="inlineStr">
        <is>
          <t>현금흐름표</t>
        </is>
      </c>
      <c r="J239" s="24" t="inlineStr">
        <is>
          <t>-표준계정코드 미사용-</t>
        </is>
      </c>
      <c r="K239" s="24" t="inlineStr">
        <is>
          <t>상각후원가 측정 금융자산의 처분</t>
        </is>
      </c>
      <c r="L239" s="24" t="inlineStr">
        <is>
          <t>-</t>
        </is>
      </c>
      <c r="M239" s="24" t="inlineStr">
        <is>
          <t>제 4 기</t>
        </is>
      </c>
      <c r="N239" s="24" t="inlineStr">
        <is>
          <t>111997057538.0</t>
        </is>
      </c>
      <c r="O239" s="24" t="inlineStr">
        <is>
          <t>100917653424.0</t>
        </is>
      </c>
      <c r="P239" s="24" t="inlineStr">
        <is>
          <t>KRW</t>
        </is>
      </c>
      <c r="Q239" s="24" t="inlineStr">
        <is>
          <t>8</t>
        </is>
      </c>
    </row>
    <row r="240" ht="24" customHeight="1">
      <c r="A240" s="29" t="inlineStr">
        <is>
          <t>OpenDART_fnlttSinglAcntAll</t>
        </is>
      </c>
      <c r="B240" s="29" t="inlineStr">
        <is>
          <t>01365825</t>
        </is>
      </c>
      <c r="C240" s="29" t="inlineStr">
        <is>
          <t>피에스케이</t>
        </is>
      </c>
      <c r="D240" s="29" t="inlineStr">
        <is>
          <t>psk</t>
        </is>
      </c>
      <c r="E240" s="29" t="inlineStr">
        <is>
          <t>319660</t>
        </is>
      </c>
      <c r="F240" s="29" t="inlineStr">
        <is>
          <t>2022</t>
        </is>
      </c>
      <c r="G240" s="29" t="inlineStr">
        <is>
          <t>CFS</t>
        </is>
      </c>
      <c r="H240" s="29" t="inlineStr">
        <is>
          <t>CF</t>
        </is>
      </c>
      <c r="I240" s="29" t="inlineStr">
        <is>
          <t>현금흐름표</t>
        </is>
      </c>
      <c r="J240" s="29" t="inlineStr">
        <is>
          <t>-표준계정코드 미사용-</t>
        </is>
      </c>
      <c r="K240" s="29" t="inlineStr">
        <is>
          <t>상각후원가 측정 금융자산의 취득</t>
        </is>
      </c>
      <c r="L240" s="29" t="inlineStr">
        <is>
          <t>-</t>
        </is>
      </c>
      <c r="M240" s="29" t="inlineStr">
        <is>
          <t>제 4 기</t>
        </is>
      </c>
      <c r="N240" s="29" t="inlineStr">
        <is>
          <t>-114895304112.0</t>
        </is>
      </c>
      <c r="O240" s="29" t="inlineStr">
        <is>
          <t>-182852488871.0</t>
        </is>
      </c>
      <c r="P240" s="29" t="inlineStr">
        <is>
          <t>KRW</t>
        </is>
      </c>
      <c r="Q240" s="29" t="inlineStr">
        <is>
          <t>9</t>
        </is>
      </c>
    </row>
    <row r="241" ht="24" customHeight="1">
      <c r="A241" s="24" t="inlineStr">
        <is>
          <t>OpenDART_fnlttSinglAcntAll</t>
        </is>
      </c>
      <c r="B241" s="24" t="inlineStr">
        <is>
          <t>01365825</t>
        </is>
      </c>
      <c r="C241" s="24" t="inlineStr">
        <is>
          <t>피에스케이</t>
        </is>
      </c>
      <c r="D241" s="24" t="inlineStr">
        <is>
          <t>psk</t>
        </is>
      </c>
      <c r="E241" s="24" t="inlineStr">
        <is>
          <t>319660</t>
        </is>
      </c>
      <c r="F241" s="24" t="inlineStr">
        <is>
          <t>2022</t>
        </is>
      </c>
      <c r="G241" s="24" t="inlineStr">
        <is>
          <t>CFS</t>
        </is>
      </c>
      <c r="H241" s="24" t="inlineStr">
        <is>
          <t>CF</t>
        </is>
      </c>
      <c r="I241" s="24" t="inlineStr">
        <is>
          <t>현금흐름표</t>
        </is>
      </c>
      <c r="J241" s="24" t="inlineStr">
        <is>
          <t>-표준계정코드 미사용-</t>
        </is>
      </c>
      <c r="K241" s="24" t="inlineStr">
        <is>
          <t>파생상품부채의 처분</t>
        </is>
      </c>
      <c r="L241" s="24" t="inlineStr">
        <is>
          <t>-</t>
        </is>
      </c>
      <c r="M241" s="24" t="inlineStr">
        <is>
          <t>제 4 기</t>
        </is>
      </c>
      <c r="N241" s="24" t="inlineStr">
        <is>
          <t>-3720111200.0</t>
        </is>
      </c>
      <c r="O241" s="24" t="inlineStr">
        <is>
          <t>0.0</t>
        </is>
      </c>
      <c r="P241" s="24" t="inlineStr">
        <is>
          <t>KRW</t>
        </is>
      </c>
      <c r="Q241" s="24" t="inlineStr">
        <is>
          <t>10</t>
        </is>
      </c>
    </row>
    <row r="242" ht="24" customHeight="1">
      <c r="A242" s="29" t="inlineStr">
        <is>
          <t>OpenDART_fnlttSinglAcntAll</t>
        </is>
      </c>
      <c r="B242" s="29" t="inlineStr">
        <is>
          <t>01365825</t>
        </is>
      </c>
      <c r="C242" s="29" t="inlineStr">
        <is>
          <t>피에스케이</t>
        </is>
      </c>
      <c r="D242" s="29" t="inlineStr">
        <is>
          <t>psk</t>
        </is>
      </c>
      <c r="E242" s="29" t="inlineStr">
        <is>
          <t>319660</t>
        </is>
      </c>
      <c r="F242" s="29" t="inlineStr">
        <is>
          <t>2022</t>
        </is>
      </c>
      <c r="G242" s="29" t="inlineStr">
        <is>
          <t>CFS</t>
        </is>
      </c>
      <c r="H242" s="29" t="inlineStr">
        <is>
          <t>CF</t>
        </is>
      </c>
      <c r="I242" s="29" t="inlineStr">
        <is>
          <t>현금흐름표</t>
        </is>
      </c>
      <c r="J242" s="29" t="inlineStr">
        <is>
          <t>-표준계정코드 미사용-</t>
        </is>
      </c>
      <c r="K242" s="29" t="inlineStr">
        <is>
          <t>파생상품자산의 처분</t>
        </is>
      </c>
      <c r="L242" s="29" t="inlineStr">
        <is>
          <t>-</t>
        </is>
      </c>
      <c r="M242" s="29" t="inlineStr">
        <is>
          <t>제 4 기</t>
        </is>
      </c>
      <c r="N242" s="29" t="inlineStr">
        <is>
          <t>22071200.0</t>
        </is>
      </c>
      <c r="O242" s="29" t="inlineStr">
        <is>
          <t>0.0</t>
        </is>
      </c>
      <c r="P242" s="29" t="inlineStr">
        <is>
          <t>KRW</t>
        </is>
      </c>
      <c r="Q242" s="29" t="inlineStr">
        <is>
          <t>11</t>
        </is>
      </c>
    </row>
    <row r="243" ht="24" customHeight="1">
      <c r="A243" s="24" t="inlineStr">
        <is>
          <t>OpenDART_fnlttSinglAcntAll</t>
        </is>
      </c>
      <c r="B243" s="24" t="inlineStr">
        <is>
          <t>01365825</t>
        </is>
      </c>
      <c r="C243" s="24" t="inlineStr">
        <is>
          <t>피에스케이</t>
        </is>
      </c>
      <c r="D243" s="24" t="inlineStr">
        <is>
          <t>psk</t>
        </is>
      </c>
      <c r="E243" s="24" t="inlineStr">
        <is>
          <t>319660</t>
        </is>
      </c>
      <c r="F243" s="24" t="inlineStr">
        <is>
          <t>2022</t>
        </is>
      </c>
      <c r="G243" s="24" t="inlineStr">
        <is>
          <t>CFS</t>
        </is>
      </c>
      <c r="H243" s="24" t="inlineStr">
        <is>
          <t>CF</t>
        </is>
      </c>
      <c r="I243" s="24" t="inlineStr">
        <is>
          <t>현금흐름표</t>
        </is>
      </c>
      <c r="J243" s="24" t="inlineStr">
        <is>
          <t>-표준계정코드 미사용-</t>
        </is>
      </c>
      <c r="K243" s="24" t="inlineStr">
        <is>
          <t>선물거래의 청산</t>
        </is>
      </c>
      <c r="L243" s="24" t="inlineStr">
        <is>
          <t>-</t>
        </is>
      </c>
      <c r="M243" s="24" t="inlineStr">
        <is>
          <t>제 4 기</t>
        </is>
      </c>
      <c r="N243" s="24" t="inlineStr">
        <is>
          <t>-46036000.0</t>
        </is>
      </c>
      <c r="O243" s="24" t="inlineStr">
        <is>
          <t>0.0</t>
        </is>
      </c>
      <c r="P243" s="24" t="inlineStr">
        <is>
          <t>KRW</t>
        </is>
      </c>
      <c r="Q243" s="24" t="inlineStr">
        <is>
          <t>12</t>
        </is>
      </c>
    </row>
    <row r="244" ht="24" customHeight="1">
      <c r="A244" s="29" t="inlineStr">
        <is>
          <t>OpenDART_fnlttSinglAcntAll</t>
        </is>
      </c>
      <c r="B244" s="29" t="inlineStr">
        <is>
          <t>01365825</t>
        </is>
      </c>
      <c r="C244" s="29" t="inlineStr">
        <is>
          <t>피에스케이</t>
        </is>
      </c>
      <c r="D244" s="29" t="inlineStr">
        <is>
          <t>psk</t>
        </is>
      </c>
      <c r="E244" s="29" t="inlineStr">
        <is>
          <t>319660</t>
        </is>
      </c>
      <c r="F244" s="29" t="inlineStr">
        <is>
          <t>2022</t>
        </is>
      </c>
      <c r="G244" s="29" t="inlineStr">
        <is>
          <t>CFS</t>
        </is>
      </c>
      <c r="H244" s="29" t="inlineStr">
        <is>
          <t>CF</t>
        </is>
      </c>
      <c r="I244" s="29" t="inlineStr">
        <is>
          <t>현금흐름표</t>
        </is>
      </c>
      <c r="J244" s="29" t="inlineStr">
        <is>
          <t>ifrs-full_PurchaseOfPropertyPlantAndEquipmentClassifiedAsInvestingActivities</t>
        </is>
      </c>
      <c r="K244" s="29" t="inlineStr">
        <is>
          <t>유형자산의 취득</t>
        </is>
      </c>
      <c r="L244" s="29" t="inlineStr">
        <is>
          <t>-</t>
        </is>
      </c>
      <c r="M244" s="29" t="inlineStr">
        <is>
          <t>제 4 기</t>
        </is>
      </c>
      <c r="N244" s="29" t="inlineStr">
        <is>
          <t>12904503550.0</t>
        </is>
      </c>
      <c r="O244" s="29" t="inlineStr">
        <is>
          <t>8658250423.0</t>
        </is>
      </c>
      <c r="P244" s="29" t="inlineStr">
        <is>
          <t>KRW</t>
        </is>
      </c>
      <c r="Q244" s="29" t="inlineStr">
        <is>
          <t>13</t>
        </is>
      </c>
    </row>
    <row r="245" ht="24" customHeight="1">
      <c r="A245" s="24" t="inlineStr">
        <is>
          <t>OpenDART_fnlttSinglAcntAll</t>
        </is>
      </c>
      <c r="B245" s="24" t="inlineStr">
        <is>
          <t>01365825</t>
        </is>
      </c>
      <c r="C245" s="24" t="inlineStr">
        <is>
          <t>피에스케이</t>
        </is>
      </c>
      <c r="D245" s="24" t="inlineStr">
        <is>
          <t>psk</t>
        </is>
      </c>
      <c r="E245" s="24" t="inlineStr">
        <is>
          <t>319660</t>
        </is>
      </c>
      <c r="F245" s="24" t="inlineStr">
        <is>
          <t>2022</t>
        </is>
      </c>
      <c r="G245" s="24" t="inlineStr">
        <is>
          <t>CFS</t>
        </is>
      </c>
      <c r="H245" s="24" t="inlineStr">
        <is>
          <t>CF</t>
        </is>
      </c>
      <c r="I245" s="24" t="inlineStr">
        <is>
          <t>현금흐름표</t>
        </is>
      </c>
      <c r="J245" s="24" t="inlineStr">
        <is>
          <t>ifrs-full_ProceedsFromSalesOfPropertyPlantAndEquipmentClassifiedAsInvestingActivities</t>
        </is>
      </c>
      <c r="K245" s="24" t="inlineStr">
        <is>
          <t>유형자산의 처분</t>
        </is>
      </c>
      <c r="L245" s="24" t="inlineStr">
        <is>
          <t>-</t>
        </is>
      </c>
      <c r="M245" s="24" t="inlineStr">
        <is>
          <t>제 4 기</t>
        </is>
      </c>
      <c r="N245" s="24" t="inlineStr">
        <is>
          <t>10441755.0</t>
        </is>
      </c>
      <c r="O245" s="24" t="inlineStr">
        <is>
          <t>896182328.0</t>
        </is>
      </c>
      <c r="P245" s="24" t="inlineStr">
        <is>
          <t>KRW</t>
        </is>
      </c>
      <c r="Q245" s="24" t="inlineStr">
        <is>
          <t>14</t>
        </is>
      </c>
    </row>
    <row r="246" ht="24" customHeight="1">
      <c r="A246" s="29" t="inlineStr">
        <is>
          <t>OpenDART_fnlttSinglAcntAll</t>
        </is>
      </c>
      <c r="B246" s="29" t="inlineStr">
        <is>
          <t>01365825</t>
        </is>
      </c>
      <c r="C246" s="29" t="inlineStr">
        <is>
          <t>피에스케이</t>
        </is>
      </c>
      <c r="D246" s="29" t="inlineStr">
        <is>
          <t>psk</t>
        </is>
      </c>
      <c r="E246" s="29" t="inlineStr">
        <is>
          <t>319660</t>
        </is>
      </c>
      <c r="F246" s="29" t="inlineStr">
        <is>
          <t>2022</t>
        </is>
      </c>
      <c r="G246" s="29" t="inlineStr">
        <is>
          <t>CFS</t>
        </is>
      </c>
      <c r="H246" s="29" t="inlineStr">
        <is>
          <t>CF</t>
        </is>
      </c>
      <c r="I246" s="29" t="inlineStr">
        <is>
          <t>현금흐름표</t>
        </is>
      </c>
      <c r="J246" s="29" t="inlineStr">
        <is>
          <t>ifrs-full_PurchaseOfIntangibleAssetsClassifiedAsInvestingActivities</t>
        </is>
      </c>
      <c r="K246" s="29" t="inlineStr">
        <is>
          <t>무형자산의 취득</t>
        </is>
      </c>
      <c r="L246" s="29" t="inlineStr">
        <is>
          <t>-</t>
        </is>
      </c>
      <c r="M246" s="29" t="inlineStr">
        <is>
          <t>제 4 기</t>
        </is>
      </c>
      <c r="N246" s="29" t="inlineStr">
        <is>
          <t>2215885686.0</t>
        </is>
      </c>
      <c r="O246" s="29" t="inlineStr">
        <is>
          <t>917830848.0</t>
        </is>
      </c>
      <c r="P246" s="29" t="inlineStr">
        <is>
          <t>KRW</t>
        </is>
      </c>
      <c r="Q246" s="29" t="inlineStr">
        <is>
          <t>15</t>
        </is>
      </c>
    </row>
    <row r="247" ht="24" customHeight="1">
      <c r="A247" s="24" t="inlineStr">
        <is>
          <t>OpenDART_fnlttSinglAcntAll</t>
        </is>
      </c>
      <c r="B247" s="24" t="inlineStr">
        <is>
          <t>01365825</t>
        </is>
      </c>
      <c r="C247" s="24" t="inlineStr">
        <is>
          <t>피에스케이</t>
        </is>
      </c>
      <c r="D247" s="24" t="inlineStr">
        <is>
          <t>psk</t>
        </is>
      </c>
      <c r="E247" s="24" t="inlineStr">
        <is>
          <t>319660</t>
        </is>
      </c>
      <c r="F247" s="24" t="inlineStr">
        <is>
          <t>2022</t>
        </is>
      </c>
      <c r="G247" s="24" t="inlineStr">
        <is>
          <t>CFS</t>
        </is>
      </c>
      <c r="H247" s="24" t="inlineStr">
        <is>
          <t>CF</t>
        </is>
      </c>
      <c r="I247" s="24" t="inlineStr">
        <is>
          <t>현금흐름표</t>
        </is>
      </c>
      <c r="J247" s="24" t="inlineStr">
        <is>
          <t>dart_PurchaseOfShortTermLoansAndReceivables</t>
        </is>
      </c>
      <c r="K247" s="24" t="inlineStr">
        <is>
          <t>단기대여금의 증가</t>
        </is>
      </c>
      <c r="L247" s="24" t="inlineStr">
        <is>
          <t>-</t>
        </is>
      </c>
      <c r="M247" s="24" t="inlineStr">
        <is>
          <t>제 4 기</t>
        </is>
      </c>
      <c r="N247" s="24" t="inlineStr">
        <is>
          <t>255000000.0</t>
        </is>
      </c>
      <c r="O247" s="24" t="inlineStr">
        <is>
          <t>126347678.0</t>
        </is>
      </c>
      <c r="P247" s="24" t="inlineStr">
        <is>
          <t>KRW</t>
        </is>
      </c>
      <c r="Q247" s="24" t="inlineStr">
        <is>
          <t>16</t>
        </is>
      </c>
    </row>
    <row r="248" ht="24" customHeight="1">
      <c r="A248" s="29" t="inlineStr">
        <is>
          <t>OpenDART_fnlttSinglAcntAll</t>
        </is>
      </c>
      <c r="B248" s="29" t="inlineStr">
        <is>
          <t>01365825</t>
        </is>
      </c>
      <c r="C248" s="29" t="inlineStr">
        <is>
          <t>피에스케이</t>
        </is>
      </c>
      <c r="D248" s="29" t="inlineStr">
        <is>
          <t>psk</t>
        </is>
      </c>
      <c r="E248" s="29" t="inlineStr">
        <is>
          <t>319660</t>
        </is>
      </c>
      <c r="F248" s="29" t="inlineStr">
        <is>
          <t>2022</t>
        </is>
      </c>
      <c r="G248" s="29" t="inlineStr">
        <is>
          <t>CFS</t>
        </is>
      </c>
      <c r="H248" s="29" t="inlineStr">
        <is>
          <t>CF</t>
        </is>
      </c>
      <c r="I248" s="29" t="inlineStr">
        <is>
          <t>현금흐름표</t>
        </is>
      </c>
      <c r="J248" s="29" t="inlineStr">
        <is>
          <t>dart_ProceedsFromSalesOfShortTermLoansAndReceivables</t>
        </is>
      </c>
      <c r="K248" s="29" t="inlineStr">
        <is>
          <t>단기대여금의 감소</t>
        </is>
      </c>
      <c r="L248" s="29" t="inlineStr">
        <is>
          <t>-</t>
        </is>
      </c>
      <c r="M248" s="29" t="inlineStr">
        <is>
          <t>제 4 기</t>
        </is>
      </c>
      <c r="N248" s="29" t="inlineStr">
        <is>
          <t>444730113.0</t>
        </is>
      </c>
      <c r="O248" s="29" t="inlineStr">
        <is>
          <t>708598616.0</t>
        </is>
      </c>
      <c r="P248" s="29" t="inlineStr">
        <is>
          <t>KRW</t>
        </is>
      </c>
      <c r="Q248" s="29" t="inlineStr">
        <is>
          <t>17</t>
        </is>
      </c>
    </row>
    <row r="249" ht="24" customHeight="1">
      <c r="A249" s="24" t="inlineStr">
        <is>
          <t>OpenDART_fnlttSinglAcntAll</t>
        </is>
      </c>
      <c r="B249" s="24" t="inlineStr">
        <is>
          <t>01365825</t>
        </is>
      </c>
      <c r="C249" s="24" t="inlineStr">
        <is>
          <t>피에스케이</t>
        </is>
      </c>
      <c r="D249" s="24" t="inlineStr">
        <is>
          <t>psk</t>
        </is>
      </c>
      <c r="E249" s="24" t="inlineStr">
        <is>
          <t>319660</t>
        </is>
      </c>
      <c r="F249" s="24" t="inlineStr">
        <is>
          <t>2022</t>
        </is>
      </c>
      <c r="G249" s="24" t="inlineStr">
        <is>
          <t>CFS</t>
        </is>
      </c>
      <c r="H249" s="24" t="inlineStr">
        <is>
          <t>CF</t>
        </is>
      </c>
      <c r="I249" s="24" t="inlineStr">
        <is>
          <t>현금흐름표</t>
        </is>
      </c>
      <c r="J249" s="24" t="inlineStr">
        <is>
          <t>dart_PurchaseOfLongTermLoansAndReceivables</t>
        </is>
      </c>
      <c r="K249" s="24" t="inlineStr">
        <is>
          <t>장기대여금의 증가</t>
        </is>
      </c>
      <c r="L249" s="24" t="inlineStr">
        <is>
          <t>-</t>
        </is>
      </c>
      <c r="M249" s="24" t="inlineStr">
        <is>
          <t>제 4 기</t>
        </is>
      </c>
      <c r="N249" s="24" t="inlineStr">
        <is>
          <t>591700000.0</t>
        </is>
      </c>
      <c r="O249" s="24" t="inlineStr">
        <is>
          <t>601000000.0</t>
        </is>
      </c>
      <c r="P249" s="24" t="inlineStr">
        <is>
          <t>KRW</t>
        </is>
      </c>
      <c r="Q249" s="24" t="inlineStr">
        <is>
          <t>18</t>
        </is>
      </c>
    </row>
    <row r="250" ht="24" customHeight="1">
      <c r="A250" s="29" t="inlineStr">
        <is>
          <t>OpenDART_fnlttSinglAcntAll</t>
        </is>
      </c>
      <c r="B250" s="29" t="inlineStr">
        <is>
          <t>01365825</t>
        </is>
      </c>
      <c r="C250" s="29" t="inlineStr">
        <is>
          <t>피에스케이</t>
        </is>
      </c>
      <c r="D250" s="29" t="inlineStr">
        <is>
          <t>psk</t>
        </is>
      </c>
      <c r="E250" s="29" t="inlineStr">
        <is>
          <t>319660</t>
        </is>
      </c>
      <c r="F250" s="29" t="inlineStr">
        <is>
          <t>2022</t>
        </is>
      </c>
      <c r="G250" s="29" t="inlineStr">
        <is>
          <t>CFS</t>
        </is>
      </c>
      <c r="H250" s="29" t="inlineStr">
        <is>
          <t>CF</t>
        </is>
      </c>
      <c r="I250" s="29" t="inlineStr">
        <is>
          <t>현금흐름표</t>
        </is>
      </c>
      <c r="J250" s="29" t="inlineStr">
        <is>
          <t>dart_ProceedsFromSalesOfLongTermLoansAndReceivables</t>
        </is>
      </c>
      <c r="K250" s="29" t="inlineStr">
        <is>
          <t>장기대여금의 감소</t>
        </is>
      </c>
      <c r="L250" s="29" t="inlineStr">
        <is>
          <t>-</t>
        </is>
      </c>
      <c r="M250" s="29" t="inlineStr">
        <is>
          <t>제 4 기</t>
        </is>
      </c>
      <c r="N250" s="29" t="inlineStr">
        <is>
          <t>150000000.0</t>
        </is>
      </c>
      <c r="O250" s="29" t="inlineStr">
        <is>
          <t>0.0</t>
        </is>
      </c>
      <c r="P250" s="29" t="inlineStr">
        <is>
          <t>KRW</t>
        </is>
      </c>
      <c r="Q250" s="29" t="inlineStr">
        <is>
          <t>19</t>
        </is>
      </c>
    </row>
    <row r="251" ht="24" customHeight="1">
      <c r="A251" s="24" t="inlineStr">
        <is>
          <t>OpenDART_fnlttSinglAcntAll</t>
        </is>
      </c>
      <c r="B251" s="24" t="inlineStr">
        <is>
          <t>01365825</t>
        </is>
      </c>
      <c r="C251" s="24" t="inlineStr">
        <is>
          <t>피에스케이</t>
        </is>
      </c>
      <c r="D251" s="24" t="inlineStr">
        <is>
          <t>psk</t>
        </is>
      </c>
      <c r="E251" s="24" t="inlineStr">
        <is>
          <t>319660</t>
        </is>
      </c>
      <c r="F251" s="24" t="inlineStr">
        <is>
          <t>2022</t>
        </is>
      </c>
      <c r="G251" s="24" t="inlineStr">
        <is>
          <t>CFS</t>
        </is>
      </c>
      <c r="H251" s="24" t="inlineStr">
        <is>
          <t>CF</t>
        </is>
      </c>
      <c r="I251" s="24" t="inlineStr">
        <is>
          <t>현금흐름표</t>
        </is>
      </c>
      <c r="J251" s="24" t="inlineStr">
        <is>
          <t>dart_IncreaseInGuaranteeDeposits</t>
        </is>
      </c>
      <c r="K251" s="24" t="inlineStr">
        <is>
          <t>보증금의 증가</t>
        </is>
      </c>
      <c r="L251" s="24" t="inlineStr">
        <is>
          <t>-</t>
        </is>
      </c>
      <c r="M251" s="24" t="inlineStr">
        <is>
          <t>제 4 기</t>
        </is>
      </c>
      <c r="N251" s="24" t="inlineStr">
        <is>
          <t>832155000.0</t>
        </is>
      </c>
      <c r="O251" s="24" t="inlineStr">
        <is>
          <t>313303564.0</t>
        </is>
      </c>
      <c r="P251" s="24" t="inlineStr">
        <is>
          <t>KRW</t>
        </is>
      </c>
      <c r="Q251" s="24" t="inlineStr">
        <is>
          <t>20</t>
        </is>
      </c>
    </row>
    <row r="252" ht="24" customHeight="1">
      <c r="A252" s="29" t="inlineStr">
        <is>
          <t>OpenDART_fnlttSinglAcntAll</t>
        </is>
      </c>
      <c r="B252" s="29" t="inlineStr">
        <is>
          <t>01365825</t>
        </is>
      </c>
      <c r="C252" s="29" t="inlineStr">
        <is>
          <t>피에스케이</t>
        </is>
      </c>
      <c r="D252" s="29" t="inlineStr">
        <is>
          <t>psk</t>
        </is>
      </c>
      <c r="E252" s="29" t="inlineStr">
        <is>
          <t>319660</t>
        </is>
      </c>
      <c r="F252" s="29" t="inlineStr">
        <is>
          <t>2022</t>
        </is>
      </c>
      <c r="G252" s="29" t="inlineStr">
        <is>
          <t>CFS</t>
        </is>
      </c>
      <c r="H252" s="29" t="inlineStr">
        <is>
          <t>CF</t>
        </is>
      </c>
      <c r="I252" s="29" t="inlineStr">
        <is>
          <t>현금흐름표</t>
        </is>
      </c>
      <c r="J252" s="29" t="inlineStr">
        <is>
          <t>dart_DecreaseInGuaranteeDeposits</t>
        </is>
      </c>
      <c r="K252" s="29" t="inlineStr">
        <is>
          <t>보증금의 감소</t>
        </is>
      </c>
      <c r="L252" s="29" t="inlineStr">
        <is>
          <t>-</t>
        </is>
      </c>
      <c r="M252" s="29" t="inlineStr">
        <is>
          <t>제 4 기</t>
        </is>
      </c>
      <c r="N252" s="29" t="inlineStr">
        <is>
          <t>1872427775.0</t>
        </is>
      </c>
      <c r="O252" s="29" t="inlineStr">
        <is>
          <t>102079219.0</t>
        </is>
      </c>
      <c r="P252" s="29" t="inlineStr">
        <is>
          <t>KRW</t>
        </is>
      </c>
      <c r="Q252" s="29" t="inlineStr">
        <is>
          <t>21</t>
        </is>
      </c>
    </row>
    <row r="253" ht="24" customHeight="1">
      <c r="A253" s="24" t="inlineStr">
        <is>
          <t>OpenDART_fnlttSinglAcntAll</t>
        </is>
      </c>
      <c r="B253" s="24" t="inlineStr">
        <is>
          <t>01365825</t>
        </is>
      </c>
      <c r="C253" s="24" t="inlineStr">
        <is>
          <t>피에스케이</t>
        </is>
      </c>
      <c r="D253" s="24" t="inlineStr">
        <is>
          <t>psk</t>
        </is>
      </c>
      <c r="E253" s="24" t="inlineStr">
        <is>
          <t>319660</t>
        </is>
      </c>
      <c r="F253" s="24" t="inlineStr">
        <is>
          <t>2022</t>
        </is>
      </c>
      <c r="G253" s="24" t="inlineStr">
        <is>
          <t>CFS</t>
        </is>
      </c>
      <c r="H253" s="24" t="inlineStr">
        <is>
          <t>CF</t>
        </is>
      </c>
      <c r="I253" s="24" t="inlineStr">
        <is>
          <t>현금흐름표</t>
        </is>
      </c>
      <c r="J253" s="24" t="inlineStr">
        <is>
          <t>ifrs-full_CashFlowsUsedInObtainingControlOfSubsidiariesOrOtherBusinessesClassifiedAsInvestingActivities</t>
        </is>
      </c>
      <c r="K253" s="24" t="inlineStr">
        <is>
          <t>종속기업투자주식의 추가 취득</t>
        </is>
      </c>
      <c r="L253" s="24" t="inlineStr">
        <is>
          <t>-</t>
        </is>
      </c>
      <c r="M253" s="24" t="inlineStr">
        <is>
          <t>제 4 기</t>
        </is>
      </c>
      <c r="N253" s="24" t="inlineStr">
        <is>
          <t>0.0</t>
        </is>
      </c>
      <c r="O253" s="24" t="inlineStr">
        <is>
          <t>1466453429.0</t>
        </is>
      </c>
      <c r="P253" s="24" t="inlineStr">
        <is>
          <t>KRW</t>
        </is>
      </c>
      <c r="Q253" s="24" t="inlineStr">
        <is>
          <t>22</t>
        </is>
      </c>
    </row>
    <row r="254" ht="24" customHeight="1">
      <c r="A254" s="29" t="inlineStr">
        <is>
          <t>OpenDART_fnlttSinglAcntAll</t>
        </is>
      </c>
      <c r="B254" s="29" t="inlineStr">
        <is>
          <t>01365825</t>
        </is>
      </c>
      <c r="C254" s="29" t="inlineStr">
        <is>
          <t>피에스케이</t>
        </is>
      </c>
      <c r="D254" s="29" t="inlineStr">
        <is>
          <t>psk</t>
        </is>
      </c>
      <c r="E254" s="29" t="inlineStr">
        <is>
          <t>319660</t>
        </is>
      </c>
      <c r="F254" s="29" t="inlineStr">
        <is>
          <t>2022</t>
        </is>
      </c>
      <c r="G254" s="29" t="inlineStr">
        <is>
          <t>CFS</t>
        </is>
      </c>
      <c r="H254" s="29" t="inlineStr">
        <is>
          <t>CF</t>
        </is>
      </c>
      <c r="I254" s="29" t="inlineStr">
        <is>
          <t>현금흐름표</t>
        </is>
      </c>
      <c r="J254" s="29" t="inlineStr">
        <is>
          <t>ifrs-full_CashFlowsFromUsedInFinancingActivities</t>
        </is>
      </c>
      <c r="K254" s="29" t="inlineStr">
        <is>
          <t>재무활동현금흐름</t>
        </is>
      </c>
      <c r="L254" s="29" t="inlineStr">
        <is>
          <t>-</t>
        </is>
      </c>
      <c r="M254" s="29" t="inlineStr">
        <is>
          <t>제 4 기</t>
        </is>
      </c>
      <c r="N254" s="29" t="inlineStr">
        <is>
          <t>-18286752569.0</t>
        </is>
      </c>
      <c r="O254" s="29" t="inlineStr">
        <is>
          <t>3956188075.0</t>
        </is>
      </c>
      <c r="P254" s="29" t="inlineStr">
        <is>
          <t>KRW</t>
        </is>
      </c>
      <c r="Q254" s="29" t="inlineStr">
        <is>
          <t>23</t>
        </is>
      </c>
    </row>
    <row r="255" ht="24" customHeight="1">
      <c r="A255" s="24" t="inlineStr">
        <is>
          <t>OpenDART_fnlttSinglAcntAll</t>
        </is>
      </c>
      <c r="B255" s="24" t="inlineStr">
        <is>
          <t>01365825</t>
        </is>
      </c>
      <c r="C255" s="24" t="inlineStr">
        <is>
          <t>피에스케이</t>
        </is>
      </c>
      <c r="D255" s="24" t="inlineStr">
        <is>
          <t>psk</t>
        </is>
      </c>
      <c r="E255" s="24" t="inlineStr">
        <is>
          <t>319660</t>
        </is>
      </c>
      <c r="F255" s="24" t="inlineStr">
        <is>
          <t>2022</t>
        </is>
      </c>
      <c r="G255" s="24" t="inlineStr">
        <is>
          <t>CFS</t>
        </is>
      </c>
      <c r="H255" s="24" t="inlineStr">
        <is>
          <t>CF</t>
        </is>
      </c>
      <c r="I255" s="24" t="inlineStr">
        <is>
          <t>현금흐름표</t>
        </is>
      </c>
      <c r="J255" s="24" t="inlineStr">
        <is>
          <t>ifrs-full_DividendsPaidClassifiedAsFinancingActivities</t>
        </is>
      </c>
      <c r="K255" s="24" t="inlineStr">
        <is>
          <t>배당금지급</t>
        </is>
      </c>
      <c r="L255" s="24" t="inlineStr">
        <is>
          <t>-</t>
        </is>
      </c>
      <c r="M255" s="24" t="inlineStr">
        <is>
          <t>제 4 기</t>
        </is>
      </c>
      <c r="N255" s="24" t="inlineStr">
        <is>
          <t>8770449600.0</t>
        </is>
      </c>
      <c r="O255" s="24" t="inlineStr">
        <is>
          <t>4395528300.0</t>
        </is>
      </c>
      <c r="P255" s="24" t="inlineStr">
        <is>
          <t>KRW</t>
        </is>
      </c>
      <c r="Q255" s="24" t="inlineStr">
        <is>
          <t>24</t>
        </is>
      </c>
    </row>
    <row r="256" ht="24" customHeight="1">
      <c r="A256" s="29" t="inlineStr">
        <is>
          <t>OpenDART_fnlttSinglAcntAll</t>
        </is>
      </c>
      <c r="B256" s="29" t="inlineStr">
        <is>
          <t>01365825</t>
        </is>
      </c>
      <c r="C256" s="29" t="inlineStr">
        <is>
          <t>피에스케이</t>
        </is>
      </c>
      <c r="D256" s="29" t="inlineStr">
        <is>
          <t>psk</t>
        </is>
      </c>
      <c r="E256" s="29" t="inlineStr">
        <is>
          <t>319660</t>
        </is>
      </c>
      <c r="F256" s="29" t="inlineStr">
        <is>
          <t>2022</t>
        </is>
      </c>
      <c r="G256" s="29" t="inlineStr">
        <is>
          <t>CFS</t>
        </is>
      </c>
      <c r="H256" s="29" t="inlineStr">
        <is>
          <t>CF</t>
        </is>
      </c>
      <c r="I256" s="29" t="inlineStr">
        <is>
          <t>현금흐름표</t>
        </is>
      </c>
      <c r="J256" s="29" t="inlineStr">
        <is>
          <t>dart_AcquisitionOfTreasuryShares</t>
        </is>
      </c>
      <c r="K256" s="29" t="inlineStr">
        <is>
          <t>자기주식의 취득</t>
        </is>
      </c>
      <c r="L256" s="29" t="inlineStr">
        <is>
          <t>-</t>
        </is>
      </c>
      <c r="M256" s="29" t="inlineStr">
        <is>
          <t>제 4 기</t>
        </is>
      </c>
      <c r="N256" s="29" t="inlineStr">
        <is>
          <t>6269562250.0</t>
        </is>
      </c>
      <c r="O256" s="29" t="inlineStr">
        <is>
          <t>3528777850.0</t>
        </is>
      </c>
      <c r="P256" s="29" t="inlineStr">
        <is>
          <t>KRW</t>
        </is>
      </c>
      <c r="Q256" s="29" t="inlineStr">
        <is>
          <t>25</t>
        </is>
      </c>
    </row>
    <row r="257" ht="24" customHeight="1">
      <c r="A257" s="24" t="inlineStr">
        <is>
          <t>OpenDART_fnlttSinglAcntAll</t>
        </is>
      </c>
      <c r="B257" s="24" t="inlineStr">
        <is>
          <t>01365825</t>
        </is>
      </c>
      <c r="C257" s="24" t="inlineStr">
        <is>
          <t>피에스케이</t>
        </is>
      </c>
      <c r="D257" s="24" t="inlineStr">
        <is>
          <t>psk</t>
        </is>
      </c>
      <c r="E257" s="24" t="inlineStr">
        <is>
          <t>319660</t>
        </is>
      </c>
      <c r="F257" s="24" t="inlineStr">
        <is>
          <t>2022</t>
        </is>
      </c>
      <c r="G257" s="24" t="inlineStr">
        <is>
          <t>CFS</t>
        </is>
      </c>
      <c r="H257" s="24" t="inlineStr">
        <is>
          <t>CF</t>
        </is>
      </c>
      <c r="I257" s="24" t="inlineStr">
        <is>
          <t>현금흐름표</t>
        </is>
      </c>
      <c r="J257" s="24" t="inlineStr">
        <is>
          <t>dart_DispositionOfTreasuryShares</t>
        </is>
      </c>
      <c r="K257" s="24" t="inlineStr">
        <is>
          <t>자기주식의 처분</t>
        </is>
      </c>
      <c r="L257" s="24" t="inlineStr">
        <is>
          <t>-</t>
        </is>
      </c>
      <c r="M257" s="24" t="inlineStr">
        <is>
          <t>제 4 기</t>
        </is>
      </c>
      <c r="N257" s="24" t="inlineStr">
        <is>
          <t>375000000.0</t>
        </is>
      </c>
      <c r="O257" s="24" t="inlineStr">
        <is>
          <t>339500000.0</t>
        </is>
      </c>
      <c r="P257" s="24" t="inlineStr">
        <is>
          <t>KRW</t>
        </is>
      </c>
      <c r="Q257" s="24" t="inlineStr">
        <is>
          <t>26</t>
        </is>
      </c>
    </row>
    <row r="258" ht="24" customHeight="1">
      <c r="A258" s="29" t="inlineStr">
        <is>
          <t>OpenDART_fnlttSinglAcntAll</t>
        </is>
      </c>
      <c r="B258" s="29" t="inlineStr">
        <is>
          <t>01365825</t>
        </is>
      </c>
      <c r="C258" s="29" t="inlineStr">
        <is>
          <t>피에스케이</t>
        </is>
      </c>
      <c r="D258" s="29" t="inlineStr">
        <is>
          <t>psk</t>
        </is>
      </c>
      <c r="E258" s="29" t="inlineStr">
        <is>
          <t>319660</t>
        </is>
      </c>
      <c r="F258" s="29" t="inlineStr">
        <is>
          <t>2022</t>
        </is>
      </c>
      <c r="G258" s="29" t="inlineStr">
        <is>
          <t>CFS</t>
        </is>
      </c>
      <c r="H258" s="29" t="inlineStr">
        <is>
          <t>CF</t>
        </is>
      </c>
      <c r="I258" s="29" t="inlineStr">
        <is>
          <t>현금흐름표</t>
        </is>
      </c>
      <c r="J258" s="29" t="inlineStr">
        <is>
          <t>dart_ProceedsFromLongTermBorrowings</t>
        </is>
      </c>
      <c r="K258" s="29" t="inlineStr">
        <is>
          <t>장기차입금의 증가</t>
        </is>
      </c>
      <c r="L258" s="29" t="inlineStr">
        <is>
          <t>-</t>
        </is>
      </c>
      <c r="M258" s="29" t="inlineStr">
        <is>
          <t>제 4 기</t>
        </is>
      </c>
      <c r="N258" s="29" t="inlineStr">
        <is>
          <t>1850000000.0</t>
        </is>
      </c>
      <c r="O258" s="29" t="inlineStr">
        <is>
          <t>13443180962.0</t>
        </is>
      </c>
      <c r="P258" s="29" t="inlineStr">
        <is>
          <t>KRW</t>
        </is>
      </c>
      <c r="Q258" s="29" t="inlineStr">
        <is>
          <t>27</t>
        </is>
      </c>
    </row>
    <row r="259" ht="24" customHeight="1">
      <c r="A259" s="24" t="inlineStr">
        <is>
          <t>OpenDART_fnlttSinglAcntAll</t>
        </is>
      </c>
      <c r="B259" s="24" t="inlineStr">
        <is>
          <t>01365825</t>
        </is>
      </c>
      <c r="C259" s="24" t="inlineStr">
        <is>
          <t>피에스케이</t>
        </is>
      </c>
      <c r="D259" s="24" t="inlineStr">
        <is>
          <t>psk</t>
        </is>
      </c>
      <c r="E259" s="24" t="inlineStr">
        <is>
          <t>319660</t>
        </is>
      </c>
      <c r="F259" s="24" t="inlineStr">
        <is>
          <t>2022</t>
        </is>
      </c>
      <c r="G259" s="24" t="inlineStr">
        <is>
          <t>CFS</t>
        </is>
      </c>
      <c r="H259" s="24" t="inlineStr">
        <is>
          <t>CF</t>
        </is>
      </c>
      <c r="I259" s="24" t="inlineStr">
        <is>
          <t>현금흐름표</t>
        </is>
      </c>
      <c r="J259" s="24" t="inlineStr">
        <is>
          <t>dart_RepaymentsOfLongTermBorrowings</t>
        </is>
      </c>
      <c r="K259" s="24" t="inlineStr">
        <is>
          <t>장기차입금의 상환</t>
        </is>
      </c>
      <c r="L259" s="24" t="inlineStr">
        <is>
          <t>-</t>
        </is>
      </c>
      <c r="M259" s="24" t="inlineStr">
        <is>
          <t>제 4 기</t>
        </is>
      </c>
      <c r="N259" s="24" t="inlineStr">
        <is>
          <t>3293484970.0</t>
        </is>
      </c>
      <c r="O259" s="24" t="inlineStr">
        <is>
          <t>242325888.0</t>
        </is>
      </c>
      <c r="P259" s="24" t="inlineStr">
        <is>
          <t>KRW</t>
        </is>
      </c>
      <c r="Q259" s="24" t="inlineStr">
        <is>
          <t>28</t>
        </is>
      </c>
    </row>
    <row r="260" ht="24" customHeight="1">
      <c r="A260" s="29" t="inlineStr">
        <is>
          <t>OpenDART_fnlttSinglAcntAll</t>
        </is>
      </c>
      <c r="B260" s="29" t="inlineStr">
        <is>
          <t>01365825</t>
        </is>
      </c>
      <c r="C260" s="29" t="inlineStr">
        <is>
          <t>피에스케이</t>
        </is>
      </c>
      <c r="D260" s="29" t="inlineStr">
        <is>
          <t>psk</t>
        </is>
      </c>
      <c r="E260" s="29" t="inlineStr">
        <is>
          <t>319660</t>
        </is>
      </c>
      <c r="F260" s="29" t="inlineStr">
        <is>
          <t>2022</t>
        </is>
      </c>
      <c r="G260" s="29" t="inlineStr">
        <is>
          <t>CFS</t>
        </is>
      </c>
      <c r="H260" s="29" t="inlineStr">
        <is>
          <t>CF</t>
        </is>
      </c>
      <c r="I260" s="29" t="inlineStr">
        <is>
          <t>현금흐름표</t>
        </is>
      </c>
      <c r="J260" s="29" t="inlineStr">
        <is>
          <t>-표준계정코드 미사용-</t>
        </is>
      </c>
      <c r="K260" s="29" t="inlineStr">
        <is>
          <t>무상증자 수수료</t>
        </is>
      </c>
      <c r="L260" s="29" t="inlineStr">
        <is>
          <t>-</t>
        </is>
      </c>
      <c r="M260" s="29" t="inlineStr">
        <is>
          <t>제 4 기</t>
        </is>
      </c>
      <c r="N260" s="29" t="inlineStr">
        <is>
          <t>-66915970.0</t>
        </is>
      </c>
      <c r="O260" s="29" t="inlineStr">
        <is>
          <t>0.0</t>
        </is>
      </c>
      <c r="P260" s="29" t="inlineStr">
        <is>
          <t>KRW</t>
        </is>
      </c>
      <c r="Q260" s="29" t="inlineStr">
        <is>
          <t>29</t>
        </is>
      </c>
    </row>
    <row r="261" ht="24" customHeight="1">
      <c r="A261" s="24" t="inlineStr">
        <is>
          <t>OpenDART_fnlttSinglAcntAll</t>
        </is>
      </c>
      <c r="B261" s="24" t="inlineStr">
        <is>
          <t>01365825</t>
        </is>
      </c>
      <c r="C261" s="24" t="inlineStr">
        <is>
          <t>피에스케이</t>
        </is>
      </c>
      <c r="D261" s="24" t="inlineStr">
        <is>
          <t>psk</t>
        </is>
      </c>
      <c r="E261" s="24" t="inlineStr">
        <is>
          <t>319660</t>
        </is>
      </c>
      <c r="F261" s="24" t="inlineStr">
        <is>
          <t>2022</t>
        </is>
      </c>
      <c r="G261" s="24" t="inlineStr">
        <is>
          <t>CFS</t>
        </is>
      </c>
      <c r="H261" s="24" t="inlineStr">
        <is>
          <t>CF</t>
        </is>
      </c>
      <c r="I261" s="24" t="inlineStr">
        <is>
          <t>현금흐름표</t>
        </is>
      </c>
      <c r="J261" s="24" t="inlineStr">
        <is>
          <t>dart_DecreaseInGuaranteeDepositsAsFinancialActivities</t>
        </is>
      </c>
      <c r="K261" s="24" t="inlineStr">
        <is>
          <t>임대보증금의 감소</t>
        </is>
      </c>
      <c r="L261" s="24" t="inlineStr">
        <is>
          <t>-</t>
        </is>
      </c>
      <c r="M261" s="24" t="inlineStr">
        <is>
          <t>제 4 기</t>
        </is>
      </c>
      <c r="N261" s="24" t="inlineStr">
        <is>
          <t>200000000.0</t>
        </is>
      </c>
      <c r="O261" s="24" t="inlineStr">
        <is>
          <t>0.0</t>
        </is>
      </c>
      <c r="P261" s="24" t="inlineStr">
        <is>
          <t>KRW</t>
        </is>
      </c>
      <c r="Q261" s="24" t="inlineStr">
        <is>
          <t>30</t>
        </is>
      </c>
    </row>
    <row r="262" ht="24" customHeight="1">
      <c r="A262" s="29" t="inlineStr">
        <is>
          <t>OpenDART_fnlttSinglAcntAll</t>
        </is>
      </c>
      <c r="B262" s="29" t="inlineStr">
        <is>
          <t>01365825</t>
        </is>
      </c>
      <c r="C262" s="29" t="inlineStr">
        <is>
          <t>피에스케이</t>
        </is>
      </c>
      <c r="D262" s="29" t="inlineStr">
        <is>
          <t>psk</t>
        </is>
      </c>
      <c r="E262" s="29" t="inlineStr">
        <is>
          <t>319660</t>
        </is>
      </c>
      <c r="F262" s="29" t="inlineStr">
        <is>
          <t>2022</t>
        </is>
      </c>
      <c r="G262" s="29" t="inlineStr">
        <is>
          <t>CFS</t>
        </is>
      </c>
      <c r="H262" s="29" t="inlineStr">
        <is>
          <t>CF</t>
        </is>
      </c>
      <c r="I262" s="29" t="inlineStr">
        <is>
          <t>현금흐름표</t>
        </is>
      </c>
      <c r="J262" s="29" t="inlineStr">
        <is>
          <t>ifrs-full_PaymentsOfFinanceLeaseLiabilitiesClassifiedAsFinancingActivities</t>
        </is>
      </c>
      <c r="K262" s="29" t="inlineStr">
        <is>
          <t>리스자산/부채의 증감</t>
        </is>
      </c>
      <c r="L262" s="29" t="inlineStr">
        <is>
          <t>-</t>
        </is>
      </c>
      <c r="M262" s="29" t="inlineStr">
        <is>
          <t>제 4 기</t>
        </is>
      </c>
      <c r="N262" s="29" t="inlineStr">
        <is>
          <t>1911339779.0</t>
        </is>
      </c>
      <c r="O262" s="29" t="inlineStr">
        <is>
          <t>1659860849.0</t>
        </is>
      </c>
      <c r="P262" s="29" t="inlineStr">
        <is>
          <t>KRW</t>
        </is>
      </c>
      <c r="Q262" s="29" t="inlineStr">
        <is>
          <t>31</t>
        </is>
      </c>
    </row>
    <row r="263" ht="24" customHeight="1">
      <c r="A263" s="24" t="inlineStr">
        <is>
          <t>OpenDART_fnlttSinglAcntAll</t>
        </is>
      </c>
      <c r="B263" s="24" t="inlineStr">
        <is>
          <t>01365825</t>
        </is>
      </c>
      <c r="C263" s="24" t="inlineStr">
        <is>
          <t>피에스케이</t>
        </is>
      </c>
      <c r="D263" s="24" t="inlineStr">
        <is>
          <t>psk</t>
        </is>
      </c>
      <c r="E263" s="24" t="inlineStr">
        <is>
          <t>319660</t>
        </is>
      </c>
      <c r="F263" s="24" t="inlineStr">
        <is>
          <t>2022</t>
        </is>
      </c>
      <c r="G263" s="24" t="inlineStr">
        <is>
          <t>CFS</t>
        </is>
      </c>
      <c r="H263" s="24" t="inlineStr">
        <is>
          <t>CF</t>
        </is>
      </c>
      <c r="I263" s="24" t="inlineStr">
        <is>
          <t>현금흐름표</t>
        </is>
      </c>
      <c r="J263" s="24" t="inlineStr">
        <is>
          <t>ifrs-full_IncreaseDecreaseInCashAndCashEquivalentsBeforeEffectOfExchangeRateChanges</t>
        </is>
      </c>
      <c r="K263" s="24" t="inlineStr">
        <is>
          <t>환율변동효과 반영전 현금및현금성자산의 순증가(감소)</t>
        </is>
      </c>
      <c r="L263" s="24" t="inlineStr">
        <is>
          <t>-</t>
        </is>
      </c>
      <c r="M263" s="24" t="inlineStr">
        <is>
          <t>제 4 기</t>
        </is>
      </c>
      <c r="N263" s="24" t="inlineStr">
        <is>
          <t>-8167325060.0</t>
        </is>
      </c>
      <c r="O263" s="24" t="inlineStr">
        <is>
          <t>26693940351.0</t>
        </is>
      </c>
      <c r="P263" s="24" t="inlineStr">
        <is>
          <t>KRW</t>
        </is>
      </c>
      <c r="Q263" s="24" t="inlineStr">
        <is>
          <t>32</t>
        </is>
      </c>
    </row>
    <row r="264" ht="24" customHeight="1">
      <c r="A264" s="29" t="inlineStr">
        <is>
          <t>OpenDART_fnlttSinglAcntAll</t>
        </is>
      </c>
      <c r="B264" s="29" t="inlineStr">
        <is>
          <t>01365825</t>
        </is>
      </c>
      <c r="C264" s="29" t="inlineStr">
        <is>
          <t>피에스케이</t>
        </is>
      </c>
      <c r="D264" s="29" t="inlineStr">
        <is>
          <t>psk</t>
        </is>
      </c>
      <c r="E264" s="29" t="inlineStr">
        <is>
          <t>319660</t>
        </is>
      </c>
      <c r="F264" s="29" t="inlineStr">
        <is>
          <t>2022</t>
        </is>
      </c>
      <c r="G264" s="29" t="inlineStr">
        <is>
          <t>CFS</t>
        </is>
      </c>
      <c r="H264" s="29" t="inlineStr">
        <is>
          <t>CF</t>
        </is>
      </c>
      <c r="I264" s="29" t="inlineStr">
        <is>
          <t>현금흐름표</t>
        </is>
      </c>
      <c r="J264" s="29" t="inlineStr">
        <is>
          <t>ifrs-full_EffectOfExchangeRateChangesOnCashAndCashEquivalents</t>
        </is>
      </c>
      <c r="K264" s="29" t="inlineStr">
        <is>
          <t>현금및현금성자산에 대한 환율변동효과</t>
        </is>
      </c>
      <c r="L264" s="29" t="inlineStr">
        <is>
          <t>-</t>
        </is>
      </c>
      <c r="M264" s="29" t="inlineStr">
        <is>
          <t>제 4 기</t>
        </is>
      </c>
      <c r="N264" s="29" t="inlineStr">
        <is>
          <t>-1940566055.0</t>
        </is>
      </c>
      <c r="O264" s="29" t="inlineStr">
        <is>
          <t>2292874475.0</t>
        </is>
      </c>
      <c r="P264" s="29" t="inlineStr">
        <is>
          <t>KRW</t>
        </is>
      </c>
      <c r="Q264" s="29" t="inlineStr">
        <is>
          <t>33</t>
        </is>
      </c>
    </row>
    <row r="265" ht="24" customHeight="1">
      <c r="A265" s="24" t="inlineStr">
        <is>
          <t>OpenDART_fnlttSinglAcntAll</t>
        </is>
      </c>
      <c r="B265" s="24" t="inlineStr">
        <is>
          <t>01365825</t>
        </is>
      </c>
      <c r="C265" s="24" t="inlineStr">
        <is>
          <t>피에스케이</t>
        </is>
      </c>
      <c r="D265" s="24" t="inlineStr">
        <is>
          <t>psk</t>
        </is>
      </c>
      <c r="E265" s="24" t="inlineStr">
        <is>
          <t>319660</t>
        </is>
      </c>
      <c r="F265" s="24" t="inlineStr">
        <is>
          <t>2022</t>
        </is>
      </c>
      <c r="G265" s="24" t="inlineStr">
        <is>
          <t>CFS</t>
        </is>
      </c>
      <c r="H265" s="24" t="inlineStr">
        <is>
          <t>CF</t>
        </is>
      </c>
      <c r="I265" s="24" t="inlineStr">
        <is>
          <t>현금흐름표</t>
        </is>
      </c>
      <c r="J265" s="24" t="inlineStr">
        <is>
          <t>ifrs-full_IncreaseDecreaseInCashAndCashEquivalents</t>
        </is>
      </c>
      <c r="K265" s="24" t="inlineStr">
        <is>
          <t>현금및현금성자산의순증가(감소)</t>
        </is>
      </c>
      <c r="L265" s="24" t="inlineStr">
        <is>
          <t>-</t>
        </is>
      </c>
      <c r="M265" s="24" t="inlineStr">
        <is>
          <t>제 4 기</t>
        </is>
      </c>
      <c r="N265" s="24" t="inlineStr">
        <is>
          <t>-10107891115.0</t>
        </is>
      </c>
      <c r="O265" s="24" t="inlineStr">
        <is>
          <t>28986814826.0</t>
        </is>
      </c>
      <c r="P265" s="24" t="inlineStr">
        <is>
          <t>KRW</t>
        </is>
      </c>
      <c r="Q265" s="24" t="inlineStr">
        <is>
          <t>34</t>
        </is>
      </c>
    </row>
    <row r="266" ht="24" customHeight="1">
      <c r="A266" s="29" t="inlineStr">
        <is>
          <t>OpenDART_fnlttSinglAcntAll</t>
        </is>
      </c>
      <c r="B266" s="29" t="inlineStr">
        <is>
          <t>01365825</t>
        </is>
      </c>
      <c r="C266" s="29" t="inlineStr">
        <is>
          <t>피에스케이</t>
        </is>
      </c>
      <c r="D266" s="29" t="inlineStr">
        <is>
          <t>psk</t>
        </is>
      </c>
      <c r="E266" s="29" t="inlineStr">
        <is>
          <t>319660</t>
        </is>
      </c>
      <c r="F266" s="29" t="inlineStr">
        <is>
          <t>2022</t>
        </is>
      </c>
      <c r="G266" s="29" t="inlineStr">
        <is>
          <t>CFS</t>
        </is>
      </c>
      <c r="H266" s="29" t="inlineStr">
        <is>
          <t>CF</t>
        </is>
      </c>
      <c r="I266" s="29" t="inlineStr">
        <is>
          <t>현금흐름표</t>
        </is>
      </c>
      <c r="J266" s="29" t="inlineStr">
        <is>
          <t>dart_CashAndCashEquivalentsAtBeginningOfPeriodCf</t>
        </is>
      </c>
      <c r="K266" s="29" t="inlineStr">
        <is>
          <t>기초현금및현금성자산</t>
        </is>
      </c>
      <c r="L266" s="29" t="inlineStr">
        <is>
          <t>-</t>
        </is>
      </c>
      <c r="M266" s="29" t="inlineStr">
        <is>
          <t>제 4 기</t>
        </is>
      </c>
      <c r="N266" s="29" t="inlineStr">
        <is>
          <t>66073865022.0</t>
        </is>
      </c>
      <c r="O266" s="29" t="inlineStr">
        <is>
          <t>37087050196.0</t>
        </is>
      </c>
      <c r="P266" s="29" t="inlineStr">
        <is>
          <t>KRW</t>
        </is>
      </c>
      <c r="Q266" s="29" t="inlineStr">
        <is>
          <t>35</t>
        </is>
      </c>
    </row>
    <row r="267" ht="24" customHeight="1">
      <c r="A267" s="24" t="inlineStr">
        <is>
          <t>OpenDART_fnlttSinglAcntAll</t>
        </is>
      </c>
      <c r="B267" s="24" t="inlineStr">
        <is>
          <t>01365825</t>
        </is>
      </c>
      <c r="C267" s="24" t="inlineStr">
        <is>
          <t>피에스케이</t>
        </is>
      </c>
      <c r="D267" s="24" t="inlineStr">
        <is>
          <t>psk</t>
        </is>
      </c>
      <c r="E267" s="24" t="inlineStr">
        <is>
          <t>319660</t>
        </is>
      </c>
      <c r="F267" s="24" t="inlineStr">
        <is>
          <t>2022</t>
        </is>
      </c>
      <c r="G267" s="24" t="inlineStr">
        <is>
          <t>CFS</t>
        </is>
      </c>
      <c r="H267" s="24" t="inlineStr">
        <is>
          <t>CF</t>
        </is>
      </c>
      <c r="I267" s="24" t="inlineStr">
        <is>
          <t>현금흐름표</t>
        </is>
      </c>
      <c r="J267" s="24" t="inlineStr">
        <is>
          <t>dart_CashAndCashEquivalentsAtEndOfPeriodCf</t>
        </is>
      </c>
      <c r="K267" s="24" t="inlineStr">
        <is>
          <t>기말현금및현금성자산</t>
        </is>
      </c>
      <c r="L267" s="24" t="inlineStr">
        <is>
          <t>-</t>
        </is>
      </c>
      <c r="M267" s="24" t="inlineStr">
        <is>
          <t>제 4 기</t>
        </is>
      </c>
      <c r="N267" s="24" t="inlineStr">
        <is>
          <t>55965973907.0</t>
        </is>
      </c>
      <c r="O267" s="24" t="inlineStr">
        <is>
          <t>66073865022.0</t>
        </is>
      </c>
      <c r="P267" s="24" t="inlineStr">
        <is>
          <t>KRW</t>
        </is>
      </c>
      <c r="Q267" s="24" t="inlineStr">
        <is>
          <t>36</t>
        </is>
      </c>
    </row>
    <row r="268" ht="24" customHeight="1">
      <c r="A268" s="29" t="inlineStr">
        <is>
          <t>OpenDART_fnlttSinglAcntAll</t>
        </is>
      </c>
      <c r="B268" s="29" t="inlineStr">
        <is>
          <t>01365825</t>
        </is>
      </c>
      <c r="C268" s="29" t="inlineStr">
        <is>
          <t>피에스케이</t>
        </is>
      </c>
      <c r="D268" s="29" t="inlineStr">
        <is>
          <t>psk</t>
        </is>
      </c>
      <c r="E268" s="29" t="inlineStr">
        <is>
          <t>319660</t>
        </is>
      </c>
      <c r="F268" s="29" t="inlineStr">
        <is>
          <t>2022</t>
        </is>
      </c>
      <c r="G268" s="29" t="inlineStr">
        <is>
          <t>CFS</t>
        </is>
      </c>
      <c r="H268" s="29" t="inlineStr">
        <is>
          <t>SCE</t>
        </is>
      </c>
      <c r="I268" s="29" t="inlineStr">
        <is>
          <t>자본변동표</t>
        </is>
      </c>
      <c r="J268" s="29" t="inlineStr">
        <is>
          <t>dart_EquityAtBeginningOfPeriod</t>
        </is>
      </c>
      <c r="K268" s="29" t="inlineStr">
        <is>
          <t>기초자본</t>
        </is>
      </c>
      <c r="L268" s="29" t="inlineStr">
        <is>
          <t>연결재무제표 [member]</t>
        </is>
      </c>
      <c r="M268" s="29" t="inlineStr">
        <is>
          <t>제 4 기</t>
        </is>
      </c>
      <c r="N268" s="29" t="inlineStr">
        <is>
          <t>289070957803.0</t>
        </is>
      </c>
      <c r="O268" s="29" t="inlineStr">
        <is>
          <t>217378903845.0</t>
        </is>
      </c>
      <c r="P268" s="29" t="inlineStr">
        <is>
          <t>KRW</t>
        </is>
      </c>
      <c r="Q268" s="29" t="inlineStr">
        <is>
          <t>1</t>
        </is>
      </c>
    </row>
    <row r="269" ht="24" customHeight="1">
      <c r="A269" s="24" t="inlineStr">
        <is>
          <t>OpenDART_fnlttSinglAcntAll</t>
        </is>
      </c>
      <c r="B269" s="24" t="inlineStr">
        <is>
          <t>01365825</t>
        </is>
      </c>
      <c r="C269" s="24" t="inlineStr">
        <is>
          <t>피에스케이</t>
        </is>
      </c>
      <c r="D269" s="24" t="inlineStr">
        <is>
          <t>psk</t>
        </is>
      </c>
      <c r="E269" s="24" t="inlineStr">
        <is>
          <t>319660</t>
        </is>
      </c>
      <c r="F269" s="24" t="inlineStr">
        <is>
          <t>2022</t>
        </is>
      </c>
      <c r="G269" s="24" t="inlineStr">
        <is>
          <t>CFS</t>
        </is>
      </c>
      <c r="H269" s="24" t="inlineStr">
        <is>
          <t>SCE</t>
        </is>
      </c>
      <c r="I269" s="24" t="inlineStr">
        <is>
          <t>자본변동표</t>
        </is>
      </c>
      <c r="J269" s="24" t="inlineStr">
        <is>
          <t>dart_EquityAtBeginningOfPeriod</t>
        </is>
      </c>
      <c r="K269" s="24" t="inlineStr">
        <is>
          <t>기초자본</t>
        </is>
      </c>
      <c r="L269" s="24" t="inlineStr">
        <is>
          <t>자본 [member]|비지배지분 [member]</t>
        </is>
      </c>
      <c r="M269" s="24" t="inlineStr">
        <is>
          <t>제 4 기</t>
        </is>
      </c>
      <c r="N269" s="24" t="inlineStr">
        <is>
          <t>0.0</t>
        </is>
      </c>
      <c r="O269" s="24" t="inlineStr">
        <is>
          <t>0.0</t>
        </is>
      </c>
      <c r="P269" s="24" t="inlineStr">
        <is>
          <t>KRW</t>
        </is>
      </c>
      <c r="Q269" s="24" t="inlineStr">
        <is>
          <t>1</t>
        </is>
      </c>
    </row>
    <row r="270" ht="24" customHeight="1">
      <c r="A270" s="29" t="inlineStr">
        <is>
          <t>OpenDART_fnlttSinglAcntAll</t>
        </is>
      </c>
      <c r="B270" s="29" t="inlineStr">
        <is>
          <t>01365825</t>
        </is>
      </c>
      <c r="C270" s="29" t="inlineStr">
        <is>
          <t>피에스케이</t>
        </is>
      </c>
      <c r="D270" s="29" t="inlineStr">
        <is>
          <t>psk</t>
        </is>
      </c>
      <c r="E270" s="29" t="inlineStr">
        <is>
          <t>319660</t>
        </is>
      </c>
      <c r="F270" s="29" t="inlineStr">
        <is>
          <t>2022</t>
        </is>
      </c>
      <c r="G270" s="29" t="inlineStr">
        <is>
          <t>CFS</t>
        </is>
      </c>
      <c r="H270" s="29" t="inlineStr">
        <is>
          <t>SCE</t>
        </is>
      </c>
      <c r="I270" s="29" t="inlineStr">
        <is>
          <t>자본변동표</t>
        </is>
      </c>
      <c r="J270" s="29" t="inlineStr">
        <is>
          <t>dart_EquityAtBeginningOfPeriod</t>
        </is>
      </c>
      <c r="K270" s="29" t="inlineStr">
        <is>
          <t>기초자본</t>
        </is>
      </c>
      <c r="L270" s="29" t="inlineStr">
        <is>
          <t>자본 [member]|지배기업의 소유주에게 귀속되는 자본 [member]</t>
        </is>
      </c>
      <c r="M270" s="29" t="inlineStr">
        <is>
          <t>제 4 기</t>
        </is>
      </c>
      <c r="N270" s="29" t="inlineStr">
        <is>
          <t>289070957803.0</t>
        </is>
      </c>
      <c r="O270" s="29" t="inlineStr">
        <is>
          <t>217378903845.0</t>
        </is>
      </c>
      <c r="P270" s="29" t="inlineStr">
        <is>
          <t>KRW</t>
        </is>
      </c>
      <c r="Q270" s="29" t="inlineStr">
        <is>
          <t>1</t>
        </is>
      </c>
    </row>
    <row r="271" ht="24" customHeight="1">
      <c r="A271" s="24" t="inlineStr">
        <is>
          <t>OpenDART_fnlttSinglAcntAll</t>
        </is>
      </c>
      <c r="B271" s="24" t="inlineStr">
        <is>
          <t>01365825</t>
        </is>
      </c>
      <c r="C271" s="24" t="inlineStr">
        <is>
          <t>피에스케이</t>
        </is>
      </c>
      <c r="D271" s="24" t="inlineStr">
        <is>
          <t>psk</t>
        </is>
      </c>
      <c r="E271" s="24" t="inlineStr">
        <is>
          <t>319660</t>
        </is>
      </c>
      <c r="F271" s="24" t="inlineStr">
        <is>
          <t>2022</t>
        </is>
      </c>
      <c r="G271" s="24" t="inlineStr">
        <is>
          <t>CFS</t>
        </is>
      </c>
      <c r="H271" s="24" t="inlineStr">
        <is>
          <t>SCE</t>
        </is>
      </c>
      <c r="I271" s="24" t="inlineStr">
        <is>
          <t>자본변동표</t>
        </is>
      </c>
      <c r="J271" s="24" t="inlineStr">
        <is>
          <t>dart_EquityAtBeginningOfPeriod</t>
        </is>
      </c>
      <c r="K271" s="24" t="inlineStr">
        <is>
          <t>기초자본</t>
        </is>
      </c>
      <c r="L271" s="24" t="inlineStr">
        <is>
          <t>자본 [member]|지배기업의 소유주에게 귀속되는 자본 [member]|자본금 [member]</t>
        </is>
      </c>
      <c r="M271" s="24" t="inlineStr">
        <is>
          <t>제 4 기</t>
        </is>
      </c>
      <c r="N271" s="24" t="inlineStr">
        <is>
          <t>7382510000.0</t>
        </is>
      </c>
      <c r="O271" s="24" t="inlineStr">
        <is>
          <t>7382510000.0</t>
        </is>
      </c>
      <c r="P271" s="24" t="inlineStr">
        <is>
          <t>KRW</t>
        </is>
      </c>
      <c r="Q271" s="24" t="inlineStr">
        <is>
          <t>1</t>
        </is>
      </c>
    </row>
    <row r="272" ht="24" customHeight="1">
      <c r="A272" s="29" t="inlineStr">
        <is>
          <t>OpenDART_fnlttSinglAcntAll</t>
        </is>
      </c>
      <c r="B272" s="29" t="inlineStr">
        <is>
          <t>01365825</t>
        </is>
      </c>
      <c r="C272" s="29" t="inlineStr">
        <is>
          <t>피에스케이</t>
        </is>
      </c>
      <c r="D272" s="29" t="inlineStr">
        <is>
          <t>psk</t>
        </is>
      </c>
      <c r="E272" s="29" t="inlineStr">
        <is>
          <t>319660</t>
        </is>
      </c>
      <c r="F272" s="29" t="inlineStr">
        <is>
          <t>2022</t>
        </is>
      </c>
      <c r="G272" s="29" t="inlineStr">
        <is>
          <t>CFS</t>
        </is>
      </c>
      <c r="H272" s="29" t="inlineStr">
        <is>
          <t>SCE</t>
        </is>
      </c>
      <c r="I272" s="29" t="inlineStr">
        <is>
          <t>자본변동표</t>
        </is>
      </c>
      <c r="J272" s="29" t="inlineStr">
        <is>
          <t>dart_EquityAtBeginningOfPeriod</t>
        </is>
      </c>
      <c r="K272" s="29" t="inlineStr">
        <is>
          <t>기초자본</t>
        </is>
      </c>
      <c r="L272" s="29" t="inlineStr">
        <is>
          <t>자본 [member]|지배기업의 소유주에게 귀속되는 자본 [member]|기타자본구성요소 [member]</t>
        </is>
      </c>
      <c r="M272" s="29" t="inlineStr">
        <is>
          <t>제 4 기</t>
        </is>
      </c>
      <c r="N272" s="29" t="inlineStr">
        <is>
          <t>2541260380.0</t>
        </is>
      </c>
      <c r="O272" s="29" t="inlineStr">
        <is>
          <t>487545360.0</t>
        </is>
      </c>
      <c r="P272" s="29" t="inlineStr">
        <is>
          <t>KRW</t>
        </is>
      </c>
      <c r="Q272" s="29" t="inlineStr">
        <is>
          <t>1</t>
        </is>
      </c>
    </row>
    <row r="273" ht="24" customHeight="1">
      <c r="A273" s="24" t="inlineStr">
        <is>
          <t>OpenDART_fnlttSinglAcntAll</t>
        </is>
      </c>
      <c r="B273" s="24" t="inlineStr">
        <is>
          <t>01365825</t>
        </is>
      </c>
      <c r="C273" s="24" t="inlineStr">
        <is>
          <t>피에스케이</t>
        </is>
      </c>
      <c r="D273" s="24" t="inlineStr">
        <is>
          <t>psk</t>
        </is>
      </c>
      <c r="E273" s="24" t="inlineStr">
        <is>
          <t>319660</t>
        </is>
      </c>
      <c r="F273" s="24" t="inlineStr">
        <is>
          <t>2022</t>
        </is>
      </c>
      <c r="G273" s="24" t="inlineStr">
        <is>
          <t>CFS</t>
        </is>
      </c>
      <c r="H273" s="24" t="inlineStr">
        <is>
          <t>SCE</t>
        </is>
      </c>
      <c r="I273" s="24" t="inlineStr">
        <is>
          <t>자본변동표</t>
        </is>
      </c>
      <c r="J273" s="24" t="inlineStr">
        <is>
          <t>dart_EquityAtBeginningOfPeriod</t>
        </is>
      </c>
      <c r="K273" s="24" t="inlineStr">
        <is>
          <t>기초자본</t>
        </is>
      </c>
      <c r="L273" s="24" t="inlineStr">
        <is>
          <t>자본 [member]|지배기업의 소유주에게 귀속되는 자본 [member]|이익잉여금 [member]</t>
        </is>
      </c>
      <c r="M273" s="24" t="inlineStr">
        <is>
          <t>제 4 기</t>
        </is>
      </c>
      <c r="N273" s="24" t="inlineStr">
        <is>
          <t>104197668466.0</t>
        </is>
      </c>
      <c r="O273" s="24" t="inlineStr">
        <is>
          <t>32572250613.0</t>
        </is>
      </c>
      <c r="P273" s="24" t="inlineStr">
        <is>
          <t>KRW</t>
        </is>
      </c>
      <c r="Q273" s="24" t="inlineStr">
        <is>
          <t>1</t>
        </is>
      </c>
    </row>
    <row r="274" ht="24" customHeight="1">
      <c r="A274" s="29" t="inlineStr">
        <is>
          <t>OpenDART_fnlttSinglAcntAll</t>
        </is>
      </c>
      <c r="B274" s="29" t="inlineStr">
        <is>
          <t>01365825</t>
        </is>
      </c>
      <c r="C274" s="29" t="inlineStr">
        <is>
          <t>피에스케이</t>
        </is>
      </c>
      <c r="D274" s="29" t="inlineStr">
        <is>
          <t>psk</t>
        </is>
      </c>
      <c r="E274" s="29" t="inlineStr">
        <is>
          <t>319660</t>
        </is>
      </c>
      <c r="F274" s="29" t="inlineStr">
        <is>
          <t>2022</t>
        </is>
      </c>
      <c r="G274" s="29" t="inlineStr">
        <is>
          <t>CFS</t>
        </is>
      </c>
      <c r="H274" s="29" t="inlineStr">
        <is>
          <t>SCE</t>
        </is>
      </c>
      <c r="I274" s="29" t="inlineStr">
        <is>
          <t>자본변동표</t>
        </is>
      </c>
      <c r="J274" s="29" t="inlineStr">
        <is>
          <t>dart_EquityAtBeginningOfPeriod</t>
        </is>
      </c>
      <c r="K274" s="29" t="inlineStr">
        <is>
          <t>기초자본</t>
        </is>
      </c>
      <c r="L274" s="29" t="inlineStr">
        <is>
          <t>자본 [member]|지배기업의 소유주에게 귀속되는 자본 [member]|기타불입자본</t>
        </is>
      </c>
      <c r="M274" s="29" t="inlineStr">
        <is>
          <t>제 4 기</t>
        </is>
      </c>
      <c r="N274" s="29" t="inlineStr">
        <is>
          <t>174949518957.0</t>
        </is>
      </c>
      <c r="O274" s="29" t="inlineStr">
        <is>
          <t>176936597872.0</t>
        </is>
      </c>
      <c r="P274" s="29" t="inlineStr">
        <is>
          <t>KRW</t>
        </is>
      </c>
      <c r="Q274" s="29" t="inlineStr">
        <is>
          <t>1</t>
        </is>
      </c>
    </row>
    <row r="275" ht="24" customHeight="1">
      <c r="A275" s="24" t="inlineStr">
        <is>
          <t>OpenDART_fnlttSinglAcntAll</t>
        </is>
      </c>
      <c r="B275" s="24" t="inlineStr">
        <is>
          <t>01365825</t>
        </is>
      </c>
      <c r="C275" s="24" t="inlineStr">
        <is>
          <t>피에스케이</t>
        </is>
      </c>
      <c r="D275" s="24" t="inlineStr">
        <is>
          <t>psk</t>
        </is>
      </c>
      <c r="E275" s="24" t="inlineStr">
        <is>
          <t>319660</t>
        </is>
      </c>
      <c r="F275" s="24" t="inlineStr">
        <is>
          <t>2022</t>
        </is>
      </c>
      <c r="G275" s="24" t="inlineStr">
        <is>
          <t>CFS</t>
        </is>
      </c>
      <c r="H275" s="24" t="inlineStr">
        <is>
          <t>SCE</t>
        </is>
      </c>
      <c r="I275" s="24" t="inlineStr">
        <is>
          <t>자본변동표</t>
        </is>
      </c>
      <c r="J275" s="24" t="inlineStr">
        <is>
          <t>ifrs-full_ProfitLoss</t>
        </is>
      </c>
      <c r="K275" s="24" t="inlineStr">
        <is>
          <t>당기순이익(손실)</t>
        </is>
      </c>
      <c r="L275" s="24" t="inlineStr">
        <is>
          <t>자본 [member]|비지배지분 [member]</t>
        </is>
      </c>
      <c r="M275" s="24" t="inlineStr">
        <is>
          <t>제 4 기</t>
        </is>
      </c>
      <c r="N275" s="24" t="inlineStr">
        <is>
          <t>0.0</t>
        </is>
      </c>
      <c r="O275" s="24" t="inlineStr">
        <is>
          <t>0.0</t>
        </is>
      </c>
      <c r="P275" s="24" t="inlineStr">
        <is>
          <t>KRW</t>
        </is>
      </c>
      <c r="Q275" s="24" t="inlineStr">
        <is>
          <t>2</t>
        </is>
      </c>
    </row>
    <row r="276" ht="24" customHeight="1">
      <c r="A276" s="29" t="inlineStr">
        <is>
          <t>OpenDART_fnlttSinglAcntAll</t>
        </is>
      </c>
      <c r="B276" s="29" t="inlineStr">
        <is>
          <t>01365825</t>
        </is>
      </c>
      <c r="C276" s="29" t="inlineStr">
        <is>
          <t>피에스케이</t>
        </is>
      </c>
      <c r="D276" s="29" t="inlineStr">
        <is>
          <t>psk</t>
        </is>
      </c>
      <c r="E276" s="29" t="inlineStr">
        <is>
          <t>319660</t>
        </is>
      </c>
      <c r="F276" s="29" t="inlineStr">
        <is>
          <t>2022</t>
        </is>
      </c>
      <c r="G276" s="29" t="inlineStr">
        <is>
          <t>CFS</t>
        </is>
      </c>
      <c r="H276" s="29" t="inlineStr">
        <is>
          <t>SCE</t>
        </is>
      </c>
      <c r="I276" s="29" t="inlineStr">
        <is>
          <t>자본변동표</t>
        </is>
      </c>
      <c r="J276" s="29" t="inlineStr">
        <is>
          <t>ifrs-full_ProfitLoss</t>
        </is>
      </c>
      <c r="K276" s="29" t="inlineStr">
        <is>
          <t>당기순이익(손실)</t>
        </is>
      </c>
      <c r="L276" s="29" t="inlineStr">
        <is>
          <t>자본 [member]|지배기업의 소유주에게 귀속되는 자본 [member]</t>
        </is>
      </c>
      <c r="M276" s="29" t="inlineStr">
        <is>
          <t>제 4 기</t>
        </is>
      </c>
      <c r="N276" s="29" t="inlineStr">
        <is>
          <t>77443254531.0</t>
        </is>
      </c>
      <c r="O276" s="29" t="inlineStr">
        <is>
          <t>76728411521.0</t>
        </is>
      </c>
      <c r="P276" s="29" t="inlineStr">
        <is>
          <t>KRW</t>
        </is>
      </c>
      <c r="Q276" s="29" t="inlineStr">
        <is>
          <t>2</t>
        </is>
      </c>
    </row>
    <row r="277" ht="24" customHeight="1">
      <c r="A277" s="24" t="inlineStr">
        <is>
          <t>OpenDART_fnlttSinglAcntAll</t>
        </is>
      </c>
      <c r="B277" s="24" t="inlineStr">
        <is>
          <t>01365825</t>
        </is>
      </c>
      <c r="C277" s="24" t="inlineStr">
        <is>
          <t>피에스케이</t>
        </is>
      </c>
      <c r="D277" s="24" t="inlineStr">
        <is>
          <t>psk</t>
        </is>
      </c>
      <c r="E277" s="24" t="inlineStr">
        <is>
          <t>319660</t>
        </is>
      </c>
      <c r="F277" s="24" t="inlineStr">
        <is>
          <t>2022</t>
        </is>
      </c>
      <c r="G277" s="24" t="inlineStr">
        <is>
          <t>CFS</t>
        </is>
      </c>
      <c r="H277" s="24" t="inlineStr">
        <is>
          <t>SCE</t>
        </is>
      </c>
      <c r="I277" s="24" t="inlineStr">
        <is>
          <t>자본변동표</t>
        </is>
      </c>
      <c r="J277" s="24" t="inlineStr">
        <is>
          <t>ifrs-full_ProfitLoss</t>
        </is>
      </c>
      <c r="K277" s="24" t="inlineStr">
        <is>
          <t>당기순이익(손실)</t>
        </is>
      </c>
      <c r="L277" s="24" t="inlineStr">
        <is>
          <t>자본 [member]|지배기업의 소유주에게 귀속되는 자본 [member]|기타불입자본</t>
        </is>
      </c>
      <c r="M277" s="24" t="inlineStr">
        <is>
          <t>제 4 기</t>
        </is>
      </c>
      <c r="N277" s="24" t="inlineStr">
        <is>
          <t>0.0</t>
        </is>
      </c>
      <c r="O277" s="24" t="inlineStr">
        <is>
          <t>0.0</t>
        </is>
      </c>
      <c r="P277" s="24" t="inlineStr">
        <is>
          <t>KRW</t>
        </is>
      </c>
      <c r="Q277" s="24" t="inlineStr">
        <is>
          <t>2</t>
        </is>
      </c>
    </row>
    <row r="278" ht="24" customHeight="1">
      <c r="A278" s="29" t="inlineStr">
        <is>
          <t>OpenDART_fnlttSinglAcntAll</t>
        </is>
      </c>
      <c r="B278" s="29" t="inlineStr">
        <is>
          <t>01365825</t>
        </is>
      </c>
      <c r="C278" s="29" t="inlineStr">
        <is>
          <t>피에스케이</t>
        </is>
      </c>
      <c r="D278" s="29" t="inlineStr">
        <is>
          <t>psk</t>
        </is>
      </c>
      <c r="E278" s="29" t="inlineStr">
        <is>
          <t>319660</t>
        </is>
      </c>
      <c r="F278" s="29" t="inlineStr">
        <is>
          <t>2022</t>
        </is>
      </c>
      <c r="G278" s="29" t="inlineStr">
        <is>
          <t>CFS</t>
        </is>
      </c>
      <c r="H278" s="29" t="inlineStr">
        <is>
          <t>SCE</t>
        </is>
      </c>
      <c r="I278" s="29" t="inlineStr">
        <is>
          <t>자본변동표</t>
        </is>
      </c>
      <c r="J278" s="29" t="inlineStr">
        <is>
          <t>ifrs-full_ProfitLoss</t>
        </is>
      </c>
      <c r="K278" s="29" t="inlineStr">
        <is>
          <t>당기순이익(손실)</t>
        </is>
      </c>
      <c r="L278" s="29" t="inlineStr">
        <is>
          <t>자본 [member]|지배기업의 소유주에게 귀속되는 자본 [member]|기타자본구성요소 [member]</t>
        </is>
      </c>
      <c r="M278" s="29" t="inlineStr">
        <is>
          <t>제 4 기</t>
        </is>
      </c>
      <c r="N278" s="29" t="inlineStr">
        <is>
          <t>0.0</t>
        </is>
      </c>
      <c r="O278" s="29" t="inlineStr">
        <is>
          <t>0.0</t>
        </is>
      </c>
      <c r="P278" s="29" t="inlineStr">
        <is>
          <t>KRW</t>
        </is>
      </c>
      <c r="Q278" s="29" t="inlineStr">
        <is>
          <t>2</t>
        </is>
      </c>
    </row>
    <row r="279" ht="24" customHeight="1">
      <c r="A279" s="24" t="inlineStr">
        <is>
          <t>OpenDART_fnlttSinglAcntAll</t>
        </is>
      </c>
      <c r="B279" s="24" t="inlineStr">
        <is>
          <t>01365825</t>
        </is>
      </c>
      <c r="C279" s="24" t="inlineStr">
        <is>
          <t>피에스케이</t>
        </is>
      </c>
      <c r="D279" s="24" t="inlineStr">
        <is>
          <t>psk</t>
        </is>
      </c>
      <c r="E279" s="24" t="inlineStr">
        <is>
          <t>319660</t>
        </is>
      </c>
      <c r="F279" s="24" t="inlineStr">
        <is>
          <t>2022</t>
        </is>
      </c>
      <c r="G279" s="24" t="inlineStr">
        <is>
          <t>CFS</t>
        </is>
      </c>
      <c r="H279" s="24" t="inlineStr">
        <is>
          <t>SCE</t>
        </is>
      </c>
      <c r="I279" s="24" t="inlineStr">
        <is>
          <t>자본변동표</t>
        </is>
      </c>
      <c r="J279" s="24" t="inlineStr">
        <is>
          <t>ifrs-full_ProfitLoss</t>
        </is>
      </c>
      <c r="K279" s="24" t="inlineStr">
        <is>
          <t>당기순이익(손실)</t>
        </is>
      </c>
      <c r="L279" s="24" t="inlineStr">
        <is>
          <t>자본 [member]|지배기업의 소유주에게 귀속되는 자본 [member]|이익잉여금 [member]</t>
        </is>
      </c>
      <c r="M279" s="24" t="inlineStr">
        <is>
          <t>제 4 기</t>
        </is>
      </c>
      <c r="N279" s="24" t="inlineStr">
        <is>
          <t>77443254531.0</t>
        </is>
      </c>
      <c r="O279" s="24" t="inlineStr">
        <is>
          <t>76728411521.0</t>
        </is>
      </c>
      <c r="P279" s="24" t="inlineStr">
        <is>
          <t>KRW</t>
        </is>
      </c>
      <c r="Q279" s="24" t="inlineStr">
        <is>
          <t>2</t>
        </is>
      </c>
    </row>
    <row r="280" ht="24" customHeight="1">
      <c r="A280" s="29" t="inlineStr">
        <is>
          <t>OpenDART_fnlttSinglAcntAll</t>
        </is>
      </c>
      <c r="B280" s="29" t="inlineStr">
        <is>
          <t>01365825</t>
        </is>
      </c>
      <c r="C280" s="29" t="inlineStr">
        <is>
          <t>피에스케이</t>
        </is>
      </c>
      <c r="D280" s="29" t="inlineStr">
        <is>
          <t>psk</t>
        </is>
      </c>
      <c r="E280" s="29" t="inlineStr">
        <is>
          <t>319660</t>
        </is>
      </c>
      <c r="F280" s="29" t="inlineStr">
        <is>
          <t>2022</t>
        </is>
      </c>
      <c r="G280" s="29" t="inlineStr">
        <is>
          <t>CFS</t>
        </is>
      </c>
      <c r="H280" s="29" t="inlineStr">
        <is>
          <t>SCE</t>
        </is>
      </c>
      <c r="I280" s="29" t="inlineStr">
        <is>
          <t>자본변동표</t>
        </is>
      </c>
      <c r="J280" s="29" t="inlineStr">
        <is>
          <t>ifrs-full_ProfitLoss</t>
        </is>
      </c>
      <c r="K280" s="29" t="inlineStr">
        <is>
          <t>당기순이익(손실)</t>
        </is>
      </c>
      <c r="L280" s="29" t="inlineStr">
        <is>
          <t>자본 [member]|지배기업의 소유주에게 귀속되는 자본 [member]|자본금 [member]</t>
        </is>
      </c>
      <c r="M280" s="29" t="inlineStr">
        <is>
          <t>제 4 기</t>
        </is>
      </c>
      <c r="N280" s="29" t="inlineStr">
        <is>
          <t>0.0</t>
        </is>
      </c>
      <c r="O280" s="29" t="inlineStr">
        <is>
          <t>0.0</t>
        </is>
      </c>
      <c r="P280" s="29" t="inlineStr">
        <is>
          <t>KRW</t>
        </is>
      </c>
      <c r="Q280" s="29" t="inlineStr">
        <is>
          <t>2</t>
        </is>
      </c>
    </row>
    <row r="281" ht="24" customHeight="1">
      <c r="A281" s="24" t="inlineStr">
        <is>
          <t>OpenDART_fnlttSinglAcntAll</t>
        </is>
      </c>
      <c r="B281" s="24" t="inlineStr">
        <is>
          <t>01365825</t>
        </is>
      </c>
      <c r="C281" s="24" t="inlineStr">
        <is>
          <t>피에스케이</t>
        </is>
      </c>
      <c r="D281" s="24" t="inlineStr">
        <is>
          <t>psk</t>
        </is>
      </c>
      <c r="E281" s="24" t="inlineStr">
        <is>
          <t>319660</t>
        </is>
      </c>
      <c r="F281" s="24" t="inlineStr">
        <is>
          <t>2022</t>
        </is>
      </c>
      <c r="G281" s="24" t="inlineStr">
        <is>
          <t>CFS</t>
        </is>
      </c>
      <c r="H281" s="24" t="inlineStr">
        <is>
          <t>SCE</t>
        </is>
      </c>
      <c r="I281" s="24" t="inlineStr">
        <is>
          <t>자본변동표</t>
        </is>
      </c>
      <c r="J281" s="24" t="inlineStr">
        <is>
          <t>ifrs-full_ProfitLoss</t>
        </is>
      </c>
      <c r="K281" s="24" t="inlineStr">
        <is>
          <t>당기순이익(손실)</t>
        </is>
      </c>
      <c r="L281" s="24" t="inlineStr">
        <is>
          <t>연결재무제표 [member]</t>
        </is>
      </c>
      <c r="M281" s="24" t="inlineStr">
        <is>
          <t>제 4 기</t>
        </is>
      </c>
      <c r="N281" s="24" t="inlineStr">
        <is>
          <t>77443254531.0</t>
        </is>
      </c>
      <c r="O281" s="24" t="inlineStr">
        <is>
          <t>76728411521.0</t>
        </is>
      </c>
      <c r="P281" s="24" t="inlineStr">
        <is>
          <t>KRW</t>
        </is>
      </c>
      <c r="Q281" s="24" t="inlineStr">
        <is>
          <t>2</t>
        </is>
      </c>
    </row>
    <row r="282" ht="24" customHeight="1">
      <c r="A282" s="29" t="inlineStr">
        <is>
          <t>OpenDART_fnlttSinglAcntAll</t>
        </is>
      </c>
      <c r="B282" s="29" t="inlineStr">
        <is>
          <t>01365825</t>
        </is>
      </c>
      <c r="C282" s="29" t="inlineStr">
        <is>
          <t>피에스케이</t>
        </is>
      </c>
      <c r="D282" s="29" t="inlineStr">
        <is>
          <t>psk</t>
        </is>
      </c>
      <c r="E282" s="29" t="inlineStr">
        <is>
          <t>319660</t>
        </is>
      </c>
      <c r="F282" s="29" t="inlineStr">
        <is>
          <t>2022</t>
        </is>
      </c>
      <c r="G282" s="29" t="inlineStr">
        <is>
          <t>CFS</t>
        </is>
      </c>
      <c r="H282" s="29" t="inlineStr">
        <is>
          <t>SCE</t>
        </is>
      </c>
      <c r="I282" s="29" t="inlineStr">
        <is>
          <t>자본변동표</t>
        </is>
      </c>
      <c r="J282" s="29" t="inlineStr">
        <is>
          <t>-표준계정코드 미사용-</t>
        </is>
      </c>
      <c r="K282" s="29" t="inlineStr">
        <is>
          <t>해외사업환산손익</t>
        </is>
      </c>
      <c r="L282" s="29" t="inlineStr">
        <is>
          <t>연결재무제표 [member]</t>
        </is>
      </c>
      <c r="M282" s="29" t="inlineStr">
        <is>
          <t>제 4 기</t>
        </is>
      </c>
      <c r="N282" s="29" t="inlineStr">
        <is>
          <t>-681167147.0</t>
        </is>
      </c>
      <c r="O282" s="29" t="inlineStr">
        <is>
          <t>2053715020.0</t>
        </is>
      </c>
      <c r="P282" s="29" t="inlineStr">
        <is>
          <t>KRW</t>
        </is>
      </c>
      <c r="Q282" s="29" t="inlineStr">
        <is>
          <t>3</t>
        </is>
      </c>
    </row>
    <row r="283" ht="24" customHeight="1">
      <c r="A283" s="24" t="inlineStr">
        <is>
          <t>OpenDART_fnlttSinglAcntAll</t>
        </is>
      </c>
      <c r="B283" s="24" t="inlineStr">
        <is>
          <t>01365825</t>
        </is>
      </c>
      <c r="C283" s="24" t="inlineStr">
        <is>
          <t>피에스케이</t>
        </is>
      </c>
      <c r="D283" s="24" t="inlineStr">
        <is>
          <t>psk</t>
        </is>
      </c>
      <c r="E283" s="24" t="inlineStr">
        <is>
          <t>319660</t>
        </is>
      </c>
      <c r="F283" s="24" t="inlineStr">
        <is>
          <t>2022</t>
        </is>
      </c>
      <c r="G283" s="24" t="inlineStr">
        <is>
          <t>CFS</t>
        </is>
      </c>
      <c r="H283" s="24" t="inlineStr">
        <is>
          <t>SCE</t>
        </is>
      </c>
      <c r="I283" s="24" t="inlineStr">
        <is>
          <t>자본변동표</t>
        </is>
      </c>
      <c r="J283" s="24" t="inlineStr">
        <is>
          <t>-표준계정코드 미사용-</t>
        </is>
      </c>
      <c r="K283" s="24" t="inlineStr">
        <is>
          <t>해외사업환산손익</t>
        </is>
      </c>
      <c r="L283" s="24" t="inlineStr">
        <is>
          <t>자본 [member]|비지배지분 [member]</t>
        </is>
      </c>
      <c r="M283" s="24" t="inlineStr">
        <is>
          <t>제 4 기</t>
        </is>
      </c>
      <c r="N283" s="24" t="inlineStr">
        <is>
          <t>0.0</t>
        </is>
      </c>
      <c r="O283" s="24" t="inlineStr">
        <is>
          <t>0.0</t>
        </is>
      </c>
      <c r="P283" s="24" t="inlineStr">
        <is>
          <t>KRW</t>
        </is>
      </c>
      <c r="Q283" s="24" t="inlineStr">
        <is>
          <t>3</t>
        </is>
      </c>
    </row>
    <row r="284" ht="24" customHeight="1">
      <c r="A284" s="29" t="inlineStr">
        <is>
          <t>OpenDART_fnlttSinglAcntAll</t>
        </is>
      </c>
      <c r="B284" s="29" t="inlineStr">
        <is>
          <t>01365825</t>
        </is>
      </c>
      <c r="C284" s="29" t="inlineStr">
        <is>
          <t>피에스케이</t>
        </is>
      </c>
      <c r="D284" s="29" t="inlineStr">
        <is>
          <t>psk</t>
        </is>
      </c>
      <c r="E284" s="29" t="inlineStr">
        <is>
          <t>319660</t>
        </is>
      </c>
      <c r="F284" s="29" t="inlineStr">
        <is>
          <t>2022</t>
        </is>
      </c>
      <c r="G284" s="29" t="inlineStr">
        <is>
          <t>CFS</t>
        </is>
      </c>
      <c r="H284" s="29" t="inlineStr">
        <is>
          <t>SCE</t>
        </is>
      </c>
      <c r="I284" s="29" t="inlineStr">
        <is>
          <t>자본변동표</t>
        </is>
      </c>
      <c r="J284" s="29" t="inlineStr">
        <is>
          <t>-표준계정코드 미사용-</t>
        </is>
      </c>
      <c r="K284" s="29" t="inlineStr">
        <is>
          <t>해외사업환산손익</t>
        </is>
      </c>
      <c r="L284" s="29" t="inlineStr">
        <is>
          <t>자본 [member]|지배기업의 소유주에게 귀속되는 자본 [member]</t>
        </is>
      </c>
      <c r="M284" s="29" t="inlineStr">
        <is>
          <t>제 4 기</t>
        </is>
      </c>
      <c r="N284" s="29" t="inlineStr">
        <is>
          <t>-681167147.0</t>
        </is>
      </c>
      <c r="O284" s="29" t="inlineStr">
        <is>
          <t>2053715020.0</t>
        </is>
      </c>
      <c r="P284" s="29" t="inlineStr">
        <is>
          <t>KRW</t>
        </is>
      </c>
      <c r="Q284" s="29" t="inlineStr">
        <is>
          <t>3</t>
        </is>
      </c>
    </row>
    <row r="285" ht="24" customHeight="1">
      <c r="A285" s="24" t="inlineStr">
        <is>
          <t>OpenDART_fnlttSinglAcntAll</t>
        </is>
      </c>
      <c r="B285" s="24" t="inlineStr">
        <is>
          <t>01365825</t>
        </is>
      </c>
      <c r="C285" s="24" t="inlineStr">
        <is>
          <t>피에스케이</t>
        </is>
      </c>
      <c r="D285" s="24" t="inlineStr">
        <is>
          <t>psk</t>
        </is>
      </c>
      <c r="E285" s="24" t="inlineStr">
        <is>
          <t>319660</t>
        </is>
      </c>
      <c r="F285" s="24" t="inlineStr">
        <is>
          <t>2022</t>
        </is>
      </c>
      <c r="G285" s="24" t="inlineStr">
        <is>
          <t>CFS</t>
        </is>
      </c>
      <c r="H285" s="24" t="inlineStr">
        <is>
          <t>SCE</t>
        </is>
      </c>
      <c r="I285" s="24" t="inlineStr">
        <is>
          <t>자본변동표</t>
        </is>
      </c>
      <c r="J285" s="24" t="inlineStr">
        <is>
          <t>-표준계정코드 미사용-</t>
        </is>
      </c>
      <c r="K285" s="24" t="inlineStr">
        <is>
          <t>해외사업환산손익</t>
        </is>
      </c>
      <c r="L285" s="24" t="inlineStr">
        <is>
          <t>자본 [member]|지배기업의 소유주에게 귀속되는 자본 [member]|기타불입자본</t>
        </is>
      </c>
      <c r="M285" s="24" t="inlineStr">
        <is>
          <t>제 4 기</t>
        </is>
      </c>
      <c r="N285" s="24" t="inlineStr">
        <is>
          <t>0.0</t>
        </is>
      </c>
      <c r="O285" s="24" t="inlineStr">
        <is>
          <t>0.0</t>
        </is>
      </c>
      <c r="P285" s="24" t="inlineStr">
        <is>
          <t>KRW</t>
        </is>
      </c>
      <c r="Q285" s="24" t="inlineStr">
        <is>
          <t>3</t>
        </is>
      </c>
    </row>
    <row r="286" ht="24" customHeight="1">
      <c r="A286" s="29" t="inlineStr">
        <is>
          <t>OpenDART_fnlttSinglAcntAll</t>
        </is>
      </c>
      <c r="B286" s="29" t="inlineStr">
        <is>
          <t>01365825</t>
        </is>
      </c>
      <c r="C286" s="29" t="inlineStr">
        <is>
          <t>피에스케이</t>
        </is>
      </c>
      <c r="D286" s="29" t="inlineStr">
        <is>
          <t>psk</t>
        </is>
      </c>
      <c r="E286" s="29" t="inlineStr">
        <is>
          <t>319660</t>
        </is>
      </c>
      <c r="F286" s="29" t="inlineStr">
        <is>
          <t>2022</t>
        </is>
      </c>
      <c r="G286" s="29" t="inlineStr">
        <is>
          <t>CFS</t>
        </is>
      </c>
      <c r="H286" s="29" t="inlineStr">
        <is>
          <t>SCE</t>
        </is>
      </c>
      <c r="I286" s="29" t="inlineStr">
        <is>
          <t>자본변동표</t>
        </is>
      </c>
      <c r="J286" s="29" t="inlineStr">
        <is>
          <t>-표준계정코드 미사용-</t>
        </is>
      </c>
      <c r="K286" s="29" t="inlineStr">
        <is>
          <t>해외사업환산손익</t>
        </is>
      </c>
      <c r="L286" s="29" t="inlineStr">
        <is>
          <t>자본 [member]|지배기업의 소유주에게 귀속되는 자본 [member]|기타자본구성요소 [member]</t>
        </is>
      </c>
      <c r="M286" s="29" t="inlineStr">
        <is>
          <t>제 4 기</t>
        </is>
      </c>
      <c r="N286" s="29" t="inlineStr">
        <is>
          <t>-681167147.0</t>
        </is>
      </c>
      <c r="O286" s="29" t="inlineStr">
        <is>
          <t>2053715020.0</t>
        </is>
      </c>
      <c r="P286" s="29" t="inlineStr">
        <is>
          <t>KRW</t>
        </is>
      </c>
      <c r="Q286" s="29" t="inlineStr">
        <is>
          <t>3</t>
        </is>
      </c>
    </row>
    <row r="287" ht="24" customHeight="1">
      <c r="A287" s="24" t="inlineStr">
        <is>
          <t>OpenDART_fnlttSinglAcntAll</t>
        </is>
      </c>
      <c r="B287" s="24" t="inlineStr">
        <is>
          <t>01365825</t>
        </is>
      </c>
      <c r="C287" s="24" t="inlineStr">
        <is>
          <t>피에스케이</t>
        </is>
      </c>
      <c r="D287" s="24" t="inlineStr">
        <is>
          <t>psk</t>
        </is>
      </c>
      <c r="E287" s="24" t="inlineStr">
        <is>
          <t>319660</t>
        </is>
      </c>
      <c r="F287" s="24" t="inlineStr">
        <is>
          <t>2022</t>
        </is>
      </c>
      <c r="G287" s="24" t="inlineStr">
        <is>
          <t>CFS</t>
        </is>
      </c>
      <c r="H287" s="24" t="inlineStr">
        <is>
          <t>SCE</t>
        </is>
      </c>
      <c r="I287" s="24" t="inlineStr">
        <is>
          <t>자본변동표</t>
        </is>
      </c>
      <c r="J287" s="24" t="inlineStr">
        <is>
          <t>-표준계정코드 미사용-</t>
        </is>
      </c>
      <c r="K287" s="24" t="inlineStr">
        <is>
          <t>해외사업환산손익</t>
        </is>
      </c>
      <c r="L287" s="24" t="inlineStr">
        <is>
          <t>자본 [member]|지배기업의 소유주에게 귀속되는 자본 [member]|이익잉여금 [member]</t>
        </is>
      </c>
      <c r="M287" s="24" t="inlineStr">
        <is>
          <t>제 4 기</t>
        </is>
      </c>
      <c r="N287" s="24" t="inlineStr">
        <is>
          <t>0.0</t>
        </is>
      </c>
      <c r="O287" s="24" t="inlineStr">
        <is>
          <t>0.0</t>
        </is>
      </c>
      <c r="P287" s="24" t="inlineStr">
        <is>
          <t>KRW</t>
        </is>
      </c>
      <c r="Q287" s="24" t="inlineStr">
        <is>
          <t>3</t>
        </is>
      </c>
    </row>
    <row r="288" ht="24" customHeight="1">
      <c r="A288" s="29" t="inlineStr">
        <is>
          <t>OpenDART_fnlttSinglAcntAll</t>
        </is>
      </c>
      <c r="B288" s="29" t="inlineStr">
        <is>
          <t>01365825</t>
        </is>
      </c>
      <c r="C288" s="29" t="inlineStr">
        <is>
          <t>피에스케이</t>
        </is>
      </c>
      <c r="D288" s="29" t="inlineStr">
        <is>
          <t>psk</t>
        </is>
      </c>
      <c r="E288" s="29" t="inlineStr">
        <is>
          <t>319660</t>
        </is>
      </c>
      <c r="F288" s="29" t="inlineStr">
        <is>
          <t>2022</t>
        </is>
      </c>
      <c r="G288" s="29" t="inlineStr">
        <is>
          <t>CFS</t>
        </is>
      </c>
      <c r="H288" s="29" t="inlineStr">
        <is>
          <t>SCE</t>
        </is>
      </c>
      <c r="I288" s="29" t="inlineStr">
        <is>
          <t>자본변동표</t>
        </is>
      </c>
      <c r="J288" s="29" t="inlineStr">
        <is>
          <t>-표준계정코드 미사용-</t>
        </is>
      </c>
      <c r="K288" s="29" t="inlineStr">
        <is>
          <t>해외사업환산손익</t>
        </is>
      </c>
      <c r="L288" s="29" t="inlineStr">
        <is>
          <t>자본 [member]|지배기업의 소유주에게 귀속되는 자본 [member]|자본금 [member]</t>
        </is>
      </c>
      <c r="M288" s="29" t="inlineStr">
        <is>
          <t>제 4 기</t>
        </is>
      </c>
      <c r="N288" s="29" t="inlineStr">
        <is>
          <t>0.0</t>
        </is>
      </c>
      <c r="O288" s="29" t="inlineStr">
        <is>
          <t>0.0</t>
        </is>
      </c>
      <c r="P288" s="29" t="inlineStr">
        <is>
          <t>KRW</t>
        </is>
      </c>
      <c r="Q288" s="29" t="inlineStr">
        <is>
          <t>3</t>
        </is>
      </c>
    </row>
    <row r="289" ht="24" customHeight="1">
      <c r="A289" s="24" t="inlineStr">
        <is>
          <t>OpenDART_fnlttSinglAcntAll</t>
        </is>
      </c>
      <c r="B289" s="24" t="inlineStr">
        <is>
          <t>01365825</t>
        </is>
      </c>
      <c r="C289" s="24" t="inlineStr">
        <is>
          <t>피에스케이</t>
        </is>
      </c>
      <c r="D289" s="24" t="inlineStr">
        <is>
          <t>psk</t>
        </is>
      </c>
      <c r="E289" s="24" t="inlineStr">
        <is>
          <t>319660</t>
        </is>
      </c>
      <c r="F289" s="24" t="inlineStr">
        <is>
          <t>2022</t>
        </is>
      </c>
      <c r="G289" s="24" t="inlineStr">
        <is>
          <t>CFS</t>
        </is>
      </c>
      <c r="H289" s="24" t="inlineStr">
        <is>
          <t>SCE</t>
        </is>
      </c>
      <c r="I289" s="24" t="inlineStr">
        <is>
          <t>자본변동표</t>
        </is>
      </c>
      <c r="J289" s="24" t="inlineStr">
        <is>
          <t>-표준계정코드 미사용-</t>
        </is>
      </c>
      <c r="K289" s="24" t="inlineStr">
        <is>
          <t>순확정급여부채의 재측정요소</t>
        </is>
      </c>
      <c r="L289" s="24" t="inlineStr">
        <is>
          <t>자본 [member]|지배기업의 소유주에게 귀속되는 자본 [member]|자본금 [member]</t>
        </is>
      </c>
      <c r="M289" s="24" t="inlineStr">
        <is>
          <t>제 4 기</t>
        </is>
      </c>
      <c r="N289" s="24" t="inlineStr">
        <is>
          <t>0.0</t>
        </is>
      </c>
      <c r="O289" s="24" t="inlineStr">
        <is>
          <t>0.0</t>
        </is>
      </c>
      <c r="P289" s="24" t="inlineStr">
        <is>
          <t>KRW</t>
        </is>
      </c>
      <c r="Q289" s="24" t="inlineStr">
        <is>
          <t>4</t>
        </is>
      </c>
    </row>
    <row r="290" ht="24" customHeight="1">
      <c r="A290" s="29" t="inlineStr">
        <is>
          <t>OpenDART_fnlttSinglAcntAll</t>
        </is>
      </c>
      <c r="B290" s="29" t="inlineStr">
        <is>
          <t>01365825</t>
        </is>
      </c>
      <c r="C290" s="29" t="inlineStr">
        <is>
          <t>피에스케이</t>
        </is>
      </c>
      <c r="D290" s="29" t="inlineStr">
        <is>
          <t>psk</t>
        </is>
      </c>
      <c r="E290" s="29" t="inlineStr">
        <is>
          <t>319660</t>
        </is>
      </c>
      <c r="F290" s="29" t="inlineStr">
        <is>
          <t>2022</t>
        </is>
      </c>
      <c r="G290" s="29" t="inlineStr">
        <is>
          <t>CFS</t>
        </is>
      </c>
      <c r="H290" s="29" t="inlineStr">
        <is>
          <t>SCE</t>
        </is>
      </c>
      <c r="I290" s="29" t="inlineStr">
        <is>
          <t>자본변동표</t>
        </is>
      </c>
      <c r="J290" s="29" t="inlineStr">
        <is>
          <t>-표준계정코드 미사용-</t>
        </is>
      </c>
      <c r="K290" s="29" t="inlineStr">
        <is>
          <t>순확정급여부채의 재측정요소</t>
        </is>
      </c>
      <c r="L290" s="29" t="inlineStr">
        <is>
          <t>연결재무제표 [member]</t>
        </is>
      </c>
      <c r="M290" s="29" t="inlineStr">
        <is>
          <t>제 4 기</t>
        </is>
      </c>
      <c r="N290" s="29" t="inlineStr">
        <is>
          <t>1881895459.0</t>
        </is>
      </c>
      <c r="O290" s="29" t="inlineStr">
        <is>
          <t>-707465368.0</t>
        </is>
      </c>
      <c r="P290" s="29" t="inlineStr">
        <is>
          <t>KRW</t>
        </is>
      </c>
      <c r="Q290" s="29" t="inlineStr">
        <is>
          <t>4</t>
        </is>
      </c>
    </row>
    <row r="291" ht="24" customHeight="1">
      <c r="A291" s="24" t="inlineStr">
        <is>
          <t>OpenDART_fnlttSinglAcntAll</t>
        </is>
      </c>
      <c r="B291" s="24" t="inlineStr">
        <is>
          <t>01365825</t>
        </is>
      </c>
      <c r="C291" s="24" t="inlineStr">
        <is>
          <t>피에스케이</t>
        </is>
      </c>
      <c r="D291" s="24" t="inlineStr">
        <is>
          <t>psk</t>
        </is>
      </c>
      <c r="E291" s="24" t="inlineStr">
        <is>
          <t>319660</t>
        </is>
      </c>
      <c r="F291" s="24" t="inlineStr">
        <is>
          <t>2022</t>
        </is>
      </c>
      <c r="G291" s="24" t="inlineStr">
        <is>
          <t>CFS</t>
        </is>
      </c>
      <c r="H291" s="24" t="inlineStr">
        <is>
          <t>SCE</t>
        </is>
      </c>
      <c r="I291" s="24" t="inlineStr">
        <is>
          <t>자본변동표</t>
        </is>
      </c>
      <c r="J291" s="24" t="inlineStr">
        <is>
          <t>-표준계정코드 미사용-</t>
        </is>
      </c>
      <c r="K291" s="24" t="inlineStr">
        <is>
          <t>순확정급여부채의 재측정요소</t>
        </is>
      </c>
      <c r="L291" s="24" t="inlineStr">
        <is>
          <t>자본 [member]|비지배지분 [member]</t>
        </is>
      </c>
      <c r="M291" s="24" t="inlineStr">
        <is>
          <t>제 4 기</t>
        </is>
      </c>
      <c r="N291" s="24" t="inlineStr">
        <is>
          <t>0.0</t>
        </is>
      </c>
      <c r="O291" s="24" t="inlineStr">
        <is>
          <t>0.0</t>
        </is>
      </c>
      <c r="P291" s="24" t="inlineStr">
        <is>
          <t>KRW</t>
        </is>
      </c>
      <c r="Q291" s="24" t="inlineStr">
        <is>
          <t>4</t>
        </is>
      </c>
    </row>
    <row r="292" ht="24" customHeight="1">
      <c r="A292" s="29" t="inlineStr">
        <is>
          <t>OpenDART_fnlttSinglAcntAll</t>
        </is>
      </c>
      <c r="B292" s="29" t="inlineStr">
        <is>
          <t>01365825</t>
        </is>
      </c>
      <c r="C292" s="29" t="inlineStr">
        <is>
          <t>피에스케이</t>
        </is>
      </c>
      <c r="D292" s="29" t="inlineStr">
        <is>
          <t>psk</t>
        </is>
      </c>
      <c r="E292" s="29" t="inlineStr">
        <is>
          <t>319660</t>
        </is>
      </c>
      <c r="F292" s="29" t="inlineStr">
        <is>
          <t>2022</t>
        </is>
      </c>
      <c r="G292" s="29" t="inlineStr">
        <is>
          <t>CFS</t>
        </is>
      </c>
      <c r="H292" s="29" t="inlineStr">
        <is>
          <t>SCE</t>
        </is>
      </c>
      <c r="I292" s="29" t="inlineStr">
        <is>
          <t>자본변동표</t>
        </is>
      </c>
      <c r="J292" s="29" t="inlineStr">
        <is>
          <t>-표준계정코드 미사용-</t>
        </is>
      </c>
      <c r="K292" s="29" t="inlineStr">
        <is>
          <t>순확정급여부채의 재측정요소</t>
        </is>
      </c>
      <c r="L292" s="29" t="inlineStr">
        <is>
          <t>자본 [member]|지배기업의 소유주에게 귀속되는 자본 [member]</t>
        </is>
      </c>
      <c r="M292" s="29" t="inlineStr">
        <is>
          <t>제 4 기</t>
        </is>
      </c>
      <c r="N292" s="29" t="inlineStr">
        <is>
          <t>1881895459.0</t>
        </is>
      </c>
      <c r="O292" s="29" t="inlineStr">
        <is>
          <t>-707465368.0</t>
        </is>
      </c>
      <c r="P292" s="29" t="inlineStr">
        <is>
          <t>KRW</t>
        </is>
      </c>
      <c r="Q292" s="29" t="inlineStr">
        <is>
          <t>4</t>
        </is>
      </c>
    </row>
    <row r="293" ht="24" customHeight="1">
      <c r="A293" s="24" t="inlineStr">
        <is>
          <t>OpenDART_fnlttSinglAcntAll</t>
        </is>
      </c>
      <c r="B293" s="24" t="inlineStr">
        <is>
          <t>01365825</t>
        </is>
      </c>
      <c r="C293" s="24" t="inlineStr">
        <is>
          <t>피에스케이</t>
        </is>
      </c>
      <c r="D293" s="24" t="inlineStr">
        <is>
          <t>psk</t>
        </is>
      </c>
      <c r="E293" s="24" t="inlineStr">
        <is>
          <t>319660</t>
        </is>
      </c>
      <c r="F293" s="24" t="inlineStr">
        <is>
          <t>2022</t>
        </is>
      </c>
      <c r="G293" s="24" t="inlineStr">
        <is>
          <t>CFS</t>
        </is>
      </c>
      <c r="H293" s="24" t="inlineStr">
        <is>
          <t>SCE</t>
        </is>
      </c>
      <c r="I293" s="24" t="inlineStr">
        <is>
          <t>자본변동표</t>
        </is>
      </c>
      <c r="J293" s="24" t="inlineStr">
        <is>
          <t>-표준계정코드 미사용-</t>
        </is>
      </c>
      <c r="K293" s="24" t="inlineStr">
        <is>
          <t>순확정급여부채의 재측정요소</t>
        </is>
      </c>
      <c r="L293" s="24" t="inlineStr">
        <is>
          <t>자본 [member]|지배기업의 소유주에게 귀속되는 자본 [member]|기타불입자본</t>
        </is>
      </c>
      <c r="M293" s="24" t="inlineStr">
        <is>
          <t>제 4 기</t>
        </is>
      </c>
      <c r="N293" s="24" t="inlineStr">
        <is>
          <t>0.0</t>
        </is>
      </c>
      <c r="O293" s="24" t="inlineStr">
        <is>
          <t>0.0</t>
        </is>
      </c>
      <c r="P293" s="24" t="inlineStr">
        <is>
          <t>KRW</t>
        </is>
      </c>
      <c r="Q293" s="24" t="inlineStr">
        <is>
          <t>4</t>
        </is>
      </c>
    </row>
    <row r="294" ht="24" customHeight="1">
      <c r="A294" s="29" t="inlineStr">
        <is>
          <t>OpenDART_fnlttSinglAcntAll</t>
        </is>
      </c>
      <c r="B294" s="29" t="inlineStr">
        <is>
          <t>01365825</t>
        </is>
      </c>
      <c r="C294" s="29" t="inlineStr">
        <is>
          <t>피에스케이</t>
        </is>
      </c>
      <c r="D294" s="29" t="inlineStr">
        <is>
          <t>psk</t>
        </is>
      </c>
      <c r="E294" s="29" t="inlineStr">
        <is>
          <t>319660</t>
        </is>
      </c>
      <c r="F294" s="29" t="inlineStr">
        <is>
          <t>2022</t>
        </is>
      </c>
      <c r="G294" s="29" t="inlineStr">
        <is>
          <t>CFS</t>
        </is>
      </c>
      <c r="H294" s="29" t="inlineStr">
        <is>
          <t>SCE</t>
        </is>
      </c>
      <c r="I294" s="29" t="inlineStr">
        <is>
          <t>자본변동표</t>
        </is>
      </c>
      <c r="J294" s="29" t="inlineStr">
        <is>
          <t>-표준계정코드 미사용-</t>
        </is>
      </c>
      <c r="K294" s="29" t="inlineStr">
        <is>
          <t>순확정급여부채의 재측정요소</t>
        </is>
      </c>
      <c r="L294" s="29" t="inlineStr">
        <is>
          <t>자본 [member]|지배기업의 소유주에게 귀속되는 자본 [member]|이익잉여금 [member]</t>
        </is>
      </c>
      <c r="M294" s="29" t="inlineStr">
        <is>
          <t>제 4 기</t>
        </is>
      </c>
      <c r="N294" s="29" t="inlineStr">
        <is>
          <t>1881895459.0</t>
        </is>
      </c>
      <c r="O294" s="29" t="inlineStr">
        <is>
          <t>-707465368.0</t>
        </is>
      </c>
      <c r="P294" s="29" t="inlineStr">
        <is>
          <t>KRW</t>
        </is>
      </c>
      <c r="Q294" s="29" t="inlineStr">
        <is>
          <t>4</t>
        </is>
      </c>
    </row>
    <row r="295" ht="24" customHeight="1">
      <c r="A295" s="24" t="inlineStr">
        <is>
          <t>OpenDART_fnlttSinglAcntAll</t>
        </is>
      </c>
      <c r="B295" s="24" t="inlineStr">
        <is>
          <t>01365825</t>
        </is>
      </c>
      <c r="C295" s="24" t="inlineStr">
        <is>
          <t>피에스케이</t>
        </is>
      </c>
      <c r="D295" s="24" t="inlineStr">
        <is>
          <t>psk</t>
        </is>
      </c>
      <c r="E295" s="24" t="inlineStr">
        <is>
          <t>319660</t>
        </is>
      </c>
      <c r="F295" s="24" t="inlineStr">
        <is>
          <t>2022</t>
        </is>
      </c>
      <c r="G295" s="24" t="inlineStr">
        <is>
          <t>CFS</t>
        </is>
      </c>
      <c r="H295" s="24" t="inlineStr">
        <is>
          <t>SCE</t>
        </is>
      </c>
      <c r="I295" s="24" t="inlineStr">
        <is>
          <t>자본변동표</t>
        </is>
      </c>
      <c r="J295" s="24" t="inlineStr">
        <is>
          <t>-표준계정코드 미사용-</t>
        </is>
      </c>
      <c r="K295" s="24" t="inlineStr">
        <is>
          <t>순확정급여부채의 재측정요소</t>
        </is>
      </c>
      <c r="L295" s="24" t="inlineStr">
        <is>
          <t>자본 [member]|지배기업의 소유주에게 귀속되는 자본 [member]|기타자본구성요소 [member]</t>
        </is>
      </c>
      <c r="M295" s="24" t="inlineStr">
        <is>
          <t>제 4 기</t>
        </is>
      </c>
      <c r="N295" s="24" t="inlineStr">
        <is>
          <t>0.0</t>
        </is>
      </c>
      <c r="O295" s="24" t="inlineStr">
        <is>
          <t>0.0</t>
        </is>
      </c>
      <c r="P295" s="24" t="inlineStr">
        <is>
          <t>KRW</t>
        </is>
      </c>
      <c r="Q295" s="24" t="inlineStr">
        <is>
          <t>4</t>
        </is>
      </c>
    </row>
    <row r="296" ht="24" customHeight="1">
      <c r="A296" s="29" t="inlineStr">
        <is>
          <t>OpenDART_fnlttSinglAcntAll</t>
        </is>
      </c>
      <c r="B296" s="29" t="inlineStr">
        <is>
          <t>01365825</t>
        </is>
      </c>
      <c r="C296" s="29" t="inlineStr">
        <is>
          <t>피에스케이</t>
        </is>
      </c>
      <c r="D296" s="29" t="inlineStr">
        <is>
          <t>psk</t>
        </is>
      </c>
      <c r="E296" s="29" t="inlineStr">
        <is>
          <t>319660</t>
        </is>
      </c>
      <c r="F296" s="29" t="inlineStr">
        <is>
          <t>2022</t>
        </is>
      </c>
      <c r="G296" s="29" t="inlineStr">
        <is>
          <t>CFS</t>
        </is>
      </c>
      <c r="H296" s="29" t="inlineStr">
        <is>
          <t>SCE</t>
        </is>
      </c>
      <c r="I296" s="29" t="inlineStr">
        <is>
          <t>자본변동표</t>
        </is>
      </c>
      <c r="J296" s="29" t="inlineStr">
        <is>
          <t>dart_TreasuryShareTransactions</t>
        </is>
      </c>
      <c r="K296" s="29" t="inlineStr">
        <is>
          <t>자기주식 거래로 인한 증감</t>
        </is>
      </c>
      <c r="L296" s="29" t="inlineStr">
        <is>
          <t>자본 [member]|지배기업의 소유주에게 귀속되는 자본 [member]|이익잉여금 [member]</t>
        </is>
      </c>
      <c r="M296" s="29" t="inlineStr">
        <is>
          <t>제 4 기</t>
        </is>
      </c>
      <c r="N296" s="29" t="inlineStr">
        <is>
          <t>-9889377571.0</t>
        </is>
      </c>
      <c r="O296" s="29" t="inlineStr">
        <is>
          <t>0.0</t>
        </is>
      </c>
      <c r="P296" s="29" t="inlineStr">
        <is>
          <t>KRW</t>
        </is>
      </c>
      <c r="Q296" s="29" t="inlineStr">
        <is>
          <t>5</t>
        </is>
      </c>
    </row>
    <row r="297" ht="24" customHeight="1">
      <c r="A297" s="24" t="inlineStr">
        <is>
          <t>OpenDART_fnlttSinglAcntAll</t>
        </is>
      </c>
      <c r="B297" s="24" t="inlineStr">
        <is>
          <t>01365825</t>
        </is>
      </c>
      <c r="C297" s="24" t="inlineStr">
        <is>
          <t>피에스케이</t>
        </is>
      </c>
      <c r="D297" s="24" t="inlineStr">
        <is>
          <t>psk</t>
        </is>
      </c>
      <c r="E297" s="24" t="inlineStr">
        <is>
          <t>319660</t>
        </is>
      </c>
      <c r="F297" s="24" t="inlineStr">
        <is>
          <t>2022</t>
        </is>
      </c>
      <c r="G297" s="24" t="inlineStr">
        <is>
          <t>CFS</t>
        </is>
      </c>
      <c r="H297" s="24" t="inlineStr">
        <is>
          <t>SCE</t>
        </is>
      </c>
      <c r="I297" s="24" t="inlineStr">
        <is>
          <t>자본변동표</t>
        </is>
      </c>
      <c r="J297" s="24" t="inlineStr">
        <is>
          <t>dart_TreasuryShareTransactions</t>
        </is>
      </c>
      <c r="K297" s="24" t="inlineStr">
        <is>
          <t>자기주식 거래로 인한 증감</t>
        </is>
      </c>
      <c r="L297" s="24" t="inlineStr">
        <is>
          <t>자본 [member]|지배기업의 소유주에게 귀속되는 자본 [member]|기타자본구성요소 [member]</t>
        </is>
      </c>
      <c r="M297" s="24" t="inlineStr">
        <is>
          <t>제 4 기</t>
        </is>
      </c>
      <c r="N297" s="24" t="inlineStr">
        <is>
          <t>0.0</t>
        </is>
      </c>
      <c r="O297" s="24" t="inlineStr">
        <is>
          <t>0.0</t>
        </is>
      </c>
      <c r="P297" s="24" t="inlineStr">
        <is>
          <t>KRW</t>
        </is>
      </c>
      <c r="Q297" s="24" t="inlineStr">
        <is>
          <t>5</t>
        </is>
      </c>
    </row>
    <row r="298" ht="24" customHeight="1">
      <c r="A298" s="29" t="inlineStr">
        <is>
          <t>OpenDART_fnlttSinglAcntAll</t>
        </is>
      </c>
      <c r="B298" s="29" t="inlineStr">
        <is>
          <t>01365825</t>
        </is>
      </c>
      <c r="C298" s="29" t="inlineStr">
        <is>
          <t>피에스케이</t>
        </is>
      </c>
      <c r="D298" s="29" t="inlineStr">
        <is>
          <t>psk</t>
        </is>
      </c>
      <c r="E298" s="29" t="inlineStr">
        <is>
          <t>319660</t>
        </is>
      </c>
      <c r="F298" s="29" t="inlineStr">
        <is>
          <t>2022</t>
        </is>
      </c>
      <c r="G298" s="29" t="inlineStr">
        <is>
          <t>CFS</t>
        </is>
      </c>
      <c r="H298" s="29" t="inlineStr">
        <is>
          <t>SCE</t>
        </is>
      </c>
      <c r="I298" s="29" t="inlineStr">
        <is>
          <t>자본변동표</t>
        </is>
      </c>
      <c r="J298" s="29" t="inlineStr">
        <is>
          <t>dart_TreasuryShareTransactions</t>
        </is>
      </c>
      <c r="K298" s="29" t="inlineStr">
        <is>
          <t>자기주식 거래로 인한 증감</t>
        </is>
      </c>
      <c r="L298" s="29" t="inlineStr">
        <is>
          <t>자본 [member]|지배기업의 소유주에게 귀속되는 자본 [member]|기타불입자본</t>
        </is>
      </c>
      <c r="M298" s="29" t="inlineStr">
        <is>
          <t>제 4 기</t>
        </is>
      </c>
      <c r="N298" s="29" t="inlineStr">
        <is>
          <t>4319320461.0</t>
        </is>
      </c>
      <c r="O298" s="29" t="inlineStr">
        <is>
          <t>-1953570189.0</t>
        </is>
      </c>
      <c r="P298" s="29" t="inlineStr">
        <is>
          <t>KRW</t>
        </is>
      </c>
      <c r="Q298" s="29" t="inlineStr">
        <is>
          <t>5</t>
        </is>
      </c>
    </row>
    <row r="299" ht="24" customHeight="1">
      <c r="A299" s="24" t="inlineStr">
        <is>
          <t>OpenDART_fnlttSinglAcntAll</t>
        </is>
      </c>
      <c r="B299" s="24" t="inlineStr">
        <is>
          <t>01365825</t>
        </is>
      </c>
      <c r="C299" s="24" t="inlineStr">
        <is>
          <t>피에스케이</t>
        </is>
      </c>
      <c r="D299" s="24" t="inlineStr">
        <is>
          <t>psk</t>
        </is>
      </c>
      <c r="E299" s="24" t="inlineStr">
        <is>
          <t>319660</t>
        </is>
      </c>
      <c r="F299" s="24" t="inlineStr">
        <is>
          <t>2022</t>
        </is>
      </c>
      <c r="G299" s="24" t="inlineStr">
        <is>
          <t>CFS</t>
        </is>
      </c>
      <c r="H299" s="24" t="inlineStr">
        <is>
          <t>SCE</t>
        </is>
      </c>
      <c r="I299" s="24" t="inlineStr">
        <is>
          <t>자본변동표</t>
        </is>
      </c>
      <c r="J299" s="24" t="inlineStr">
        <is>
          <t>dart_TreasuryShareTransactions</t>
        </is>
      </c>
      <c r="K299" s="24" t="inlineStr">
        <is>
          <t>자기주식 거래로 인한 증감</t>
        </is>
      </c>
      <c r="L299" s="24" t="inlineStr">
        <is>
          <t>자본 [member]|지배기업의 소유주에게 귀속되는 자본 [member]</t>
        </is>
      </c>
      <c r="M299" s="24" t="inlineStr">
        <is>
          <t>제 4 기</t>
        </is>
      </c>
      <c r="N299" s="24" t="inlineStr">
        <is>
          <t>-5570057110.0</t>
        </is>
      </c>
      <c r="O299" s="24" t="inlineStr">
        <is>
          <t>-1953570189.0</t>
        </is>
      </c>
      <c r="P299" s="24" t="inlineStr">
        <is>
          <t>KRW</t>
        </is>
      </c>
      <c r="Q299" s="24" t="inlineStr">
        <is>
          <t>5</t>
        </is>
      </c>
    </row>
    <row r="300" ht="24" customHeight="1">
      <c r="A300" s="29" t="inlineStr">
        <is>
          <t>OpenDART_fnlttSinglAcntAll</t>
        </is>
      </c>
      <c r="B300" s="29" t="inlineStr">
        <is>
          <t>01365825</t>
        </is>
      </c>
      <c r="C300" s="29" t="inlineStr">
        <is>
          <t>피에스케이</t>
        </is>
      </c>
      <c r="D300" s="29" t="inlineStr">
        <is>
          <t>psk</t>
        </is>
      </c>
      <c r="E300" s="29" t="inlineStr">
        <is>
          <t>319660</t>
        </is>
      </c>
      <c r="F300" s="29" t="inlineStr">
        <is>
          <t>2022</t>
        </is>
      </c>
      <c r="G300" s="29" t="inlineStr">
        <is>
          <t>CFS</t>
        </is>
      </c>
      <c r="H300" s="29" t="inlineStr">
        <is>
          <t>SCE</t>
        </is>
      </c>
      <c r="I300" s="29" t="inlineStr">
        <is>
          <t>자본변동표</t>
        </is>
      </c>
      <c r="J300" s="29" t="inlineStr">
        <is>
          <t>dart_TreasuryShareTransactions</t>
        </is>
      </c>
      <c r="K300" s="29" t="inlineStr">
        <is>
          <t>자기주식 거래로 인한 증감</t>
        </is>
      </c>
      <c r="L300" s="29" t="inlineStr">
        <is>
          <t>자본 [member]|비지배지분 [member]</t>
        </is>
      </c>
      <c r="M300" s="29" t="inlineStr">
        <is>
          <t>제 4 기</t>
        </is>
      </c>
      <c r="N300" s="29" t="inlineStr">
        <is>
          <t>0.0</t>
        </is>
      </c>
      <c r="O300" s="29" t="inlineStr">
        <is>
          <t>0.0</t>
        </is>
      </c>
      <c r="P300" s="29" t="inlineStr">
        <is>
          <t>KRW</t>
        </is>
      </c>
      <c r="Q300" s="29" t="inlineStr">
        <is>
          <t>5</t>
        </is>
      </c>
    </row>
    <row r="301" ht="24" customHeight="1">
      <c r="A301" s="24" t="inlineStr">
        <is>
          <t>OpenDART_fnlttSinglAcntAll</t>
        </is>
      </c>
      <c r="B301" s="24" t="inlineStr">
        <is>
          <t>01365825</t>
        </is>
      </c>
      <c r="C301" s="24" t="inlineStr">
        <is>
          <t>피에스케이</t>
        </is>
      </c>
      <c r="D301" s="24" t="inlineStr">
        <is>
          <t>psk</t>
        </is>
      </c>
      <c r="E301" s="24" t="inlineStr">
        <is>
          <t>319660</t>
        </is>
      </c>
      <c r="F301" s="24" t="inlineStr">
        <is>
          <t>2022</t>
        </is>
      </c>
      <c r="G301" s="24" t="inlineStr">
        <is>
          <t>CFS</t>
        </is>
      </c>
      <c r="H301" s="24" t="inlineStr">
        <is>
          <t>SCE</t>
        </is>
      </c>
      <c r="I301" s="24" t="inlineStr">
        <is>
          <t>자본변동표</t>
        </is>
      </c>
      <c r="J301" s="24" t="inlineStr">
        <is>
          <t>dart_TreasuryShareTransactions</t>
        </is>
      </c>
      <c r="K301" s="24" t="inlineStr">
        <is>
          <t>자기주식 거래로 인한 증감</t>
        </is>
      </c>
      <c r="L301" s="24" t="inlineStr">
        <is>
          <t>연결재무제표 [member]</t>
        </is>
      </c>
      <c r="M301" s="24" t="inlineStr">
        <is>
          <t>제 4 기</t>
        </is>
      </c>
      <c r="N301" s="24" t="inlineStr">
        <is>
          <t>-5570057110.0</t>
        </is>
      </c>
      <c r="O301" s="24" t="inlineStr">
        <is>
          <t>-1953570189.0</t>
        </is>
      </c>
      <c r="P301" s="24" t="inlineStr">
        <is>
          <t>KRW</t>
        </is>
      </c>
      <c r="Q301" s="24" t="inlineStr">
        <is>
          <t>5</t>
        </is>
      </c>
    </row>
    <row r="302" ht="24" customHeight="1">
      <c r="A302" s="29" t="inlineStr">
        <is>
          <t>OpenDART_fnlttSinglAcntAll</t>
        </is>
      </c>
      <c r="B302" s="29" t="inlineStr">
        <is>
          <t>01365825</t>
        </is>
      </c>
      <c r="C302" s="29" t="inlineStr">
        <is>
          <t>피에스케이</t>
        </is>
      </c>
      <c r="D302" s="29" t="inlineStr">
        <is>
          <t>psk</t>
        </is>
      </c>
      <c r="E302" s="29" t="inlineStr">
        <is>
          <t>319660</t>
        </is>
      </c>
      <c r="F302" s="29" t="inlineStr">
        <is>
          <t>2022</t>
        </is>
      </c>
      <c r="G302" s="29" t="inlineStr">
        <is>
          <t>CFS</t>
        </is>
      </c>
      <c r="H302" s="29" t="inlineStr">
        <is>
          <t>SCE</t>
        </is>
      </c>
      <c r="I302" s="29" t="inlineStr">
        <is>
          <t>자본변동표</t>
        </is>
      </c>
      <c r="J302" s="29" t="inlineStr">
        <is>
          <t>dart_TreasuryShareTransactions</t>
        </is>
      </c>
      <c r="K302" s="29" t="inlineStr">
        <is>
          <t>자기주식 거래로 인한 증감</t>
        </is>
      </c>
      <c r="L302" s="29" t="inlineStr">
        <is>
          <t>자본 [member]|지배기업의 소유주에게 귀속되는 자본 [member]|자본금 [member]</t>
        </is>
      </c>
      <c r="M302" s="29" t="inlineStr">
        <is>
          <t>제 4 기</t>
        </is>
      </c>
      <c r="N302" s="29" t="inlineStr">
        <is>
          <t>0.0</t>
        </is>
      </c>
      <c r="O302" s="29" t="inlineStr">
        <is>
          <t>0.0</t>
        </is>
      </c>
      <c r="P302" s="29" t="inlineStr">
        <is>
          <t>KRW</t>
        </is>
      </c>
      <c r="Q302" s="29" t="inlineStr">
        <is>
          <t>5</t>
        </is>
      </c>
    </row>
    <row r="303" ht="24" customHeight="1">
      <c r="A303" s="24" t="inlineStr">
        <is>
          <t>OpenDART_fnlttSinglAcntAll</t>
        </is>
      </c>
      <c r="B303" s="24" t="inlineStr">
        <is>
          <t>01365825</t>
        </is>
      </c>
      <c r="C303" s="24" t="inlineStr">
        <is>
          <t>피에스케이</t>
        </is>
      </c>
      <c r="D303" s="24" t="inlineStr">
        <is>
          <t>psk</t>
        </is>
      </c>
      <c r="E303" s="24" t="inlineStr">
        <is>
          <t>319660</t>
        </is>
      </c>
      <c r="F303" s="24" t="inlineStr">
        <is>
          <t>2022</t>
        </is>
      </c>
      <c r="G303" s="24" t="inlineStr">
        <is>
          <t>CFS</t>
        </is>
      </c>
      <c r="H303" s="24" t="inlineStr">
        <is>
          <t>SCE</t>
        </is>
      </c>
      <c r="I303" s="24" t="inlineStr">
        <is>
          <t>자본변동표</t>
        </is>
      </c>
      <c r="J303" s="24" t="inlineStr">
        <is>
          <t>ifrs-full_DividendsPaid</t>
        </is>
      </c>
      <c r="K303" s="24" t="inlineStr">
        <is>
          <t>배당금지급</t>
        </is>
      </c>
      <c r="L303" s="24" t="inlineStr">
        <is>
          <t>자본 [member]|지배기업의 소유주에게 귀속되는 자본 [member]|자본금 [member]</t>
        </is>
      </c>
      <c r="M303" s="24" t="inlineStr">
        <is>
          <t>제 4 기</t>
        </is>
      </c>
      <c r="N303" s="24" t="inlineStr">
        <is>
          <t>0.0</t>
        </is>
      </c>
      <c r="O303" s="24" t="inlineStr">
        <is>
          <t>0.0</t>
        </is>
      </c>
      <c r="P303" s="24" t="inlineStr">
        <is>
          <t>KRW</t>
        </is>
      </c>
      <c r="Q303" s="24" t="inlineStr">
        <is>
          <t>6</t>
        </is>
      </c>
    </row>
    <row r="304" ht="24" customHeight="1">
      <c r="A304" s="29" t="inlineStr">
        <is>
          <t>OpenDART_fnlttSinglAcntAll</t>
        </is>
      </c>
      <c r="B304" s="29" t="inlineStr">
        <is>
          <t>01365825</t>
        </is>
      </c>
      <c r="C304" s="29" t="inlineStr">
        <is>
          <t>피에스케이</t>
        </is>
      </c>
      <c r="D304" s="29" t="inlineStr">
        <is>
          <t>psk</t>
        </is>
      </c>
      <c r="E304" s="29" t="inlineStr">
        <is>
          <t>319660</t>
        </is>
      </c>
      <c r="F304" s="29" t="inlineStr">
        <is>
          <t>2022</t>
        </is>
      </c>
      <c r="G304" s="29" t="inlineStr">
        <is>
          <t>CFS</t>
        </is>
      </c>
      <c r="H304" s="29" t="inlineStr">
        <is>
          <t>SCE</t>
        </is>
      </c>
      <c r="I304" s="29" t="inlineStr">
        <is>
          <t>자본변동표</t>
        </is>
      </c>
      <c r="J304" s="29" t="inlineStr">
        <is>
          <t>ifrs-full_DividendsPaid</t>
        </is>
      </c>
      <c r="K304" s="29" t="inlineStr">
        <is>
          <t>배당금지급</t>
        </is>
      </c>
      <c r="L304" s="29" t="inlineStr">
        <is>
          <t>자본 [member]|지배기업의 소유주에게 귀속되는 자본 [member]|이익잉여금 [member]</t>
        </is>
      </c>
      <c r="M304" s="29" t="inlineStr">
        <is>
          <t>제 4 기</t>
        </is>
      </c>
      <c r="N304" s="29" t="inlineStr">
        <is>
          <t>8770449600.0</t>
        </is>
      </c>
      <c r="O304" s="29" t="inlineStr">
        <is>
          <t>4395528300.0</t>
        </is>
      </c>
      <c r="P304" s="29" t="inlineStr">
        <is>
          <t>KRW</t>
        </is>
      </c>
      <c r="Q304" s="29" t="inlineStr">
        <is>
          <t>6</t>
        </is>
      </c>
    </row>
    <row r="305" ht="24" customHeight="1">
      <c r="A305" s="24" t="inlineStr">
        <is>
          <t>OpenDART_fnlttSinglAcntAll</t>
        </is>
      </c>
      <c r="B305" s="24" t="inlineStr">
        <is>
          <t>01365825</t>
        </is>
      </c>
      <c r="C305" s="24" t="inlineStr">
        <is>
          <t>피에스케이</t>
        </is>
      </c>
      <c r="D305" s="24" t="inlineStr">
        <is>
          <t>psk</t>
        </is>
      </c>
      <c r="E305" s="24" t="inlineStr">
        <is>
          <t>319660</t>
        </is>
      </c>
      <c r="F305" s="24" t="inlineStr">
        <is>
          <t>2022</t>
        </is>
      </c>
      <c r="G305" s="24" t="inlineStr">
        <is>
          <t>CFS</t>
        </is>
      </c>
      <c r="H305" s="24" t="inlineStr">
        <is>
          <t>SCE</t>
        </is>
      </c>
      <c r="I305" s="24" t="inlineStr">
        <is>
          <t>자본변동표</t>
        </is>
      </c>
      <c r="J305" s="24" t="inlineStr">
        <is>
          <t>ifrs-full_DividendsPaid</t>
        </is>
      </c>
      <c r="K305" s="24" t="inlineStr">
        <is>
          <t>배당금지급</t>
        </is>
      </c>
      <c r="L305" s="24" t="inlineStr">
        <is>
          <t>자본 [member]|지배기업의 소유주에게 귀속되는 자본 [member]|기타자본구성요소 [member]</t>
        </is>
      </c>
      <c r="M305" s="24" t="inlineStr">
        <is>
          <t>제 4 기</t>
        </is>
      </c>
      <c r="N305" s="24" t="inlineStr">
        <is>
          <t>0.0</t>
        </is>
      </c>
      <c r="O305" s="24" t="inlineStr">
        <is>
          <t>0.0</t>
        </is>
      </c>
      <c r="P305" s="24" t="inlineStr">
        <is>
          <t>KRW</t>
        </is>
      </c>
      <c r="Q305" s="24" t="inlineStr">
        <is>
          <t>6</t>
        </is>
      </c>
    </row>
    <row r="306" ht="24" customHeight="1">
      <c r="A306" s="29" t="inlineStr">
        <is>
          <t>OpenDART_fnlttSinglAcntAll</t>
        </is>
      </c>
      <c r="B306" s="29" t="inlineStr">
        <is>
          <t>01365825</t>
        </is>
      </c>
      <c r="C306" s="29" t="inlineStr">
        <is>
          <t>피에스케이</t>
        </is>
      </c>
      <c r="D306" s="29" t="inlineStr">
        <is>
          <t>psk</t>
        </is>
      </c>
      <c r="E306" s="29" t="inlineStr">
        <is>
          <t>319660</t>
        </is>
      </c>
      <c r="F306" s="29" t="inlineStr">
        <is>
          <t>2022</t>
        </is>
      </c>
      <c r="G306" s="29" t="inlineStr">
        <is>
          <t>CFS</t>
        </is>
      </c>
      <c r="H306" s="29" t="inlineStr">
        <is>
          <t>SCE</t>
        </is>
      </c>
      <c r="I306" s="29" t="inlineStr">
        <is>
          <t>자본변동표</t>
        </is>
      </c>
      <c r="J306" s="29" t="inlineStr">
        <is>
          <t>ifrs-full_DividendsPaid</t>
        </is>
      </c>
      <c r="K306" s="29" t="inlineStr">
        <is>
          <t>배당금지급</t>
        </is>
      </c>
      <c r="L306" s="29" t="inlineStr">
        <is>
          <t>자본 [member]|지배기업의 소유주에게 귀속되는 자본 [member]|기타불입자본</t>
        </is>
      </c>
      <c r="M306" s="29" t="inlineStr">
        <is>
          <t>제 4 기</t>
        </is>
      </c>
      <c r="N306" s="29" t="inlineStr">
        <is>
          <t>0.0</t>
        </is>
      </c>
      <c r="O306" s="29" t="inlineStr">
        <is>
          <t>0.0</t>
        </is>
      </c>
      <c r="P306" s="29" t="inlineStr">
        <is>
          <t>KRW</t>
        </is>
      </c>
      <c r="Q306" s="29" t="inlineStr">
        <is>
          <t>6</t>
        </is>
      </c>
    </row>
    <row r="307" ht="24" customHeight="1">
      <c r="A307" s="24" t="inlineStr">
        <is>
          <t>OpenDART_fnlttSinglAcntAll</t>
        </is>
      </c>
      <c r="B307" s="24" t="inlineStr">
        <is>
          <t>01365825</t>
        </is>
      </c>
      <c r="C307" s="24" t="inlineStr">
        <is>
          <t>피에스케이</t>
        </is>
      </c>
      <c r="D307" s="24" t="inlineStr">
        <is>
          <t>psk</t>
        </is>
      </c>
      <c r="E307" s="24" t="inlineStr">
        <is>
          <t>319660</t>
        </is>
      </c>
      <c r="F307" s="24" t="inlineStr">
        <is>
          <t>2022</t>
        </is>
      </c>
      <c r="G307" s="24" t="inlineStr">
        <is>
          <t>CFS</t>
        </is>
      </c>
      <c r="H307" s="24" t="inlineStr">
        <is>
          <t>SCE</t>
        </is>
      </c>
      <c r="I307" s="24" t="inlineStr">
        <is>
          <t>자본변동표</t>
        </is>
      </c>
      <c r="J307" s="24" t="inlineStr">
        <is>
          <t>ifrs-full_DividendsPaid</t>
        </is>
      </c>
      <c r="K307" s="24" t="inlineStr">
        <is>
          <t>배당금지급</t>
        </is>
      </c>
      <c r="L307" s="24" t="inlineStr">
        <is>
          <t>자본 [member]|지배기업의 소유주에게 귀속되는 자본 [member]</t>
        </is>
      </c>
      <c r="M307" s="24" t="inlineStr">
        <is>
          <t>제 4 기</t>
        </is>
      </c>
      <c r="N307" s="24" t="inlineStr">
        <is>
          <t>8770449600.0</t>
        </is>
      </c>
      <c r="O307" s="24" t="inlineStr">
        <is>
          <t>4395528300.0</t>
        </is>
      </c>
      <c r="P307" s="24" t="inlineStr">
        <is>
          <t>KRW</t>
        </is>
      </c>
      <c r="Q307" s="24" t="inlineStr">
        <is>
          <t>6</t>
        </is>
      </c>
    </row>
    <row r="308" ht="24" customHeight="1">
      <c r="A308" s="29" t="inlineStr">
        <is>
          <t>OpenDART_fnlttSinglAcntAll</t>
        </is>
      </c>
      <c r="B308" s="29" t="inlineStr">
        <is>
          <t>01365825</t>
        </is>
      </c>
      <c r="C308" s="29" t="inlineStr">
        <is>
          <t>피에스케이</t>
        </is>
      </c>
      <c r="D308" s="29" t="inlineStr">
        <is>
          <t>psk</t>
        </is>
      </c>
      <c r="E308" s="29" t="inlineStr">
        <is>
          <t>319660</t>
        </is>
      </c>
      <c r="F308" s="29" t="inlineStr">
        <is>
          <t>2022</t>
        </is>
      </c>
      <c r="G308" s="29" t="inlineStr">
        <is>
          <t>CFS</t>
        </is>
      </c>
      <c r="H308" s="29" t="inlineStr">
        <is>
          <t>SCE</t>
        </is>
      </c>
      <c r="I308" s="29" t="inlineStr">
        <is>
          <t>자본변동표</t>
        </is>
      </c>
      <c r="J308" s="29" t="inlineStr">
        <is>
          <t>ifrs-full_DividendsPaid</t>
        </is>
      </c>
      <c r="K308" s="29" t="inlineStr">
        <is>
          <t>배당금지급</t>
        </is>
      </c>
      <c r="L308" s="29" t="inlineStr">
        <is>
          <t>연결재무제표 [member]</t>
        </is>
      </c>
      <c r="M308" s="29" t="inlineStr">
        <is>
          <t>제 4 기</t>
        </is>
      </c>
      <c r="N308" s="29" t="inlineStr">
        <is>
          <t>8770449600.0</t>
        </is>
      </c>
      <c r="O308" s="29" t="inlineStr">
        <is>
          <t>4395528300.0</t>
        </is>
      </c>
      <c r="P308" s="29" t="inlineStr">
        <is>
          <t>KRW</t>
        </is>
      </c>
      <c r="Q308" s="29" t="inlineStr">
        <is>
          <t>6</t>
        </is>
      </c>
    </row>
    <row r="309" ht="24" customHeight="1">
      <c r="A309" s="24" t="inlineStr">
        <is>
          <t>OpenDART_fnlttSinglAcntAll</t>
        </is>
      </c>
      <c r="B309" s="24" t="inlineStr">
        <is>
          <t>01365825</t>
        </is>
      </c>
      <c r="C309" s="24" t="inlineStr">
        <is>
          <t>피에스케이</t>
        </is>
      </c>
      <c r="D309" s="24" t="inlineStr">
        <is>
          <t>psk</t>
        </is>
      </c>
      <c r="E309" s="24" t="inlineStr">
        <is>
          <t>319660</t>
        </is>
      </c>
      <c r="F309" s="24" t="inlineStr">
        <is>
          <t>2022</t>
        </is>
      </c>
      <c r="G309" s="24" t="inlineStr">
        <is>
          <t>CFS</t>
        </is>
      </c>
      <c r="H309" s="24" t="inlineStr">
        <is>
          <t>SCE</t>
        </is>
      </c>
      <c r="I309" s="24" t="inlineStr">
        <is>
          <t>자본변동표</t>
        </is>
      </c>
      <c r="J309" s="24" t="inlineStr">
        <is>
          <t>ifrs-full_DividendsPaid</t>
        </is>
      </c>
      <c r="K309" s="24" t="inlineStr">
        <is>
          <t>배당금지급</t>
        </is>
      </c>
      <c r="L309" s="24" t="inlineStr">
        <is>
          <t>자본 [member]|비지배지분 [member]</t>
        </is>
      </c>
      <c r="M309" s="24" t="inlineStr">
        <is>
          <t>제 4 기</t>
        </is>
      </c>
      <c r="N309" s="24" t="inlineStr">
        <is>
          <t>0.0</t>
        </is>
      </c>
      <c r="O309" s="24" t="inlineStr">
        <is>
          <t>0.0</t>
        </is>
      </c>
      <c r="P309" s="24" t="inlineStr">
        <is>
          <t>KRW</t>
        </is>
      </c>
      <c r="Q309" s="24" t="inlineStr">
        <is>
          <t>6</t>
        </is>
      </c>
    </row>
    <row r="310" ht="24" customHeight="1">
      <c r="A310" s="29" t="inlineStr">
        <is>
          <t>OpenDART_fnlttSinglAcntAll</t>
        </is>
      </c>
      <c r="B310" s="29" t="inlineStr">
        <is>
          <t>01365825</t>
        </is>
      </c>
      <c r="C310" s="29" t="inlineStr">
        <is>
          <t>피에스케이</t>
        </is>
      </c>
      <c r="D310" s="29" t="inlineStr">
        <is>
          <t>psk</t>
        </is>
      </c>
      <c r="E310" s="29" t="inlineStr">
        <is>
          <t>319660</t>
        </is>
      </c>
      <c r="F310" s="29" t="inlineStr">
        <is>
          <t>2022</t>
        </is>
      </c>
      <c r="G310" s="29" t="inlineStr">
        <is>
          <t>CFS</t>
        </is>
      </c>
      <c r="H310" s="29" t="inlineStr">
        <is>
          <t>SCE</t>
        </is>
      </c>
      <c r="I310" s="29" t="inlineStr">
        <is>
          <t>자본변동표</t>
        </is>
      </c>
      <c r="J310" s="29" t="inlineStr">
        <is>
          <t>-표준계정코드 미사용-</t>
        </is>
      </c>
      <c r="K310" s="29" t="inlineStr">
        <is>
          <t>교환사채</t>
        </is>
      </c>
      <c r="L310" s="29" t="inlineStr">
        <is>
          <t>연결재무제표 [member]</t>
        </is>
      </c>
      <c r="M310" s="29" t="inlineStr">
        <is>
          <t>제 4 기</t>
        </is>
      </c>
      <c r="N310" s="29" t="inlineStr">
        <is>
          <t>0.0</t>
        </is>
      </c>
      <c r="O310" s="29" t="inlineStr">
        <is>
          <t>-33508726.0</t>
        </is>
      </c>
      <c r="P310" s="29" t="inlineStr">
        <is>
          <t>KRW</t>
        </is>
      </c>
      <c r="Q310" s="29" t="inlineStr">
        <is>
          <t>7</t>
        </is>
      </c>
    </row>
    <row r="311" ht="24" customHeight="1">
      <c r="A311" s="24" t="inlineStr">
        <is>
          <t>OpenDART_fnlttSinglAcntAll</t>
        </is>
      </c>
      <c r="B311" s="24" t="inlineStr">
        <is>
          <t>01365825</t>
        </is>
      </c>
      <c r="C311" s="24" t="inlineStr">
        <is>
          <t>피에스케이</t>
        </is>
      </c>
      <c r="D311" s="24" t="inlineStr">
        <is>
          <t>psk</t>
        </is>
      </c>
      <c r="E311" s="24" t="inlineStr">
        <is>
          <t>319660</t>
        </is>
      </c>
      <c r="F311" s="24" t="inlineStr">
        <is>
          <t>2022</t>
        </is>
      </c>
      <c r="G311" s="24" t="inlineStr">
        <is>
          <t>CFS</t>
        </is>
      </c>
      <c r="H311" s="24" t="inlineStr">
        <is>
          <t>SCE</t>
        </is>
      </c>
      <c r="I311" s="24" t="inlineStr">
        <is>
          <t>자본변동표</t>
        </is>
      </c>
      <c r="J311" s="24" t="inlineStr">
        <is>
          <t>-표준계정코드 미사용-</t>
        </is>
      </c>
      <c r="K311" s="24" t="inlineStr">
        <is>
          <t>교환사채</t>
        </is>
      </c>
      <c r="L311" s="24" t="inlineStr">
        <is>
          <t>자본 [member]|비지배지분 [member]</t>
        </is>
      </c>
      <c r="M311" s="24" t="inlineStr">
        <is>
          <t>제 4 기</t>
        </is>
      </c>
      <c r="N311" s="24" t="inlineStr">
        <is>
          <t>0.0</t>
        </is>
      </c>
      <c r="O311" s="24" t="inlineStr">
        <is>
          <t>0.0</t>
        </is>
      </c>
      <c r="P311" s="24" t="inlineStr">
        <is>
          <t>KRW</t>
        </is>
      </c>
      <c r="Q311" s="24" t="inlineStr">
        <is>
          <t>7</t>
        </is>
      </c>
    </row>
    <row r="312" ht="24" customHeight="1">
      <c r="A312" s="29" t="inlineStr">
        <is>
          <t>OpenDART_fnlttSinglAcntAll</t>
        </is>
      </c>
      <c r="B312" s="29" t="inlineStr">
        <is>
          <t>01365825</t>
        </is>
      </c>
      <c r="C312" s="29" t="inlineStr">
        <is>
          <t>피에스케이</t>
        </is>
      </c>
      <c r="D312" s="29" t="inlineStr">
        <is>
          <t>psk</t>
        </is>
      </c>
      <c r="E312" s="29" t="inlineStr">
        <is>
          <t>319660</t>
        </is>
      </c>
      <c r="F312" s="29" t="inlineStr">
        <is>
          <t>2022</t>
        </is>
      </c>
      <c r="G312" s="29" t="inlineStr">
        <is>
          <t>CFS</t>
        </is>
      </c>
      <c r="H312" s="29" t="inlineStr">
        <is>
          <t>SCE</t>
        </is>
      </c>
      <c r="I312" s="29" t="inlineStr">
        <is>
          <t>자본변동표</t>
        </is>
      </c>
      <c r="J312" s="29" t="inlineStr">
        <is>
          <t>-표준계정코드 미사용-</t>
        </is>
      </c>
      <c r="K312" s="29" t="inlineStr">
        <is>
          <t>교환사채</t>
        </is>
      </c>
      <c r="L312" s="29" t="inlineStr">
        <is>
          <t>자본 [member]|지배기업의 소유주에게 귀속되는 자본 [member]</t>
        </is>
      </c>
      <c r="M312" s="29" t="inlineStr">
        <is>
          <t>제 4 기</t>
        </is>
      </c>
      <c r="N312" s="29" t="inlineStr">
        <is>
          <t>0.0</t>
        </is>
      </c>
      <c r="O312" s="29" t="inlineStr">
        <is>
          <t>-33508726.0</t>
        </is>
      </c>
      <c r="P312" s="29" t="inlineStr">
        <is>
          <t>KRW</t>
        </is>
      </c>
      <c r="Q312" s="29" t="inlineStr">
        <is>
          <t>7</t>
        </is>
      </c>
    </row>
    <row r="313" ht="24" customHeight="1">
      <c r="A313" s="24" t="inlineStr">
        <is>
          <t>OpenDART_fnlttSinglAcntAll</t>
        </is>
      </c>
      <c r="B313" s="24" t="inlineStr">
        <is>
          <t>01365825</t>
        </is>
      </c>
      <c r="C313" s="24" t="inlineStr">
        <is>
          <t>피에스케이</t>
        </is>
      </c>
      <c r="D313" s="24" t="inlineStr">
        <is>
          <t>psk</t>
        </is>
      </c>
      <c r="E313" s="24" t="inlineStr">
        <is>
          <t>319660</t>
        </is>
      </c>
      <c r="F313" s="24" t="inlineStr">
        <is>
          <t>2022</t>
        </is>
      </c>
      <c r="G313" s="24" t="inlineStr">
        <is>
          <t>CFS</t>
        </is>
      </c>
      <c r="H313" s="24" t="inlineStr">
        <is>
          <t>SCE</t>
        </is>
      </c>
      <c r="I313" s="24" t="inlineStr">
        <is>
          <t>자본변동표</t>
        </is>
      </c>
      <c r="J313" s="24" t="inlineStr">
        <is>
          <t>-표준계정코드 미사용-</t>
        </is>
      </c>
      <c r="K313" s="24" t="inlineStr">
        <is>
          <t>교환사채</t>
        </is>
      </c>
      <c r="L313" s="24" t="inlineStr">
        <is>
          <t>자본 [member]|지배기업의 소유주에게 귀속되는 자본 [member]|기타불입자본</t>
        </is>
      </c>
      <c r="M313" s="24" t="inlineStr">
        <is>
          <t>제 4 기</t>
        </is>
      </c>
      <c r="N313" s="24" t="inlineStr">
        <is>
          <t>0.0</t>
        </is>
      </c>
      <c r="O313" s="24" t="inlineStr">
        <is>
          <t>-33508726.0</t>
        </is>
      </c>
      <c r="P313" s="24" t="inlineStr">
        <is>
          <t>KRW</t>
        </is>
      </c>
      <c r="Q313" s="24" t="inlineStr">
        <is>
          <t>7</t>
        </is>
      </c>
    </row>
    <row r="314" ht="24" customHeight="1">
      <c r="A314" s="29" t="inlineStr">
        <is>
          <t>OpenDART_fnlttSinglAcntAll</t>
        </is>
      </c>
      <c r="B314" s="29" t="inlineStr">
        <is>
          <t>01365825</t>
        </is>
      </c>
      <c r="C314" s="29" t="inlineStr">
        <is>
          <t>피에스케이</t>
        </is>
      </c>
      <c r="D314" s="29" t="inlineStr">
        <is>
          <t>psk</t>
        </is>
      </c>
      <c r="E314" s="29" t="inlineStr">
        <is>
          <t>319660</t>
        </is>
      </c>
      <c r="F314" s="29" t="inlineStr">
        <is>
          <t>2022</t>
        </is>
      </c>
      <c r="G314" s="29" t="inlineStr">
        <is>
          <t>CFS</t>
        </is>
      </c>
      <c r="H314" s="29" t="inlineStr">
        <is>
          <t>SCE</t>
        </is>
      </c>
      <c r="I314" s="29" t="inlineStr">
        <is>
          <t>자본변동표</t>
        </is>
      </c>
      <c r="J314" s="29" t="inlineStr">
        <is>
          <t>-표준계정코드 미사용-</t>
        </is>
      </c>
      <c r="K314" s="29" t="inlineStr">
        <is>
          <t>교환사채</t>
        </is>
      </c>
      <c r="L314" s="29" t="inlineStr">
        <is>
          <t>자본 [member]|지배기업의 소유주에게 귀속되는 자본 [member]|기타자본구성요소 [member]</t>
        </is>
      </c>
      <c r="M314" s="29" t="inlineStr">
        <is>
          <t>제 4 기</t>
        </is>
      </c>
      <c r="N314" s="29" t="inlineStr">
        <is>
          <t>0.0</t>
        </is>
      </c>
      <c r="O314" s="29" t="inlineStr">
        <is>
          <t>0.0</t>
        </is>
      </c>
      <c r="P314" s="29" t="inlineStr">
        <is>
          <t>KRW</t>
        </is>
      </c>
      <c r="Q314" s="29" t="inlineStr">
        <is>
          <t>7</t>
        </is>
      </c>
    </row>
    <row r="315" ht="24" customHeight="1">
      <c r="A315" s="24" t="inlineStr">
        <is>
          <t>OpenDART_fnlttSinglAcntAll</t>
        </is>
      </c>
      <c r="B315" s="24" t="inlineStr">
        <is>
          <t>01365825</t>
        </is>
      </c>
      <c r="C315" s="24" t="inlineStr">
        <is>
          <t>피에스케이</t>
        </is>
      </c>
      <c r="D315" s="24" t="inlineStr">
        <is>
          <t>psk</t>
        </is>
      </c>
      <c r="E315" s="24" t="inlineStr">
        <is>
          <t>319660</t>
        </is>
      </c>
      <c r="F315" s="24" t="inlineStr">
        <is>
          <t>2022</t>
        </is>
      </c>
      <c r="G315" s="24" t="inlineStr">
        <is>
          <t>CFS</t>
        </is>
      </c>
      <c r="H315" s="24" t="inlineStr">
        <is>
          <t>SCE</t>
        </is>
      </c>
      <c r="I315" s="24" t="inlineStr">
        <is>
          <t>자본변동표</t>
        </is>
      </c>
      <c r="J315" s="24" t="inlineStr">
        <is>
          <t>-표준계정코드 미사용-</t>
        </is>
      </c>
      <c r="K315" s="24" t="inlineStr">
        <is>
          <t>교환사채</t>
        </is>
      </c>
      <c r="L315" s="24" t="inlineStr">
        <is>
          <t>자본 [member]|지배기업의 소유주에게 귀속되는 자본 [member]|이익잉여금 [member]</t>
        </is>
      </c>
      <c r="M315" s="24" t="inlineStr">
        <is>
          <t>제 4 기</t>
        </is>
      </c>
      <c r="N315" s="24" t="inlineStr">
        <is>
          <t>0.0</t>
        </is>
      </c>
      <c r="O315" s="24" t="inlineStr">
        <is>
          <t>0.0</t>
        </is>
      </c>
      <c r="P315" s="24" t="inlineStr">
        <is>
          <t>KRW</t>
        </is>
      </c>
      <c r="Q315" s="24" t="inlineStr">
        <is>
          <t>7</t>
        </is>
      </c>
    </row>
    <row r="316" ht="24" customHeight="1">
      <c r="A316" s="29" t="inlineStr">
        <is>
          <t>OpenDART_fnlttSinglAcntAll</t>
        </is>
      </c>
      <c r="B316" s="29" t="inlineStr">
        <is>
          <t>01365825</t>
        </is>
      </c>
      <c r="C316" s="29" t="inlineStr">
        <is>
          <t>피에스케이</t>
        </is>
      </c>
      <c r="D316" s="29" t="inlineStr">
        <is>
          <t>psk</t>
        </is>
      </c>
      <c r="E316" s="29" t="inlineStr">
        <is>
          <t>319660</t>
        </is>
      </c>
      <c r="F316" s="29" t="inlineStr">
        <is>
          <t>2022</t>
        </is>
      </c>
      <c r="G316" s="29" t="inlineStr">
        <is>
          <t>CFS</t>
        </is>
      </c>
      <c r="H316" s="29" t="inlineStr">
        <is>
          <t>SCE</t>
        </is>
      </c>
      <c r="I316" s="29" t="inlineStr">
        <is>
          <t>자본변동표</t>
        </is>
      </c>
      <c r="J316" s="29" t="inlineStr">
        <is>
          <t>-표준계정코드 미사용-</t>
        </is>
      </c>
      <c r="K316" s="29" t="inlineStr">
        <is>
          <t>교환사채</t>
        </is>
      </c>
      <c r="L316" s="29" t="inlineStr">
        <is>
          <t>자본 [member]|지배기업의 소유주에게 귀속되는 자본 [member]|자본금 [member]</t>
        </is>
      </c>
      <c r="M316" s="29" t="inlineStr">
        <is>
          <t>제 4 기</t>
        </is>
      </c>
      <c r="N316" s="29" t="inlineStr">
        <is>
          <t>0.0</t>
        </is>
      </c>
      <c r="O316" s="29" t="inlineStr">
        <is>
          <t>0.0</t>
        </is>
      </c>
      <c r="P316" s="29" t="inlineStr">
        <is>
          <t>KRW</t>
        </is>
      </c>
      <c r="Q316" s="29" t="inlineStr">
        <is>
          <t>7</t>
        </is>
      </c>
    </row>
    <row r="317" ht="24" customHeight="1">
      <c r="A317" s="24" t="inlineStr">
        <is>
          <t>OpenDART_fnlttSinglAcntAll</t>
        </is>
      </c>
      <c r="B317" s="24" t="inlineStr">
        <is>
          <t>01365825</t>
        </is>
      </c>
      <c r="C317" s="24" t="inlineStr">
        <is>
          <t>피에스케이</t>
        </is>
      </c>
      <c r="D317" s="24" t="inlineStr">
        <is>
          <t>psk</t>
        </is>
      </c>
      <c r="E317" s="24" t="inlineStr">
        <is>
          <t>319660</t>
        </is>
      </c>
      <c r="F317" s="24" t="inlineStr">
        <is>
          <t>2022</t>
        </is>
      </c>
      <c r="G317" s="24" t="inlineStr">
        <is>
          <t>CFS</t>
        </is>
      </c>
      <c r="H317" s="24" t="inlineStr">
        <is>
          <t>SCE</t>
        </is>
      </c>
      <c r="I317" s="24" t="inlineStr">
        <is>
          <t>자본변동표</t>
        </is>
      </c>
      <c r="J317" s="24" t="inlineStr">
        <is>
          <t>dart_BonusIssue</t>
        </is>
      </c>
      <c r="K317" s="24" t="inlineStr">
        <is>
          <t>무상증자</t>
        </is>
      </c>
      <c r="L317" s="24" t="inlineStr">
        <is>
          <t>자본 [member]|지배기업의 소유주에게 귀속되는 자본 [member]|자본금 [member]</t>
        </is>
      </c>
      <c r="M317" s="24" t="inlineStr">
        <is>
          <t>제 4 기</t>
        </is>
      </c>
      <c r="N317" s="24" t="inlineStr">
        <is>
          <t>7241678500.0</t>
        </is>
      </c>
      <c r="O317" s="24" t="inlineStr">
        <is>
          <t>0.0</t>
        </is>
      </c>
      <c r="P317" s="24" t="inlineStr">
        <is>
          <t>KRW</t>
        </is>
      </c>
      <c r="Q317" s="24" t="inlineStr">
        <is>
          <t>8</t>
        </is>
      </c>
    </row>
    <row r="318" ht="24" customHeight="1">
      <c r="A318" s="29" t="inlineStr">
        <is>
          <t>OpenDART_fnlttSinglAcntAll</t>
        </is>
      </c>
      <c r="B318" s="29" t="inlineStr">
        <is>
          <t>01365825</t>
        </is>
      </c>
      <c r="C318" s="29" t="inlineStr">
        <is>
          <t>피에스케이</t>
        </is>
      </c>
      <c r="D318" s="29" t="inlineStr">
        <is>
          <t>psk</t>
        </is>
      </c>
      <c r="E318" s="29" t="inlineStr">
        <is>
          <t>319660</t>
        </is>
      </c>
      <c r="F318" s="29" t="inlineStr">
        <is>
          <t>2022</t>
        </is>
      </c>
      <c r="G318" s="29" t="inlineStr">
        <is>
          <t>CFS</t>
        </is>
      </c>
      <c r="H318" s="29" t="inlineStr">
        <is>
          <t>SCE</t>
        </is>
      </c>
      <c r="I318" s="29" t="inlineStr">
        <is>
          <t>자본변동표</t>
        </is>
      </c>
      <c r="J318" s="29" t="inlineStr">
        <is>
          <t>dart_BonusIssue</t>
        </is>
      </c>
      <c r="K318" s="29" t="inlineStr">
        <is>
          <t>무상증자</t>
        </is>
      </c>
      <c r="L318" s="29" t="inlineStr">
        <is>
          <t>자본 [member]|지배기업의 소유주에게 귀속되는 자본 [member]|이익잉여금 [member]</t>
        </is>
      </c>
      <c r="M318" s="29" t="inlineStr">
        <is>
          <t>제 4 기</t>
        </is>
      </c>
      <c r="N318" s="29" t="inlineStr">
        <is>
          <t>0.0</t>
        </is>
      </c>
      <c r="O318" s="29" t="inlineStr">
        <is>
          <t>0.0</t>
        </is>
      </c>
      <c r="P318" s="29" t="inlineStr">
        <is>
          <t>KRW</t>
        </is>
      </c>
      <c r="Q318" s="29" t="inlineStr">
        <is>
          <t>8</t>
        </is>
      </c>
    </row>
    <row r="319" ht="24" customHeight="1">
      <c r="A319" s="24" t="inlineStr">
        <is>
          <t>OpenDART_fnlttSinglAcntAll</t>
        </is>
      </c>
      <c r="B319" s="24" t="inlineStr">
        <is>
          <t>01365825</t>
        </is>
      </c>
      <c r="C319" s="24" t="inlineStr">
        <is>
          <t>피에스케이</t>
        </is>
      </c>
      <c r="D319" s="24" t="inlineStr">
        <is>
          <t>psk</t>
        </is>
      </c>
      <c r="E319" s="24" t="inlineStr">
        <is>
          <t>319660</t>
        </is>
      </c>
      <c r="F319" s="24" t="inlineStr">
        <is>
          <t>2022</t>
        </is>
      </c>
      <c r="G319" s="24" t="inlineStr">
        <is>
          <t>CFS</t>
        </is>
      </c>
      <c r="H319" s="24" t="inlineStr">
        <is>
          <t>SCE</t>
        </is>
      </c>
      <c r="I319" s="24" t="inlineStr">
        <is>
          <t>자본변동표</t>
        </is>
      </c>
      <c r="J319" s="24" t="inlineStr">
        <is>
          <t>dart_BonusIssue</t>
        </is>
      </c>
      <c r="K319" s="24" t="inlineStr">
        <is>
          <t>무상증자</t>
        </is>
      </c>
      <c r="L319" s="24" t="inlineStr">
        <is>
          <t>자본 [member]|지배기업의 소유주에게 귀속되는 자본 [member]|기타자본구성요소 [member]</t>
        </is>
      </c>
      <c r="M319" s="24" t="inlineStr">
        <is>
          <t>제 4 기</t>
        </is>
      </c>
      <c r="N319" s="24" t="inlineStr">
        <is>
          <t>0.0</t>
        </is>
      </c>
      <c r="O319" s="24" t="inlineStr">
        <is>
          <t>0.0</t>
        </is>
      </c>
      <c r="P319" s="24" t="inlineStr">
        <is>
          <t>KRW</t>
        </is>
      </c>
      <c r="Q319" s="24" t="inlineStr">
        <is>
          <t>8</t>
        </is>
      </c>
    </row>
    <row r="320" ht="24" customHeight="1">
      <c r="A320" s="29" t="inlineStr">
        <is>
          <t>OpenDART_fnlttSinglAcntAll</t>
        </is>
      </c>
      <c r="B320" s="29" t="inlineStr">
        <is>
          <t>01365825</t>
        </is>
      </c>
      <c r="C320" s="29" t="inlineStr">
        <is>
          <t>피에스케이</t>
        </is>
      </c>
      <c r="D320" s="29" t="inlineStr">
        <is>
          <t>psk</t>
        </is>
      </c>
      <c r="E320" s="29" t="inlineStr">
        <is>
          <t>319660</t>
        </is>
      </c>
      <c r="F320" s="29" t="inlineStr">
        <is>
          <t>2022</t>
        </is>
      </c>
      <c r="G320" s="29" t="inlineStr">
        <is>
          <t>CFS</t>
        </is>
      </c>
      <c r="H320" s="29" t="inlineStr">
        <is>
          <t>SCE</t>
        </is>
      </c>
      <c r="I320" s="29" t="inlineStr">
        <is>
          <t>자본변동표</t>
        </is>
      </c>
      <c r="J320" s="29" t="inlineStr">
        <is>
          <t>dart_BonusIssue</t>
        </is>
      </c>
      <c r="K320" s="29" t="inlineStr">
        <is>
          <t>무상증자</t>
        </is>
      </c>
      <c r="L320" s="29" t="inlineStr">
        <is>
          <t>자본 [member]|지배기업의 소유주에게 귀속되는 자본 [member]|기타불입자본</t>
        </is>
      </c>
      <c r="M320" s="29" t="inlineStr">
        <is>
          <t>제 4 기</t>
        </is>
      </c>
      <c r="N320" s="29" t="inlineStr">
        <is>
          <t>-7308594470.0</t>
        </is>
      </c>
      <c r="O320" s="29" t="inlineStr">
        <is>
          <t>0.0</t>
        </is>
      </c>
      <c r="P320" s="29" t="inlineStr">
        <is>
          <t>KRW</t>
        </is>
      </c>
      <c r="Q320" s="29" t="inlineStr">
        <is>
          <t>8</t>
        </is>
      </c>
    </row>
    <row r="321" ht="24" customHeight="1">
      <c r="A321" s="24" t="inlineStr">
        <is>
          <t>OpenDART_fnlttSinglAcntAll</t>
        </is>
      </c>
      <c r="B321" s="24" t="inlineStr">
        <is>
          <t>01365825</t>
        </is>
      </c>
      <c r="C321" s="24" t="inlineStr">
        <is>
          <t>피에스케이</t>
        </is>
      </c>
      <c r="D321" s="24" t="inlineStr">
        <is>
          <t>psk</t>
        </is>
      </c>
      <c r="E321" s="24" t="inlineStr">
        <is>
          <t>319660</t>
        </is>
      </c>
      <c r="F321" s="24" t="inlineStr">
        <is>
          <t>2022</t>
        </is>
      </c>
      <c r="G321" s="24" t="inlineStr">
        <is>
          <t>CFS</t>
        </is>
      </c>
      <c r="H321" s="24" t="inlineStr">
        <is>
          <t>SCE</t>
        </is>
      </c>
      <c r="I321" s="24" t="inlineStr">
        <is>
          <t>자본변동표</t>
        </is>
      </c>
      <c r="J321" s="24" t="inlineStr">
        <is>
          <t>dart_BonusIssue</t>
        </is>
      </c>
      <c r="K321" s="24" t="inlineStr">
        <is>
          <t>무상증자</t>
        </is>
      </c>
      <c r="L321" s="24" t="inlineStr">
        <is>
          <t>자본 [member]|지배기업의 소유주에게 귀속되는 자본 [member]</t>
        </is>
      </c>
      <c r="M321" s="24" t="inlineStr">
        <is>
          <t>제 4 기</t>
        </is>
      </c>
      <c r="N321" s="24" t="inlineStr">
        <is>
          <t>-66915970.0</t>
        </is>
      </c>
      <c r="O321" s="24" t="inlineStr">
        <is>
          <t>0.0</t>
        </is>
      </c>
      <c r="P321" s="24" t="inlineStr">
        <is>
          <t>KRW</t>
        </is>
      </c>
      <c r="Q321" s="24" t="inlineStr">
        <is>
          <t>8</t>
        </is>
      </c>
    </row>
    <row r="322" ht="24" customHeight="1">
      <c r="A322" s="29" t="inlineStr">
        <is>
          <t>OpenDART_fnlttSinglAcntAll</t>
        </is>
      </c>
      <c r="B322" s="29" t="inlineStr">
        <is>
          <t>01365825</t>
        </is>
      </c>
      <c r="C322" s="29" t="inlineStr">
        <is>
          <t>피에스케이</t>
        </is>
      </c>
      <c r="D322" s="29" t="inlineStr">
        <is>
          <t>psk</t>
        </is>
      </c>
      <c r="E322" s="29" t="inlineStr">
        <is>
          <t>319660</t>
        </is>
      </c>
      <c r="F322" s="29" t="inlineStr">
        <is>
          <t>2022</t>
        </is>
      </c>
      <c r="G322" s="29" t="inlineStr">
        <is>
          <t>CFS</t>
        </is>
      </c>
      <c r="H322" s="29" t="inlineStr">
        <is>
          <t>SCE</t>
        </is>
      </c>
      <c r="I322" s="29" t="inlineStr">
        <is>
          <t>자본변동표</t>
        </is>
      </c>
      <c r="J322" s="29" t="inlineStr">
        <is>
          <t>dart_BonusIssue</t>
        </is>
      </c>
      <c r="K322" s="29" t="inlineStr">
        <is>
          <t>무상증자</t>
        </is>
      </c>
      <c r="L322" s="29" t="inlineStr">
        <is>
          <t>연결재무제표 [member]</t>
        </is>
      </c>
      <c r="M322" s="29" t="inlineStr">
        <is>
          <t>제 4 기</t>
        </is>
      </c>
      <c r="N322" s="29" t="inlineStr">
        <is>
          <t>-66915970.0</t>
        </is>
      </c>
      <c r="O322" s="29" t="inlineStr">
        <is>
          <t>0.0</t>
        </is>
      </c>
      <c r="P322" s="29" t="inlineStr">
        <is>
          <t>KRW</t>
        </is>
      </c>
      <c r="Q322" s="29" t="inlineStr">
        <is>
          <t>8</t>
        </is>
      </c>
    </row>
    <row r="323" ht="24" customHeight="1">
      <c r="A323" s="24" t="inlineStr">
        <is>
          <t>OpenDART_fnlttSinglAcntAll</t>
        </is>
      </c>
      <c r="B323" s="24" t="inlineStr">
        <is>
          <t>01365825</t>
        </is>
      </c>
      <c r="C323" s="24" t="inlineStr">
        <is>
          <t>피에스케이</t>
        </is>
      </c>
      <c r="D323" s="24" t="inlineStr">
        <is>
          <t>psk</t>
        </is>
      </c>
      <c r="E323" s="24" t="inlineStr">
        <is>
          <t>319660</t>
        </is>
      </c>
      <c r="F323" s="24" t="inlineStr">
        <is>
          <t>2022</t>
        </is>
      </c>
      <c r="G323" s="24" t="inlineStr">
        <is>
          <t>CFS</t>
        </is>
      </c>
      <c r="H323" s="24" t="inlineStr">
        <is>
          <t>SCE</t>
        </is>
      </c>
      <c r="I323" s="24" t="inlineStr">
        <is>
          <t>자본변동표</t>
        </is>
      </c>
      <c r="J323" s="24" t="inlineStr">
        <is>
          <t>dart_BonusIssue</t>
        </is>
      </c>
      <c r="K323" s="24" t="inlineStr">
        <is>
          <t>무상증자</t>
        </is>
      </c>
      <c r="L323" s="24" t="inlineStr">
        <is>
          <t>자본 [member]|비지배지분 [member]</t>
        </is>
      </c>
      <c r="M323" s="24" t="inlineStr">
        <is>
          <t>제 4 기</t>
        </is>
      </c>
      <c r="N323" s="24" t="inlineStr">
        <is>
          <t>0.0</t>
        </is>
      </c>
      <c r="O323" s="24" t="inlineStr">
        <is>
          <t>0.0</t>
        </is>
      </c>
      <c r="P323" s="24" t="inlineStr">
        <is>
          <t>KRW</t>
        </is>
      </c>
      <c r="Q323" s="24" t="inlineStr">
        <is>
          <t>8</t>
        </is>
      </c>
    </row>
    <row r="324" ht="24" customHeight="1">
      <c r="A324" s="29" t="inlineStr">
        <is>
          <t>OpenDART_fnlttSinglAcntAll</t>
        </is>
      </c>
      <c r="B324" s="29" t="inlineStr">
        <is>
          <t>01365825</t>
        </is>
      </c>
      <c r="C324" s="29" t="inlineStr">
        <is>
          <t>피에스케이</t>
        </is>
      </c>
      <c r="D324" s="29" t="inlineStr">
        <is>
          <t>psk</t>
        </is>
      </c>
      <c r="E324" s="29" t="inlineStr">
        <is>
          <t>319660</t>
        </is>
      </c>
      <c r="F324" s="29" t="inlineStr">
        <is>
          <t>2022</t>
        </is>
      </c>
      <c r="G324" s="29" t="inlineStr">
        <is>
          <t>CFS</t>
        </is>
      </c>
      <c r="H324" s="29" t="inlineStr">
        <is>
          <t>SCE</t>
        </is>
      </c>
      <c r="I324" s="29" t="inlineStr">
        <is>
          <t>자본변동표</t>
        </is>
      </c>
      <c r="J324" s="29" t="inlineStr">
        <is>
          <t>ifrs-full_ChangesInEquity</t>
        </is>
      </c>
      <c r="K324" s="29" t="inlineStr">
        <is>
          <t>자본 증가(감소) 합계</t>
        </is>
      </c>
      <c r="L324" s="29" t="inlineStr">
        <is>
          <t>연결재무제표 [member]</t>
        </is>
      </c>
      <c r="M324" s="29" t="inlineStr">
        <is>
          <t>제 4 기</t>
        </is>
      </c>
      <c r="N324" s="29" t="inlineStr">
        <is>
          <t>64236560163.0</t>
        </is>
      </c>
      <c r="O324" s="29" t="inlineStr">
        <is>
          <t>71692053958.0</t>
        </is>
      </c>
      <c r="P324" s="29" t="inlineStr">
        <is>
          <t>KRW</t>
        </is>
      </c>
      <c r="Q324" s="29" t="inlineStr">
        <is>
          <t>9</t>
        </is>
      </c>
    </row>
    <row r="325" ht="24" customHeight="1">
      <c r="A325" s="24" t="inlineStr">
        <is>
          <t>OpenDART_fnlttSinglAcntAll</t>
        </is>
      </c>
      <c r="B325" s="24" t="inlineStr">
        <is>
          <t>01365825</t>
        </is>
      </c>
      <c r="C325" s="24" t="inlineStr">
        <is>
          <t>피에스케이</t>
        </is>
      </c>
      <c r="D325" s="24" t="inlineStr">
        <is>
          <t>psk</t>
        </is>
      </c>
      <c r="E325" s="24" t="inlineStr">
        <is>
          <t>319660</t>
        </is>
      </c>
      <c r="F325" s="24" t="inlineStr">
        <is>
          <t>2022</t>
        </is>
      </c>
      <c r="G325" s="24" t="inlineStr">
        <is>
          <t>CFS</t>
        </is>
      </c>
      <c r="H325" s="24" t="inlineStr">
        <is>
          <t>SCE</t>
        </is>
      </c>
      <c r="I325" s="24" t="inlineStr">
        <is>
          <t>자본변동표</t>
        </is>
      </c>
      <c r="J325" s="24" t="inlineStr">
        <is>
          <t>ifrs-full_ChangesInEquity</t>
        </is>
      </c>
      <c r="K325" s="24" t="inlineStr">
        <is>
          <t>자본 증가(감소) 합계</t>
        </is>
      </c>
      <c r="L325" s="24" t="inlineStr">
        <is>
          <t>자본 [member]|비지배지분 [member]</t>
        </is>
      </c>
      <c r="M325" s="24" t="inlineStr">
        <is>
          <t>제 4 기</t>
        </is>
      </c>
      <c r="N325" s="24" t="inlineStr">
        <is>
          <t>0.0</t>
        </is>
      </c>
      <c r="O325" s="24" t="inlineStr">
        <is>
          <t>0.0</t>
        </is>
      </c>
      <c r="P325" s="24" t="inlineStr">
        <is>
          <t>KRW</t>
        </is>
      </c>
      <c r="Q325" s="24" t="inlineStr">
        <is>
          <t>9</t>
        </is>
      </c>
    </row>
    <row r="326" ht="24" customHeight="1">
      <c r="A326" s="29" t="inlineStr">
        <is>
          <t>OpenDART_fnlttSinglAcntAll</t>
        </is>
      </c>
      <c r="B326" s="29" t="inlineStr">
        <is>
          <t>01365825</t>
        </is>
      </c>
      <c r="C326" s="29" t="inlineStr">
        <is>
          <t>피에스케이</t>
        </is>
      </c>
      <c r="D326" s="29" t="inlineStr">
        <is>
          <t>psk</t>
        </is>
      </c>
      <c r="E326" s="29" t="inlineStr">
        <is>
          <t>319660</t>
        </is>
      </c>
      <c r="F326" s="29" t="inlineStr">
        <is>
          <t>2022</t>
        </is>
      </c>
      <c r="G326" s="29" t="inlineStr">
        <is>
          <t>CFS</t>
        </is>
      </c>
      <c r="H326" s="29" t="inlineStr">
        <is>
          <t>SCE</t>
        </is>
      </c>
      <c r="I326" s="29" t="inlineStr">
        <is>
          <t>자본변동표</t>
        </is>
      </c>
      <c r="J326" s="29" t="inlineStr">
        <is>
          <t>ifrs-full_ChangesInEquity</t>
        </is>
      </c>
      <c r="K326" s="29" t="inlineStr">
        <is>
          <t>자본 증가(감소) 합계</t>
        </is>
      </c>
      <c r="L326" s="29" t="inlineStr">
        <is>
          <t>자본 [member]|지배기업의 소유주에게 귀속되는 자본 [member]</t>
        </is>
      </c>
      <c r="M326" s="29" t="inlineStr">
        <is>
          <t>제 4 기</t>
        </is>
      </c>
      <c r="N326" s="29" t="inlineStr">
        <is>
          <t>64236560163.0</t>
        </is>
      </c>
      <c r="O326" s="29" t="inlineStr">
        <is>
          <t>71692053958.0</t>
        </is>
      </c>
      <c r="P326" s="29" t="inlineStr">
        <is>
          <t>KRW</t>
        </is>
      </c>
      <c r="Q326" s="29" t="inlineStr">
        <is>
          <t>9</t>
        </is>
      </c>
    </row>
    <row r="327" ht="24" customHeight="1">
      <c r="A327" s="24" t="inlineStr">
        <is>
          <t>OpenDART_fnlttSinglAcntAll</t>
        </is>
      </c>
      <c r="B327" s="24" t="inlineStr">
        <is>
          <t>01365825</t>
        </is>
      </c>
      <c r="C327" s="24" t="inlineStr">
        <is>
          <t>피에스케이</t>
        </is>
      </c>
      <c r="D327" s="24" t="inlineStr">
        <is>
          <t>psk</t>
        </is>
      </c>
      <c r="E327" s="24" t="inlineStr">
        <is>
          <t>319660</t>
        </is>
      </c>
      <c r="F327" s="24" t="inlineStr">
        <is>
          <t>2022</t>
        </is>
      </c>
      <c r="G327" s="24" t="inlineStr">
        <is>
          <t>CFS</t>
        </is>
      </c>
      <c r="H327" s="24" t="inlineStr">
        <is>
          <t>SCE</t>
        </is>
      </c>
      <c r="I327" s="24" t="inlineStr">
        <is>
          <t>자본변동표</t>
        </is>
      </c>
      <c r="J327" s="24" t="inlineStr">
        <is>
          <t>ifrs-full_ChangesInEquity</t>
        </is>
      </c>
      <c r="K327" s="24" t="inlineStr">
        <is>
          <t>자본 증가(감소) 합계</t>
        </is>
      </c>
      <c r="L327" s="24" t="inlineStr">
        <is>
          <t>자본 [member]|지배기업의 소유주에게 귀속되는 자본 [member]|기타불입자본</t>
        </is>
      </c>
      <c r="M327" s="24" t="inlineStr">
        <is>
          <t>제 4 기</t>
        </is>
      </c>
      <c r="N327" s="24" t="inlineStr">
        <is>
          <t>-2989274009.0</t>
        </is>
      </c>
      <c r="O327" s="24" t="inlineStr">
        <is>
          <t>-1987078915.0</t>
        </is>
      </c>
      <c r="P327" s="24" t="inlineStr">
        <is>
          <t>KRW</t>
        </is>
      </c>
      <c r="Q327" s="24" t="inlineStr">
        <is>
          <t>9</t>
        </is>
      </c>
    </row>
    <row r="328" ht="24" customHeight="1">
      <c r="A328" s="29" t="inlineStr">
        <is>
          <t>OpenDART_fnlttSinglAcntAll</t>
        </is>
      </c>
      <c r="B328" s="29" t="inlineStr">
        <is>
          <t>01365825</t>
        </is>
      </c>
      <c r="C328" s="29" t="inlineStr">
        <is>
          <t>피에스케이</t>
        </is>
      </c>
      <c r="D328" s="29" t="inlineStr">
        <is>
          <t>psk</t>
        </is>
      </c>
      <c r="E328" s="29" t="inlineStr">
        <is>
          <t>319660</t>
        </is>
      </c>
      <c r="F328" s="29" t="inlineStr">
        <is>
          <t>2022</t>
        </is>
      </c>
      <c r="G328" s="29" t="inlineStr">
        <is>
          <t>CFS</t>
        </is>
      </c>
      <c r="H328" s="29" t="inlineStr">
        <is>
          <t>SCE</t>
        </is>
      </c>
      <c r="I328" s="29" t="inlineStr">
        <is>
          <t>자본변동표</t>
        </is>
      </c>
      <c r="J328" s="29" t="inlineStr">
        <is>
          <t>ifrs-full_ChangesInEquity</t>
        </is>
      </c>
      <c r="K328" s="29" t="inlineStr">
        <is>
          <t>자본 증가(감소) 합계</t>
        </is>
      </c>
      <c r="L328" s="29" t="inlineStr">
        <is>
          <t>자본 [member]|지배기업의 소유주에게 귀속되는 자본 [member]|기타자본구성요소 [member]</t>
        </is>
      </c>
      <c r="M328" s="29" t="inlineStr">
        <is>
          <t>제 4 기</t>
        </is>
      </c>
      <c r="N328" s="29" t="inlineStr">
        <is>
          <t>-681167147.0</t>
        </is>
      </c>
      <c r="O328" s="29" t="inlineStr">
        <is>
          <t>2053715020.0</t>
        </is>
      </c>
      <c r="P328" s="29" t="inlineStr">
        <is>
          <t>KRW</t>
        </is>
      </c>
      <c r="Q328" s="29" t="inlineStr">
        <is>
          <t>9</t>
        </is>
      </c>
    </row>
    <row r="329" ht="24" customHeight="1">
      <c r="A329" s="24" t="inlineStr">
        <is>
          <t>OpenDART_fnlttSinglAcntAll</t>
        </is>
      </c>
      <c r="B329" s="24" t="inlineStr">
        <is>
          <t>01365825</t>
        </is>
      </c>
      <c r="C329" s="24" t="inlineStr">
        <is>
          <t>피에스케이</t>
        </is>
      </c>
      <c r="D329" s="24" t="inlineStr">
        <is>
          <t>psk</t>
        </is>
      </c>
      <c r="E329" s="24" t="inlineStr">
        <is>
          <t>319660</t>
        </is>
      </c>
      <c r="F329" s="24" t="inlineStr">
        <is>
          <t>2022</t>
        </is>
      </c>
      <c r="G329" s="24" t="inlineStr">
        <is>
          <t>CFS</t>
        </is>
      </c>
      <c r="H329" s="24" t="inlineStr">
        <is>
          <t>SCE</t>
        </is>
      </c>
      <c r="I329" s="24" t="inlineStr">
        <is>
          <t>자본변동표</t>
        </is>
      </c>
      <c r="J329" s="24" t="inlineStr">
        <is>
          <t>ifrs-full_ChangesInEquity</t>
        </is>
      </c>
      <c r="K329" s="24" t="inlineStr">
        <is>
          <t>자본 증가(감소) 합계</t>
        </is>
      </c>
      <c r="L329" s="24" t="inlineStr">
        <is>
          <t>자본 [member]|지배기업의 소유주에게 귀속되는 자본 [member]|이익잉여금 [member]</t>
        </is>
      </c>
      <c r="M329" s="24" t="inlineStr">
        <is>
          <t>제 4 기</t>
        </is>
      </c>
      <c r="N329" s="24" t="inlineStr">
        <is>
          <t>60665322819.0</t>
        </is>
      </c>
      <c r="O329" s="24" t="inlineStr">
        <is>
          <t>71625417853.0</t>
        </is>
      </c>
      <c r="P329" s="24" t="inlineStr">
        <is>
          <t>KRW</t>
        </is>
      </c>
      <c r="Q329" s="24" t="inlineStr">
        <is>
          <t>9</t>
        </is>
      </c>
    </row>
    <row r="330" ht="24" customHeight="1">
      <c r="A330" s="29" t="inlineStr">
        <is>
          <t>OpenDART_fnlttSinglAcntAll</t>
        </is>
      </c>
      <c r="B330" s="29" t="inlineStr">
        <is>
          <t>01365825</t>
        </is>
      </c>
      <c r="C330" s="29" t="inlineStr">
        <is>
          <t>피에스케이</t>
        </is>
      </c>
      <c r="D330" s="29" t="inlineStr">
        <is>
          <t>psk</t>
        </is>
      </c>
      <c r="E330" s="29" t="inlineStr">
        <is>
          <t>319660</t>
        </is>
      </c>
      <c r="F330" s="29" t="inlineStr">
        <is>
          <t>2022</t>
        </is>
      </c>
      <c r="G330" s="29" t="inlineStr">
        <is>
          <t>CFS</t>
        </is>
      </c>
      <c r="H330" s="29" t="inlineStr">
        <is>
          <t>SCE</t>
        </is>
      </c>
      <c r="I330" s="29" t="inlineStr">
        <is>
          <t>자본변동표</t>
        </is>
      </c>
      <c r="J330" s="29" t="inlineStr">
        <is>
          <t>ifrs-full_ChangesInEquity</t>
        </is>
      </c>
      <c r="K330" s="29" t="inlineStr">
        <is>
          <t>자본 증가(감소) 합계</t>
        </is>
      </c>
      <c r="L330" s="29" t="inlineStr">
        <is>
          <t>자본 [member]|지배기업의 소유주에게 귀속되는 자본 [member]|자본금 [member]</t>
        </is>
      </c>
      <c r="M330" s="29" t="inlineStr">
        <is>
          <t>제 4 기</t>
        </is>
      </c>
      <c r="N330" s="29" t="inlineStr">
        <is>
          <t>7241678500.0</t>
        </is>
      </c>
      <c r="O330" s="29" t="inlineStr">
        <is>
          <t>0.0</t>
        </is>
      </c>
      <c r="P330" s="29" t="inlineStr">
        <is>
          <t>KRW</t>
        </is>
      </c>
      <c r="Q330" s="29" t="inlineStr">
        <is>
          <t>9</t>
        </is>
      </c>
    </row>
    <row r="331" ht="24" customHeight="1">
      <c r="A331" s="24" t="inlineStr">
        <is>
          <t>OpenDART_fnlttSinglAcntAll</t>
        </is>
      </c>
      <c r="B331" s="24" t="inlineStr">
        <is>
          <t>01365825</t>
        </is>
      </c>
      <c r="C331" s="24" t="inlineStr">
        <is>
          <t>피에스케이</t>
        </is>
      </c>
      <c r="D331" s="24" t="inlineStr">
        <is>
          <t>psk</t>
        </is>
      </c>
      <c r="E331" s="24" t="inlineStr">
        <is>
          <t>319660</t>
        </is>
      </c>
      <c r="F331" s="24" t="inlineStr">
        <is>
          <t>2022</t>
        </is>
      </c>
      <c r="G331" s="24" t="inlineStr">
        <is>
          <t>CFS</t>
        </is>
      </c>
      <c r="H331" s="24" t="inlineStr">
        <is>
          <t>SCE</t>
        </is>
      </c>
      <c r="I331" s="24" t="inlineStr">
        <is>
          <t>자본변동표</t>
        </is>
      </c>
      <c r="J331" s="24" t="inlineStr">
        <is>
          <t>ifrs-full_Equity</t>
        </is>
      </c>
      <c r="K331" s="24" t="inlineStr">
        <is>
          <t>기말자본</t>
        </is>
      </c>
      <c r="L331" s="24" t="inlineStr">
        <is>
          <t>자본 [member]|지배기업의 소유주에게 귀속되는 자본 [member]|이익잉여금 [member]</t>
        </is>
      </c>
      <c r="M331" s="24" t="inlineStr">
        <is>
          <t>제 4 기</t>
        </is>
      </c>
      <c r="N331" s="24" t="inlineStr">
        <is>
          <t>164862991285.0</t>
        </is>
      </c>
      <c r="O331" s="24" t="inlineStr">
        <is>
          <t>104197668466.0</t>
        </is>
      </c>
      <c r="P331" s="24" t="inlineStr">
        <is>
          <t>KRW</t>
        </is>
      </c>
      <c r="Q331" s="24" t="inlineStr">
        <is>
          <t>10</t>
        </is>
      </c>
    </row>
    <row r="332" ht="24" customHeight="1">
      <c r="A332" s="29" t="inlineStr">
        <is>
          <t>OpenDART_fnlttSinglAcntAll</t>
        </is>
      </c>
      <c r="B332" s="29" t="inlineStr">
        <is>
          <t>01365825</t>
        </is>
      </c>
      <c r="C332" s="29" t="inlineStr">
        <is>
          <t>피에스케이</t>
        </is>
      </c>
      <c r="D332" s="29" t="inlineStr">
        <is>
          <t>psk</t>
        </is>
      </c>
      <c r="E332" s="29" t="inlineStr">
        <is>
          <t>319660</t>
        </is>
      </c>
      <c r="F332" s="29" t="inlineStr">
        <is>
          <t>2022</t>
        </is>
      </c>
      <c r="G332" s="29" t="inlineStr">
        <is>
          <t>CFS</t>
        </is>
      </c>
      <c r="H332" s="29" t="inlineStr">
        <is>
          <t>SCE</t>
        </is>
      </c>
      <c r="I332" s="29" t="inlineStr">
        <is>
          <t>자본변동표</t>
        </is>
      </c>
      <c r="J332" s="29" t="inlineStr">
        <is>
          <t>ifrs-full_Equity</t>
        </is>
      </c>
      <c r="K332" s="29" t="inlineStr">
        <is>
          <t>기말자본</t>
        </is>
      </c>
      <c r="L332" s="29" t="inlineStr">
        <is>
          <t>자본 [member]|지배기업의 소유주에게 귀속되는 자본 [member]|기타자본구성요소 [member]</t>
        </is>
      </c>
      <c r="M332" s="29" t="inlineStr">
        <is>
          <t>제 4 기</t>
        </is>
      </c>
      <c r="N332" s="29" t="inlineStr">
        <is>
          <t>1860093233.0</t>
        </is>
      </c>
      <c r="O332" s="29" t="inlineStr">
        <is>
          <t>2541260380.0</t>
        </is>
      </c>
      <c r="P332" s="29" t="inlineStr">
        <is>
          <t>KRW</t>
        </is>
      </c>
      <c r="Q332" s="29" t="inlineStr">
        <is>
          <t>10</t>
        </is>
      </c>
    </row>
    <row r="333" ht="24" customHeight="1">
      <c r="A333" s="24" t="inlineStr">
        <is>
          <t>OpenDART_fnlttSinglAcntAll</t>
        </is>
      </c>
      <c r="B333" s="24" t="inlineStr">
        <is>
          <t>01365825</t>
        </is>
      </c>
      <c r="C333" s="24" t="inlineStr">
        <is>
          <t>피에스케이</t>
        </is>
      </c>
      <c r="D333" s="24" t="inlineStr">
        <is>
          <t>psk</t>
        </is>
      </c>
      <c r="E333" s="24" t="inlineStr">
        <is>
          <t>319660</t>
        </is>
      </c>
      <c r="F333" s="24" t="inlineStr">
        <is>
          <t>2022</t>
        </is>
      </c>
      <c r="G333" s="24" t="inlineStr">
        <is>
          <t>CFS</t>
        </is>
      </c>
      <c r="H333" s="24" t="inlineStr">
        <is>
          <t>SCE</t>
        </is>
      </c>
      <c r="I333" s="24" t="inlineStr">
        <is>
          <t>자본변동표</t>
        </is>
      </c>
      <c r="J333" s="24" t="inlineStr">
        <is>
          <t>ifrs-full_Equity</t>
        </is>
      </c>
      <c r="K333" s="24" t="inlineStr">
        <is>
          <t>기말자본</t>
        </is>
      </c>
      <c r="L333" s="24" t="inlineStr">
        <is>
          <t>자본 [member]|지배기업의 소유주에게 귀속되는 자본 [member]|기타불입자본</t>
        </is>
      </c>
      <c r="M333" s="24" t="inlineStr">
        <is>
          <t>제 4 기</t>
        </is>
      </c>
      <c r="N333" s="24" t="inlineStr">
        <is>
          <t>171960244948.0</t>
        </is>
      </c>
      <c r="O333" s="24" t="inlineStr">
        <is>
          <t>174949518957.0</t>
        </is>
      </c>
      <c r="P333" s="24" t="inlineStr">
        <is>
          <t>KRW</t>
        </is>
      </c>
      <c r="Q333" s="24" t="inlineStr">
        <is>
          <t>10</t>
        </is>
      </c>
    </row>
    <row r="334" ht="24" customHeight="1">
      <c r="A334" s="29" t="inlineStr">
        <is>
          <t>OpenDART_fnlttSinglAcntAll</t>
        </is>
      </c>
      <c r="B334" s="29" t="inlineStr">
        <is>
          <t>01365825</t>
        </is>
      </c>
      <c r="C334" s="29" t="inlineStr">
        <is>
          <t>피에스케이</t>
        </is>
      </c>
      <c r="D334" s="29" t="inlineStr">
        <is>
          <t>psk</t>
        </is>
      </c>
      <c r="E334" s="29" t="inlineStr">
        <is>
          <t>319660</t>
        </is>
      </c>
      <c r="F334" s="29" t="inlineStr">
        <is>
          <t>2022</t>
        </is>
      </c>
      <c r="G334" s="29" t="inlineStr">
        <is>
          <t>CFS</t>
        </is>
      </c>
      <c r="H334" s="29" t="inlineStr">
        <is>
          <t>SCE</t>
        </is>
      </c>
      <c r="I334" s="29" t="inlineStr">
        <is>
          <t>자본변동표</t>
        </is>
      </c>
      <c r="J334" s="29" t="inlineStr">
        <is>
          <t>ifrs-full_Equity</t>
        </is>
      </c>
      <c r="K334" s="29" t="inlineStr">
        <is>
          <t>기말자본</t>
        </is>
      </c>
      <c r="L334" s="29" t="inlineStr">
        <is>
          <t>자본 [member]|지배기업의 소유주에게 귀속되는 자본 [member]</t>
        </is>
      </c>
      <c r="M334" s="29" t="inlineStr">
        <is>
          <t>제 4 기</t>
        </is>
      </c>
      <c r="N334" s="29" t="inlineStr">
        <is>
          <t>353307517966.0</t>
        </is>
      </c>
      <c r="O334" s="29" t="inlineStr">
        <is>
          <t>289070957803.0</t>
        </is>
      </c>
      <c r="P334" s="29" t="inlineStr">
        <is>
          <t>KRW</t>
        </is>
      </c>
      <c r="Q334" s="29" t="inlineStr">
        <is>
          <t>10</t>
        </is>
      </c>
    </row>
    <row r="335" ht="24" customHeight="1">
      <c r="A335" s="24" t="inlineStr">
        <is>
          <t>OpenDART_fnlttSinglAcntAll</t>
        </is>
      </c>
      <c r="B335" s="24" t="inlineStr">
        <is>
          <t>01365825</t>
        </is>
      </c>
      <c r="C335" s="24" t="inlineStr">
        <is>
          <t>피에스케이</t>
        </is>
      </c>
      <c r="D335" s="24" t="inlineStr">
        <is>
          <t>psk</t>
        </is>
      </c>
      <c r="E335" s="24" t="inlineStr">
        <is>
          <t>319660</t>
        </is>
      </c>
      <c r="F335" s="24" t="inlineStr">
        <is>
          <t>2022</t>
        </is>
      </c>
      <c r="G335" s="24" t="inlineStr">
        <is>
          <t>CFS</t>
        </is>
      </c>
      <c r="H335" s="24" t="inlineStr">
        <is>
          <t>SCE</t>
        </is>
      </c>
      <c r="I335" s="24" t="inlineStr">
        <is>
          <t>자본변동표</t>
        </is>
      </c>
      <c r="J335" s="24" t="inlineStr">
        <is>
          <t>ifrs-full_Equity</t>
        </is>
      </c>
      <c r="K335" s="24" t="inlineStr">
        <is>
          <t>기말자본</t>
        </is>
      </c>
      <c r="L335" s="24" t="inlineStr">
        <is>
          <t>자본 [member]|비지배지분 [member]</t>
        </is>
      </c>
      <c r="M335" s="24" t="inlineStr">
        <is>
          <t>제 4 기</t>
        </is>
      </c>
      <c r="N335" s="24" t="inlineStr">
        <is>
          <t>0.0</t>
        </is>
      </c>
      <c r="O335" s="24" t="inlineStr">
        <is>
          <t>0.0</t>
        </is>
      </c>
      <c r="P335" s="24" t="inlineStr">
        <is>
          <t>KRW</t>
        </is>
      </c>
      <c r="Q335" s="24" t="inlineStr">
        <is>
          <t>10</t>
        </is>
      </c>
    </row>
    <row r="336" ht="24" customHeight="1">
      <c r="A336" s="29" t="inlineStr">
        <is>
          <t>OpenDART_fnlttSinglAcntAll</t>
        </is>
      </c>
      <c r="B336" s="29" t="inlineStr">
        <is>
          <t>01365825</t>
        </is>
      </c>
      <c r="C336" s="29" t="inlineStr">
        <is>
          <t>피에스케이</t>
        </is>
      </c>
      <c r="D336" s="29" t="inlineStr">
        <is>
          <t>psk</t>
        </is>
      </c>
      <c r="E336" s="29" t="inlineStr">
        <is>
          <t>319660</t>
        </is>
      </c>
      <c r="F336" s="29" t="inlineStr">
        <is>
          <t>2022</t>
        </is>
      </c>
      <c r="G336" s="29" t="inlineStr">
        <is>
          <t>CFS</t>
        </is>
      </c>
      <c r="H336" s="29" t="inlineStr">
        <is>
          <t>SCE</t>
        </is>
      </c>
      <c r="I336" s="29" t="inlineStr">
        <is>
          <t>자본변동표</t>
        </is>
      </c>
      <c r="J336" s="29" t="inlineStr">
        <is>
          <t>ifrs-full_Equity</t>
        </is>
      </c>
      <c r="K336" s="29" t="inlineStr">
        <is>
          <t>기말자본</t>
        </is>
      </c>
      <c r="L336" s="29" t="inlineStr">
        <is>
          <t>연결재무제표 [member]</t>
        </is>
      </c>
      <c r="M336" s="29" t="inlineStr">
        <is>
          <t>제 4 기</t>
        </is>
      </c>
      <c r="N336" s="29" t="inlineStr">
        <is>
          <t>353307517966.0</t>
        </is>
      </c>
      <c r="O336" s="29" t="inlineStr">
        <is>
          <t>289070957803.0</t>
        </is>
      </c>
      <c r="P336" s="29" t="inlineStr">
        <is>
          <t>KRW</t>
        </is>
      </c>
      <c r="Q336" s="29" t="inlineStr">
        <is>
          <t>10</t>
        </is>
      </c>
    </row>
    <row r="337" ht="24" customHeight="1">
      <c r="A337" s="24" t="inlineStr">
        <is>
          <t>OpenDART_fnlttSinglAcntAll</t>
        </is>
      </c>
      <c r="B337" s="24" t="inlineStr">
        <is>
          <t>01365825</t>
        </is>
      </c>
      <c r="C337" s="24" t="inlineStr">
        <is>
          <t>피에스케이</t>
        </is>
      </c>
      <c r="D337" s="24" t="inlineStr">
        <is>
          <t>psk</t>
        </is>
      </c>
      <c r="E337" s="24" t="inlineStr">
        <is>
          <t>319660</t>
        </is>
      </c>
      <c r="F337" s="24" t="inlineStr">
        <is>
          <t>2022</t>
        </is>
      </c>
      <c r="G337" s="24" t="inlineStr">
        <is>
          <t>CFS</t>
        </is>
      </c>
      <c r="H337" s="24" t="inlineStr">
        <is>
          <t>SCE</t>
        </is>
      </c>
      <c r="I337" s="24" t="inlineStr">
        <is>
          <t>자본변동표</t>
        </is>
      </c>
      <c r="J337" s="24" t="inlineStr">
        <is>
          <t>ifrs-full_Equity</t>
        </is>
      </c>
      <c r="K337" s="24" t="inlineStr">
        <is>
          <t>기말자본</t>
        </is>
      </c>
      <c r="L337" s="24" t="inlineStr">
        <is>
          <t>자본 [member]|지배기업의 소유주에게 귀속되는 자본 [member]|자본금 [member]</t>
        </is>
      </c>
      <c r="M337" s="24" t="inlineStr">
        <is>
          <t>제 4 기</t>
        </is>
      </c>
      <c r="N337" s="24" t="inlineStr">
        <is>
          <t>14624188500.0</t>
        </is>
      </c>
      <c r="O337" s="24" t="inlineStr">
        <is>
          <t>7382510000.0</t>
        </is>
      </c>
      <c r="P337" s="24" t="inlineStr">
        <is>
          <t>KRW</t>
        </is>
      </c>
      <c r="Q337" s="24" t="inlineStr">
        <is>
          <t>10</t>
        </is>
      </c>
    </row>
    <row r="338" ht="24" customHeight="1">
      <c r="A338" s="29" t="inlineStr">
        <is>
          <t>OpenDART_fnlttSinglAcntAll</t>
        </is>
      </c>
      <c r="B338" s="29" t="inlineStr">
        <is>
          <t>01365825</t>
        </is>
      </c>
      <c r="C338" s="29" t="inlineStr">
        <is>
          <t>피에스케이</t>
        </is>
      </c>
      <c r="D338" s="29" t="inlineStr">
        <is>
          <t>psk</t>
        </is>
      </c>
      <c r="E338" s="29" t="inlineStr">
        <is>
          <t>319660</t>
        </is>
      </c>
      <c r="F338" s="29" t="inlineStr">
        <is>
          <t>2023</t>
        </is>
      </c>
      <c r="G338" s="29" t="inlineStr">
        <is>
          <t>CFS</t>
        </is>
      </c>
      <c r="H338" s="29" t="inlineStr">
        <is>
          <t>BS</t>
        </is>
      </c>
      <c r="I338" s="29" t="inlineStr">
        <is>
          <t>재무상태표</t>
        </is>
      </c>
      <c r="J338" s="29" t="inlineStr">
        <is>
          <t>ifrs-full_Assets</t>
        </is>
      </c>
      <c r="K338" s="29" t="inlineStr">
        <is>
          <t>자산총계</t>
        </is>
      </c>
      <c r="L338" s="29" t="inlineStr">
        <is>
          <t>-</t>
        </is>
      </c>
      <c r="M338" s="29" t="inlineStr">
        <is>
          <t>제 5 기</t>
        </is>
      </c>
      <c r="N338" s="29" t="inlineStr">
        <is>
          <t>494393356491.0</t>
        </is>
      </c>
      <c r="O338" s="29" t="inlineStr">
        <is>
          <t>472649339864.0</t>
        </is>
      </c>
      <c r="P338" s="29" t="inlineStr">
        <is>
          <t>KRW</t>
        </is>
      </c>
      <c r="Q338" s="29" t="inlineStr">
        <is>
          <t>7</t>
        </is>
      </c>
    </row>
    <row r="339" ht="24" customHeight="1">
      <c r="A339" s="24" t="inlineStr">
        <is>
          <t>OpenDART_fnlttSinglAcntAll</t>
        </is>
      </c>
      <c r="B339" s="24" t="inlineStr">
        <is>
          <t>01365825</t>
        </is>
      </c>
      <c r="C339" s="24" t="inlineStr">
        <is>
          <t>피에스케이</t>
        </is>
      </c>
      <c r="D339" s="24" t="inlineStr">
        <is>
          <t>psk</t>
        </is>
      </c>
      <c r="E339" s="24" t="inlineStr">
        <is>
          <t>319660</t>
        </is>
      </c>
      <c r="F339" s="24" t="inlineStr">
        <is>
          <t>2023</t>
        </is>
      </c>
      <c r="G339" s="24" t="inlineStr">
        <is>
          <t>CFS</t>
        </is>
      </c>
      <c r="H339" s="24" t="inlineStr">
        <is>
          <t>BS</t>
        </is>
      </c>
      <c r="I339" s="24" t="inlineStr">
        <is>
          <t>재무상태표</t>
        </is>
      </c>
      <c r="J339" s="24" t="inlineStr">
        <is>
          <t>ifrs-full_CurrentAssets</t>
        </is>
      </c>
      <c r="K339" s="24" t="inlineStr">
        <is>
          <t>유동자산</t>
        </is>
      </c>
      <c r="L339" s="24" t="inlineStr">
        <is>
          <t>-</t>
        </is>
      </c>
      <c r="M339" s="24" t="inlineStr">
        <is>
          <t>제 5 기</t>
        </is>
      </c>
      <c r="N339" s="24" t="inlineStr">
        <is>
          <t>353608678775.0</t>
        </is>
      </c>
      <c r="O339" s="24" t="inlineStr">
        <is>
          <t>383950967173.0</t>
        </is>
      </c>
      <c r="P339" s="24" t="inlineStr">
        <is>
          <t>KRW</t>
        </is>
      </c>
      <c r="Q339" s="24" t="inlineStr">
        <is>
          <t>8</t>
        </is>
      </c>
    </row>
    <row r="340" ht="24" customHeight="1">
      <c r="A340" s="29" t="inlineStr">
        <is>
          <t>OpenDART_fnlttSinglAcntAll</t>
        </is>
      </c>
      <c r="B340" s="29" t="inlineStr">
        <is>
          <t>01365825</t>
        </is>
      </c>
      <c r="C340" s="29" t="inlineStr">
        <is>
          <t>피에스케이</t>
        </is>
      </c>
      <c r="D340" s="29" t="inlineStr">
        <is>
          <t>psk</t>
        </is>
      </c>
      <c r="E340" s="29" t="inlineStr">
        <is>
          <t>319660</t>
        </is>
      </c>
      <c r="F340" s="29" t="inlineStr">
        <is>
          <t>2023</t>
        </is>
      </c>
      <c r="G340" s="29" t="inlineStr">
        <is>
          <t>CFS</t>
        </is>
      </c>
      <c r="H340" s="29" t="inlineStr">
        <is>
          <t>BS</t>
        </is>
      </c>
      <c r="I340" s="29" t="inlineStr">
        <is>
          <t>재무상태표</t>
        </is>
      </c>
      <c r="J340" s="29" t="inlineStr">
        <is>
          <t>ifrs-full_CashAndCashEquivalents</t>
        </is>
      </c>
      <c r="K340" s="29" t="inlineStr">
        <is>
          <t>현금및현금성자산</t>
        </is>
      </c>
      <c r="L340" s="29" t="inlineStr">
        <is>
          <t>-</t>
        </is>
      </c>
      <c r="M340" s="29" t="inlineStr">
        <is>
          <t>제 5 기</t>
        </is>
      </c>
      <c r="N340" s="29" t="inlineStr">
        <is>
          <t>64918554700.0</t>
        </is>
      </c>
      <c r="O340" s="29" t="inlineStr">
        <is>
          <t>55965973907.0</t>
        </is>
      </c>
      <c r="P340" s="29" t="inlineStr">
        <is>
          <t>KRW</t>
        </is>
      </c>
      <c r="Q340" s="29" t="inlineStr">
        <is>
          <t>9</t>
        </is>
      </c>
    </row>
    <row r="341" ht="24" customHeight="1">
      <c r="A341" s="24" t="inlineStr">
        <is>
          <t>OpenDART_fnlttSinglAcntAll</t>
        </is>
      </c>
      <c r="B341" s="24" t="inlineStr">
        <is>
          <t>01365825</t>
        </is>
      </c>
      <c r="C341" s="24" t="inlineStr">
        <is>
          <t>피에스케이</t>
        </is>
      </c>
      <c r="D341" s="24" t="inlineStr">
        <is>
          <t>psk</t>
        </is>
      </c>
      <c r="E341" s="24" t="inlineStr">
        <is>
          <t>319660</t>
        </is>
      </c>
      <c r="F341" s="24" t="inlineStr">
        <is>
          <t>2023</t>
        </is>
      </c>
      <c r="G341" s="24" t="inlineStr">
        <is>
          <t>CFS</t>
        </is>
      </c>
      <c r="H341" s="24" t="inlineStr">
        <is>
          <t>BS</t>
        </is>
      </c>
      <c r="I341" s="24" t="inlineStr">
        <is>
          <t>재무상태표</t>
        </is>
      </c>
      <c r="J341" s="24" t="inlineStr">
        <is>
          <t>ifrs-full_CurrentTaxAssets</t>
        </is>
      </c>
      <c r="K341" s="24" t="inlineStr">
        <is>
          <t>당기법인세자산</t>
        </is>
      </c>
      <c r="L341" s="24" t="inlineStr">
        <is>
          <t>-</t>
        </is>
      </c>
      <c r="M341" s="24" t="inlineStr">
        <is>
          <t>제 5 기</t>
        </is>
      </c>
      <c r="N341" s="24" t="inlineStr">
        <is>
          <t>해당 없음</t>
        </is>
      </c>
      <c r="O341" s="24" t="inlineStr">
        <is>
          <t>해당 없음</t>
        </is>
      </c>
      <c r="P341" s="24" t="inlineStr">
        <is>
          <t>KRW</t>
        </is>
      </c>
      <c r="Q341" s="24" t="inlineStr">
        <is>
          <t>10</t>
        </is>
      </c>
    </row>
    <row r="342" ht="24" customHeight="1">
      <c r="A342" s="29" t="inlineStr">
        <is>
          <t>OpenDART_fnlttSinglAcntAll</t>
        </is>
      </c>
      <c r="B342" s="29" t="inlineStr">
        <is>
          <t>01365825</t>
        </is>
      </c>
      <c r="C342" s="29" t="inlineStr">
        <is>
          <t>피에스케이</t>
        </is>
      </c>
      <c r="D342" s="29" t="inlineStr">
        <is>
          <t>psk</t>
        </is>
      </c>
      <c r="E342" s="29" t="inlineStr">
        <is>
          <t>319660</t>
        </is>
      </c>
      <c r="F342" s="29" t="inlineStr">
        <is>
          <t>2023</t>
        </is>
      </c>
      <c r="G342" s="29" t="inlineStr">
        <is>
          <t>CFS</t>
        </is>
      </c>
      <c r="H342" s="29" t="inlineStr">
        <is>
          <t>BS</t>
        </is>
      </c>
      <c r="I342" s="29" t="inlineStr">
        <is>
          <t>재무상태표</t>
        </is>
      </c>
      <c r="J342" s="29" t="inlineStr">
        <is>
          <t>ifrs-full_Inventories</t>
        </is>
      </c>
      <c r="K342" s="29" t="inlineStr">
        <is>
          <t>유동재고자산</t>
        </is>
      </c>
      <c r="L342" s="29" t="inlineStr">
        <is>
          <t>-</t>
        </is>
      </c>
      <c r="M342" s="29" t="inlineStr">
        <is>
          <t>제 5 기</t>
        </is>
      </c>
      <c r="N342" s="29" t="inlineStr">
        <is>
          <t>116713437321.0</t>
        </is>
      </c>
      <c r="O342" s="29" t="inlineStr">
        <is>
          <t>117092467913.0</t>
        </is>
      </c>
      <c r="P342" s="29" t="inlineStr">
        <is>
          <t>KRW</t>
        </is>
      </c>
      <c r="Q342" s="29" t="inlineStr">
        <is>
          <t>11</t>
        </is>
      </c>
    </row>
    <row r="343" ht="24" customHeight="1">
      <c r="A343" s="24" t="inlineStr">
        <is>
          <t>OpenDART_fnlttSinglAcntAll</t>
        </is>
      </c>
      <c r="B343" s="24" t="inlineStr">
        <is>
          <t>01365825</t>
        </is>
      </c>
      <c r="C343" s="24" t="inlineStr">
        <is>
          <t>피에스케이</t>
        </is>
      </c>
      <c r="D343" s="24" t="inlineStr">
        <is>
          <t>psk</t>
        </is>
      </c>
      <c r="E343" s="24" t="inlineStr">
        <is>
          <t>319660</t>
        </is>
      </c>
      <c r="F343" s="24" t="inlineStr">
        <is>
          <t>2023</t>
        </is>
      </c>
      <c r="G343" s="24" t="inlineStr">
        <is>
          <t>CFS</t>
        </is>
      </c>
      <c r="H343" s="24" t="inlineStr">
        <is>
          <t>BS</t>
        </is>
      </c>
      <c r="I343" s="24" t="inlineStr">
        <is>
          <t>재무상태표</t>
        </is>
      </c>
      <c r="J343" s="24" t="inlineStr">
        <is>
          <t>ifrs-full_OtherCurrentAssets</t>
        </is>
      </c>
      <c r="K343" s="24" t="inlineStr">
        <is>
          <t>기타유동자산</t>
        </is>
      </c>
      <c r="L343" s="24" t="inlineStr">
        <is>
          <t>-</t>
        </is>
      </c>
      <c r="M343" s="24" t="inlineStr">
        <is>
          <t>제 5 기</t>
        </is>
      </c>
      <c r="N343" s="24" t="inlineStr">
        <is>
          <t>4204026136.0</t>
        </is>
      </c>
      <c r="O343" s="24" t="inlineStr">
        <is>
          <t>5492791994.0</t>
        </is>
      </c>
      <c r="P343" s="24" t="inlineStr">
        <is>
          <t>KRW</t>
        </is>
      </c>
      <c r="Q343" s="24" t="inlineStr">
        <is>
          <t>12</t>
        </is>
      </c>
    </row>
    <row r="344" ht="24" customHeight="1">
      <c r="A344" s="29" t="inlineStr">
        <is>
          <t>OpenDART_fnlttSinglAcntAll</t>
        </is>
      </c>
      <c r="B344" s="29" t="inlineStr">
        <is>
          <t>01365825</t>
        </is>
      </c>
      <c r="C344" s="29" t="inlineStr">
        <is>
          <t>피에스케이</t>
        </is>
      </c>
      <c r="D344" s="29" t="inlineStr">
        <is>
          <t>psk</t>
        </is>
      </c>
      <c r="E344" s="29" t="inlineStr">
        <is>
          <t>319660</t>
        </is>
      </c>
      <c r="F344" s="29" t="inlineStr">
        <is>
          <t>2023</t>
        </is>
      </c>
      <c r="G344" s="29" t="inlineStr">
        <is>
          <t>CFS</t>
        </is>
      </c>
      <c r="H344" s="29" t="inlineStr">
        <is>
          <t>BS</t>
        </is>
      </c>
      <c r="I344" s="29" t="inlineStr">
        <is>
          <t>재무상태표</t>
        </is>
      </c>
      <c r="J344" s="29" t="inlineStr">
        <is>
          <t>ifrs-full_OtherCurrentFinancialAssets</t>
        </is>
      </c>
      <c r="K344" s="29" t="inlineStr">
        <is>
          <t>유동금융자산</t>
        </is>
      </c>
      <c r="L344" s="29" t="inlineStr">
        <is>
          <t>-</t>
        </is>
      </c>
      <c r="M344" s="29" t="inlineStr">
        <is>
          <t>제 5 기</t>
        </is>
      </c>
      <c r="N344" s="29" t="inlineStr">
        <is>
          <t>133728794179.0</t>
        </is>
      </c>
      <c r="O344" s="29" t="inlineStr">
        <is>
          <t>150667590912.0</t>
        </is>
      </c>
      <c r="P344" s="29" t="inlineStr">
        <is>
          <t>KRW</t>
        </is>
      </c>
      <c r="Q344" s="29" t="inlineStr">
        <is>
          <t>13</t>
        </is>
      </c>
    </row>
    <row r="345" ht="24" customHeight="1">
      <c r="A345" s="24" t="inlineStr">
        <is>
          <t>OpenDART_fnlttSinglAcntAll</t>
        </is>
      </c>
      <c r="B345" s="24" t="inlineStr">
        <is>
          <t>01365825</t>
        </is>
      </c>
      <c r="C345" s="24" t="inlineStr">
        <is>
          <t>피에스케이</t>
        </is>
      </c>
      <c r="D345" s="24" t="inlineStr">
        <is>
          <t>psk</t>
        </is>
      </c>
      <c r="E345" s="24" t="inlineStr">
        <is>
          <t>319660</t>
        </is>
      </c>
      <c r="F345" s="24" t="inlineStr">
        <is>
          <t>2023</t>
        </is>
      </c>
      <c r="G345" s="24" t="inlineStr">
        <is>
          <t>CFS</t>
        </is>
      </c>
      <c r="H345" s="24" t="inlineStr">
        <is>
          <t>BS</t>
        </is>
      </c>
      <c r="I345" s="24" t="inlineStr">
        <is>
          <t>재무상태표</t>
        </is>
      </c>
      <c r="J345" s="24" t="inlineStr">
        <is>
          <t>ifrs-full_TradeAndOtherCurrentReceivables</t>
        </is>
      </c>
      <c r="K345" s="24" t="inlineStr">
        <is>
          <t>매출채권및기타채권</t>
        </is>
      </c>
      <c r="L345" s="24" t="inlineStr">
        <is>
          <t>-</t>
        </is>
      </c>
      <c r="M345" s="24" t="inlineStr">
        <is>
          <t>제 5 기</t>
        </is>
      </c>
      <c r="N345" s="24" t="inlineStr">
        <is>
          <t>34043866439.0</t>
        </is>
      </c>
      <c r="O345" s="24" t="inlineStr">
        <is>
          <t>54732142447.0</t>
        </is>
      </c>
      <c r="P345" s="24" t="inlineStr">
        <is>
          <t>KRW</t>
        </is>
      </c>
      <c r="Q345" s="24" t="inlineStr">
        <is>
          <t>14</t>
        </is>
      </c>
    </row>
    <row r="346" ht="24" customHeight="1">
      <c r="A346" s="29" t="inlineStr">
        <is>
          <t>OpenDART_fnlttSinglAcntAll</t>
        </is>
      </c>
      <c r="B346" s="29" t="inlineStr">
        <is>
          <t>01365825</t>
        </is>
      </c>
      <c r="C346" s="29" t="inlineStr">
        <is>
          <t>피에스케이</t>
        </is>
      </c>
      <c r="D346" s="29" t="inlineStr">
        <is>
          <t>psk</t>
        </is>
      </c>
      <c r="E346" s="29" t="inlineStr">
        <is>
          <t>319660</t>
        </is>
      </c>
      <c r="F346" s="29" t="inlineStr">
        <is>
          <t>2023</t>
        </is>
      </c>
      <c r="G346" s="29" t="inlineStr">
        <is>
          <t>CFS</t>
        </is>
      </c>
      <c r="H346" s="29" t="inlineStr">
        <is>
          <t>BS</t>
        </is>
      </c>
      <c r="I346" s="29" t="inlineStr">
        <is>
          <t>재무상태표</t>
        </is>
      </c>
      <c r="J346" s="29" t="inlineStr">
        <is>
          <t>ifrs-full_NoncurrentAssets</t>
        </is>
      </c>
      <c r="K346" s="29" t="inlineStr">
        <is>
          <t>비유동자산</t>
        </is>
      </c>
      <c r="L346" s="29" t="inlineStr">
        <is>
          <t>-</t>
        </is>
      </c>
      <c r="M346" s="29" t="inlineStr">
        <is>
          <t>제 5 기</t>
        </is>
      </c>
      <c r="N346" s="29" t="inlineStr">
        <is>
          <t>140784677716.0</t>
        </is>
      </c>
      <c r="O346" s="29" t="inlineStr">
        <is>
          <t>88698372691.0</t>
        </is>
      </c>
      <c r="P346" s="29" t="inlineStr">
        <is>
          <t>KRW</t>
        </is>
      </c>
      <c r="Q346" s="29" t="inlineStr">
        <is>
          <t>15</t>
        </is>
      </c>
    </row>
    <row r="347" ht="24" customHeight="1">
      <c r="A347" s="24" t="inlineStr">
        <is>
          <t>OpenDART_fnlttSinglAcntAll</t>
        </is>
      </c>
      <c r="B347" s="24" t="inlineStr">
        <is>
          <t>01365825</t>
        </is>
      </c>
      <c r="C347" s="24" t="inlineStr">
        <is>
          <t>피에스케이</t>
        </is>
      </c>
      <c r="D347" s="24" t="inlineStr">
        <is>
          <t>psk</t>
        </is>
      </c>
      <c r="E347" s="24" t="inlineStr">
        <is>
          <t>319660</t>
        </is>
      </c>
      <c r="F347" s="24" t="inlineStr">
        <is>
          <t>2023</t>
        </is>
      </c>
      <c r="G347" s="24" t="inlineStr">
        <is>
          <t>CFS</t>
        </is>
      </c>
      <c r="H347" s="24" t="inlineStr">
        <is>
          <t>BS</t>
        </is>
      </c>
      <c r="I347" s="24" t="inlineStr">
        <is>
          <t>재무상태표</t>
        </is>
      </c>
      <c r="J347" s="24" t="inlineStr">
        <is>
          <t>dart_GoodwillGross</t>
        </is>
      </c>
      <c r="K347" s="24" t="inlineStr">
        <is>
          <t>영업권, 총액</t>
        </is>
      </c>
      <c r="L347" s="24" t="inlineStr">
        <is>
          <t>-</t>
        </is>
      </c>
      <c r="M347" s="24" t="inlineStr">
        <is>
          <t>제 5 기</t>
        </is>
      </c>
      <c r="N347" s="24" t="inlineStr">
        <is>
          <t>1101192643.0</t>
        </is>
      </c>
      <c r="O347" s="24" t="inlineStr">
        <is>
          <t>1101192643.0</t>
        </is>
      </c>
      <c r="P347" s="24" t="inlineStr">
        <is>
          <t>KRW</t>
        </is>
      </c>
      <c r="Q347" s="24" t="inlineStr">
        <is>
          <t>16</t>
        </is>
      </c>
    </row>
    <row r="348" ht="24" customHeight="1">
      <c r="A348" s="29" t="inlineStr">
        <is>
          <t>OpenDART_fnlttSinglAcntAll</t>
        </is>
      </c>
      <c r="B348" s="29" t="inlineStr">
        <is>
          <t>01365825</t>
        </is>
      </c>
      <c r="C348" s="29" t="inlineStr">
        <is>
          <t>피에스케이</t>
        </is>
      </c>
      <c r="D348" s="29" t="inlineStr">
        <is>
          <t>psk</t>
        </is>
      </c>
      <c r="E348" s="29" t="inlineStr">
        <is>
          <t>319660</t>
        </is>
      </c>
      <c r="F348" s="29" t="inlineStr">
        <is>
          <t>2023</t>
        </is>
      </c>
      <c r="G348" s="29" t="inlineStr">
        <is>
          <t>CFS</t>
        </is>
      </c>
      <c r="H348" s="29" t="inlineStr">
        <is>
          <t>BS</t>
        </is>
      </c>
      <c r="I348" s="29" t="inlineStr">
        <is>
          <t>재무상태표</t>
        </is>
      </c>
      <c r="J348" s="29" t="inlineStr">
        <is>
          <t>dart_LongTermTradeAndOtherNonCurrentReceivablesGross</t>
        </is>
      </c>
      <c r="K348" s="29" t="inlineStr">
        <is>
          <t>매출채권및기타채권(비)</t>
        </is>
      </c>
      <c r="L348" s="29" t="inlineStr">
        <is>
          <t>-</t>
        </is>
      </c>
      <c r="M348" s="29" t="inlineStr">
        <is>
          <t>제 5 기</t>
        </is>
      </c>
      <c r="N348" s="29" t="inlineStr">
        <is>
          <t>3943844403.0</t>
        </is>
      </c>
      <c r="O348" s="29" t="inlineStr">
        <is>
          <t>3828808224.0</t>
        </is>
      </c>
      <c r="P348" s="29" t="inlineStr">
        <is>
          <t>KRW</t>
        </is>
      </c>
      <c r="Q348" s="29" t="inlineStr">
        <is>
          <t>17</t>
        </is>
      </c>
    </row>
    <row r="349" ht="24" customHeight="1">
      <c r="A349" s="24" t="inlineStr">
        <is>
          <t>OpenDART_fnlttSinglAcntAll</t>
        </is>
      </c>
      <c r="B349" s="24" t="inlineStr">
        <is>
          <t>01365825</t>
        </is>
      </c>
      <c r="C349" s="24" t="inlineStr">
        <is>
          <t>피에스케이</t>
        </is>
      </c>
      <c r="D349" s="24" t="inlineStr">
        <is>
          <t>psk</t>
        </is>
      </c>
      <c r="E349" s="24" t="inlineStr">
        <is>
          <t>319660</t>
        </is>
      </c>
      <c r="F349" s="24" t="inlineStr">
        <is>
          <t>2023</t>
        </is>
      </c>
      <c r="G349" s="24" t="inlineStr">
        <is>
          <t>CFS</t>
        </is>
      </c>
      <c r="H349" s="24" t="inlineStr">
        <is>
          <t>BS</t>
        </is>
      </c>
      <c r="I349" s="24" t="inlineStr">
        <is>
          <t>재무상태표</t>
        </is>
      </c>
      <c r="J349" s="24" t="inlineStr">
        <is>
          <t>-표준계정코드 미사용-</t>
        </is>
      </c>
      <c r="K349" s="24" t="inlineStr">
        <is>
          <t>순확정급여자산</t>
        </is>
      </c>
      <c r="L349" s="24" t="inlineStr">
        <is>
          <t>-</t>
        </is>
      </c>
      <c r="M349" s="24" t="inlineStr">
        <is>
          <t>제 5 기</t>
        </is>
      </c>
      <c r="N349" s="24" t="inlineStr">
        <is>
          <t>2402551266.0</t>
        </is>
      </c>
      <c r="O349" s="24" t="inlineStr">
        <is>
          <t>1362040551.0</t>
        </is>
      </c>
      <c r="P349" s="24" t="inlineStr">
        <is>
          <t>KRW</t>
        </is>
      </c>
      <c r="Q349" s="24" t="inlineStr">
        <is>
          <t>18</t>
        </is>
      </c>
    </row>
    <row r="350" ht="24" customHeight="1">
      <c r="A350" s="29" t="inlineStr">
        <is>
          <t>OpenDART_fnlttSinglAcntAll</t>
        </is>
      </c>
      <c r="B350" s="29" t="inlineStr">
        <is>
          <t>01365825</t>
        </is>
      </c>
      <c r="C350" s="29" t="inlineStr">
        <is>
          <t>피에스케이</t>
        </is>
      </c>
      <c r="D350" s="29" t="inlineStr">
        <is>
          <t>psk</t>
        </is>
      </c>
      <c r="E350" s="29" t="inlineStr">
        <is>
          <t>319660</t>
        </is>
      </c>
      <c r="F350" s="29" t="inlineStr">
        <is>
          <t>2023</t>
        </is>
      </c>
      <c r="G350" s="29" t="inlineStr">
        <is>
          <t>CFS</t>
        </is>
      </c>
      <c r="H350" s="29" t="inlineStr">
        <is>
          <t>BS</t>
        </is>
      </c>
      <c r="I350" s="29" t="inlineStr">
        <is>
          <t>재무상태표</t>
        </is>
      </c>
      <c r="J350" s="29" t="inlineStr">
        <is>
          <t>ifrs-full_DeferredTaxAssets</t>
        </is>
      </c>
      <c r="K350" s="29" t="inlineStr">
        <is>
          <t>이연법인세자산</t>
        </is>
      </c>
      <c r="L350" s="29" t="inlineStr">
        <is>
          <t>-</t>
        </is>
      </c>
      <c r="M350" s="29" t="inlineStr">
        <is>
          <t>제 5 기</t>
        </is>
      </c>
      <c r="N350" s="29" t="inlineStr">
        <is>
          <t>6263861240.0</t>
        </is>
      </c>
      <c r="O350" s="29" t="inlineStr">
        <is>
          <t>7401906127.0</t>
        </is>
      </c>
      <c r="P350" s="29" t="inlineStr">
        <is>
          <t>KRW</t>
        </is>
      </c>
      <c r="Q350" s="29" t="inlineStr">
        <is>
          <t>19</t>
        </is>
      </c>
    </row>
    <row r="351" ht="24" customHeight="1">
      <c r="A351" s="24" t="inlineStr">
        <is>
          <t>OpenDART_fnlttSinglAcntAll</t>
        </is>
      </c>
      <c r="B351" s="24" t="inlineStr">
        <is>
          <t>01365825</t>
        </is>
      </c>
      <c r="C351" s="24" t="inlineStr">
        <is>
          <t>피에스케이</t>
        </is>
      </c>
      <c r="D351" s="24" t="inlineStr">
        <is>
          <t>psk</t>
        </is>
      </c>
      <c r="E351" s="24" t="inlineStr">
        <is>
          <t>319660</t>
        </is>
      </c>
      <c r="F351" s="24" t="inlineStr">
        <is>
          <t>2023</t>
        </is>
      </c>
      <c r="G351" s="24" t="inlineStr">
        <is>
          <t>CFS</t>
        </is>
      </c>
      <c r="H351" s="24" t="inlineStr">
        <is>
          <t>BS</t>
        </is>
      </c>
      <c r="I351" s="24" t="inlineStr">
        <is>
          <t>재무상태표</t>
        </is>
      </c>
      <c r="J351" s="24" t="inlineStr">
        <is>
          <t>ifrs-full_IntangibleAssetsOtherThanGoodwill</t>
        </is>
      </c>
      <c r="K351" s="24" t="inlineStr">
        <is>
          <t>무형자산</t>
        </is>
      </c>
      <c r="L351" s="24" t="inlineStr">
        <is>
          <t>-</t>
        </is>
      </c>
      <c r="M351" s="24" t="inlineStr">
        <is>
          <t>제 5 기</t>
        </is>
      </c>
      <c r="N351" s="24" t="inlineStr">
        <is>
          <t>8815335592.0</t>
        </is>
      </c>
      <c r="O351" s="24" t="inlineStr">
        <is>
          <t>9441818444.0</t>
        </is>
      </c>
      <c r="P351" s="24" t="inlineStr">
        <is>
          <t>KRW</t>
        </is>
      </c>
      <c r="Q351" s="24" t="inlineStr">
        <is>
          <t>20</t>
        </is>
      </c>
    </row>
    <row r="352" ht="24" customHeight="1">
      <c r="A352" s="29" t="inlineStr">
        <is>
          <t>OpenDART_fnlttSinglAcntAll</t>
        </is>
      </c>
      <c r="B352" s="29" t="inlineStr">
        <is>
          <t>01365825</t>
        </is>
      </c>
      <c r="C352" s="29" t="inlineStr">
        <is>
          <t>피에스케이</t>
        </is>
      </c>
      <c r="D352" s="29" t="inlineStr">
        <is>
          <t>psk</t>
        </is>
      </c>
      <c r="E352" s="29" t="inlineStr">
        <is>
          <t>319660</t>
        </is>
      </c>
      <c r="F352" s="29" t="inlineStr">
        <is>
          <t>2023</t>
        </is>
      </c>
      <c r="G352" s="29" t="inlineStr">
        <is>
          <t>CFS</t>
        </is>
      </c>
      <c r="H352" s="29" t="inlineStr">
        <is>
          <t>BS</t>
        </is>
      </c>
      <c r="I352" s="29" t="inlineStr">
        <is>
          <t>재무상태표</t>
        </is>
      </c>
      <c r="J352" s="29" t="inlineStr">
        <is>
          <t>ifrs-full_OtherNoncurrentAssets</t>
        </is>
      </c>
      <c r="K352" s="29" t="inlineStr">
        <is>
          <t>기타비유동자산</t>
        </is>
      </c>
      <c r="L352" s="29" t="inlineStr">
        <is>
          <t>-</t>
        </is>
      </c>
      <c r="M352" s="29" t="inlineStr">
        <is>
          <t>제 5 기</t>
        </is>
      </c>
      <c r="N352" s="29" t="inlineStr">
        <is>
          <t>165835661.0</t>
        </is>
      </c>
      <c r="O352" s="29" t="inlineStr">
        <is>
          <t>175804680.0</t>
        </is>
      </c>
      <c r="P352" s="29" t="inlineStr">
        <is>
          <t>KRW</t>
        </is>
      </c>
      <c r="Q352" s="29" t="inlineStr">
        <is>
          <t>21</t>
        </is>
      </c>
    </row>
    <row r="353" ht="24" customHeight="1">
      <c r="A353" s="24" t="inlineStr">
        <is>
          <t>OpenDART_fnlttSinglAcntAll</t>
        </is>
      </c>
      <c r="B353" s="24" t="inlineStr">
        <is>
          <t>01365825</t>
        </is>
      </c>
      <c r="C353" s="24" t="inlineStr">
        <is>
          <t>피에스케이</t>
        </is>
      </c>
      <c r="D353" s="24" t="inlineStr">
        <is>
          <t>psk</t>
        </is>
      </c>
      <c r="E353" s="24" t="inlineStr">
        <is>
          <t>319660</t>
        </is>
      </c>
      <c r="F353" s="24" t="inlineStr">
        <is>
          <t>2023</t>
        </is>
      </c>
      <c r="G353" s="24" t="inlineStr">
        <is>
          <t>CFS</t>
        </is>
      </c>
      <c r="H353" s="24" t="inlineStr">
        <is>
          <t>BS</t>
        </is>
      </c>
      <c r="I353" s="24" t="inlineStr">
        <is>
          <t>재무상태표</t>
        </is>
      </c>
      <c r="J353" s="24" t="inlineStr">
        <is>
          <t>ifrs-full_OtherNoncurrentFinancialAssets</t>
        </is>
      </c>
      <c r="K353" s="24" t="inlineStr">
        <is>
          <t>비유동금융자산</t>
        </is>
      </c>
      <c r="L353" s="24" t="inlineStr">
        <is>
          <t>-</t>
        </is>
      </c>
      <c r="M353" s="24" t="inlineStr">
        <is>
          <t>제 5 기</t>
        </is>
      </c>
      <c r="N353" s="24" t="inlineStr">
        <is>
          <t>44853585458.0</t>
        </is>
      </c>
      <c r="O353" s="24" t="inlineStr">
        <is>
          <t>14850174523.0</t>
        </is>
      </c>
      <c r="P353" s="24" t="inlineStr">
        <is>
          <t>KRW</t>
        </is>
      </c>
      <c r="Q353" s="24" t="inlineStr">
        <is>
          <t>22</t>
        </is>
      </c>
    </row>
    <row r="354" ht="24" customHeight="1">
      <c r="A354" s="29" t="inlineStr">
        <is>
          <t>OpenDART_fnlttSinglAcntAll</t>
        </is>
      </c>
      <c r="B354" s="29" t="inlineStr">
        <is>
          <t>01365825</t>
        </is>
      </c>
      <c r="C354" s="29" t="inlineStr">
        <is>
          <t>피에스케이</t>
        </is>
      </c>
      <c r="D354" s="29" t="inlineStr">
        <is>
          <t>psk</t>
        </is>
      </c>
      <c r="E354" s="29" t="inlineStr">
        <is>
          <t>319660</t>
        </is>
      </c>
      <c r="F354" s="29" t="inlineStr">
        <is>
          <t>2023</t>
        </is>
      </c>
      <c r="G354" s="29" t="inlineStr">
        <is>
          <t>CFS</t>
        </is>
      </c>
      <c r="H354" s="29" t="inlineStr">
        <is>
          <t>BS</t>
        </is>
      </c>
      <c r="I354" s="29" t="inlineStr">
        <is>
          <t>재무상태표</t>
        </is>
      </c>
      <c r="J354" s="29" t="inlineStr">
        <is>
          <t>ifrs-full_PropertyPlantAndEquipment</t>
        </is>
      </c>
      <c r="K354" s="29" t="inlineStr">
        <is>
          <t>유형자산</t>
        </is>
      </c>
      <c r="L354" s="29" t="inlineStr">
        <is>
          <t>-</t>
        </is>
      </c>
      <c r="M354" s="29" t="inlineStr">
        <is>
          <t>제 5 기</t>
        </is>
      </c>
      <c r="N354" s="29" t="inlineStr">
        <is>
          <t>71590181740.0</t>
        </is>
      </c>
      <c r="O354" s="29" t="inlineStr">
        <is>
          <t>47536928356.0</t>
        </is>
      </c>
      <c r="P354" s="29" t="inlineStr">
        <is>
          <t>KRW</t>
        </is>
      </c>
      <c r="Q354" s="29" t="inlineStr">
        <is>
          <t>23</t>
        </is>
      </c>
    </row>
    <row r="355" ht="24" customHeight="1">
      <c r="A355" s="24" t="inlineStr">
        <is>
          <t>OpenDART_fnlttSinglAcntAll</t>
        </is>
      </c>
      <c r="B355" s="24" t="inlineStr">
        <is>
          <t>01365825</t>
        </is>
      </c>
      <c r="C355" s="24" t="inlineStr">
        <is>
          <t>피에스케이</t>
        </is>
      </c>
      <c r="D355" s="24" t="inlineStr">
        <is>
          <t>psk</t>
        </is>
      </c>
      <c r="E355" s="24" t="inlineStr">
        <is>
          <t>319660</t>
        </is>
      </c>
      <c r="F355" s="24" t="inlineStr">
        <is>
          <t>2023</t>
        </is>
      </c>
      <c r="G355" s="24" t="inlineStr">
        <is>
          <t>CFS</t>
        </is>
      </c>
      <c r="H355" s="24" t="inlineStr">
        <is>
          <t>BS</t>
        </is>
      </c>
      <c r="I355" s="24" t="inlineStr">
        <is>
          <t>재무상태표</t>
        </is>
      </c>
      <c r="J355" s="24" t="inlineStr">
        <is>
          <t>ifrs-full_RightofuseAssets</t>
        </is>
      </c>
      <c r="K355" s="24" t="inlineStr">
        <is>
          <t>사용권자산</t>
        </is>
      </c>
      <c r="L355" s="24" t="inlineStr">
        <is>
          <t>-</t>
        </is>
      </c>
      <c r="M355" s="24" t="inlineStr">
        <is>
          <t>제 5 기</t>
        </is>
      </c>
      <c r="N355" s="24" t="inlineStr">
        <is>
          <t>1648289713.0</t>
        </is>
      </c>
      <c r="O355" s="24" t="inlineStr">
        <is>
          <t>2999699143.0</t>
        </is>
      </c>
      <c r="P355" s="24" t="inlineStr">
        <is>
          <t>KRW</t>
        </is>
      </c>
      <c r="Q355" s="24" t="inlineStr">
        <is>
          <t>24</t>
        </is>
      </c>
    </row>
    <row r="356" ht="24" customHeight="1">
      <c r="A356" s="29" t="inlineStr">
        <is>
          <t>OpenDART_fnlttSinglAcntAll</t>
        </is>
      </c>
      <c r="B356" s="29" t="inlineStr">
        <is>
          <t>01365825</t>
        </is>
      </c>
      <c r="C356" s="29" t="inlineStr">
        <is>
          <t>피에스케이</t>
        </is>
      </c>
      <c r="D356" s="29" t="inlineStr">
        <is>
          <t>psk</t>
        </is>
      </c>
      <c r="E356" s="29" t="inlineStr">
        <is>
          <t>319660</t>
        </is>
      </c>
      <c r="F356" s="29" t="inlineStr">
        <is>
          <t>2023</t>
        </is>
      </c>
      <c r="G356" s="29" t="inlineStr">
        <is>
          <t>CFS</t>
        </is>
      </c>
      <c r="H356" s="29" t="inlineStr">
        <is>
          <t>BS</t>
        </is>
      </c>
      <c r="I356" s="29" t="inlineStr">
        <is>
          <t>재무상태표</t>
        </is>
      </c>
      <c r="J356" s="29" t="inlineStr">
        <is>
          <t>ifrs-full_Equity</t>
        </is>
      </c>
      <c r="K356" s="29" t="inlineStr">
        <is>
          <t>자본총계</t>
        </is>
      </c>
      <c r="L356" s="29" t="inlineStr">
        <is>
          <t>-</t>
        </is>
      </c>
      <c r="M356" s="29" t="inlineStr">
        <is>
          <t>제 5 기</t>
        </is>
      </c>
      <c r="N356" s="29" t="inlineStr">
        <is>
          <t>392569607133.0</t>
        </is>
      </c>
      <c r="O356" s="29" t="inlineStr">
        <is>
          <t>353307517966.0</t>
        </is>
      </c>
      <c r="P356" s="29" t="inlineStr">
        <is>
          <t>KRW</t>
        </is>
      </c>
      <c r="Q356" s="29" t="inlineStr">
        <is>
          <t>26</t>
        </is>
      </c>
    </row>
    <row r="357" ht="24" customHeight="1">
      <c r="A357" s="24" t="inlineStr">
        <is>
          <t>OpenDART_fnlttSinglAcntAll</t>
        </is>
      </c>
      <c r="B357" s="24" t="inlineStr">
        <is>
          <t>01365825</t>
        </is>
      </c>
      <c r="C357" s="24" t="inlineStr">
        <is>
          <t>피에스케이</t>
        </is>
      </c>
      <c r="D357" s="24" t="inlineStr">
        <is>
          <t>psk</t>
        </is>
      </c>
      <c r="E357" s="24" t="inlineStr">
        <is>
          <t>319660</t>
        </is>
      </c>
      <c r="F357" s="24" t="inlineStr">
        <is>
          <t>2023</t>
        </is>
      </c>
      <c r="G357" s="24" t="inlineStr">
        <is>
          <t>CFS</t>
        </is>
      </c>
      <c r="H357" s="24" t="inlineStr">
        <is>
          <t>BS</t>
        </is>
      </c>
      <c r="I357" s="24" t="inlineStr">
        <is>
          <t>재무상태표</t>
        </is>
      </c>
      <c r="J357" s="24" t="inlineStr">
        <is>
          <t>ifrs-full_EquityAttributableToOwnersOfParent</t>
        </is>
      </c>
      <c r="K357" s="24" t="inlineStr">
        <is>
          <t>지배기업의 소유주에게 귀속되는 자본</t>
        </is>
      </c>
      <c r="L357" s="24" t="inlineStr">
        <is>
          <t>-</t>
        </is>
      </c>
      <c r="M357" s="24" t="inlineStr">
        <is>
          <t>제 5 기</t>
        </is>
      </c>
      <c r="N357" s="24" t="inlineStr">
        <is>
          <t>392569607133.0</t>
        </is>
      </c>
      <c r="O357" s="24" t="inlineStr">
        <is>
          <t>353307517966.0</t>
        </is>
      </c>
      <c r="P357" s="24" t="inlineStr">
        <is>
          <t>KRW</t>
        </is>
      </c>
      <c r="Q357" s="24" t="inlineStr">
        <is>
          <t>27</t>
        </is>
      </c>
    </row>
    <row r="358" ht="24" customHeight="1">
      <c r="A358" s="29" t="inlineStr">
        <is>
          <t>OpenDART_fnlttSinglAcntAll</t>
        </is>
      </c>
      <c r="B358" s="29" t="inlineStr">
        <is>
          <t>01365825</t>
        </is>
      </c>
      <c r="C358" s="29" t="inlineStr">
        <is>
          <t>피에스케이</t>
        </is>
      </c>
      <c r="D358" s="29" t="inlineStr">
        <is>
          <t>psk</t>
        </is>
      </c>
      <c r="E358" s="29" t="inlineStr">
        <is>
          <t>319660</t>
        </is>
      </c>
      <c r="F358" s="29" t="inlineStr">
        <is>
          <t>2023</t>
        </is>
      </c>
      <c r="G358" s="29" t="inlineStr">
        <is>
          <t>CFS</t>
        </is>
      </c>
      <c r="H358" s="29" t="inlineStr">
        <is>
          <t>BS</t>
        </is>
      </c>
      <c r="I358" s="29" t="inlineStr">
        <is>
          <t>재무상태표</t>
        </is>
      </c>
      <c r="J358" s="29" t="inlineStr">
        <is>
          <t>dart_CapitalSurplus</t>
        </is>
      </c>
      <c r="K358" s="29" t="inlineStr">
        <is>
          <t>기타불입자본</t>
        </is>
      </c>
      <c r="L358" s="29" t="inlineStr">
        <is>
          <t>-</t>
        </is>
      </c>
      <c r="M358" s="29" t="inlineStr">
        <is>
          <t>제 5 기</t>
        </is>
      </c>
      <c r="N358" s="29" t="inlineStr">
        <is>
          <t>171960244948.0</t>
        </is>
      </c>
      <c r="O358" s="29" t="inlineStr">
        <is>
          <t>171960244948.0</t>
        </is>
      </c>
      <c r="P358" s="29" t="inlineStr">
        <is>
          <t>KRW</t>
        </is>
      </c>
      <c r="Q358" s="29" t="inlineStr">
        <is>
          <t>28</t>
        </is>
      </c>
    </row>
    <row r="359" ht="24" customHeight="1">
      <c r="A359" s="24" t="inlineStr">
        <is>
          <t>OpenDART_fnlttSinglAcntAll</t>
        </is>
      </c>
      <c r="B359" s="24" t="inlineStr">
        <is>
          <t>01365825</t>
        </is>
      </c>
      <c r="C359" s="24" t="inlineStr">
        <is>
          <t>피에스케이</t>
        </is>
      </c>
      <c r="D359" s="24" t="inlineStr">
        <is>
          <t>psk</t>
        </is>
      </c>
      <c r="E359" s="24" t="inlineStr">
        <is>
          <t>319660</t>
        </is>
      </c>
      <c r="F359" s="24" t="inlineStr">
        <is>
          <t>2023</t>
        </is>
      </c>
      <c r="G359" s="24" t="inlineStr">
        <is>
          <t>CFS</t>
        </is>
      </c>
      <c r="H359" s="24" t="inlineStr">
        <is>
          <t>BS</t>
        </is>
      </c>
      <c r="I359" s="24" t="inlineStr">
        <is>
          <t>재무상태표</t>
        </is>
      </c>
      <c r="J359" s="24" t="inlineStr">
        <is>
          <t>dart_ElementsOfOtherStockholdersEquity</t>
        </is>
      </c>
      <c r="K359" s="24" t="inlineStr">
        <is>
          <t>기타자본구성요소</t>
        </is>
      </c>
      <c r="L359" s="24" t="inlineStr">
        <is>
          <t>-</t>
        </is>
      </c>
      <c r="M359" s="24" t="inlineStr">
        <is>
          <t>제 5 기</t>
        </is>
      </c>
      <c r="N359" s="24" t="inlineStr">
        <is>
          <t>1455981401.0</t>
        </is>
      </c>
      <c r="O359" s="24" t="inlineStr">
        <is>
          <t>1860093233.0</t>
        </is>
      </c>
      <c r="P359" s="24" t="inlineStr">
        <is>
          <t>KRW</t>
        </is>
      </c>
      <c r="Q359" s="24" t="inlineStr">
        <is>
          <t>29</t>
        </is>
      </c>
    </row>
    <row r="360" ht="24" customHeight="1">
      <c r="A360" s="29" t="inlineStr">
        <is>
          <t>OpenDART_fnlttSinglAcntAll</t>
        </is>
      </c>
      <c r="B360" s="29" t="inlineStr">
        <is>
          <t>01365825</t>
        </is>
      </c>
      <c r="C360" s="29" t="inlineStr">
        <is>
          <t>피에스케이</t>
        </is>
      </c>
      <c r="D360" s="29" t="inlineStr">
        <is>
          <t>psk</t>
        </is>
      </c>
      <c r="E360" s="29" t="inlineStr">
        <is>
          <t>319660</t>
        </is>
      </c>
      <c r="F360" s="29" t="inlineStr">
        <is>
          <t>2023</t>
        </is>
      </c>
      <c r="G360" s="29" t="inlineStr">
        <is>
          <t>CFS</t>
        </is>
      </c>
      <c r="H360" s="29" t="inlineStr">
        <is>
          <t>BS</t>
        </is>
      </c>
      <c r="I360" s="29" t="inlineStr">
        <is>
          <t>재무상태표</t>
        </is>
      </c>
      <c r="J360" s="29" t="inlineStr">
        <is>
          <t>ifrs-full_IssuedCapital</t>
        </is>
      </c>
      <c r="K360" s="29" t="inlineStr">
        <is>
          <t>자본금</t>
        </is>
      </c>
      <c r="L360" s="29" t="inlineStr">
        <is>
          <t>-</t>
        </is>
      </c>
      <c r="M360" s="29" t="inlineStr">
        <is>
          <t>제 5 기</t>
        </is>
      </c>
      <c r="N360" s="29" t="inlineStr">
        <is>
          <t>14624188500.0</t>
        </is>
      </c>
      <c r="O360" s="29" t="inlineStr">
        <is>
          <t>14624188500.0</t>
        </is>
      </c>
      <c r="P360" s="29" t="inlineStr">
        <is>
          <t>KRW</t>
        </is>
      </c>
      <c r="Q360" s="29" t="inlineStr">
        <is>
          <t>30</t>
        </is>
      </c>
    </row>
    <row r="361" ht="24" customHeight="1">
      <c r="A361" s="24" t="inlineStr">
        <is>
          <t>OpenDART_fnlttSinglAcntAll</t>
        </is>
      </c>
      <c r="B361" s="24" t="inlineStr">
        <is>
          <t>01365825</t>
        </is>
      </c>
      <c r="C361" s="24" t="inlineStr">
        <is>
          <t>피에스케이</t>
        </is>
      </c>
      <c r="D361" s="24" t="inlineStr">
        <is>
          <t>psk</t>
        </is>
      </c>
      <c r="E361" s="24" t="inlineStr">
        <is>
          <t>319660</t>
        </is>
      </c>
      <c r="F361" s="24" t="inlineStr">
        <is>
          <t>2023</t>
        </is>
      </c>
      <c r="G361" s="24" t="inlineStr">
        <is>
          <t>CFS</t>
        </is>
      </c>
      <c r="H361" s="24" t="inlineStr">
        <is>
          <t>BS</t>
        </is>
      </c>
      <c r="I361" s="24" t="inlineStr">
        <is>
          <t>재무상태표</t>
        </is>
      </c>
      <c r="J361" s="24" t="inlineStr">
        <is>
          <t>ifrs-full_RetainedEarnings</t>
        </is>
      </c>
      <c r="K361" s="24" t="inlineStr">
        <is>
          <t>이익잉여금(결손금)</t>
        </is>
      </c>
      <c r="L361" s="24" t="inlineStr">
        <is>
          <t>-</t>
        </is>
      </c>
      <c r="M361" s="24" t="inlineStr">
        <is>
          <t>제 5 기</t>
        </is>
      </c>
      <c r="N361" s="24" t="inlineStr">
        <is>
          <t>204529192284.0</t>
        </is>
      </c>
      <c r="O361" s="24" t="inlineStr">
        <is>
          <t>164862991285.0</t>
        </is>
      </c>
      <c r="P361" s="24" t="inlineStr">
        <is>
          <t>KRW</t>
        </is>
      </c>
      <c r="Q361" s="24" t="inlineStr">
        <is>
          <t>31</t>
        </is>
      </c>
    </row>
    <row r="362" ht="24" customHeight="1">
      <c r="A362" s="29" t="inlineStr">
        <is>
          <t>OpenDART_fnlttSinglAcntAll</t>
        </is>
      </c>
      <c r="B362" s="29" t="inlineStr">
        <is>
          <t>01365825</t>
        </is>
      </c>
      <c r="C362" s="29" t="inlineStr">
        <is>
          <t>피에스케이</t>
        </is>
      </c>
      <c r="D362" s="29" t="inlineStr">
        <is>
          <t>psk</t>
        </is>
      </c>
      <c r="E362" s="29" t="inlineStr">
        <is>
          <t>319660</t>
        </is>
      </c>
      <c r="F362" s="29" t="inlineStr">
        <is>
          <t>2023</t>
        </is>
      </c>
      <c r="G362" s="29" t="inlineStr">
        <is>
          <t>CFS</t>
        </is>
      </c>
      <c r="H362" s="29" t="inlineStr">
        <is>
          <t>BS</t>
        </is>
      </c>
      <c r="I362" s="29" t="inlineStr">
        <is>
          <t>재무상태표</t>
        </is>
      </c>
      <c r="J362" s="29" t="inlineStr">
        <is>
          <t>ifrs-full_EquityAndLiabilities</t>
        </is>
      </c>
      <c r="K362" s="29" t="inlineStr">
        <is>
          <t>자본과부채총계</t>
        </is>
      </c>
      <c r="L362" s="29" t="inlineStr">
        <is>
          <t>-</t>
        </is>
      </c>
      <c r="M362" s="29" t="inlineStr">
        <is>
          <t>제 5 기</t>
        </is>
      </c>
      <c r="N362" s="29" t="inlineStr">
        <is>
          <t>494393356491.0</t>
        </is>
      </c>
      <c r="O362" s="29" t="inlineStr">
        <is>
          <t>472649339864.0</t>
        </is>
      </c>
      <c r="P362" s="29" t="inlineStr">
        <is>
          <t>KRW</t>
        </is>
      </c>
      <c r="Q362" s="29" t="inlineStr">
        <is>
          <t>32</t>
        </is>
      </c>
    </row>
    <row r="363" ht="24" customHeight="1">
      <c r="A363" s="24" t="inlineStr">
        <is>
          <t>OpenDART_fnlttSinglAcntAll</t>
        </is>
      </c>
      <c r="B363" s="24" t="inlineStr">
        <is>
          <t>01365825</t>
        </is>
      </c>
      <c r="C363" s="24" t="inlineStr">
        <is>
          <t>피에스케이</t>
        </is>
      </c>
      <c r="D363" s="24" t="inlineStr">
        <is>
          <t>psk</t>
        </is>
      </c>
      <c r="E363" s="24" t="inlineStr">
        <is>
          <t>319660</t>
        </is>
      </c>
      <c r="F363" s="24" t="inlineStr">
        <is>
          <t>2023</t>
        </is>
      </c>
      <c r="G363" s="24" t="inlineStr">
        <is>
          <t>CFS</t>
        </is>
      </c>
      <c r="H363" s="24" t="inlineStr">
        <is>
          <t>BS</t>
        </is>
      </c>
      <c r="I363" s="24" t="inlineStr">
        <is>
          <t>재무상태표</t>
        </is>
      </c>
      <c r="J363" s="24" t="inlineStr">
        <is>
          <t>ifrs-full_CurrentLiabilities</t>
        </is>
      </c>
      <c r="K363" s="24" t="inlineStr">
        <is>
          <t>유동부채</t>
        </is>
      </c>
      <c r="L363" s="24" t="inlineStr">
        <is>
          <t>-</t>
        </is>
      </c>
      <c r="M363" s="24" t="inlineStr">
        <is>
          <t>제 5 기</t>
        </is>
      </c>
      <c r="N363" s="24" t="inlineStr">
        <is>
          <t>86122493918.0</t>
        </is>
      </c>
      <c r="O363" s="24" t="inlineStr">
        <is>
          <t>100917650989.0</t>
        </is>
      </c>
      <c r="P363" s="24" t="inlineStr">
        <is>
          <t>KRW</t>
        </is>
      </c>
      <c r="Q363" s="24" t="inlineStr">
        <is>
          <t>34</t>
        </is>
      </c>
    </row>
    <row r="364" ht="24" customHeight="1">
      <c r="A364" s="29" t="inlineStr">
        <is>
          <t>OpenDART_fnlttSinglAcntAll</t>
        </is>
      </c>
      <c r="B364" s="29" t="inlineStr">
        <is>
          <t>01365825</t>
        </is>
      </c>
      <c r="C364" s="29" t="inlineStr">
        <is>
          <t>피에스케이</t>
        </is>
      </c>
      <c r="D364" s="29" t="inlineStr">
        <is>
          <t>psk</t>
        </is>
      </c>
      <c r="E364" s="29" t="inlineStr">
        <is>
          <t>319660</t>
        </is>
      </c>
      <c r="F364" s="29" t="inlineStr">
        <is>
          <t>2023</t>
        </is>
      </c>
      <c r="G364" s="29" t="inlineStr">
        <is>
          <t>CFS</t>
        </is>
      </c>
      <c r="H364" s="29" t="inlineStr">
        <is>
          <t>BS</t>
        </is>
      </c>
      <c r="I364" s="29" t="inlineStr">
        <is>
          <t>재무상태표</t>
        </is>
      </c>
      <c r="J364" s="29" t="inlineStr">
        <is>
          <t>dart_CurentPortionOfFinanceLeaseLiabilities</t>
        </is>
      </c>
      <c r="K364" s="29" t="inlineStr">
        <is>
          <t>금융리스부채</t>
        </is>
      </c>
      <c r="L364" s="29" t="inlineStr">
        <is>
          <t>-</t>
        </is>
      </c>
      <c r="M364" s="29" t="inlineStr">
        <is>
          <t>제 5 기</t>
        </is>
      </c>
      <c r="N364" s="29" t="inlineStr">
        <is>
          <t>1070929773.0</t>
        </is>
      </c>
      <c r="O364" s="29" t="inlineStr">
        <is>
          <t>2060114342.0</t>
        </is>
      </c>
      <c r="P364" s="29" t="inlineStr">
        <is>
          <t>KRW</t>
        </is>
      </c>
      <c r="Q364" s="29" t="inlineStr">
        <is>
          <t>35</t>
        </is>
      </c>
    </row>
    <row r="365" ht="24" customHeight="1">
      <c r="A365" s="24" t="inlineStr">
        <is>
          <t>OpenDART_fnlttSinglAcntAll</t>
        </is>
      </c>
      <c r="B365" s="24" t="inlineStr">
        <is>
          <t>01365825</t>
        </is>
      </c>
      <c r="C365" s="24" t="inlineStr">
        <is>
          <t>피에스케이</t>
        </is>
      </c>
      <c r="D365" s="24" t="inlineStr">
        <is>
          <t>psk</t>
        </is>
      </c>
      <c r="E365" s="24" t="inlineStr">
        <is>
          <t>319660</t>
        </is>
      </c>
      <c r="F365" s="24" t="inlineStr">
        <is>
          <t>2023</t>
        </is>
      </c>
      <c r="G365" s="24" t="inlineStr">
        <is>
          <t>CFS</t>
        </is>
      </c>
      <c r="H365" s="24" t="inlineStr">
        <is>
          <t>BS</t>
        </is>
      </c>
      <c r="I365" s="24" t="inlineStr">
        <is>
          <t>재무상태표</t>
        </is>
      </c>
      <c r="J365" s="24" t="inlineStr">
        <is>
          <t>ifrs-full_CurrentProvisions</t>
        </is>
      </c>
      <c r="K365" s="24" t="inlineStr">
        <is>
          <t>유동충당부채</t>
        </is>
      </c>
      <c r="L365" s="24" t="inlineStr">
        <is>
          <t>-</t>
        </is>
      </c>
      <c r="M365" s="24" t="inlineStr">
        <is>
          <t>제 5 기</t>
        </is>
      </c>
      <c r="N365" s="24" t="inlineStr">
        <is>
          <t>14070594273.0</t>
        </is>
      </c>
      <c r="O365" s="24" t="inlineStr">
        <is>
          <t>15379723199.0</t>
        </is>
      </c>
      <c r="P365" s="24" t="inlineStr">
        <is>
          <t>KRW</t>
        </is>
      </c>
      <c r="Q365" s="24" t="inlineStr">
        <is>
          <t>36</t>
        </is>
      </c>
    </row>
    <row r="366" ht="24" customHeight="1">
      <c r="A366" s="29" t="inlineStr">
        <is>
          <t>OpenDART_fnlttSinglAcntAll</t>
        </is>
      </c>
      <c r="B366" s="29" t="inlineStr">
        <is>
          <t>01365825</t>
        </is>
      </c>
      <c r="C366" s="29" t="inlineStr">
        <is>
          <t>피에스케이</t>
        </is>
      </c>
      <c r="D366" s="29" t="inlineStr">
        <is>
          <t>psk</t>
        </is>
      </c>
      <c r="E366" s="29" t="inlineStr">
        <is>
          <t>319660</t>
        </is>
      </c>
      <c r="F366" s="29" t="inlineStr">
        <is>
          <t>2023</t>
        </is>
      </c>
      <c r="G366" s="29" t="inlineStr">
        <is>
          <t>CFS</t>
        </is>
      </c>
      <c r="H366" s="29" t="inlineStr">
        <is>
          <t>BS</t>
        </is>
      </c>
      <c r="I366" s="29" t="inlineStr">
        <is>
          <t>재무상태표</t>
        </is>
      </c>
      <c r="J366" s="29" t="inlineStr">
        <is>
          <t>ifrs-full_CurrentTaxLiabilities</t>
        </is>
      </c>
      <c r="K366" s="29" t="inlineStr">
        <is>
          <t>법인세부채</t>
        </is>
      </c>
      <c r="L366" s="29" t="inlineStr">
        <is>
          <t>-</t>
        </is>
      </c>
      <c r="M366" s="29" t="inlineStr">
        <is>
          <t>제 5 기</t>
        </is>
      </c>
      <c r="N366" s="29" t="inlineStr">
        <is>
          <t>4976623600.0</t>
        </is>
      </c>
      <c r="O366" s="29" t="inlineStr">
        <is>
          <t>8322746185.0</t>
        </is>
      </c>
      <c r="P366" s="29" t="inlineStr">
        <is>
          <t>KRW</t>
        </is>
      </c>
      <c r="Q366" s="29" t="inlineStr">
        <is>
          <t>37</t>
        </is>
      </c>
    </row>
    <row r="367" ht="24" customHeight="1">
      <c r="A367" s="24" t="inlineStr">
        <is>
          <t>OpenDART_fnlttSinglAcntAll</t>
        </is>
      </c>
      <c r="B367" s="24" t="inlineStr">
        <is>
          <t>01365825</t>
        </is>
      </c>
      <c r="C367" s="24" t="inlineStr">
        <is>
          <t>피에스케이</t>
        </is>
      </c>
      <c r="D367" s="24" t="inlineStr">
        <is>
          <t>psk</t>
        </is>
      </c>
      <c r="E367" s="24" t="inlineStr">
        <is>
          <t>319660</t>
        </is>
      </c>
      <c r="F367" s="24" t="inlineStr">
        <is>
          <t>2023</t>
        </is>
      </c>
      <c r="G367" s="24" t="inlineStr">
        <is>
          <t>CFS</t>
        </is>
      </c>
      <c r="H367" s="24" t="inlineStr">
        <is>
          <t>BS</t>
        </is>
      </c>
      <c r="I367" s="24" t="inlineStr">
        <is>
          <t>재무상태표</t>
        </is>
      </c>
      <c r="J367" s="24" t="inlineStr">
        <is>
          <t>ifrs-full_FinancialLiabilities</t>
        </is>
      </c>
      <c r="K367" s="24" t="inlineStr">
        <is>
          <t>금융부채</t>
        </is>
      </c>
      <c r="L367" s="24" t="inlineStr">
        <is>
          <t>-</t>
        </is>
      </c>
      <c r="M367" s="24" t="inlineStr">
        <is>
          <t>제 5 기</t>
        </is>
      </c>
      <c r="N367" s="24" t="inlineStr">
        <is>
          <t>해당 없음</t>
        </is>
      </c>
      <c r="O367" s="24" t="inlineStr">
        <is>
          <t>해당 없음</t>
        </is>
      </c>
      <c r="P367" s="24" t="inlineStr">
        <is>
          <t>KRW</t>
        </is>
      </c>
      <c r="Q367" s="24" t="inlineStr">
        <is>
          <t>38</t>
        </is>
      </c>
    </row>
    <row r="368" ht="24" customHeight="1">
      <c r="A368" s="29" t="inlineStr">
        <is>
          <t>OpenDART_fnlttSinglAcntAll</t>
        </is>
      </c>
      <c r="B368" s="29" t="inlineStr">
        <is>
          <t>01365825</t>
        </is>
      </c>
      <c r="C368" s="29" t="inlineStr">
        <is>
          <t>피에스케이</t>
        </is>
      </c>
      <c r="D368" s="29" t="inlineStr">
        <is>
          <t>psk</t>
        </is>
      </c>
      <c r="E368" s="29" t="inlineStr">
        <is>
          <t>319660</t>
        </is>
      </c>
      <c r="F368" s="29" t="inlineStr">
        <is>
          <t>2023</t>
        </is>
      </c>
      <c r="G368" s="29" t="inlineStr">
        <is>
          <t>CFS</t>
        </is>
      </c>
      <c r="H368" s="29" t="inlineStr">
        <is>
          <t>BS</t>
        </is>
      </c>
      <c r="I368" s="29" t="inlineStr">
        <is>
          <t>재무상태표</t>
        </is>
      </c>
      <c r="J368" s="29" t="inlineStr">
        <is>
          <t>ifrs-full_OtherCurrentLiabilities</t>
        </is>
      </c>
      <c r="K368" s="29" t="inlineStr">
        <is>
          <t>기타 유동부채</t>
        </is>
      </c>
      <c r="L368" s="29" t="inlineStr">
        <is>
          <t>-</t>
        </is>
      </c>
      <c r="M368" s="29" t="inlineStr">
        <is>
          <t>제 5 기</t>
        </is>
      </c>
      <c r="N368" s="29" t="inlineStr">
        <is>
          <t>27581435423.0</t>
        </is>
      </c>
      <c r="O368" s="29" t="inlineStr">
        <is>
          <t>36591745275.0</t>
        </is>
      </c>
      <c r="P368" s="29" t="inlineStr">
        <is>
          <t>KRW</t>
        </is>
      </c>
      <c r="Q368" s="29" t="inlineStr">
        <is>
          <t>39</t>
        </is>
      </c>
    </row>
    <row r="369" ht="24" customHeight="1">
      <c r="A369" s="24" t="inlineStr">
        <is>
          <t>OpenDART_fnlttSinglAcntAll</t>
        </is>
      </c>
      <c r="B369" s="24" t="inlineStr">
        <is>
          <t>01365825</t>
        </is>
      </c>
      <c r="C369" s="24" t="inlineStr">
        <is>
          <t>피에스케이</t>
        </is>
      </c>
      <c r="D369" s="24" t="inlineStr">
        <is>
          <t>psk</t>
        </is>
      </c>
      <c r="E369" s="24" t="inlineStr">
        <is>
          <t>319660</t>
        </is>
      </c>
      <c r="F369" s="24" t="inlineStr">
        <is>
          <t>2023</t>
        </is>
      </c>
      <c r="G369" s="24" t="inlineStr">
        <is>
          <t>CFS</t>
        </is>
      </c>
      <c r="H369" s="24" t="inlineStr">
        <is>
          <t>BS</t>
        </is>
      </c>
      <c r="I369" s="24" t="inlineStr">
        <is>
          <t>재무상태표</t>
        </is>
      </c>
      <c r="J369" s="24" t="inlineStr">
        <is>
          <t>ifrs-full_ShorttermBorrowings</t>
        </is>
      </c>
      <c r="K369" s="24" t="inlineStr">
        <is>
          <t>차입금</t>
        </is>
      </c>
      <c r="L369" s="24" t="inlineStr">
        <is>
          <t>-</t>
        </is>
      </c>
      <c r="M369" s="24" t="inlineStr">
        <is>
          <t>제 5 기</t>
        </is>
      </c>
      <c r="N369" s="24" t="inlineStr">
        <is>
          <t>8657899016.0</t>
        </is>
      </c>
      <c r="O369" s="24" t="inlineStr">
        <is>
          <t>0.0</t>
        </is>
      </c>
      <c r="P369" s="24" t="inlineStr">
        <is>
          <t>KRW</t>
        </is>
      </c>
      <c r="Q369" s="24" t="inlineStr">
        <is>
          <t>40</t>
        </is>
      </c>
    </row>
    <row r="370" ht="24" customHeight="1">
      <c r="A370" s="29" t="inlineStr">
        <is>
          <t>OpenDART_fnlttSinglAcntAll</t>
        </is>
      </c>
      <c r="B370" s="29" t="inlineStr">
        <is>
          <t>01365825</t>
        </is>
      </c>
      <c r="C370" s="29" t="inlineStr">
        <is>
          <t>피에스케이</t>
        </is>
      </c>
      <c r="D370" s="29" t="inlineStr">
        <is>
          <t>psk</t>
        </is>
      </c>
      <c r="E370" s="29" t="inlineStr">
        <is>
          <t>319660</t>
        </is>
      </c>
      <c r="F370" s="29" t="inlineStr">
        <is>
          <t>2023</t>
        </is>
      </c>
      <c r="G370" s="29" t="inlineStr">
        <is>
          <t>CFS</t>
        </is>
      </c>
      <c r="H370" s="29" t="inlineStr">
        <is>
          <t>BS</t>
        </is>
      </c>
      <c r="I370" s="29" t="inlineStr">
        <is>
          <t>재무상태표</t>
        </is>
      </c>
      <c r="J370" s="29" t="inlineStr">
        <is>
          <t>ifrs-full_TradeAndOtherCurrentPayables</t>
        </is>
      </c>
      <c r="K370" s="29" t="inlineStr">
        <is>
          <t>매입채무및기타채무</t>
        </is>
      </c>
      <c r="L370" s="29" t="inlineStr">
        <is>
          <t>-</t>
        </is>
      </c>
      <c r="M370" s="29" t="inlineStr">
        <is>
          <t>제 5 기</t>
        </is>
      </c>
      <c r="N370" s="29" t="inlineStr">
        <is>
          <t>29765011833.0</t>
        </is>
      </c>
      <c r="O370" s="29" t="inlineStr">
        <is>
          <t>38563321988.0</t>
        </is>
      </c>
      <c r="P370" s="29" t="inlineStr">
        <is>
          <t>KRW</t>
        </is>
      </c>
      <c r="Q370" s="29" t="inlineStr">
        <is>
          <t>41</t>
        </is>
      </c>
    </row>
    <row r="371" ht="24" customHeight="1">
      <c r="A371" s="24" t="inlineStr">
        <is>
          <t>OpenDART_fnlttSinglAcntAll</t>
        </is>
      </c>
      <c r="B371" s="24" t="inlineStr">
        <is>
          <t>01365825</t>
        </is>
      </c>
      <c r="C371" s="24" t="inlineStr">
        <is>
          <t>피에스케이</t>
        </is>
      </c>
      <c r="D371" s="24" t="inlineStr">
        <is>
          <t>psk</t>
        </is>
      </c>
      <c r="E371" s="24" t="inlineStr">
        <is>
          <t>319660</t>
        </is>
      </c>
      <c r="F371" s="24" t="inlineStr">
        <is>
          <t>2023</t>
        </is>
      </c>
      <c r="G371" s="24" t="inlineStr">
        <is>
          <t>CFS</t>
        </is>
      </c>
      <c r="H371" s="24" t="inlineStr">
        <is>
          <t>BS</t>
        </is>
      </c>
      <c r="I371" s="24" t="inlineStr">
        <is>
          <t>재무상태표</t>
        </is>
      </c>
      <c r="J371" s="24" t="inlineStr">
        <is>
          <t>ifrs-full_Liabilities</t>
        </is>
      </c>
      <c r="K371" s="24" t="inlineStr">
        <is>
          <t>부채총계</t>
        </is>
      </c>
      <c r="L371" s="24" t="inlineStr">
        <is>
          <t>-</t>
        </is>
      </c>
      <c r="M371" s="24" t="inlineStr">
        <is>
          <t>제 5 기</t>
        </is>
      </c>
      <c r="N371" s="24" t="inlineStr">
        <is>
          <t>101823749358.0</t>
        </is>
      </c>
      <c r="O371" s="24" t="inlineStr">
        <is>
          <t>119341821898.0</t>
        </is>
      </c>
      <c r="P371" s="24" t="inlineStr">
        <is>
          <t>KRW</t>
        </is>
      </c>
      <c r="Q371" s="24" t="inlineStr">
        <is>
          <t>42</t>
        </is>
      </c>
    </row>
    <row r="372" ht="24" customHeight="1">
      <c r="A372" s="29" t="inlineStr">
        <is>
          <t>OpenDART_fnlttSinglAcntAll</t>
        </is>
      </c>
      <c r="B372" s="29" t="inlineStr">
        <is>
          <t>01365825</t>
        </is>
      </c>
      <c r="C372" s="29" t="inlineStr">
        <is>
          <t>피에스케이</t>
        </is>
      </c>
      <c r="D372" s="29" t="inlineStr">
        <is>
          <t>psk</t>
        </is>
      </c>
      <c r="E372" s="29" t="inlineStr">
        <is>
          <t>319660</t>
        </is>
      </c>
      <c r="F372" s="29" t="inlineStr">
        <is>
          <t>2023</t>
        </is>
      </c>
      <c r="G372" s="29" t="inlineStr">
        <is>
          <t>CFS</t>
        </is>
      </c>
      <c r="H372" s="29" t="inlineStr">
        <is>
          <t>BS</t>
        </is>
      </c>
      <c r="I372" s="29" t="inlineStr">
        <is>
          <t>재무상태표</t>
        </is>
      </c>
      <c r="J372" s="29" t="inlineStr">
        <is>
          <t>ifrs-full_NoncurrentLiabilities</t>
        </is>
      </c>
      <c r="K372" s="29" t="inlineStr">
        <is>
          <t>비유동부채</t>
        </is>
      </c>
      <c r="L372" s="29" t="inlineStr">
        <is>
          <t>-</t>
        </is>
      </c>
      <c r="M372" s="29" t="inlineStr">
        <is>
          <t>제 5 기</t>
        </is>
      </c>
      <c r="N372" s="29" t="inlineStr">
        <is>
          <t>15701255440.0</t>
        </is>
      </c>
      <c r="O372" s="29" t="inlineStr">
        <is>
          <t>18424170909.0</t>
        </is>
      </c>
      <c r="P372" s="29" t="inlineStr">
        <is>
          <t>KRW</t>
        </is>
      </c>
      <c r="Q372" s="29" t="inlineStr">
        <is>
          <t>43</t>
        </is>
      </c>
    </row>
    <row r="373" ht="24" customHeight="1">
      <c r="A373" s="24" t="inlineStr">
        <is>
          <t>OpenDART_fnlttSinglAcntAll</t>
        </is>
      </c>
      <c r="B373" s="24" t="inlineStr">
        <is>
          <t>01365825</t>
        </is>
      </c>
      <c r="C373" s="24" t="inlineStr">
        <is>
          <t>피에스케이</t>
        </is>
      </c>
      <c r="D373" s="24" t="inlineStr">
        <is>
          <t>psk</t>
        </is>
      </c>
      <c r="E373" s="24" t="inlineStr">
        <is>
          <t>319660</t>
        </is>
      </c>
      <c r="F373" s="24" t="inlineStr">
        <is>
          <t>2023</t>
        </is>
      </c>
      <c r="G373" s="24" t="inlineStr">
        <is>
          <t>CFS</t>
        </is>
      </c>
      <c r="H373" s="24" t="inlineStr">
        <is>
          <t>BS</t>
        </is>
      </c>
      <c r="I373" s="24" t="inlineStr">
        <is>
          <t>재무상태표</t>
        </is>
      </c>
      <c r="J373" s="24" t="inlineStr">
        <is>
          <t>dart_LongTermBorrowingsGross</t>
        </is>
      </c>
      <c r="K373" s="24" t="inlineStr">
        <is>
          <t>차입금(비)</t>
        </is>
      </c>
      <c r="L373" s="24" t="inlineStr">
        <is>
          <t>-</t>
        </is>
      </c>
      <c r="M373" s="24" t="inlineStr">
        <is>
          <t>제 5 기</t>
        </is>
      </c>
      <c r="N373" s="24" t="inlineStr">
        <is>
          <t>13000000000.0</t>
        </is>
      </c>
      <c r="O373" s="24" t="inlineStr">
        <is>
          <t>12000000000.0</t>
        </is>
      </c>
      <c r="P373" s="24" t="inlineStr">
        <is>
          <t>KRW</t>
        </is>
      </c>
      <c r="Q373" s="24" t="inlineStr">
        <is>
          <t>44</t>
        </is>
      </c>
    </row>
    <row r="374" ht="24" customHeight="1">
      <c r="A374" s="29" t="inlineStr">
        <is>
          <t>OpenDART_fnlttSinglAcntAll</t>
        </is>
      </c>
      <c r="B374" s="29" t="inlineStr">
        <is>
          <t>01365825</t>
        </is>
      </c>
      <c r="C374" s="29" t="inlineStr">
        <is>
          <t>피에스케이</t>
        </is>
      </c>
      <c r="D374" s="29" t="inlineStr">
        <is>
          <t>psk</t>
        </is>
      </c>
      <c r="E374" s="29" t="inlineStr">
        <is>
          <t>319660</t>
        </is>
      </c>
      <c r="F374" s="29" t="inlineStr">
        <is>
          <t>2023</t>
        </is>
      </c>
      <c r="G374" s="29" t="inlineStr">
        <is>
          <t>CFS</t>
        </is>
      </c>
      <c r="H374" s="29" t="inlineStr">
        <is>
          <t>BS</t>
        </is>
      </c>
      <c r="I374" s="29" t="inlineStr">
        <is>
          <t>재무상태표</t>
        </is>
      </c>
      <c r="J374" s="29" t="inlineStr">
        <is>
          <t>dart_LongTermTradeAndOtherNonCurrentPayables</t>
        </is>
      </c>
      <c r="K374" s="29" t="inlineStr">
        <is>
          <t>매입채무및기타채무(비)</t>
        </is>
      </c>
      <c r="L374" s="29" t="inlineStr">
        <is>
          <t>-</t>
        </is>
      </c>
      <c r="M374" s="29" t="inlineStr">
        <is>
          <t>제 5 기</t>
        </is>
      </c>
      <c r="N374" s="29" t="inlineStr">
        <is>
          <t>344107715.0</t>
        </is>
      </c>
      <c r="O374" s="29" t="inlineStr">
        <is>
          <t>293939651.0</t>
        </is>
      </c>
      <c r="P374" s="29" t="inlineStr">
        <is>
          <t>KRW</t>
        </is>
      </c>
      <c r="Q374" s="29" t="inlineStr">
        <is>
          <t>45</t>
        </is>
      </c>
    </row>
    <row r="375" ht="24" customHeight="1">
      <c r="A375" s="24" t="inlineStr">
        <is>
          <t>OpenDART_fnlttSinglAcntAll</t>
        </is>
      </c>
      <c r="B375" s="24" t="inlineStr">
        <is>
          <t>01365825</t>
        </is>
      </c>
      <c r="C375" s="24" t="inlineStr">
        <is>
          <t>피에스케이</t>
        </is>
      </c>
      <c r="D375" s="24" t="inlineStr">
        <is>
          <t>psk</t>
        </is>
      </c>
      <c r="E375" s="24" t="inlineStr">
        <is>
          <t>319660</t>
        </is>
      </c>
      <c r="F375" s="24" t="inlineStr">
        <is>
          <t>2023</t>
        </is>
      </c>
      <c r="G375" s="24" t="inlineStr">
        <is>
          <t>CFS</t>
        </is>
      </c>
      <c r="H375" s="24" t="inlineStr">
        <is>
          <t>BS</t>
        </is>
      </c>
      <c r="I375" s="24" t="inlineStr">
        <is>
          <t>재무상태표</t>
        </is>
      </c>
      <c r="J375" s="24" t="inlineStr">
        <is>
          <t>dart_NonCurrentFinanceLeaseLiabilities</t>
        </is>
      </c>
      <c r="K375" s="24" t="inlineStr">
        <is>
          <t>금융리스부채(비)</t>
        </is>
      </c>
      <c r="L375" s="24" t="inlineStr">
        <is>
          <t>-</t>
        </is>
      </c>
      <c r="M375" s="24" t="inlineStr">
        <is>
          <t>제 5 기</t>
        </is>
      </c>
      <c r="N375" s="24" t="inlineStr">
        <is>
          <t>572242047.0</t>
        </is>
      </c>
      <c r="O375" s="24" t="inlineStr">
        <is>
          <t>1004509812.0</t>
        </is>
      </c>
      <c r="P375" s="24" t="inlineStr">
        <is>
          <t>KRW</t>
        </is>
      </c>
      <c r="Q375" s="24" t="inlineStr">
        <is>
          <t>46</t>
        </is>
      </c>
    </row>
    <row r="376" ht="24" customHeight="1">
      <c r="A376" s="29" t="inlineStr">
        <is>
          <t>OpenDART_fnlttSinglAcntAll</t>
        </is>
      </c>
      <c r="B376" s="29" t="inlineStr">
        <is>
          <t>01365825</t>
        </is>
      </c>
      <c r="C376" s="29" t="inlineStr">
        <is>
          <t>피에스케이</t>
        </is>
      </c>
      <c r="D376" s="29" t="inlineStr">
        <is>
          <t>psk</t>
        </is>
      </c>
      <c r="E376" s="29" t="inlineStr">
        <is>
          <t>319660</t>
        </is>
      </c>
      <c r="F376" s="29" t="inlineStr">
        <is>
          <t>2023</t>
        </is>
      </c>
      <c r="G376" s="29" t="inlineStr">
        <is>
          <t>CFS</t>
        </is>
      </c>
      <c r="H376" s="29" t="inlineStr">
        <is>
          <t>BS</t>
        </is>
      </c>
      <c r="I376" s="29" t="inlineStr">
        <is>
          <t>재무상태표</t>
        </is>
      </c>
      <c r="J376" s="29" t="inlineStr">
        <is>
          <t>-표준계정코드 미사용-</t>
        </is>
      </c>
      <c r="K376" s="29" t="inlineStr">
        <is>
          <t>순확정급여부채</t>
        </is>
      </c>
      <c r="L376" s="29" t="inlineStr">
        <is>
          <t>-</t>
        </is>
      </c>
      <c r="M376" s="29" t="inlineStr">
        <is>
          <t>제 5 기</t>
        </is>
      </c>
      <c r="N376" s="29" t="inlineStr">
        <is>
          <t>0.0</t>
        </is>
      </c>
      <c r="O376" s="29" t="inlineStr">
        <is>
          <t>109043318.0</t>
        </is>
      </c>
      <c r="P376" s="29" t="inlineStr">
        <is>
          <t>KRW</t>
        </is>
      </c>
      <c r="Q376" s="29" t="inlineStr">
        <is>
          <t>47</t>
        </is>
      </c>
    </row>
    <row r="377" ht="24" customHeight="1">
      <c r="A377" s="24" t="inlineStr">
        <is>
          <t>OpenDART_fnlttSinglAcntAll</t>
        </is>
      </c>
      <c r="B377" s="24" t="inlineStr">
        <is>
          <t>01365825</t>
        </is>
      </c>
      <c r="C377" s="24" t="inlineStr">
        <is>
          <t>피에스케이</t>
        </is>
      </c>
      <c r="D377" s="24" t="inlineStr">
        <is>
          <t>psk</t>
        </is>
      </c>
      <c r="E377" s="24" t="inlineStr">
        <is>
          <t>319660</t>
        </is>
      </c>
      <c r="F377" s="24" t="inlineStr">
        <is>
          <t>2023</t>
        </is>
      </c>
      <c r="G377" s="24" t="inlineStr">
        <is>
          <t>CFS</t>
        </is>
      </c>
      <c r="H377" s="24" t="inlineStr">
        <is>
          <t>BS</t>
        </is>
      </c>
      <c r="I377" s="24" t="inlineStr">
        <is>
          <t>재무상태표</t>
        </is>
      </c>
      <c r="J377" s="24" t="inlineStr">
        <is>
          <t>ifrs-full_DeferredTaxLiabilities</t>
        </is>
      </c>
      <c r="K377" s="24" t="inlineStr">
        <is>
          <t>이연법인세부채</t>
        </is>
      </c>
      <c r="L377" s="24" t="inlineStr">
        <is>
          <t>-</t>
        </is>
      </c>
      <c r="M377" s="24" t="inlineStr">
        <is>
          <t>제 5 기</t>
        </is>
      </c>
      <c r="N377" s="24" t="inlineStr">
        <is>
          <t>67380307.0</t>
        </is>
      </c>
      <c r="O377" s="24" t="inlineStr">
        <is>
          <t>2630564501.0</t>
        </is>
      </c>
      <c r="P377" s="24" t="inlineStr">
        <is>
          <t>KRW</t>
        </is>
      </c>
      <c r="Q377" s="24" t="inlineStr">
        <is>
          <t>48</t>
        </is>
      </c>
    </row>
    <row r="378" ht="24" customHeight="1">
      <c r="A378" s="29" t="inlineStr">
        <is>
          <t>OpenDART_fnlttSinglAcntAll</t>
        </is>
      </c>
      <c r="B378" s="29" t="inlineStr">
        <is>
          <t>01365825</t>
        </is>
      </c>
      <c r="C378" s="29" t="inlineStr">
        <is>
          <t>피에스케이</t>
        </is>
      </c>
      <c r="D378" s="29" t="inlineStr">
        <is>
          <t>psk</t>
        </is>
      </c>
      <c r="E378" s="29" t="inlineStr">
        <is>
          <t>319660</t>
        </is>
      </c>
      <c r="F378" s="29" t="inlineStr">
        <is>
          <t>2023</t>
        </is>
      </c>
      <c r="G378" s="29" t="inlineStr">
        <is>
          <t>CFS</t>
        </is>
      </c>
      <c r="H378" s="29" t="inlineStr">
        <is>
          <t>BS</t>
        </is>
      </c>
      <c r="I378" s="29" t="inlineStr">
        <is>
          <t>재무상태표</t>
        </is>
      </c>
      <c r="J378" s="29" t="inlineStr">
        <is>
          <t>ifrs-full_NoncurrentProvisions</t>
        </is>
      </c>
      <c r="K378" s="29" t="inlineStr">
        <is>
          <t>비유동충당부채</t>
        </is>
      </c>
      <c r="L378" s="29" t="inlineStr">
        <is>
          <t>-</t>
        </is>
      </c>
      <c r="M378" s="29" t="inlineStr">
        <is>
          <t>제 5 기</t>
        </is>
      </c>
      <c r="N378" s="29" t="inlineStr">
        <is>
          <t>1717525371.0</t>
        </is>
      </c>
      <c r="O378" s="29" t="inlineStr">
        <is>
          <t>2386113627.0</t>
        </is>
      </c>
      <c r="P378" s="29" t="inlineStr">
        <is>
          <t>KRW</t>
        </is>
      </c>
      <c r="Q378" s="29" t="inlineStr">
        <is>
          <t>49</t>
        </is>
      </c>
    </row>
    <row r="379" ht="24" customHeight="1">
      <c r="A379" s="24" t="inlineStr">
        <is>
          <t>OpenDART_fnlttSinglAcntAll</t>
        </is>
      </c>
      <c r="B379" s="24" t="inlineStr">
        <is>
          <t>01365825</t>
        </is>
      </c>
      <c r="C379" s="24" t="inlineStr">
        <is>
          <t>피에스케이</t>
        </is>
      </c>
      <c r="D379" s="24" t="inlineStr">
        <is>
          <t>psk</t>
        </is>
      </c>
      <c r="E379" s="24" t="inlineStr">
        <is>
          <t>319660</t>
        </is>
      </c>
      <c r="F379" s="24" t="inlineStr">
        <is>
          <t>2023</t>
        </is>
      </c>
      <c r="G379" s="24" t="inlineStr">
        <is>
          <t>CFS</t>
        </is>
      </c>
      <c r="H379" s="24" t="inlineStr">
        <is>
          <t>CIS</t>
        </is>
      </c>
      <c r="I379" s="24" t="inlineStr">
        <is>
          <t>포괄손익계산서</t>
        </is>
      </c>
      <c r="J379" s="24" t="inlineStr">
        <is>
          <t>dart_OperatingIncomeLoss</t>
        </is>
      </c>
      <c r="K379" s="24" t="inlineStr">
        <is>
          <t>영업이익(손실)</t>
        </is>
      </c>
      <c r="L379" s="24" t="inlineStr">
        <is>
          <t>-</t>
        </is>
      </c>
      <c r="M379" s="24" t="inlineStr">
        <is>
          <t>제 5 기</t>
        </is>
      </c>
      <c r="N379" s="24" t="inlineStr">
        <is>
          <t>54118591422.0</t>
        </is>
      </c>
      <c r="O379" s="24" t="inlineStr">
        <is>
          <t>91842998729.0</t>
        </is>
      </c>
      <c r="P379" s="24" t="inlineStr">
        <is>
          <t>KRW</t>
        </is>
      </c>
      <c r="Q379" s="24" t="inlineStr">
        <is>
          <t>6</t>
        </is>
      </c>
    </row>
    <row r="380" ht="24" customHeight="1">
      <c r="A380" s="29" t="inlineStr">
        <is>
          <t>OpenDART_fnlttSinglAcntAll</t>
        </is>
      </c>
      <c r="B380" s="29" t="inlineStr">
        <is>
          <t>01365825</t>
        </is>
      </c>
      <c r="C380" s="29" t="inlineStr">
        <is>
          <t>피에스케이</t>
        </is>
      </c>
      <c r="D380" s="29" t="inlineStr">
        <is>
          <t>psk</t>
        </is>
      </c>
      <c r="E380" s="29" t="inlineStr">
        <is>
          <t>319660</t>
        </is>
      </c>
      <c r="F380" s="29" t="inlineStr">
        <is>
          <t>2023</t>
        </is>
      </c>
      <c r="G380" s="29" t="inlineStr">
        <is>
          <t>CFS</t>
        </is>
      </c>
      <c r="H380" s="29" t="inlineStr">
        <is>
          <t>CIS</t>
        </is>
      </c>
      <c r="I380" s="29" t="inlineStr">
        <is>
          <t>포괄손익계산서</t>
        </is>
      </c>
      <c r="J380" s="29" t="inlineStr">
        <is>
          <t>dart_OtherGains</t>
        </is>
      </c>
      <c r="K380" s="29" t="inlineStr">
        <is>
          <t>기타이익</t>
        </is>
      </c>
      <c r="L380" s="29" t="inlineStr">
        <is>
          <t>-</t>
        </is>
      </c>
      <c r="M380" s="29" t="inlineStr">
        <is>
          <t>제 5 기</t>
        </is>
      </c>
      <c r="N380" s="29" t="inlineStr">
        <is>
          <t>1328481084.0</t>
        </is>
      </c>
      <c r="O380" s="29" t="inlineStr">
        <is>
          <t>1595443971.0</t>
        </is>
      </c>
      <c r="P380" s="29" t="inlineStr">
        <is>
          <t>KRW</t>
        </is>
      </c>
      <c r="Q380" s="29" t="inlineStr">
        <is>
          <t>7</t>
        </is>
      </c>
    </row>
    <row r="381" ht="24" customHeight="1">
      <c r="A381" s="24" t="inlineStr">
        <is>
          <t>OpenDART_fnlttSinglAcntAll</t>
        </is>
      </c>
      <c r="B381" s="24" t="inlineStr">
        <is>
          <t>01365825</t>
        </is>
      </c>
      <c r="C381" s="24" t="inlineStr">
        <is>
          <t>피에스케이</t>
        </is>
      </c>
      <c r="D381" s="24" t="inlineStr">
        <is>
          <t>psk</t>
        </is>
      </c>
      <c r="E381" s="24" t="inlineStr">
        <is>
          <t>319660</t>
        </is>
      </c>
      <c r="F381" s="24" t="inlineStr">
        <is>
          <t>2023</t>
        </is>
      </c>
      <c r="G381" s="24" t="inlineStr">
        <is>
          <t>CFS</t>
        </is>
      </c>
      <c r="H381" s="24" t="inlineStr">
        <is>
          <t>CIS</t>
        </is>
      </c>
      <c r="I381" s="24" t="inlineStr">
        <is>
          <t>포괄손익계산서</t>
        </is>
      </c>
      <c r="J381" s="24" t="inlineStr">
        <is>
          <t>dart_OtherLosses</t>
        </is>
      </c>
      <c r="K381" s="24" t="inlineStr">
        <is>
          <t>기타손실</t>
        </is>
      </c>
      <c r="L381" s="24" t="inlineStr">
        <is>
          <t>-</t>
        </is>
      </c>
      <c r="M381" s="24" t="inlineStr">
        <is>
          <t>제 5 기</t>
        </is>
      </c>
      <c r="N381" s="24" t="inlineStr">
        <is>
          <t>299817622.0</t>
        </is>
      </c>
      <c r="O381" s="24" t="inlineStr">
        <is>
          <t>345251694.0</t>
        </is>
      </c>
      <c r="P381" s="24" t="inlineStr">
        <is>
          <t>KRW</t>
        </is>
      </c>
      <c r="Q381" s="24" t="inlineStr">
        <is>
          <t>8</t>
        </is>
      </c>
    </row>
    <row r="382" ht="24" customHeight="1">
      <c r="A382" s="29" t="inlineStr">
        <is>
          <t>OpenDART_fnlttSinglAcntAll</t>
        </is>
      </c>
      <c r="B382" s="29" t="inlineStr">
        <is>
          <t>01365825</t>
        </is>
      </c>
      <c r="C382" s="29" t="inlineStr">
        <is>
          <t>피에스케이</t>
        </is>
      </c>
      <c r="D382" s="29" t="inlineStr">
        <is>
          <t>psk</t>
        </is>
      </c>
      <c r="E382" s="29" t="inlineStr">
        <is>
          <t>319660</t>
        </is>
      </c>
      <c r="F382" s="29" t="inlineStr">
        <is>
          <t>2023</t>
        </is>
      </c>
      <c r="G382" s="29" t="inlineStr">
        <is>
          <t>CFS</t>
        </is>
      </c>
      <c r="H382" s="29" t="inlineStr">
        <is>
          <t>CIS</t>
        </is>
      </c>
      <c r="I382" s="29" t="inlineStr">
        <is>
          <t>포괄손익계산서</t>
        </is>
      </c>
      <c r="J382" s="29" t="inlineStr">
        <is>
          <t>dart_TotalSellingGeneralAdministrativeExpenses</t>
        </is>
      </c>
      <c r="K382" s="29" t="inlineStr">
        <is>
          <t>판매비와관리비</t>
        </is>
      </c>
      <c r="L382" s="29" t="inlineStr">
        <is>
          <t>-</t>
        </is>
      </c>
      <c r="M382" s="29" t="inlineStr">
        <is>
          <t>제 5 기</t>
        </is>
      </c>
      <c r="N382" s="29" t="inlineStr">
        <is>
          <t>110482214439.0</t>
        </is>
      </c>
      <c r="O382" s="29" t="inlineStr">
        <is>
          <t>121508162394.0</t>
        </is>
      </c>
      <c r="P382" s="29" t="inlineStr">
        <is>
          <t>KRW</t>
        </is>
      </c>
      <c r="Q382" s="29" t="inlineStr">
        <is>
          <t>9</t>
        </is>
      </c>
    </row>
    <row r="383" ht="24" customHeight="1">
      <c r="A383" s="24" t="inlineStr">
        <is>
          <t>OpenDART_fnlttSinglAcntAll</t>
        </is>
      </c>
      <c r="B383" s="24" t="inlineStr">
        <is>
          <t>01365825</t>
        </is>
      </c>
      <c r="C383" s="24" t="inlineStr">
        <is>
          <t>피에스케이</t>
        </is>
      </c>
      <c r="D383" s="24" t="inlineStr">
        <is>
          <t>psk</t>
        </is>
      </c>
      <c r="E383" s="24" t="inlineStr">
        <is>
          <t>319660</t>
        </is>
      </c>
      <c r="F383" s="24" t="inlineStr">
        <is>
          <t>2023</t>
        </is>
      </c>
      <c r="G383" s="24" t="inlineStr">
        <is>
          <t>CFS</t>
        </is>
      </c>
      <c r="H383" s="24" t="inlineStr">
        <is>
          <t>CIS</t>
        </is>
      </c>
      <c r="I383" s="24" t="inlineStr">
        <is>
          <t>포괄손익계산서</t>
        </is>
      </c>
      <c r="J383" s="24" t="inlineStr">
        <is>
          <t>ifrs-full_ComprehensiveIncome</t>
        </is>
      </c>
      <c r="K383" s="24" t="inlineStr">
        <is>
          <t>총포괄손익</t>
        </is>
      </c>
      <c r="L383" s="24" t="inlineStr">
        <is>
          <t>-</t>
        </is>
      </c>
      <c r="M383" s="24" t="inlineStr">
        <is>
          <t>제 5 기</t>
        </is>
      </c>
      <c r="N383" s="24" t="inlineStr">
        <is>
          <t>50848774767.0</t>
        </is>
      </c>
      <c r="O383" s="24" t="inlineStr">
        <is>
          <t>78643982843.0</t>
        </is>
      </c>
      <c r="P383" s="24" t="inlineStr">
        <is>
          <t>KRW</t>
        </is>
      </c>
      <c r="Q383" s="24" t="inlineStr">
        <is>
          <t>10</t>
        </is>
      </c>
    </row>
    <row r="384" ht="24" customHeight="1">
      <c r="A384" s="29" t="inlineStr">
        <is>
          <t>OpenDART_fnlttSinglAcntAll</t>
        </is>
      </c>
      <c r="B384" s="29" t="inlineStr">
        <is>
          <t>01365825</t>
        </is>
      </c>
      <c r="C384" s="29" t="inlineStr">
        <is>
          <t>피에스케이</t>
        </is>
      </c>
      <c r="D384" s="29" t="inlineStr">
        <is>
          <t>psk</t>
        </is>
      </c>
      <c r="E384" s="29" t="inlineStr">
        <is>
          <t>319660</t>
        </is>
      </c>
      <c r="F384" s="29" t="inlineStr">
        <is>
          <t>2023</t>
        </is>
      </c>
      <c r="G384" s="29" t="inlineStr">
        <is>
          <t>CFS</t>
        </is>
      </c>
      <c r="H384" s="29" t="inlineStr">
        <is>
          <t>CIS</t>
        </is>
      </c>
      <c r="I384" s="29" t="inlineStr">
        <is>
          <t>포괄손익계산서</t>
        </is>
      </c>
      <c r="J384" s="29" t="inlineStr">
        <is>
          <t>ifrs-full_CostOfSales</t>
        </is>
      </c>
      <c r="K384" s="29" t="inlineStr">
        <is>
          <t>매출원가</t>
        </is>
      </c>
      <c r="L384" s="29" t="inlineStr">
        <is>
          <t>-</t>
        </is>
      </c>
      <c r="M384" s="29" t="inlineStr">
        <is>
          <t>제 5 기</t>
        </is>
      </c>
      <c r="N384" s="29" t="inlineStr">
        <is>
          <t>187262999789.0</t>
        </is>
      </c>
      <c r="O384" s="29" t="inlineStr">
        <is>
          <t>247558039884.0</t>
        </is>
      </c>
      <c r="P384" s="29" t="inlineStr">
        <is>
          <t>KRW</t>
        </is>
      </c>
      <c r="Q384" s="29" t="inlineStr">
        <is>
          <t>11</t>
        </is>
      </c>
    </row>
    <row r="385" ht="24" customHeight="1">
      <c r="A385" s="24" t="inlineStr">
        <is>
          <t>OpenDART_fnlttSinglAcntAll</t>
        </is>
      </c>
      <c r="B385" s="24" t="inlineStr">
        <is>
          <t>01365825</t>
        </is>
      </c>
      <c r="C385" s="24" t="inlineStr">
        <is>
          <t>피에스케이</t>
        </is>
      </c>
      <c r="D385" s="24" t="inlineStr">
        <is>
          <t>psk</t>
        </is>
      </c>
      <c r="E385" s="24" t="inlineStr">
        <is>
          <t>319660</t>
        </is>
      </c>
      <c r="F385" s="24" t="inlineStr">
        <is>
          <t>2023</t>
        </is>
      </c>
      <c r="G385" s="24" t="inlineStr">
        <is>
          <t>CFS</t>
        </is>
      </c>
      <c r="H385" s="24" t="inlineStr">
        <is>
          <t>CIS</t>
        </is>
      </c>
      <c r="I385" s="24" t="inlineStr">
        <is>
          <t>포괄손익계산서</t>
        </is>
      </c>
      <c r="J385" s="24" t="inlineStr">
        <is>
          <t>ifrs-full_FinanceCosts</t>
        </is>
      </c>
      <c r="K385" s="24" t="inlineStr">
        <is>
          <t>금융원가</t>
        </is>
      </c>
      <c r="L385" s="24" t="inlineStr">
        <is>
          <t>-</t>
        </is>
      </c>
      <c r="M385" s="24" t="inlineStr">
        <is>
          <t>제 5 기</t>
        </is>
      </c>
      <c r="N385" s="24" t="inlineStr">
        <is>
          <t>10908075036.0</t>
        </is>
      </c>
      <c r="O385" s="24" t="inlineStr">
        <is>
          <t>18324428228.0</t>
        </is>
      </c>
      <c r="P385" s="24" t="inlineStr">
        <is>
          <t>KRW</t>
        </is>
      </c>
      <c r="Q385" s="24" t="inlineStr">
        <is>
          <t>12</t>
        </is>
      </c>
    </row>
    <row r="386" ht="24" customHeight="1">
      <c r="A386" s="29" t="inlineStr">
        <is>
          <t>OpenDART_fnlttSinglAcntAll</t>
        </is>
      </c>
      <c r="B386" s="29" t="inlineStr">
        <is>
          <t>01365825</t>
        </is>
      </c>
      <c r="C386" s="29" t="inlineStr">
        <is>
          <t>피에스케이</t>
        </is>
      </c>
      <c r="D386" s="29" t="inlineStr">
        <is>
          <t>psk</t>
        </is>
      </c>
      <c r="E386" s="29" t="inlineStr">
        <is>
          <t>319660</t>
        </is>
      </c>
      <c r="F386" s="29" t="inlineStr">
        <is>
          <t>2023</t>
        </is>
      </c>
      <c r="G386" s="29" t="inlineStr">
        <is>
          <t>CFS</t>
        </is>
      </c>
      <c r="H386" s="29" t="inlineStr">
        <is>
          <t>CIS</t>
        </is>
      </c>
      <c r="I386" s="29" t="inlineStr">
        <is>
          <t>포괄손익계산서</t>
        </is>
      </c>
      <c r="J386" s="29" t="inlineStr">
        <is>
          <t>ifrs-full_FinanceIncome</t>
        </is>
      </c>
      <c r="K386" s="29" t="inlineStr">
        <is>
          <t>금융수익</t>
        </is>
      </c>
      <c r="L386" s="29" t="inlineStr">
        <is>
          <t>-</t>
        </is>
      </c>
      <c r="M386" s="29" t="inlineStr">
        <is>
          <t>제 5 기</t>
        </is>
      </c>
      <c r="N386" s="29" t="inlineStr">
        <is>
          <t>21670065303.0</t>
        </is>
      </c>
      <c r="O386" s="29" t="inlineStr">
        <is>
          <t>25252164665.0</t>
        </is>
      </c>
      <c r="P386" s="29" t="inlineStr">
        <is>
          <t>KRW</t>
        </is>
      </c>
      <c r="Q386" s="29" t="inlineStr">
        <is>
          <t>13</t>
        </is>
      </c>
    </row>
    <row r="387" ht="24" customHeight="1">
      <c r="A387" s="24" t="inlineStr">
        <is>
          <t>OpenDART_fnlttSinglAcntAll</t>
        </is>
      </c>
      <c r="B387" s="24" t="inlineStr">
        <is>
          <t>01365825</t>
        </is>
      </c>
      <c r="C387" s="24" t="inlineStr">
        <is>
          <t>피에스케이</t>
        </is>
      </c>
      <c r="D387" s="24" t="inlineStr">
        <is>
          <t>psk</t>
        </is>
      </c>
      <c r="E387" s="24" t="inlineStr">
        <is>
          <t>319660</t>
        </is>
      </c>
      <c r="F387" s="24" t="inlineStr">
        <is>
          <t>2023</t>
        </is>
      </c>
      <c r="G387" s="24" t="inlineStr">
        <is>
          <t>CFS</t>
        </is>
      </c>
      <c r="H387" s="24" t="inlineStr">
        <is>
          <t>CIS</t>
        </is>
      </c>
      <c r="I387" s="24" t="inlineStr">
        <is>
          <t>포괄손익계산서</t>
        </is>
      </c>
      <c r="J387" s="24" t="inlineStr">
        <is>
          <t>ifrs-full_GrossProfit</t>
        </is>
      </c>
      <c r="K387" s="24" t="inlineStr">
        <is>
          <t>매출총이익</t>
        </is>
      </c>
      <c r="L387" s="24" t="inlineStr">
        <is>
          <t>-</t>
        </is>
      </c>
      <c r="M387" s="24" t="inlineStr">
        <is>
          <t>제 5 기</t>
        </is>
      </c>
      <c r="N387" s="24" t="inlineStr">
        <is>
          <t>164600805861.0</t>
        </is>
      </c>
      <c r="O387" s="24" t="inlineStr">
        <is>
          <t>213351161123.0</t>
        </is>
      </c>
      <c r="P387" s="24" t="inlineStr">
        <is>
          <t>KRW</t>
        </is>
      </c>
      <c r="Q387" s="24" t="inlineStr">
        <is>
          <t>14</t>
        </is>
      </c>
    </row>
    <row r="388" ht="24" customHeight="1">
      <c r="A388" s="29" t="inlineStr">
        <is>
          <t>OpenDART_fnlttSinglAcntAll</t>
        </is>
      </c>
      <c r="B388" s="29" t="inlineStr">
        <is>
          <t>01365825</t>
        </is>
      </c>
      <c r="C388" s="29" t="inlineStr">
        <is>
          <t>피에스케이</t>
        </is>
      </c>
      <c r="D388" s="29" t="inlineStr">
        <is>
          <t>psk</t>
        </is>
      </c>
      <c r="E388" s="29" t="inlineStr">
        <is>
          <t>319660</t>
        </is>
      </c>
      <c r="F388" s="29" t="inlineStr">
        <is>
          <t>2023</t>
        </is>
      </c>
      <c r="G388" s="29" t="inlineStr">
        <is>
          <t>CFS</t>
        </is>
      </c>
      <c r="H388" s="29" t="inlineStr">
        <is>
          <t>CIS</t>
        </is>
      </c>
      <c r="I388" s="29" t="inlineStr">
        <is>
          <t>포괄손익계산서</t>
        </is>
      </c>
      <c r="J388" s="29" t="inlineStr">
        <is>
          <t>ifrs-full_IncomeTaxExpenseContinuingOperations</t>
        </is>
      </c>
      <c r="K388" s="29" t="inlineStr">
        <is>
          <t>법인세비용(수익)</t>
        </is>
      </c>
      <c r="L388" s="29" t="inlineStr">
        <is>
          <t>-</t>
        </is>
      </c>
      <c r="M388" s="29" t="inlineStr">
        <is>
          <t>제 5 기</t>
        </is>
      </c>
      <c r="N388" s="29" t="inlineStr">
        <is>
          <t>13389056949.0</t>
        </is>
      </c>
      <c r="O388" s="29" t="inlineStr">
        <is>
          <t>22577672912.0</t>
        </is>
      </c>
      <c r="P388" s="29" t="inlineStr">
        <is>
          <t>KRW</t>
        </is>
      </c>
      <c r="Q388" s="29" t="inlineStr">
        <is>
          <t>15</t>
        </is>
      </c>
    </row>
    <row r="389" ht="24" customHeight="1">
      <c r="A389" s="24" t="inlineStr">
        <is>
          <t>OpenDART_fnlttSinglAcntAll</t>
        </is>
      </c>
      <c r="B389" s="24" t="inlineStr">
        <is>
          <t>01365825</t>
        </is>
      </c>
      <c r="C389" s="24" t="inlineStr">
        <is>
          <t>피에스케이</t>
        </is>
      </c>
      <c r="D389" s="24" t="inlineStr">
        <is>
          <t>psk</t>
        </is>
      </c>
      <c r="E389" s="24" t="inlineStr">
        <is>
          <t>319660</t>
        </is>
      </c>
      <c r="F389" s="24" t="inlineStr">
        <is>
          <t>2023</t>
        </is>
      </c>
      <c r="G389" s="24" t="inlineStr">
        <is>
          <t>CFS</t>
        </is>
      </c>
      <c r="H389" s="24" t="inlineStr">
        <is>
          <t>CIS</t>
        </is>
      </c>
      <c r="I389" s="24" t="inlineStr">
        <is>
          <t>포괄손익계산서</t>
        </is>
      </c>
      <c r="J389" s="24" t="inlineStr">
        <is>
          <t>ifrs-full_OtherComprehensiveIncome</t>
        </is>
      </c>
      <c r="K389" s="24" t="inlineStr">
        <is>
          <t>기타포괄손익</t>
        </is>
      </c>
      <c r="L389" s="24" t="inlineStr">
        <is>
          <t>-</t>
        </is>
      </c>
      <c r="M389" s="24" t="inlineStr">
        <is>
          <t>제 5 기</t>
        </is>
      </c>
      <c r="N389" s="24" t="inlineStr">
        <is>
          <t>-1671413435.0</t>
        </is>
      </c>
      <c r="O389" s="24" t="inlineStr">
        <is>
          <t>1200728312.0</t>
        </is>
      </c>
      <c r="P389" s="24" t="inlineStr">
        <is>
          <t>KRW</t>
        </is>
      </c>
      <c r="Q389" s="24" t="inlineStr">
        <is>
          <t>16</t>
        </is>
      </c>
    </row>
    <row r="390" ht="24" customHeight="1">
      <c r="A390" s="29" t="inlineStr">
        <is>
          <t>OpenDART_fnlttSinglAcntAll</t>
        </is>
      </c>
      <c r="B390" s="29" t="inlineStr">
        <is>
          <t>01365825</t>
        </is>
      </c>
      <c r="C390" s="29" t="inlineStr">
        <is>
          <t>피에스케이</t>
        </is>
      </c>
      <c r="D390" s="29" t="inlineStr">
        <is>
          <t>psk</t>
        </is>
      </c>
      <c r="E390" s="29" t="inlineStr">
        <is>
          <t>319660</t>
        </is>
      </c>
      <c r="F390" s="29" t="inlineStr">
        <is>
          <t>2023</t>
        </is>
      </c>
      <c r="G390" s="29" t="inlineStr">
        <is>
          <t>CFS</t>
        </is>
      </c>
      <c r="H390" s="29" t="inlineStr">
        <is>
          <t>CIS</t>
        </is>
      </c>
      <c r="I390" s="29" t="inlineStr">
        <is>
          <t>포괄손익계산서</t>
        </is>
      </c>
      <c r="J390" s="29" t="inlineStr">
        <is>
          <t>ifrs-full_OtherComprehensiveIncomeThatWillBeReclassifiedToProfitOrLossNetOfTax</t>
        </is>
      </c>
      <c r="K390" s="29" t="inlineStr">
        <is>
          <t>당기손익으로 재분류될 수 있는 항목(세후기타포괄손익)</t>
        </is>
      </c>
      <c r="L390" s="29" t="inlineStr">
        <is>
          <t>-</t>
        </is>
      </c>
      <c r="M390" s="29" t="inlineStr">
        <is>
          <t>제 5 기</t>
        </is>
      </c>
      <c r="N390" s="29" t="inlineStr">
        <is>
          <t>-404111832.0</t>
        </is>
      </c>
      <c r="O390" s="29" t="inlineStr">
        <is>
          <t>-681167147.0</t>
        </is>
      </c>
      <c r="P390" s="29" t="inlineStr">
        <is>
          <t>KRW</t>
        </is>
      </c>
      <c r="Q390" s="29" t="inlineStr">
        <is>
          <t>17</t>
        </is>
      </c>
    </row>
    <row r="391" ht="24" customHeight="1">
      <c r="A391" s="24" t="inlineStr">
        <is>
          <t>OpenDART_fnlttSinglAcntAll</t>
        </is>
      </c>
      <c r="B391" s="24" t="inlineStr">
        <is>
          <t>01365825</t>
        </is>
      </c>
      <c r="C391" s="24" t="inlineStr">
        <is>
          <t>피에스케이</t>
        </is>
      </c>
      <c r="D391" s="24" t="inlineStr">
        <is>
          <t>psk</t>
        </is>
      </c>
      <c r="E391" s="24" t="inlineStr">
        <is>
          <t>319660</t>
        </is>
      </c>
      <c r="F391" s="24" t="inlineStr">
        <is>
          <t>2023</t>
        </is>
      </c>
      <c r="G391" s="24" t="inlineStr">
        <is>
          <t>CFS</t>
        </is>
      </c>
      <c r="H391" s="24" t="inlineStr">
        <is>
          <t>CIS</t>
        </is>
      </c>
      <c r="I391" s="24" t="inlineStr">
        <is>
          <t>포괄손익계산서</t>
        </is>
      </c>
      <c r="J391" s="24" t="inlineStr">
        <is>
          <t>-표준계정코드 미사용-</t>
        </is>
      </c>
      <c r="K391" s="24" t="inlineStr">
        <is>
          <t>해외사업환산손익</t>
        </is>
      </c>
      <c r="L391" s="24" t="inlineStr">
        <is>
          <t>-</t>
        </is>
      </c>
      <c r="M391" s="24" t="inlineStr">
        <is>
          <t>제 5 기</t>
        </is>
      </c>
      <c r="N391" s="24" t="inlineStr">
        <is>
          <t>-404111832.0</t>
        </is>
      </c>
      <c r="O391" s="24" t="inlineStr">
        <is>
          <t>-681167147.0</t>
        </is>
      </c>
      <c r="P391" s="24" t="inlineStr">
        <is>
          <t>KRW</t>
        </is>
      </c>
      <c r="Q391" s="24" t="inlineStr">
        <is>
          <t>18</t>
        </is>
      </c>
    </row>
    <row r="392" ht="24" customHeight="1">
      <c r="A392" s="29" t="inlineStr">
        <is>
          <t>OpenDART_fnlttSinglAcntAll</t>
        </is>
      </c>
      <c r="B392" s="29" t="inlineStr">
        <is>
          <t>01365825</t>
        </is>
      </c>
      <c r="C392" s="29" t="inlineStr">
        <is>
          <t>피에스케이</t>
        </is>
      </c>
      <c r="D392" s="29" t="inlineStr">
        <is>
          <t>psk</t>
        </is>
      </c>
      <c r="E392" s="29" t="inlineStr">
        <is>
          <t>319660</t>
        </is>
      </c>
      <c r="F392" s="29" t="inlineStr">
        <is>
          <t>2023</t>
        </is>
      </c>
      <c r="G392" s="29" t="inlineStr">
        <is>
          <t>CFS</t>
        </is>
      </c>
      <c r="H392" s="29" t="inlineStr">
        <is>
          <t>CIS</t>
        </is>
      </c>
      <c r="I392" s="29" t="inlineStr">
        <is>
          <t>포괄손익계산서</t>
        </is>
      </c>
      <c r="J392" s="29" t="inlineStr">
        <is>
          <t>ifrs-full_OtherComprehensiveIncomeThatWillNotBeReclassifiedToProfitOrLossNetOfTax</t>
        </is>
      </c>
      <c r="K392" s="29" t="inlineStr">
        <is>
          <t>당기손익으로 재분류 되지않는 세후기타포괄손익</t>
        </is>
      </c>
      <c r="L392" s="29" t="inlineStr">
        <is>
          <t>-</t>
        </is>
      </c>
      <c r="M392" s="29" t="inlineStr">
        <is>
          <t>제 5 기</t>
        </is>
      </c>
      <c r="N392" s="29" t="inlineStr">
        <is>
          <t>-1267301603.0</t>
        </is>
      </c>
      <c r="O392" s="29" t="inlineStr">
        <is>
          <t>1881895459.0</t>
        </is>
      </c>
      <c r="P392" s="29" t="inlineStr">
        <is>
          <t>KRW</t>
        </is>
      </c>
      <c r="Q392" s="29" t="inlineStr">
        <is>
          <t>19</t>
        </is>
      </c>
    </row>
    <row r="393" ht="24" customHeight="1">
      <c r="A393" s="24" t="inlineStr">
        <is>
          <t>OpenDART_fnlttSinglAcntAll</t>
        </is>
      </c>
      <c r="B393" s="24" t="inlineStr">
        <is>
          <t>01365825</t>
        </is>
      </c>
      <c r="C393" s="24" t="inlineStr">
        <is>
          <t>피에스케이</t>
        </is>
      </c>
      <c r="D393" s="24" t="inlineStr">
        <is>
          <t>psk</t>
        </is>
      </c>
      <c r="E393" s="24" t="inlineStr">
        <is>
          <t>319660</t>
        </is>
      </c>
      <c r="F393" s="24" t="inlineStr">
        <is>
          <t>2023</t>
        </is>
      </c>
      <c r="G393" s="24" t="inlineStr">
        <is>
          <t>CFS</t>
        </is>
      </c>
      <c r="H393" s="24" t="inlineStr">
        <is>
          <t>CIS</t>
        </is>
      </c>
      <c r="I393" s="24" t="inlineStr">
        <is>
          <t>포괄손익계산서</t>
        </is>
      </c>
      <c r="J393" s="24" t="inlineStr">
        <is>
          <t>ifrs-full_OtherComprehensiveIncomeNetOfTaxGainsLossesOnRemeasurementsOfDefinedBenefitPlans</t>
        </is>
      </c>
      <c r="K393" s="24" t="inlineStr">
        <is>
          <t>확정급여제도의재측정요소</t>
        </is>
      </c>
      <c r="L393" s="24" t="inlineStr">
        <is>
          <t>-</t>
        </is>
      </c>
      <c r="M393" s="24" t="inlineStr">
        <is>
          <t>제 5 기</t>
        </is>
      </c>
      <c r="N393" s="24" t="inlineStr">
        <is>
          <t>-1267301603.0</t>
        </is>
      </c>
      <c r="O393" s="24" t="inlineStr">
        <is>
          <t>1881895459.0</t>
        </is>
      </c>
      <c r="P393" s="24" t="inlineStr">
        <is>
          <t>KRW</t>
        </is>
      </c>
      <c r="Q393" s="24" t="inlineStr">
        <is>
          <t>20</t>
        </is>
      </c>
    </row>
    <row r="394" ht="24" customHeight="1">
      <c r="A394" s="29" t="inlineStr">
        <is>
          <t>OpenDART_fnlttSinglAcntAll</t>
        </is>
      </c>
      <c r="B394" s="29" t="inlineStr">
        <is>
          <t>01365825</t>
        </is>
      </c>
      <c r="C394" s="29" t="inlineStr">
        <is>
          <t>피에스케이</t>
        </is>
      </c>
      <c r="D394" s="29" t="inlineStr">
        <is>
          <t>psk</t>
        </is>
      </c>
      <c r="E394" s="29" t="inlineStr">
        <is>
          <t>319660</t>
        </is>
      </c>
      <c r="F394" s="29" t="inlineStr">
        <is>
          <t>2023</t>
        </is>
      </c>
      <c r="G394" s="29" t="inlineStr">
        <is>
          <t>CFS</t>
        </is>
      </c>
      <c r="H394" s="29" t="inlineStr">
        <is>
          <t>CIS</t>
        </is>
      </c>
      <c r="I394" s="29" t="inlineStr">
        <is>
          <t>포괄손익계산서</t>
        </is>
      </c>
      <c r="J394" s="29" t="inlineStr">
        <is>
          <t>ifrs-full_ProfitLoss</t>
        </is>
      </c>
      <c r="K394" s="29" t="inlineStr">
        <is>
          <t>당기순이익(손실)</t>
        </is>
      </c>
      <c r="L394" s="29" t="inlineStr">
        <is>
          <t>-</t>
        </is>
      </c>
      <c r="M394" s="29" t="inlineStr">
        <is>
          <t>제 5 기</t>
        </is>
      </c>
      <c r="N394" s="29" t="inlineStr">
        <is>
          <t>52520188202.0</t>
        </is>
      </c>
      <c r="O394" s="29" t="inlineStr">
        <is>
          <t>77443254531.0</t>
        </is>
      </c>
      <c r="P394" s="29" t="inlineStr">
        <is>
          <t>KRW</t>
        </is>
      </c>
      <c r="Q394" s="29" t="inlineStr">
        <is>
          <t>21</t>
        </is>
      </c>
    </row>
    <row r="395" ht="24" customHeight="1">
      <c r="A395" s="24" t="inlineStr">
        <is>
          <t>OpenDART_fnlttSinglAcntAll</t>
        </is>
      </c>
      <c r="B395" s="24" t="inlineStr">
        <is>
          <t>01365825</t>
        </is>
      </c>
      <c r="C395" s="24" t="inlineStr">
        <is>
          <t>피에스케이</t>
        </is>
      </c>
      <c r="D395" s="24" t="inlineStr">
        <is>
          <t>psk</t>
        </is>
      </c>
      <c r="E395" s="24" t="inlineStr">
        <is>
          <t>319660</t>
        </is>
      </c>
      <c r="F395" s="24" t="inlineStr">
        <is>
          <t>2023</t>
        </is>
      </c>
      <c r="G395" s="24" t="inlineStr">
        <is>
          <t>CFS</t>
        </is>
      </c>
      <c r="H395" s="24" t="inlineStr">
        <is>
          <t>CIS</t>
        </is>
      </c>
      <c r="I395" s="24" t="inlineStr">
        <is>
          <t>포괄손익계산서</t>
        </is>
      </c>
      <c r="J395" s="24" t="inlineStr">
        <is>
          <t>ifrs-full_ProfitLossBeforeTax</t>
        </is>
      </c>
      <c r="K395" s="24" t="inlineStr">
        <is>
          <t>법인세비용차감전순이익(손실)</t>
        </is>
      </c>
      <c r="L395" s="24" t="inlineStr">
        <is>
          <t>-</t>
        </is>
      </c>
      <c r="M395" s="24" t="inlineStr">
        <is>
          <t>제 5 기</t>
        </is>
      </c>
      <c r="N395" s="24" t="inlineStr">
        <is>
          <t>65909245151.0</t>
        </is>
      </c>
      <c r="O395" s="24" t="inlineStr">
        <is>
          <t>100020927443.0</t>
        </is>
      </c>
      <c r="P395" s="24" t="inlineStr">
        <is>
          <t>KRW</t>
        </is>
      </c>
      <c r="Q395" s="24" t="inlineStr">
        <is>
          <t>22</t>
        </is>
      </c>
    </row>
    <row r="396" ht="24" customHeight="1">
      <c r="A396" s="29" t="inlineStr">
        <is>
          <t>OpenDART_fnlttSinglAcntAll</t>
        </is>
      </c>
      <c r="B396" s="29" t="inlineStr">
        <is>
          <t>01365825</t>
        </is>
      </c>
      <c r="C396" s="29" t="inlineStr">
        <is>
          <t>피에스케이</t>
        </is>
      </c>
      <c r="D396" s="29" t="inlineStr">
        <is>
          <t>psk</t>
        </is>
      </c>
      <c r="E396" s="29" t="inlineStr">
        <is>
          <t>319660</t>
        </is>
      </c>
      <c r="F396" s="29" t="inlineStr">
        <is>
          <t>2023</t>
        </is>
      </c>
      <c r="G396" s="29" t="inlineStr">
        <is>
          <t>CFS</t>
        </is>
      </c>
      <c r="H396" s="29" t="inlineStr">
        <is>
          <t>CIS</t>
        </is>
      </c>
      <c r="I396" s="29" t="inlineStr">
        <is>
          <t>포괄손익계산서</t>
        </is>
      </c>
      <c r="J396" s="29" t="inlineStr">
        <is>
          <t>ifrs-full_Revenue</t>
        </is>
      </c>
      <c r="K396" s="29" t="inlineStr">
        <is>
          <t>수익(매출액)</t>
        </is>
      </c>
      <c r="L396" s="29" t="inlineStr">
        <is>
          <t>-</t>
        </is>
      </c>
      <c r="M396" s="29" t="inlineStr">
        <is>
          <t>제 5 기</t>
        </is>
      </c>
      <c r="N396" s="29" t="inlineStr">
        <is>
          <t>351863805650.0</t>
        </is>
      </c>
      <c r="O396" s="29" t="inlineStr">
        <is>
          <t>460909201007.0</t>
        </is>
      </c>
      <c r="P396" s="29" t="inlineStr">
        <is>
          <t>KRW</t>
        </is>
      </c>
      <c r="Q396" s="29" t="inlineStr">
        <is>
          <t>23</t>
        </is>
      </c>
    </row>
    <row r="397" ht="24" customHeight="1">
      <c r="A397" s="24" t="inlineStr">
        <is>
          <t>OpenDART_fnlttSinglAcntAll</t>
        </is>
      </c>
      <c r="B397" s="24" t="inlineStr">
        <is>
          <t>01365825</t>
        </is>
      </c>
      <c r="C397" s="24" t="inlineStr">
        <is>
          <t>피에스케이</t>
        </is>
      </c>
      <c r="D397" s="24" t="inlineStr">
        <is>
          <t>psk</t>
        </is>
      </c>
      <c r="E397" s="24" t="inlineStr">
        <is>
          <t>319660</t>
        </is>
      </c>
      <c r="F397" s="24" t="inlineStr">
        <is>
          <t>2023</t>
        </is>
      </c>
      <c r="G397" s="24" t="inlineStr">
        <is>
          <t>CFS</t>
        </is>
      </c>
      <c r="H397" s="24" t="inlineStr">
        <is>
          <t>CF</t>
        </is>
      </c>
      <c r="I397" s="24" t="inlineStr">
        <is>
          <t>현금흐름표</t>
        </is>
      </c>
      <c r="J397" s="24" t="inlineStr">
        <is>
          <t>dart_CashAndCashEquivalentsAtBeginningOfPeriodCf</t>
        </is>
      </c>
      <c r="K397" s="24" t="inlineStr">
        <is>
          <t>기초현금및현금성자산</t>
        </is>
      </c>
      <c r="L397" s="24" t="inlineStr">
        <is>
          <t>-</t>
        </is>
      </c>
      <c r="M397" s="24" t="inlineStr">
        <is>
          <t>제 5 기</t>
        </is>
      </c>
      <c r="N397" s="24" t="inlineStr">
        <is>
          <t>55965973907.0</t>
        </is>
      </c>
      <c r="O397" s="24" t="inlineStr">
        <is>
          <t>66073865022.0</t>
        </is>
      </c>
      <c r="P397" s="24" t="inlineStr">
        <is>
          <t>KRW</t>
        </is>
      </c>
      <c r="Q397" s="24" t="inlineStr">
        <is>
          <t>2</t>
        </is>
      </c>
    </row>
    <row r="398" ht="24" customHeight="1">
      <c r="A398" s="29" t="inlineStr">
        <is>
          <t>OpenDART_fnlttSinglAcntAll</t>
        </is>
      </c>
      <c r="B398" s="29" t="inlineStr">
        <is>
          <t>01365825</t>
        </is>
      </c>
      <c r="C398" s="29" t="inlineStr">
        <is>
          <t>피에스케이</t>
        </is>
      </c>
      <c r="D398" s="29" t="inlineStr">
        <is>
          <t>psk</t>
        </is>
      </c>
      <c r="E398" s="29" t="inlineStr">
        <is>
          <t>319660</t>
        </is>
      </c>
      <c r="F398" s="29" t="inlineStr">
        <is>
          <t>2023</t>
        </is>
      </c>
      <c r="G398" s="29" t="inlineStr">
        <is>
          <t>CFS</t>
        </is>
      </c>
      <c r="H398" s="29" t="inlineStr">
        <is>
          <t>CF</t>
        </is>
      </c>
      <c r="I398" s="29" t="inlineStr">
        <is>
          <t>현금흐름표</t>
        </is>
      </c>
      <c r="J398" s="29" t="inlineStr">
        <is>
          <t>dart_CashAndCashEquivalentsAtEndOfPeriodCf</t>
        </is>
      </c>
      <c r="K398" s="29" t="inlineStr">
        <is>
          <t>기말현금및현금성자산</t>
        </is>
      </c>
      <c r="L398" s="29" t="inlineStr">
        <is>
          <t>-</t>
        </is>
      </c>
      <c r="M398" s="29" t="inlineStr">
        <is>
          <t>제 5 기</t>
        </is>
      </c>
      <c r="N398" s="29" t="inlineStr">
        <is>
          <t>64918554700.0</t>
        </is>
      </c>
      <c r="O398" s="29" t="inlineStr">
        <is>
          <t>55965973907.0</t>
        </is>
      </c>
      <c r="P398" s="29" t="inlineStr">
        <is>
          <t>KRW</t>
        </is>
      </c>
      <c r="Q398" s="29" t="inlineStr">
        <is>
          <t>3</t>
        </is>
      </c>
    </row>
    <row r="399" ht="24" customHeight="1">
      <c r="A399" s="24" t="inlineStr">
        <is>
          <t>OpenDART_fnlttSinglAcntAll</t>
        </is>
      </c>
      <c r="B399" s="24" t="inlineStr">
        <is>
          <t>01365825</t>
        </is>
      </c>
      <c r="C399" s="24" t="inlineStr">
        <is>
          <t>피에스케이</t>
        </is>
      </c>
      <c r="D399" s="24" t="inlineStr">
        <is>
          <t>psk</t>
        </is>
      </c>
      <c r="E399" s="24" t="inlineStr">
        <is>
          <t>319660</t>
        </is>
      </c>
      <c r="F399" s="24" t="inlineStr">
        <is>
          <t>2023</t>
        </is>
      </c>
      <c r="G399" s="24" t="inlineStr">
        <is>
          <t>CFS</t>
        </is>
      </c>
      <c r="H399" s="24" t="inlineStr">
        <is>
          <t>CF</t>
        </is>
      </c>
      <c r="I399" s="24" t="inlineStr">
        <is>
          <t>현금흐름표</t>
        </is>
      </c>
      <c r="J399" s="24" t="inlineStr">
        <is>
          <t>ifrs-full_CashFlowsFromUsedInFinancingActivities</t>
        </is>
      </c>
      <c r="K399" s="24" t="inlineStr">
        <is>
          <t>재무활동현금흐름</t>
        </is>
      </c>
      <c r="L399" s="24" t="inlineStr">
        <is>
          <t>-</t>
        </is>
      </c>
      <c r="M399" s="24" t="inlineStr">
        <is>
          <t>제 5 기</t>
        </is>
      </c>
      <c r="N399" s="24" t="inlineStr">
        <is>
          <t>-4067183666.0</t>
        </is>
      </c>
      <c r="O399" s="24" t="inlineStr">
        <is>
          <t>-18286752569.0</t>
        </is>
      </c>
      <c r="P399" s="24" t="inlineStr">
        <is>
          <t>KRW</t>
        </is>
      </c>
      <c r="Q399" s="24" t="inlineStr">
        <is>
          <t>8</t>
        </is>
      </c>
    </row>
    <row r="400" ht="24" customHeight="1">
      <c r="A400" s="29" t="inlineStr">
        <is>
          <t>OpenDART_fnlttSinglAcntAll</t>
        </is>
      </c>
      <c r="B400" s="29" t="inlineStr">
        <is>
          <t>01365825</t>
        </is>
      </c>
      <c r="C400" s="29" t="inlineStr">
        <is>
          <t>피에스케이</t>
        </is>
      </c>
      <c r="D400" s="29" t="inlineStr">
        <is>
          <t>psk</t>
        </is>
      </c>
      <c r="E400" s="29" t="inlineStr">
        <is>
          <t>319660</t>
        </is>
      </c>
      <c r="F400" s="29" t="inlineStr">
        <is>
          <t>2023</t>
        </is>
      </c>
      <c r="G400" s="29" t="inlineStr">
        <is>
          <t>CFS</t>
        </is>
      </c>
      <c r="H400" s="29" t="inlineStr">
        <is>
          <t>CF</t>
        </is>
      </c>
      <c r="I400" s="29" t="inlineStr">
        <is>
          <t>현금흐름표</t>
        </is>
      </c>
      <c r="J400" s="29" t="inlineStr">
        <is>
          <t>dart_AcquisitionOfTreasuryShares</t>
        </is>
      </c>
      <c r="K400" s="29" t="inlineStr">
        <is>
          <t>자기주식의 취득으로 인한 현금의 유출</t>
        </is>
      </c>
      <c r="L400" s="29" t="inlineStr">
        <is>
          <t>-</t>
        </is>
      </c>
      <c r="M400" s="29" t="inlineStr">
        <is>
          <t>제 5 기</t>
        </is>
      </c>
      <c r="N400" s="29" t="inlineStr">
        <is>
          <t>해당 없음</t>
        </is>
      </c>
      <c r="O400" s="29" t="inlineStr">
        <is>
          <t>6269562250.0</t>
        </is>
      </c>
      <c r="P400" s="29" t="inlineStr">
        <is>
          <t>KRW</t>
        </is>
      </c>
      <c r="Q400" s="29" t="inlineStr">
        <is>
          <t>9</t>
        </is>
      </c>
    </row>
    <row r="401" ht="24" customHeight="1">
      <c r="A401" s="24" t="inlineStr">
        <is>
          <t>OpenDART_fnlttSinglAcntAll</t>
        </is>
      </c>
      <c r="B401" s="24" t="inlineStr">
        <is>
          <t>01365825</t>
        </is>
      </c>
      <c r="C401" s="24" t="inlineStr">
        <is>
          <t>피에스케이</t>
        </is>
      </c>
      <c r="D401" s="24" t="inlineStr">
        <is>
          <t>psk</t>
        </is>
      </c>
      <c r="E401" s="24" t="inlineStr">
        <is>
          <t>319660</t>
        </is>
      </c>
      <c r="F401" s="24" t="inlineStr">
        <is>
          <t>2023</t>
        </is>
      </c>
      <c r="G401" s="24" t="inlineStr">
        <is>
          <t>CFS</t>
        </is>
      </c>
      <c r="H401" s="24" t="inlineStr">
        <is>
          <t>CF</t>
        </is>
      </c>
      <c r="I401" s="24" t="inlineStr">
        <is>
          <t>현금흐름표</t>
        </is>
      </c>
      <c r="J401" s="24" t="inlineStr">
        <is>
          <t>dart_AdjustmentsForIncreasedecreaseInGuaranteeDepositRent</t>
        </is>
      </c>
      <c r="K401" s="24" t="inlineStr">
        <is>
          <t>임대보증금의 증가(감소)</t>
        </is>
      </c>
      <c r="L401" s="24" t="inlineStr">
        <is>
          <t>-</t>
        </is>
      </c>
      <c r="M401" s="24" t="inlineStr">
        <is>
          <t>제 5 기</t>
        </is>
      </c>
      <c r="N401" s="24" t="inlineStr">
        <is>
          <t>해당 없음</t>
        </is>
      </c>
      <c r="O401" s="24" t="inlineStr">
        <is>
          <t>-200000000.0</t>
        </is>
      </c>
      <c r="P401" s="24" t="inlineStr">
        <is>
          <t>KRW</t>
        </is>
      </c>
      <c r="Q401" s="24" t="inlineStr">
        <is>
          <t>10</t>
        </is>
      </c>
    </row>
    <row r="402" ht="24" customHeight="1">
      <c r="A402" s="29" t="inlineStr">
        <is>
          <t>OpenDART_fnlttSinglAcntAll</t>
        </is>
      </c>
      <c r="B402" s="29" t="inlineStr">
        <is>
          <t>01365825</t>
        </is>
      </c>
      <c r="C402" s="29" t="inlineStr">
        <is>
          <t>피에스케이</t>
        </is>
      </c>
      <c r="D402" s="29" t="inlineStr">
        <is>
          <t>psk</t>
        </is>
      </c>
      <c r="E402" s="29" t="inlineStr">
        <is>
          <t>319660</t>
        </is>
      </c>
      <c r="F402" s="29" t="inlineStr">
        <is>
          <t>2023</t>
        </is>
      </c>
      <c r="G402" s="29" t="inlineStr">
        <is>
          <t>CFS</t>
        </is>
      </c>
      <c r="H402" s="29" t="inlineStr">
        <is>
          <t>CF</t>
        </is>
      </c>
      <c r="I402" s="29" t="inlineStr">
        <is>
          <t>현금흐름표</t>
        </is>
      </c>
      <c r="J402" s="29" t="inlineStr">
        <is>
          <t>dart_DispositionOfTreasuryShares</t>
        </is>
      </c>
      <c r="K402" s="29" t="inlineStr">
        <is>
          <t>자기주식의 처분</t>
        </is>
      </c>
      <c r="L402" s="29" t="inlineStr">
        <is>
          <t>-</t>
        </is>
      </c>
      <c r="M402" s="29" t="inlineStr">
        <is>
          <t>제 5 기</t>
        </is>
      </c>
      <c r="N402" s="29" t="inlineStr">
        <is>
          <t>해당 없음</t>
        </is>
      </c>
      <c r="O402" s="29" t="inlineStr">
        <is>
          <t>375000000.0</t>
        </is>
      </c>
      <c r="P402" s="29" t="inlineStr">
        <is>
          <t>KRW</t>
        </is>
      </c>
      <c r="Q402" s="29" t="inlineStr">
        <is>
          <t>11</t>
        </is>
      </c>
    </row>
    <row r="403" ht="24" customHeight="1">
      <c r="A403" s="24" t="inlineStr">
        <is>
          <t>OpenDART_fnlttSinglAcntAll</t>
        </is>
      </c>
      <c r="B403" s="24" t="inlineStr">
        <is>
          <t>01365825</t>
        </is>
      </c>
      <c r="C403" s="24" t="inlineStr">
        <is>
          <t>피에스케이</t>
        </is>
      </c>
      <c r="D403" s="24" t="inlineStr">
        <is>
          <t>psk</t>
        </is>
      </c>
      <c r="E403" s="24" t="inlineStr">
        <is>
          <t>319660</t>
        </is>
      </c>
      <c r="F403" s="24" t="inlineStr">
        <is>
          <t>2023</t>
        </is>
      </c>
      <c r="G403" s="24" t="inlineStr">
        <is>
          <t>CFS</t>
        </is>
      </c>
      <c r="H403" s="24" t="inlineStr">
        <is>
          <t>CF</t>
        </is>
      </c>
      <c r="I403" s="24" t="inlineStr">
        <is>
          <t>현금흐름표</t>
        </is>
      </c>
      <c r="J403" s="24" t="inlineStr">
        <is>
          <t>dart_PaymentsOfFinanceLeaseLiabilitiesClassifiedAsFinancingActivities</t>
        </is>
      </c>
      <c r="K403" s="24" t="inlineStr">
        <is>
          <t>리스자산/부채의 증감</t>
        </is>
      </c>
      <c r="L403" s="24" t="inlineStr">
        <is>
          <t>-</t>
        </is>
      </c>
      <c r="M403" s="24" t="inlineStr">
        <is>
          <t>제 5 기</t>
        </is>
      </c>
      <c r="N403" s="24" t="inlineStr">
        <is>
          <t>2164370038.0</t>
        </is>
      </c>
      <c r="O403" s="24" t="inlineStr">
        <is>
          <t>1911339779.0</t>
        </is>
      </c>
      <c r="P403" s="24" t="inlineStr">
        <is>
          <t>KRW</t>
        </is>
      </c>
      <c r="Q403" s="24" t="inlineStr">
        <is>
          <t>12</t>
        </is>
      </c>
    </row>
    <row r="404" ht="24" customHeight="1">
      <c r="A404" s="29" t="inlineStr">
        <is>
          <t>OpenDART_fnlttSinglAcntAll</t>
        </is>
      </c>
      <c r="B404" s="29" t="inlineStr">
        <is>
          <t>01365825</t>
        </is>
      </c>
      <c r="C404" s="29" t="inlineStr">
        <is>
          <t>피에스케이</t>
        </is>
      </c>
      <c r="D404" s="29" t="inlineStr">
        <is>
          <t>psk</t>
        </is>
      </c>
      <c r="E404" s="29" t="inlineStr">
        <is>
          <t>319660</t>
        </is>
      </c>
      <c r="F404" s="29" t="inlineStr">
        <is>
          <t>2023</t>
        </is>
      </c>
      <c r="G404" s="29" t="inlineStr">
        <is>
          <t>CFS</t>
        </is>
      </c>
      <c r="H404" s="29" t="inlineStr">
        <is>
          <t>CF</t>
        </is>
      </c>
      <c r="I404" s="29" t="inlineStr">
        <is>
          <t>현금흐름표</t>
        </is>
      </c>
      <c r="J404" s="29" t="inlineStr">
        <is>
          <t>ifrs-full_DividendsPaidClassifiedAsFinancingActivities</t>
        </is>
      </c>
      <c r="K404" s="29" t="inlineStr">
        <is>
          <t>배당금지급</t>
        </is>
      </c>
      <c r="L404" s="29" t="inlineStr">
        <is>
          <t>-</t>
        </is>
      </c>
      <c r="M404" s="29" t="inlineStr">
        <is>
          <t>제 5 기</t>
        </is>
      </c>
      <c r="N404" s="29" t="inlineStr">
        <is>
          <t>11586685600.0</t>
        </is>
      </c>
      <c r="O404" s="29" t="inlineStr">
        <is>
          <t>8770449600.0</t>
        </is>
      </c>
      <c r="P404" s="29" t="inlineStr">
        <is>
          <t>KRW</t>
        </is>
      </c>
      <c r="Q404" s="29" t="inlineStr">
        <is>
          <t>13</t>
        </is>
      </c>
    </row>
    <row r="405" ht="24" customHeight="1">
      <c r="A405" s="24" t="inlineStr">
        <is>
          <t>OpenDART_fnlttSinglAcntAll</t>
        </is>
      </c>
      <c r="B405" s="24" t="inlineStr">
        <is>
          <t>01365825</t>
        </is>
      </c>
      <c r="C405" s="24" t="inlineStr">
        <is>
          <t>피에스케이</t>
        </is>
      </c>
      <c r="D405" s="24" t="inlineStr">
        <is>
          <t>psk</t>
        </is>
      </c>
      <c r="E405" s="24" t="inlineStr">
        <is>
          <t>319660</t>
        </is>
      </c>
      <c r="F405" s="24" t="inlineStr">
        <is>
          <t>2023</t>
        </is>
      </c>
      <c r="G405" s="24" t="inlineStr">
        <is>
          <t>CFS</t>
        </is>
      </c>
      <c r="H405" s="24" t="inlineStr">
        <is>
          <t>CF</t>
        </is>
      </c>
      <c r="I405" s="24" t="inlineStr">
        <is>
          <t>현금흐름표</t>
        </is>
      </c>
      <c r="J405" s="24" t="inlineStr">
        <is>
          <t>ifrs-full_ProceedsFromBorrowingsClassifiedAsFinancingActivities</t>
        </is>
      </c>
      <c r="K405" s="24" t="inlineStr">
        <is>
          <t>차입금에 따른 유입</t>
        </is>
      </c>
      <c r="L405" s="24" t="inlineStr">
        <is>
          <t>-</t>
        </is>
      </c>
      <c r="M405" s="24" t="inlineStr">
        <is>
          <t>제 5 기</t>
        </is>
      </c>
      <c r="N405" s="24" t="inlineStr">
        <is>
          <t>9683871972.0</t>
        </is>
      </c>
      <c r="O405" s="24" t="inlineStr">
        <is>
          <t>1850000000.0</t>
        </is>
      </c>
      <c r="P405" s="24" t="inlineStr">
        <is>
          <t>KRW</t>
        </is>
      </c>
      <c r="Q405" s="24" t="inlineStr">
        <is>
          <t>14</t>
        </is>
      </c>
    </row>
    <row r="406" ht="24" customHeight="1">
      <c r="A406" s="29" t="inlineStr">
        <is>
          <t>OpenDART_fnlttSinglAcntAll</t>
        </is>
      </c>
      <c r="B406" s="29" t="inlineStr">
        <is>
          <t>01365825</t>
        </is>
      </c>
      <c r="C406" s="29" t="inlineStr">
        <is>
          <t>피에스케이</t>
        </is>
      </c>
      <c r="D406" s="29" t="inlineStr">
        <is>
          <t>psk</t>
        </is>
      </c>
      <c r="E406" s="29" t="inlineStr">
        <is>
          <t>319660</t>
        </is>
      </c>
      <c r="F406" s="29" t="inlineStr">
        <is>
          <t>2023</t>
        </is>
      </c>
      <c r="G406" s="29" t="inlineStr">
        <is>
          <t>CFS</t>
        </is>
      </c>
      <c r="H406" s="29" t="inlineStr">
        <is>
          <t>CF</t>
        </is>
      </c>
      <c r="I406" s="29" t="inlineStr">
        <is>
          <t>현금흐름표</t>
        </is>
      </c>
      <c r="J406" s="29" t="inlineStr">
        <is>
          <t>ifrs-full_RepaymentsOfBorrowingsClassifiedAsFinancingActivities</t>
        </is>
      </c>
      <c r="K406" s="29" t="inlineStr">
        <is>
          <t>차입금의 상환</t>
        </is>
      </c>
      <c r="L406" s="29" t="inlineStr">
        <is>
          <t>-</t>
        </is>
      </c>
      <c r="M406" s="29" t="inlineStr">
        <is>
          <t>제 5 기</t>
        </is>
      </c>
      <c r="N406" s="29" t="inlineStr">
        <is>
          <t>해당 없음</t>
        </is>
      </c>
      <c r="O406" s="29" t="inlineStr">
        <is>
          <t>3293484970.0</t>
        </is>
      </c>
      <c r="P406" s="29" t="inlineStr">
        <is>
          <t>KRW</t>
        </is>
      </c>
      <c r="Q406" s="29" t="inlineStr">
        <is>
          <t>15</t>
        </is>
      </c>
    </row>
    <row r="407" ht="24" customHeight="1">
      <c r="A407" s="24" t="inlineStr">
        <is>
          <t>OpenDART_fnlttSinglAcntAll</t>
        </is>
      </c>
      <c r="B407" s="24" t="inlineStr">
        <is>
          <t>01365825</t>
        </is>
      </c>
      <c r="C407" s="24" t="inlineStr">
        <is>
          <t>피에스케이</t>
        </is>
      </c>
      <c r="D407" s="24" t="inlineStr">
        <is>
          <t>psk</t>
        </is>
      </c>
      <c r="E407" s="24" t="inlineStr">
        <is>
          <t>319660</t>
        </is>
      </c>
      <c r="F407" s="24" t="inlineStr">
        <is>
          <t>2023</t>
        </is>
      </c>
      <c r="G407" s="24" t="inlineStr">
        <is>
          <t>CFS</t>
        </is>
      </c>
      <c r="H407" s="24" t="inlineStr">
        <is>
          <t>CF</t>
        </is>
      </c>
      <c r="I407" s="24" t="inlineStr">
        <is>
          <t>현금흐름표</t>
        </is>
      </c>
      <c r="J407" s="24" t="inlineStr">
        <is>
          <t>ifrs-full_ShareIssueRelatedCost</t>
        </is>
      </c>
      <c r="K407" s="24" t="inlineStr">
        <is>
          <t>주식발행비</t>
        </is>
      </c>
      <c r="L407" s="24" t="inlineStr">
        <is>
          <t>-</t>
        </is>
      </c>
      <c r="M407" s="24" t="inlineStr">
        <is>
          <t>제 5 기</t>
        </is>
      </c>
      <c r="N407" s="24" t="inlineStr">
        <is>
          <t>해당 없음</t>
        </is>
      </c>
      <c r="O407" s="24" t="inlineStr">
        <is>
          <t>-66915970.0</t>
        </is>
      </c>
      <c r="P407" s="24" t="inlineStr">
        <is>
          <t>KRW</t>
        </is>
      </c>
      <c r="Q407" s="24" t="inlineStr">
        <is>
          <t>16</t>
        </is>
      </c>
    </row>
    <row r="408" ht="24" customHeight="1">
      <c r="A408" s="29" t="inlineStr">
        <is>
          <t>OpenDART_fnlttSinglAcntAll</t>
        </is>
      </c>
      <c r="B408" s="29" t="inlineStr">
        <is>
          <t>01365825</t>
        </is>
      </c>
      <c r="C408" s="29" t="inlineStr">
        <is>
          <t>피에스케이</t>
        </is>
      </c>
      <c r="D408" s="29" t="inlineStr">
        <is>
          <t>psk</t>
        </is>
      </c>
      <c r="E408" s="29" t="inlineStr">
        <is>
          <t>319660</t>
        </is>
      </c>
      <c r="F408" s="29" t="inlineStr">
        <is>
          <t>2023</t>
        </is>
      </c>
      <c r="G408" s="29" t="inlineStr">
        <is>
          <t>CFS</t>
        </is>
      </c>
      <c r="H408" s="29" t="inlineStr">
        <is>
          <t>CF</t>
        </is>
      </c>
      <c r="I408" s="29" t="inlineStr">
        <is>
          <t>현금흐름표</t>
        </is>
      </c>
      <c r="J408" s="29" t="inlineStr">
        <is>
          <t>ifrs-full_CashFlowsFromUsedInInvestingActivities</t>
        </is>
      </c>
      <c r="K408" s="29" t="inlineStr">
        <is>
          <t>투자활동현금흐름</t>
        </is>
      </c>
      <c r="L408" s="29" t="inlineStr">
        <is>
          <t>-</t>
        </is>
      </c>
      <c r="M408" s="29" t="inlineStr">
        <is>
          <t>제 5 기</t>
        </is>
      </c>
      <c r="N408" s="29" t="inlineStr">
        <is>
          <t>-36436599654.0</t>
        </is>
      </c>
      <c r="O408" s="29" t="inlineStr">
        <is>
          <t>-36165066547.0</t>
        </is>
      </c>
      <c r="P408" s="29" t="inlineStr">
        <is>
          <t>KRW</t>
        </is>
      </c>
      <c r="Q408" s="29" t="inlineStr">
        <is>
          <t>17</t>
        </is>
      </c>
    </row>
    <row r="409" ht="24" customHeight="1">
      <c r="A409" s="24" t="inlineStr">
        <is>
          <t>OpenDART_fnlttSinglAcntAll</t>
        </is>
      </c>
      <c r="B409" s="24" t="inlineStr">
        <is>
          <t>01365825</t>
        </is>
      </c>
      <c r="C409" s="24" t="inlineStr">
        <is>
          <t>피에스케이</t>
        </is>
      </c>
      <c r="D409" s="24" t="inlineStr">
        <is>
          <t>psk</t>
        </is>
      </c>
      <c r="E409" s="24" t="inlineStr">
        <is>
          <t>319660</t>
        </is>
      </c>
      <c r="F409" s="24" t="inlineStr">
        <is>
          <t>2023</t>
        </is>
      </c>
      <c r="G409" s="24" t="inlineStr">
        <is>
          <t>CFS</t>
        </is>
      </c>
      <c r="H409" s="24" t="inlineStr">
        <is>
          <t>CF</t>
        </is>
      </c>
      <c r="I409" s="24" t="inlineStr">
        <is>
          <t>현금흐름표</t>
        </is>
      </c>
      <c r="J409" s="24" t="inlineStr">
        <is>
          <t>dart_AdjustmentsForDecreaseIncreaseInDerivativeAssets</t>
        </is>
      </c>
      <c r="K409" s="24" t="inlineStr">
        <is>
          <t>파생상품자산의 감소(증가)</t>
        </is>
      </c>
      <c r="L409" s="24" t="inlineStr">
        <is>
          <t>-</t>
        </is>
      </c>
      <c r="M409" s="24" t="inlineStr">
        <is>
          <t>제 5 기</t>
        </is>
      </c>
      <c r="N409" s="24" t="inlineStr">
        <is>
          <t>해당 없음</t>
        </is>
      </c>
      <c r="O409" s="24" t="inlineStr">
        <is>
          <t>22071200.0</t>
        </is>
      </c>
      <c r="P409" s="24" t="inlineStr">
        <is>
          <t>KRW</t>
        </is>
      </c>
      <c r="Q409" s="24" t="inlineStr">
        <is>
          <t>18</t>
        </is>
      </c>
    </row>
    <row r="410" ht="24" customHeight="1">
      <c r="A410" s="29" t="inlineStr">
        <is>
          <t>OpenDART_fnlttSinglAcntAll</t>
        </is>
      </c>
      <c r="B410" s="29" t="inlineStr">
        <is>
          <t>01365825</t>
        </is>
      </c>
      <c r="C410" s="29" t="inlineStr">
        <is>
          <t>피에스케이</t>
        </is>
      </c>
      <c r="D410" s="29" t="inlineStr">
        <is>
          <t>psk</t>
        </is>
      </c>
      <c r="E410" s="29" t="inlineStr">
        <is>
          <t>319660</t>
        </is>
      </c>
      <c r="F410" s="29" t="inlineStr">
        <is>
          <t>2023</t>
        </is>
      </c>
      <c r="G410" s="29" t="inlineStr">
        <is>
          <t>CFS</t>
        </is>
      </c>
      <c r="H410" s="29" t="inlineStr">
        <is>
          <t>CF</t>
        </is>
      </c>
      <c r="I410" s="29" t="inlineStr">
        <is>
          <t>현금흐름표</t>
        </is>
      </c>
      <c r="J410" s="29" t="inlineStr">
        <is>
          <t>dart_AdjustmentsForIncreaseDecreaseInDerivativeLiabilities</t>
        </is>
      </c>
      <c r="K410" s="29" t="inlineStr">
        <is>
          <t>파생상품부채의 증가(감소)</t>
        </is>
      </c>
      <c r="L410" s="29" t="inlineStr">
        <is>
          <t>-</t>
        </is>
      </c>
      <c r="M410" s="29" t="inlineStr">
        <is>
          <t>제 5 기</t>
        </is>
      </c>
      <c r="N410" s="29" t="inlineStr">
        <is>
          <t>해당 없음</t>
        </is>
      </c>
      <c r="O410" s="29" t="inlineStr">
        <is>
          <t>-3720111200.0</t>
        </is>
      </c>
      <c r="P410" s="29" t="inlineStr">
        <is>
          <t>KRW</t>
        </is>
      </c>
      <c r="Q410" s="29" t="inlineStr">
        <is>
          <t>19</t>
        </is>
      </c>
    </row>
    <row r="411" ht="24" customHeight="1">
      <c r="A411" s="24" t="inlineStr">
        <is>
          <t>OpenDART_fnlttSinglAcntAll</t>
        </is>
      </c>
      <c r="B411" s="24" t="inlineStr">
        <is>
          <t>01365825</t>
        </is>
      </c>
      <c r="C411" s="24" t="inlineStr">
        <is>
          <t>피에스케이</t>
        </is>
      </c>
      <c r="D411" s="24" t="inlineStr">
        <is>
          <t>psk</t>
        </is>
      </c>
      <c r="E411" s="24" t="inlineStr">
        <is>
          <t>319660</t>
        </is>
      </c>
      <c r="F411" s="24" t="inlineStr">
        <is>
          <t>2023</t>
        </is>
      </c>
      <c r="G411" s="24" t="inlineStr">
        <is>
          <t>CFS</t>
        </is>
      </c>
      <c r="H411" s="24" t="inlineStr">
        <is>
          <t>CF</t>
        </is>
      </c>
      <c r="I411" s="24" t="inlineStr">
        <is>
          <t>현금흐름표</t>
        </is>
      </c>
      <c r="J411" s="24" t="inlineStr">
        <is>
          <t>dart_DecreaseInGuaranteeDeposits</t>
        </is>
      </c>
      <c r="K411" s="24" t="inlineStr">
        <is>
          <t>보증금의 감소</t>
        </is>
      </c>
      <c r="L411" s="24" t="inlineStr">
        <is>
          <t>-</t>
        </is>
      </c>
      <c r="M411" s="24" t="inlineStr">
        <is>
          <t>제 5 기</t>
        </is>
      </c>
      <c r="N411" s="24" t="inlineStr">
        <is>
          <t>155127110.0</t>
        </is>
      </c>
      <c r="O411" s="24" t="inlineStr">
        <is>
          <t>1872427775.0</t>
        </is>
      </c>
      <c r="P411" s="24" t="inlineStr">
        <is>
          <t>KRW</t>
        </is>
      </c>
      <c r="Q411" s="24" t="inlineStr">
        <is>
          <t>20</t>
        </is>
      </c>
    </row>
    <row r="412" ht="24" customHeight="1">
      <c r="A412" s="29" t="inlineStr">
        <is>
          <t>OpenDART_fnlttSinglAcntAll</t>
        </is>
      </c>
      <c r="B412" s="29" t="inlineStr">
        <is>
          <t>01365825</t>
        </is>
      </c>
      <c r="C412" s="29" t="inlineStr">
        <is>
          <t>피에스케이</t>
        </is>
      </c>
      <c r="D412" s="29" t="inlineStr">
        <is>
          <t>psk</t>
        </is>
      </c>
      <c r="E412" s="29" t="inlineStr">
        <is>
          <t>319660</t>
        </is>
      </c>
      <c r="F412" s="29" t="inlineStr">
        <is>
          <t>2023</t>
        </is>
      </c>
      <c r="G412" s="29" t="inlineStr">
        <is>
          <t>CFS</t>
        </is>
      </c>
      <c r="H412" s="29" t="inlineStr">
        <is>
          <t>CF</t>
        </is>
      </c>
      <c r="I412" s="29" t="inlineStr">
        <is>
          <t>현금흐름표</t>
        </is>
      </c>
      <c r="J412" s="29" t="inlineStr">
        <is>
          <t>dart_DecreaseInLoans</t>
        </is>
      </c>
      <c r="K412" s="29" t="inlineStr">
        <is>
          <t>대여금의 감소</t>
        </is>
      </c>
      <c r="L412" s="29" t="inlineStr">
        <is>
          <t>-</t>
        </is>
      </c>
      <c r="M412" s="29" t="inlineStr">
        <is>
          <t>제 5 기</t>
        </is>
      </c>
      <c r="N412" s="29" t="inlineStr">
        <is>
          <t>447178717.0</t>
        </is>
      </c>
      <c r="O412" s="29" t="inlineStr">
        <is>
          <t>594730113.0</t>
        </is>
      </c>
      <c r="P412" s="29" t="inlineStr">
        <is>
          <t>KRW</t>
        </is>
      </c>
      <c r="Q412" s="29" t="inlineStr">
        <is>
          <t>21</t>
        </is>
      </c>
    </row>
    <row r="413" ht="24" customHeight="1">
      <c r="A413" s="24" t="inlineStr">
        <is>
          <t>OpenDART_fnlttSinglAcntAll</t>
        </is>
      </c>
      <c r="B413" s="24" t="inlineStr">
        <is>
          <t>01365825</t>
        </is>
      </c>
      <c r="C413" s="24" t="inlineStr">
        <is>
          <t>피에스케이</t>
        </is>
      </c>
      <c r="D413" s="24" t="inlineStr">
        <is>
          <t>psk</t>
        </is>
      </c>
      <c r="E413" s="24" t="inlineStr">
        <is>
          <t>319660</t>
        </is>
      </c>
      <c r="F413" s="24" t="inlineStr">
        <is>
          <t>2023</t>
        </is>
      </c>
      <c r="G413" s="24" t="inlineStr">
        <is>
          <t>CFS</t>
        </is>
      </c>
      <c r="H413" s="24" t="inlineStr">
        <is>
          <t>CF</t>
        </is>
      </c>
      <c r="I413" s="24" t="inlineStr">
        <is>
          <t>현금흐름표</t>
        </is>
      </c>
      <c r="J413" s="24" t="inlineStr">
        <is>
          <t>dart_IncreaseInGuaranteeDeposits</t>
        </is>
      </c>
      <c r="K413" s="24" t="inlineStr">
        <is>
          <t>임차보증금의 증가</t>
        </is>
      </c>
      <c r="L413" s="24" t="inlineStr">
        <is>
          <t>-</t>
        </is>
      </c>
      <c r="M413" s="24" t="inlineStr">
        <is>
          <t>제 5 기</t>
        </is>
      </c>
      <c r="N413" s="24" t="inlineStr">
        <is>
          <t>243081695.0</t>
        </is>
      </c>
      <c r="O413" s="24" t="inlineStr">
        <is>
          <t>832155000.0</t>
        </is>
      </c>
      <c r="P413" s="24" t="inlineStr">
        <is>
          <t>KRW</t>
        </is>
      </c>
      <c r="Q413" s="24" t="inlineStr">
        <is>
          <t>22</t>
        </is>
      </c>
    </row>
    <row r="414" ht="24" customHeight="1">
      <c r="A414" s="29" t="inlineStr">
        <is>
          <t>OpenDART_fnlttSinglAcntAll</t>
        </is>
      </c>
      <c r="B414" s="29" t="inlineStr">
        <is>
          <t>01365825</t>
        </is>
      </c>
      <c r="C414" s="29" t="inlineStr">
        <is>
          <t>피에스케이</t>
        </is>
      </c>
      <c r="D414" s="29" t="inlineStr">
        <is>
          <t>psk</t>
        </is>
      </c>
      <c r="E414" s="29" t="inlineStr">
        <is>
          <t>319660</t>
        </is>
      </c>
      <c r="F414" s="29" t="inlineStr">
        <is>
          <t>2023</t>
        </is>
      </c>
      <c r="G414" s="29" t="inlineStr">
        <is>
          <t>CFS</t>
        </is>
      </c>
      <c r="H414" s="29" t="inlineStr">
        <is>
          <t>CF</t>
        </is>
      </c>
      <c r="I414" s="29" t="inlineStr">
        <is>
          <t>현금흐름표</t>
        </is>
      </c>
      <c r="J414" s="29" t="inlineStr">
        <is>
          <t>dart_IncreaseInLoans</t>
        </is>
      </c>
      <c r="K414" s="29" t="inlineStr">
        <is>
          <t>대여금의 증가</t>
        </is>
      </c>
      <c r="L414" s="29" t="inlineStr">
        <is>
          <t>-</t>
        </is>
      </c>
      <c r="M414" s="29" t="inlineStr">
        <is>
          <t>제 5 기</t>
        </is>
      </c>
      <c r="N414" s="29" t="inlineStr">
        <is>
          <t>700900000.0</t>
        </is>
      </c>
      <c r="O414" s="29" t="inlineStr">
        <is>
          <t>846700000.0</t>
        </is>
      </c>
      <c r="P414" s="29" t="inlineStr">
        <is>
          <t>KRW</t>
        </is>
      </c>
      <c r="Q414" s="29" t="inlineStr">
        <is>
          <t>23</t>
        </is>
      </c>
    </row>
    <row r="415" ht="24" customHeight="1">
      <c r="A415" s="24" t="inlineStr">
        <is>
          <t>OpenDART_fnlttSinglAcntAll</t>
        </is>
      </c>
      <c r="B415" s="24" t="inlineStr">
        <is>
          <t>01365825</t>
        </is>
      </c>
      <c r="C415" s="24" t="inlineStr">
        <is>
          <t>피에스케이</t>
        </is>
      </c>
      <c r="D415" s="24" t="inlineStr">
        <is>
          <t>psk</t>
        </is>
      </c>
      <c r="E415" s="24" t="inlineStr">
        <is>
          <t>319660</t>
        </is>
      </c>
      <c r="F415" s="24" t="inlineStr">
        <is>
          <t>2023</t>
        </is>
      </c>
      <c r="G415" s="24" t="inlineStr">
        <is>
          <t>CFS</t>
        </is>
      </c>
      <c r="H415" s="24" t="inlineStr">
        <is>
          <t>CF</t>
        </is>
      </c>
      <c r="I415" s="24" t="inlineStr">
        <is>
          <t>현금흐름표</t>
        </is>
      </c>
      <c r="J415" s="24" t="inlineStr">
        <is>
          <t>dart_PurchaseOfInvestmentsInSubsidiaries</t>
        </is>
      </c>
      <c r="K415" s="24" t="inlineStr">
        <is>
          <t>종속기업에 대한 투자자산의 취득</t>
        </is>
      </c>
      <c r="L415" s="24" t="inlineStr">
        <is>
          <t>-</t>
        </is>
      </c>
      <c r="M415" s="24" t="inlineStr">
        <is>
          <t>제 5 기</t>
        </is>
      </c>
      <c r="N415" s="24" t="inlineStr">
        <is>
          <t>해당 없음</t>
        </is>
      </c>
      <c r="O415" s="24" t="inlineStr">
        <is>
          <t>해당 없음</t>
        </is>
      </c>
      <c r="P415" s="24" t="inlineStr">
        <is>
          <t>KRW</t>
        </is>
      </c>
      <c r="Q415" s="24" t="inlineStr">
        <is>
          <t>24</t>
        </is>
      </c>
    </row>
    <row r="416" ht="24" customHeight="1">
      <c r="A416" s="29" t="inlineStr">
        <is>
          <t>OpenDART_fnlttSinglAcntAll</t>
        </is>
      </c>
      <c r="B416" s="29" t="inlineStr">
        <is>
          <t>01365825</t>
        </is>
      </c>
      <c r="C416" s="29" t="inlineStr">
        <is>
          <t>피에스케이</t>
        </is>
      </c>
      <c r="D416" s="29" t="inlineStr">
        <is>
          <t>psk</t>
        </is>
      </c>
      <c r="E416" s="29" t="inlineStr">
        <is>
          <t>319660</t>
        </is>
      </c>
      <c r="F416" s="29" t="inlineStr">
        <is>
          <t>2023</t>
        </is>
      </c>
      <c r="G416" s="29" t="inlineStr">
        <is>
          <t>CFS</t>
        </is>
      </c>
      <c r="H416" s="29" t="inlineStr">
        <is>
          <t>CF</t>
        </is>
      </c>
      <c r="I416" s="29" t="inlineStr">
        <is>
          <t>현금흐름표</t>
        </is>
      </c>
      <c r="J416" s="29" t="inlineStr">
        <is>
          <t>-표준계정코드 미사용-</t>
        </is>
      </c>
      <c r="K416" s="29" t="inlineStr">
        <is>
          <t>당기손익-공정가치 측정 금융자산의 취득</t>
        </is>
      </c>
      <c r="L416" s="29" t="inlineStr">
        <is>
          <t>-</t>
        </is>
      </c>
      <c r="M416" s="29" t="inlineStr">
        <is>
          <t>제 5 기</t>
        </is>
      </c>
      <c r="N416" s="29" t="inlineStr">
        <is>
          <t>-48020101165.0</t>
        </is>
      </c>
      <c r="O416" s="29" t="inlineStr">
        <is>
          <t>-25019926653.0</t>
        </is>
      </c>
      <c r="P416" s="29" t="inlineStr">
        <is>
          <t>KRW</t>
        </is>
      </c>
      <c r="Q416" s="29" t="inlineStr">
        <is>
          <t>25</t>
        </is>
      </c>
    </row>
    <row r="417" ht="24" customHeight="1">
      <c r="A417" s="24" t="inlineStr">
        <is>
          <t>OpenDART_fnlttSinglAcntAll</t>
        </is>
      </c>
      <c r="B417" s="24" t="inlineStr">
        <is>
          <t>01365825</t>
        </is>
      </c>
      <c r="C417" s="24" t="inlineStr">
        <is>
          <t>피에스케이</t>
        </is>
      </c>
      <c r="D417" s="24" t="inlineStr">
        <is>
          <t>psk</t>
        </is>
      </c>
      <c r="E417" s="24" t="inlineStr">
        <is>
          <t>319660</t>
        </is>
      </c>
      <c r="F417" s="24" t="inlineStr">
        <is>
          <t>2023</t>
        </is>
      </c>
      <c r="G417" s="24" t="inlineStr">
        <is>
          <t>CFS</t>
        </is>
      </c>
      <c r="H417" s="24" t="inlineStr">
        <is>
          <t>CF</t>
        </is>
      </c>
      <c r="I417" s="24" t="inlineStr">
        <is>
          <t>현금흐름표</t>
        </is>
      </c>
      <c r="J417" s="24" t="inlineStr">
        <is>
          <t>-표준계정코드 미사용-</t>
        </is>
      </c>
      <c r="K417" s="24" t="inlineStr">
        <is>
          <t>당기손익-공정가치 측정 금융자산의 처분</t>
        </is>
      </c>
      <c r="L417" s="24" t="inlineStr">
        <is>
          <t>-</t>
        </is>
      </c>
      <c r="M417" s="24" t="inlineStr">
        <is>
          <t>제 5 기</t>
        </is>
      </c>
      <c r="N417" s="24" t="inlineStr">
        <is>
          <t>27114852810.0</t>
        </is>
      </c>
      <c r="O417" s="24" t="inlineStr">
        <is>
          <t>9818827273.0</t>
        </is>
      </c>
      <c r="P417" s="24" t="inlineStr">
        <is>
          <t>KRW</t>
        </is>
      </c>
      <c r="Q417" s="24" t="inlineStr">
        <is>
          <t>26</t>
        </is>
      </c>
    </row>
    <row r="418" ht="24" customHeight="1">
      <c r="A418" s="29" t="inlineStr">
        <is>
          <t>OpenDART_fnlttSinglAcntAll</t>
        </is>
      </c>
      <c r="B418" s="29" t="inlineStr">
        <is>
          <t>01365825</t>
        </is>
      </c>
      <c r="C418" s="29" t="inlineStr">
        <is>
          <t>피에스케이</t>
        </is>
      </c>
      <c r="D418" s="29" t="inlineStr">
        <is>
          <t>psk</t>
        </is>
      </c>
      <c r="E418" s="29" t="inlineStr">
        <is>
          <t>319660</t>
        </is>
      </c>
      <c r="F418" s="29" t="inlineStr">
        <is>
          <t>2023</t>
        </is>
      </c>
      <c r="G418" s="29" t="inlineStr">
        <is>
          <t>CFS</t>
        </is>
      </c>
      <c r="H418" s="29" t="inlineStr">
        <is>
          <t>CF</t>
        </is>
      </c>
      <c r="I418" s="29" t="inlineStr">
        <is>
          <t>현금흐름표</t>
        </is>
      </c>
      <c r="J418" s="29" t="inlineStr">
        <is>
          <t>-표준계정코드 미사용-</t>
        </is>
      </c>
      <c r="K418" s="29" t="inlineStr">
        <is>
          <t>상각후원가 측정 금융자산의 취득</t>
        </is>
      </c>
      <c r="L418" s="29" t="inlineStr">
        <is>
          <t>-</t>
        </is>
      </c>
      <c r="M418" s="29" t="inlineStr">
        <is>
          <t>제 5 기</t>
        </is>
      </c>
      <c r="N418" s="29" t="inlineStr">
        <is>
          <t>-125000000000.0</t>
        </is>
      </c>
      <c r="O418" s="29" t="inlineStr">
        <is>
          <t>-114895304112.0</t>
        </is>
      </c>
      <c r="P418" s="29" t="inlineStr">
        <is>
          <t>KRW</t>
        </is>
      </c>
      <c r="Q418" s="29" t="inlineStr">
        <is>
          <t>27</t>
        </is>
      </c>
    </row>
    <row r="419" ht="24" customHeight="1">
      <c r="A419" s="24" t="inlineStr">
        <is>
          <t>OpenDART_fnlttSinglAcntAll</t>
        </is>
      </c>
      <c r="B419" s="24" t="inlineStr">
        <is>
          <t>01365825</t>
        </is>
      </c>
      <c r="C419" s="24" t="inlineStr">
        <is>
          <t>피에스케이</t>
        </is>
      </c>
      <c r="D419" s="24" t="inlineStr">
        <is>
          <t>psk</t>
        </is>
      </c>
      <c r="E419" s="24" t="inlineStr">
        <is>
          <t>319660</t>
        </is>
      </c>
      <c r="F419" s="24" t="inlineStr">
        <is>
          <t>2023</t>
        </is>
      </c>
      <c r="G419" s="24" t="inlineStr">
        <is>
          <t>CFS</t>
        </is>
      </c>
      <c r="H419" s="24" t="inlineStr">
        <is>
          <t>CF</t>
        </is>
      </c>
      <c r="I419" s="24" t="inlineStr">
        <is>
          <t>현금흐름표</t>
        </is>
      </c>
      <c r="J419" s="24" t="inlineStr">
        <is>
          <t>-표준계정코드 미사용-</t>
        </is>
      </c>
      <c r="K419" s="24" t="inlineStr">
        <is>
          <t>상각후원가 측정 금융자산의 처분</t>
        </is>
      </c>
      <c r="L419" s="24" t="inlineStr">
        <is>
          <t>-</t>
        </is>
      </c>
      <c r="M419" s="24" t="inlineStr">
        <is>
          <t>제 5 기</t>
        </is>
      </c>
      <c r="N419" s="24" t="inlineStr">
        <is>
          <t>135895304112.0</t>
        </is>
      </c>
      <c r="O419" s="24" t="inlineStr">
        <is>
          <t>111997057538.0</t>
        </is>
      </c>
      <c r="P419" s="24" t="inlineStr">
        <is>
          <t>KRW</t>
        </is>
      </c>
      <c r="Q419" s="24" t="inlineStr">
        <is>
          <t>28</t>
        </is>
      </c>
    </row>
    <row r="420" ht="24" customHeight="1">
      <c r="A420" s="29" t="inlineStr">
        <is>
          <t>OpenDART_fnlttSinglAcntAll</t>
        </is>
      </c>
      <c r="B420" s="29" t="inlineStr">
        <is>
          <t>01365825</t>
        </is>
      </c>
      <c r="C420" s="29" t="inlineStr">
        <is>
          <t>피에스케이</t>
        </is>
      </c>
      <c r="D420" s="29" t="inlineStr">
        <is>
          <t>psk</t>
        </is>
      </c>
      <c r="E420" s="29" t="inlineStr">
        <is>
          <t>319660</t>
        </is>
      </c>
      <c r="F420" s="29" t="inlineStr">
        <is>
          <t>2023</t>
        </is>
      </c>
      <c r="G420" s="29" t="inlineStr">
        <is>
          <t>CFS</t>
        </is>
      </c>
      <c r="H420" s="29" t="inlineStr">
        <is>
          <t>CF</t>
        </is>
      </c>
      <c r="I420" s="29" t="inlineStr">
        <is>
          <t>현금흐름표</t>
        </is>
      </c>
      <c r="J420" s="29" t="inlineStr">
        <is>
          <t>ifrs-full_CashPaymentsForFutureContractsForwardContractsOptionContractsAndSwapContractsClassifiedAsInvestingActivities</t>
        </is>
      </c>
      <c r="K420" s="29" t="inlineStr">
        <is>
          <t>선물계약, 선도계약, 옵션계약, 스왑계약에 따른 현금지급</t>
        </is>
      </c>
      <c r="L420" s="29" t="inlineStr">
        <is>
          <t>-</t>
        </is>
      </c>
      <c r="M420" s="29" t="inlineStr">
        <is>
          <t>제 5 기</t>
        </is>
      </c>
      <c r="N420" s="29" t="inlineStr">
        <is>
          <t>해당 없음</t>
        </is>
      </c>
      <c r="O420" s="29" t="inlineStr">
        <is>
          <t>46036000.0</t>
        </is>
      </c>
      <c r="P420" s="29" t="inlineStr">
        <is>
          <t>KRW</t>
        </is>
      </c>
      <c r="Q420" s="29" t="inlineStr">
        <is>
          <t>29</t>
        </is>
      </c>
    </row>
    <row r="421" ht="24" customHeight="1">
      <c r="A421" s="24" t="inlineStr">
        <is>
          <t>OpenDART_fnlttSinglAcntAll</t>
        </is>
      </c>
      <c r="B421" s="24" t="inlineStr">
        <is>
          <t>01365825</t>
        </is>
      </c>
      <c r="C421" s="24" t="inlineStr">
        <is>
          <t>피에스케이</t>
        </is>
      </c>
      <c r="D421" s="24" t="inlineStr">
        <is>
          <t>psk</t>
        </is>
      </c>
      <c r="E421" s="24" t="inlineStr">
        <is>
          <t>319660</t>
        </is>
      </c>
      <c r="F421" s="24" t="inlineStr">
        <is>
          <t>2023</t>
        </is>
      </c>
      <c r="G421" s="24" t="inlineStr">
        <is>
          <t>CFS</t>
        </is>
      </c>
      <c r="H421" s="24" t="inlineStr">
        <is>
          <t>CF</t>
        </is>
      </c>
      <c r="I421" s="24" t="inlineStr">
        <is>
          <t>현금흐름표</t>
        </is>
      </c>
      <c r="J421" s="24" t="inlineStr">
        <is>
          <t>ifrs-full_ProceedsFromGovernmentGrantsClassifiedAsInvestingActivities</t>
        </is>
      </c>
      <c r="K421" s="24" t="inlineStr">
        <is>
          <t>정부보조금의 수취</t>
        </is>
      </c>
      <c r="L421" s="24" t="inlineStr">
        <is>
          <t>-</t>
        </is>
      </c>
      <c r="M421" s="24" t="inlineStr">
        <is>
          <t>제 5 기</t>
        </is>
      </c>
      <c r="N421" s="24" t="inlineStr">
        <is>
          <t>0.0</t>
        </is>
      </c>
      <c r="O421" s="24" t="inlineStr">
        <is>
          <t>해당 없음</t>
        </is>
      </c>
      <c r="P421" s="24" t="inlineStr">
        <is>
          <t>KRW</t>
        </is>
      </c>
      <c r="Q421" s="24" t="inlineStr">
        <is>
          <t>30</t>
        </is>
      </c>
    </row>
    <row r="422" ht="24" customHeight="1">
      <c r="A422" s="29" t="inlineStr">
        <is>
          <t>OpenDART_fnlttSinglAcntAll</t>
        </is>
      </c>
      <c r="B422" s="29" t="inlineStr">
        <is>
          <t>01365825</t>
        </is>
      </c>
      <c r="C422" s="29" t="inlineStr">
        <is>
          <t>피에스케이</t>
        </is>
      </c>
      <c r="D422" s="29" t="inlineStr">
        <is>
          <t>psk</t>
        </is>
      </c>
      <c r="E422" s="29" t="inlineStr">
        <is>
          <t>319660</t>
        </is>
      </c>
      <c r="F422" s="29" t="inlineStr">
        <is>
          <t>2023</t>
        </is>
      </c>
      <c r="G422" s="29" t="inlineStr">
        <is>
          <t>CFS</t>
        </is>
      </c>
      <c r="H422" s="29" t="inlineStr">
        <is>
          <t>CF</t>
        </is>
      </c>
      <c r="I422" s="29" t="inlineStr">
        <is>
          <t>현금흐름표</t>
        </is>
      </c>
      <c r="J422" s="29" t="inlineStr">
        <is>
          <t>ifrs-full_ProceedsFromSalesOfPropertyPlantAndEquipmentClassifiedAsInvestingActivities</t>
        </is>
      </c>
      <c r="K422" s="29" t="inlineStr">
        <is>
          <t>유형자산의 처분</t>
        </is>
      </c>
      <c r="L422" s="29" t="inlineStr">
        <is>
          <t>-</t>
        </is>
      </c>
      <c r="M422" s="29" t="inlineStr">
        <is>
          <t>제 5 기</t>
        </is>
      </c>
      <c r="N422" s="29" t="inlineStr">
        <is>
          <t>39423243.0</t>
        </is>
      </c>
      <c r="O422" s="29" t="inlineStr">
        <is>
          <t>10441755.0</t>
        </is>
      </c>
      <c r="P422" s="29" t="inlineStr">
        <is>
          <t>KRW</t>
        </is>
      </c>
      <c r="Q422" s="29" t="inlineStr">
        <is>
          <t>31</t>
        </is>
      </c>
    </row>
    <row r="423" ht="24" customHeight="1">
      <c r="A423" s="24" t="inlineStr">
        <is>
          <t>OpenDART_fnlttSinglAcntAll</t>
        </is>
      </c>
      <c r="B423" s="24" t="inlineStr">
        <is>
          <t>01365825</t>
        </is>
      </c>
      <c r="C423" s="24" t="inlineStr">
        <is>
          <t>피에스케이</t>
        </is>
      </c>
      <c r="D423" s="24" t="inlineStr">
        <is>
          <t>psk</t>
        </is>
      </c>
      <c r="E423" s="24" t="inlineStr">
        <is>
          <t>319660</t>
        </is>
      </c>
      <c r="F423" s="24" t="inlineStr">
        <is>
          <t>2023</t>
        </is>
      </c>
      <c r="G423" s="24" t="inlineStr">
        <is>
          <t>CFS</t>
        </is>
      </c>
      <c r="H423" s="24" t="inlineStr">
        <is>
          <t>CF</t>
        </is>
      </c>
      <c r="I423" s="24" t="inlineStr">
        <is>
          <t>현금흐름표</t>
        </is>
      </c>
      <c r="J423" s="24" t="inlineStr">
        <is>
          <t>ifrs-full_PurchaseOfIntangibleAssetsClassifiedAsInvestingActivities</t>
        </is>
      </c>
      <c r="K423" s="24" t="inlineStr">
        <is>
          <t>무형자산의 취득</t>
        </is>
      </c>
      <c r="L423" s="24" t="inlineStr">
        <is>
          <t>-</t>
        </is>
      </c>
      <c r="M423" s="24" t="inlineStr">
        <is>
          <t>제 5 기</t>
        </is>
      </c>
      <c r="N423" s="24" t="inlineStr">
        <is>
          <t>142483000.0</t>
        </is>
      </c>
      <c r="O423" s="24" t="inlineStr">
        <is>
          <t>2215885686.0</t>
        </is>
      </c>
      <c r="P423" s="24" t="inlineStr">
        <is>
          <t>KRW</t>
        </is>
      </c>
      <c r="Q423" s="24" t="inlineStr">
        <is>
          <t>32</t>
        </is>
      </c>
    </row>
    <row r="424" ht="24" customHeight="1">
      <c r="A424" s="29" t="inlineStr">
        <is>
          <t>OpenDART_fnlttSinglAcntAll</t>
        </is>
      </c>
      <c r="B424" s="29" t="inlineStr">
        <is>
          <t>01365825</t>
        </is>
      </c>
      <c r="C424" s="29" t="inlineStr">
        <is>
          <t>피에스케이</t>
        </is>
      </c>
      <c r="D424" s="29" t="inlineStr">
        <is>
          <t>psk</t>
        </is>
      </c>
      <c r="E424" s="29" t="inlineStr">
        <is>
          <t>319660</t>
        </is>
      </c>
      <c r="F424" s="29" t="inlineStr">
        <is>
          <t>2023</t>
        </is>
      </c>
      <c r="G424" s="29" t="inlineStr">
        <is>
          <t>CFS</t>
        </is>
      </c>
      <c r="H424" s="29" t="inlineStr">
        <is>
          <t>CF</t>
        </is>
      </c>
      <c r="I424" s="29" t="inlineStr">
        <is>
          <t>현금흐름표</t>
        </is>
      </c>
      <c r="J424" s="29" t="inlineStr">
        <is>
          <t>ifrs-full_PurchaseOfPropertyPlantAndEquipmentClassifiedAsInvestingActivities</t>
        </is>
      </c>
      <c r="K424" s="29" t="inlineStr">
        <is>
          <t>유형자산의 취득</t>
        </is>
      </c>
      <c r="L424" s="29" t="inlineStr">
        <is>
          <t>-</t>
        </is>
      </c>
      <c r="M424" s="29" t="inlineStr">
        <is>
          <t>제 5 기</t>
        </is>
      </c>
      <c r="N424" s="29" t="inlineStr">
        <is>
          <t>25981919786.0</t>
        </is>
      </c>
      <c r="O424" s="29" t="inlineStr">
        <is>
          <t>12904503550.0</t>
        </is>
      </c>
      <c r="P424" s="29" t="inlineStr">
        <is>
          <t>KRW</t>
        </is>
      </c>
      <c r="Q424" s="29" t="inlineStr">
        <is>
          <t>33</t>
        </is>
      </c>
    </row>
    <row r="425" ht="24" customHeight="1">
      <c r="A425" s="24" t="inlineStr">
        <is>
          <t>OpenDART_fnlttSinglAcntAll</t>
        </is>
      </c>
      <c r="B425" s="24" t="inlineStr">
        <is>
          <t>01365825</t>
        </is>
      </c>
      <c r="C425" s="24" t="inlineStr">
        <is>
          <t>피에스케이</t>
        </is>
      </c>
      <c r="D425" s="24" t="inlineStr">
        <is>
          <t>psk</t>
        </is>
      </c>
      <c r="E425" s="24" t="inlineStr">
        <is>
          <t>319660</t>
        </is>
      </c>
      <c r="F425" s="24" t="inlineStr">
        <is>
          <t>2023</t>
        </is>
      </c>
      <c r="G425" s="24" t="inlineStr">
        <is>
          <t>CFS</t>
        </is>
      </c>
      <c r="H425" s="24" t="inlineStr">
        <is>
          <t>CF</t>
        </is>
      </c>
      <c r="I425" s="24" t="inlineStr">
        <is>
          <t>현금흐름표</t>
        </is>
      </c>
      <c r="J425" s="24" t="inlineStr">
        <is>
          <t>ifrs-full_CashFlowsFromUsedInOperatingActivities</t>
        </is>
      </c>
      <c r="K425" s="24" t="inlineStr">
        <is>
          <t>영업활동현금흐름</t>
        </is>
      </c>
      <c r="L425" s="24" t="inlineStr">
        <is>
          <t>-</t>
        </is>
      </c>
      <c r="M425" s="24" t="inlineStr">
        <is>
          <t>제 5 기</t>
        </is>
      </c>
      <c r="N425" s="24" t="inlineStr">
        <is>
          <t>50281470015.0</t>
        </is>
      </c>
      <c r="O425" s="24" t="inlineStr">
        <is>
          <t>46284494056.0</t>
        </is>
      </c>
      <c r="P425" s="24" t="inlineStr">
        <is>
          <t>KRW</t>
        </is>
      </c>
      <c r="Q425" s="24" t="inlineStr">
        <is>
          <t>34</t>
        </is>
      </c>
    </row>
    <row r="426" ht="24" customHeight="1">
      <c r="A426" s="29" t="inlineStr">
        <is>
          <t>OpenDART_fnlttSinglAcntAll</t>
        </is>
      </c>
      <c r="B426" s="29" t="inlineStr">
        <is>
          <t>01365825</t>
        </is>
      </c>
      <c r="C426" s="29" t="inlineStr">
        <is>
          <t>피에스케이</t>
        </is>
      </c>
      <c r="D426" s="29" t="inlineStr">
        <is>
          <t>psk</t>
        </is>
      </c>
      <c r="E426" s="29" t="inlineStr">
        <is>
          <t>319660</t>
        </is>
      </c>
      <c r="F426" s="29" t="inlineStr">
        <is>
          <t>2023</t>
        </is>
      </c>
      <c r="G426" s="29" t="inlineStr">
        <is>
          <t>CFS</t>
        </is>
      </c>
      <c r="H426" s="29" t="inlineStr">
        <is>
          <t>CF</t>
        </is>
      </c>
      <c r="I426" s="29" t="inlineStr">
        <is>
          <t>현금흐름표</t>
        </is>
      </c>
      <c r="J426" s="29" t="inlineStr">
        <is>
          <t>ifrs-full_AdjustmentsForReconcileProfitLoss</t>
        </is>
      </c>
      <c r="K426" s="29" t="inlineStr">
        <is>
          <t>당기순이익조정을 위한 가감</t>
        </is>
      </c>
      <c r="L426" s="29" t="inlineStr">
        <is>
          <t>-</t>
        </is>
      </c>
      <c r="M426" s="29" t="inlineStr">
        <is>
          <t>제 5 기</t>
        </is>
      </c>
      <c r="N426" s="29" t="inlineStr">
        <is>
          <t>8277120478.0</t>
        </is>
      </c>
      <c r="O426" s="29" t="inlineStr">
        <is>
          <t>3054835885.0</t>
        </is>
      </c>
      <c r="P426" s="29" t="inlineStr">
        <is>
          <t>KRW</t>
        </is>
      </c>
      <c r="Q426" s="29" t="inlineStr">
        <is>
          <t>36</t>
        </is>
      </c>
    </row>
    <row r="427" ht="24" customHeight="1">
      <c r="A427" s="24" t="inlineStr">
        <is>
          <t>OpenDART_fnlttSinglAcntAll</t>
        </is>
      </c>
      <c r="B427" s="24" t="inlineStr">
        <is>
          <t>01365825</t>
        </is>
      </c>
      <c r="C427" s="24" t="inlineStr">
        <is>
          <t>피에스케이</t>
        </is>
      </c>
      <c r="D427" s="24" t="inlineStr">
        <is>
          <t>psk</t>
        </is>
      </c>
      <c r="E427" s="24" t="inlineStr">
        <is>
          <t>319660</t>
        </is>
      </c>
      <c r="F427" s="24" t="inlineStr">
        <is>
          <t>2023</t>
        </is>
      </c>
      <c r="G427" s="24" t="inlineStr">
        <is>
          <t>CFS</t>
        </is>
      </c>
      <c r="H427" s="24" t="inlineStr">
        <is>
          <t>CF</t>
        </is>
      </c>
      <c r="I427" s="24" t="inlineStr">
        <is>
          <t>현금흐름표</t>
        </is>
      </c>
      <c r="J427" s="24" t="inlineStr">
        <is>
          <t>ifrs-full_IncomeTaxesPaidRefundClassifiedAsOperatingActivities</t>
        </is>
      </c>
      <c r="K427" s="24" t="inlineStr">
        <is>
          <t>법인세환급(납부)</t>
        </is>
      </c>
      <c r="L427" s="24" t="inlineStr">
        <is>
          <t>-</t>
        </is>
      </c>
      <c r="M427" s="24" t="inlineStr">
        <is>
          <t>제 5 기</t>
        </is>
      </c>
      <c r="N427" s="24" t="inlineStr">
        <is>
          <t>17978533764.0</t>
        </is>
      </c>
      <c r="O427" s="24" t="inlineStr">
        <is>
          <t>37265631114.0</t>
        </is>
      </c>
      <c r="P427" s="24" t="inlineStr">
        <is>
          <t>KRW</t>
        </is>
      </c>
      <c r="Q427" s="24" t="inlineStr">
        <is>
          <t>37</t>
        </is>
      </c>
    </row>
    <row r="428" ht="24" customHeight="1">
      <c r="A428" s="29" t="inlineStr">
        <is>
          <t>OpenDART_fnlttSinglAcntAll</t>
        </is>
      </c>
      <c r="B428" s="29" t="inlineStr">
        <is>
          <t>01365825</t>
        </is>
      </c>
      <c r="C428" s="29" t="inlineStr">
        <is>
          <t>피에스케이</t>
        </is>
      </c>
      <c r="D428" s="29" t="inlineStr">
        <is>
          <t>psk</t>
        </is>
      </c>
      <c r="E428" s="29" t="inlineStr">
        <is>
          <t>319660</t>
        </is>
      </c>
      <c r="F428" s="29" t="inlineStr">
        <is>
          <t>2023</t>
        </is>
      </c>
      <c r="G428" s="29" t="inlineStr">
        <is>
          <t>CFS</t>
        </is>
      </c>
      <c r="H428" s="29" t="inlineStr">
        <is>
          <t>CF</t>
        </is>
      </c>
      <c r="I428" s="29" t="inlineStr">
        <is>
          <t>현금흐름표</t>
        </is>
      </c>
      <c r="J428" s="29" t="inlineStr">
        <is>
          <t>ifrs-full_InterestPaidClassifiedAsOperatingActivities</t>
        </is>
      </c>
      <c r="K428" s="29" t="inlineStr">
        <is>
          <t>이자지급(영업)</t>
        </is>
      </c>
      <c r="L428" s="29" t="inlineStr">
        <is>
          <t>-</t>
        </is>
      </c>
      <c r="M428" s="29" t="inlineStr">
        <is>
          <t>제 5 기</t>
        </is>
      </c>
      <c r="N428" s="29" t="inlineStr">
        <is>
          <t>518731481.0</t>
        </is>
      </c>
      <c r="O428" s="29" t="inlineStr">
        <is>
          <t>483855363.0</t>
        </is>
      </c>
      <c r="P428" s="29" t="inlineStr">
        <is>
          <t>KRW</t>
        </is>
      </c>
      <c r="Q428" s="29" t="inlineStr">
        <is>
          <t>38</t>
        </is>
      </c>
    </row>
    <row r="429" ht="24" customHeight="1">
      <c r="A429" s="24" t="inlineStr">
        <is>
          <t>OpenDART_fnlttSinglAcntAll</t>
        </is>
      </c>
      <c r="B429" s="24" t="inlineStr">
        <is>
          <t>01365825</t>
        </is>
      </c>
      <c r="C429" s="24" t="inlineStr">
        <is>
          <t>피에스케이</t>
        </is>
      </c>
      <c r="D429" s="24" t="inlineStr">
        <is>
          <t>psk</t>
        </is>
      </c>
      <c r="E429" s="24" t="inlineStr">
        <is>
          <t>319660</t>
        </is>
      </c>
      <c r="F429" s="24" t="inlineStr">
        <is>
          <t>2023</t>
        </is>
      </c>
      <c r="G429" s="24" t="inlineStr">
        <is>
          <t>CFS</t>
        </is>
      </c>
      <c r="H429" s="24" t="inlineStr">
        <is>
          <t>CF</t>
        </is>
      </c>
      <c r="I429" s="24" t="inlineStr">
        <is>
          <t>현금흐름표</t>
        </is>
      </c>
      <c r="J429" s="24" t="inlineStr">
        <is>
          <t>ifrs-full_InterestReceivedClassifiedAsOperatingActivities</t>
        </is>
      </c>
      <c r="K429" s="24" t="inlineStr">
        <is>
          <t>이자수취</t>
        </is>
      </c>
      <c r="L429" s="24" t="inlineStr">
        <is>
          <t>-</t>
        </is>
      </c>
      <c r="M429" s="24" t="inlineStr">
        <is>
          <t>제 5 기</t>
        </is>
      </c>
      <c r="N429" s="24" t="inlineStr">
        <is>
          <t>7981426580.0</t>
        </is>
      </c>
      <c r="O429" s="24" t="inlineStr">
        <is>
          <t>3535890117.0</t>
        </is>
      </c>
      <c r="P429" s="24" t="inlineStr">
        <is>
          <t>KRW</t>
        </is>
      </c>
      <c r="Q429" s="24" t="inlineStr">
        <is>
          <t>39</t>
        </is>
      </c>
    </row>
    <row r="430" ht="24" customHeight="1">
      <c r="A430" s="29" t="inlineStr">
        <is>
          <t>OpenDART_fnlttSinglAcntAll</t>
        </is>
      </c>
      <c r="B430" s="29" t="inlineStr">
        <is>
          <t>01365825</t>
        </is>
      </c>
      <c r="C430" s="29" t="inlineStr">
        <is>
          <t>피에스케이</t>
        </is>
      </c>
      <c r="D430" s="29" t="inlineStr">
        <is>
          <t>psk</t>
        </is>
      </c>
      <c r="E430" s="29" t="inlineStr">
        <is>
          <t>319660</t>
        </is>
      </c>
      <c r="F430" s="29" t="inlineStr">
        <is>
          <t>2023</t>
        </is>
      </c>
      <c r="G430" s="29" t="inlineStr">
        <is>
          <t>CFS</t>
        </is>
      </c>
      <c r="H430" s="29" t="inlineStr">
        <is>
          <t>CF</t>
        </is>
      </c>
      <c r="I430" s="29" t="inlineStr">
        <is>
          <t>현금흐름표</t>
        </is>
      </c>
      <c r="J430" s="29" t="inlineStr">
        <is>
          <t>ifrs-full_ProfitLoss</t>
        </is>
      </c>
      <c r="K430" s="29" t="inlineStr">
        <is>
          <t>당기순이익(손실)</t>
        </is>
      </c>
      <c r="L430" s="29" t="inlineStr">
        <is>
          <t>-</t>
        </is>
      </c>
      <c r="M430" s="29" t="inlineStr">
        <is>
          <t>제 5 기</t>
        </is>
      </c>
      <c r="N430" s="29" t="inlineStr">
        <is>
          <t>52520188202.0</t>
        </is>
      </c>
      <c r="O430" s="29" t="inlineStr">
        <is>
          <t>77443254531.0</t>
        </is>
      </c>
      <c r="P430" s="29" t="inlineStr">
        <is>
          <t>KRW</t>
        </is>
      </c>
      <c r="Q430" s="29" t="inlineStr">
        <is>
          <t>40</t>
        </is>
      </c>
    </row>
    <row r="431" ht="24" customHeight="1">
      <c r="A431" s="24" t="inlineStr">
        <is>
          <t>OpenDART_fnlttSinglAcntAll</t>
        </is>
      </c>
      <c r="B431" s="24" t="inlineStr">
        <is>
          <t>01365825</t>
        </is>
      </c>
      <c r="C431" s="24" t="inlineStr">
        <is>
          <t>피에스케이</t>
        </is>
      </c>
      <c r="D431" s="24" t="inlineStr">
        <is>
          <t>psk</t>
        </is>
      </c>
      <c r="E431" s="24" t="inlineStr">
        <is>
          <t>319660</t>
        </is>
      </c>
      <c r="F431" s="24" t="inlineStr">
        <is>
          <t>2023</t>
        </is>
      </c>
      <c r="G431" s="24" t="inlineStr">
        <is>
          <t>CFS</t>
        </is>
      </c>
      <c r="H431" s="24" t="inlineStr">
        <is>
          <t>CF</t>
        </is>
      </c>
      <c r="I431" s="24" t="inlineStr">
        <is>
          <t>현금흐름표</t>
        </is>
      </c>
      <c r="J431" s="24" t="inlineStr">
        <is>
          <t>ifrs-full_EffectOfExchangeRateChangesOnCashAndCashEquivalents</t>
        </is>
      </c>
      <c r="K431" s="24" t="inlineStr">
        <is>
          <t>현금및현금성자산에 대한 환율변동효과</t>
        </is>
      </c>
      <c r="L431" s="24" t="inlineStr">
        <is>
          <t>-</t>
        </is>
      </c>
      <c r="M431" s="24" t="inlineStr">
        <is>
          <t>제 5 기</t>
        </is>
      </c>
      <c r="N431" s="24" t="inlineStr">
        <is>
          <t>-825105902.0</t>
        </is>
      </c>
      <c r="O431" s="24" t="inlineStr">
        <is>
          <t>-1940566055.0</t>
        </is>
      </c>
      <c r="P431" s="24" t="inlineStr">
        <is>
          <t>KRW</t>
        </is>
      </c>
      <c r="Q431" s="24" t="inlineStr">
        <is>
          <t>41</t>
        </is>
      </c>
    </row>
    <row r="432" ht="24" customHeight="1">
      <c r="A432" s="29" t="inlineStr">
        <is>
          <t>OpenDART_fnlttSinglAcntAll</t>
        </is>
      </c>
      <c r="B432" s="29" t="inlineStr">
        <is>
          <t>01365825</t>
        </is>
      </c>
      <c r="C432" s="29" t="inlineStr">
        <is>
          <t>피에스케이</t>
        </is>
      </c>
      <c r="D432" s="29" t="inlineStr">
        <is>
          <t>psk</t>
        </is>
      </c>
      <c r="E432" s="29" t="inlineStr">
        <is>
          <t>319660</t>
        </is>
      </c>
      <c r="F432" s="29" t="inlineStr">
        <is>
          <t>2023</t>
        </is>
      </c>
      <c r="G432" s="29" t="inlineStr">
        <is>
          <t>CFS</t>
        </is>
      </c>
      <c r="H432" s="29" t="inlineStr">
        <is>
          <t>CF</t>
        </is>
      </c>
      <c r="I432" s="29" t="inlineStr">
        <is>
          <t>현금흐름표</t>
        </is>
      </c>
      <c r="J432" s="29" t="inlineStr">
        <is>
          <t>ifrs-full_IncreaseDecreaseInCashAndCashEquivalents</t>
        </is>
      </c>
      <c r="K432" s="29" t="inlineStr">
        <is>
          <t>현금및현금성자산의순증가(감소)</t>
        </is>
      </c>
      <c r="L432" s="29" t="inlineStr">
        <is>
          <t>-</t>
        </is>
      </c>
      <c r="M432" s="29" t="inlineStr">
        <is>
          <t>제 5 기</t>
        </is>
      </c>
      <c r="N432" s="29" t="inlineStr">
        <is>
          <t>8952580793.0</t>
        </is>
      </c>
      <c r="O432" s="29" t="inlineStr">
        <is>
          <t>-10107891115.0</t>
        </is>
      </c>
      <c r="P432" s="29" t="inlineStr">
        <is>
          <t>KRW</t>
        </is>
      </c>
      <c r="Q432" s="29" t="inlineStr">
        <is>
          <t>42</t>
        </is>
      </c>
    </row>
    <row r="433" ht="24" customHeight="1">
      <c r="A433" s="24" t="inlineStr">
        <is>
          <t>OpenDART_fnlttSinglAcntAll</t>
        </is>
      </c>
      <c r="B433" s="24" t="inlineStr">
        <is>
          <t>01365825</t>
        </is>
      </c>
      <c r="C433" s="24" t="inlineStr">
        <is>
          <t>피에스케이</t>
        </is>
      </c>
      <c r="D433" s="24" t="inlineStr">
        <is>
          <t>psk</t>
        </is>
      </c>
      <c r="E433" s="24" t="inlineStr">
        <is>
          <t>319660</t>
        </is>
      </c>
      <c r="F433" s="24" t="inlineStr">
        <is>
          <t>2023</t>
        </is>
      </c>
      <c r="G433" s="24" t="inlineStr">
        <is>
          <t>CFS</t>
        </is>
      </c>
      <c r="H433" s="24" t="inlineStr">
        <is>
          <t>CF</t>
        </is>
      </c>
      <c r="I433" s="24" t="inlineStr">
        <is>
          <t>현금흐름표</t>
        </is>
      </c>
      <c r="J433" s="24" t="inlineStr">
        <is>
          <t>ifrs-full_IncreaseDecreaseInCashAndCashEquivalentsBeforeEffectOfExchangeRateChanges</t>
        </is>
      </c>
      <c r="K433" s="24" t="inlineStr">
        <is>
          <t>환율변동효과 반영전 현금및현금성자산의 순증가(감소)</t>
        </is>
      </c>
      <c r="L433" s="24" t="inlineStr">
        <is>
          <t>-</t>
        </is>
      </c>
      <c r="M433" s="24" t="inlineStr">
        <is>
          <t>제 5 기</t>
        </is>
      </c>
      <c r="N433" s="24" t="inlineStr">
        <is>
          <t>9777686695.0</t>
        </is>
      </c>
      <c r="O433" s="24" t="inlineStr">
        <is>
          <t>-8167325060.0</t>
        </is>
      </c>
      <c r="P433" s="24" t="inlineStr">
        <is>
          <t>KRW</t>
        </is>
      </c>
      <c r="Q433" s="24" t="inlineStr">
        <is>
          <t>43</t>
        </is>
      </c>
    </row>
    <row r="434" ht="24" customHeight="1">
      <c r="A434" s="29" t="inlineStr">
        <is>
          <t>OpenDART_fnlttSinglAcntAll</t>
        </is>
      </c>
      <c r="B434" s="29" t="inlineStr">
        <is>
          <t>01365825</t>
        </is>
      </c>
      <c r="C434" s="29" t="inlineStr">
        <is>
          <t>피에스케이</t>
        </is>
      </c>
      <c r="D434" s="29" t="inlineStr">
        <is>
          <t>psk</t>
        </is>
      </c>
      <c r="E434" s="29" t="inlineStr">
        <is>
          <t>319660</t>
        </is>
      </c>
      <c r="F434" s="29" t="inlineStr">
        <is>
          <t>2023</t>
        </is>
      </c>
      <c r="G434" s="29" t="inlineStr">
        <is>
          <t>CFS</t>
        </is>
      </c>
      <c r="H434" s="29" t="inlineStr">
        <is>
          <t>SCE</t>
        </is>
      </c>
      <c r="I434" s="29" t="inlineStr">
        <is>
          <t>자본변동표</t>
        </is>
      </c>
      <c r="J434" s="29" t="inlineStr">
        <is>
          <t>dart_BonusIssue</t>
        </is>
      </c>
      <c r="K434" s="29" t="inlineStr">
        <is>
          <t>무상증자</t>
        </is>
      </c>
      <c r="L434" s="29" t="inlineStr">
        <is>
          <t>연결재무제표 [member]</t>
        </is>
      </c>
      <c r="M434" s="29" t="inlineStr">
        <is>
          <t>제 5 기</t>
        </is>
      </c>
      <c r="N434" s="29" t="inlineStr">
        <is>
          <t>해당 없음</t>
        </is>
      </c>
      <c r="O434" s="29" t="inlineStr">
        <is>
          <t>-66915970.0</t>
        </is>
      </c>
      <c r="P434" s="29" t="inlineStr">
        <is>
          <t>KRW</t>
        </is>
      </c>
      <c r="Q434" s="29" t="inlineStr">
        <is>
          <t>3</t>
        </is>
      </c>
    </row>
    <row r="435" ht="24" customHeight="1">
      <c r="A435" s="24" t="inlineStr">
        <is>
          <t>OpenDART_fnlttSinglAcntAll</t>
        </is>
      </c>
      <c r="B435" s="24" t="inlineStr">
        <is>
          <t>01365825</t>
        </is>
      </c>
      <c r="C435" s="24" t="inlineStr">
        <is>
          <t>피에스케이</t>
        </is>
      </c>
      <c r="D435" s="24" t="inlineStr">
        <is>
          <t>psk</t>
        </is>
      </c>
      <c r="E435" s="24" t="inlineStr">
        <is>
          <t>319660</t>
        </is>
      </c>
      <c r="F435" s="24" t="inlineStr">
        <is>
          <t>2023</t>
        </is>
      </c>
      <c r="G435" s="24" t="inlineStr">
        <is>
          <t>CFS</t>
        </is>
      </c>
      <c r="H435" s="24" t="inlineStr">
        <is>
          <t>SCE</t>
        </is>
      </c>
      <c r="I435" s="24" t="inlineStr">
        <is>
          <t>자본변동표</t>
        </is>
      </c>
      <c r="J435" s="24" t="inlineStr">
        <is>
          <t>dart_BonusIssue</t>
        </is>
      </c>
      <c r="K435" s="24" t="inlineStr">
        <is>
          <t>무상증자</t>
        </is>
      </c>
      <c r="L435" s="24" t="inlineStr">
        <is>
          <t>자본 [구성요소]|지배기업의 소유주에게 귀속되는 지분 [구성요소]</t>
        </is>
      </c>
      <c r="M435" s="24" t="inlineStr">
        <is>
          <t>제 5 기</t>
        </is>
      </c>
      <c r="N435" s="24" t="inlineStr">
        <is>
          <t>해당 없음</t>
        </is>
      </c>
      <c r="O435" s="24" t="inlineStr">
        <is>
          <t>-66915970.0</t>
        </is>
      </c>
      <c r="P435" s="24" t="inlineStr">
        <is>
          <t>KRW</t>
        </is>
      </c>
      <c r="Q435" s="24" t="inlineStr">
        <is>
          <t>3</t>
        </is>
      </c>
    </row>
    <row r="436" ht="24" customHeight="1">
      <c r="A436" s="29" t="inlineStr">
        <is>
          <t>OpenDART_fnlttSinglAcntAll</t>
        </is>
      </c>
      <c r="B436" s="29" t="inlineStr">
        <is>
          <t>01365825</t>
        </is>
      </c>
      <c r="C436" s="29" t="inlineStr">
        <is>
          <t>피에스케이</t>
        </is>
      </c>
      <c r="D436" s="29" t="inlineStr">
        <is>
          <t>psk</t>
        </is>
      </c>
      <c r="E436" s="29" t="inlineStr">
        <is>
          <t>319660</t>
        </is>
      </c>
      <c r="F436" s="29" t="inlineStr">
        <is>
          <t>2023</t>
        </is>
      </c>
      <c r="G436" s="29" t="inlineStr">
        <is>
          <t>CFS</t>
        </is>
      </c>
      <c r="H436" s="29" t="inlineStr">
        <is>
          <t>SCE</t>
        </is>
      </c>
      <c r="I436" s="29" t="inlineStr">
        <is>
          <t>자본변동표</t>
        </is>
      </c>
      <c r="J436" s="29" t="inlineStr">
        <is>
          <t>dart_BonusIssue</t>
        </is>
      </c>
      <c r="K436" s="29" t="inlineStr">
        <is>
          <t>무상증자</t>
        </is>
      </c>
      <c r="L436" s="29" t="inlineStr">
        <is>
          <t>자본 [구성요소]|지배기업의 소유주에게 귀속되는 지분 [구성요소]|기타자본구성요소 [구성요소]</t>
        </is>
      </c>
      <c r="M436" s="29" t="inlineStr">
        <is>
          <t>제 5 기</t>
        </is>
      </c>
      <c r="N436" s="29" t="inlineStr">
        <is>
          <t>해당 없음</t>
        </is>
      </c>
      <c r="O436" s="29" t="inlineStr">
        <is>
          <t>0.0</t>
        </is>
      </c>
      <c r="P436" s="29" t="inlineStr">
        <is>
          <t>KRW</t>
        </is>
      </c>
      <c r="Q436" s="29" t="inlineStr">
        <is>
          <t>3</t>
        </is>
      </c>
    </row>
    <row r="437" ht="24" customHeight="1">
      <c r="A437" s="24" t="inlineStr">
        <is>
          <t>OpenDART_fnlttSinglAcntAll</t>
        </is>
      </c>
      <c r="B437" s="24" t="inlineStr">
        <is>
          <t>01365825</t>
        </is>
      </c>
      <c r="C437" s="24" t="inlineStr">
        <is>
          <t>피에스케이</t>
        </is>
      </c>
      <c r="D437" s="24" t="inlineStr">
        <is>
          <t>psk</t>
        </is>
      </c>
      <c r="E437" s="24" t="inlineStr">
        <is>
          <t>319660</t>
        </is>
      </c>
      <c r="F437" s="24" t="inlineStr">
        <is>
          <t>2023</t>
        </is>
      </c>
      <c r="G437" s="24" t="inlineStr">
        <is>
          <t>CFS</t>
        </is>
      </c>
      <c r="H437" s="24" t="inlineStr">
        <is>
          <t>SCE</t>
        </is>
      </c>
      <c r="I437" s="24" t="inlineStr">
        <is>
          <t>자본변동표</t>
        </is>
      </c>
      <c r="J437" s="24" t="inlineStr">
        <is>
          <t>dart_BonusIssue</t>
        </is>
      </c>
      <c r="K437" s="24" t="inlineStr">
        <is>
          <t>무상증자</t>
        </is>
      </c>
      <c r="L437" s="24" t="inlineStr">
        <is>
          <t>자본 [구성요소]|지배기업의 소유주에게 귀속되는 지분 [구성요소]|이익잉여금 [구성요소]</t>
        </is>
      </c>
      <c r="M437" s="24" t="inlineStr">
        <is>
          <t>제 5 기</t>
        </is>
      </c>
      <c r="N437" s="24" t="inlineStr">
        <is>
          <t>해당 없음</t>
        </is>
      </c>
      <c r="O437" s="24" t="inlineStr">
        <is>
          <t>0.0</t>
        </is>
      </c>
      <c r="P437" s="24" t="inlineStr">
        <is>
          <t>KRW</t>
        </is>
      </c>
      <c r="Q437" s="24" t="inlineStr">
        <is>
          <t>3</t>
        </is>
      </c>
    </row>
    <row r="438" ht="24" customHeight="1">
      <c r="A438" s="29" t="inlineStr">
        <is>
          <t>OpenDART_fnlttSinglAcntAll</t>
        </is>
      </c>
      <c r="B438" s="29" t="inlineStr">
        <is>
          <t>01365825</t>
        </is>
      </c>
      <c r="C438" s="29" t="inlineStr">
        <is>
          <t>피에스케이</t>
        </is>
      </c>
      <c r="D438" s="29" t="inlineStr">
        <is>
          <t>psk</t>
        </is>
      </c>
      <c r="E438" s="29" t="inlineStr">
        <is>
          <t>319660</t>
        </is>
      </c>
      <c r="F438" s="29" t="inlineStr">
        <is>
          <t>2023</t>
        </is>
      </c>
      <c r="G438" s="29" t="inlineStr">
        <is>
          <t>CFS</t>
        </is>
      </c>
      <c r="H438" s="29" t="inlineStr">
        <is>
          <t>SCE</t>
        </is>
      </c>
      <c r="I438" s="29" t="inlineStr">
        <is>
          <t>자본변동표</t>
        </is>
      </c>
      <c r="J438" s="29" t="inlineStr">
        <is>
          <t>dart_BonusIssue</t>
        </is>
      </c>
      <c r="K438" s="29" t="inlineStr">
        <is>
          <t>무상증자</t>
        </is>
      </c>
      <c r="L438" s="29" t="inlineStr">
        <is>
          <t>자본 [구성요소]|지배기업의 소유주에게 귀속되는 지분 [구성요소]|자본금 [구성요소]</t>
        </is>
      </c>
      <c r="M438" s="29" t="inlineStr">
        <is>
          <t>제 5 기</t>
        </is>
      </c>
      <c r="N438" s="29" t="inlineStr">
        <is>
          <t>해당 없음</t>
        </is>
      </c>
      <c r="O438" s="29" t="inlineStr">
        <is>
          <t>7241678500.0</t>
        </is>
      </c>
      <c r="P438" s="29" t="inlineStr">
        <is>
          <t>KRW</t>
        </is>
      </c>
      <c r="Q438" s="29" t="inlineStr">
        <is>
          <t>3</t>
        </is>
      </c>
    </row>
    <row r="439" ht="24" customHeight="1">
      <c r="A439" s="24" t="inlineStr">
        <is>
          <t>OpenDART_fnlttSinglAcntAll</t>
        </is>
      </c>
      <c r="B439" s="24" t="inlineStr">
        <is>
          <t>01365825</t>
        </is>
      </c>
      <c r="C439" s="24" t="inlineStr">
        <is>
          <t>피에스케이</t>
        </is>
      </c>
      <c r="D439" s="24" t="inlineStr">
        <is>
          <t>psk</t>
        </is>
      </c>
      <c r="E439" s="24" t="inlineStr">
        <is>
          <t>319660</t>
        </is>
      </c>
      <c r="F439" s="24" t="inlineStr">
        <is>
          <t>2023</t>
        </is>
      </c>
      <c r="G439" s="24" t="inlineStr">
        <is>
          <t>CFS</t>
        </is>
      </c>
      <c r="H439" s="24" t="inlineStr">
        <is>
          <t>SCE</t>
        </is>
      </c>
      <c r="I439" s="24" t="inlineStr">
        <is>
          <t>자본변동표</t>
        </is>
      </c>
      <c r="J439" s="24" t="inlineStr">
        <is>
          <t>dart_BonusIssue</t>
        </is>
      </c>
      <c r="K439" s="24" t="inlineStr">
        <is>
          <t>무상증자</t>
        </is>
      </c>
      <c r="L439" s="24" t="inlineStr">
        <is>
          <t>자본 [구성요소]|지배기업의 소유주에게 귀속되는 지분 [구성요소]|자본잉여금 [구성요소]</t>
        </is>
      </c>
      <c r="M439" s="24" t="inlineStr">
        <is>
          <t>제 5 기</t>
        </is>
      </c>
      <c r="N439" s="24" t="inlineStr">
        <is>
          <t>해당 없음</t>
        </is>
      </c>
      <c r="O439" s="24" t="inlineStr">
        <is>
          <t>-7308594470.0</t>
        </is>
      </c>
      <c r="P439" s="24" t="inlineStr">
        <is>
          <t>KRW</t>
        </is>
      </c>
      <c r="Q439" s="24" t="inlineStr">
        <is>
          <t>3</t>
        </is>
      </c>
    </row>
    <row r="440" ht="24" customHeight="1">
      <c r="A440" s="29" t="inlineStr">
        <is>
          <t>OpenDART_fnlttSinglAcntAll</t>
        </is>
      </c>
      <c r="B440" s="29" t="inlineStr">
        <is>
          <t>01365825</t>
        </is>
      </c>
      <c r="C440" s="29" t="inlineStr">
        <is>
          <t>피에스케이</t>
        </is>
      </c>
      <c r="D440" s="29" t="inlineStr">
        <is>
          <t>psk</t>
        </is>
      </c>
      <c r="E440" s="29" t="inlineStr">
        <is>
          <t>319660</t>
        </is>
      </c>
      <c r="F440" s="29" t="inlineStr">
        <is>
          <t>2023</t>
        </is>
      </c>
      <c r="G440" s="29" t="inlineStr">
        <is>
          <t>CFS</t>
        </is>
      </c>
      <c r="H440" s="29" t="inlineStr">
        <is>
          <t>SCE</t>
        </is>
      </c>
      <c r="I440" s="29" t="inlineStr">
        <is>
          <t>자본변동표</t>
        </is>
      </c>
      <c r="J440" s="29" t="inlineStr">
        <is>
          <t>dart_EquityAtBeginningOfPeriod</t>
        </is>
      </c>
      <c r="K440" s="29" t="inlineStr">
        <is>
          <t>기초자본</t>
        </is>
      </c>
      <c r="L440" s="29" t="inlineStr">
        <is>
          <t>자본 [구성요소]|지배기업의 소유주에게 귀속되는 지분 [구성요소]|자본금 [구성요소]</t>
        </is>
      </c>
      <c r="M440" s="29" t="inlineStr">
        <is>
          <t>제 5 기</t>
        </is>
      </c>
      <c r="N440" s="29" t="inlineStr">
        <is>
          <t>14624188500.0</t>
        </is>
      </c>
      <c r="O440" s="29" t="inlineStr">
        <is>
          <t>7382510000.0</t>
        </is>
      </c>
      <c r="P440" s="29" t="inlineStr">
        <is>
          <t>KRW</t>
        </is>
      </c>
      <c r="Q440" s="29" t="inlineStr">
        <is>
          <t>4</t>
        </is>
      </c>
    </row>
    <row r="441" ht="24" customHeight="1">
      <c r="A441" s="24" t="inlineStr">
        <is>
          <t>OpenDART_fnlttSinglAcntAll</t>
        </is>
      </c>
      <c r="B441" s="24" t="inlineStr">
        <is>
          <t>01365825</t>
        </is>
      </c>
      <c r="C441" s="24" t="inlineStr">
        <is>
          <t>피에스케이</t>
        </is>
      </c>
      <c r="D441" s="24" t="inlineStr">
        <is>
          <t>psk</t>
        </is>
      </c>
      <c r="E441" s="24" t="inlineStr">
        <is>
          <t>319660</t>
        </is>
      </c>
      <c r="F441" s="24" t="inlineStr">
        <is>
          <t>2023</t>
        </is>
      </c>
      <c r="G441" s="24" t="inlineStr">
        <is>
          <t>CFS</t>
        </is>
      </c>
      <c r="H441" s="24" t="inlineStr">
        <is>
          <t>SCE</t>
        </is>
      </c>
      <c r="I441" s="24" t="inlineStr">
        <is>
          <t>자본변동표</t>
        </is>
      </c>
      <c r="J441" s="24" t="inlineStr">
        <is>
          <t>dart_EquityAtBeginningOfPeriod</t>
        </is>
      </c>
      <c r="K441" s="24" t="inlineStr">
        <is>
          <t>기초자본</t>
        </is>
      </c>
      <c r="L441" s="24" t="inlineStr">
        <is>
          <t>자본 [구성요소]|지배기업의 소유주에게 귀속되는 지분 [구성요소]|이익잉여금 [구성요소]</t>
        </is>
      </c>
      <c r="M441" s="24" t="inlineStr">
        <is>
          <t>제 5 기</t>
        </is>
      </c>
      <c r="N441" s="24" t="inlineStr">
        <is>
          <t>164862991285.0</t>
        </is>
      </c>
      <c r="O441" s="24" t="inlineStr">
        <is>
          <t>104197668466.0</t>
        </is>
      </c>
      <c r="P441" s="24" t="inlineStr">
        <is>
          <t>KRW</t>
        </is>
      </c>
      <c r="Q441" s="24" t="inlineStr">
        <is>
          <t>4</t>
        </is>
      </c>
    </row>
    <row r="442" ht="24" customHeight="1">
      <c r="A442" s="29" t="inlineStr">
        <is>
          <t>OpenDART_fnlttSinglAcntAll</t>
        </is>
      </c>
      <c r="B442" s="29" t="inlineStr">
        <is>
          <t>01365825</t>
        </is>
      </c>
      <c r="C442" s="29" t="inlineStr">
        <is>
          <t>피에스케이</t>
        </is>
      </c>
      <c r="D442" s="29" t="inlineStr">
        <is>
          <t>psk</t>
        </is>
      </c>
      <c r="E442" s="29" t="inlineStr">
        <is>
          <t>319660</t>
        </is>
      </c>
      <c r="F442" s="29" t="inlineStr">
        <is>
          <t>2023</t>
        </is>
      </c>
      <c r="G442" s="29" t="inlineStr">
        <is>
          <t>CFS</t>
        </is>
      </c>
      <c r="H442" s="29" t="inlineStr">
        <is>
          <t>SCE</t>
        </is>
      </c>
      <c r="I442" s="29" t="inlineStr">
        <is>
          <t>자본변동표</t>
        </is>
      </c>
      <c r="J442" s="29" t="inlineStr">
        <is>
          <t>dart_EquityAtBeginningOfPeriod</t>
        </is>
      </c>
      <c r="K442" s="29" t="inlineStr">
        <is>
          <t>기초자본</t>
        </is>
      </c>
      <c r="L442" s="29" t="inlineStr">
        <is>
          <t>자본 [구성요소]|지배기업의 소유주에게 귀속되는 지분 [구성요소]|기타자본구성요소 [구성요소]</t>
        </is>
      </c>
      <c r="M442" s="29" t="inlineStr">
        <is>
          <t>제 5 기</t>
        </is>
      </c>
      <c r="N442" s="29" t="inlineStr">
        <is>
          <t>1860093233.0</t>
        </is>
      </c>
      <c r="O442" s="29" t="inlineStr">
        <is>
          <t>2541260380.0</t>
        </is>
      </c>
      <c r="P442" s="29" t="inlineStr">
        <is>
          <t>KRW</t>
        </is>
      </c>
      <c r="Q442" s="29" t="inlineStr">
        <is>
          <t>4</t>
        </is>
      </c>
    </row>
    <row r="443" ht="24" customHeight="1">
      <c r="A443" s="24" t="inlineStr">
        <is>
          <t>OpenDART_fnlttSinglAcntAll</t>
        </is>
      </c>
      <c r="B443" s="24" t="inlineStr">
        <is>
          <t>01365825</t>
        </is>
      </c>
      <c r="C443" s="24" t="inlineStr">
        <is>
          <t>피에스케이</t>
        </is>
      </c>
      <c r="D443" s="24" t="inlineStr">
        <is>
          <t>psk</t>
        </is>
      </c>
      <c r="E443" s="24" t="inlineStr">
        <is>
          <t>319660</t>
        </is>
      </c>
      <c r="F443" s="24" t="inlineStr">
        <is>
          <t>2023</t>
        </is>
      </c>
      <c r="G443" s="24" t="inlineStr">
        <is>
          <t>CFS</t>
        </is>
      </c>
      <c r="H443" s="24" t="inlineStr">
        <is>
          <t>SCE</t>
        </is>
      </c>
      <c r="I443" s="24" t="inlineStr">
        <is>
          <t>자본변동표</t>
        </is>
      </c>
      <c r="J443" s="24" t="inlineStr">
        <is>
          <t>dart_EquityAtBeginningOfPeriod</t>
        </is>
      </c>
      <c r="K443" s="24" t="inlineStr">
        <is>
          <t>기초자본</t>
        </is>
      </c>
      <c r="L443" s="24" t="inlineStr">
        <is>
          <t>자본 [구성요소]|지배기업의 소유주에게 귀속되는 지분 [구성요소]</t>
        </is>
      </c>
      <c r="M443" s="24" t="inlineStr">
        <is>
          <t>제 5 기</t>
        </is>
      </c>
      <c r="N443" s="24" t="inlineStr">
        <is>
          <t>353307517966.0</t>
        </is>
      </c>
      <c r="O443" s="24" t="inlineStr">
        <is>
          <t>289070957803.0</t>
        </is>
      </c>
      <c r="P443" s="24" t="inlineStr">
        <is>
          <t>KRW</t>
        </is>
      </c>
      <c r="Q443" s="24" t="inlineStr">
        <is>
          <t>4</t>
        </is>
      </c>
    </row>
    <row r="444" ht="24" customHeight="1">
      <c r="A444" s="29" t="inlineStr">
        <is>
          <t>OpenDART_fnlttSinglAcntAll</t>
        </is>
      </c>
      <c r="B444" s="29" t="inlineStr">
        <is>
          <t>01365825</t>
        </is>
      </c>
      <c r="C444" s="29" t="inlineStr">
        <is>
          <t>피에스케이</t>
        </is>
      </c>
      <c r="D444" s="29" t="inlineStr">
        <is>
          <t>psk</t>
        </is>
      </c>
      <c r="E444" s="29" t="inlineStr">
        <is>
          <t>319660</t>
        </is>
      </c>
      <c r="F444" s="29" t="inlineStr">
        <is>
          <t>2023</t>
        </is>
      </c>
      <c r="G444" s="29" t="inlineStr">
        <is>
          <t>CFS</t>
        </is>
      </c>
      <c r="H444" s="29" t="inlineStr">
        <is>
          <t>SCE</t>
        </is>
      </c>
      <c r="I444" s="29" t="inlineStr">
        <is>
          <t>자본변동표</t>
        </is>
      </c>
      <c r="J444" s="29" t="inlineStr">
        <is>
          <t>dart_EquityAtBeginningOfPeriod</t>
        </is>
      </c>
      <c r="K444" s="29" t="inlineStr">
        <is>
          <t>기초자본</t>
        </is>
      </c>
      <c r="L444" s="29" t="inlineStr">
        <is>
          <t>연결재무제표 [member]</t>
        </is>
      </c>
      <c r="M444" s="29" t="inlineStr">
        <is>
          <t>제 5 기</t>
        </is>
      </c>
      <c r="N444" s="29" t="inlineStr">
        <is>
          <t>353307517966.0</t>
        </is>
      </c>
      <c r="O444" s="29" t="inlineStr">
        <is>
          <t>289070957803.0</t>
        </is>
      </c>
      <c r="P444" s="29" t="inlineStr">
        <is>
          <t>KRW</t>
        </is>
      </c>
      <c r="Q444" s="29" t="inlineStr">
        <is>
          <t>4</t>
        </is>
      </c>
    </row>
    <row r="445" ht="24" customHeight="1">
      <c r="A445" s="24" t="inlineStr">
        <is>
          <t>OpenDART_fnlttSinglAcntAll</t>
        </is>
      </c>
      <c r="B445" s="24" t="inlineStr">
        <is>
          <t>01365825</t>
        </is>
      </c>
      <c r="C445" s="24" t="inlineStr">
        <is>
          <t>피에스케이</t>
        </is>
      </c>
      <c r="D445" s="24" t="inlineStr">
        <is>
          <t>psk</t>
        </is>
      </c>
      <c r="E445" s="24" t="inlineStr">
        <is>
          <t>319660</t>
        </is>
      </c>
      <c r="F445" s="24" t="inlineStr">
        <is>
          <t>2023</t>
        </is>
      </c>
      <c r="G445" s="24" t="inlineStr">
        <is>
          <t>CFS</t>
        </is>
      </c>
      <c r="H445" s="24" t="inlineStr">
        <is>
          <t>SCE</t>
        </is>
      </c>
      <c r="I445" s="24" t="inlineStr">
        <is>
          <t>자본변동표</t>
        </is>
      </c>
      <c r="J445" s="24" t="inlineStr">
        <is>
          <t>dart_EquityAtBeginningOfPeriod</t>
        </is>
      </c>
      <c r="K445" s="24" t="inlineStr">
        <is>
          <t>기초자본</t>
        </is>
      </c>
      <c r="L445" s="24" t="inlineStr">
        <is>
          <t>자본 [구성요소]|지배기업의 소유주에게 귀속되는 지분 [구성요소]|자본잉여금 [구성요소]</t>
        </is>
      </c>
      <c r="M445" s="24" t="inlineStr">
        <is>
          <t>제 5 기</t>
        </is>
      </c>
      <c r="N445" s="24" t="inlineStr">
        <is>
          <t>171960244948.0</t>
        </is>
      </c>
      <c r="O445" s="24" t="inlineStr">
        <is>
          <t>174949518957.0</t>
        </is>
      </c>
      <c r="P445" s="24" t="inlineStr">
        <is>
          <t>KRW</t>
        </is>
      </c>
      <c r="Q445" s="24" t="inlineStr">
        <is>
          <t>4</t>
        </is>
      </c>
    </row>
    <row r="446" ht="24" customHeight="1">
      <c r="A446" s="29" t="inlineStr">
        <is>
          <t>OpenDART_fnlttSinglAcntAll</t>
        </is>
      </c>
      <c r="B446" s="29" t="inlineStr">
        <is>
          <t>01365825</t>
        </is>
      </c>
      <c r="C446" s="29" t="inlineStr">
        <is>
          <t>피에스케이</t>
        </is>
      </c>
      <c r="D446" s="29" t="inlineStr">
        <is>
          <t>psk</t>
        </is>
      </c>
      <c r="E446" s="29" t="inlineStr">
        <is>
          <t>319660</t>
        </is>
      </c>
      <c r="F446" s="29" t="inlineStr">
        <is>
          <t>2023</t>
        </is>
      </c>
      <c r="G446" s="29" t="inlineStr">
        <is>
          <t>CFS</t>
        </is>
      </c>
      <c r="H446" s="29" t="inlineStr">
        <is>
          <t>SCE</t>
        </is>
      </c>
      <c r="I446" s="29" t="inlineStr">
        <is>
          <t>자본변동표</t>
        </is>
      </c>
      <c r="J446" s="29" t="inlineStr">
        <is>
          <t>dart_ProceedsFromExchangeableBond</t>
        </is>
      </c>
      <c r="K446" s="29" t="inlineStr">
        <is>
          <t>교환사채의 증가</t>
        </is>
      </c>
      <c r="L446" s="29" t="inlineStr">
        <is>
          <t>연결재무제표 [member]</t>
        </is>
      </c>
      <c r="M446" s="29" t="inlineStr">
        <is>
          <t>제 5 기</t>
        </is>
      </c>
      <c r="N446" s="29" t="inlineStr">
        <is>
          <t>해당 없음</t>
        </is>
      </c>
      <c r="O446" s="29" t="inlineStr">
        <is>
          <t>해당 없음</t>
        </is>
      </c>
      <c r="P446" s="29" t="inlineStr">
        <is>
          <t>KRW</t>
        </is>
      </c>
      <c r="Q446" s="29" t="inlineStr">
        <is>
          <t>5</t>
        </is>
      </c>
    </row>
    <row r="447" ht="24" customHeight="1">
      <c r="A447" s="24" t="inlineStr">
        <is>
          <t>OpenDART_fnlttSinglAcntAll</t>
        </is>
      </c>
      <c r="B447" s="24" t="inlineStr">
        <is>
          <t>01365825</t>
        </is>
      </c>
      <c r="C447" s="24" t="inlineStr">
        <is>
          <t>피에스케이</t>
        </is>
      </c>
      <c r="D447" s="24" t="inlineStr">
        <is>
          <t>psk</t>
        </is>
      </c>
      <c r="E447" s="24" t="inlineStr">
        <is>
          <t>319660</t>
        </is>
      </c>
      <c r="F447" s="24" t="inlineStr">
        <is>
          <t>2023</t>
        </is>
      </c>
      <c r="G447" s="24" t="inlineStr">
        <is>
          <t>CFS</t>
        </is>
      </c>
      <c r="H447" s="24" t="inlineStr">
        <is>
          <t>SCE</t>
        </is>
      </c>
      <c r="I447" s="24" t="inlineStr">
        <is>
          <t>자본변동표</t>
        </is>
      </c>
      <c r="J447" s="24" t="inlineStr">
        <is>
          <t>dart_ProceedsFromExchangeableBond</t>
        </is>
      </c>
      <c r="K447" s="24" t="inlineStr">
        <is>
          <t>교환사채의 증가</t>
        </is>
      </c>
      <c r="L447" s="24" t="inlineStr">
        <is>
          <t>자본 [구성요소]|지배기업의 소유주에게 귀속되는 지분 [구성요소]</t>
        </is>
      </c>
      <c r="M447" s="24" t="inlineStr">
        <is>
          <t>제 5 기</t>
        </is>
      </c>
      <c r="N447" s="24" t="inlineStr">
        <is>
          <t>해당 없음</t>
        </is>
      </c>
      <c r="O447" s="24" t="inlineStr">
        <is>
          <t>해당 없음</t>
        </is>
      </c>
      <c r="P447" s="24" t="inlineStr">
        <is>
          <t>KRW</t>
        </is>
      </c>
      <c r="Q447" s="24" t="inlineStr">
        <is>
          <t>5</t>
        </is>
      </c>
    </row>
    <row r="448" ht="24" customHeight="1">
      <c r="A448" s="29" t="inlineStr">
        <is>
          <t>OpenDART_fnlttSinglAcntAll</t>
        </is>
      </c>
      <c r="B448" s="29" t="inlineStr">
        <is>
          <t>01365825</t>
        </is>
      </c>
      <c r="C448" s="29" t="inlineStr">
        <is>
          <t>피에스케이</t>
        </is>
      </c>
      <c r="D448" s="29" t="inlineStr">
        <is>
          <t>psk</t>
        </is>
      </c>
      <c r="E448" s="29" t="inlineStr">
        <is>
          <t>319660</t>
        </is>
      </c>
      <c r="F448" s="29" t="inlineStr">
        <is>
          <t>2023</t>
        </is>
      </c>
      <c r="G448" s="29" t="inlineStr">
        <is>
          <t>CFS</t>
        </is>
      </c>
      <c r="H448" s="29" t="inlineStr">
        <is>
          <t>SCE</t>
        </is>
      </c>
      <c r="I448" s="29" t="inlineStr">
        <is>
          <t>자본변동표</t>
        </is>
      </c>
      <c r="J448" s="29" t="inlineStr">
        <is>
          <t>dart_ProceedsFromExchangeableBond</t>
        </is>
      </c>
      <c r="K448" s="29" t="inlineStr">
        <is>
          <t>교환사채의 증가</t>
        </is>
      </c>
      <c r="L448" s="29" t="inlineStr">
        <is>
          <t>자본 [구성요소]|지배기업의 소유주에게 귀속되는 지분 [구성요소]|기타자본구성요소 [구성요소]</t>
        </is>
      </c>
      <c r="M448" s="29" t="inlineStr">
        <is>
          <t>제 5 기</t>
        </is>
      </c>
      <c r="N448" s="29" t="inlineStr">
        <is>
          <t>해당 없음</t>
        </is>
      </c>
      <c r="O448" s="29" t="inlineStr">
        <is>
          <t>해당 없음</t>
        </is>
      </c>
      <c r="P448" s="29" t="inlineStr">
        <is>
          <t>KRW</t>
        </is>
      </c>
      <c r="Q448" s="29" t="inlineStr">
        <is>
          <t>5</t>
        </is>
      </c>
    </row>
    <row r="449" ht="24" customHeight="1">
      <c r="A449" s="24" t="inlineStr">
        <is>
          <t>OpenDART_fnlttSinglAcntAll</t>
        </is>
      </c>
      <c r="B449" s="24" t="inlineStr">
        <is>
          <t>01365825</t>
        </is>
      </c>
      <c r="C449" s="24" t="inlineStr">
        <is>
          <t>피에스케이</t>
        </is>
      </c>
      <c r="D449" s="24" t="inlineStr">
        <is>
          <t>psk</t>
        </is>
      </c>
      <c r="E449" s="24" t="inlineStr">
        <is>
          <t>319660</t>
        </is>
      </c>
      <c r="F449" s="24" t="inlineStr">
        <is>
          <t>2023</t>
        </is>
      </c>
      <c r="G449" s="24" t="inlineStr">
        <is>
          <t>CFS</t>
        </is>
      </c>
      <c r="H449" s="24" t="inlineStr">
        <is>
          <t>SCE</t>
        </is>
      </c>
      <c r="I449" s="24" t="inlineStr">
        <is>
          <t>자본변동표</t>
        </is>
      </c>
      <c r="J449" s="24" t="inlineStr">
        <is>
          <t>dart_ProceedsFromExchangeableBond</t>
        </is>
      </c>
      <c r="K449" s="24" t="inlineStr">
        <is>
          <t>교환사채의 증가</t>
        </is>
      </c>
      <c r="L449" s="24" t="inlineStr">
        <is>
          <t>자본 [구성요소]|지배기업의 소유주에게 귀속되는 지분 [구성요소]|이익잉여금 [구성요소]</t>
        </is>
      </c>
      <c r="M449" s="24" t="inlineStr">
        <is>
          <t>제 5 기</t>
        </is>
      </c>
      <c r="N449" s="24" t="inlineStr">
        <is>
          <t>해당 없음</t>
        </is>
      </c>
      <c r="O449" s="24" t="inlineStr">
        <is>
          <t>해당 없음</t>
        </is>
      </c>
      <c r="P449" s="24" t="inlineStr">
        <is>
          <t>KRW</t>
        </is>
      </c>
      <c r="Q449" s="24" t="inlineStr">
        <is>
          <t>5</t>
        </is>
      </c>
    </row>
    <row r="450" ht="24" customHeight="1">
      <c r="A450" s="29" t="inlineStr">
        <is>
          <t>OpenDART_fnlttSinglAcntAll</t>
        </is>
      </c>
      <c r="B450" s="29" t="inlineStr">
        <is>
          <t>01365825</t>
        </is>
      </c>
      <c r="C450" s="29" t="inlineStr">
        <is>
          <t>피에스케이</t>
        </is>
      </c>
      <c r="D450" s="29" t="inlineStr">
        <is>
          <t>psk</t>
        </is>
      </c>
      <c r="E450" s="29" t="inlineStr">
        <is>
          <t>319660</t>
        </is>
      </c>
      <c r="F450" s="29" t="inlineStr">
        <is>
          <t>2023</t>
        </is>
      </c>
      <c r="G450" s="29" t="inlineStr">
        <is>
          <t>CFS</t>
        </is>
      </c>
      <c r="H450" s="29" t="inlineStr">
        <is>
          <t>SCE</t>
        </is>
      </c>
      <c r="I450" s="29" t="inlineStr">
        <is>
          <t>자본변동표</t>
        </is>
      </c>
      <c r="J450" s="29" t="inlineStr">
        <is>
          <t>dart_ProceedsFromExchangeableBond</t>
        </is>
      </c>
      <c r="K450" s="29" t="inlineStr">
        <is>
          <t>교환사채의 증가</t>
        </is>
      </c>
      <c r="L450" s="29" t="inlineStr">
        <is>
          <t>자본 [구성요소]|지배기업의 소유주에게 귀속되는 지분 [구성요소]|자본금 [구성요소]</t>
        </is>
      </c>
      <c r="M450" s="29" t="inlineStr">
        <is>
          <t>제 5 기</t>
        </is>
      </c>
      <c r="N450" s="29" t="inlineStr">
        <is>
          <t>해당 없음</t>
        </is>
      </c>
      <c r="O450" s="29" t="inlineStr">
        <is>
          <t>해당 없음</t>
        </is>
      </c>
      <c r="P450" s="29" t="inlineStr">
        <is>
          <t>KRW</t>
        </is>
      </c>
      <c r="Q450" s="29" t="inlineStr">
        <is>
          <t>5</t>
        </is>
      </c>
    </row>
    <row r="451" ht="24" customHeight="1">
      <c r="A451" s="24" t="inlineStr">
        <is>
          <t>OpenDART_fnlttSinglAcntAll</t>
        </is>
      </c>
      <c r="B451" s="24" t="inlineStr">
        <is>
          <t>01365825</t>
        </is>
      </c>
      <c r="C451" s="24" t="inlineStr">
        <is>
          <t>피에스케이</t>
        </is>
      </c>
      <c r="D451" s="24" t="inlineStr">
        <is>
          <t>psk</t>
        </is>
      </c>
      <c r="E451" s="24" t="inlineStr">
        <is>
          <t>319660</t>
        </is>
      </c>
      <c r="F451" s="24" t="inlineStr">
        <is>
          <t>2023</t>
        </is>
      </c>
      <c r="G451" s="24" t="inlineStr">
        <is>
          <t>CFS</t>
        </is>
      </c>
      <c r="H451" s="24" t="inlineStr">
        <is>
          <t>SCE</t>
        </is>
      </c>
      <c r="I451" s="24" t="inlineStr">
        <is>
          <t>자본변동표</t>
        </is>
      </c>
      <c r="J451" s="24" t="inlineStr">
        <is>
          <t>dart_ProceedsFromExchangeableBond</t>
        </is>
      </c>
      <c r="K451" s="24" t="inlineStr">
        <is>
          <t>교환사채의 증가</t>
        </is>
      </c>
      <c r="L451" s="24" t="inlineStr">
        <is>
          <t>자본 [구성요소]|지배기업의 소유주에게 귀속되는 지분 [구성요소]|자본잉여금 [구성요소]</t>
        </is>
      </c>
      <c r="M451" s="24" t="inlineStr">
        <is>
          <t>제 5 기</t>
        </is>
      </c>
      <c r="N451" s="24" t="inlineStr">
        <is>
          <t>해당 없음</t>
        </is>
      </c>
      <c r="O451" s="24" t="inlineStr">
        <is>
          <t>해당 없음</t>
        </is>
      </c>
      <c r="P451" s="24" t="inlineStr">
        <is>
          <t>KRW</t>
        </is>
      </c>
      <c r="Q451" s="24" t="inlineStr">
        <is>
          <t>5</t>
        </is>
      </c>
    </row>
    <row r="452" ht="24" customHeight="1">
      <c r="A452" s="29" t="inlineStr">
        <is>
          <t>OpenDART_fnlttSinglAcntAll</t>
        </is>
      </c>
      <c r="B452" s="29" t="inlineStr">
        <is>
          <t>01365825</t>
        </is>
      </c>
      <c r="C452" s="29" t="inlineStr">
        <is>
          <t>피에스케이</t>
        </is>
      </c>
      <c r="D452" s="29" t="inlineStr">
        <is>
          <t>psk</t>
        </is>
      </c>
      <c r="E452" s="29" t="inlineStr">
        <is>
          <t>319660</t>
        </is>
      </c>
      <c r="F452" s="29" t="inlineStr">
        <is>
          <t>2023</t>
        </is>
      </c>
      <c r="G452" s="29" t="inlineStr">
        <is>
          <t>CFS</t>
        </is>
      </c>
      <c r="H452" s="29" t="inlineStr">
        <is>
          <t>SCE</t>
        </is>
      </c>
      <c r="I452" s="29" t="inlineStr">
        <is>
          <t>자본변동표</t>
        </is>
      </c>
      <c r="J452" s="29" t="inlineStr">
        <is>
          <t>dart_TreasuryShareTransactions</t>
        </is>
      </c>
      <c r="K452" s="29" t="inlineStr">
        <is>
          <t>자기주식 거래로 인한 증감</t>
        </is>
      </c>
      <c r="L452" s="29" t="inlineStr">
        <is>
          <t>연결재무제표 [member]</t>
        </is>
      </c>
      <c r="M452" s="29" t="inlineStr">
        <is>
          <t>제 5 기</t>
        </is>
      </c>
      <c r="N452" s="29" t="inlineStr">
        <is>
          <t>해당 없음</t>
        </is>
      </c>
      <c r="O452" s="29" t="inlineStr">
        <is>
          <t>-5570057110.0</t>
        </is>
      </c>
      <c r="P452" s="29" t="inlineStr">
        <is>
          <t>KRW</t>
        </is>
      </c>
      <c r="Q452" s="29" t="inlineStr">
        <is>
          <t>6</t>
        </is>
      </c>
    </row>
    <row r="453" ht="24" customHeight="1">
      <c r="A453" s="24" t="inlineStr">
        <is>
          <t>OpenDART_fnlttSinglAcntAll</t>
        </is>
      </c>
      <c r="B453" s="24" t="inlineStr">
        <is>
          <t>01365825</t>
        </is>
      </c>
      <c r="C453" s="24" t="inlineStr">
        <is>
          <t>피에스케이</t>
        </is>
      </c>
      <c r="D453" s="24" t="inlineStr">
        <is>
          <t>psk</t>
        </is>
      </c>
      <c r="E453" s="24" t="inlineStr">
        <is>
          <t>319660</t>
        </is>
      </c>
      <c r="F453" s="24" t="inlineStr">
        <is>
          <t>2023</t>
        </is>
      </c>
      <c r="G453" s="24" t="inlineStr">
        <is>
          <t>CFS</t>
        </is>
      </c>
      <c r="H453" s="24" t="inlineStr">
        <is>
          <t>SCE</t>
        </is>
      </c>
      <c r="I453" s="24" t="inlineStr">
        <is>
          <t>자본변동표</t>
        </is>
      </c>
      <c r="J453" s="24" t="inlineStr">
        <is>
          <t>dart_TreasuryShareTransactions</t>
        </is>
      </c>
      <c r="K453" s="24" t="inlineStr">
        <is>
          <t>자기주식 거래로 인한 증감</t>
        </is>
      </c>
      <c r="L453" s="24" t="inlineStr">
        <is>
          <t>자본 [구성요소]|지배기업의 소유주에게 귀속되는 지분 [구성요소]</t>
        </is>
      </c>
      <c r="M453" s="24" t="inlineStr">
        <is>
          <t>제 5 기</t>
        </is>
      </c>
      <c r="N453" s="24" t="inlineStr">
        <is>
          <t>해당 없음</t>
        </is>
      </c>
      <c r="O453" s="24" t="inlineStr">
        <is>
          <t>-5570057110.0</t>
        </is>
      </c>
      <c r="P453" s="24" t="inlineStr">
        <is>
          <t>KRW</t>
        </is>
      </c>
      <c r="Q453" s="24" t="inlineStr">
        <is>
          <t>6</t>
        </is>
      </c>
    </row>
    <row r="454" ht="24" customHeight="1">
      <c r="A454" s="29" t="inlineStr">
        <is>
          <t>OpenDART_fnlttSinglAcntAll</t>
        </is>
      </c>
      <c r="B454" s="29" t="inlineStr">
        <is>
          <t>01365825</t>
        </is>
      </c>
      <c r="C454" s="29" t="inlineStr">
        <is>
          <t>피에스케이</t>
        </is>
      </c>
      <c r="D454" s="29" t="inlineStr">
        <is>
          <t>psk</t>
        </is>
      </c>
      <c r="E454" s="29" t="inlineStr">
        <is>
          <t>319660</t>
        </is>
      </c>
      <c r="F454" s="29" t="inlineStr">
        <is>
          <t>2023</t>
        </is>
      </c>
      <c r="G454" s="29" t="inlineStr">
        <is>
          <t>CFS</t>
        </is>
      </c>
      <c r="H454" s="29" t="inlineStr">
        <is>
          <t>SCE</t>
        </is>
      </c>
      <c r="I454" s="29" t="inlineStr">
        <is>
          <t>자본변동표</t>
        </is>
      </c>
      <c r="J454" s="29" t="inlineStr">
        <is>
          <t>dart_TreasuryShareTransactions</t>
        </is>
      </c>
      <c r="K454" s="29" t="inlineStr">
        <is>
          <t>자기주식 거래로 인한 증감</t>
        </is>
      </c>
      <c r="L454" s="29" t="inlineStr">
        <is>
          <t>자본 [구성요소]|지배기업의 소유주에게 귀속되는 지분 [구성요소]|기타자본구성요소 [구성요소]</t>
        </is>
      </c>
      <c r="M454" s="29" t="inlineStr">
        <is>
          <t>제 5 기</t>
        </is>
      </c>
      <c r="N454" s="29" t="inlineStr">
        <is>
          <t>해당 없음</t>
        </is>
      </c>
      <c r="O454" s="29" t="inlineStr">
        <is>
          <t>0.0</t>
        </is>
      </c>
      <c r="P454" s="29" t="inlineStr">
        <is>
          <t>KRW</t>
        </is>
      </c>
      <c r="Q454" s="29" t="inlineStr">
        <is>
          <t>6</t>
        </is>
      </c>
    </row>
    <row r="455" ht="24" customHeight="1">
      <c r="A455" s="24" t="inlineStr">
        <is>
          <t>OpenDART_fnlttSinglAcntAll</t>
        </is>
      </c>
      <c r="B455" s="24" t="inlineStr">
        <is>
          <t>01365825</t>
        </is>
      </c>
      <c r="C455" s="24" t="inlineStr">
        <is>
          <t>피에스케이</t>
        </is>
      </c>
      <c r="D455" s="24" t="inlineStr">
        <is>
          <t>psk</t>
        </is>
      </c>
      <c r="E455" s="24" t="inlineStr">
        <is>
          <t>319660</t>
        </is>
      </c>
      <c r="F455" s="24" t="inlineStr">
        <is>
          <t>2023</t>
        </is>
      </c>
      <c r="G455" s="24" t="inlineStr">
        <is>
          <t>CFS</t>
        </is>
      </c>
      <c r="H455" s="24" t="inlineStr">
        <is>
          <t>SCE</t>
        </is>
      </c>
      <c r="I455" s="24" t="inlineStr">
        <is>
          <t>자본변동표</t>
        </is>
      </c>
      <c r="J455" s="24" t="inlineStr">
        <is>
          <t>dart_TreasuryShareTransactions</t>
        </is>
      </c>
      <c r="K455" s="24" t="inlineStr">
        <is>
          <t>자기주식 거래로 인한 증감</t>
        </is>
      </c>
      <c r="L455" s="24" t="inlineStr">
        <is>
          <t>자본 [구성요소]|지배기업의 소유주에게 귀속되는 지분 [구성요소]|이익잉여금 [구성요소]</t>
        </is>
      </c>
      <c r="M455" s="24" t="inlineStr">
        <is>
          <t>제 5 기</t>
        </is>
      </c>
      <c r="N455" s="24" t="inlineStr">
        <is>
          <t>해당 없음</t>
        </is>
      </c>
      <c r="O455" s="24" t="inlineStr">
        <is>
          <t>-9889377571.0</t>
        </is>
      </c>
      <c r="P455" s="24" t="inlineStr">
        <is>
          <t>KRW</t>
        </is>
      </c>
      <c r="Q455" s="24" t="inlineStr">
        <is>
          <t>6</t>
        </is>
      </c>
    </row>
    <row r="456" ht="24" customHeight="1">
      <c r="A456" s="29" t="inlineStr">
        <is>
          <t>OpenDART_fnlttSinglAcntAll</t>
        </is>
      </c>
      <c r="B456" s="29" t="inlineStr">
        <is>
          <t>01365825</t>
        </is>
      </c>
      <c r="C456" s="29" t="inlineStr">
        <is>
          <t>피에스케이</t>
        </is>
      </c>
      <c r="D456" s="29" t="inlineStr">
        <is>
          <t>psk</t>
        </is>
      </c>
      <c r="E456" s="29" t="inlineStr">
        <is>
          <t>319660</t>
        </is>
      </c>
      <c r="F456" s="29" t="inlineStr">
        <is>
          <t>2023</t>
        </is>
      </c>
      <c r="G456" s="29" t="inlineStr">
        <is>
          <t>CFS</t>
        </is>
      </c>
      <c r="H456" s="29" t="inlineStr">
        <is>
          <t>SCE</t>
        </is>
      </c>
      <c r="I456" s="29" t="inlineStr">
        <is>
          <t>자본변동표</t>
        </is>
      </c>
      <c r="J456" s="29" t="inlineStr">
        <is>
          <t>dart_TreasuryShareTransactions</t>
        </is>
      </c>
      <c r="K456" s="29" t="inlineStr">
        <is>
          <t>자기주식 거래로 인한 증감</t>
        </is>
      </c>
      <c r="L456" s="29" t="inlineStr">
        <is>
          <t>자본 [구성요소]|지배기업의 소유주에게 귀속되는 지분 [구성요소]|자본금 [구성요소]</t>
        </is>
      </c>
      <c r="M456" s="29" t="inlineStr">
        <is>
          <t>제 5 기</t>
        </is>
      </c>
      <c r="N456" s="29" t="inlineStr">
        <is>
          <t>해당 없음</t>
        </is>
      </c>
      <c r="O456" s="29" t="inlineStr">
        <is>
          <t>0.0</t>
        </is>
      </c>
      <c r="P456" s="29" t="inlineStr">
        <is>
          <t>KRW</t>
        </is>
      </c>
      <c r="Q456" s="29" t="inlineStr">
        <is>
          <t>6</t>
        </is>
      </c>
    </row>
    <row r="457" ht="24" customHeight="1">
      <c r="A457" s="24" t="inlineStr">
        <is>
          <t>OpenDART_fnlttSinglAcntAll</t>
        </is>
      </c>
      <c r="B457" s="24" t="inlineStr">
        <is>
          <t>01365825</t>
        </is>
      </c>
      <c r="C457" s="24" t="inlineStr">
        <is>
          <t>피에스케이</t>
        </is>
      </c>
      <c r="D457" s="24" t="inlineStr">
        <is>
          <t>psk</t>
        </is>
      </c>
      <c r="E457" s="24" t="inlineStr">
        <is>
          <t>319660</t>
        </is>
      </c>
      <c r="F457" s="24" t="inlineStr">
        <is>
          <t>2023</t>
        </is>
      </c>
      <c r="G457" s="24" t="inlineStr">
        <is>
          <t>CFS</t>
        </is>
      </c>
      <c r="H457" s="24" t="inlineStr">
        <is>
          <t>SCE</t>
        </is>
      </c>
      <c r="I457" s="24" t="inlineStr">
        <is>
          <t>자본변동표</t>
        </is>
      </c>
      <c r="J457" s="24" t="inlineStr">
        <is>
          <t>dart_TreasuryShareTransactions</t>
        </is>
      </c>
      <c r="K457" s="24" t="inlineStr">
        <is>
          <t>자기주식 거래로 인한 증감</t>
        </is>
      </c>
      <c r="L457" s="24" t="inlineStr">
        <is>
          <t>자본 [구성요소]|지배기업의 소유주에게 귀속되는 지분 [구성요소]|자본잉여금 [구성요소]</t>
        </is>
      </c>
      <c r="M457" s="24" t="inlineStr">
        <is>
          <t>제 5 기</t>
        </is>
      </c>
      <c r="N457" s="24" t="inlineStr">
        <is>
          <t>해당 없음</t>
        </is>
      </c>
      <c r="O457" s="24" t="inlineStr">
        <is>
          <t>4319320461.0</t>
        </is>
      </c>
      <c r="P457" s="24" t="inlineStr">
        <is>
          <t>KRW</t>
        </is>
      </c>
      <c r="Q457" s="24" t="inlineStr">
        <is>
          <t>6</t>
        </is>
      </c>
    </row>
    <row r="458" ht="24" customHeight="1">
      <c r="A458" s="29" t="inlineStr">
        <is>
          <t>OpenDART_fnlttSinglAcntAll</t>
        </is>
      </c>
      <c r="B458" s="29" t="inlineStr">
        <is>
          <t>01365825</t>
        </is>
      </c>
      <c r="C458" s="29" t="inlineStr">
        <is>
          <t>피에스케이</t>
        </is>
      </c>
      <c r="D458" s="29" t="inlineStr">
        <is>
          <t>psk</t>
        </is>
      </c>
      <c r="E458" s="29" t="inlineStr">
        <is>
          <t>319660</t>
        </is>
      </c>
      <c r="F458" s="29" t="inlineStr">
        <is>
          <t>2023</t>
        </is>
      </c>
      <c r="G458" s="29" t="inlineStr">
        <is>
          <t>CFS</t>
        </is>
      </c>
      <c r="H458" s="29" t="inlineStr">
        <is>
          <t>SCE</t>
        </is>
      </c>
      <c r="I458" s="29" t="inlineStr">
        <is>
          <t>자본변동표</t>
        </is>
      </c>
      <c r="J458" s="29" t="inlineStr">
        <is>
          <t>ifrs-full_ChangesInEquity</t>
        </is>
      </c>
      <c r="K458" s="29" t="inlineStr">
        <is>
          <t>자본 증가(감소) 합계</t>
        </is>
      </c>
      <c r="L458" s="29" t="inlineStr">
        <is>
          <t>자본 [구성요소]|지배기업의 소유주에게 귀속되는 지분 [구성요소]|자본금 [구성요소]</t>
        </is>
      </c>
      <c r="M458" s="29" t="inlineStr">
        <is>
          <t>제 5 기</t>
        </is>
      </c>
      <c r="N458" s="29" t="inlineStr">
        <is>
          <t>0.0</t>
        </is>
      </c>
      <c r="O458" s="29" t="inlineStr">
        <is>
          <t>7241678500.0</t>
        </is>
      </c>
      <c r="P458" s="29" t="inlineStr">
        <is>
          <t>KRW</t>
        </is>
      </c>
      <c r="Q458" s="29" t="inlineStr">
        <is>
          <t>7</t>
        </is>
      </c>
    </row>
    <row r="459" ht="24" customHeight="1">
      <c r="A459" s="24" t="inlineStr">
        <is>
          <t>OpenDART_fnlttSinglAcntAll</t>
        </is>
      </c>
      <c r="B459" s="24" t="inlineStr">
        <is>
          <t>01365825</t>
        </is>
      </c>
      <c r="C459" s="24" t="inlineStr">
        <is>
          <t>피에스케이</t>
        </is>
      </c>
      <c r="D459" s="24" t="inlineStr">
        <is>
          <t>psk</t>
        </is>
      </c>
      <c r="E459" s="24" t="inlineStr">
        <is>
          <t>319660</t>
        </is>
      </c>
      <c r="F459" s="24" t="inlineStr">
        <is>
          <t>2023</t>
        </is>
      </c>
      <c r="G459" s="24" t="inlineStr">
        <is>
          <t>CFS</t>
        </is>
      </c>
      <c r="H459" s="24" t="inlineStr">
        <is>
          <t>SCE</t>
        </is>
      </c>
      <c r="I459" s="24" t="inlineStr">
        <is>
          <t>자본변동표</t>
        </is>
      </c>
      <c r="J459" s="24" t="inlineStr">
        <is>
          <t>ifrs-full_ChangesInEquity</t>
        </is>
      </c>
      <c r="K459" s="24" t="inlineStr">
        <is>
          <t>자본 증가(감소) 합계</t>
        </is>
      </c>
      <c r="L459" s="24" t="inlineStr">
        <is>
          <t>자본 [구성요소]|지배기업의 소유주에게 귀속되는 지분 [구성요소]|이익잉여금 [구성요소]</t>
        </is>
      </c>
      <c r="M459" s="24" t="inlineStr">
        <is>
          <t>제 5 기</t>
        </is>
      </c>
      <c r="N459" s="24" t="inlineStr">
        <is>
          <t>39666200999.0</t>
        </is>
      </c>
      <c r="O459" s="24" t="inlineStr">
        <is>
          <t>60665322819.0</t>
        </is>
      </c>
      <c r="P459" s="24" t="inlineStr">
        <is>
          <t>KRW</t>
        </is>
      </c>
      <c r="Q459" s="24" t="inlineStr">
        <is>
          <t>7</t>
        </is>
      </c>
    </row>
    <row r="460" ht="24" customHeight="1">
      <c r="A460" s="29" t="inlineStr">
        <is>
          <t>OpenDART_fnlttSinglAcntAll</t>
        </is>
      </c>
      <c r="B460" s="29" t="inlineStr">
        <is>
          <t>01365825</t>
        </is>
      </c>
      <c r="C460" s="29" t="inlineStr">
        <is>
          <t>피에스케이</t>
        </is>
      </c>
      <c r="D460" s="29" t="inlineStr">
        <is>
          <t>psk</t>
        </is>
      </c>
      <c r="E460" s="29" t="inlineStr">
        <is>
          <t>319660</t>
        </is>
      </c>
      <c r="F460" s="29" t="inlineStr">
        <is>
          <t>2023</t>
        </is>
      </c>
      <c r="G460" s="29" t="inlineStr">
        <is>
          <t>CFS</t>
        </is>
      </c>
      <c r="H460" s="29" t="inlineStr">
        <is>
          <t>SCE</t>
        </is>
      </c>
      <c r="I460" s="29" t="inlineStr">
        <is>
          <t>자본변동표</t>
        </is>
      </c>
      <c r="J460" s="29" t="inlineStr">
        <is>
          <t>ifrs-full_ChangesInEquity</t>
        </is>
      </c>
      <c r="K460" s="29" t="inlineStr">
        <is>
          <t>자본 증가(감소) 합계</t>
        </is>
      </c>
      <c r="L460" s="29" t="inlineStr">
        <is>
          <t>자본 [구성요소]|지배기업의 소유주에게 귀속되는 지분 [구성요소]|기타자본구성요소 [구성요소]</t>
        </is>
      </c>
      <c r="M460" s="29" t="inlineStr">
        <is>
          <t>제 5 기</t>
        </is>
      </c>
      <c r="N460" s="29" t="inlineStr">
        <is>
          <t>-404111832.0</t>
        </is>
      </c>
      <c r="O460" s="29" t="inlineStr">
        <is>
          <t>-681167147.0</t>
        </is>
      </c>
      <c r="P460" s="29" t="inlineStr">
        <is>
          <t>KRW</t>
        </is>
      </c>
      <c r="Q460" s="29" t="inlineStr">
        <is>
          <t>7</t>
        </is>
      </c>
    </row>
    <row r="461" ht="24" customHeight="1">
      <c r="A461" s="24" t="inlineStr">
        <is>
          <t>OpenDART_fnlttSinglAcntAll</t>
        </is>
      </c>
      <c r="B461" s="24" t="inlineStr">
        <is>
          <t>01365825</t>
        </is>
      </c>
      <c r="C461" s="24" t="inlineStr">
        <is>
          <t>피에스케이</t>
        </is>
      </c>
      <c r="D461" s="24" t="inlineStr">
        <is>
          <t>psk</t>
        </is>
      </c>
      <c r="E461" s="24" t="inlineStr">
        <is>
          <t>319660</t>
        </is>
      </c>
      <c r="F461" s="24" t="inlineStr">
        <is>
          <t>2023</t>
        </is>
      </c>
      <c r="G461" s="24" t="inlineStr">
        <is>
          <t>CFS</t>
        </is>
      </c>
      <c r="H461" s="24" t="inlineStr">
        <is>
          <t>SCE</t>
        </is>
      </c>
      <c r="I461" s="24" t="inlineStr">
        <is>
          <t>자본변동표</t>
        </is>
      </c>
      <c r="J461" s="24" t="inlineStr">
        <is>
          <t>ifrs-full_ChangesInEquity</t>
        </is>
      </c>
      <c r="K461" s="24" t="inlineStr">
        <is>
          <t>자본 증가(감소) 합계</t>
        </is>
      </c>
      <c r="L461" s="24" t="inlineStr">
        <is>
          <t>자본 [구성요소]|지배기업의 소유주에게 귀속되는 지분 [구성요소]</t>
        </is>
      </c>
      <c r="M461" s="24" t="inlineStr">
        <is>
          <t>제 5 기</t>
        </is>
      </c>
      <c r="N461" s="24" t="inlineStr">
        <is>
          <t>39262089167.0</t>
        </is>
      </c>
      <c r="O461" s="24" t="inlineStr">
        <is>
          <t>64236560163.0</t>
        </is>
      </c>
      <c r="P461" s="24" t="inlineStr">
        <is>
          <t>KRW</t>
        </is>
      </c>
      <c r="Q461" s="24" t="inlineStr">
        <is>
          <t>7</t>
        </is>
      </c>
    </row>
    <row r="462" ht="24" customHeight="1">
      <c r="A462" s="29" t="inlineStr">
        <is>
          <t>OpenDART_fnlttSinglAcntAll</t>
        </is>
      </c>
      <c r="B462" s="29" t="inlineStr">
        <is>
          <t>01365825</t>
        </is>
      </c>
      <c r="C462" s="29" t="inlineStr">
        <is>
          <t>피에스케이</t>
        </is>
      </c>
      <c r="D462" s="29" t="inlineStr">
        <is>
          <t>psk</t>
        </is>
      </c>
      <c r="E462" s="29" t="inlineStr">
        <is>
          <t>319660</t>
        </is>
      </c>
      <c r="F462" s="29" t="inlineStr">
        <is>
          <t>2023</t>
        </is>
      </c>
      <c r="G462" s="29" t="inlineStr">
        <is>
          <t>CFS</t>
        </is>
      </c>
      <c r="H462" s="29" t="inlineStr">
        <is>
          <t>SCE</t>
        </is>
      </c>
      <c r="I462" s="29" t="inlineStr">
        <is>
          <t>자본변동표</t>
        </is>
      </c>
      <c r="J462" s="29" t="inlineStr">
        <is>
          <t>ifrs-full_ChangesInEquity</t>
        </is>
      </c>
      <c r="K462" s="29" t="inlineStr">
        <is>
          <t>자본 증가(감소) 합계</t>
        </is>
      </c>
      <c r="L462" s="29" t="inlineStr">
        <is>
          <t>연결재무제표 [member]</t>
        </is>
      </c>
      <c r="M462" s="29" t="inlineStr">
        <is>
          <t>제 5 기</t>
        </is>
      </c>
      <c r="N462" s="29" t="inlineStr">
        <is>
          <t>39262089167.0</t>
        </is>
      </c>
      <c r="O462" s="29" t="inlineStr">
        <is>
          <t>64236560163.0</t>
        </is>
      </c>
      <c r="P462" s="29" t="inlineStr">
        <is>
          <t>KRW</t>
        </is>
      </c>
      <c r="Q462" s="29" t="inlineStr">
        <is>
          <t>7</t>
        </is>
      </c>
    </row>
    <row r="463" ht="24" customHeight="1">
      <c r="A463" s="24" t="inlineStr">
        <is>
          <t>OpenDART_fnlttSinglAcntAll</t>
        </is>
      </c>
      <c r="B463" s="24" t="inlineStr">
        <is>
          <t>01365825</t>
        </is>
      </c>
      <c r="C463" s="24" t="inlineStr">
        <is>
          <t>피에스케이</t>
        </is>
      </c>
      <c r="D463" s="24" t="inlineStr">
        <is>
          <t>psk</t>
        </is>
      </c>
      <c r="E463" s="24" t="inlineStr">
        <is>
          <t>319660</t>
        </is>
      </c>
      <c r="F463" s="24" t="inlineStr">
        <is>
          <t>2023</t>
        </is>
      </c>
      <c r="G463" s="24" t="inlineStr">
        <is>
          <t>CFS</t>
        </is>
      </c>
      <c r="H463" s="24" t="inlineStr">
        <is>
          <t>SCE</t>
        </is>
      </c>
      <c r="I463" s="24" t="inlineStr">
        <is>
          <t>자본변동표</t>
        </is>
      </c>
      <c r="J463" s="24" t="inlineStr">
        <is>
          <t>ifrs-full_ChangesInEquity</t>
        </is>
      </c>
      <c r="K463" s="24" t="inlineStr">
        <is>
          <t>자본 증가(감소) 합계</t>
        </is>
      </c>
      <c r="L463" s="24" t="inlineStr">
        <is>
          <t>자본 [구성요소]|지배기업의 소유주에게 귀속되는 지분 [구성요소]|자본잉여금 [구성요소]</t>
        </is>
      </c>
      <c r="M463" s="24" t="inlineStr">
        <is>
          <t>제 5 기</t>
        </is>
      </c>
      <c r="N463" s="24" t="inlineStr">
        <is>
          <t>0.0</t>
        </is>
      </c>
      <c r="O463" s="24" t="inlineStr">
        <is>
          <t>-2989274009.0</t>
        </is>
      </c>
      <c r="P463" s="24" t="inlineStr">
        <is>
          <t>KRW</t>
        </is>
      </c>
      <c r="Q463" s="24" t="inlineStr">
        <is>
          <t>7</t>
        </is>
      </c>
    </row>
    <row r="464" ht="24" customHeight="1">
      <c r="A464" s="29" t="inlineStr">
        <is>
          <t>OpenDART_fnlttSinglAcntAll</t>
        </is>
      </c>
      <c r="B464" s="29" t="inlineStr">
        <is>
          <t>01365825</t>
        </is>
      </c>
      <c r="C464" s="29" t="inlineStr">
        <is>
          <t>피에스케이</t>
        </is>
      </c>
      <c r="D464" s="29" t="inlineStr">
        <is>
          <t>psk</t>
        </is>
      </c>
      <c r="E464" s="29" t="inlineStr">
        <is>
          <t>319660</t>
        </is>
      </c>
      <c r="F464" s="29" t="inlineStr">
        <is>
          <t>2023</t>
        </is>
      </c>
      <c r="G464" s="29" t="inlineStr">
        <is>
          <t>CFS</t>
        </is>
      </c>
      <c r="H464" s="29" t="inlineStr">
        <is>
          <t>SCE</t>
        </is>
      </c>
      <c r="I464" s="29" t="inlineStr">
        <is>
          <t>자본변동표</t>
        </is>
      </c>
      <c r="J464" s="29" t="inlineStr">
        <is>
          <t>ifrs-full_DividendsPaid</t>
        </is>
      </c>
      <c r="K464" s="29" t="inlineStr">
        <is>
          <t>소유주에 대한 배분으로 인식된 배당금</t>
        </is>
      </c>
      <c r="L464" s="29" t="inlineStr">
        <is>
          <t>자본 [구성요소]|지배기업의 소유주에게 귀속되는 지분 [구성요소]</t>
        </is>
      </c>
      <c r="M464" s="29" t="inlineStr">
        <is>
          <t>제 5 기</t>
        </is>
      </c>
      <c r="N464" s="29" t="inlineStr">
        <is>
          <t>11586685600.0</t>
        </is>
      </c>
      <c r="O464" s="29" t="inlineStr">
        <is>
          <t>8770449600.0</t>
        </is>
      </c>
      <c r="P464" s="29" t="inlineStr">
        <is>
          <t>KRW</t>
        </is>
      </c>
      <c r="Q464" s="29" t="inlineStr">
        <is>
          <t>8</t>
        </is>
      </c>
    </row>
    <row r="465" ht="24" customHeight="1">
      <c r="A465" s="24" t="inlineStr">
        <is>
          <t>OpenDART_fnlttSinglAcntAll</t>
        </is>
      </c>
      <c r="B465" s="24" t="inlineStr">
        <is>
          <t>01365825</t>
        </is>
      </c>
      <c r="C465" s="24" t="inlineStr">
        <is>
          <t>피에스케이</t>
        </is>
      </c>
      <c r="D465" s="24" t="inlineStr">
        <is>
          <t>psk</t>
        </is>
      </c>
      <c r="E465" s="24" t="inlineStr">
        <is>
          <t>319660</t>
        </is>
      </c>
      <c r="F465" s="24" t="inlineStr">
        <is>
          <t>2023</t>
        </is>
      </c>
      <c r="G465" s="24" t="inlineStr">
        <is>
          <t>CFS</t>
        </is>
      </c>
      <c r="H465" s="24" t="inlineStr">
        <is>
          <t>SCE</t>
        </is>
      </c>
      <c r="I465" s="24" t="inlineStr">
        <is>
          <t>자본변동표</t>
        </is>
      </c>
      <c r="J465" s="24" t="inlineStr">
        <is>
          <t>ifrs-full_DividendsPaid</t>
        </is>
      </c>
      <c r="K465" s="24" t="inlineStr">
        <is>
          <t>소유주에 대한 배분으로 인식된 배당금</t>
        </is>
      </c>
      <c r="L465" s="24" t="inlineStr">
        <is>
          <t>연결재무제표 [member]</t>
        </is>
      </c>
      <c r="M465" s="24" t="inlineStr">
        <is>
          <t>제 5 기</t>
        </is>
      </c>
      <c r="N465" s="24" t="inlineStr">
        <is>
          <t>11586685600.0</t>
        </is>
      </c>
      <c r="O465" s="24" t="inlineStr">
        <is>
          <t>8770449600.0</t>
        </is>
      </c>
      <c r="P465" s="24" t="inlineStr">
        <is>
          <t>KRW</t>
        </is>
      </c>
      <c r="Q465" s="24" t="inlineStr">
        <is>
          <t>8</t>
        </is>
      </c>
    </row>
    <row r="466" ht="24" customHeight="1">
      <c r="A466" s="29" t="inlineStr">
        <is>
          <t>OpenDART_fnlttSinglAcntAll</t>
        </is>
      </c>
      <c r="B466" s="29" t="inlineStr">
        <is>
          <t>01365825</t>
        </is>
      </c>
      <c r="C466" s="29" t="inlineStr">
        <is>
          <t>피에스케이</t>
        </is>
      </c>
      <c r="D466" s="29" t="inlineStr">
        <is>
          <t>psk</t>
        </is>
      </c>
      <c r="E466" s="29" t="inlineStr">
        <is>
          <t>319660</t>
        </is>
      </c>
      <c r="F466" s="29" t="inlineStr">
        <is>
          <t>2023</t>
        </is>
      </c>
      <c r="G466" s="29" t="inlineStr">
        <is>
          <t>CFS</t>
        </is>
      </c>
      <c r="H466" s="29" t="inlineStr">
        <is>
          <t>SCE</t>
        </is>
      </c>
      <c r="I466" s="29" t="inlineStr">
        <is>
          <t>자본변동표</t>
        </is>
      </c>
      <c r="J466" s="29" t="inlineStr">
        <is>
          <t>ifrs-full_DividendsPaid</t>
        </is>
      </c>
      <c r="K466" s="29" t="inlineStr">
        <is>
          <t>소유주에 대한 배분으로 인식된 배당금</t>
        </is>
      </c>
      <c r="L466" s="29" t="inlineStr">
        <is>
          <t>자본 [구성요소]|지배기업의 소유주에게 귀속되는 지분 [구성요소]|기타자본구성요소 [구성요소]</t>
        </is>
      </c>
      <c r="M466" s="29" t="inlineStr">
        <is>
          <t>제 5 기</t>
        </is>
      </c>
      <c r="N466" s="29" t="inlineStr">
        <is>
          <t>해당 없음</t>
        </is>
      </c>
      <c r="O466" s="29" t="inlineStr">
        <is>
          <t>0.0</t>
        </is>
      </c>
      <c r="P466" s="29" t="inlineStr">
        <is>
          <t>KRW</t>
        </is>
      </c>
      <c r="Q466" s="29" t="inlineStr">
        <is>
          <t>8</t>
        </is>
      </c>
    </row>
    <row r="467" ht="24" customHeight="1">
      <c r="A467" s="24" t="inlineStr">
        <is>
          <t>OpenDART_fnlttSinglAcntAll</t>
        </is>
      </c>
      <c r="B467" s="24" t="inlineStr">
        <is>
          <t>01365825</t>
        </is>
      </c>
      <c r="C467" s="24" t="inlineStr">
        <is>
          <t>피에스케이</t>
        </is>
      </c>
      <c r="D467" s="24" t="inlineStr">
        <is>
          <t>psk</t>
        </is>
      </c>
      <c r="E467" s="24" t="inlineStr">
        <is>
          <t>319660</t>
        </is>
      </c>
      <c r="F467" s="24" t="inlineStr">
        <is>
          <t>2023</t>
        </is>
      </c>
      <c r="G467" s="24" t="inlineStr">
        <is>
          <t>CFS</t>
        </is>
      </c>
      <c r="H467" s="24" t="inlineStr">
        <is>
          <t>SCE</t>
        </is>
      </c>
      <c r="I467" s="24" t="inlineStr">
        <is>
          <t>자본변동표</t>
        </is>
      </c>
      <c r="J467" s="24" t="inlineStr">
        <is>
          <t>ifrs-full_DividendsPaid</t>
        </is>
      </c>
      <c r="K467" s="24" t="inlineStr">
        <is>
          <t>소유주에 대한 배분으로 인식된 배당금</t>
        </is>
      </c>
      <c r="L467" s="24" t="inlineStr">
        <is>
          <t>자본 [구성요소]|지배기업의 소유주에게 귀속되는 지분 [구성요소]|이익잉여금 [구성요소]</t>
        </is>
      </c>
      <c r="M467" s="24" t="inlineStr">
        <is>
          <t>제 5 기</t>
        </is>
      </c>
      <c r="N467" s="24" t="inlineStr">
        <is>
          <t>11586685600.0</t>
        </is>
      </c>
      <c r="O467" s="24" t="inlineStr">
        <is>
          <t>8770449600.0</t>
        </is>
      </c>
      <c r="P467" s="24" t="inlineStr">
        <is>
          <t>KRW</t>
        </is>
      </c>
      <c r="Q467" s="24" t="inlineStr">
        <is>
          <t>8</t>
        </is>
      </c>
    </row>
    <row r="468" ht="24" customHeight="1">
      <c r="A468" s="29" t="inlineStr">
        <is>
          <t>OpenDART_fnlttSinglAcntAll</t>
        </is>
      </c>
      <c r="B468" s="29" t="inlineStr">
        <is>
          <t>01365825</t>
        </is>
      </c>
      <c r="C468" s="29" t="inlineStr">
        <is>
          <t>피에스케이</t>
        </is>
      </c>
      <c r="D468" s="29" t="inlineStr">
        <is>
          <t>psk</t>
        </is>
      </c>
      <c r="E468" s="29" t="inlineStr">
        <is>
          <t>319660</t>
        </is>
      </c>
      <c r="F468" s="29" t="inlineStr">
        <is>
          <t>2023</t>
        </is>
      </c>
      <c r="G468" s="29" t="inlineStr">
        <is>
          <t>CFS</t>
        </is>
      </c>
      <c r="H468" s="29" t="inlineStr">
        <is>
          <t>SCE</t>
        </is>
      </c>
      <c r="I468" s="29" t="inlineStr">
        <is>
          <t>자본변동표</t>
        </is>
      </c>
      <c r="J468" s="29" t="inlineStr">
        <is>
          <t>ifrs-full_DividendsPaid</t>
        </is>
      </c>
      <c r="K468" s="29" t="inlineStr">
        <is>
          <t>소유주에 대한 배분으로 인식된 배당금</t>
        </is>
      </c>
      <c r="L468" s="29" t="inlineStr">
        <is>
          <t>자본 [구성요소]|지배기업의 소유주에게 귀속되는 지분 [구성요소]|자본금 [구성요소]</t>
        </is>
      </c>
      <c r="M468" s="29" t="inlineStr">
        <is>
          <t>제 5 기</t>
        </is>
      </c>
      <c r="N468" s="29" t="inlineStr">
        <is>
          <t>해당 없음</t>
        </is>
      </c>
      <c r="O468" s="29" t="inlineStr">
        <is>
          <t>0.0</t>
        </is>
      </c>
      <c r="P468" s="29" t="inlineStr">
        <is>
          <t>KRW</t>
        </is>
      </c>
      <c r="Q468" s="29" t="inlineStr">
        <is>
          <t>8</t>
        </is>
      </c>
    </row>
    <row r="469" ht="24" customHeight="1">
      <c r="A469" s="24" t="inlineStr">
        <is>
          <t>OpenDART_fnlttSinglAcntAll</t>
        </is>
      </c>
      <c r="B469" s="24" t="inlineStr">
        <is>
          <t>01365825</t>
        </is>
      </c>
      <c r="C469" s="24" t="inlineStr">
        <is>
          <t>피에스케이</t>
        </is>
      </c>
      <c r="D469" s="24" t="inlineStr">
        <is>
          <t>psk</t>
        </is>
      </c>
      <c r="E469" s="24" t="inlineStr">
        <is>
          <t>319660</t>
        </is>
      </c>
      <c r="F469" s="24" t="inlineStr">
        <is>
          <t>2023</t>
        </is>
      </c>
      <c r="G469" s="24" t="inlineStr">
        <is>
          <t>CFS</t>
        </is>
      </c>
      <c r="H469" s="24" t="inlineStr">
        <is>
          <t>SCE</t>
        </is>
      </c>
      <c r="I469" s="24" t="inlineStr">
        <is>
          <t>자본변동표</t>
        </is>
      </c>
      <c r="J469" s="24" t="inlineStr">
        <is>
          <t>ifrs-full_DividendsPaid</t>
        </is>
      </c>
      <c r="K469" s="24" t="inlineStr">
        <is>
          <t>소유주에 대한 배분으로 인식된 배당금</t>
        </is>
      </c>
      <c r="L469" s="24" t="inlineStr">
        <is>
          <t>자본 [구성요소]|지배기업의 소유주에게 귀속되는 지분 [구성요소]|자본잉여금 [구성요소]</t>
        </is>
      </c>
      <c r="M469" s="24" t="inlineStr">
        <is>
          <t>제 5 기</t>
        </is>
      </c>
      <c r="N469" s="24" t="inlineStr">
        <is>
          <t>해당 없음</t>
        </is>
      </c>
      <c r="O469" s="24" t="inlineStr">
        <is>
          <t>0.0</t>
        </is>
      </c>
      <c r="P469" s="24" t="inlineStr">
        <is>
          <t>KRW</t>
        </is>
      </c>
      <c r="Q469" s="24" t="inlineStr">
        <is>
          <t>8</t>
        </is>
      </c>
    </row>
    <row r="470" ht="24" customHeight="1">
      <c r="A470" s="29" t="inlineStr">
        <is>
          <t>OpenDART_fnlttSinglAcntAll</t>
        </is>
      </c>
      <c r="B470" s="29" t="inlineStr">
        <is>
          <t>01365825</t>
        </is>
      </c>
      <c r="C470" s="29" t="inlineStr">
        <is>
          <t>피에스케이</t>
        </is>
      </c>
      <c r="D470" s="29" t="inlineStr">
        <is>
          <t>psk</t>
        </is>
      </c>
      <c r="E470" s="29" t="inlineStr">
        <is>
          <t>319660</t>
        </is>
      </c>
      <c r="F470" s="29" t="inlineStr">
        <is>
          <t>2023</t>
        </is>
      </c>
      <c r="G470" s="29" t="inlineStr">
        <is>
          <t>CFS</t>
        </is>
      </c>
      <c r="H470" s="29" t="inlineStr">
        <is>
          <t>SCE</t>
        </is>
      </c>
      <c r="I470" s="29" t="inlineStr">
        <is>
          <t>자본변동표</t>
        </is>
      </c>
      <c r="J470" s="29" t="inlineStr">
        <is>
          <t>ifrs-full_Equity</t>
        </is>
      </c>
      <c r="K470" s="29" t="inlineStr">
        <is>
          <t>자본총계</t>
        </is>
      </c>
      <c r="L470" s="29" t="inlineStr">
        <is>
          <t>연결재무제표 [member]</t>
        </is>
      </c>
      <c r="M470" s="29" t="inlineStr">
        <is>
          <t>제 5 기</t>
        </is>
      </c>
      <c r="N470" s="29" t="inlineStr">
        <is>
          <t>392569607133.0</t>
        </is>
      </c>
      <c r="O470" s="29" t="inlineStr">
        <is>
          <t>353307517966.0</t>
        </is>
      </c>
      <c r="P470" s="29" t="inlineStr">
        <is>
          <t>KRW</t>
        </is>
      </c>
      <c r="Q470" s="29" t="inlineStr">
        <is>
          <t>9</t>
        </is>
      </c>
    </row>
    <row r="471" ht="24" customHeight="1">
      <c r="A471" s="24" t="inlineStr">
        <is>
          <t>OpenDART_fnlttSinglAcntAll</t>
        </is>
      </c>
      <c r="B471" s="24" t="inlineStr">
        <is>
          <t>01365825</t>
        </is>
      </c>
      <c r="C471" s="24" t="inlineStr">
        <is>
          <t>피에스케이</t>
        </is>
      </c>
      <c r="D471" s="24" t="inlineStr">
        <is>
          <t>psk</t>
        </is>
      </c>
      <c r="E471" s="24" t="inlineStr">
        <is>
          <t>319660</t>
        </is>
      </c>
      <c r="F471" s="24" t="inlineStr">
        <is>
          <t>2023</t>
        </is>
      </c>
      <c r="G471" s="24" t="inlineStr">
        <is>
          <t>CFS</t>
        </is>
      </c>
      <c r="H471" s="24" t="inlineStr">
        <is>
          <t>SCE</t>
        </is>
      </c>
      <c r="I471" s="24" t="inlineStr">
        <is>
          <t>자본변동표</t>
        </is>
      </c>
      <c r="J471" s="24" t="inlineStr">
        <is>
          <t>ifrs-full_Equity</t>
        </is>
      </c>
      <c r="K471" s="24" t="inlineStr">
        <is>
          <t>자본총계</t>
        </is>
      </c>
      <c r="L471" s="24" t="inlineStr">
        <is>
          <t>자본 [구성요소]|지배기업의 소유주에게 귀속되는 지분 [구성요소]</t>
        </is>
      </c>
      <c r="M471" s="24" t="inlineStr">
        <is>
          <t>제 5 기</t>
        </is>
      </c>
      <c r="N471" s="24" t="inlineStr">
        <is>
          <t>392569607133.0</t>
        </is>
      </c>
      <c r="O471" s="24" t="inlineStr">
        <is>
          <t>353307517966.0</t>
        </is>
      </c>
      <c r="P471" s="24" t="inlineStr">
        <is>
          <t>KRW</t>
        </is>
      </c>
      <c r="Q471" s="24" t="inlineStr">
        <is>
          <t>9</t>
        </is>
      </c>
    </row>
    <row r="472" ht="24" customHeight="1">
      <c r="A472" s="29" t="inlineStr">
        <is>
          <t>OpenDART_fnlttSinglAcntAll</t>
        </is>
      </c>
      <c r="B472" s="29" t="inlineStr">
        <is>
          <t>01365825</t>
        </is>
      </c>
      <c r="C472" s="29" t="inlineStr">
        <is>
          <t>피에스케이</t>
        </is>
      </c>
      <c r="D472" s="29" t="inlineStr">
        <is>
          <t>psk</t>
        </is>
      </c>
      <c r="E472" s="29" t="inlineStr">
        <is>
          <t>319660</t>
        </is>
      </c>
      <c r="F472" s="29" t="inlineStr">
        <is>
          <t>2023</t>
        </is>
      </c>
      <c r="G472" s="29" t="inlineStr">
        <is>
          <t>CFS</t>
        </is>
      </c>
      <c r="H472" s="29" t="inlineStr">
        <is>
          <t>SCE</t>
        </is>
      </c>
      <c r="I472" s="29" t="inlineStr">
        <is>
          <t>자본변동표</t>
        </is>
      </c>
      <c r="J472" s="29" t="inlineStr">
        <is>
          <t>ifrs-full_Equity</t>
        </is>
      </c>
      <c r="K472" s="29" t="inlineStr">
        <is>
          <t>자본총계</t>
        </is>
      </c>
      <c r="L472" s="29" t="inlineStr">
        <is>
          <t>자본 [구성요소]|지배기업의 소유주에게 귀속되는 지분 [구성요소]|기타자본구성요소 [구성요소]</t>
        </is>
      </c>
      <c r="M472" s="29" t="inlineStr">
        <is>
          <t>제 5 기</t>
        </is>
      </c>
      <c r="N472" s="29" t="inlineStr">
        <is>
          <t>1455981401.0</t>
        </is>
      </c>
      <c r="O472" s="29" t="inlineStr">
        <is>
          <t>1860093233.0</t>
        </is>
      </c>
      <c r="P472" s="29" t="inlineStr">
        <is>
          <t>KRW</t>
        </is>
      </c>
      <c r="Q472" s="29" t="inlineStr">
        <is>
          <t>9</t>
        </is>
      </c>
    </row>
    <row r="473" ht="24" customHeight="1">
      <c r="A473" s="24" t="inlineStr">
        <is>
          <t>OpenDART_fnlttSinglAcntAll</t>
        </is>
      </c>
      <c r="B473" s="24" t="inlineStr">
        <is>
          <t>01365825</t>
        </is>
      </c>
      <c r="C473" s="24" t="inlineStr">
        <is>
          <t>피에스케이</t>
        </is>
      </c>
      <c r="D473" s="24" t="inlineStr">
        <is>
          <t>psk</t>
        </is>
      </c>
      <c r="E473" s="24" t="inlineStr">
        <is>
          <t>319660</t>
        </is>
      </c>
      <c r="F473" s="24" t="inlineStr">
        <is>
          <t>2023</t>
        </is>
      </c>
      <c r="G473" s="24" t="inlineStr">
        <is>
          <t>CFS</t>
        </is>
      </c>
      <c r="H473" s="24" t="inlineStr">
        <is>
          <t>SCE</t>
        </is>
      </c>
      <c r="I473" s="24" t="inlineStr">
        <is>
          <t>자본변동표</t>
        </is>
      </c>
      <c r="J473" s="24" t="inlineStr">
        <is>
          <t>ifrs-full_Equity</t>
        </is>
      </c>
      <c r="K473" s="24" t="inlineStr">
        <is>
          <t>자본총계</t>
        </is>
      </c>
      <c r="L473" s="24" t="inlineStr">
        <is>
          <t>자본 [구성요소]|지배기업의 소유주에게 귀속되는 지분 [구성요소]|이익잉여금 [구성요소]</t>
        </is>
      </c>
      <c r="M473" s="24" t="inlineStr">
        <is>
          <t>제 5 기</t>
        </is>
      </c>
      <c r="N473" s="24" t="inlineStr">
        <is>
          <t>204529192284.0</t>
        </is>
      </c>
      <c r="O473" s="24" t="inlineStr">
        <is>
          <t>164862991285.0</t>
        </is>
      </c>
      <c r="P473" s="24" t="inlineStr">
        <is>
          <t>KRW</t>
        </is>
      </c>
      <c r="Q473" s="24" t="inlineStr">
        <is>
          <t>9</t>
        </is>
      </c>
    </row>
    <row r="474" ht="24" customHeight="1">
      <c r="A474" s="29" t="inlineStr">
        <is>
          <t>OpenDART_fnlttSinglAcntAll</t>
        </is>
      </c>
      <c r="B474" s="29" t="inlineStr">
        <is>
          <t>01365825</t>
        </is>
      </c>
      <c r="C474" s="29" t="inlineStr">
        <is>
          <t>피에스케이</t>
        </is>
      </c>
      <c r="D474" s="29" t="inlineStr">
        <is>
          <t>psk</t>
        </is>
      </c>
      <c r="E474" s="29" t="inlineStr">
        <is>
          <t>319660</t>
        </is>
      </c>
      <c r="F474" s="29" t="inlineStr">
        <is>
          <t>2023</t>
        </is>
      </c>
      <c r="G474" s="29" t="inlineStr">
        <is>
          <t>CFS</t>
        </is>
      </c>
      <c r="H474" s="29" t="inlineStr">
        <is>
          <t>SCE</t>
        </is>
      </c>
      <c r="I474" s="29" t="inlineStr">
        <is>
          <t>자본변동표</t>
        </is>
      </c>
      <c r="J474" s="29" t="inlineStr">
        <is>
          <t>ifrs-full_Equity</t>
        </is>
      </c>
      <c r="K474" s="29" t="inlineStr">
        <is>
          <t>자본총계</t>
        </is>
      </c>
      <c r="L474" s="29" t="inlineStr">
        <is>
          <t>자본 [구성요소]|지배기업의 소유주에게 귀속되는 지분 [구성요소]|자본금 [구성요소]</t>
        </is>
      </c>
      <c r="M474" s="29" t="inlineStr">
        <is>
          <t>제 5 기</t>
        </is>
      </c>
      <c r="N474" s="29" t="inlineStr">
        <is>
          <t>14624188500.0</t>
        </is>
      </c>
      <c r="O474" s="29" t="inlineStr">
        <is>
          <t>14624188500.0</t>
        </is>
      </c>
      <c r="P474" s="29" t="inlineStr">
        <is>
          <t>KRW</t>
        </is>
      </c>
      <c r="Q474" s="29" t="inlineStr">
        <is>
          <t>9</t>
        </is>
      </c>
    </row>
    <row r="475" ht="24" customHeight="1">
      <c r="A475" s="24" t="inlineStr">
        <is>
          <t>OpenDART_fnlttSinglAcntAll</t>
        </is>
      </c>
      <c r="B475" s="24" t="inlineStr">
        <is>
          <t>01365825</t>
        </is>
      </c>
      <c r="C475" s="24" t="inlineStr">
        <is>
          <t>피에스케이</t>
        </is>
      </c>
      <c r="D475" s="24" t="inlineStr">
        <is>
          <t>psk</t>
        </is>
      </c>
      <c r="E475" s="24" t="inlineStr">
        <is>
          <t>319660</t>
        </is>
      </c>
      <c r="F475" s="24" t="inlineStr">
        <is>
          <t>2023</t>
        </is>
      </c>
      <c r="G475" s="24" t="inlineStr">
        <is>
          <t>CFS</t>
        </is>
      </c>
      <c r="H475" s="24" t="inlineStr">
        <is>
          <t>SCE</t>
        </is>
      </c>
      <c r="I475" s="24" t="inlineStr">
        <is>
          <t>자본변동표</t>
        </is>
      </c>
      <c r="J475" s="24" t="inlineStr">
        <is>
          <t>ifrs-full_Equity</t>
        </is>
      </c>
      <c r="K475" s="24" t="inlineStr">
        <is>
          <t>자본총계</t>
        </is>
      </c>
      <c r="L475" s="24" t="inlineStr">
        <is>
          <t>자본 [구성요소]|지배기업의 소유주에게 귀속되는 지분 [구성요소]|자본잉여금 [구성요소]</t>
        </is>
      </c>
      <c r="M475" s="24" t="inlineStr">
        <is>
          <t>제 5 기</t>
        </is>
      </c>
      <c r="N475" s="24" t="inlineStr">
        <is>
          <t>171960244948.0</t>
        </is>
      </c>
      <c r="O475" s="24" t="inlineStr">
        <is>
          <t>171960244948.0</t>
        </is>
      </c>
      <c r="P475" s="24" t="inlineStr">
        <is>
          <t>KRW</t>
        </is>
      </c>
      <c r="Q475" s="24" t="inlineStr">
        <is>
          <t>9</t>
        </is>
      </c>
    </row>
    <row r="476" ht="24" customHeight="1">
      <c r="A476" s="29" t="inlineStr">
        <is>
          <t>OpenDART_fnlttSinglAcntAll</t>
        </is>
      </c>
      <c r="B476" s="29" t="inlineStr">
        <is>
          <t>01365825</t>
        </is>
      </c>
      <c r="C476" s="29" t="inlineStr">
        <is>
          <t>피에스케이</t>
        </is>
      </c>
      <c r="D476" s="29" t="inlineStr">
        <is>
          <t>psk</t>
        </is>
      </c>
      <c r="E476" s="29" t="inlineStr">
        <is>
          <t>319660</t>
        </is>
      </c>
      <c r="F476" s="29" t="inlineStr">
        <is>
          <t>2023</t>
        </is>
      </c>
      <c r="G476" s="29" t="inlineStr">
        <is>
          <t>CFS</t>
        </is>
      </c>
      <c r="H476" s="29" t="inlineStr">
        <is>
          <t>SCE</t>
        </is>
      </c>
      <c r="I476" s="29" t="inlineStr">
        <is>
          <t>자본변동표</t>
        </is>
      </c>
      <c r="J476" s="29" t="inlineStr">
        <is>
          <t>ifrs-full_OtherComprehensiveIncomeNetOfTaxExchangeDifferencesOnTranslation</t>
        </is>
      </c>
      <c r="K476" s="29" t="inlineStr">
        <is>
          <t>해외사업환산손익</t>
        </is>
      </c>
      <c r="L476" s="29" t="inlineStr">
        <is>
          <t>자본 [구성요소]|지배기업의 소유주에게 귀속되는 지분 [구성요소]</t>
        </is>
      </c>
      <c r="M476" s="29" t="inlineStr">
        <is>
          <t>제 5 기</t>
        </is>
      </c>
      <c r="N476" s="29" t="inlineStr">
        <is>
          <t>-404111832.0</t>
        </is>
      </c>
      <c r="O476" s="29" t="inlineStr">
        <is>
          <t>-681167147.0</t>
        </is>
      </c>
      <c r="P476" s="29" t="inlineStr">
        <is>
          <t>KRW</t>
        </is>
      </c>
      <c r="Q476" s="29" t="inlineStr">
        <is>
          <t>10</t>
        </is>
      </c>
    </row>
    <row r="477" ht="24" customHeight="1">
      <c r="A477" s="24" t="inlineStr">
        <is>
          <t>OpenDART_fnlttSinglAcntAll</t>
        </is>
      </c>
      <c r="B477" s="24" t="inlineStr">
        <is>
          <t>01365825</t>
        </is>
      </c>
      <c r="C477" s="24" t="inlineStr">
        <is>
          <t>피에스케이</t>
        </is>
      </c>
      <c r="D477" s="24" t="inlineStr">
        <is>
          <t>psk</t>
        </is>
      </c>
      <c r="E477" s="24" t="inlineStr">
        <is>
          <t>319660</t>
        </is>
      </c>
      <c r="F477" s="24" t="inlineStr">
        <is>
          <t>2023</t>
        </is>
      </c>
      <c r="G477" s="24" t="inlineStr">
        <is>
          <t>CFS</t>
        </is>
      </c>
      <c r="H477" s="24" t="inlineStr">
        <is>
          <t>SCE</t>
        </is>
      </c>
      <c r="I477" s="24" t="inlineStr">
        <is>
          <t>자본변동표</t>
        </is>
      </c>
      <c r="J477" s="24" t="inlineStr">
        <is>
          <t>ifrs-full_OtherComprehensiveIncomeNetOfTaxExchangeDifferencesOnTranslation</t>
        </is>
      </c>
      <c r="K477" s="24" t="inlineStr">
        <is>
          <t>해외사업환산손익</t>
        </is>
      </c>
      <c r="L477" s="24" t="inlineStr">
        <is>
          <t>연결재무제표 [member]</t>
        </is>
      </c>
      <c r="M477" s="24" t="inlineStr">
        <is>
          <t>제 5 기</t>
        </is>
      </c>
      <c r="N477" s="24" t="inlineStr">
        <is>
          <t>-404111832.0</t>
        </is>
      </c>
      <c r="O477" s="24" t="inlineStr">
        <is>
          <t>-681167147.0</t>
        </is>
      </c>
      <c r="P477" s="24" t="inlineStr">
        <is>
          <t>KRW</t>
        </is>
      </c>
      <c r="Q477" s="24" t="inlineStr">
        <is>
          <t>10</t>
        </is>
      </c>
    </row>
    <row r="478" ht="24" customHeight="1">
      <c r="A478" s="29" t="inlineStr">
        <is>
          <t>OpenDART_fnlttSinglAcntAll</t>
        </is>
      </c>
      <c r="B478" s="29" t="inlineStr">
        <is>
          <t>01365825</t>
        </is>
      </c>
      <c r="C478" s="29" t="inlineStr">
        <is>
          <t>피에스케이</t>
        </is>
      </c>
      <c r="D478" s="29" t="inlineStr">
        <is>
          <t>psk</t>
        </is>
      </c>
      <c r="E478" s="29" t="inlineStr">
        <is>
          <t>319660</t>
        </is>
      </c>
      <c r="F478" s="29" t="inlineStr">
        <is>
          <t>2023</t>
        </is>
      </c>
      <c r="G478" s="29" t="inlineStr">
        <is>
          <t>CFS</t>
        </is>
      </c>
      <c r="H478" s="29" t="inlineStr">
        <is>
          <t>SCE</t>
        </is>
      </c>
      <c r="I478" s="29" t="inlineStr">
        <is>
          <t>자본변동표</t>
        </is>
      </c>
      <c r="J478" s="29" t="inlineStr">
        <is>
          <t>ifrs-full_OtherComprehensiveIncomeNetOfTaxExchangeDifferencesOnTranslation</t>
        </is>
      </c>
      <c r="K478" s="29" t="inlineStr">
        <is>
          <t>해외사업환산손익</t>
        </is>
      </c>
      <c r="L478" s="29" t="inlineStr">
        <is>
          <t>자본 [구성요소]|지배기업의 소유주에게 귀속되는 지분 [구성요소]|기타자본구성요소 [구성요소]</t>
        </is>
      </c>
      <c r="M478" s="29" t="inlineStr">
        <is>
          <t>제 5 기</t>
        </is>
      </c>
      <c r="N478" s="29" t="inlineStr">
        <is>
          <t>-404111832.0</t>
        </is>
      </c>
      <c r="O478" s="29" t="inlineStr">
        <is>
          <t>-681167147.0</t>
        </is>
      </c>
      <c r="P478" s="29" t="inlineStr">
        <is>
          <t>KRW</t>
        </is>
      </c>
      <c r="Q478" s="29" t="inlineStr">
        <is>
          <t>10</t>
        </is>
      </c>
    </row>
    <row r="479" ht="24" customHeight="1">
      <c r="A479" s="24" t="inlineStr">
        <is>
          <t>OpenDART_fnlttSinglAcntAll</t>
        </is>
      </c>
      <c r="B479" s="24" t="inlineStr">
        <is>
          <t>01365825</t>
        </is>
      </c>
      <c r="C479" s="24" t="inlineStr">
        <is>
          <t>피에스케이</t>
        </is>
      </c>
      <c r="D479" s="24" t="inlineStr">
        <is>
          <t>psk</t>
        </is>
      </c>
      <c r="E479" s="24" t="inlineStr">
        <is>
          <t>319660</t>
        </is>
      </c>
      <c r="F479" s="24" t="inlineStr">
        <is>
          <t>2023</t>
        </is>
      </c>
      <c r="G479" s="24" t="inlineStr">
        <is>
          <t>CFS</t>
        </is>
      </c>
      <c r="H479" s="24" t="inlineStr">
        <is>
          <t>SCE</t>
        </is>
      </c>
      <c r="I479" s="24" t="inlineStr">
        <is>
          <t>자본변동표</t>
        </is>
      </c>
      <c r="J479" s="24" t="inlineStr">
        <is>
          <t>ifrs-full_OtherComprehensiveIncomeNetOfTaxExchangeDifferencesOnTranslation</t>
        </is>
      </c>
      <c r="K479" s="24" t="inlineStr">
        <is>
          <t>해외사업환산손익</t>
        </is>
      </c>
      <c r="L479" s="24" t="inlineStr">
        <is>
          <t>자본 [구성요소]|지배기업의 소유주에게 귀속되는 지분 [구성요소]|자본잉여금 [구성요소]</t>
        </is>
      </c>
      <c r="M479" s="24" t="inlineStr">
        <is>
          <t>제 5 기</t>
        </is>
      </c>
      <c r="N479" s="24" t="inlineStr">
        <is>
          <t>해당 없음</t>
        </is>
      </c>
      <c r="O479" s="24" t="inlineStr">
        <is>
          <t>0.0</t>
        </is>
      </c>
      <c r="P479" s="24" t="inlineStr">
        <is>
          <t>KRW</t>
        </is>
      </c>
      <c r="Q479" s="24" t="inlineStr">
        <is>
          <t>10</t>
        </is>
      </c>
    </row>
    <row r="480" ht="24" customHeight="1">
      <c r="A480" s="29" t="inlineStr">
        <is>
          <t>OpenDART_fnlttSinglAcntAll</t>
        </is>
      </c>
      <c r="B480" s="29" t="inlineStr">
        <is>
          <t>01365825</t>
        </is>
      </c>
      <c r="C480" s="29" t="inlineStr">
        <is>
          <t>피에스케이</t>
        </is>
      </c>
      <c r="D480" s="29" t="inlineStr">
        <is>
          <t>psk</t>
        </is>
      </c>
      <c r="E480" s="29" t="inlineStr">
        <is>
          <t>319660</t>
        </is>
      </c>
      <c r="F480" s="29" t="inlineStr">
        <is>
          <t>2023</t>
        </is>
      </c>
      <c r="G480" s="29" t="inlineStr">
        <is>
          <t>CFS</t>
        </is>
      </c>
      <c r="H480" s="29" t="inlineStr">
        <is>
          <t>SCE</t>
        </is>
      </c>
      <c r="I480" s="29" t="inlineStr">
        <is>
          <t>자본변동표</t>
        </is>
      </c>
      <c r="J480" s="29" t="inlineStr">
        <is>
          <t>ifrs-full_OtherComprehensiveIncomeNetOfTaxExchangeDifferencesOnTranslation</t>
        </is>
      </c>
      <c r="K480" s="29" t="inlineStr">
        <is>
          <t>해외사업환산손익</t>
        </is>
      </c>
      <c r="L480" s="29" t="inlineStr">
        <is>
          <t>자본 [구성요소]|지배기업의 소유주에게 귀속되는 지분 [구성요소]|자본금 [구성요소]</t>
        </is>
      </c>
      <c r="M480" s="29" t="inlineStr">
        <is>
          <t>제 5 기</t>
        </is>
      </c>
      <c r="N480" s="29" t="inlineStr">
        <is>
          <t>해당 없음</t>
        </is>
      </c>
      <c r="O480" s="29" t="inlineStr">
        <is>
          <t>0.0</t>
        </is>
      </c>
      <c r="P480" s="29" t="inlineStr">
        <is>
          <t>KRW</t>
        </is>
      </c>
      <c r="Q480" s="29" t="inlineStr">
        <is>
          <t>10</t>
        </is>
      </c>
    </row>
    <row r="481" ht="24" customHeight="1">
      <c r="A481" s="24" t="inlineStr">
        <is>
          <t>OpenDART_fnlttSinglAcntAll</t>
        </is>
      </c>
      <c r="B481" s="24" t="inlineStr">
        <is>
          <t>01365825</t>
        </is>
      </c>
      <c r="C481" s="24" t="inlineStr">
        <is>
          <t>피에스케이</t>
        </is>
      </c>
      <c r="D481" s="24" t="inlineStr">
        <is>
          <t>psk</t>
        </is>
      </c>
      <c r="E481" s="24" t="inlineStr">
        <is>
          <t>319660</t>
        </is>
      </c>
      <c r="F481" s="24" t="inlineStr">
        <is>
          <t>2023</t>
        </is>
      </c>
      <c r="G481" s="24" t="inlineStr">
        <is>
          <t>CFS</t>
        </is>
      </c>
      <c r="H481" s="24" t="inlineStr">
        <is>
          <t>SCE</t>
        </is>
      </c>
      <c r="I481" s="24" t="inlineStr">
        <is>
          <t>자본변동표</t>
        </is>
      </c>
      <c r="J481" s="24" t="inlineStr">
        <is>
          <t>ifrs-full_OtherComprehensiveIncomeNetOfTaxExchangeDifferencesOnTranslation</t>
        </is>
      </c>
      <c r="K481" s="24" t="inlineStr">
        <is>
          <t>해외사업환산손익</t>
        </is>
      </c>
      <c r="L481" s="24" t="inlineStr">
        <is>
          <t>자본 [구성요소]|지배기업의 소유주에게 귀속되는 지분 [구성요소]|이익잉여금 [구성요소]</t>
        </is>
      </c>
      <c r="M481" s="24" t="inlineStr">
        <is>
          <t>제 5 기</t>
        </is>
      </c>
      <c r="N481" s="24" t="inlineStr">
        <is>
          <t>해당 없음</t>
        </is>
      </c>
      <c r="O481" s="24" t="inlineStr">
        <is>
          <t>0.0</t>
        </is>
      </c>
      <c r="P481" s="24" t="inlineStr">
        <is>
          <t>KRW</t>
        </is>
      </c>
      <c r="Q481" s="24" t="inlineStr">
        <is>
          <t>10</t>
        </is>
      </c>
    </row>
    <row r="482" ht="24" customHeight="1">
      <c r="A482" s="29" t="inlineStr">
        <is>
          <t>OpenDART_fnlttSinglAcntAll</t>
        </is>
      </c>
      <c r="B482" s="29" t="inlineStr">
        <is>
          <t>01365825</t>
        </is>
      </c>
      <c r="C482" s="29" t="inlineStr">
        <is>
          <t>피에스케이</t>
        </is>
      </c>
      <c r="D482" s="29" t="inlineStr">
        <is>
          <t>psk</t>
        </is>
      </c>
      <c r="E482" s="29" t="inlineStr">
        <is>
          <t>319660</t>
        </is>
      </c>
      <c r="F482" s="29" t="inlineStr">
        <is>
          <t>2023</t>
        </is>
      </c>
      <c r="G482" s="29" t="inlineStr">
        <is>
          <t>CFS</t>
        </is>
      </c>
      <c r="H482" s="29" t="inlineStr">
        <is>
          <t>SCE</t>
        </is>
      </c>
      <c r="I482" s="29" t="inlineStr">
        <is>
          <t>자본변동표</t>
        </is>
      </c>
      <c r="J482" s="29" t="inlineStr">
        <is>
          <t>ifrs-full_OtherComprehensiveIncomeNetOfTaxGainsLossesOnRemeasurementsOfDefinedBenefitPlans</t>
        </is>
      </c>
      <c r="K482" s="29" t="inlineStr">
        <is>
          <t>확정급여제도의재측정요소</t>
        </is>
      </c>
      <c r="L482" s="29" t="inlineStr">
        <is>
          <t>연결재무제표 [member]</t>
        </is>
      </c>
      <c r="M482" s="29" t="inlineStr">
        <is>
          <t>제 5 기</t>
        </is>
      </c>
      <c r="N482" s="29" t="inlineStr">
        <is>
          <t>-1267301603.0</t>
        </is>
      </c>
      <c r="O482" s="29" t="inlineStr">
        <is>
          <t>1881895459.0</t>
        </is>
      </c>
      <c r="P482" s="29" t="inlineStr">
        <is>
          <t>KRW</t>
        </is>
      </c>
      <c r="Q482" s="29" t="inlineStr">
        <is>
          <t>11</t>
        </is>
      </c>
    </row>
    <row r="483" ht="24" customHeight="1">
      <c r="A483" s="24" t="inlineStr">
        <is>
          <t>OpenDART_fnlttSinglAcntAll</t>
        </is>
      </c>
      <c r="B483" s="24" t="inlineStr">
        <is>
          <t>01365825</t>
        </is>
      </c>
      <c r="C483" s="24" t="inlineStr">
        <is>
          <t>피에스케이</t>
        </is>
      </c>
      <c r="D483" s="24" t="inlineStr">
        <is>
          <t>psk</t>
        </is>
      </c>
      <c r="E483" s="24" t="inlineStr">
        <is>
          <t>319660</t>
        </is>
      </c>
      <c r="F483" s="24" t="inlineStr">
        <is>
          <t>2023</t>
        </is>
      </c>
      <c r="G483" s="24" t="inlineStr">
        <is>
          <t>CFS</t>
        </is>
      </c>
      <c r="H483" s="24" t="inlineStr">
        <is>
          <t>SCE</t>
        </is>
      </c>
      <c r="I483" s="24" t="inlineStr">
        <is>
          <t>자본변동표</t>
        </is>
      </c>
      <c r="J483" s="24" t="inlineStr">
        <is>
          <t>ifrs-full_OtherComprehensiveIncomeNetOfTaxGainsLossesOnRemeasurementsOfDefinedBenefitPlans</t>
        </is>
      </c>
      <c r="K483" s="24" t="inlineStr">
        <is>
          <t>확정급여제도의재측정요소</t>
        </is>
      </c>
      <c r="L483" s="24" t="inlineStr">
        <is>
          <t>자본 [구성요소]|지배기업의 소유주에게 귀속되는 지분 [구성요소]</t>
        </is>
      </c>
      <c r="M483" s="24" t="inlineStr">
        <is>
          <t>제 5 기</t>
        </is>
      </c>
      <c r="N483" s="24" t="inlineStr">
        <is>
          <t>-1267301603.0</t>
        </is>
      </c>
      <c r="O483" s="24" t="inlineStr">
        <is>
          <t>1881895459.0</t>
        </is>
      </c>
      <c r="P483" s="24" t="inlineStr">
        <is>
          <t>KRW</t>
        </is>
      </c>
      <c r="Q483" s="24" t="inlineStr">
        <is>
          <t>11</t>
        </is>
      </c>
    </row>
    <row r="484" ht="24" customHeight="1">
      <c r="A484" s="29" t="inlineStr">
        <is>
          <t>OpenDART_fnlttSinglAcntAll</t>
        </is>
      </c>
      <c r="B484" s="29" t="inlineStr">
        <is>
          <t>01365825</t>
        </is>
      </c>
      <c r="C484" s="29" t="inlineStr">
        <is>
          <t>피에스케이</t>
        </is>
      </c>
      <c r="D484" s="29" t="inlineStr">
        <is>
          <t>psk</t>
        </is>
      </c>
      <c r="E484" s="29" t="inlineStr">
        <is>
          <t>319660</t>
        </is>
      </c>
      <c r="F484" s="29" t="inlineStr">
        <is>
          <t>2023</t>
        </is>
      </c>
      <c r="G484" s="29" t="inlineStr">
        <is>
          <t>CFS</t>
        </is>
      </c>
      <c r="H484" s="29" t="inlineStr">
        <is>
          <t>SCE</t>
        </is>
      </c>
      <c r="I484" s="29" t="inlineStr">
        <is>
          <t>자본변동표</t>
        </is>
      </c>
      <c r="J484" s="29" t="inlineStr">
        <is>
          <t>ifrs-full_OtherComprehensiveIncomeNetOfTaxGainsLossesOnRemeasurementsOfDefinedBenefitPlans</t>
        </is>
      </c>
      <c r="K484" s="29" t="inlineStr">
        <is>
          <t>확정급여제도의재측정요소</t>
        </is>
      </c>
      <c r="L484" s="29" t="inlineStr">
        <is>
          <t>자본 [구성요소]|지배기업의 소유주에게 귀속되는 지분 [구성요소]|기타자본구성요소 [구성요소]</t>
        </is>
      </c>
      <c r="M484" s="29" t="inlineStr">
        <is>
          <t>제 5 기</t>
        </is>
      </c>
      <c r="N484" s="29" t="inlineStr">
        <is>
          <t>해당 없음</t>
        </is>
      </c>
      <c r="O484" s="29" t="inlineStr">
        <is>
          <t>0.0</t>
        </is>
      </c>
      <c r="P484" s="29" t="inlineStr">
        <is>
          <t>KRW</t>
        </is>
      </c>
      <c r="Q484" s="29" t="inlineStr">
        <is>
          <t>11</t>
        </is>
      </c>
    </row>
    <row r="485" ht="24" customHeight="1">
      <c r="A485" s="24" t="inlineStr">
        <is>
          <t>OpenDART_fnlttSinglAcntAll</t>
        </is>
      </c>
      <c r="B485" s="24" t="inlineStr">
        <is>
          <t>01365825</t>
        </is>
      </c>
      <c r="C485" s="24" t="inlineStr">
        <is>
          <t>피에스케이</t>
        </is>
      </c>
      <c r="D485" s="24" t="inlineStr">
        <is>
          <t>psk</t>
        </is>
      </c>
      <c r="E485" s="24" t="inlineStr">
        <is>
          <t>319660</t>
        </is>
      </c>
      <c r="F485" s="24" t="inlineStr">
        <is>
          <t>2023</t>
        </is>
      </c>
      <c r="G485" s="24" t="inlineStr">
        <is>
          <t>CFS</t>
        </is>
      </c>
      <c r="H485" s="24" t="inlineStr">
        <is>
          <t>SCE</t>
        </is>
      </c>
      <c r="I485" s="24" t="inlineStr">
        <is>
          <t>자본변동표</t>
        </is>
      </c>
      <c r="J485" s="24" t="inlineStr">
        <is>
          <t>ifrs-full_OtherComprehensiveIncomeNetOfTaxGainsLossesOnRemeasurementsOfDefinedBenefitPlans</t>
        </is>
      </c>
      <c r="K485" s="24" t="inlineStr">
        <is>
          <t>확정급여제도의재측정요소</t>
        </is>
      </c>
      <c r="L485" s="24" t="inlineStr">
        <is>
          <t>자본 [구성요소]|지배기업의 소유주에게 귀속되는 지분 [구성요소]|이익잉여금 [구성요소]</t>
        </is>
      </c>
      <c r="M485" s="24" t="inlineStr">
        <is>
          <t>제 5 기</t>
        </is>
      </c>
      <c r="N485" s="24" t="inlineStr">
        <is>
          <t>-1267301603.0</t>
        </is>
      </c>
      <c r="O485" s="24" t="inlineStr">
        <is>
          <t>1881895459.0</t>
        </is>
      </c>
      <c r="P485" s="24" t="inlineStr">
        <is>
          <t>KRW</t>
        </is>
      </c>
      <c r="Q485" s="24" t="inlineStr">
        <is>
          <t>11</t>
        </is>
      </c>
    </row>
    <row r="486" ht="24" customHeight="1">
      <c r="A486" s="29" t="inlineStr">
        <is>
          <t>OpenDART_fnlttSinglAcntAll</t>
        </is>
      </c>
      <c r="B486" s="29" t="inlineStr">
        <is>
          <t>01365825</t>
        </is>
      </c>
      <c r="C486" s="29" t="inlineStr">
        <is>
          <t>피에스케이</t>
        </is>
      </c>
      <c r="D486" s="29" t="inlineStr">
        <is>
          <t>psk</t>
        </is>
      </c>
      <c r="E486" s="29" t="inlineStr">
        <is>
          <t>319660</t>
        </is>
      </c>
      <c r="F486" s="29" t="inlineStr">
        <is>
          <t>2023</t>
        </is>
      </c>
      <c r="G486" s="29" t="inlineStr">
        <is>
          <t>CFS</t>
        </is>
      </c>
      <c r="H486" s="29" t="inlineStr">
        <is>
          <t>SCE</t>
        </is>
      </c>
      <c r="I486" s="29" t="inlineStr">
        <is>
          <t>자본변동표</t>
        </is>
      </c>
      <c r="J486" s="29" t="inlineStr">
        <is>
          <t>ifrs-full_OtherComprehensiveIncomeNetOfTaxGainsLossesOnRemeasurementsOfDefinedBenefitPlans</t>
        </is>
      </c>
      <c r="K486" s="29" t="inlineStr">
        <is>
          <t>확정급여제도의재측정요소</t>
        </is>
      </c>
      <c r="L486" s="29" t="inlineStr">
        <is>
          <t>자본 [구성요소]|지배기업의 소유주에게 귀속되는 지분 [구성요소]|자본금 [구성요소]</t>
        </is>
      </c>
      <c r="M486" s="29" t="inlineStr">
        <is>
          <t>제 5 기</t>
        </is>
      </c>
      <c r="N486" s="29" t="inlineStr">
        <is>
          <t>해당 없음</t>
        </is>
      </c>
      <c r="O486" s="29" t="inlineStr">
        <is>
          <t>0.0</t>
        </is>
      </c>
      <c r="P486" s="29" t="inlineStr">
        <is>
          <t>KRW</t>
        </is>
      </c>
      <c r="Q486" s="29" t="inlineStr">
        <is>
          <t>11</t>
        </is>
      </c>
    </row>
    <row r="487" ht="24" customHeight="1">
      <c r="A487" s="24" t="inlineStr">
        <is>
          <t>OpenDART_fnlttSinglAcntAll</t>
        </is>
      </c>
      <c r="B487" s="24" t="inlineStr">
        <is>
          <t>01365825</t>
        </is>
      </c>
      <c r="C487" s="24" t="inlineStr">
        <is>
          <t>피에스케이</t>
        </is>
      </c>
      <c r="D487" s="24" t="inlineStr">
        <is>
          <t>psk</t>
        </is>
      </c>
      <c r="E487" s="24" t="inlineStr">
        <is>
          <t>319660</t>
        </is>
      </c>
      <c r="F487" s="24" t="inlineStr">
        <is>
          <t>2023</t>
        </is>
      </c>
      <c r="G487" s="24" t="inlineStr">
        <is>
          <t>CFS</t>
        </is>
      </c>
      <c r="H487" s="24" t="inlineStr">
        <is>
          <t>SCE</t>
        </is>
      </c>
      <c r="I487" s="24" t="inlineStr">
        <is>
          <t>자본변동표</t>
        </is>
      </c>
      <c r="J487" s="24" t="inlineStr">
        <is>
          <t>ifrs-full_OtherComprehensiveIncomeNetOfTaxGainsLossesOnRemeasurementsOfDefinedBenefitPlans</t>
        </is>
      </c>
      <c r="K487" s="24" t="inlineStr">
        <is>
          <t>확정급여제도의재측정요소</t>
        </is>
      </c>
      <c r="L487" s="24" t="inlineStr">
        <is>
          <t>자본 [구성요소]|지배기업의 소유주에게 귀속되는 지분 [구성요소]|자본잉여금 [구성요소]</t>
        </is>
      </c>
      <c r="M487" s="24" t="inlineStr">
        <is>
          <t>제 5 기</t>
        </is>
      </c>
      <c r="N487" s="24" t="inlineStr">
        <is>
          <t>해당 없음</t>
        </is>
      </c>
      <c r="O487" s="24" t="inlineStr">
        <is>
          <t>0.0</t>
        </is>
      </c>
      <c r="P487" s="24" t="inlineStr">
        <is>
          <t>KRW</t>
        </is>
      </c>
      <c r="Q487" s="24" t="inlineStr">
        <is>
          <t>11</t>
        </is>
      </c>
    </row>
    <row r="488" ht="24" customHeight="1">
      <c r="A488" s="29" t="inlineStr">
        <is>
          <t>OpenDART_fnlttSinglAcntAll</t>
        </is>
      </c>
      <c r="B488" s="29" t="inlineStr">
        <is>
          <t>01365825</t>
        </is>
      </c>
      <c r="C488" s="29" t="inlineStr">
        <is>
          <t>피에스케이</t>
        </is>
      </c>
      <c r="D488" s="29" t="inlineStr">
        <is>
          <t>psk</t>
        </is>
      </c>
      <c r="E488" s="29" t="inlineStr">
        <is>
          <t>319660</t>
        </is>
      </c>
      <c r="F488" s="29" t="inlineStr">
        <is>
          <t>2023</t>
        </is>
      </c>
      <c r="G488" s="29" t="inlineStr">
        <is>
          <t>CFS</t>
        </is>
      </c>
      <c r="H488" s="29" t="inlineStr">
        <is>
          <t>SCE</t>
        </is>
      </c>
      <c r="I488" s="29" t="inlineStr">
        <is>
          <t>자본변동표</t>
        </is>
      </c>
      <c r="J488" s="29" t="inlineStr">
        <is>
          <t>ifrs-full_ProfitLoss</t>
        </is>
      </c>
      <c r="K488" s="29" t="inlineStr">
        <is>
          <t>당기순이익(손실)</t>
        </is>
      </c>
      <c r="L488" s="29" t="inlineStr">
        <is>
          <t>연결재무제표 [member]</t>
        </is>
      </c>
      <c r="M488" s="29" t="inlineStr">
        <is>
          <t>제 5 기</t>
        </is>
      </c>
      <c r="N488" s="29" t="inlineStr">
        <is>
          <t>52520188202.0</t>
        </is>
      </c>
      <c r="O488" s="29" t="inlineStr">
        <is>
          <t>77443254531.0</t>
        </is>
      </c>
      <c r="P488" s="29" t="inlineStr">
        <is>
          <t>KRW</t>
        </is>
      </c>
      <c r="Q488" s="29" t="inlineStr">
        <is>
          <t>12</t>
        </is>
      </c>
    </row>
    <row r="489" ht="24" customHeight="1">
      <c r="A489" s="24" t="inlineStr">
        <is>
          <t>OpenDART_fnlttSinglAcntAll</t>
        </is>
      </c>
      <c r="B489" s="24" t="inlineStr">
        <is>
          <t>01365825</t>
        </is>
      </c>
      <c r="C489" s="24" t="inlineStr">
        <is>
          <t>피에스케이</t>
        </is>
      </c>
      <c r="D489" s="24" t="inlineStr">
        <is>
          <t>psk</t>
        </is>
      </c>
      <c r="E489" s="24" t="inlineStr">
        <is>
          <t>319660</t>
        </is>
      </c>
      <c r="F489" s="24" t="inlineStr">
        <is>
          <t>2023</t>
        </is>
      </c>
      <c r="G489" s="24" t="inlineStr">
        <is>
          <t>CFS</t>
        </is>
      </c>
      <c r="H489" s="24" t="inlineStr">
        <is>
          <t>SCE</t>
        </is>
      </c>
      <c r="I489" s="24" t="inlineStr">
        <is>
          <t>자본변동표</t>
        </is>
      </c>
      <c r="J489" s="24" t="inlineStr">
        <is>
          <t>ifrs-full_ProfitLoss</t>
        </is>
      </c>
      <c r="K489" s="24" t="inlineStr">
        <is>
          <t>당기순이익(손실)</t>
        </is>
      </c>
      <c r="L489" s="24" t="inlineStr">
        <is>
          <t>자본 [구성요소]|지배기업의 소유주에게 귀속되는 지분 [구성요소]</t>
        </is>
      </c>
      <c r="M489" s="24" t="inlineStr">
        <is>
          <t>제 5 기</t>
        </is>
      </c>
      <c r="N489" s="24" t="inlineStr">
        <is>
          <t>52520188202.0</t>
        </is>
      </c>
      <c r="O489" s="24" t="inlineStr">
        <is>
          <t>77443254531.0</t>
        </is>
      </c>
      <c r="P489" s="24" t="inlineStr">
        <is>
          <t>KRW</t>
        </is>
      </c>
      <c r="Q489" s="24" t="inlineStr">
        <is>
          <t>12</t>
        </is>
      </c>
    </row>
    <row r="490" ht="24" customHeight="1">
      <c r="A490" s="29" t="inlineStr">
        <is>
          <t>OpenDART_fnlttSinglAcntAll</t>
        </is>
      </c>
      <c r="B490" s="29" t="inlineStr">
        <is>
          <t>01365825</t>
        </is>
      </c>
      <c r="C490" s="29" t="inlineStr">
        <is>
          <t>피에스케이</t>
        </is>
      </c>
      <c r="D490" s="29" t="inlineStr">
        <is>
          <t>psk</t>
        </is>
      </c>
      <c r="E490" s="29" t="inlineStr">
        <is>
          <t>319660</t>
        </is>
      </c>
      <c r="F490" s="29" t="inlineStr">
        <is>
          <t>2023</t>
        </is>
      </c>
      <c r="G490" s="29" t="inlineStr">
        <is>
          <t>CFS</t>
        </is>
      </c>
      <c r="H490" s="29" t="inlineStr">
        <is>
          <t>SCE</t>
        </is>
      </c>
      <c r="I490" s="29" t="inlineStr">
        <is>
          <t>자본변동표</t>
        </is>
      </c>
      <c r="J490" s="29" t="inlineStr">
        <is>
          <t>ifrs-full_ProfitLoss</t>
        </is>
      </c>
      <c r="K490" s="29" t="inlineStr">
        <is>
          <t>당기순이익(손실)</t>
        </is>
      </c>
      <c r="L490" s="29" t="inlineStr">
        <is>
          <t>자본 [구성요소]|지배기업의 소유주에게 귀속되는 지분 [구성요소]|자본금 [구성요소]</t>
        </is>
      </c>
      <c r="M490" s="29" t="inlineStr">
        <is>
          <t>제 5 기</t>
        </is>
      </c>
      <c r="N490" s="29" t="inlineStr">
        <is>
          <t>해당 없음</t>
        </is>
      </c>
      <c r="O490" s="29" t="inlineStr">
        <is>
          <t>0.0</t>
        </is>
      </c>
      <c r="P490" s="29" t="inlineStr">
        <is>
          <t>KRW</t>
        </is>
      </c>
      <c r="Q490" s="29" t="inlineStr">
        <is>
          <t>12</t>
        </is>
      </c>
    </row>
    <row r="491" ht="24" customHeight="1">
      <c r="A491" s="24" t="inlineStr">
        <is>
          <t>OpenDART_fnlttSinglAcntAll</t>
        </is>
      </c>
      <c r="B491" s="24" t="inlineStr">
        <is>
          <t>01365825</t>
        </is>
      </c>
      <c r="C491" s="24" t="inlineStr">
        <is>
          <t>피에스케이</t>
        </is>
      </c>
      <c r="D491" s="24" t="inlineStr">
        <is>
          <t>psk</t>
        </is>
      </c>
      <c r="E491" s="24" t="inlineStr">
        <is>
          <t>319660</t>
        </is>
      </c>
      <c r="F491" s="24" t="inlineStr">
        <is>
          <t>2023</t>
        </is>
      </c>
      <c r="G491" s="24" t="inlineStr">
        <is>
          <t>CFS</t>
        </is>
      </c>
      <c r="H491" s="24" t="inlineStr">
        <is>
          <t>SCE</t>
        </is>
      </c>
      <c r="I491" s="24" t="inlineStr">
        <is>
          <t>자본변동표</t>
        </is>
      </c>
      <c r="J491" s="24" t="inlineStr">
        <is>
          <t>ifrs-full_ProfitLoss</t>
        </is>
      </c>
      <c r="K491" s="24" t="inlineStr">
        <is>
          <t>당기순이익(손실)</t>
        </is>
      </c>
      <c r="L491" s="24" t="inlineStr">
        <is>
          <t>자본 [구성요소]|지배기업의 소유주에게 귀속되는 지분 [구성요소]|이익잉여금 [구성요소]</t>
        </is>
      </c>
      <c r="M491" s="24" t="inlineStr">
        <is>
          <t>제 5 기</t>
        </is>
      </c>
      <c r="N491" s="24" t="inlineStr">
        <is>
          <t>52520188202.0</t>
        </is>
      </c>
      <c r="O491" s="24" t="inlineStr">
        <is>
          <t>77443254531.0</t>
        </is>
      </c>
      <c r="P491" s="24" t="inlineStr">
        <is>
          <t>KRW</t>
        </is>
      </c>
      <c r="Q491" s="24" t="inlineStr">
        <is>
          <t>12</t>
        </is>
      </c>
    </row>
    <row r="492" ht="24" customHeight="1">
      <c r="A492" s="29" t="inlineStr">
        <is>
          <t>OpenDART_fnlttSinglAcntAll</t>
        </is>
      </c>
      <c r="B492" s="29" t="inlineStr">
        <is>
          <t>01365825</t>
        </is>
      </c>
      <c r="C492" s="29" t="inlineStr">
        <is>
          <t>피에스케이</t>
        </is>
      </c>
      <c r="D492" s="29" t="inlineStr">
        <is>
          <t>psk</t>
        </is>
      </c>
      <c r="E492" s="29" t="inlineStr">
        <is>
          <t>319660</t>
        </is>
      </c>
      <c r="F492" s="29" t="inlineStr">
        <is>
          <t>2023</t>
        </is>
      </c>
      <c r="G492" s="29" t="inlineStr">
        <is>
          <t>CFS</t>
        </is>
      </c>
      <c r="H492" s="29" t="inlineStr">
        <is>
          <t>SCE</t>
        </is>
      </c>
      <c r="I492" s="29" t="inlineStr">
        <is>
          <t>자본변동표</t>
        </is>
      </c>
      <c r="J492" s="29" t="inlineStr">
        <is>
          <t>ifrs-full_ProfitLoss</t>
        </is>
      </c>
      <c r="K492" s="29" t="inlineStr">
        <is>
          <t>당기순이익(손실)</t>
        </is>
      </c>
      <c r="L492" s="29" t="inlineStr">
        <is>
          <t>자본 [구성요소]|지배기업의 소유주에게 귀속되는 지분 [구성요소]|기타자본구성요소 [구성요소]</t>
        </is>
      </c>
      <c r="M492" s="29" t="inlineStr">
        <is>
          <t>제 5 기</t>
        </is>
      </c>
      <c r="N492" s="29" t="inlineStr">
        <is>
          <t>해당 없음</t>
        </is>
      </c>
      <c r="O492" s="29" t="inlineStr">
        <is>
          <t>0.0</t>
        </is>
      </c>
      <c r="P492" s="29" t="inlineStr">
        <is>
          <t>KRW</t>
        </is>
      </c>
      <c r="Q492" s="29" t="inlineStr">
        <is>
          <t>12</t>
        </is>
      </c>
    </row>
    <row r="493" ht="24" customHeight="1">
      <c r="A493" s="24" t="inlineStr">
        <is>
          <t>OpenDART_fnlttSinglAcntAll</t>
        </is>
      </c>
      <c r="B493" s="24" t="inlineStr">
        <is>
          <t>01365825</t>
        </is>
      </c>
      <c r="C493" s="24" t="inlineStr">
        <is>
          <t>피에스케이</t>
        </is>
      </c>
      <c r="D493" s="24" t="inlineStr">
        <is>
          <t>psk</t>
        </is>
      </c>
      <c r="E493" s="24" t="inlineStr">
        <is>
          <t>319660</t>
        </is>
      </c>
      <c r="F493" s="24" t="inlineStr">
        <is>
          <t>2023</t>
        </is>
      </c>
      <c r="G493" s="24" t="inlineStr">
        <is>
          <t>CFS</t>
        </is>
      </c>
      <c r="H493" s="24" t="inlineStr">
        <is>
          <t>SCE</t>
        </is>
      </c>
      <c r="I493" s="24" t="inlineStr">
        <is>
          <t>자본변동표</t>
        </is>
      </c>
      <c r="J493" s="24" t="inlineStr">
        <is>
          <t>ifrs-full_ProfitLoss</t>
        </is>
      </c>
      <c r="K493" s="24" t="inlineStr">
        <is>
          <t>당기순이익(손실)</t>
        </is>
      </c>
      <c r="L493" s="24" t="inlineStr">
        <is>
          <t>자본 [구성요소]|지배기업의 소유주에게 귀속되는 지분 [구성요소]|자본잉여금 [구성요소]</t>
        </is>
      </c>
      <c r="M493" s="24" t="inlineStr">
        <is>
          <t>제 5 기</t>
        </is>
      </c>
      <c r="N493" s="24" t="inlineStr">
        <is>
          <t>해당 없음</t>
        </is>
      </c>
      <c r="O493" s="24" t="inlineStr">
        <is>
          <t>0.0</t>
        </is>
      </c>
      <c r="P493" s="24" t="inlineStr">
        <is>
          <t>KRW</t>
        </is>
      </c>
      <c r="Q493" s="24" t="inlineStr">
        <is>
          <t>12</t>
        </is>
      </c>
    </row>
    <row r="494" ht="24" customHeight="1">
      <c r="A494" s="29" t="inlineStr">
        <is>
          <t>OpenDART_fnlttSinglAcntAll</t>
        </is>
      </c>
      <c r="B494" s="29" t="inlineStr">
        <is>
          <t>01365825</t>
        </is>
      </c>
      <c r="C494" s="29" t="inlineStr">
        <is>
          <t>피에스케이</t>
        </is>
      </c>
      <c r="D494" s="29" t="inlineStr">
        <is>
          <t>psk</t>
        </is>
      </c>
      <c r="E494" s="29" t="inlineStr">
        <is>
          <t>319660</t>
        </is>
      </c>
      <c r="F494" s="29" t="inlineStr">
        <is>
          <t>2024</t>
        </is>
      </c>
      <c r="G494" s="29" t="inlineStr">
        <is>
          <t>CFS</t>
        </is>
      </c>
      <c r="H494" s="29" t="inlineStr">
        <is>
          <t>BS</t>
        </is>
      </c>
      <c r="I494" s="29" t="inlineStr">
        <is>
          <t>재무상태표</t>
        </is>
      </c>
      <c r="J494" s="29" t="inlineStr">
        <is>
          <t>ifrs-full_Assets</t>
        </is>
      </c>
      <c r="K494" s="29" t="inlineStr">
        <is>
          <t>자산총계</t>
        </is>
      </c>
      <c r="L494" s="29" t="inlineStr">
        <is>
          <t>-</t>
        </is>
      </c>
      <c r="M494" s="29" t="inlineStr">
        <is>
          <t>제 6 기</t>
        </is>
      </c>
      <c r="N494" s="29" t="inlineStr">
        <is>
          <t>569356264734.0</t>
        </is>
      </c>
      <c r="O494" s="29" t="inlineStr">
        <is>
          <t>494393356491.0</t>
        </is>
      </c>
      <c r="P494" s="29" t="inlineStr">
        <is>
          <t>KRW</t>
        </is>
      </c>
      <c r="Q494" s="29" t="inlineStr">
        <is>
          <t>7</t>
        </is>
      </c>
    </row>
    <row r="495" ht="24" customHeight="1">
      <c r="A495" s="24" t="inlineStr">
        <is>
          <t>OpenDART_fnlttSinglAcntAll</t>
        </is>
      </c>
      <c r="B495" s="24" t="inlineStr">
        <is>
          <t>01365825</t>
        </is>
      </c>
      <c r="C495" s="24" t="inlineStr">
        <is>
          <t>피에스케이</t>
        </is>
      </c>
      <c r="D495" s="24" t="inlineStr">
        <is>
          <t>psk</t>
        </is>
      </c>
      <c r="E495" s="24" t="inlineStr">
        <is>
          <t>319660</t>
        </is>
      </c>
      <c r="F495" s="24" t="inlineStr">
        <is>
          <t>2024</t>
        </is>
      </c>
      <c r="G495" s="24" t="inlineStr">
        <is>
          <t>CFS</t>
        </is>
      </c>
      <c r="H495" s="24" t="inlineStr">
        <is>
          <t>BS</t>
        </is>
      </c>
      <c r="I495" s="24" t="inlineStr">
        <is>
          <t>재무상태표</t>
        </is>
      </c>
      <c r="J495" s="24" t="inlineStr">
        <is>
          <t>ifrs-full_CurrentAssets</t>
        </is>
      </c>
      <c r="K495" s="24" t="inlineStr">
        <is>
          <t>유동자산</t>
        </is>
      </c>
      <c r="L495" s="24" t="inlineStr">
        <is>
          <t>-</t>
        </is>
      </c>
      <c r="M495" s="24" t="inlineStr">
        <is>
          <t>제 6 기</t>
        </is>
      </c>
      <c r="N495" s="24" t="inlineStr">
        <is>
          <t>398573268975.0</t>
        </is>
      </c>
      <c r="O495" s="24" t="inlineStr">
        <is>
          <t>353608678775.0</t>
        </is>
      </c>
      <c r="P495" s="24" t="inlineStr">
        <is>
          <t>KRW</t>
        </is>
      </c>
      <c r="Q495" s="24" t="inlineStr">
        <is>
          <t>8</t>
        </is>
      </c>
    </row>
    <row r="496" ht="24" customHeight="1">
      <c r="A496" s="29" t="inlineStr">
        <is>
          <t>OpenDART_fnlttSinglAcntAll</t>
        </is>
      </c>
      <c r="B496" s="29" t="inlineStr">
        <is>
          <t>01365825</t>
        </is>
      </c>
      <c r="C496" s="29" t="inlineStr">
        <is>
          <t>피에스케이</t>
        </is>
      </c>
      <c r="D496" s="29" t="inlineStr">
        <is>
          <t>psk</t>
        </is>
      </c>
      <c r="E496" s="29" t="inlineStr">
        <is>
          <t>319660</t>
        </is>
      </c>
      <c r="F496" s="29" t="inlineStr">
        <is>
          <t>2024</t>
        </is>
      </c>
      <c r="G496" s="29" t="inlineStr">
        <is>
          <t>CFS</t>
        </is>
      </c>
      <c r="H496" s="29" t="inlineStr">
        <is>
          <t>BS</t>
        </is>
      </c>
      <c r="I496" s="29" t="inlineStr">
        <is>
          <t>재무상태표</t>
        </is>
      </c>
      <c r="J496" s="29" t="inlineStr">
        <is>
          <t>ifrs-full_CashAndCashEquivalents</t>
        </is>
      </c>
      <c r="K496" s="29" t="inlineStr">
        <is>
          <t>현금및현금성자산</t>
        </is>
      </c>
      <c r="L496" s="29" t="inlineStr">
        <is>
          <t>-</t>
        </is>
      </c>
      <c r="M496" s="29" t="inlineStr">
        <is>
          <t>제 6 기</t>
        </is>
      </c>
      <c r="N496" s="29" t="inlineStr">
        <is>
          <t>94775120383.0</t>
        </is>
      </c>
      <c r="O496" s="29" t="inlineStr">
        <is>
          <t>64918554700.0</t>
        </is>
      </c>
      <c r="P496" s="29" t="inlineStr">
        <is>
          <t>KRW</t>
        </is>
      </c>
      <c r="Q496" s="29" t="inlineStr">
        <is>
          <t>9</t>
        </is>
      </c>
    </row>
    <row r="497" ht="24" customHeight="1">
      <c r="A497" s="24" t="inlineStr">
        <is>
          <t>OpenDART_fnlttSinglAcntAll</t>
        </is>
      </c>
      <c r="B497" s="24" t="inlineStr">
        <is>
          <t>01365825</t>
        </is>
      </c>
      <c r="C497" s="24" t="inlineStr">
        <is>
          <t>피에스케이</t>
        </is>
      </c>
      <c r="D497" s="24" t="inlineStr">
        <is>
          <t>psk</t>
        </is>
      </c>
      <c r="E497" s="24" t="inlineStr">
        <is>
          <t>319660</t>
        </is>
      </c>
      <c r="F497" s="24" t="inlineStr">
        <is>
          <t>2024</t>
        </is>
      </c>
      <c r="G497" s="24" t="inlineStr">
        <is>
          <t>CFS</t>
        </is>
      </c>
      <c r="H497" s="24" t="inlineStr">
        <is>
          <t>BS</t>
        </is>
      </c>
      <c r="I497" s="24" t="inlineStr">
        <is>
          <t>재무상태표</t>
        </is>
      </c>
      <c r="J497" s="24" t="inlineStr">
        <is>
          <t>ifrs-full_Inventories</t>
        </is>
      </c>
      <c r="K497" s="24" t="inlineStr">
        <is>
          <t>유동재고자산</t>
        </is>
      </c>
      <c r="L497" s="24" t="inlineStr">
        <is>
          <t>-</t>
        </is>
      </c>
      <c r="M497" s="24" t="inlineStr">
        <is>
          <t>제 6 기</t>
        </is>
      </c>
      <c r="N497" s="24" t="inlineStr">
        <is>
          <t>108346942948.0</t>
        </is>
      </c>
      <c r="O497" s="24" t="inlineStr">
        <is>
          <t>116713437321.0</t>
        </is>
      </c>
      <c r="P497" s="24" t="inlineStr">
        <is>
          <t>KRW</t>
        </is>
      </c>
      <c r="Q497" s="24" t="inlineStr">
        <is>
          <t>10</t>
        </is>
      </c>
    </row>
    <row r="498" ht="24" customHeight="1">
      <c r="A498" s="29" t="inlineStr">
        <is>
          <t>OpenDART_fnlttSinglAcntAll</t>
        </is>
      </c>
      <c r="B498" s="29" t="inlineStr">
        <is>
          <t>01365825</t>
        </is>
      </c>
      <c r="C498" s="29" t="inlineStr">
        <is>
          <t>피에스케이</t>
        </is>
      </c>
      <c r="D498" s="29" t="inlineStr">
        <is>
          <t>psk</t>
        </is>
      </c>
      <c r="E498" s="29" t="inlineStr">
        <is>
          <t>319660</t>
        </is>
      </c>
      <c r="F498" s="29" t="inlineStr">
        <is>
          <t>2024</t>
        </is>
      </c>
      <c r="G498" s="29" t="inlineStr">
        <is>
          <t>CFS</t>
        </is>
      </c>
      <c r="H498" s="29" t="inlineStr">
        <is>
          <t>BS</t>
        </is>
      </c>
      <c r="I498" s="29" t="inlineStr">
        <is>
          <t>재무상태표</t>
        </is>
      </c>
      <c r="J498" s="29" t="inlineStr">
        <is>
          <t>ifrs-full_OtherCurrentAssets</t>
        </is>
      </c>
      <c r="K498" s="29" t="inlineStr">
        <is>
          <t>기타유동자산</t>
        </is>
      </c>
      <c r="L498" s="29" t="inlineStr">
        <is>
          <t>-</t>
        </is>
      </c>
      <c r="M498" s="29" t="inlineStr">
        <is>
          <t>제 6 기</t>
        </is>
      </c>
      <c r="N498" s="29" t="inlineStr">
        <is>
          <t>4618262680.0</t>
        </is>
      </c>
      <c r="O498" s="29" t="inlineStr">
        <is>
          <t>4204026136.0</t>
        </is>
      </c>
      <c r="P498" s="29" t="inlineStr">
        <is>
          <t>KRW</t>
        </is>
      </c>
      <c r="Q498" s="29" t="inlineStr">
        <is>
          <t>11</t>
        </is>
      </c>
    </row>
    <row r="499" ht="24" customHeight="1">
      <c r="A499" s="24" t="inlineStr">
        <is>
          <t>OpenDART_fnlttSinglAcntAll</t>
        </is>
      </c>
      <c r="B499" s="24" t="inlineStr">
        <is>
          <t>01365825</t>
        </is>
      </c>
      <c r="C499" s="24" t="inlineStr">
        <is>
          <t>피에스케이</t>
        </is>
      </c>
      <c r="D499" s="24" t="inlineStr">
        <is>
          <t>psk</t>
        </is>
      </c>
      <c r="E499" s="24" t="inlineStr">
        <is>
          <t>319660</t>
        </is>
      </c>
      <c r="F499" s="24" t="inlineStr">
        <is>
          <t>2024</t>
        </is>
      </c>
      <c r="G499" s="24" t="inlineStr">
        <is>
          <t>CFS</t>
        </is>
      </c>
      <c r="H499" s="24" t="inlineStr">
        <is>
          <t>BS</t>
        </is>
      </c>
      <c r="I499" s="24" t="inlineStr">
        <is>
          <t>재무상태표</t>
        </is>
      </c>
      <c r="J499" s="24" t="inlineStr">
        <is>
          <t>ifrs-full_OtherCurrentFinancialAssets</t>
        </is>
      </c>
      <c r="K499" s="24" t="inlineStr">
        <is>
          <t>유동금융자산</t>
        </is>
      </c>
      <c r="L499" s="24" t="inlineStr">
        <is>
          <t>-</t>
        </is>
      </c>
      <c r="M499" s="24" t="inlineStr">
        <is>
          <t>제 6 기</t>
        </is>
      </c>
      <c r="N499" s="24" t="inlineStr">
        <is>
          <t>134141476848.0</t>
        </is>
      </c>
      <c r="O499" s="24" t="inlineStr">
        <is>
          <t>133728794179.0</t>
        </is>
      </c>
      <c r="P499" s="24" t="inlineStr">
        <is>
          <t>KRW</t>
        </is>
      </c>
      <c r="Q499" s="24" t="inlineStr">
        <is>
          <t>12</t>
        </is>
      </c>
    </row>
    <row r="500" ht="24" customHeight="1">
      <c r="A500" s="29" t="inlineStr">
        <is>
          <t>OpenDART_fnlttSinglAcntAll</t>
        </is>
      </c>
      <c r="B500" s="29" t="inlineStr">
        <is>
          <t>01365825</t>
        </is>
      </c>
      <c r="C500" s="29" t="inlineStr">
        <is>
          <t>피에스케이</t>
        </is>
      </c>
      <c r="D500" s="29" t="inlineStr">
        <is>
          <t>psk</t>
        </is>
      </c>
      <c r="E500" s="29" t="inlineStr">
        <is>
          <t>319660</t>
        </is>
      </c>
      <c r="F500" s="29" t="inlineStr">
        <is>
          <t>2024</t>
        </is>
      </c>
      <c r="G500" s="29" t="inlineStr">
        <is>
          <t>CFS</t>
        </is>
      </c>
      <c r="H500" s="29" t="inlineStr">
        <is>
          <t>BS</t>
        </is>
      </c>
      <c r="I500" s="29" t="inlineStr">
        <is>
          <t>재무상태표</t>
        </is>
      </c>
      <c r="J500" s="29" t="inlineStr">
        <is>
          <t>ifrs-full_TradeAndOtherCurrentReceivables</t>
        </is>
      </c>
      <c r="K500" s="29" t="inlineStr">
        <is>
          <t>매출채권및기타채권</t>
        </is>
      </c>
      <c r="L500" s="29" t="inlineStr">
        <is>
          <t>-</t>
        </is>
      </c>
      <c r="M500" s="29" t="inlineStr">
        <is>
          <t>제 6 기</t>
        </is>
      </c>
      <c r="N500" s="29" t="inlineStr">
        <is>
          <t>56691466116.0</t>
        </is>
      </c>
      <c r="O500" s="29" t="inlineStr">
        <is>
          <t>34043866439.0</t>
        </is>
      </c>
      <c r="P500" s="29" t="inlineStr">
        <is>
          <t>KRW</t>
        </is>
      </c>
      <c r="Q500" s="29" t="inlineStr">
        <is>
          <t>13</t>
        </is>
      </c>
    </row>
    <row r="501" ht="24" customHeight="1">
      <c r="A501" s="24" t="inlineStr">
        <is>
          <t>OpenDART_fnlttSinglAcntAll</t>
        </is>
      </c>
      <c r="B501" s="24" t="inlineStr">
        <is>
          <t>01365825</t>
        </is>
      </c>
      <c r="C501" s="24" t="inlineStr">
        <is>
          <t>피에스케이</t>
        </is>
      </c>
      <c r="D501" s="24" t="inlineStr">
        <is>
          <t>psk</t>
        </is>
      </c>
      <c r="E501" s="24" t="inlineStr">
        <is>
          <t>319660</t>
        </is>
      </c>
      <c r="F501" s="24" t="inlineStr">
        <is>
          <t>2024</t>
        </is>
      </c>
      <c r="G501" s="24" t="inlineStr">
        <is>
          <t>CFS</t>
        </is>
      </c>
      <c r="H501" s="24" t="inlineStr">
        <is>
          <t>BS</t>
        </is>
      </c>
      <c r="I501" s="24" t="inlineStr">
        <is>
          <t>재무상태표</t>
        </is>
      </c>
      <c r="J501" s="24" t="inlineStr">
        <is>
          <t>ifrs-full_NoncurrentAssets</t>
        </is>
      </c>
      <c r="K501" s="24" t="inlineStr">
        <is>
          <t>비유동자산</t>
        </is>
      </c>
      <c r="L501" s="24" t="inlineStr">
        <is>
          <t>-</t>
        </is>
      </c>
      <c r="M501" s="24" t="inlineStr">
        <is>
          <t>제 6 기</t>
        </is>
      </c>
      <c r="N501" s="24" t="inlineStr">
        <is>
          <t>170782995759.0</t>
        </is>
      </c>
      <c r="O501" s="24" t="inlineStr">
        <is>
          <t>140784677716.0</t>
        </is>
      </c>
      <c r="P501" s="24" t="inlineStr">
        <is>
          <t>KRW</t>
        </is>
      </c>
      <c r="Q501" s="24" t="inlineStr">
        <is>
          <t>14</t>
        </is>
      </c>
    </row>
    <row r="502" ht="24" customHeight="1">
      <c r="A502" s="29" t="inlineStr">
        <is>
          <t>OpenDART_fnlttSinglAcntAll</t>
        </is>
      </c>
      <c r="B502" s="29" t="inlineStr">
        <is>
          <t>01365825</t>
        </is>
      </c>
      <c r="C502" s="29" t="inlineStr">
        <is>
          <t>피에스케이</t>
        </is>
      </c>
      <c r="D502" s="29" t="inlineStr">
        <is>
          <t>psk</t>
        </is>
      </c>
      <c r="E502" s="29" t="inlineStr">
        <is>
          <t>319660</t>
        </is>
      </c>
      <c r="F502" s="29" t="inlineStr">
        <is>
          <t>2024</t>
        </is>
      </c>
      <c r="G502" s="29" t="inlineStr">
        <is>
          <t>CFS</t>
        </is>
      </c>
      <c r="H502" s="29" t="inlineStr">
        <is>
          <t>BS</t>
        </is>
      </c>
      <c r="I502" s="29" t="inlineStr">
        <is>
          <t>재무상태표</t>
        </is>
      </c>
      <c r="J502" s="29" t="inlineStr">
        <is>
          <t>dart_LongTermTradeAndOtherNonCurrentReceivablesGross</t>
        </is>
      </c>
      <c r="K502" s="29" t="inlineStr">
        <is>
          <t>매출채권및기타채권(비)</t>
        </is>
      </c>
      <c r="L502" s="29" t="inlineStr">
        <is>
          <t>-</t>
        </is>
      </c>
      <c r="M502" s="29" t="inlineStr">
        <is>
          <t>제 6 기</t>
        </is>
      </c>
      <c r="N502" s="29" t="inlineStr">
        <is>
          <t>3124754527.0</t>
        </is>
      </c>
      <c r="O502" s="29" t="inlineStr">
        <is>
          <t>3943844403.0</t>
        </is>
      </c>
      <c r="P502" s="29" t="inlineStr">
        <is>
          <t>KRW</t>
        </is>
      </c>
      <c r="Q502" s="29" t="inlineStr">
        <is>
          <t>15</t>
        </is>
      </c>
    </row>
    <row r="503" ht="24" customHeight="1">
      <c r="A503" s="24" t="inlineStr">
        <is>
          <t>OpenDART_fnlttSinglAcntAll</t>
        </is>
      </c>
      <c r="B503" s="24" t="inlineStr">
        <is>
          <t>01365825</t>
        </is>
      </c>
      <c r="C503" s="24" t="inlineStr">
        <is>
          <t>피에스케이</t>
        </is>
      </c>
      <c r="D503" s="24" t="inlineStr">
        <is>
          <t>psk</t>
        </is>
      </c>
      <c r="E503" s="24" t="inlineStr">
        <is>
          <t>319660</t>
        </is>
      </c>
      <c r="F503" s="24" t="inlineStr">
        <is>
          <t>2024</t>
        </is>
      </c>
      <c r="G503" s="24" t="inlineStr">
        <is>
          <t>CFS</t>
        </is>
      </c>
      <c r="H503" s="24" t="inlineStr">
        <is>
          <t>BS</t>
        </is>
      </c>
      <c r="I503" s="24" t="inlineStr">
        <is>
          <t>재무상태표</t>
        </is>
      </c>
      <c r="J503" s="24" t="inlineStr">
        <is>
          <t>-표준계정코드 미사용-</t>
        </is>
      </c>
      <c r="K503" s="24" t="inlineStr">
        <is>
          <t>순확정급여자산</t>
        </is>
      </c>
      <c r="L503" s="24" t="inlineStr">
        <is>
          <t>-</t>
        </is>
      </c>
      <c r="M503" s="24" t="inlineStr">
        <is>
          <t>제 6 기</t>
        </is>
      </c>
      <c r="N503" s="24" t="inlineStr">
        <is>
          <t>1725769510.0</t>
        </is>
      </c>
      <c r="O503" s="24" t="inlineStr">
        <is>
          <t>2402551266.0</t>
        </is>
      </c>
      <c r="P503" s="24" t="inlineStr">
        <is>
          <t>KRW</t>
        </is>
      </c>
      <c r="Q503" s="24" t="inlineStr">
        <is>
          <t>16</t>
        </is>
      </c>
    </row>
    <row r="504" ht="24" customHeight="1">
      <c r="A504" s="29" t="inlineStr">
        <is>
          <t>OpenDART_fnlttSinglAcntAll</t>
        </is>
      </c>
      <c r="B504" s="29" t="inlineStr">
        <is>
          <t>01365825</t>
        </is>
      </c>
      <c r="C504" s="29" t="inlineStr">
        <is>
          <t>피에스케이</t>
        </is>
      </c>
      <c r="D504" s="29" t="inlineStr">
        <is>
          <t>psk</t>
        </is>
      </c>
      <c r="E504" s="29" t="inlineStr">
        <is>
          <t>319660</t>
        </is>
      </c>
      <c r="F504" s="29" t="inlineStr">
        <is>
          <t>2024</t>
        </is>
      </c>
      <c r="G504" s="29" t="inlineStr">
        <is>
          <t>CFS</t>
        </is>
      </c>
      <c r="H504" s="29" t="inlineStr">
        <is>
          <t>BS</t>
        </is>
      </c>
      <c r="I504" s="29" t="inlineStr">
        <is>
          <t>재무상태표</t>
        </is>
      </c>
      <c r="J504" s="29" t="inlineStr">
        <is>
          <t>ifrs-full_DeferredTaxAssets</t>
        </is>
      </c>
      <c r="K504" s="29" t="inlineStr">
        <is>
          <t>이연법인세자산</t>
        </is>
      </c>
      <c r="L504" s="29" t="inlineStr">
        <is>
          <t>-</t>
        </is>
      </c>
      <c r="M504" s="29" t="inlineStr">
        <is>
          <t>제 6 기</t>
        </is>
      </c>
      <c r="N504" s="29" t="inlineStr">
        <is>
          <t>5692078926.0</t>
        </is>
      </c>
      <c r="O504" s="29" t="inlineStr">
        <is>
          <t>6263861240.0</t>
        </is>
      </c>
      <c r="P504" s="29" t="inlineStr">
        <is>
          <t>KRW</t>
        </is>
      </c>
      <c r="Q504" s="29" t="inlineStr">
        <is>
          <t>17</t>
        </is>
      </c>
    </row>
    <row r="505" ht="24" customHeight="1">
      <c r="A505" s="24" t="inlineStr">
        <is>
          <t>OpenDART_fnlttSinglAcntAll</t>
        </is>
      </c>
      <c r="B505" s="24" t="inlineStr">
        <is>
          <t>01365825</t>
        </is>
      </c>
      <c r="C505" s="24" t="inlineStr">
        <is>
          <t>피에스케이</t>
        </is>
      </c>
      <c r="D505" s="24" t="inlineStr">
        <is>
          <t>psk</t>
        </is>
      </c>
      <c r="E505" s="24" t="inlineStr">
        <is>
          <t>319660</t>
        </is>
      </c>
      <c r="F505" s="24" t="inlineStr">
        <is>
          <t>2024</t>
        </is>
      </c>
      <c r="G505" s="24" t="inlineStr">
        <is>
          <t>CFS</t>
        </is>
      </c>
      <c r="H505" s="24" t="inlineStr">
        <is>
          <t>BS</t>
        </is>
      </c>
      <c r="I505" s="24" t="inlineStr">
        <is>
          <t>재무상태표</t>
        </is>
      </c>
      <c r="J505" s="24" t="inlineStr">
        <is>
          <t>ifrs-full_IntangibleAssetsOtherThanGoodwill</t>
        </is>
      </c>
      <c r="K505" s="24" t="inlineStr">
        <is>
          <t>무형자산</t>
        </is>
      </c>
      <c r="L505" s="24" t="inlineStr">
        <is>
          <t>-</t>
        </is>
      </c>
      <c r="M505" s="24" t="inlineStr">
        <is>
          <t>제 6 기</t>
        </is>
      </c>
      <c r="N505" s="24" t="inlineStr">
        <is>
          <t>10064001118.0</t>
        </is>
      </c>
      <c r="O505" s="24" t="inlineStr">
        <is>
          <t>9916528235.0</t>
        </is>
      </c>
      <c r="P505" s="24" t="inlineStr">
        <is>
          <t>KRW</t>
        </is>
      </c>
      <c r="Q505" s="24" t="inlineStr">
        <is>
          <t>18</t>
        </is>
      </c>
    </row>
    <row r="506" ht="24" customHeight="1">
      <c r="A506" s="29" t="inlineStr">
        <is>
          <t>OpenDART_fnlttSinglAcntAll</t>
        </is>
      </c>
      <c r="B506" s="29" t="inlineStr">
        <is>
          <t>01365825</t>
        </is>
      </c>
      <c r="C506" s="29" t="inlineStr">
        <is>
          <t>피에스케이</t>
        </is>
      </c>
      <c r="D506" s="29" t="inlineStr">
        <is>
          <t>psk</t>
        </is>
      </c>
      <c r="E506" s="29" t="inlineStr">
        <is>
          <t>319660</t>
        </is>
      </c>
      <c r="F506" s="29" t="inlineStr">
        <is>
          <t>2024</t>
        </is>
      </c>
      <c r="G506" s="29" t="inlineStr">
        <is>
          <t>CFS</t>
        </is>
      </c>
      <c r="H506" s="29" t="inlineStr">
        <is>
          <t>BS</t>
        </is>
      </c>
      <c r="I506" s="29" t="inlineStr">
        <is>
          <t>재무상태표</t>
        </is>
      </c>
      <c r="J506" s="29" t="inlineStr">
        <is>
          <t>ifrs-full_OtherNoncurrentAssets</t>
        </is>
      </c>
      <c r="K506" s="29" t="inlineStr">
        <is>
          <t>기타비유동자산</t>
        </is>
      </c>
      <c r="L506" s="29" t="inlineStr">
        <is>
          <t>-</t>
        </is>
      </c>
      <c r="M506" s="29" t="inlineStr">
        <is>
          <t>제 6 기</t>
        </is>
      </c>
      <c r="N506" s="29" t="inlineStr">
        <is>
          <t>124677367.0</t>
        </is>
      </c>
      <c r="O506" s="29" t="inlineStr">
        <is>
          <t>165835661.0</t>
        </is>
      </c>
      <c r="P506" s="29" t="inlineStr">
        <is>
          <t>KRW</t>
        </is>
      </c>
      <c r="Q506" s="29" t="inlineStr">
        <is>
          <t>19</t>
        </is>
      </c>
    </row>
    <row r="507" ht="24" customHeight="1">
      <c r="A507" s="24" t="inlineStr">
        <is>
          <t>OpenDART_fnlttSinglAcntAll</t>
        </is>
      </c>
      <c r="B507" s="24" t="inlineStr">
        <is>
          <t>01365825</t>
        </is>
      </c>
      <c r="C507" s="24" t="inlineStr">
        <is>
          <t>피에스케이</t>
        </is>
      </c>
      <c r="D507" s="24" t="inlineStr">
        <is>
          <t>psk</t>
        </is>
      </c>
      <c r="E507" s="24" t="inlineStr">
        <is>
          <t>319660</t>
        </is>
      </c>
      <c r="F507" s="24" t="inlineStr">
        <is>
          <t>2024</t>
        </is>
      </c>
      <c r="G507" s="24" t="inlineStr">
        <is>
          <t>CFS</t>
        </is>
      </c>
      <c r="H507" s="24" t="inlineStr">
        <is>
          <t>BS</t>
        </is>
      </c>
      <c r="I507" s="24" t="inlineStr">
        <is>
          <t>재무상태표</t>
        </is>
      </c>
      <c r="J507" s="24" t="inlineStr">
        <is>
          <t>ifrs-full_OtherNoncurrentFinancialAssets</t>
        </is>
      </c>
      <c r="K507" s="24" t="inlineStr">
        <is>
          <t>비유동금융자산</t>
        </is>
      </c>
      <c r="L507" s="24" t="inlineStr">
        <is>
          <t>-</t>
        </is>
      </c>
      <c r="M507" s="24" t="inlineStr">
        <is>
          <t>제 6 기</t>
        </is>
      </c>
      <c r="N507" s="24" t="inlineStr">
        <is>
          <t>53240589070.0</t>
        </is>
      </c>
      <c r="O507" s="24" t="inlineStr">
        <is>
          <t>44853585458.0</t>
        </is>
      </c>
      <c r="P507" s="24" t="inlineStr">
        <is>
          <t>KRW</t>
        </is>
      </c>
      <c r="Q507" s="24" t="inlineStr">
        <is>
          <t>20</t>
        </is>
      </c>
    </row>
    <row r="508" ht="24" customHeight="1">
      <c r="A508" s="29" t="inlineStr">
        <is>
          <t>OpenDART_fnlttSinglAcntAll</t>
        </is>
      </c>
      <c r="B508" s="29" t="inlineStr">
        <is>
          <t>01365825</t>
        </is>
      </c>
      <c r="C508" s="29" t="inlineStr">
        <is>
          <t>피에스케이</t>
        </is>
      </c>
      <c r="D508" s="29" t="inlineStr">
        <is>
          <t>psk</t>
        </is>
      </c>
      <c r="E508" s="29" t="inlineStr">
        <is>
          <t>319660</t>
        </is>
      </c>
      <c r="F508" s="29" t="inlineStr">
        <is>
          <t>2024</t>
        </is>
      </c>
      <c r="G508" s="29" t="inlineStr">
        <is>
          <t>CFS</t>
        </is>
      </c>
      <c r="H508" s="29" t="inlineStr">
        <is>
          <t>BS</t>
        </is>
      </c>
      <c r="I508" s="29" t="inlineStr">
        <is>
          <t>재무상태표</t>
        </is>
      </c>
      <c r="J508" s="29" t="inlineStr">
        <is>
          <t>ifrs-full_PropertyPlantAndEquipment</t>
        </is>
      </c>
      <c r="K508" s="29" t="inlineStr">
        <is>
          <t>유형자산</t>
        </is>
      </c>
      <c r="L508" s="29" t="inlineStr">
        <is>
          <t>-</t>
        </is>
      </c>
      <c r="M508" s="29" t="inlineStr">
        <is>
          <t>제 6 기</t>
        </is>
      </c>
      <c r="N508" s="29" t="inlineStr">
        <is>
          <t>92635598884.0</t>
        </is>
      </c>
      <c r="O508" s="29" t="inlineStr">
        <is>
          <t>71590181740.0</t>
        </is>
      </c>
      <c r="P508" s="29" t="inlineStr">
        <is>
          <t>KRW</t>
        </is>
      </c>
      <c r="Q508" s="29" t="inlineStr">
        <is>
          <t>21</t>
        </is>
      </c>
    </row>
    <row r="509" ht="24" customHeight="1">
      <c r="A509" s="24" t="inlineStr">
        <is>
          <t>OpenDART_fnlttSinglAcntAll</t>
        </is>
      </c>
      <c r="B509" s="24" t="inlineStr">
        <is>
          <t>01365825</t>
        </is>
      </c>
      <c r="C509" s="24" t="inlineStr">
        <is>
          <t>피에스케이</t>
        </is>
      </c>
      <c r="D509" s="24" t="inlineStr">
        <is>
          <t>psk</t>
        </is>
      </c>
      <c r="E509" s="24" t="inlineStr">
        <is>
          <t>319660</t>
        </is>
      </c>
      <c r="F509" s="24" t="inlineStr">
        <is>
          <t>2024</t>
        </is>
      </c>
      <c r="G509" s="24" t="inlineStr">
        <is>
          <t>CFS</t>
        </is>
      </c>
      <c r="H509" s="24" t="inlineStr">
        <is>
          <t>BS</t>
        </is>
      </c>
      <c r="I509" s="24" t="inlineStr">
        <is>
          <t>재무상태표</t>
        </is>
      </c>
      <c r="J509" s="24" t="inlineStr">
        <is>
          <t>ifrs-full_RightofuseAssets</t>
        </is>
      </c>
      <c r="K509" s="24" t="inlineStr">
        <is>
          <t>사용권자산</t>
        </is>
      </c>
      <c r="L509" s="24" t="inlineStr">
        <is>
          <t>-</t>
        </is>
      </c>
      <c r="M509" s="24" t="inlineStr">
        <is>
          <t>제 6 기</t>
        </is>
      </c>
      <c r="N509" s="24" t="inlineStr">
        <is>
          <t>4175526357.0</t>
        </is>
      </c>
      <c r="O509" s="24" t="inlineStr">
        <is>
          <t>1648289713.0</t>
        </is>
      </c>
      <c r="P509" s="24" t="inlineStr">
        <is>
          <t>KRW</t>
        </is>
      </c>
      <c r="Q509" s="24" t="inlineStr">
        <is>
          <t>22</t>
        </is>
      </c>
    </row>
    <row r="510" ht="24" customHeight="1">
      <c r="A510" s="29" t="inlineStr">
        <is>
          <t>OpenDART_fnlttSinglAcntAll</t>
        </is>
      </c>
      <c r="B510" s="29" t="inlineStr">
        <is>
          <t>01365825</t>
        </is>
      </c>
      <c r="C510" s="29" t="inlineStr">
        <is>
          <t>피에스케이</t>
        </is>
      </c>
      <c r="D510" s="29" t="inlineStr">
        <is>
          <t>psk</t>
        </is>
      </c>
      <c r="E510" s="29" t="inlineStr">
        <is>
          <t>319660</t>
        </is>
      </c>
      <c r="F510" s="29" t="inlineStr">
        <is>
          <t>2024</t>
        </is>
      </c>
      <c r="G510" s="29" t="inlineStr">
        <is>
          <t>CFS</t>
        </is>
      </c>
      <c r="H510" s="29" t="inlineStr">
        <is>
          <t>BS</t>
        </is>
      </c>
      <c r="I510" s="29" t="inlineStr">
        <is>
          <t>재무상태표</t>
        </is>
      </c>
      <c r="J510" s="29" t="inlineStr">
        <is>
          <t>ifrs-full_Equity</t>
        </is>
      </c>
      <c r="K510" s="29" t="inlineStr">
        <is>
          <t>자본총계</t>
        </is>
      </c>
      <c r="L510" s="29" t="inlineStr">
        <is>
          <t>-</t>
        </is>
      </c>
      <c r="M510" s="29" t="inlineStr">
        <is>
          <t>제 6 기</t>
        </is>
      </c>
      <c r="N510" s="29" t="inlineStr">
        <is>
          <t>471716805682.0</t>
        </is>
      </c>
      <c r="O510" s="29" t="inlineStr">
        <is>
          <t>392569607133.0</t>
        </is>
      </c>
      <c r="P510" s="29" t="inlineStr">
        <is>
          <t>KRW</t>
        </is>
      </c>
      <c r="Q510" s="29" t="inlineStr">
        <is>
          <t>24</t>
        </is>
      </c>
    </row>
    <row r="511" ht="24" customHeight="1">
      <c r="A511" s="24" t="inlineStr">
        <is>
          <t>OpenDART_fnlttSinglAcntAll</t>
        </is>
      </c>
      <c r="B511" s="24" t="inlineStr">
        <is>
          <t>01365825</t>
        </is>
      </c>
      <c r="C511" s="24" t="inlineStr">
        <is>
          <t>피에스케이</t>
        </is>
      </c>
      <c r="D511" s="24" t="inlineStr">
        <is>
          <t>psk</t>
        </is>
      </c>
      <c r="E511" s="24" t="inlineStr">
        <is>
          <t>319660</t>
        </is>
      </c>
      <c r="F511" s="24" t="inlineStr">
        <is>
          <t>2024</t>
        </is>
      </c>
      <c r="G511" s="24" t="inlineStr">
        <is>
          <t>CFS</t>
        </is>
      </c>
      <c r="H511" s="24" t="inlineStr">
        <is>
          <t>BS</t>
        </is>
      </c>
      <c r="I511" s="24" t="inlineStr">
        <is>
          <t>재무상태표</t>
        </is>
      </c>
      <c r="J511" s="24" t="inlineStr">
        <is>
          <t>ifrs-full_EquityAttributableToOwnersOfParent</t>
        </is>
      </c>
      <c r="K511" s="24" t="inlineStr">
        <is>
          <t>지배기업의 소유주에게 귀속되는 자본</t>
        </is>
      </c>
      <c r="L511" s="24" t="inlineStr">
        <is>
          <t>-</t>
        </is>
      </c>
      <c r="M511" s="24" t="inlineStr">
        <is>
          <t>제 6 기</t>
        </is>
      </c>
      <c r="N511" s="24" t="inlineStr">
        <is>
          <t>471716805682.0</t>
        </is>
      </c>
      <c r="O511" s="24" t="inlineStr">
        <is>
          <t>392569607133.0</t>
        </is>
      </c>
      <c r="P511" s="24" t="inlineStr">
        <is>
          <t>KRW</t>
        </is>
      </c>
      <c r="Q511" s="24" t="inlineStr">
        <is>
          <t>25</t>
        </is>
      </c>
    </row>
    <row r="512" ht="24" customHeight="1">
      <c r="A512" s="29" t="inlineStr">
        <is>
          <t>OpenDART_fnlttSinglAcntAll</t>
        </is>
      </c>
      <c r="B512" s="29" t="inlineStr">
        <is>
          <t>01365825</t>
        </is>
      </c>
      <c r="C512" s="29" t="inlineStr">
        <is>
          <t>피에스케이</t>
        </is>
      </c>
      <c r="D512" s="29" t="inlineStr">
        <is>
          <t>psk</t>
        </is>
      </c>
      <c r="E512" s="29" t="inlineStr">
        <is>
          <t>319660</t>
        </is>
      </c>
      <c r="F512" s="29" t="inlineStr">
        <is>
          <t>2024</t>
        </is>
      </c>
      <c r="G512" s="29" t="inlineStr">
        <is>
          <t>CFS</t>
        </is>
      </c>
      <c r="H512" s="29" t="inlineStr">
        <is>
          <t>BS</t>
        </is>
      </c>
      <c r="I512" s="29" t="inlineStr">
        <is>
          <t>재무상태표</t>
        </is>
      </c>
      <c r="J512" s="29" t="inlineStr">
        <is>
          <t>dart_CapitalSurplus</t>
        </is>
      </c>
      <c r="K512" s="29" t="inlineStr">
        <is>
          <t>기타불입자본</t>
        </is>
      </c>
      <c r="L512" s="29" t="inlineStr">
        <is>
          <t>-</t>
        </is>
      </c>
      <c r="M512" s="29" t="inlineStr">
        <is>
          <t>제 6 기</t>
        </is>
      </c>
      <c r="N512" s="29" t="inlineStr">
        <is>
          <t>171960244948.0</t>
        </is>
      </c>
      <c r="O512" s="29" t="inlineStr">
        <is>
          <t>171960244948.0</t>
        </is>
      </c>
      <c r="P512" s="29" t="inlineStr">
        <is>
          <t>KRW</t>
        </is>
      </c>
      <c r="Q512" s="29" t="inlineStr">
        <is>
          <t>26</t>
        </is>
      </c>
    </row>
    <row r="513" ht="24" customHeight="1">
      <c r="A513" s="24" t="inlineStr">
        <is>
          <t>OpenDART_fnlttSinglAcntAll</t>
        </is>
      </c>
      <c r="B513" s="24" t="inlineStr">
        <is>
          <t>01365825</t>
        </is>
      </c>
      <c r="C513" s="24" t="inlineStr">
        <is>
          <t>피에스케이</t>
        </is>
      </c>
      <c r="D513" s="24" t="inlineStr">
        <is>
          <t>psk</t>
        </is>
      </c>
      <c r="E513" s="24" t="inlineStr">
        <is>
          <t>319660</t>
        </is>
      </c>
      <c r="F513" s="24" t="inlineStr">
        <is>
          <t>2024</t>
        </is>
      </c>
      <c r="G513" s="24" t="inlineStr">
        <is>
          <t>CFS</t>
        </is>
      </c>
      <c r="H513" s="24" t="inlineStr">
        <is>
          <t>BS</t>
        </is>
      </c>
      <c r="I513" s="24" t="inlineStr">
        <is>
          <t>재무상태표</t>
        </is>
      </c>
      <c r="J513" s="24" t="inlineStr">
        <is>
          <t>dart_ElementsOfOtherStockholdersEquity</t>
        </is>
      </c>
      <c r="K513" s="24" t="inlineStr">
        <is>
          <t>기타자본구성요소</t>
        </is>
      </c>
      <c r="L513" s="24" t="inlineStr">
        <is>
          <t>-</t>
        </is>
      </c>
      <c r="M513" s="24" t="inlineStr">
        <is>
          <t>제 6 기</t>
        </is>
      </c>
      <c r="N513" s="24" t="inlineStr">
        <is>
          <t>8898706053.0</t>
        </is>
      </c>
      <c r="O513" s="24" t="inlineStr">
        <is>
          <t>1455981401.0</t>
        </is>
      </c>
      <c r="P513" s="24" t="inlineStr">
        <is>
          <t>KRW</t>
        </is>
      </c>
      <c r="Q513" s="24" t="inlineStr">
        <is>
          <t>27</t>
        </is>
      </c>
    </row>
    <row r="514" ht="24" customHeight="1">
      <c r="A514" s="29" t="inlineStr">
        <is>
          <t>OpenDART_fnlttSinglAcntAll</t>
        </is>
      </c>
      <c r="B514" s="29" t="inlineStr">
        <is>
          <t>01365825</t>
        </is>
      </c>
      <c r="C514" s="29" t="inlineStr">
        <is>
          <t>피에스케이</t>
        </is>
      </c>
      <c r="D514" s="29" t="inlineStr">
        <is>
          <t>psk</t>
        </is>
      </c>
      <c r="E514" s="29" t="inlineStr">
        <is>
          <t>319660</t>
        </is>
      </c>
      <c r="F514" s="29" t="inlineStr">
        <is>
          <t>2024</t>
        </is>
      </c>
      <c r="G514" s="29" t="inlineStr">
        <is>
          <t>CFS</t>
        </is>
      </c>
      <c r="H514" s="29" t="inlineStr">
        <is>
          <t>BS</t>
        </is>
      </c>
      <c r="I514" s="29" t="inlineStr">
        <is>
          <t>재무상태표</t>
        </is>
      </c>
      <c r="J514" s="29" t="inlineStr">
        <is>
          <t>ifrs-full_IssuedCapital</t>
        </is>
      </c>
      <c r="K514" s="29" t="inlineStr">
        <is>
          <t>자본금</t>
        </is>
      </c>
      <c r="L514" s="29" t="inlineStr">
        <is>
          <t>-</t>
        </is>
      </c>
      <c r="M514" s="29" t="inlineStr">
        <is>
          <t>제 6 기</t>
        </is>
      </c>
      <c r="N514" s="29" t="inlineStr">
        <is>
          <t>14624188500.0</t>
        </is>
      </c>
      <c r="O514" s="29" t="inlineStr">
        <is>
          <t>14624188500.0</t>
        </is>
      </c>
      <c r="P514" s="29" t="inlineStr">
        <is>
          <t>KRW</t>
        </is>
      </c>
      <c r="Q514" s="29" t="inlineStr">
        <is>
          <t>28</t>
        </is>
      </c>
    </row>
    <row r="515" ht="24" customHeight="1">
      <c r="A515" s="24" t="inlineStr">
        <is>
          <t>OpenDART_fnlttSinglAcntAll</t>
        </is>
      </c>
      <c r="B515" s="24" t="inlineStr">
        <is>
          <t>01365825</t>
        </is>
      </c>
      <c r="C515" s="24" t="inlineStr">
        <is>
          <t>피에스케이</t>
        </is>
      </c>
      <c r="D515" s="24" t="inlineStr">
        <is>
          <t>psk</t>
        </is>
      </c>
      <c r="E515" s="24" t="inlineStr">
        <is>
          <t>319660</t>
        </is>
      </c>
      <c r="F515" s="24" t="inlineStr">
        <is>
          <t>2024</t>
        </is>
      </c>
      <c r="G515" s="24" t="inlineStr">
        <is>
          <t>CFS</t>
        </is>
      </c>
      <c r="H515" s="24" t="inlineStr">
        <is>
          <t>BS</t>
        </is>
      </c>
      <c r="I515" s="24" t="inlineStr">
        <is>
          <t>재무상태표</t>
        </is>
      </c>
      <c r="J515" s="24" t="inlineStr">
        <is>
          <t>ifrs-full_RetainedEarnings</t>
        </is>
      </c>
      <c r="K515" s="24" t="inlineStr">
        <is>
          <t>이익잉여금(결손금)</t>
        </is>
      </c>
      <c r="L515" s="24" t="inlineStr">
        <is>
          <t>-</t>
        </is>
      </c>
      <c r="M515" s="24" t="inlineStr">
        <is>
          <t>제 6 기</t>
        </is>
      </c>
      <c r="N515" s="24" t="inlineStr">
        <is>
          <t>276233666181.0</t>
        </is>
      </c>
      <c r="O515" s="24" t="inlineStr">
        <is>
          <t>204529192284.0</t>
        </is>
      </c>
      <c r="P515" s="24" t="inlineStr">
        <is>
          <t>KRW</t>
        </is>
      </c>
      <c r="Q515" s="24" t="inlineStr">
        <is>
          <t>29</t>
        </is>
      </c>
    </row>
    <row r="516" ht="24" customHeight="1">
      <c r="A516" s="29" t="inlineStr">
        <is>
          <t>OpenDART_fnlttSinglAcntAll</t>
        </is>
      </c>
      <c r="B516" s="29" t="inlineStr">
        <is>
          <t>01365825</t>
        </is>
      </c>
      <c r="C516" s="29" t="inlineStr">
        <is>
          <t>피에스케이</t>
        </is>
      </c>
      <c r="D516" s="29" t="inlineStr">
        <is>
          <t>psk</t>
        </is>
      </c>
      <c r="E516" s="29" t="inlineStr">
        <is>
          <t>319660</t>
        </is>
      </c>
      <c r="F516" s="29" t="inlineStr">
        <is>
          <t>2024</t>
        </is>
      </c>
      <c r="G516" s="29" t="inlineStr">
        <is>
          <t>CFS</t>
        </is>
      </c>
      <c r="H516" s="29" t="inlineStr">
        <is>
          <t>BS</t>
        </is>
      </c>
      <c r="I516" s="29" t="inlineStr">
        <is>
          <t>재무상태표</t>
        </is>
      </c>
      <c r="J516" s="29" t="inlineStr">
        <is>
          <t>ifrs-full_EquityAndLiabilities</t>
        </is>
      </c>
      <c r="K516" s="29" t="inlineStr">
        <is>
          <t>자본과부채총계</t>
        </is>
      </c>
      <c r="L516" s="29" t="inlineStr">
        <is>
          <t>-</t>
        </is>
      </c>
      <c r="M516" s="29" t="inlineStr">
        <is>
          <t>제 6 기</t>
        </is>
      </c>
      <c r="N516" s="29" t="inlineStr">
        <is>
          <t>569356264734.0</t>
        </is>
      </c>
      <c r="O516" s="29" t="inlineStr">
        <is>
          <t>494393356491.0</t>
        </is>
      </c>
      <c r="P516" s="29" t="inlineStr">
        <is>
          <t>KRW</t>
        </is>
      </c>
      <c r="Q516" s="29" t="inlineStr">
        <is>
          <t>30</t>
        </is>
      </c>
    </row>
    <row r="517" ht="24" customHeight="1">
      <c r="A517" s="24" t="inlineStr">
        <is>
          <t>OpenDART_fnlttSinglAcntAll</t>
        </is>
      </c>
      <c r="B517" s="24" t="inlineStr">
        <is>
          <t>01365825</t>
        </is>
      </c>
      <c r="C517" s="24" t="inlineStr">
        <is>
          <t>피에스케이</t>
        </is>
      </c>
      <c r="D517" s="24" t="inlineStr">
        <is>
          <t>psk</t>
        </is>
      </c>
      <c r="E517" s="24" t="inlineStr">
        <is>
          <t>319660</t>
        </is>
      </c>
      <c r="F517" s="24" t="inlineStr">
        <is>
          <t>2024</t>
        </is>
      </c>
      <c r="G517" s="24" t="inlineStr">
        <is>
          <t>CFS</t>
        </is>
      </c>
      <c r="H517" s="24" t="inlineStr">
        <is>
          <t>BS</t>
        </is>
      </c>
      <c r="I517" s="24" t="inlineStr">
        <is>
          <t>재무상태표</t>
        </is>
      </c>
      <c r="J517" s="24" t="inlineStr">
        <is>
          <t>ifrs-full_CurrentLiabilities</t>
        </is>
      </c>
      <c r="K517" s="24" t="inlineStr">
        <is>
          <t>유동부채</t>
        </is>
      </c>
      <c r="L517" s="24" t="inlineStr">
        <is>
          <t>-</t>
        </is>
      </c>
      <c r="M517" s="24" t="inlineStr">
        <is>
          <t>제 6 기</t>
        </is>
      </c>
      <c r="N517" s="24" t="inlineStr">
        <is>
          <t>81154312944.0</t>
        </is>
      </c>
      <c r="O517" s="24" t="inlineStr">
        <is>
          <t>86122493918.0</t>
        </is>
      </c>
      <c r="P517" s="24" t="inlineStr">
        <is>
          <t>KRW</t>
        </is>
      </c>
      <c r="Q517" s="24" t="inlineStr">
        <is>
          <t>32</t>
        </is>
      </c>
    </row>
    <row r="518" ht="24" customHeight="1">
      <c r="A518" s="29" t="inlineStr">
        <is>
          <t>OpenDART_fnlttSinglAcntAll</t>
        </is>
      </c>
      <c r="B518" s="29" t="inlineStr">
        <is>
          <t>01365825</t>
        </is>
      </c>
      <c r="C518" s="29" t="inlineStr">
        <is>
          <t>피에스케이</t>
        </is>
      </c>
      <c r="D518" s="29" t="inlineStr">
        <is>
          <t>psk</t>
        </is>
      </c>
      <c r="E518" s="29" t="inlineStr">
        <is>
          <t>319660</t>
        </is>
      </c>
      <c r="F518" s="29" t="inlineStr">
        <is>
          <t>2024</t>
        </is>
      </c>
      <c r="G518" s="29" t="inlineStr">
        <is>
          <t>CFS</t>
        </is>
      </c>
      <c r="H518" s="29" t="inlineStr">
        <is>
          <t>BS</t>
        </is>
      </c>
      <c r="I518" s="29" t="inlineStr">
        <is>
          <t>재무상태표</t>
        </is>
      </c>
      <c r="J518" s="29" t="inlineStr">
        <is>
          <t>dart_CurentPortionOfFinanceLeaseLiabilities</t>
        </is>
      </c>
      <c r="K518" s="29" t="inlineStr">
        <is>
          <t>금융리스부채</t>
        </is>
      </c>
      <c r="L518" s="29" t="inlineStr">
        <is>
          <t>-</t>
        </is>
      </c>
      <c r="M518" s="29" t="inlineStr">
        <is>
          <t>제 6 기</t>
        </is>
      </c>
      <c r="N518" s="29" t="inlineStr">
        <is>
          <t>1664785559.0</t>
        </is>
      </c>
      <c r="O518" s="29" t="inlineStr">
        <is>
          <t>1070929773.0</t>
        </is>
      </c>
      <c r="P518" s="29" t="inlineStr">
        <is>
          <t>KRW</t>
        </is>
      </c>
      <c r="Q518" s="29" t="inlineStr">
        <is>
          <t>33</t>
        </is>
      </c>
    </row>
    <row r="519" ht="24" customHeight="1">
      <c r="A519" s="24" t="inlineStr">
        <is>
          <t>OpenDART_fnlttSinglAcntAll</t>
        </is>
      </c>
      <c r="B519" s="24" t="inlineStr">
        <is>
          <t>01365825</t>
        </is>
      </c>
      <c r="C519" s="24" t="inlineStr">
        <is>
          <t>피에스케이</t>
        </is>
      </c>
      <c r="D519" s="24" t="inlineStr">
        <is>
          <t>psk</t>
        </is>
      </c>
      <c r="E519" s="24" t="inlineStr">
        <is>
          <t>319660</t>
        </is>
      </c>
      <c r="F519" s="24" t="inlineStr">
        <is>
          <t>2024</t>
        </is>
      </c>
      <c r="G519" s="24" t="inlineStr">
        <is>
          <t>CFS</t>
        </is>
      </c>
      <c r="H519" s="24" t="inlineStr">
        <is>
          <t>BS</t>
        </is>
      </c>
      <c r="I519" s="24" t="inlineStr">
        <is>
          <t>재무상태표</t>
        </is>
      </c>
      <c r="J519" s="24" t="inlineStr">
        <is>
          <t>ifrs-full_CurrentProvisions</t>
        </is>
      </c>
      <c r="K519" s="24" t="inlineStr">
        <is>
          <t>유동충당부채</t>
        </is>
      </c>
      <c r="L519" s="24" t="inlineStr">
        <is>
          <t>-</t>
        </is>
      </c>
      <c r="M519" s="24" t="inlineStr">
        <is>
          <t>제 6 기</t>
        </is>
      </c>
      <c r="N519" s="24" t="inlineStr">
        <is>
          <t>11964786763.0</t>
        </is>
      </c>
      <c r="O519" s="24" t="inlineStr">
        <is>
          <t>14070594273.0</t>
        </is>
      </c>
      <c r="P519" s="24" t="inlineStr">
        <is>
          <t>KRW</t>
        </is>
      </c>
      <c r="Q519" s="24" t="inlineStr">
        <is>
          <t>34</t>
        </is>
      </c>
    </row>
    <row r="520" ht="24" customHeight="1">
      <c r="A520" s="29" t="inlineStr">
        <is>
          <t>OpenDART_fnlttSinglAcntAll</t>
        </is>
      </c>
      <c r="B520" s="29" t="inlineStr">
        <is>
          <t>01365825</t>
        </is>
      </c>
      <c r="C520" s="29" t="inlineStr">
        <is>
          <t>피에스케이</t>
        </is>
      </c>
      <c r="D520" s="29" t="inlineStr">
        <is>
          <t>psk</t>
        </is>
      </c>
      <c r="E520" s="29" t="inlineStr">
        <is>
          <t>319660</t>
        </is>
      </c>
      <c r="F520" s="29" t="inlineStr">
        <is>
          <t>2024</t>
        </is>
      </c>
      <c r="G520" s="29" t="inlineStr">
        <is>
          <t>CFS</t>
        </is>
      </c>
      <c r="H520" s="29" t="inlineStr">
        <is>
          <t>BS</t>
        </is>
      </c>
      <c r="I520" s="29" t="inlineStr">
        <is>
          <t>재무상태표</t>
        </is>
      </c>
      <c r="J520" s="29" t="inlineStr">
        <is>
          <t>ifrs-full_CurrentTaxLiabilities</t>
        </is>
      </c>
      <c r="K520" s="29" t="inlineStr">
        <is>
          <t>법인세부채</t>
        </is>
      </c>
      <c r="L520" s="29" t="inlineStr">
        <is>
          <t>-</t>
        </is>
      </c>
      <c r="M520" s="29" t="inlineStr">
        <is>
          <t>제 6 기</t>
        </is>
      </c>
      <c r="N520" s="29" t="inlineStr">
        <is>
          <t>7850832961.0</t>
        </is>
      </c>
      <c r="O520" s="29" t="inlineStr">
        <is>
          <t>4976623600.0</t>
        </is>
      </c>
      <c r="P520" s="29" t="inlineStr">
        <is>
          <t>KRW</t>
        </is>
      </c>
      <c r="Q520" s="29" t="inlineStr">
        <is>
          <t>35</t>
        </is>
      </c>
    </row>
    <row r="521" ht="24" customHeight="1">
      <c r="A521" s="24" t="inlineStr">
        <is>
          <t>OpenDART_fnlttSinglAcntAll</t>
        </is>
      </c>
      <c r="B521" s="24" t="inlineStr">
        <is>
          <t>01365825</t>
        </is>
      </c>
      <c r="C521" s="24" t="inlineStr">
        <is>
          <t>피에스케이</t>
        </is>
      </c>
      <c r="D521" s="24" t="inlineStr">
        <is>
          <t>psk</t>
        </is>
      </c>
      <c r="E521" s="24" t="inlineStr">
        <is>
          <t>319660</t>
        </is>
      </c>
      <c r="F521" s="24" t="inlineStr">
        <is>
          <t>2024</t>
        </is>
      </c>
      <c r="G521" s="24" t="inlineStr">
        <is>
          <t>CFS</t>
        </is>
      </c>
      <c r="H521" s="24" t="inlineStr">
        <is>
          <t>BS</t>
        </is>
      </c>
      <c r="I521" s="24" t="inlineStr">
        <is>
          <t>재무상태표</t>
        </is>
      </c>
      <c r="J521" s="24" t="inlineStr">
        <is>
          <t>ifrs-full_OtherCurrentLiabilities</t>
        </is>
      </c>
      <c r="K521" s="24" t="inlineStr">
        <is>
          <t>기타 유동부채</t>
        </is>
      </c>
      <c r="L521" s="24" t="inlineStr">
        <is>
          <t>-</t>
        </is>
      </c>
      <c r="M521" s="24" t="inlineStr">
        <is>
          <t>제 6 기</t>
        </is>
      </c>
      <c r="N521" s="24" t="inlineStr">
        <is>
          <t>17515221092.0</t>
        </is>
      </c>
      <c r="O521" s="24" t="inlineStr">
        <is>
          <t>27581435423.0</t>
        </is>
      </c>
      <c r="P521" s="24" t="inlineStr">
        <is>
          <t>KRW</t>
        </is>
      </c>
      <c r="Q521" s="24" t="inlineStr">
        <is>
          <t>36</t>
        </is>
      </c>
    </row>
    <row r="522" ht="24" customHeight="1">
      <c r="A522" s="29" t="inlineStr">
        <is>
          <t>OpenDART_fnlttSinglAcntAll</t>
        </is>
      </c>
      <c r="B522" s="29" t="inlineStr">
        <is>
          <t>01365825</t>
        </is>
      </c>
      <c r="C522" s="29" t="inlineStr">
        <is>
          <t>피에스케이</t>
        </is>
      </c>
      <c r="D522" s="29" t="inlineStr">
        <is>
          <t>psk</t>
        </is>
      </c>
      <c r="E522" s="29" t="inlineStr">
        <is>
          <t>319660</t>
        </is>
      </c>
      <c r="F522" s="29" t="inlineStr">
        <is>
          <t>2024</t>
        </is>
      </c>
      <c r="G522" s="29" t="inlineStr">
        <is>
          <t>CFS</t>
        </is>
      </c>
      <c r="H522" s="29" t="inlineStr">
        <is>
          <t>BS</t>
        </is>
      </c>
      <c r="I522" s="29" t="inlineStr">
        <is>
          <t>재무상태표</t>
        </is>
      </c>
      <c r="J522" s="29" t="inlineStr">
        <is>
          <t>ifrs-full_ShorttermBorrowings</t>
        </is>
      </c>
      <c r="K522" s="29" t="inlineStr">
        <is>
          <t>차입금</t>
        </is>
      </c>
      <c r="L522" s="29" t="inlineStr">
        <is>
          <t>-</t>
        </is>
      </c>
      <c r="M522" s="29" t="inlineStr">
        <is>
          <t>제 6 기</t>
        </is>
      </c>
      <c r="N522" s="29" t="inlineStr">
        <is>
          <t>7000089244.0</t>
        </is>
      </c>
      <c r="O522" s="29" t="inlineStr">
        <is>
          <t>8657899016.0</t>
        </is>
      </c>
      <c r="P522" s="29" t="inlineStr">
        <is>
          <t>KRW</t>
        </is>
      </c>
      <c r="Q522" s="29" t="inlineStr">
        <is>
          <t>37</t>
        </is>
      </c>
    </row>
    <row r="523" ht="24" customHeight="1">
      <c r="A523" s="24" t="inlineStr">
        <is>
          <t>OpenDART_fnlttSinglAcntAll</t>
        </is>
      </c>
      <c r="B523" s="24" t="inlineStr">
        <is>
          <t>01365825</t>
        </is>
      </c>
      <c r="C523" s="24" t="inlineStr">
        <is>
          <t>피에스케이</t>
        </is>
      </c>
      <c r="D523" s="24" t="inlineStr">
        <is>
          <t>psk</t>
        </is>
      </c>
      <c r="E523" s="24" t="inlineStr">
        <is>
          <t>319660</t>
        </is>
      </c>
      <c r="F523" s="24" t="inlineStr">
        <is>
          <t>2024</t>
        </is>
      </c>
      <c r="G523" s="24" t="inlineStr">
        <is>
          <t>CFS</t>
        </is>
      </c>
      <c r="H523" s="24" t="inlineStr">
        <is>
          <t>BS</t>
        </is>
      </c>
      <c r="I523" s="24" t="inlineStr">
        <is>
          <t>재무상태표</t>
        </is>
      </c>
      <c r="J523" s="24" t="inlineStr">
        <is>
          <t>ifrs-full_TradeAndOtherCurrentPayables</t>
        </is>
      </c>
      <c r="K523" s="24" t="inlineStr">
        <is>
          <t>매입채무및기타채무</t>
        </is>
      </c>
      <c r="L523" s="24" t="inlineStr">
        <is>
          <t>-</t>
        </is>
      </c>
      <c r="M523" s="24" t="inlineStr">
        <is>
          <t>제 6 기</t>
        </is>
      </c>
      <c r="N523" s="24" t="inlineStr">
        <is>
          <t>35158597325.0</t>
        </is>
      </c>
      <c r="O523" s="24" t="inlineStr">
        <is>
          <t>29765011833.0</t>
        </is>
      </c>
      <c r="P523" s="24" t="inlineStr">
        <is>
          <t>KRW</t>
        </is>
      </c>
      <c r="Q523" s="24" t="inlineStr">
        <is>
          <t>38</t>
        </is>
      </c>
    </row>
    <row r="524" ht="24" customHeight="1">
      <c r="A524" s="29" t="inlineStr">
        <is>
          <t>OpenDART_fnlttSinglAcntAll</t>
        </is>
      </c>
      <c r="B524" s="29" t="inlineStr">
        <is>
          <t>01365825</t>
        </is>
      </c>
      <c r="C524" s="29" t="inlineStr">
        <is>
          <t>피에스케이</t>
        </is>
      </c>
      <c r="D524" s="29" t="inlineStr">
        <is>
          <t>psk</t>
        </is>
      </c>
      <c r="E524" s="29" t="inlineStr">
        <is>
          <t>319660</t>
        </is>
      </c>
      <c r="F524" s="29" t="inlineStr">
        <is>
          <t>2024</t>
        </is>
      </c>
      <c r="G524" s="29" t="inlineStr">
        <is>
          <t>CFS</t>
        </is>
      </c>
      <c r="H524" s="29" t="inlineStr">
        <is>
          <t>BS</t>
        </is>
      </c>
      <c r="I524" s="29" t="inlineStr">
        <is>
          <t>재무상태표</t>
        </is>
      </c>
      <c r="J524" s="29" t="inlineStr">
        <is>
          <t>ifrs-full_Liabilities</t>
        </is>
      </c>
      <c r="K524" s="29" t="inlineStr">
        <is>
          <t>부채총계</t>
        </is>
      </c>
      <c r="L524" s="29" t="inlineStr">
        <is>
          <t>-</t>
        </is>
      </c>
      <c r="M524" s="29" t="inlineStr">
        <is>
          <t>제 6 기</t>
        </is>
      </c>
      <c r="N524" s="29" t="inlineStr">
        <is>
          <t>97639459052.0</t>
        </is>
      </c>
      <c r="O524" s="29" t="inlineStr">
        <is>
          <t>101823749358.0</t>
        </is>
      </c>
      <c r="P524" s="29" t="inlineStr">
        <is>
          <t>KRW</t>
        </is>
      </c>
      <c r="Q524" s="29" t="inlineStr">
        <is>
          <t>39</t>
        </is>
      </c>
    </row>
    <row r="525" ht="24" customHeight="1">
      <c r="A525" s="24" t="inlineStr">
        <is>
          <t>OpenDART_fnlttSinglAcntAll</t>
        </is>
      </c>
      <c r="B525" s="24" t="inlineStr">
        <is>
          <t>01365825</t>
        </is>
      </c>
      <c r="C525" s="24" t="inlineStr">
        <is>
          <t>피에스케이</t>
        </is>
      </c>
      <c r="D525" s="24" t="inlineStr">
        <is>
          <t>psk</t>
        </is>
      </c>
      <c r="E525" s="24" t="inlineStr">
        <is>
          <t>319660</t>
        </is>
      </c>
      <c r="F525" s="24" t="inlineStr">
        <is>
          <t>2024</t>
        </is>
      </c>
      <c r="G525" s="24" t="inlineStr">
        <is>
          <t>CFS</t>
        </is>
      </c>
      <c r="H525" s="24" t="inlineStr">
        <is>
          <t>BS</t>
        </is>
      </c>
      <c r="I525" s="24" t="inlineStr">
        <is>
          <t>재무상태표</t>
        </is>
      </c>
      <c r="J525" s="24" t="inlineStr">
        <is>
          <t>ifrs-full_NoncurrentLiabilities</t>
        </is>
      </c>
      <c r="K525" s="24" t="inlineStr">
        <is>
          <t>비유동부채</t>
        </is>
      </c>
      <c r="L525" s="24" t="inlineStr">
        <is>
          <t>-</t>
        </is>
      </c>
      <c r="M525" s="24" t="inlineStr">
        <is>
          <t>제 6 기</t>
        </is>
      </c>
      <c r="N525" s="24" t="inlineStr">
        <is>
          <t>16485146108.0</t>
        </is>
      </c>
      <c r="O525" s="24" t="inlineStr">
        <is>
          <t>15701255440.0</t>
        </is>
      </c>
      <c r="P525" s="24" t="inlineStr">
        <is>
          <t>KRW</t>
        </is>
      </c>
      <c r="Q525" s="24" t="inlineStr">
        <is>
          <t>40</t>
        </is>
      </c>
    </row>
    <row r="526" ht="24" customHeight="1">
      <c r="A526" s="29" t="inlineStr">
        <is>
          <t>OpenDART_fnlttSinglAcntAll</t>
        </is>
      </c>
      <c r="B526" s="29" t="inlineStr">
        <is>
          <t>01365825</t>
        </is>
      </c>
      <c r="C526" s="29" t="inlineStr">
        <is>
          <t>피에스케이</t>
        </is>
      </c>
      <c r="D526" s="29" t="inlineStr">
        <is>
          <t>psk</t>
        </is>
      </c>
      <c r="E526" s="29" t="inlineStr">
        <is>
          <t>319660</t>
        </is>
      </c>
      <c r="F526" s="29" t="inlineStr">
        <is>
          <t>2024</t>
        </is>
      </c>
      <c r="G526" s="29" t="inlineStr">
        <is>
          <t>CFS</t>
        </is>
      </c>
      <c r="H526" s="29" t="inlineStr">
        <is>
          <t>BS</t>
        </is>
      </c>
      <c r="I526" s="29" t="inlineStr">
        <is>
          <t>재무상태표</t>
        </is>
      </c>
      <c r="J526" s="29" t="inlineStr">
        <is>
          <t>dart_LongTermBorrowingsGross</t>
        </is>
      </c>
      <c r="K526" s="29" t="inlineStr">
        <is>
          <t>차입금(비)</t>
        </is>
      </c>
      <c r="L526" s="29" t="inlineStr">
        <is>
          <t>-</t>
        </is>
      </c>
      <c r="M526" s="29" t="inlineStr">
        <is>
          <t>제 6 기</t>
        </is>
      </c>
      <c r="N526" s="29" t="inlineStr">
        <is>
          <t>13220659128.0</t>
        </is>
      </c>
      <c r="O526" s="29" t="inlineStr">
        <is>
          <t>13000000000.0</t>
        </is>
      </c>
      <c r="P526" s="29" t="inlineStr">
        <is>
          <t>KRW</t>
        </is>
      </c>
      <c r="Q526" s="29" t="inlineStr">
        <is>
          <t>41</t>
        </is>
      </c>
    </row>
    <row r="527" ht="24" customHeight="1">
      <c r="A527" s="24" t="inlineStr">
        <is>
          <t>OpenDART_fnlttSinglAcntAll</t>
        </is>
      </c>
      <c r="B527" s="24" t="inlineStr">
        <is>
          <t>01365825</t>
        </is>
      </c>
      <c r="C527" s="24" t="inlineStr">
        <is>
          <t>피에스케이</t>
        </is>
      </c>
      <c r="D527" s="24" t="inlineStr">
        <is>
          <t>psk</t>
        </is>
      </c>
      <c r="E527" s="24" t="inlineStr">
        <is>
          <t>319660</t>
        </is>
      </c>
      <c r="F527" s="24" t="inlineStr">
        <is>
          <t>2024</t>
        </is>
      </c>
      <c r="G527" s="24" t="inlineStr">
        <is>
          <t>CFS</t>
        </is>
      </c>
      <c r="H527" s="24" t="inlineStr">
        <is>
          <t>BS</t>
        </is>
      </c>
      <c r="I527" s="24" t="inlineStr">
        <is>
          <t>재무상태표</t>
        </is>
      </c>
      <c r="J527" s="24" t="inlineStr">
        <is>
          <t>dart_LongTermTradeAndOtherNonCurrentPayables</t>
        </is>
      </c>
      <c r="K527" s="24" t="inlineStr">
        <is>
          <t>매입채무및기타채무(비)</t>
        </is>
      </c>
      <c r="L527" s="24" t="inlineStr">
        <is>
          <t>-</t>
        </is>
      </c>
      <c r="M527" s="24" t="inlineStr">
        <is>
          <t>제 6 기</t>
        </is>
      </c>
      <c r="N527" s="24" t="inlineStr">
        <is>
          <t>507800830.0</t>
        </is>
      </c>
      <c r="O527" s="24" t="inlineStr">
        <is>
          <t>344107715.0</t>
        </is>
      </c>
      <c r="P527" s="24" t="inlineStr">
        <is>
          <t>KRW</t>
        </is>
      </c>
      <c r="Q527" s="24" t="inlineStr">
        <is>
          <t>42</t>
        </is>
      </c>
    </row>
    <row r="528" ht="24" customHeight="1">
      <c r="A528" s="29" t="inlineStr">
        <is>
          <t>OpenDART_fnlttSinglAcntAll</t>
        </is>
      </c>
      <c r="B528" s="29" t="inlineStr">
        <is>
          <t>01365825</t>
        </is>
      </c>
      <c r="C528" s="29" t="inlineStr">
        <is>
          <t>피에스케이</t>
        </is>
      </c>
      <c r="D528" s="29" t="inlineStr">
        <is>
          <t>psk</t>
        </is>
      </c>
      <c r="E528" s="29" t="inlineStr">
        <is>
          <t>319660</t>
        </is>
      </c>
      <c r="F528" s="29" t="inlineStr">
        <is>
          <t>2024</t>
        </is>
      </c>
      <c r="G528" s="29" t="inlineStr">
        <is>
          <t>CFS</t>
        </is>
      </c>
      <c r="H528" s="29" t="inlineStr">
        <is>
          <t>BS</t>
        </is>
      </c>
      <c r="I528" s="29" t="inlineStr">
        <is>
          <t>재무상태표</t>
        </is>
      </c>
      <c r="J528" s="29" t="inlineStr">
        <is>
          <t>dart_NonCurrentFinanceLeaseLiabilities</t>
        </is>
      </c>
      <c r="K528" s="29" t="inlineStr">
        <is>
          <t>금융리스부채(비)</t>
        </is>
      </c>
      <c r="L528" s="29" t="inlineStr">
        <is>
          <t>-</t>
        </is>
      </c>
      <c r="M528" s="29" t="inlineStr">
        <is>
          <t>제 6 기</t>
        </is>
      </c>
      <c r="N528" s="29" t="inlineStr">
        <is>
          <t>1153826313.0</t>
        </is>
      </c>
      <c r="O528" s="29" t="inlineStr">
        <is>
          <t>572242047.0</t>
        </is>
      </c>
      <c r="P528" s="29" t="inlineStr">
        <is>
          <t>KRW</t>
        </is>
      </c>
      <c r="Q528" s="29" t="inlineStr">
        <is>
          <t>43</t>
        </is>
      </c>
    </row>
    <row r="529" ht="24" customHeight="1">
      <c r="A529" s="24" t="inlineStr">
        <is>
          <t>OpenDART_fnlttSinglAcntAll</t>
        </is>
      </c>
      <c r="B529" s="24" t="inlineStr">
        <is>
          <t>01365825</t>
        </is>
      </c>
      <c r="C529" s="24" t="inlineStr">
        <is>
          <t>피에스케이</t>
        </is>
      </c>
      <c r="D529" s="24" t="inlineStr">
        <is>
          <t>psk</t>
        </is>
      </c>
      <c r="E529" s="24" t="inlineStr">
        <is>
          <t>319660</t>
        </is>
      </c>
      <c r="F529" s="24" t="inlineStr">
        <is>
          <t>2024</t>
        </is>
      </c>
      <c r="G529" s="24" t="inlineStr">
        <is>
          <t>CFS</t>
        </is>
      </c>
      <c r="H529" s="24" t="inlineStr">
        <is>
          <t>BS</t>
        </is>
      </c>
      <c r="I529" s="24" t="inlineStr">
        <is>
          <t>재무상태표</t>
        </is>
      </c>
      <c r="J529" s="24" t="inlineStr">
        <is>
          <t>ifrs-full_DeferredTaxLiabilities</t>
        </is>
      </c>
      <c r="K529" s="24" t="inlineStr">
        <is>
          <t>이연법인세부채</t>
        </is>
      </c>
      <c r="L529" s="24" t="inlineStr">
        <is>
          <t>-</t>
        </is>
      </c>
      <c r="M529" s="24" t="inlineStr">
        <is>
          <t>제 6 기</t>
        </is>
      </c>
      <c r="N529" s="24" t="inlineStr">
        <is>
          <t>68228756.0</t>
        </is>
      </c>
      <c r="O529" s="24" t="inlineStr">
        <is>
          <t>67380307.0</t>
        </is>
      </c>
      <c r="P529" s="24" t="inlineStr">
        <is>
          <t>KRW</t>
        </is>
      </c>
      <c r="Q529" s="24" t="inlineStr">
        <is>
          <t>44</t>
        </is>
      </c>
    </row>
    <row r="530" ht="24" customHeight="1">
      <c r="A530" s="29" t="inlineStr">
        <is>
          <t>OpenDART_fnlttSinglAcntAll</t>
        </is>
      </c>
      <c r="B530" s="29" t="inlineStr">
        <is>
          <t>01365825</t>
        </is>
      </c>
      <c r="C530" s="29" t="inlineStr">
        <is>
          <t>피에스케이</t>
        </is>
      </c>
      <c r="D530" s="29" t="inlineStr">
        <is>
          <t>psk</t>
        </is>
      </c>
      <c r="E530" s="29" t="inlineStr">
        <is>
          <t>319660</t>
        </is>
      </c>
      <c r="F530" s="29" t="inlineStr">
        <is>
          <t>2024</t>
        </is>
      </c>
      <c r="G530" s="29" t="inlineStr">
        <is>
          <t>CFS</t>
        </is>
      </c>
      <c r="H530" s="29" t="inlineStr">
        <is>
          <t>BS</t>
        </is>
      </c>
      <c r="I530" s="29" t="inlineStr">
        <is>
          <t>재무상태표</t>
        </is>
      </c>
      <c r="J530" s="29" t="inlineStr">
        <is>
          <t>ifrs-full_NoncurrentProvisions</t>
        </is>
      </c>
      <c r="K530" s="29" t="inlineStr">
        <is>
          <t>비유동충당부채</t>
        </is>
      </c>
      <c r="L530" s="29" t="inlineStr">
        <is>
          <t>-</t>
        </is>
      </c>
      <c r="M530" s="29" t="inlineStr">
        <is>
          <t>제 6 기</t>
        </is>
      </c>
      <c r="N530" s="29" t="inlineStr">
        <is>
          <t>866375669.0</t>
        </is>
      </c>
      <c r="O530" s="29" t="inlineStr">
        <is>
          <t>1717525371.0</t>
        </is>
      </c>
      <c r="P530" s="29" t="inlineStr">
        <is>
          <t>KRW</t>
        </is>
      </c>
      <c r="Q530" s="29" t="inlineStr">
        <is>
          <t>45</t>
        </is>
      </c>
    </row>
    <row r="531" ht="24" customHeight="1">
      <c r="A531" s="24" t="inlineStr">
        <is>
          <t>OpenDART_fnlttSinglAcntAll</t>
        </is>
      </c>
      <c r="B531" s="24" t="inlineStr">
        <is>
          <t>01365825</t>
        </is>
      </c>
      <c r="C531" s="24" t="inlineStr">
        <is>
          <t>피에스케이</t>
        </is>
      </c>
      <c r="D531" s="24" t="inlineStr">
        <is>
          <t>psk</t>
        </is>
      </c>
      <c r="E531" s="24" t="inlineStr">
        <is>
          <t>319660</t>
        </is>
      </c>
      <c r="F531" s="24" t="inlineStr">
        <is>
          <t>2024</t>
        </is>
      </c>
      <c r="G531" s="24" t="inlineStr">
        <is>
          <t>CFS</t>
        </is>
      </c>
      <c r="H531" s="24" t="inlineStr">
        <is>
          <t>BS</t>
        </is>
      </c>
      <c r="I531" s="24" t="inlineStr">
        <is>
          <t>재무상태표</t>
        </is>
      </c>
      <c r="J531" s="24" t="inlineStr">
        <is>
          <t>ifrs-full_RecognisedLiabilitiesDefinedBenefitPlan</t>
        </is>
      </c>
      <c r="K531" s="24" t="inlineStr">
        <is>
          <t>순확정급여부채</t>
        </is>
      </c>
      <c r="L531" s="24" t="inlineStr">
        <is>
          <t>-</t>
        </is>
      </c>
      <c r="M531" s="24" t="inlineStr">
        <is>
          <t>제 6 기</t>
        </is>
      </c>
      <c r="N531" s="24" t="inlineStr">
        <is>
          <t>668255412.0</t>
        </is>
      </c>
      <c r="O531" s="24" t="inlineStr">
        <is>
          <t>해당 없음</t>
        </is>
      </c>
      <c r="P531" s="24" t="inlineStr">
        <is>
          <t>KRW</t>
        </is>
      </c>
      <c r="Q531" s="24" t="inlineStr">
        <is>
          <t>46</t>
        </is>
      </c>
    </row>
    <row r="532" ht="24" customHeight="1">
      <c r="A532" s="29" t="inlineStr">
        <is>
          <t>OpenDART_fnlttSinglAcntAll</t>
        </is>
      </c>
      <c r="B532" s="29" t="inlineStr">
        <is>
          <t>01365825</t>
        </is>
      </c>
      <c r="C532" s="29" t="inlineStr">
        <is>
          <t>피에스케이</t>
        </is>
      </c>
      <c r="D532" s="29" t="inlineStr">
        <is>
          <t>psk</t>
        </is>
      </c>
      <c r="E532" s="29" t="inlineStr">
        <is>
          <t>319660</t>
        </is>
      </c>
      <c r="F532" s="29" t="inlineStr">
        <is>
          <t>2024</t>
        </is>
      </c>
      <c r="G532" s="29" t="inlineStr">
        <is>
          <t>CFS</t>
        </is>
      </c>
      <c r="H532" s="29" t="inlineStr">
        <is>
          <t>CIS</t>
        </is>
      </c>
      <c r="I532" s="29" t="inlineStr">
        <is>
          <t>포괄손익계산서</t>
        </is>
      </c>
      <c r="J532" s="29" t="inlineStr">
        <is>
          <t>dart_OperatingIncomeLoss</t>
        </is>
      </c>
      <c r="K532" s="29" t="inlineStr">
        <is>
          <t>영업이익(손실)</t>
        </is>
      </c>
      <c r="L532" s="29" t="inlineStr">
        <is>
          <t>-</t>
        </is>
      </c>
      <c r="M532" s="29" t="inlineStr">
        <is>
          <t>제 6 기</t>
        </is>
      </c>
      <c r="N532" s="29" t="inlineStr">
        <is>
          <t>83924423263.0</t>
        </is>
      </c>
      <c r="O532" s="29" t="inlineStr">
        <is>
          <t>54118591422.0</t>
        </is>
      </c>
      <c r="P532" s="29" t="inlineStr">
        <is>
          <t>KRW</t>
        </is>
      </c>
      <c r="Q532" s="29" t="inlineStr">
        <is>
          <t>6</t>
        </is>
      </c>
    </row>
    <row r="533" ht="24" customHeight="1">
      <c r="A533" s="24" t="inlineStr">
        <is>
          <t>OpenDART_fnlttSinglAcntAll</t>
        </is>
      </c>
      <c r="B533" s="24" t="inlineStr">
        <is>
          <t>01365825</t>
        </is>
      </c>
      <c r="C533" s="24" t="inlineStr">
        <is>
          <t>피에스케이</t>
        </is>
      </c>
      <c r="D533" s="24" t="inlineStr">
        <is>
          <t>psk</t>
        </is>
      </c>
      <c r="E533" s="24" t="inlineStr">
        <is>
          <t>319660</t>
        </is>
      </c>
      <c r="F533" s="24" t="inlineStr">
        <is>
          <t>2024</t>
        </is>
      </c>
      <c r="G533" s="24" t="inlineStr">
        <is>
          <t>CFS</t>
        </is>
      </c>
      <c r="H533" s="24" t="inlineStr">
        <is>
          <t>CIS</t>
        </is>
      </c>
      <c r="I533" s="24" t="inlineStr">
        <is>
          <t>포괄손익계산서</t>
        </is>
      </c>
      <c r="J533" s="24" t="inlineStr">
        <is>
          <t>dart_OtherGains</t>
        </is>
      </c>
      <c r="K533" s="24" t="inlineStr">
        <is>
          <t>기타이익</t>
        </is>
      </c>
      <c r="L533" s="24" t="inlineStr">
        <is>
          <t>-</t>
        </is>
      </c>
      <c r="M533" s="24" t="inlineStr">
        <is>
          <t>제 6 기</t>
        </is>
      </c>
      <c r="N533" s="24" t="inlineStr">
        <is>
          <t>717536839.0</t>
        </is>
      </c>
      <c r="O533" s="24" t="inlineStr">
        <is>
          <t>1328481084.0</t>
        </is>
      </c>
      <c r="P533" s="24" t="inlineStr">
        <is>
          <t>KRW</t>
        </is>
      </c>
      <c r="Q533" s="24" t="inlineStr">
        <is>
          <t>7</t>
        </is>
      </c>
    </row>
    <row r="534" ht="24" customHeight="1">
      <c r="A534" s="29" t="inlineStr">
        <is>
          <t>OpenDART_fnlttSinglAcntAll</t>
        </is>
      </c>
      <c r="B534" s="29" t="inlineStr">
        <is>
          <t>01365825</t>
        </is>
      </c>
      <c r="C534" s="29" t="inlineStr">
        <is>
          <t>피에스케이</t>
        </is>
      </c>
      <c r="D534" s="29" t="inlineStr">
        <is>
          <t>psk</t>
        </is>
      </c>
      <c r="E534" s="29" t="inlineStr">
        <is>
          <t>319660</t>
        </is>
      </c>
      <c r="F534" s="29" t="inlineStr">
        <is>
          <t>2024</t>
        </is>
      </c>
      <c r="G534" s="29" t="inlineStr">
        <is>
          <t>CFS</t>
        </is>
      </c>
      <c r="H534" s="29" t="inlineStr">
        <is>
          <t>CIS</t>
        </is>
      </c>
      <c r="I534" s="29" t="inlineStr">
        <is>
          <t>포괄손익계산서</t>
        </is>
      </c>
      <c r="J534" s="29" t="inlineStr">
        <is>
          <t>dart_OtherLosses</t>
        </is>
      </c>
      <c r="K534" s="29" t="inlineStr">
        <is>
          <t>기타손실</t>
        </is>
      </c>
      <c r="L534" s="29" t="inlineStr">
        <is>
          <t>-</t>
        </is>
      </c>
      <c r="M534" s="29" t="inlineStr">
        <is>
          <t>제 6 기</t>
        </is>
      </c>
      <c r="N534" s="29" t="inlineStr">
        <is>
          <t>442472694.0</t>
        </is>
      </c>
      <c r="O534" s="29" t="inlineStr">
        <is>
          <t>299817622.0</t>
        </is>
      </c>
      <c r="P534" s="29" t="inlineStr">
        <is>
          <t>KRW</t>
        </is>
      </c>
      <c r="Q534" s="29" t="inlineStr">
        <is>
          <t>8</t>
        </is>
      </c>
    </row>
    <row r="535" ht="24" customHeight="1">
      <c r="A535" s="24" t="inlineStr">
        <is>
          <t>OpenDART_fnlttSinglAcntAll</t>
        </is>
      </c>
      <c r="B535" s="24" t="inlineStr">
        <is>
          <t>01365825</t>
        </is>
      </c>
      <c r="C535" s="24" t="inlineStr">
        <is>
          <t>피에스케이</t>
        </is>
      </c>
      <c r="D535" s="24" t="inlineStr">
        <is>
          <t>psk</t>
        </is>
      </c>
      <c r="E535" s="24" t="inlineStr">
        <is>
          <t>319660</t>
        </is>
      </c>
      <c r="F535" s="24" t="inlineStr">
        <is>
          <t>2024</t>
        </is>
      </c>
      <c r="G535" s="24" t="inlineStr">
        <is>
          <t>CFS</t>
        </is>
      </c>
      <c r="H535" s="24" t="inlineStr">
        <is>
          <t>CIS</t>
        </is>
      </c>
      <c r="I535" s="24" t="inlineStr">
        <is>
          <t>포괄손익계산서</t>
        </is>
      </c>
      <c r="J535" s="24" t="inlineStr">
        <is>
          <t>dart_TotalSellingGeneralAdministrativeExpenses</t>
        </is>
      </c>
      <c r="K535" s="24" t="inlineStr">
        <is>
          <t>판매비와관리비</t>
        </is>
      </c>
      <c r="L535" s="24" t="inlineStr">
        <is>
          <t>-</t>
        </is>
      </c>
      <c r="M535" s="24" t="inlineStr">
        <is>
          <t>제 6 기</t>
        </is>
      </c>
      <c r="N535" s="24" t="inlineStr">
        <is>
          <t>125669566368.0</t>
        </is>
      </c>
      <c r="O535" s="24" t="inlineStr">
        <is>
          <t>110482214439.0</t>
        </is>
      </c>
      <c r="P535" s="24" t="inlineStr">
        <is>
          <t>KRW</t>
        </is>
      </c>
      <c r="Q535" s="24" t="inlineStr">
        <is>
          <t>9</t>
        </is>
      </c>
    </row>
    <row r="536" ht="24" customHeight="1">
      <c r="A536" s="29" t="inlineStr">
        <is>
          <t>OpenDART_fnlttSinglAcntAll</t>
        </is>
      </c>
      <c r="B536" s="29" t="inlineStr">
        <is>
          <t>01365825</t>
        </is>
      </c>
      <c r="C536" s="29" t="inlineStr">
        <is>
          <t>피에스케이</t>
        </is>
      </c>
      <c r="D536" s="29" t="inlineStr">
        <is>
          <t>psk</t>
        </is>
      </c>
      <c r="E536" s="29" t="inlineStr">
        <is>
          <t>319660</t>
        </is>
      </c>
      <c r="F536" s="29" t="inlineStr">
        <is>
          <t>2024</t>
        </is>
      </c>
      <c r="G536" s="29" t="inlineStr">
        <is>
          <t>CFS</t>
        </is>
      </c>
      <c r="H536" s="29" t="inlineStr">
        <is>
          <t>CIS</t>
        </is>
      </c>
      <c r="I536" s="29" t="inlineStr">
        <is>
          <t>포괄손익계산서</t>
        </is>
      </c>
      <c r="J536" s="29" t="inlineStr">
        <is>
          <t>ifrs-full_ComprehensiveIncome</t>
        </is>
      </c>
      <c r="K536" s="29" t="inlineStr">
        <is>
          <t>총포괄손익</t>
        </is>
      </c>
      <c r="L536" s="29" t="inlineStr">
        <is>
          <t>-</t>
        </is>
      </c>
      <c r="M536" s="29" t="inlineStr">
        <is>
          <t>제 6 기</t>
        </is>
      </c>
      <c r="N536" s="29" t="inlineStr">
        <is>
          <t>84940541349.0</t>
        </is>
      </c>
      <c r="O536" s="29" t="inlineStr">
        <is>
          <t>50848774767.0</t>
        </is>
      </c>
      <c r="P536" s="29" t="inlineStr">
        <is>
          <t>KRW</t>
        </is>
      </c>
      <c r="Q536" s="29" t="inlineStr">
        <is>
          <t>10</t>
        </is>
      </c>
    </row>
    <row r="537" ht="24" customHeight="1">
      <c r="A537" s="24" t="inlineStr">
        <is>
          <t>OpenDART_fnlttSinglAcntAll</t>
        </is>
      </c>
      <c r="B537" s="24" t="inlineStr">
        <is>
          <t>01365825</t>
        </is>
      </c>
      <c r="C537" s="24" t="inlineStr">
        <is>
          <t>피에스케이</t>
        </is>
      </c>
      <c r="D537" s="24" t="inlineStr">
        <is>
          <t>psk</t>
        </is>
      </c>
      <c r="E537" s="24" t="inlineStr">
        <is>
          <t>319660</t>
        </is>
      </c>
      <c r="F537" s="24" t="inlineStr">
        <is>
          <t>2024</t>
        </is>
      </c>
      <c r="G537" s="24" t="inlineStr">
        <is>
          <t>CFS</t>
        </is>
      </c>
      <c r="H537" s="24" t="inlineStr">
        <is>
          <t>CIS</t>
        </is>
      </c>
      <c r="I537" s="24" t="inlineStr">
        <is>
          <t>포괄손익계산서</t>
        </is>
      </c>
      <c r="J537" s="24" t="inlineStr">
        <is>
          <t>ifrs-full_CostOfSales</t>
        </is>
      </c>
      <c r="K537" s="24" t="inlineStr">
        <is>
          <t>매출원가</t>
        </is>
      </c>
      <c r="L537" s="24" t="inlineStr">
        <is>
          <t>-</t>
        </is>
      </c>
      <c r="M537" s="24" t="inlineStr">
        <is>
          <t>제 6 기</t>
        </is>
      </c>
      <c r="N537" s="24" t="inlineStr">
        <is>
          <t>188456987944.0</t>
        </is>
      </c>
      <c r="O537" s="24" t="inlineStr">
        <is>
          <t>187262999789.0</t>
        </is>
      </c>
      <c r="P537" s="24" t="inlineStr">
        <is>
          <t>KRW</t>
        </is>
      </c>
      <c r="Q537" s="24" t="inlineStr">
        <is>
          <t>11</t>
        </is>
      </c>
    </row>
    <row r="538" ht="24" customHeight="1">
      <c r="A538" s="29" t="inlineStr">
        <is>
          <t>OpenDART_fnlttSinglAcntAll</t>
        </is>
      </c>
      <c r="B538" s="29" t="inlineStr">
        <is>
          <t>01365825</t>
        </is>
      </c>
      <c r="C538" s="29" t="inlineStr">
        <is>
          <t>피에스케이</t>
        </is>
      </c>
      <c r="D538" s="29" t="inlineStr">
        <is>
          <t>psk</t>
        </is>
      </c>
      <c r="E538" s="29" t="inlineStr">
        <is>
          <t>319660</t>
        </is>
      </c>
      <c r="F538" s="29" t="inlineStr">
        <is>
          <t>2024</t>
        </is>
      </c>
      <c r="G538" s="29" t="inlineStr">
        <is>
          <t>CFS</t>
        </is>
      </c>
      <c r="H538" s="29" t="inlineStr">
        <is>
          <t>CIS</t>
        </is>
      </c>
      <c r="I538" s="29" t="inlineStr">
        <is>
          <t>포괄손익계산서</t>
        </is>
      </c>
      <c r="J538" s="29" t="inlineStr">
        <is>
          <t>ifrs-full_FinanceCosts</t>
        </is>
      </c>
      <c r="K538" s="29" t="inlineStr">
        <is>
          <t>금융원가</t>
        </is>
      </c>
      <c r="L538" s="29" t="inlineStr">
        <is>
          <t>-</t>
        </is>
      </c>
      <c r="M538" s="29" t="inlineStr">
        <is>
          <t>제 6 기</t>
        </is>
      </c>
      <c r="N538" s="29" t="inlineStr">
        <is>
          <t>11436347154.0</t>
        </is>
      </c>
      <c r="O538" s="29" t="inlineStr">
        <is>
          <t>10908075036.0</t>
        </is>
      </c>
      <c r="P538" s="29" t="inlineStr">
        <is>
          <t>KRW</t>
        </is>
      </c>
      <c r="Q538" s="29" t="inlineStr">
        <is>
          <t>12</t>
        </is>
      </c>
    </row>
    <row r="539" ht="24" customHeight="1">
      <c r="A539" s="24" t="inlineStr">
        <is>
          <t>OpenDART_fnlttSinglAcntAll</t>
        </is>
      </c>
      <c r="B539" s="24" t="inlineStr">
        <is>
          <t>01365825</t>
        </is>
      </c>
      <c r="C539" s="24" t="inlineStr">
        <is>
          <t>피에스케이</t>
        </is>
      </c>
      <c r="D539" s="24" t="inlineStr">
        <is>
          <t>psk</t>
        </is>
      </c>
      <c r="E539" s="24" t="inlineStr">
        <is>
          <t>319660</t>
        </is>
      </c>
      <c r="F539" s="24" t="inlineStr">
        <is>
          <t>2024</t>
        </is>
      </c>
      <c r="G539" s="24" t="inlineStr">
        <is>
          <t>CFS</t>
        </is>
      </c>
      <c r="H539" s="24" t="inlineStr">
        <is>
          <t>CIS</t>
        </is>
      </c>
      <c r="I539" s="24" t="inlineStr">
        <is>
          <t>포괄손익계산서</t>
        </is>
      </c>
      <c r="J539" s="24" t="inlineStr">
        <is>
          <t>ifrs-full_FinanceIncome</t>
        </is>
      </c>
      <c r="K539" s="24" t="inlineStr">
        <is>
          <t>금융수익</t>
        </is>
      </c>
      <c r="L539" s="24" t="inlineStr">
        <is>
          <t>-</t>
        </is>
      </c>
      <c r="M539" s="24" t="inlineStr">
        <is>
          <t>제 6 기</t>
        </is>
      </c>
      <c r="N539" s="24" t="inlineStr">
        <is>
          <t>24645120577.0</t>
        </is>
      </c>
      <c r="O539" s="24" t="inlineStr">
        <is>
          <t>21670065303.0</t>
        </is>
      </c>
      <c r="P539" s="24" t="inlineStr">
        <is>
          <t>KRW</t>
        </is>
      </c>
      <c r="Q539" s="24" t="inlineStr">
        <is>
          <t>13</t>
        </is>
      </c>
    </row>
    <row r="540" ht="24" customHeight="1">
      <c r="A540" s="29" t="inlineStr">
        <is>
          <t>OpenDART_fnlttSinglAcntAll</t>
        </is>
      </c>
      <c r="B540" s="29" t="inlineStr">
        <is>
          <t>01365825</t>
        </is>
      </c>
      <c r="C540" s="29" t="inlineStr">
        <is>
          <t>피에스케이</t>
        </is>
      </c>
      <c r="D540" s="29" t="inlineStr">
        <is>
          <t>psk</t>
        </is>
      </c>
      <c r="E540" s="29" t="inlineStr">
        <is>
          <t>319660</t>
        </is>
      </c>
      <c r="F540" s="29" t="inlineStr">
        <is>
          <t>2024</t>
        </is>
      </c>
      <c r="G540" s="29" t="inlineStr">
        <is>
          <t>CFS</t>
        </is>
      </c>
      <c r="H540" s="29" t="inlineStr">
        <is>
          <t>CIS</t>
        </is>
      </c>
      <c r="I540" s="29" t="inlineStr">
        <is>
          <t>포괄손익계산서</t>
        </is>
      </c>
      <c r="J540" s="29" t="inlineStr">
        <is>
          <t>ifrs-full_GrossProfit</t>
        </is>
      </c>
      <c r="K540" s="29" t="inlineStr">
        <is>
          <t>매출총이익</t>
        </is>
      </c>
      <c r="L540" s="29" t="inlineStr">
        <is>
          <t>-</t>
        </is>
      </c>
      <c r="M540" s="29" t="inlineStr">
        <is>
          <t>제 6 기</t>
        </is>
      </c>
      <c r="N540" s="29" t="inlineStr">
        <is>
          <t>209593989631.0</t>
        </is>
      </c>
      <c r="O540" s="29" t="inlineStr">
        <is>
          <t>164600805861.0</t>
        </is>
      </c>
      <c r="P540" s="29" t="inlineStr">
        <is>
          <t>KRW</t>
        </is>
      </c>
      <c r="Q540" s="29" t="inlineStr">
        <is>
          <t>14</t>
        </is>
      </c>
    </row>
    <row r="541" ht="24" customHeight="1">
      <c r="A541" s="24" t="inlineStr">
        <is>
          <t>OpenDART_fnlttSinglAcntAll</t>
        </is>
      </c>
      <c r="B541" s="24" t="inlineStr">
        <is>
          <t>01365825</t>
        </is>
      </c>
      <c r="C541" s="24" t="inlineStr">
        <is>
          <t>피에스케이</t>
        </is>
      </c>
      <c r="D541" s="24" t="inlineStr">
        <is>
          <t>psk</t>
        </is>
      </c>
      <c r="E541" s="24" t="inlineStr">
        <is>
          <t>319660</t>
        </is>
      </c>
      <c r="F541" s="24" t="inlineStr">
        <is>
          <t>2024</t>
        </is>
      </c>
      <c r="G541" s="24" t="inlineStr">
        <is>
          <t>CFS</t>
        </is>
      </c>
      <c r="H541" s="24" t="inlineStr">
        <is>
          <t>CIS</t>
        </is>
      </c>
      <c r="I541" s="24" t="inlineStr">
        <is>
          <t>포괄손익계산서</t>
        </is>
      </c>
      <c r="J541" s="24" t="inlineStr">
        <is>
          <t>ifrs-full_IncomeTaxExpenseContinuingOperations</t>
        </is>
      </c>
      <c r="K541" s="24" t="inlineStr">
        <is>
          <t>법인세비용(수익)</t>
        </is>
      </c>
      <c r="L541" s="24" t="inlineStr">
        <is>
          <t>-</t>
        </is>
      </c>
      <c r="M541" s="24" t="inlineStr">
        <is>
          <t>제 6 기</t>
        </is>
      </c>
      <c r="N541" s="24" t="inlineStr">
        <is>
          <t>18280044546.0</t>
        </is>
      </c>
      <c r="O541" s="24" t="inlineStr">
        <is>
          <t>13389056949.0</t>
        </is>
      </c>
      <c r="P541" s="24" t="inlineStr">
        <is>
          <t>KRW</t>
        </is>
      </c>
      <c r="Q541" s="24" t="inlineStr">
        <is>
          <t>15</t>
        </is>
      </c>
    </row>
    <row r="542" ht="24" customHeight="1">
      <c r="A542" s="29" t="inlineStr">
        <is>
          <t>OpenDART_fnlttSinglAcntAll</t>
        </is>
      </c>
      <c r="B542" s="29" t="inlineStr">
        <is>
          <t>01365825</t>
        </is>
      </c>
      <c r="C542" s="29" t="inlineStr">
        <is>
          <t>피에스케이</t>
        </is>
      </c>
      <c r="D542" s="29" t="inlineStr">
        <is>
          <t>psk</t>
        </is>
      </c>
      <c r="E542" s="29" t="inlineStr">
        <is>
          <t>319660</t>
        </is>
      </c>
      <c r="F542" s="29" t="inlineStr">
        <is>
          <t>2024</t>
        </is>
      </c>
      <c r="G542" s="29" t="inlineStr">
        <is>
          <t>CFS</t>
        </is>
      </c>
      <c r="H542" s="29" t="inlineStr">
        <is>
          <t>CIS</t>
        </is>
      </c>
      <c r="I542" s="29" t="inlineStr">
        <is>
          <t>포괄손익계산서</t>
        </is>
      </c>
      <c r="J542" s="29" t="inlineStr">
        <is>
          <t>ifrs-full_OtherComprehensiveIncome</t>
        </is>
      </c>
      <c r="K542" s="29" t="inlineStr">
        <is>
          <t>기타포괄손익</t>
        </is>
      </c>
      <c r="L542" s="29" t="inlineStr">
        <is>
          <t>-</t>
        </is>
      </c>
      <c r="M542" s="29" t="inlineStr">
        <is>
          <t>제 6 기</t>
        </is>
      </c>
      <c r="N542" s="29" t="inlineStr">
        <is>
          <t>5812325064.0</t>
        </is>
      </c>
      <c r="O542" s="29" t="inlineStr">
        <is>
          <t>-1671413435.0</t>
        </is>
      </c>
      <c r="P542" s="29" t="inlineStr">
        <is>
          <t>KRW</t>
        </is>
      </c>
      <c r="Q542" s="29" t="inlineStr">
        <is>
          <t>16</t>
        </is>
      </c>
    </row>
    <row r="543" ht="24" customHeight="1">
      <c r="A543" s="24" t="inlineStr">
        <is>
          <t>OpenDART_fnlttSinglAcntAll</t>
        </is>
      </c>
      <c r="B543" s="24" t="inlineStr">
        <is>
          <t>01365825</t>
        </is>
      </c>
      <c r="C543" s="24" t="inlineStr">
        <is>
          <t>피에스케이</t>
        </is>
      </c>
      <c r="D543" s="24" t="inlineStr">
        <is>
          <t>psk</t>
        </is>
      </c>
      <c r="E543" s="24" t="inlineStr">
        <is>
          <t>319660</t>
        </is>
      </c>
      <c r="F543" s="24" t="inlineStr">
        <is>
          <t>2024</t>
        </is>
      </c>
      <c r="G543" s="24" t="inlineStr">
        <is>
          <t>CFS</t>
        </is>
      </c>
      <c r="H543" s="24" t="inlineStr">
        <is>
          <t>CIS</t>
        </is>
      </c>
      <c r="I543" s="24" t="inlineStr">
        <is>
          <t>포괄손익계산서</t>
        </is>
      </c>
      <c r="J543" s="24" t="inlineStr">
        <is>
          <t>ifrs-full_OtherComprehensiveIncomeThatWillBeReclassifiedToProfitOrLossNetOfTax</t>
        </is>
      </c>
      <c r="K543" s="24" t="inlineStr">
        <is>
          <t>당기손익으로 재분류될 수 있는 항목(세후기타포괄손익)</t>
        </is>
      </c>
      <c r="L543" s="24" t="inlineStr">
        <is>
          <t>-</t>
        </is>
      </c>
      <c r="M543" s="24" t="inlineStr">
        <is>
          <t>제 6 기</t>
        </is>
      </c>
      <c r="N543" s="24" t="inlineStr">
        <is>
          <t>7442724652.0</t>
        </is>
      </c>
      <c r="O543" s="24" t="inlineStr">
        <is>
          <t>-404111832.0</t>
        </is>
      </c>
      <c r="P543" s="24" t="inlineStr">
        <is>
          <t>KRW</t>
        </is>
      </c>
      <c r="Q543" s="24" t="inlineStr">
        <is>
          <t>17</t>
        </is>
      </c>
    </row>
    <row r="544" ht="24" customHeight="1">
      <c r="A544" s="29" t="inlineStr">
        <is>
          <t>OpenDART_fnlttSinglAcntAll</t>
        </is>
      </c>
      <c r="B544" s="29" t="inlineStr">
        <is>
          <t>01365825</t>
        </is>
      </c>
      <c r="C544" s="29" t="inlineStr">
        <is>
          <t>피에스케이</t>
        </is>
      </c>
      <c r="D544" s="29" t="inlineStr">
        <is>
          <t>psk</t>
        </is>
      </c>
      <c r="E544" s="29" t="inlineStr">
        <is>
          <t>319660</t>
        </is>
      </c>
      <c r="F544" s="29" t="inlineStr">
        <is>
          <t>2024</t>
        </is>
      </c>
      <c r="G544" s="29" t="inlineStr">
        <is>
          <t>CFS</t>
        </is>
      </c>
      <c r="H544" s="29" t="inlineStr">
        <is>
          <t>CIS</t>
        </is>
      </c>
      <c r="I544" s="29" t="inlineStr">
        <is>
          <t>포괄손익계산서</t>
        </is>
      </c>
      <c r="J544" s="29" t="inlineStr">
        <is>
          <t>-표준계정코드 미사용-</t>
        </is>
      </c>
      <c r="K544" s="29" t="inlineStr">
        <is>
          <t>해외사업환산손익</t>
        </is>
      </c>
      <c r="L544" s="29" t="inlineStr">
        <is>
          <t>-</t>
        </is>
      </c>
      <c r="M544" s="29" t="inlineStr">
        <is>
          <t>제 6 기</t>
        </is>
      </c>
      <c r="N544" s="29" t="inlineStr">
        <is>
          <t>7442724652.0</t>
        </is>
      </c>
      <c r="O544" s="29" t="inlineStr">
        <is>
          <t>-404111832.0</t>
        </is>
      </c>
      <c r="P544" s="29" t="inlineStr">
        <is>
          <t>KRW</t>
        </is>
      </c>
      <c r="Q544" s="29" t="inlineStr">
        <is>
          <t>18</t>
        </is>
      </c>
    </row>
    <row r="545" ht="24" customHeight="1">
      <c r="A545" s="24" t="inlineStr">
        <is>
          <t>OpenDART_fnlttSinglAcntAll</t>
        </is>
      </c>
      <c r="B545" s="24" t="inlineStr">
        <is>
          <t>01365825</t>
        </is>
      </c>
      <c r="C545" s="24" t="inlineStr">
        <is>
          <t>피에스케이</t>
        </is>
      </c>
      <c r="D545" s="24" t="inlineStr">
        <is>
          <t>psk</t>
        </is>
      </c>
      <c r="E545" s="24" t="inlineStr">
        <is>
          <t>319660</t>
        </is>
      </c>
      <c r="F545" s="24" t="inlineStr">
        <is>
          <t>2024</t>
        </is>
      </c>
      <c r="G545" s="24" t="inlineStr">
        <is>
          <t>CFS</t>
        </is>
      </c>
      <c r="H545" s="24" t="inlineStr">
        <is>
          <t>CIS</t>
        </is>
      </c>
      <c r="I545" s="24" t="inlineStr">
        <is>
          <t>포괄손익계산서</t>
        </is>
      </c>
      <c r="J545" s="24" t="inlineStr">
        <is>
          <t>ifrs-full_OtherComprehensiveIncomeThatWillNotBeReclassifiedToProfitOrLossNetOfTax</t>
        </is>
      </c>
      <c r="K545" s="24" t="inlineStr">
        <is>
          <t>당기손익으로 재분류되지 않는항목(세후기타포괄손익)</t>
        </is>
      </c>
      <c r="L545" s="24" t="inlineStr">
        <is>
          <t>-</t>
        </is>
      </c>
      <c r="M545" s="24" t="inlineStr">
        <is>
          <t>제 6 기</t>
        </is>
      </c>
      <c r="N545" s="24" t="inlineStr">
        <is>
          <t>-1630399588.0</t>
        </is>
      </c>
      <c r="O545" s="24" t="inlineStr">
        <is>
          <t>-1267301603.0</t>
        </is>
      </c>
      <c r="P545" s="24" t="inlineStr">
        <is>
          <t>KRW</t>
        </is>
      </c>
      <c r="Q545" s="24" t="inlineStr">
        <is>
          <t>19</t>
        </is>
      </c>
    </row>
    <row r="546" ht="24" customHeight="1">
      <c r="A546" s="29" t="inlineStr">
        <is>
          <t>OpenDART_fnlttSinglAcntAll</t>
        </is>
      </c>
      <c r="B546" s="29" t="inlineStr">
        <is>
          <t>01365825</t>
        </is>
      </c>
      <c r="C546" s="29" t="inlineStr">
        <is>
          <t>피에스케이</t>
        </is>
      </c>
      <c r="D546" s="29" t="inlineStr">
        <is>
          <t>psk</t>
        </is>
      </c>
      <c r="E546" s="29" t="inlineStr">
        <is>
          <t>319660</t>
        </is>
      </c>
      <c r="F546" s="29" t="inlineStr">
        <is>
          <t>2024</t>
        </is>
      </c>
      <c r="G546" s="29" t="inlineStr">
        <is>
          <t>CFS</t>
        </is>
      </c>
      <c r="H546" s="29" t="inlineStr">
        <is>
          <t>CIS</t>
        </is>
      </c>
      <c r="I546" s="29" t="inlineStr">
        <is>
          <t>포괄손익계산서</t>
        </is>
      </c>
      <c r="J546" s="29" t="inlineStr">
        <is>
          <t>ifrs-full_OtherComprehensiveIncomeNetOfTaxGainsLossesOnRemeasurementsOfDefinedBenefitPlans</t>
        </is>
      </c>
      <c r="K546" s="29" t="inlineStr">
        <is>
          <t>확정급여제도의 재측정손익(세후기타포괄손익)</t>
        </is>
      </c>
      <c r="L546" s="29" t="inlineStr">
        <is>
          <t>-</t>
        </is>
      </c>
      <c r="M546" s="29" t="inlineStr">
        <is>
          <t>제 6 기</t>
        </is>
      </c>
      <c r="N546" s="29" t="inlineStr">
        <is>
          <t>-1630399588.0</t>
        </is>
      </c>
      <c r="O546" s="29" t="inlineStr">
        <is>
          <t>-1267301603.0</t>
        </is>
      </c>
      <c r="P546" s="29" t="inlineStr">
        <is>
          <t>KRW</t>
        </is>
      </c>
      <c r="Q546" s="29" t="inlineStr">
        <is>
          <t>20</t>
        </is>
      </c>
    </row>
    <row r="547" ht="24" customHeight="1">
      <c r="A547" s="24" t="inlineStr">
        <is>
          <t>OpenDART_fnlttSinglAcntAll</t>
        </is>
      </c>
      <c r="B547" s="24" t="inlineStr">
        <is>
          <t>01365825</t>
        </is>
      </c>
      <c r="C547" s="24" t="inlineStr">
        <is>
          <t>피에스케이</t>
        </is>
      </c>
      <c r="D547" s="24" t="inlineStr">
        <is>
          <t>psk</t>
        </is>
      </c>
      <c r="E547" s="24" t="inlineStr">
        <is>
          <t>319660</t>
        </is>
      </c>
      <c r="F547" s="24" t="inlineStr">
        <is>
          <t>2024</t>
        </is>
      </c>
      <c r="G547" s="24" t="inlineStr">
        <is>
          <t>CFS</t>
        </is>
      </c>
      <c r="H547" s="24" t="inlineStr">
        <is>
          <t>CIS</t>
        </is>
      </c>
      <c r="I547" s="24" t="inlineStr">
        <is>
          <t>포괄손익계산서</t>
        </is>
      </c>
      <c r="J547" s="24" t="inlineStr">
        <is>
          <t>ifrs-full_ProfitLoss</t>
        </is>
      </c>
      <c r="K547" s="24" t="inlineStr">
        <is>
          <t>당기순이익(손실)</t>
        </is>
      </c>
      <c r="L547" s="24" t="inlineStr">
        <is>
          <t>-</t>
        </is>
      </c>
      <c r="M547" s="24" t="inlineStr">
        <is>
          <t>제 6 기</t>
        </is>
      </c>
      <c r="N547" s="24" t="inlineStr">
        <is>
          <t>79128216285.0</t>
        </is>
      </c>
      <c r="O547" s="24" t="inlineStr">
        <is>
          <t>52520188202.0</t>
        </is>
      </c>
      <c r="P547" s="24" t="inlineStr">
        <is>
          <t>KRW</t>
        </is>
      </c>
      <c r="Q547" s="24" t="inlineStr">
        <is>
          <t>21</t>
        </is>
      </c>
    </row>
    <row r="548" ht="24" customHeight="1">
      <c r="A548" s="29" t="inlineStr">
        <is>
          <t>OpenDART_fnlttSinglAcntAll</t>
        </is>
      </c>
      <c r="B548" s="29" t="inlineStr">
        <is>
          <t>01365825</t>
        </is>
      </c>
      <c r="C548" s="29" t="inlineStr">
        <is>
          <t>피에스케이</t>
        </is>
      </c>
      <c r="D548" s="29" t="inlineStr">
        <is>
          <t>psk</t>
        </is>
      </c>
      <c r="E548" s="29" t="inlineStr">
        <is>
          <t>319660</t>
        </is>
      </c>
      <c r="F548" s="29" t="inlineStr">
        <is>
          <t>2024</t>
        </is>
      </c>
      <c r="G548" s="29" t="inlineStr">
        <is>
          <t>CFS</t>
        </is>
      </c>
      <c r="H548" s="29" t="inlineStr">
        <is>
          <t>CIS</t>
        </is>
      </c>
      <c r="I548" s="29" t="inlineStr">
        <is>
          <t>포괄손익계산서</t>
        </is>
      </c>
      <c r="J548" s="29" t="inlineStr">
        <is>
          <t>ifrs-full_ProfitLossBeforeTax</t>
        </is>
      </c>
      <c r="K548" s="29" t="inlineStr">
        <is>
          <t>법인세비용차감전순이익(손실)</t>
        </is>
      </c>
      <c r="L548" s="29" t="inlineStr">
        <is>
          <t>-</t>
        </is>
      </c>
      <c r="M548" s="29" t="inlineStr">
        <is>
          <t>제 6 기</t>
        </is>
      </c>
      <c r="N548" s="29" t="inlineStr">
        <is>
          <t>97408260831.0</t>
        </is>
      </c>
      <c r="O548" s="29" t="inlineStr">
        <is>
          <t>65909245151.0</t>
        </is>
      </c>
      <c r="P548" s="29" t="inlineStr">
        <is>
          <t>KRW</t>
        </is>
      </c>
      <c r="Q548" s="29" t="inlineStr">
        <is>
          <t>22</t>
        </is>
      </c>
    </row>
    <row r="549" ht="24" customHeight="1">
      <c r="A549" s="24" t="inlineStr">
        <is>
          <t>OpenDART_fnlttSinglAcntAll</t>
        </is>
      </c>
      <c r="B549" s="24" t="inlineStr">
        <is>
          <t>01365825</t>
        </is>
      </c>
      <c r="C549" s="24" t="inlineStr">
        <is>
          <t>피에스케이</t>
        </is>
      </c>
      <c r="D549" s="24" t="inlineStr">
        <is>
          <t>psk</t>
        </is>
      </c>
      <c r="E549" s="24" t="inlineStr">
        <is>
          <t>319660</t>
        </is>
      </c>
      <c r="F549" s="24" t="inlineStr">
        <is>
          <t>2024</t>
        </is>
      </c>
      <c r="G549" s="24" t="inlineStr">
        <is>
          <t>CFS</t>
        </is>
      </c>
      <c r="H549" s="24" t="inlineStr">
        <is>
          <t>CIS</t>
        </is>
      </c>
      <c r="I549" s="24" t="inlineStr">
        <is>
          <t>포괄손익계산서</t>
        </is>
      </c>
      <c r="J549" s="24" t="inlineStr">
        <is>
          <t>ifrs-full_Revenue</t>
        </is>
      </c>
      <c r="K549" s="24" t="inlineStr">
        <is>
          <t>수익(매출액)</t>
        </is>
      </c>
      <c r="L549" s="24" t="inlineStr">
        <is>
          <t>-</t>
        </is>
      </c>
      <c r="M549" s="24" t="inlineStr">
        <is>
          <t>제 6 기</t>
        </is>
      </c>
      <c r="N549" s="24" t="inlineStr">
        <is>
          <t>398050977575.0</t>
        </is>
      </c>
      <c r="O549" s="24" t="inlineStr">
        <is>
          <t>351863805650.0</t>
        </is>
      </c>
      <c r="P549" s="24" t="inlineStr">
        <is>
          <t>KRW</t>
        </is>
      </c>
      <c r="Q549" s="24" t="inlineStr">
        <is>
          <t>23</t>
        </is>
      </c>
    </row>
    <row r="550" ht="24" customHeight="1">
      <c r="A550" s="29" t="inlineStr">
        <is>
          <t>OpenDART_fnlttSinglAcntAll</t>
        </is>
      </c>
      <c r="B550" s="29" t="inlineStr">
        <is>
          <t>01365825</t>
        </is>
      </c>
      <c r="C550" s="29" t="inlineStr">
        <is>
          <t>피에스케이</t>
        </is>
      </c>
      <c r="D550" s="29" t="inlineStr">
        <is>
          <t>psk</t>
        </is>
      </c>
      <c r="E550" s="29" t="inlineStr">
        <is>
          <t>319660</t>
        </is>
      </c>
      <c r="F550" s="29" t="inlineStr">
        <is>
          <t>2024</t>
        </is>
      </c>
      <c r="G550" s="29" t="inlineStr">
        <is>
          <t>CFS</t>
        </is>
      </c>
      <c r="H550" s="29" t="inlineStr">
        <is>
          <t>CF</t>
        </is>
      </c>
      <c r="I550" s="29" t="inlineStr">
        <is>
          <t>현금흐름표</t>
        </is>
      </c>
      <c r="J550" s="29" t="inlineStr">
        <is>
          <t>dart_CashAndCashEquivalentsAtBeginningOfPeriodCf</t>
        </is>
      </c>
      <c r="K550" s="29" t="inlineStr">
        <is>
          <t>기초현금및현금성자산</t>
        </is>
      </c>
      <c r="L550" s="29" t="inlineStr">
        <is>
          <t>-</t>
        </is>
      </c>
      <c r="M550" s="29" t="inlineStr">
        <is>
          <t>제 6 기</t>
        </is>
      </c>
      <c r="N550" s="29" t="inlineStr">
        <is>
          <t>64918554700.0</t>
        </is>
      </c>
      <c r="O550" s="29" t="inlineStr">
        <is>
          <t>55965973907.0</t>
        </is>
      </c>
      <c r="P550" s="29" t="inlineStr">
        <is>
          <t>KRW</t>
        </is>
      </c>
      <c r="Q550" s="29" t="inlineStr">
        <is>
          <t>2</t>
        </is>
      </c>
    </row>
    <row r="551" ht="24" customHeight="1">
      <c r="A551" s="24" t="inlineStr">
        <is>
          <t>OpenDART_fnlttSinglAcntAll</t>
        </is>
      </c>
      <c r="B551" s="24" t="inlineStr">
        <is>
          <t>01365825</t>
        </is>
      </c>
      <c r="C551" s="24" t="inlineStr">
        <is>
          <t>피에스케이</t>
        </is>
      </c>
      <c r="D551" s="24" t="inlineStr">
        <is>
          <t>psk</t>
        </is>
      </c>
      <c r="E551" s="24" t="inlineStr">
        <is>
          <t>319660</t>
        </is>
      </c>
      <c r="F551" s="24" t="inlineStr">
        <is>
          <t>2024</t>
        </is>
      </c>
      <c r="G551" s="24" t="inlineStr">
        <is>
          <t>CFS</t>
        </is>
      </c>
      <c r="H551" s="24" t="inlineStr">
        <is>
          <t>CF</t>
        </is>
      </c>
      <c r="I551" s="24" t="inlineStr">
        <is>
          <t>현금흐름표</t>
        </is>
      </c>
      <c r="J551" s="24" t="inlineStr">
        <is>
          <t>dart_CashAndCashEquivalentsAtEndOfPeriodCf</t>
        </is>
      </c>
      <c r="K551" s="24" t="inlineStr">
        <is>
          <t>기말현금및현금성자산</t>
        </is>
      </c>
      <c r="L551" s="24" t="inlineStr">
        <is>
          <t>-</t>
        </is>
      </c>
      <c r="M551" s="24" t="inlineStr">
        <is>
          <t>제 6 기</t>
        </is>
      </c>
      <c r="N551" s="24" t="inlineStr">
        <is>
          <t>94775120383.0</t>
        </is>
      </c>
      <c r="O551" s="24" t="inlineStr">
        <is>
          <t>64918554700.0</t>
        </is>
      </c>
      <c r="P551" s="24" t="inlineStr">
        <is>
          <t>KRW</t>
        </is>
      </c>
      <c r="Q551" s="24" t="inlineStr">
        <is>
          <t>3</t>
        </is>
      </c>
    </row>
    <row r="552" ht="24" customHeight="1">
      <c r="A552" s="29" t="inlineStr">
        <is>
          <t>OpenDART_fnlttSinglAcntAll</t>
        </is>
      </c>
      <c r="B552" s="29" t="inlineStr">
        <is>
          <t>01365825</t>
        </is>
      </c>
      <c r="C552" s="29" t="inlineStr">
        <is>
          <t>피에스케이</t>
        </is>
      </c>
      <c r="D552" s="29" t="inlineStr">
        <is>
          <t>psk</t>
        </is>
      </c>
      <c r="E552" s="29" t="inlineStr">
        <is>
          <t>319660</t>
        </is>
      </c>
      <c r="F552" s="29" t="inlineStr">
        <is>
          <t>2024</t>
        </is>
      </c>
      <c r="G552" s="29" t="inlineStr">
        <is>
          <t>CFS</t>
        </is>
      </c>
      <c r="H552" s="29" t="inlineStr">
        <is>
          <t>CF</t>
        </is>
      </c>
      <c r="I552" s="29" t="inlineStr">
        <is>
          <t>현금흐름표</t>
        </is>
      </c>
      <c r="J552" s="29" t="inlineStr">
        <is>
          <t>ifrs-full_CashFlowsFromUsedInFinancingActivities</t>
        </is>
      </c>
      <c r="K552" s="29" t="inlineStr">
        <is>
          <t>재무활동현금흐름</t>
        </is>
      </c>
      <c r="L552" s="29" t="inlineStr">
        <is>
          <t>-</t>
        </is>
      </c>
      <c r="M552" s="29" t="inlineStr">
        <is>
          <t>제 6 기</t>
        </is>
      </c>
      <c r="N552" s="29" t="inlineStr">
        <is>
          <t>-9249244373.0</t>
        </is>
      </c>
      <c r="O552" s="29" t="inlineStr">
        <is>
          <t>-4067183666.0</t>
        </is>
      </c>
      <c r="P552" s="29" t="inlineStr">
        <is>
          <t>KRW</t>
        </is>
      </c>
      <c r="Q552" s="29" t="inlineStr">
        <is>
          <t>8</t>
        </is>
      </c>
    </row>
    <row r="553" ht="24" customHeight="1">
      <c r="A553" s="24" t="inlineStr">
        <is>
          <t>OpenDART_fnlttSinglAcntAll</t>
        </is>
      </c>
      <c r="B553" s="24" t="inlineStr">
        <is>
          <t>01365825</t>
        </is>
      </c>
      <c r="C553" s="24" t="inlineStr">
        <is>
          <t>피에스케이</t>
        </is>
      </c>
      <c r="D553" s="24" t="inlineStr">
        <is>
          <t>psk</t>
        </is>
      </c>
      <c r="E553" s="24" t="inlineStr">
        <is>
          <t>319660</t>
        </is>
      </c>
      <c r="F553" s="24" t="inlineStr">
        <is>
          <t>2024</t>
        </is>
      </c>
      <c r="G553" s="24" t="inlineStr">
        <is>
          <t>CFS</t>
        </is>
      </c>
      <c r="H553" s="24" t="inlineStr">
        <is>
          <t>CF</t>
        </is>
      </c>
      <c r="I553" s="24" t="inlineStr">
        <is>
          <t>현금흐름표</t>
        </is>
      </c>
      <c r="J553" s="24" t="inlineStr">
        <is>
          <t>dart_AcquisitionOfTreasuryShares</t>
        </is>
      </c>
      <c r="K553" s="24" t="inlineStr">
        <is>
          <t>자기주식의 취득으로 인한 현금의 유출</t>
        </is>
      </c>
      <c r="L553" s="24" t="inlineStr">
        <is>
          <t>-</t>
        </is>
      </c>
      <c r="M553" s="24" t="inlineStr">
        <is>
          <t>제 6 기</t>
        </is>
      </c>
      <c r="N553" s="24" t="inlineStr">
        <is>
          <t>해당 없음</t>
        </is>
      </c>
      <c r="O553" s="24" t="inlineStr">
        <is>
          <t>해당 없음</t>
        </is>
      </c>
      <c r="P553" s="24" t="inlineStr">
        <is>
          <t>KRW</t>
        </is>
      </c>
      <c r="Q553" s="24" t="inlineStr">
        <is>
          <t>9</t>
        </is>
      </c>
    </row>
    <row r="554" ht="24" customHeight="1">
      <c r="A554" s="29" t="inlineStr">
        <is>
          <t>OpenDART_fnlttSinglAcntAll</t>
        </is>
      </c>
      <c r="B554" s="29" t="inlineStr">
        <is>
          <t>01365825</t>
        </is>
      </c>
      <c r="C554" s="29" t="inlineStr">
        <is>
          <t>피에스케이</t>
        </is>
      </c>
      <c r="D554" s="29" t="inlineStr">
        <is>
          <t>psk</t>
        </is>
      </c>
      <c r="E554" s="29" t="inlineStr">
        <is>
          <t>319660</t>
        </is>
      </c>
      <c r="F554" s="29" t="inlineStr">
        <is>
          <t>2024</t>
        </is>
      </c>
      <c r="G554" s="29" t="inlineStr">
        <is>
          <t>CFS</t>
        </is>
      </c>
      <c r="H554" s="29" t="inlineStr">
        <is>
          <t>CF</t>
        </is>
      </c>
      <c r="I554" s="29" t="inlineStr">
        <is>
          <t>현금흐름표</t>
        </is>
      </c>
      <c r="J554" s="29" t="inlineStr">
        <is>
          <t>dart_DispositionOfTreasuryShares</t>
        </is>
      </c>
      <c r="K554" s="29" t="inlineStr">
        <is>
          <t>자기주식의 처분</t>
        </is>
      </c>
      <c r="L554" s="29" t="inlineStr">
        <is>
          <t>-</t>
        </is>
      </c>
      <c r="M554" s="29" t="inlineStr">
        <is>
          <t>제 6 기</t>
        </is>
      </c>
      <c r="N554" s="29" t="inlineStr">
        <is>
          <t>해당 없음</t>
        </is>
      </c>
      <c r="O554" s="29" t="inlineStr">
        <is>
          <t>해당 없음</t>
        </is>
      </c>
      <c r="P554" s="29" t="inlineStr">
        <is>
          <t>KRW</t>
        </is>
      </c>
      <c r="Q554" s="29" t="inlineStr">
        <is>
          <t>10</t>
        </is>
      </c>
    </row>
    <row r="555" ht="24" customHeight="1">
      <c r="A555" s="24" t="inlineStr">
        <is>
          <t>OpenDART_fnlttSinglAcntAll</t>
        </is>
      </c>
      <c r="B555" s="24" t="inlineStr">
        <is>
          <t>01365825</t>
        </is>
      </c>
      <c r="C555" s="24" t="inlineStr">
        <is>
          <t>피에스케이</t>
        </is>
      </c>
      <c r="D555" s="24" t="inlineStr">
        <is>
          <t>psk</t>
        </is>
      </c>
      <c r="E555" s="24" t="inlineStr">
        <is>
          <t>319660</t>
        </is>
      </c>
      <c r="F555" s="24" t="inlineStr">
        <is>
          <t>2024</t>
        </is>
      </c>
      <c r="G555" s="24" t="inlineStr">
        <is>
          <t>CFS</t>
        </is>
      </c>
      <c r="H555" s="24" t="inlineStr">
        <is>
          <t>CF</t>
        </is>
      </c>
      <c r="I555" s="24" t="inlineStr">
        <is>
          <t>현금흐름표</t>
        </is>
      </c>
      <c r="J555" s="24" t="inlineStr">
        <is>
          <t>dart_IncreaseInGuaranteeDepositsAsFinancialActivities</t>
        </is>
      </c>
      <c r="K555" s="24" t="inlineStr">
        <is>
          <t>임대보증금의 증가</t>
        </is>
      </c>
      <c r="L555" s="24" t="inlineStr">
        <is>
          <t>-</t>
        </is>
      </c>
      <c r="M555" s="24" t="inlineStr">
        <is>
          <t>제 6 기</t>
        </is>
      </c>
      <c r="N555" s="24" t="inlineStr">
        <is>
          <t>37500000.0</t>
        </is>
      </c>
      <c r="O555" s="24" t="inlineStr">
        <is>
          <t>해당 없음</t>
        </is>
      </c>
      <c r="P555" s="24" t="inlineStr">
        <is>
          <t>KRW</t>
        </is>
      </c>
      <c r="Q555" s="24" t="inlineStr">
        <is>
          <t>11</t>
        </is>
      </c>
    </row>
    <row r="556" ht="24" customHeight="1">
      <c r="A556" s="29" t="inlineStr">
        <is>
          <t>OpenDART_fnlttSinglAcntAll</t>
        </is>
      </c>
      <c r="B556" s="29" t="inlineStr">
        <is>
          <t>01365825</t>
        </is>
      </c>
      <c r="C556" s="29" t="inlineStr">
        <is>
          <t>피에스케이</t>
        </is>
      </c>
      <c r="D556" s="29" t="inlineStr">
        <is>
          <t>psk</t>
        </is>
      </c>
      <c r="E556" s="29" t="inlineStr">
        <is>
          <t>319660</t>
        </is>
      </c>
      <c r="F556" s="29" t="inlineStr">
        <is>
          <t>2024</t>
        </is>
      </c>
      <c r="G556" s="29" t="inlineStr">
        <is>
          <t>CFS</t>
        </is>
      </c>
      <c r="H556" s="29" t="inlineStr">
        <is>
          <t>CF</t>
        </is>
      </c>
      <c r="I556" s="29" t="inlineStr">
        <is>
          <t>현금흐름표</t>
        </is>
      </c>
      <c r="J556" s="29" t="inlineStr">
        <is>
          <t>dart_PaymentForStockIssueCost</t>
        </is>
      </c>
      <c r="K556" s="29" t="inlineStr">
        <is>
          <t>신주발행비 지급</t>
        </is>
      </c>
      <c r="L556" s="29" t="inlineStr">
        <is>
          <t>-</t>
        </is>
      </c>
      <c r="M556" s="29" t="inlineStr">
        <is>
          <t>제 6 기</t>
        </is>
      </c>
      <c r="N556" s="29" t="inlineStr">
        <is>
          <t>해당 없음</t>
        </is>
      </c>
      <c r="O556" s="29" t="inlineStr">
        <is>
          <t>해당 없음</t>
        </is>
      </c>
      <c r="P556" s="29" t="inlineStr">
        <is>
          <t>KRW</t>
        </is>
      </c>
      <c r="Q556" s="29" t="inlineStr">
        <is>
          <t>12</t>
        </is>
      </c>
    </row>
    <row r="557" ht="24" customHeight="1">
      <c r="A557" s="24" t="inlineStr">
        <is>
          <t>OpenDART_fnlttSinglAcntAll</t>
        </is>
      </c>
      <c r="B557" s="24" t="inlineStr">
        <is>
          <t>01365825</t>
        </is>
      </c>
      <c r="C557" s="24" t="inlineStr">
        <is>
          <t>피에스케이</t>
        </is>
      </c>
      <c r="D557" s="24" t="inlineStr">
        <is>
          <t>psk</t>
        </is>
      </c>
      <c r="E557" s="24" t="inlineStr">
        <is>
          <t>319660</t>
        </is>
      </c>
      <c r="F557" s="24" t="inlineStr">
        <is>
          <t>2024</t>
        </is>
      </c>
      <c r="G557" s="24" t="inlineStr">
        <is>
          <t>CFS</t>
        </is>
      </c>
      <c r="H557" s="24" t="inlineStr">
        <is>
          <t>CF</t>
        </is>
      </c>
      <c r="I557" s="24" t="inlineStr">
        <is>
          <t>현금흐름표</t>
        </is>
      </c>
      <c r="J557" s="24" t="inlineStr">
        <is>
          <t>dart_PaymentsOfFinanceLeaseLiabilitiesClassifiedAsFinancingActivities</t>
        </is>
      </c>
      <c r="K557" s="24" t="inlineStr">
        <is>
          <t>리스자산/부채의 증감</t>
        </is>
      </c>
      <c r="L557" s="24" t="inlineStr">
        <is>
          <t>-</t>
        </is>
      </c>
      <c r="M557" s="24" t="inlineStr">
        <is>
          <t>제 6 기</t>
        </is>
      </c>
      <c r="N557" s="24" t="inlineStr">
        <is>
          <t>2123477756.0</t>
        </is>
      </c>
      <c r="O557" s="24" t="inlineStr">
        <is>
          <t>2164370038.0</t>
        </is>
      </c>
      <c r="P557" s="24" t="inlineStr">
        <is>
          <t>KRW</t>
        </is>
      </c>
      <c r="Q557" s="24" t="inlineStr">
        <is>
          <t>13</t>
        </is>
      </c>
    </row>
    <row r="558" ht="24" customHeight="1">
      <c r="A558" s="29" t="inlineStr">
        <is>
          <t>OpenDART_fnlttSinglAcntAll</t>
        </is>
      </c>
      <c r="B558" s="29" t="inlineStr">
        <is>
          <t>01365825</t>
        </is>
      </c>
      <c r="C558" s="29" t="inlineStr">
        <is>
          <t>피에스케이</t>
        </is>
      </c>
      <c r="D558" s="29" t="inlineStr">
        <is>
          <t>psk</t>
        </is>
      </c>
      <c r="E558" s="29" t="inlineStr">
        <is>
          <t>319660</t>
        </is>
      </c>
      <c r="F558" s="29" t="inlineStr">
        <is>
          <t>2024</t>
        </is>
      </c>
      <c r="G558" s="29" t="inlineStr">
        <is>
          <t>CFS</t>
        </is>
      </c>
      <c r="H558" s="29" t="inlineStr">
        <is>
          <t>CF</t>
        </is>
      </c>
      <c r="I558" s="29" t="inlineStr">
        <is>
          <t>현금흐름표</t>
        </is>
      </c>
      <c r="J558" s="29" t="inlineStr">
        <is>
          <t>ifrs-full_DividendsPaidClassifiedAsFinancingActivities</t>
        </is>
      </c>
      <c r="K558" s="29" t="inlineStr">
        <is>
          <t>배당금지급</t>
        </is>
      </c>
      <c r="L558" s="29" t="inlineStr">
        <is>
          <t>-</t>
        </is>
      </c>
      <c r="M558" s="29" t="inlineStr">
        <is>
          <t>제 6 기</t>
        </is>
      </c>
      <c r="N558" s="29" t="inlineStr">
        <is>
          <t>5793342800.0</t>
        </is>
      </c>
      <c r="O558" s="29" t="inlineStr">
        <is>
          <t>11586685600.0</t>
        </is>
      </c>
      <c r="P558" s="29" t="inlineStr">
        <is>
          <t>KRW</t>
        </is>
      </c>
      <c r="Q558" s="29" t="inlineStr">
        <is>
          <t>14</t>
        </is>
      </c>
    </row>
    <row r="559" ht="24" customHeight="1">
      <c r="A559" s="24" t="inlineStr">
        <is>
          <t>OpenDART_fnlttSinglAcntAll</t>
        </is>
      </c>
      <c r="B559" s="24" t="inlineStr">
        <is>
          <t>01365825</t>
        </is>
      </c>
      <c r="C559" s="24" t="inlineStr">
        <is>
          <t>피에스케이</t>
        </is>
      </c>
      <c r="D559" s="24" t="inlineStr">
        <is>
          <t>psk</t>
        </is>
      </c>
      <c r="E559" s="24" t="inlineStr">
        <is>
          <t>319660</t>
        </is>
      </c>
      <c r="F559" s="24" t="inlineStr">
        <is>
          <t>2024</t>
        </is>
      </c>
      <c r="G559" s="24" t="inlineStr">
        <is>
          <t>CFS</t>
        </is>
      </c>
      <c r="H559" s="24" t="inlineStr">
        <is>
          <t>CF</t>
        </is>
      </c>
      <c r="I559" s="24" t="inlineStr">
        <is>
          <t>현금흐름표</t>
        </is>
      </c>
      <c r="J559" s="24" t="inlineStr">
        <is>
          <t>ifrs-full_ProceedsFromBorrowingsClassifiedAsFinancingActivities</t>
        </is>
      </c>
      <c r="K559" s="24" t="inlineStr">
        <is>
          <t>차입금에 따른 유입</t>
        </is>
      </c>
      <c r="L559" s="24" t="inlineStr">
        <is>
          <t>-</t>
        </is>
      </c>
      <c r="M559" s="24" t="inlineStr">
        <is>
          <t>제 6 기</t>
        </is>
      </c>
      <c r="N559" s="24" t="inlineStr">
        <is>
          <t>3000000000.0</t>
        </is>
      </c>
      <c r="O559" s="24" t="inlineStr">
        <is>
          <t>9683871972.0</t>
        </is>
      </c>
      <c r="P559" s="24" t="inlineStr">
        <is>
          <t>KRW</t>
        </is>
      </c>
      <c r="Q559" s="24" t="inlineStr">
        <is>
          <t>15</t>
        </is>
      </c>
    </row>
    <row r="560" ht="24" customHeight="1">
      <c r="A560" s="29" t="inlineStr">
        <is>
          <t>OpenDART_fnlttSinglAcntAll</t>
        </is>
      </c>
      <c r="B560" s="29" t="inlineStr">
        <is>
          <t>01365825</t>
        </is>
      </c>
      <c r="C560" s="29" t="inlineStr">
        <is>
          <t>피에스케이</t>
        </is>
      </c>
      <c r="D560" s="29" t="inlineStr">
        <is>
          <t>psk</t>
        </is>
      </c>
      <c r="E560" s="29" t="inlineStr">
        <is>
          <t>319660</t>
        </is>
      </c>
      <c r="F560" s="29" t="inlineStr">
        <is>
          <t>2024</t>
        </is>
      </c>
      <c r="G560" s="29" t="inlineStr">
        <is>
          <t>CFS</t>
        </is>
      </c>
      <c r="H560" s="29" t="inlineStr">
        <is>
          <t>CF</t>
        </is>
      </c>
      <c r="I560" s="29" t="inlineStr">
        <is>
          <t>현금흐름표</t>
        </is>
      </c>
      <c r="J560" s="29" t="inlineStr">
        <is>
          <t>ifrs-full_RepaymentsOfBorrowingsClassifiedAsFinancingActivities</t>
        </is>
      </c>
      <c r="K560" s="29" t="inlineStr">
        <is>
          <t>차입금의 상환</t>
        </is>
      </c>
      <c r="L560" s="29" t="inlineStr">
        <is>
          <t>-</t>
        </is>
      </c>
      <c r="M560" s="29" t="inlineStr">
        <is>
          <t>제 6 기</t>
        </is>
      </c>
      <c r="N560" s="29" t="inlineStr">
        <is>
          <t>4369923817.0</t>
        </is>
      </c>
      <c r="O560" s="29" t="inlineStr">
        <is>
          <t>해당 없음</t>
        </is>
      </c>
      <c r="P560" s="29" t="inlineStr">
        <is>
          <t>KRW</t>
        </is>
      </c>
      <c r="Q560" s="29" t="inlineStr">
        <is>
          <t>16</t>
        </is>
      </c>
    </row>
    <row r="561" ht="24" customHeight="1">
      <c r="A561" s="24" t="inlineStr">
        <is>
          <t>OpenDART_fnlttSinglAcntAll</t>
        </is>
      </c>
      <c r="B561" s="24" t="inlineStr">
        <is>
          <t>01365825</t>
        </is>
      </c>
      <c r="C561" s="24" t="inlineStr">
        <is>
          <t>피에스케이</t>
        </is>
      </c>
      <c r="D561" s="24" t="inlineStr">
        <is>
          <t>psk</t>
        </is>
      </c>
      <c r="E561" s="24" t="inlineStr">
        <is>
          <t>319660</t>
        </is>
      </c>
      <c r="F561" s="24" t="inlineStr">
        <is>
          <t>2024</t>
        </is>
      </c>
      <c r="G561" s="24" t="inlineStr">
        <is>
          <t>CFS</t>
        </is>
      </c>
      <c r="H561" s="24" t="inlineStr">
        <is>
          <t>CF</t>
        </is>
      </c>
      <c r="I561" s="24" t="inlineStr">
        <is>
          <t>현금흐름표</t>
        </is>
      </c>
      <c r="J561" s="24" t="inlineStr">
        <is>
          <t>ifrs-full_CashFlowsFromUsedInInvestingActivities</t>
        </is>
      </c>
      <c r="K561" s="24" t="inlineStr">
        <is>
          <t>투자활동현금흐름</t>
        </is>
      </c>
      <c r="L561" s="24" t="inlineStr">
        <is>
          <t>-</t>
        </is>
      </c>
      <c r="M561" s="24" t="inlineStr">
        <is>
          <t>제 6 기</t>
        </is>
      </c>
      <c r="N561" s="24" t="inlineStr">
        <is>
          <t>-34424696928.0</t>
        </is>
      </c>
      <c r="O561" s="24" t="inlineStr">
        <is>
          <t>-36436599654.0</t>
        </is>
      </c>
      <c r="P561" s="24" t="inlineStr">
        <is>
          <t>KRW</t>
        </is>
      </c>
      <c r="Q561" s="24" t="inlineStr">
        <is>
          <t>17</t>
        </is>
      </c>
    </row>
    <row r="562" ht="24" customHeight="1">
      <c r="A562" s="29" t="inlineStr">
        <is>
          <t>OpenDART_fnlttSinglAcntAll</t>
        </is>
      </c>
      <c r="B562" s="29" t="inlineStr">
        <is>
          <t>01365825</t>
        </is>
      </c>
      <c r="C562" s="29" t="inlineStr">
        <is>
          <t>피에스케이</t>
        </is>
      </c>
      <c r="D562" s="29" t="inlineStr">
        <is>
          <t>psk</t>
        </is>
      </c>
      <c r="E562" s="29" t="inlineStr">
        <is>
          <t>319660</t>
        </is>
      </c>
      <c r="F562" s="29" t="inlineStr">
        <is>
          <t>2024</t>
        </is>
      </c>
      <c r="G562" s="29" t="inlineStr">
        <is>
          <t>CFS</t>
        </is>
      </c>
      <c r="H562" s="29" t="inlineStr">
        <is>
          <t>CF</t>
        </is>
      </c>
      <c r="I562" s="29" t="inlineStr">
        <is>
          <t>현금흐름표</t>
        </is>
      </c>
      <c r="J562" s="29" t="inlineStr">
        <is>
          <t>dart_AdjustmentsForDecreaseIncreaseInDerivativeAssets</t>
        </is>
      </c>
      <c r="K562" s="29" t="inlineStr">
        <is>
          <t>파생상품자산의 감소(증가)</t>
        </is>
      </c>
      <c r="L562" s="29" t="inlineStr">
        <is>
          <t>-</t>
        </is>
      </c>
      <c r="M562" s="29" t="inlineStr">
        <is>
          <t>제 6 기</t>
        </is>
      </c>
      <c r="N562" s="29" t="inlineStr">
        <is>
          <t>해당 없음</t>
        </is>
      </c>
      <c r="O562" s="29" t="inlineStr">
        <is>
          <t>해당 없음</t>
        </is>
      </c>
      <c r="P562" s="29" t="inlineStr">
        <is>
          <t>KRW</t>
        </is>
      </c>
      <c r="Q562" s="29" t="inlineStr">
        <is>
          <t>18</t>
        </is>
      </c>
    </row>
    <row r="563" ht="24" customHeight="1">
      <c r="A563" s="24" t="inlineStr">
        <is>
          <t>OpenDART_fnlttSinglAcntAll</t>
        </is>
      </c>
      <c r="B563" s="24" t="inlineStr">
        <is>
          <t>01365825</t>
        </is>
      </c>
      <c r="C563" s="24" t="inlineStr">
        <is>
          <t>피에스케이</t>
        </is>
      </c>
      <c r="D563" s="24" t="inlineStr">
        <is>
          <t>psk</t>
        </is>
      </c>
      <c r="E563" s="24" t="inlineStr">
        <is>
          <t>319660</t>
        </is>
      </c>
      <c r="F563" s="24" t="inlineStr">
        <is>
          <t>2024</t>
        </is>
      </c>
      <c r="G563" s="24" t="inlineStr">
        <is>
          <t>CFS</t>
        </is>
      </c>
      <c r="H563" s="24" t="inlineStr">
        <is>
          <t>CF</t>
        </is>
      </c>
      <c r="I563" s="24" t="inlineStr">
        <is>
          <t>현금흐름표</t>
        </is>
      </c>
      <c r="J563" s="24" t="inlineStr">
        <is>
          <t>dart_AdjustmentsForIncreaseDecreaseInDerivativeLiabilities</t>
        </is>
      </c>
      <c r="K563" s="24" t="inlineStr">
        <is>
          <t>파생상품부채의 증가(감소)</t>
        </is>
      </c>
      <c r="L563" s="24" t="inlineStr">
        <is>
          <t>-</t>
        </is>
      </c>
      <c r="M563" s="24" t="inlineStr">
        <is>
          <t>제 6 기</t>
        </is>
      </c>
      <c r="N563" s="24" t="inlineStr">
        <is>
          <t>해당 없음</t>
        </is>
      </c>
      <c r="O563" s="24" t="inlineStr">
        <is>
          <t>해당 없음</t>
        </is>
      </c>
      <c r="P563" s="24" t="inlineStr">
        <is>
          <t>KRW</t>
        </is>
      </c>
      <c r="Q563" s="24" t="inlineStr">
        <is>
          <t>19</t>
        </is>
      </c>
    </row>
    <row r="564" ht="24" customHeight="1">
      <c r="A564" s="29" t="inlineStr">
        <is>
          <t>OpenDART_fnlttSinglAcntAll</t>
        </is>
      </c>
      <c r="B564" s="29" t="inlineStr">
        <is>
          <t>01365825</t>
        </is>
      </c>
      <c r="C564" s="29" t="inlineStr">
        <is>
          <t>피에스케이</t>
        </is>
      </c>
      <c r="D564" s="29" t="inlineStr">
        <is>
          <t>psk</t>
        </is>
      </c>
      <c r="E564" s="29" t="inlineStr">
        <is>
          <t>319660</t>
        </is>
      </c>
      <c r="F564" s="29" t="inlineStr">
        <is>
          <t>2024</t>
        </is>
      </c>
      <c r="G564" s="29" t="inlineStr">
        <is>
          <t>CFS</t>
        </is>
      </c>
      <c r="H564" s="29" t="inlineStr">
        <is>
          <t>CF</t>
        </is>
      </c>
      <c r="I564" s="29" t="inlineStr">
        <is>
          <t>현금흐름표</t>
        </is>
      </c>
      <c r="J564" s="29" t="inlineStr">
        <is>
          <t>dart_DecreaseInGuaranteeDeposits</t>
        </is>
      </c>
      <c r="K564" s="29" t="inlineStr">
        <is>
          <t>보증금의 감소</t>
        </is>
      </c>
      <c r="L564" s="29" t="inlineStr">
        <is>
          <t>-</t>
        </is>
      </c>
      <c r="M564" s="29" t="inlineStr">
        <is>
          <t>제 6 기</t>
        </is>
      </c>
      <c r="N564" s="29" t="inlineStr">
        <is>
          <t>1649135523.0</t>
        </is>
      </c>
      <c r="O564" s="29" t="inlineStr">
        <is>
          <t>155127110.0</t>
        </is>
      </c>
      <c r="P564" s="29" t="inlineStr">
        <is>
          <t>KRW</t>
        </is>
      </c>
      <c r="Q564" s="29" t="inlineStr">
        <is>
          <t>20</t>
        </is>
      </c>
    </row>
    <row r="565" ht="24" customHeight="1">
      <c r="A565" s="24" t="inlineStr">
        <is>
          <t>OpenDART_fnlttSinglAcntAll</t>
        </is>
      </c>
      <c r="B565" s="24" t="inlineStr">
        <is>
          <t>01365825</t>
        </is>
      </c>
      <c r="C565" s="24" t="inlineStr">
        <is>
          <t>피에스케이</t>
        </is>
      </c>
      <c r="D565" s="24" t="inlineStr">
        <is>
          <t>psk</t>
        </is>
      </c>
      <c r="E565" s="24" t="inlineStr">
        <is>
          <t>319660</t>
        </is>
      </c>
      <c r="F565" s="24" t="inlineStr">
        <is>
          <t>2024</t>
        </is>
      </c>
      <c r="G565" s="24" t="inlineStr">
        <is>
          <t>CFS</t>
        </is>
      </c>
      <c r="H565" s="24" t="inlineStr">
        <is>
          <t>CF</t>
        </is>
      </c>
      <c r="I565" s="24" t="inlineStr">
        <is>
          <t>현금흐름표</t>
        </is>
      </c>
      <c r="J565" s="24" t="inlineStr">
        <is>
          <t>dart_DecreaseInLoans</t>
        </is>
      </c>
      <c r="K565" s="24" t="inlineStr">
        <is>
          <t>대여금의 감소</t>
        </is>
      </c>
      <c r="L565" s="24" t="inlineStr">
        <is>
          <t>-</t>
        </is>
      </c>
      <c r="M565" s="24" t="inlineStr">
        <is>
          <t>제 6 기</t>
        </is>
      </c>
      <c r="N565" s="24" t="inlineStr">
        <is>
          <t>818695967.0</t>
        </is>
      </c>
      <c r="O565" s="24" t="inlineStr">
        <is>
          <t>447178717.0</t>
        </is>
      </c>
      <c r="P565" s="24" t="inlineStr">
        <is>
          <t>KRW</t>
        </is>
      </c>
      <c r="Q565" s="24" t="inlineStr">
        <is>
          <t>21</t>
        </is>
      </c>
    </row>
    <row r="566" ht="24" customHeight="1">
      <c r="A566" s="29" t="inlineStr">
        <is>
          <t>OpenDART_fnlttSinglAcntAll</t>
        </is>
      </c>
      <c r="B566" s="29" t="inlineStr">
        <is>
          <t>01365825</t>
        </is>
      </c>
      <c r="C566" s="29" t="inlineStr">
        <is>
          <t>피에스케이</t>
        </is>
      </c>
      <c r="D566" s="29" t="inlineStr">
        <is>
          <t>psk</t>
        </is>
      </c>
      <c r="E566" s="29" t="inlineStr">
        <is>
          <t>319660</t>
        </is>
      </c>
      <c r="F566" s="29" t="inlineStr">
        <is>
          <t>2024</t>
        </is>
      </c>
      <c r="G566" s="29" t="inlineStr">
        <is>
          <t>CFS</t>
        </is>
      </c>
      <c r="H566" s="29" t="inlineStr">
        <is>
          <t>CF</t>
        </is>
      </c>
      <c r="I566" s="29" t="inlineStr">
        <is>
          <t>현금흐름표</t>
        </is>
      </c>
      <c r="J566" s="29" t="inlineStr">
        <is>
          <t>dart_IncreaseInGuaranteeDeposits</t>
        </is>
      </c>
      <c r="K566" s="29" t="inlineStr">
        <is>
          <t>보증금의 증가</t>
        </is>
      </c>
      <c r="L566" s="29" t="inlineStr">
        <is>
          <t>-</t>
        </is>
      </c>
      <c r="M566" s="29" t="inlineStr">
        <is>
          <t>제 6 기</t>
        </is>
      </c>
      <c r="N566" s="29" t="inlineStr">
        <is>
          <t>1031925182.0</t>
        </is>
      </c>
      <c r="O566" s="29" t="inlineStr">
        <is>
          <t>243081695.0</t>
        </is>
      </c>
      <c r="P566" s="29" t="inlineStr">
        <is>
          <t>KRW</t>
        </is>
      </c>
      <c r="Q566" s="29" t="inlineStr">
        <is>
          <t>22</t>
        </is>
      </c>
    </row>
    <row r="567" ht="24" customHeight="1">
      <c r="A567" s="24" t="inlineStr">
        <is>
          <t>OpenDART_fnlttSinglAcntAll</t>
        </is>
      </c>
      <c r="B567" s="24" t="inlineStr">
        <is>
          <t>01365825</t>
        </is>
      </c>
      <c r="C567" s="24" t="inlineStr">
        <is>
          <t>피에스케이</t>
        </is>
      </c>
      <c r="D567" s="24" t="inlineStr">
        <is>
          <t>psk</t>
        </is>
      </c>
      <c r="E567" s="24" t="inlineStr">
        <is>
          <t>319660</t>
        </is>
      </c>
      <c r="F567" s="24" t="inlineStr">
        <is>
          <t>2024</t>
        </is>
      </c>
      <c r="G567" s="24" t="inlineStr">
        <is>
          <t>CFS</t>
        </is>
      </c>
      <c r="H567" s="24" t="inlineStr">
        <is>
          <t>CF</t>
        </is>
      </c>
      <c r="I567" s="24" t="inlineStr">
        <is>
          <t>현금흐름표</t>
        </is>
      </c>
      <c r="J567" s="24" t="inlineStr">
        <is>
          <t>dart_IncreaseInLoans</t>
        </is>
      </c>
      <c r="K567" s="24" t="inlineStr">
        <is>
          <t>대여금의 증가</t>
        </is>
      </c>
      <c r="L567" s="24" t="inlineStr">
        <is>
          <t>-</t>
        </is>
      </c>
      <c r="M567" s="24" t="inlineStr">
        <is>
          <t>제 6 기</t>
        </is>
      </c>
      <c r="N567" s="24" t="inlineStr">
        <is>
          <t>592850000.0</t>
        </is>
      </c>
      <c r="O567" s="24" t="inlineStr">
        <is>
          <t>700900000.0</t>
        </is>
      </c>
      <c r="P567" s="24" t="inlineStr">
        <is>
          <t>KRW</t>
        </is>
      </c>
      <c r="Q567" s="24" t="inlineStr">
        <is>
          <t>23</t>
        </is>
      </c>
    </row>
    <row r="568" ht="24" customHeight="1">
      <c r="A568" s="29" t="inlineStr">
        <is>
          <t>OpenDART_fnlttSinglAcntAll</t>
        </is>
      </c>
      <c r="B568" s="29" t="inlineStr">
        <is>
          <t>01365825</t>
        </is>
      </c>
      <c r="C568" s="29" t="inlineStr">
        <is>
          <t>피에스케이</t>
        </is>
      </c>
      <c r="D568" s="29" t="inlineStr">
        <is>
          <t>psk</t>
        </is>
      </c>
      <c r="E568" s="29" t="inlineStr">
        <is>
          <t>319660</t>
        </is>
      </c>
      <c r="F568" s="29" t="inlineStr">
        <is>
          <t>2024</t>
        </is>
      </c>
      <c r="G568" s="29" t="inlineStr">
        <is>
          <t>CFS</t>
        </is>
      </c>
      <c r="H568" s="29" t="inlineStr">
        <is>
          <t>CF</t>
        </is>
      </c>
      <c r="I568" s="29" t="inlineStr">
        <is>
          <t>현금흐름표</t>
        </is>
      </c>
      <c r="J568" s="29" t="inlineStr">
        <is>
          <t>-표준계정코드 미사용-</t>
        </is>
      </c>
      <c r="K568" s="29" t="inlineStr">
        <is>
          <t>당기손익-공정가치 측정 금융자산의 취득</t>
        </is>
      </c>
      <c r="L568" s="29" t="inlineStr">
        <is>
          <t>-</t>
        </is>
      </c>
      <c r="M568" s="29" t="inlineStr">
        <is>
          <t>제 6 기</t>
        </is>
      </c>
      <c r="N568" s="29" t="inlineStr">
        <is>
          <t>-66531850412.0</t>
        </is>
      </c>
      <c r="O568" s="29" t="inlineStr">
        <is>
          <t>-48020101165.0</t>
        </is>
      </c>
      <c r="P568" s="29" t="inlineStr">
        <is>
          <t>KRW</t>
        </is>
      </c>
      <c r="Q568" s="29" t="inlineStr">
        <is>
          <t>24</t>
        </is>
      </c>
    </row>
    <row r="569" ht="24" customHeight="1">
      <c r="A569" s="24" t="inlineStr">
        <is>
          <t>OpenDART_fnlttSinglAcntAll</t>
        </is>
      </c>
      <c r="B569" s="24" t="inlineStr">
        <is>
          <t>01365825</t>
        </is>
      </c>
      <c r="C569" s="24" t="inlineStr">
        <is>
          <t>피에스케이</t>
        </is>
      </c>
      <c r="D569" s="24" t="inlineStr">
        <is>
          <t>psk</t>
        </is>
      </c>
      <c r="E569" s="24" t="inlineStr">
        <is>
          <t>319660</t>
        </is>
      </c>
      <c r="F569" s="24" t="inlineStr">
        <is>
          <t>2024</t>
        </is>
      </c>
      <c r="G569" s="24" t="inlineStr">
        <is>
          <t>CFS</t>
        </is>
      </c>
      <c r="H569" s="24" t="inlineStr">
        <is>
          <t>CF</t>
        </is>
      </c>
      <c r="I569" s="24" t="inlineStr">
        <is>
          <t>현금흐름표</t>
        </is>
      </c>
      <c r="J569" s="24" t="inlineStr">
        <is>
          <t>-표준계정코드 미사용-</t>
        </is>
      </c>
      <c r="K569" s="24" t="inlineStr">
        <is>
          <t>당기손익-공정가치 측정 금융자산의 처분</t>
        </is>
      </c>
      <c r="L569" s="24" t="inlineStr">
        <is>
          <t>-</t>
        </is>
      </c>
      <c r="M569" s="24" t="inlineStr">
        <is>
          <t>제 6 기</t>
        </is>
      </c>
      <c r="N569" s="24" t="inlineStr">
        <is>
          <t>34859005149.0</t>
        </is>
      </c>
      <c r="O569" s="24" t="inlineStr">
        <is>
          <t>27114852810.0</t>
        </is>
      </c>
      <c r="P569" s="24" t="inlineStr">
        <is>
          <t>KRW</t>
        </is>
      </c>
      <c r="Q569" s="24" t="inlineStr">
        <is>
          <t>25</t>
        </is>
      </c>
    </row>
    <row r="570" ht="24" customHeight="1">
      <c r="A570" s="29" t="inlineStr">
        <is>
          <t>OpenDART_fnlttSinglAcntAll</t>
        </is>
      </c>
      <c r="B570" s="29" t="inlineStr">
        <is>
          <t>01365825</t>
        </is>
      </c>
      <c r="C570" s="29" t="inlineStr">
        <is>
          <t>피에스케이</t>
        </is>
      </c>
      <c r="D570" s="29" t="inlineStr">
        <is>
          <t>psk</t>
        </is>
      </c>
      <c r="E570" s="29" t="inlineStr">
        <is>
          <t>319660</t>
        </is>
      </c>
      <c r="F570" s="29" t="inlineStr">
        <is>
          <t>2024</t>
        </is>
      </c>
      <c r="G570" s="29" t="inlineStr">
        <is>
          <t>CFS</t>
        </is>
      </c>
      <c r="H570" s="29" t="inlineStr">
        <is>
          <t>CF</t>
        </is>
      </c>
      <c r="I570" s="29" t="inlineStr">
        <is>
          <t>현금흐름표</t>
        </is>
      </c>
      <c r="J570" s="29" t="inlineStr">
        <is>
          <t>-표준계정코드 미사용-</t>
        </is>
      </c>
      <c r="K570" s="29" t="inlineStr">
        <is>
          <t>상각후원가 측정 금융자산의 취득</t>
        </is>
      </c>
      <c r="L570" s="29" t="inlineStr">
        <is>
          <t>-</t>
        </is>
      </c>
      <c r="M570" s="29" t="inlineStr">
        <is>
          <t>제 6 기</t>
        </is>
      </c>
      <c r="N570" s="29" t="inlineStr">
        <is>
          <t>-192594100000.0</t>
        </is>
      </c>
      <c r="O570" s="29" t="inlineStr">
        <is>
          <t>-125000000000.0</t>
        </is>
      </c>
      <c r="P570" s="29" t="inlineStr">
        <is>
          <t>KRW</t>
        </is>
      </c>
      <c r="Q570" s="29" t="inlineStr">
        <is>
          <t>26</t>
        </is>
      </c>
    </row>
    <row r="571" ht="24" customHeight="1">
      <c r="A571" s="24" t="inlineStr">
        <is>
          <t>OpenDART_fnlttSinglAcntAll</t>
        </is>
      </c>
      <c r="B571" s="24" t="inlineStr">
        <is>
          <t>01365825</t>
        </is>
      </c>
      <c r="C571" s="24" t="inlineStr">
        <is>
          <t>피에스케이</t>
        </is>
      </c>
      <c r="D571" s="24" t="inlineStr">
        <is>
          <t>psk</t>
        </is>
      </c>
      <c r="E571" s="24" t="inlineStr">
        <is>
          <t>319660</t>
        </is>
      </c>
      <c r="F571" s="24" t="inlineStr">
        <is>
          <t>2024</t>
        </is>
      </c>
      <c r="G571" s="24" t="inlineStr">
        <is>
          <t>CFS</t>
        </is>
      </c>
      <c r="H571" s="24" t="inlineStr">
        <is>
          <t>CF</t>
        </is>
      </c>
      <c r="I571" s="24" t="inlineStr">
        <is>
          <t>현금흐름표</t>
        </is>
      </c>
      <c r="J571" s="24" t="inlineStr">
        <is>
          <t>-표준계정코드 미사용-</t>
        </is>
      </c>
      <c r="K571" s="24" t="inlineStr">
        <is>
          <t>상각후원가 측정 금융자산의 처분</t>
        </is>
      </c>
      <c r="L571" s="24" t="inlineStr">
        <is>
          <t>-</t>
        </is>
      </c>
      <c r="M571" s="24" t="inlineStr">
        <is>
          <t>제 6 기</t>
        </is>
      </c>
      <c r="N571" s="24" t="inlineStr">
        <is>
          <t>217594100000.0</t>
        </is>
      </c>
      <c r="O571" s="24" t="inlineStr">
        <is>
          <t>135895304112.0</t>
        </is>
      </c>
      <c r="P571" s="24" t="inlineStr">
        <is>
          <t>KRW</t>
        </is>
      </c>
      <c r="Q571" s="24" t="inlineStr">
        <is>
          <t>27</t>
        </is>
      </c>
    </row>
    <row r="572" ht="24" customHeight="1">
      <c r="A572" s="29" t="inlineStr">
        <is>
          <t>OpenDART_fnlttSinglAcntAll</t>
        </is>
      </c>
      <c r="B572" s="29" t="inlineStr">
        <is>
          <t>01365825</t>
        </is>
      </c>
      <c r="C572" s="29" t="inlineStr">
        <is>
          <t>피에스케이</t>
        </is>
      </c>
      <c r="D572" s="29" t="inlineStr">
        <is>
          <t>psk</t>
        </is>
      </c>
      <c r="E572" s="29" t="inlineStr">
        <is>
          <t>319660</t>
        </is>
      </c>
      <c r="F572" s="29" t="inlineStr">
        <is>
          <t>2024</t>
        </is>
      </c>
      <c r="G572" s="29" t="inlineStr">
        <is>
          <t>CFS</t>
        </is>
      </c>
      <c r="H572" s="29" t="inlineStr">
        <is>
          <t>CF</t>
        </is>
      </c>
      <c r="I572" s="29" t="inlineStr">
        <is>
          <t>현금흐름표</t>
        </is>
      </c>
      <c r="J572" s="29" t="inlineStr">
        <is>
          <t>ifrs-full_AdditionsToRightofuseAssets</t>
        </is>
      </c>
      <c r="K572" s="29" t="inlineStr">
        <is>
          <t>사용권자산의 추가</t>
        </is>
      </c>
      <c r="L572" s="29" t="inlineStr">
        <is>
          <t>-</t>
        </is>
      </c>
      <c r="M572" s="29" t="inlineStr">
        <is>
          <t>제 6 기</t>
        </is>
      </c>
      <c r="N572" s="29" t="inlineStr">
        <is>
          <t>-1314913493.0</t>
        </is>
      </c>
      <c r="O572" s="29" t="inlineStr">
        <is>
          <t>해당 없음</t>
        </is>
      </c>
      <c r="P572" s="29" t="inlineStr">
        <is>
          <t>KRW</t>
        </is>
      </c>
      <c r="Q572" s="29" t="inlineStr">
        <is>
          <t>28</t>
        </is>
      </c>
    </row>
    <row r="573" ht="24" customHeight="1">
      <c r="A573" s="24" t="inlineStr">
        <is>
          <t>OpenDART_fnlttSinglAcntAll</t>
        </is>
      </c>
      <c r="B573" s="24" t="inlineStr">
        <is>
          <t>01365825</t>
        </is>
      </c>
      <c r="C573" s="24" t="inlineStr">
        <is>
          <t>피에스케이</t>
        </is>
      </c>
      <c r="D573" s="24" t="inlineStr">
        <is>
          <t>psk</t>
        </is>
      </c>
      <c r="E573" s="24" t="inlineStr">
        <is>
          <t>319660</t>
        </is>
      </c>
      <c r="F573" s="24" t="inlineStr">
        <is>
          <t>2024</t>
        </is>
      </c>
      <c r="G573" s="24" t="inlineStr">
        <is>
          <t>CFS</t>
        </is>
      </c>
      <c r="H573" s="24" t="inlineStr">
        <is>
          <t>CF</t>
        </is>
      </c>
      <c r="I573" s="24" t="inlineStr">
        <is>
          <t>현금흐름표</t>
        </is>
      </c>
      <c r="J573" s="24" t="inlineStr">
        <is>
          <t>ifrs-full_CashPaymentsForFutureContractsForwardContractsOptionContractsAndSwapContractsClassifiedAsInvestingActivities</t>
        </is>
      </c>
      <c r="K573" s="24" t="inlineStr">
        <is>
          <t>선물계약, 선도계약, 옵션계약, 스왑계약에 따른 현금지급</t>
        </is>
      </c>
      <c r="L573" s="24" t="inlineStr">
        <is>
          <t>-</t>
        </is>
      </c>
      <c r="M573" s="24" t="inlineStr">
        <is>
          <t>제 6 기</t>
        </is>
      </c>
      <c r="N573" s="24" t="inlineStr">
        <is>
          <t>해당 없음</t>
        </is>
      </c>
      <c r="O573" s="24" t="inlineStr">
        <is>
          <t>해당 없음</t>
        </is>
      </c>
      <c r="P573" s="24" t="inlineStr">
        <is>
          <t>KRW</t>
        </is>
      </c>
      <c r="Q573" s="24" t="inlineStr">
        <is>
          <t>29</t>
        </is>
      </c>
    </row>
    <row r="574" ht="24" customHeight="1">
      <c r="A574" s="29" t="inlineStr">
        <is>
          <t>OpenDART_fnlttSinglAcntAll</t>
        </is>
      </c>
      <c r="B574" s="29" t="inlineStr">
        <is>
          <t>01365825</t>
        </is>
      </c>
      <c r="C574" s="29" t="inlineStr">
        <is>
          <t>피에스케이</t>
        </is>
      </c>
      <c r="D574" s="29" t="inlineStr">
        <is>
          <t>psk</t>
        </is>
      </c>
      <c r="E574" s="29" t="inlineStr">
        <is>
          <t>319660</t>
        </is>
      </c>
      <c r="F574" s="29" t="inlineStr">
        <is>
          <t>2024</t>
        </is>
      </c>
      <c r="G574" s="29" t="inlineStr">
        <is>
          <t>CFS</t>
        </is>
      </c>
      <c r="H574" s="29" t="inlineStr">
        <is>
          <t>CF</t>
        </is>
      </c>
      <c r="I574" s="29" t="inlineStr">
        <is>
          <t>현금흐름표</t>
        </is>
      </c>
      <c r="J574" s="29" t="inlineStr">
        <is>
          <t>ifrs-full_ProceedsFromSalesOfPropertyPlantAndEquipmentClassifiedAsInvestingActivities</t>
        </is>
      </c>
      <c r="K574" s="29" t="inlineStr">
        <is>
          <t>유형자산의 처분</t>
        </is>
      </c>
      <c r="L574" s="29" t="inlineStr">
        <is>
          <t>-</t>
        </is>
      </c>
      <c r="M574" s="29" t="inlineStr">
        <is>
          <t>제 6 기</t>
        </is>
      </c>
      <c r="N574" s="29" t="inlineStr">
        <is>
          <t>35327723.0</t>
        </is>
      </c>
      <c r="O574" s="29" t="inlineStr">
        <is>
          <t>39423243.0</t>
        </is>
      </c>
      <c r="P574" s="29" t="inlineStr">
        <is>
          <t>KRW</t>
        </is>
      </c>
      <c r="Q574" s="29" t="inlineStr">
        <is>
          <t>30</t>
        </is>
      </c>
    </row>
    <row r="575" ht="24" customHeight="1">
      <c r="A575" s="24" t="inlineStr">
        <is>
          <t>OpenDART_fnlttSinglAcntAll</t>
        </is>
      </c>
      <c r="B575" s="24" t="inlineStr">
        <is>
          <t>01365825</t>
        </is>
      </c>
      <c r="C575" s="24" t="inlineStr">
        <is>
          <t>피에스케이</t>
        </is>
      </c>
      <c r="D575" s="24" t="inlineStr">
        <is>
          <t>psk</t>
        </is>
      </c>
      <c r="E575" s="24" t="inlineStr">
        <is>
          <t>319660</t>
        </is>
      </c>
      <c r="F575" s="24" t="inlineStr">
        <is>
          <t>2024</t>
        </is>
      </c>
      <c r="G575" s="24" t="inlineStr">
        <is>
          <t>CFS</t>
        </is>
      </c>
      <c r="H575" s="24" t="inlineStr">
        <is>
          <t>CF</t>
        </is>
      </c>
      <c r="I575" s="24" t="inlineStr">
        <is>
          <t>현금흐름표</t>
        </is>
      </c>
      <c r="J575" s="24" t="inlineStr">
        <is>
          <t>ifrs-full_PurchaseOfIntangibleAssetsClassifiedAsInvestingActivities</t>
        </is>
      </c>
      <c r="K575" s="24" t="inlineStr">
        <is>
          <t>무형자산의 취득</t>
        </is>
      </c>
      <c r="L575" s="24" t="inlineStr">
        <is>
          <t>-</t>
        </is>
      </c>
      <c r="M575" s="24" t="inlineStr">
        <is>
          <t>제 6 기</t>
        </is>
      </c>
      <c r="N575" s="24" t="inlineStr">
        <is>
          <t>122720000.0</t>
        </is>
      </c>
      <c r="O575" s="24" t="inlineStr">
        <is>
          <t>142483000.0</t>
        </is>
      </c>
      <c r="P575" s="24" t="inlineStr">
        <is>
          <t>KRW</t>
        </is>
      </c>
      <c r="Q575" s="24" t="inlineStr">
        <is>
          <t>31</t>
        </is>
      </c>
    </row>
    <row r="576" ht="24" customHeight="1">
      <c r="A576" s="29" t="inlineStr">
        <is>
          <t>OpenDART_fnlttSinglAcntAll</t>
        </is>
      </c>
      <c r="B576" s="29" t="inlineStr">
        <is>
          <t>01365825</t>
        </is>
      </c>
      <c r="C576" s="29" t="inlineStr">
        <is>
          <t>피에스케이</t>
        </is>
      </c>
      <c r="D576" s="29" t="inlineStr">
        <is>
          <t>psk</t>
        </is>
      </c>
      <c r="E576" s="29" t="inlineStr">
        <is>
          <t>319660</t>
        </is>
      </c>
      <c r="F576" s="29" t="inlineStr">
        <is>
          <t>2024</t>
        </is>
      </c>
      <c r="G576" s="29" t="inlineStr">
        <is>
          <t>CFS</t>
        </is>
      </c>
      <c r="H576" s="29" t="inlineStr">
        <is>
          <t>CF</t>
        </is>
      </c>
      <c r="I576" s="29" t="inlineStr">
        <is>
          <t>현금흐름표</t>
        </is>
      </c>
      <c r="J576" s="29" t="inlineStr">
        <is>
          <t>ifrs-full_PurchaseOfPropertyPlantAndEquipmentClassifiedAsInvestingActivities</t>
        </is>
      </c>
      <c r="K576" s="29" t="inlineStr">
        <is>
          <t>유형자산의 취득</t>
        </is>
      </c>
      <c r="L576" s="29" t="inlineStr">
        <is>
          <t>-</t>
        </is>
      </c>
      <c r="M576" s="29" t="inlineStr">
        <is>
          <t>제 6 기</t>
        </is>
      </c>
      <c r="N576" s="29" t="inlineStr">
        <is>
          <t>27192602203.0</t>
        </is>
      </c>
      <c r="O576" s="29" t="inlineStr">
        <is>
          <t>25981919786.0</t>
        </is>
      </c>
      <c r="P576" s="29" t="inlineStr">
        <is>
          <t>KRW</t>
        </is>
      </c>
      <c r="Q576" s="29" t="inlineStr">
        <is>
          <t>32</t>
        </is>
      </c>
    </row>
    <row r="577" ht="24" customHeight="1">
      <c r="A577" s="24" t="inlineStr">
        <is>
          <t>OpenDART_fnlttSinglAcntAll</t>
        </is>
      </c>
      <c r="B577" s="24" t="inlineStr">
        <is>
          <t>01365825</t>
        </is>
      </c>
      <c r="C577" s="24" t="inlineStr">
        <is>
          <t>피에스케이</t>
        </is>
      </c>
      <c r="D577" s="24" t="inlineStr">
        <is>
          <t>psk</t>
        </is>
      </c>
      <c r="E577" s="24" t="inlineStr">
        <is>
          <t>319660</t>
        </is>
      </c>
      <c r="F577" s="24" t="inlineStr">
        <is>
          <t>2024</t>
        </is>
      </c>
      <c r="G577" s="24" t="inlineStr">
        <is>
          <t>CFS</t>
        </is>
      </c>
      <c r="H577" s="24" t="inlineStr">
        <is>
          <t>CF</t>
        </is>
      </c>
      <c r="I577" s="24" t="inlineStr">
        <is>
          <t>현금흐름표</t>
        </is>
      </c>
      <c r="J577" s="24" t="inlineStr">
        <is>
          <t>ifrs-full_CashFlowsFromUsedInOperatingActivities</t>
        </is>
      </c>
      <c r="K577" s="24" t="inlineStr">
        <is>
          <t>영업활동현금흐름</t>
        </is>
      </c>
      <c r="L577" s="24" t="inlineStr">
        <is>
          <t>-</t>
        </is>
      </c>
      <c r="M577" s="24" t="inlineStr">
        <is>
          <t>제 6 기</t>
        </is>
      </c>
      <c r="N577" s="24" t="inlineStr">
        <is>
          <t>67241427193.0</t>
        </is>
      </c>
      <c r="O577" s="24" t="inlineStr">
        <is>
          <t>50281470015.0</t>
        </is>
      </c>
      <c r="P577" s="24" t="inlineStr">
        <is>
          <t>KRW</t>
        </is>
      </c>
      <c r="Q577" s="24" t="inlineStr">
        <is>
          <t>33</t>
        </is>
      </c>
    </row>
    <row r="578" ht="24" customHeight="1">
      <c r="A578" s="29" t="inlineStr">
        <is>
          <t>OpenDART_fnlttSinglAcntAll</t>
        </is>
      </c>
      <c r="B578" s="29" t="inlineStr">
        <is>
          <t>01365825</t>
        </is>
      </c>
      <c r="C578" s="29" t="inlineStr">
        <is>
          <t>피에스케이</t>
        </is>
      </c>
      <c r="D578" s="29" t="inlineStr">
        <is>
          <t>psk</t>
        </is>
      </c>
      <c r="E578" s="29" t="inlineStr">
        <is>
          <t>319660</t>
        </is>
      </c>
      <c r="F578" s="29" t="inlineStr">
        <is>
          <t>2024</t>
        </is>
      </c>
      <c r="G578" s="29" t="inlineStr">
        <is>
          <t>CFS</t>
        </is>
      </c>
      <c r="H578" s="29" t="inlineStr">
        <is>
          <t>CF</t>
        </is>
      </c>
      <c r="I578" s="29" t="inlineStr">
        <is>
          <t>현금흐름표</t>
        </is>
      </c>
      <c r="J578" s="29" t="inlineStr">
        <is>
          <t>ifrs-full_AdjustmentsForReconcileProfitLoss</t>
        </is>
      </c>
      <c r="K578" s="29" t="inlineStr">
        <is>
          <t>당기순이익조정을 위한 가감</t>
        </is>
      </c>
      <c r="L578" s="29" t="inlineStr">
        <is>
          <t>-</t>
        </is>
      </c>
      <c r="M578" s="29" t="inlineStr">
        <is>
          <t>제 6 기</t>
        </is>
      </c>
      <c r="N578" s="29" t="inlineStr">
        <is>
          <t>-5928205196.0</t>
        </is>
      </c>
      <c r="O578" s="29" t="inlineStr">
        <is>
          <t>8277120478.0</t>
        </is>
      </c>
      <c r="P578" s="29" t="inlineStr">
        <is>
          <t>KRW</t>
        </is>
      </c>
      <c r="Q578" s="29" t="inlineStr">
        <is>
          <t>34</t>
        </is>
      </c>
    </row>
    <row r="579" ht="24" customHeight="1">
      <c r="A579" s="24" t="inlineStr">
        <is>
          <t>OpenDART_fnlttSinglAcntAll</t>
        </is>
      </c>
      <c r="B579" s="24" t="inlineStr">
        <is>
          <t>01365825</t>
        </is>
      </c>
      <c r="C579" s="24" t="inlineStr">
        <is>
          <t>피에스케이</t>
        </is>
      </c>
      <c r="D579" s="24" t="inlineStr">
        <is>
          <t>psk</t>
        </is>
      </c>
      <c r="E579" s="24" t="inlineStr">
        <is>
          <t>319660</t>
        </is>
      </c>
      <c r="F579" s="24" t="inlineStr">
        <is>
          <t>2024</t>
        </is>
      </c>
      <c r="G579" s="24" t="inlineStr">
        <is>
          <t>CFS</t>
        </is>
      </c>
      <c r="H579" s="24" t="inlineStr">
        <is>
          <t>CF</t>
        </is>
      </c>
      <c r="I579" s="24" t="inlineStr">
        <is>
          <t>현금흐름표</t>
        </is>
      </c>
      <c r="J579" s="24" t="inlineStr">
        <is>
          <t>ifrs-full_IncomeTaxesPaidRefundClassifiedAsOperatingActivities</t>
        </is>
      </c>
      <c r="K579" s="24" t="inlineStr">
        <is>
          <t>법인세환급(납부)</t>
        </is>
      </c>
      <c r="L579" s="24" t="inlineStr">
        <is>
          <t>-</t>
        </is>
      </c>
      <c r="M579" s="24" t="inlineStr">
        <is>
          <t>제 6 기</t>
        </is>
      </c>
      <c r="N579" s="24" t="inlineStr">
        <is>
          <t>14629242620.0</t>
        </is>
      </c>
      <c r="O579" s="24" t="inlineStr">
        <is>
          <t>17978533764.0</t>
        </is>
      </c>
      <c r="P579" s="24" t="inlineStr">
        <is>
          <t>KRW</t>
        </is>
      </c>
      <c r="Q579" s="24" t="inlineStr">
        <is>
          <t>35</t>
        </is>
      </c>
    </row>
    <row r="580" ht="24" customHeight="1">
      <c r="A580" s="29" t="inlineStr">
        <is>
          <t>OpenDART_fnlttSinglAcntAll</t>
        </is>
      </c>
      <c r="B580" s="29" t="inlineStr">
        <is>
          <t>01365825</t>
        </is>
      </c>
      <c r="C580" s="29" t="inlineStr">
        <is>
          <t>피에스케이</t>
        </is>
      </c>
      <c r="D580" s="29" t="inlineStr">
        <is>
          <t>psk</t>
        </is>
      </c>
      <c r="E580" s="29" t="inlineStr">
        <is>
          <t>319660</t>
        </is>
      </c>
      <c r="F580" s="29" t="inlineStr">
        <is>
          <t>2024</t>
        </is>
      </c>
      <c r="G580" s="29" t="inlineStr">
        <is>
          <t>CFS</t>
        </is>
      </c>
      <c r="H580" s="29" t="inlineStr">
        <is>
          <t>CF</t>
        </is>
      </c>
      <c r="I580" s="29" t="inlineStr">
        <is>
          <t>현금흐름표</t>
        </is>
      </c>
      <c r="J580" s="29" t="inlineStr">
        <is>
          <t>ifrs-full_InterestPaidClassifiedAsOperatingActivities</t>
        </is>
      </c>
      <c r="K580" s="29" t="inlineStr">
        <is>
          <t>이자지급(영업)</t>
        </is>
      </c>
      <c r="L580" s="29" t="inlineStr">
        <is>
          <t>-</t>
        </is>
      </c>
      <c r="M580" s="29" t="inlineStr">
        <is>
          <t>제 6 기</t>
        </is>
      </c>
      <c r="N580" s="29" t="inlineStr">
        <is>
          <t>671536701.0</t>
        </is>
      </c>
      <c r="O580" s="29" t="inlineStr">
        <is>
          <t>518731481.0</t>
        </is>
      </c>
      <c r="P580" s="29" t="inlineStr">
        <is>
          <t>KRW</t>
        </is>
      </c>
      <c r="Q580" s="29" t="inlineStr">
        <is>
          <t>36</t>
        </is>
      </c>
    </row>
    <row r="581" ht="24" customHeight="1">
      <c r="A581" s="24" t="inlineStr">
        <is>
          <t>OpenDART_fnlttSinglAcntAll</t>
        </is>
      </c>
      <c r="B581" s="24" t="inlineStr">
        <is>
          <t>01365825</t>
        </is>
      </c>
      <c r="C581" s="24" t="inlineStr">
        <is>
          <t>피에스케이</t>
        </is>
      </c>
      <c r="D581" s="24" t="inlineStr">
        <is>
          <t>psk</t>
        </is>
      </c>
      <c r="E581" s="24" t="inlineStr">
        <is>
          <t>319660</t>
        </is>
      </c>
      <c r="F581" s="24" t="inlineStr">
        <is>
          <t>2024</t>
        </is>
      </c>
      <c r="G581" s="24" t="inlineStr">
        <is>
          <t>CFS</t>
        </is>
      </c>
      <c r="H581" s="24" t="inlineStr">
        <is>
          <t>CF</t>
        </is>
      </c>
      <c r="I581" s="24" t="inlineStr">
        <is>
          <t>현금흐름표</t>
        </is>
      </c>
      <c r="J581" s="24" t="inlineStr">
        <is>
          <t>ifrs-full_InterestReceivedClassifiedAsOperatingActivities</t>
        </is>
      </c>
      <c r="K581" s="24" t="inlineStr">
        <is>
          <t>이자수취</t>
        </is>
      </c>
      <c r="L581" s="24" t="inlineStr">
        <is>
          <t>-</t>
        </is>
      </c>
      <c r="M581" s="24" t="inlineStr">
        <is>
          <t>제 6 기</t>
        </is>
      </c>
      <c r="N581" s="24" t="inlineStr">
        <is>
          <t>9342195425.0</t>
        </is>
      </c>
      <c r="O581" s="24" t="inlineStr">
        <is>
          <t>7981426580.0</t>
        </is>
      </c>
      <c r="P581" s="24" t="inlineStr">
        <is>
          <t>KRW</t>
        </is>
      </c>
      <c r="Q581" s="24" t="inlineStr">
        <is>
          <t>37</t>
        </is>
      </c>
    </row>
    <row r="582" ht="24" customHeight="1">
      <c r="A582" s="29" t="inlineStr">
        <is>
          <t>OpenDART_fnlttSinglAcntAll</t>
        </is>
      </c>
      <c r="B582" s="29" t="inlineStr">
        <is>
          <t>01365825</t>
        </is>
      </c>
      <c r="C582" s="29" t="inlineStr">
        <is>
          <t>피에스케이</t>
        </is>
      </c>
      <c r="D582" s="29" t="inlineStr">
        <is>
          <t>psk</t>
        </is>
      </c>
      <c r="E582" s="29" t="inlineStr">
        <is>
          <t>319660</t>
        </is>
      </c>
      <c r="F582" s="29" t="inlineStr">
        <is>
          <t>2024</t>
        </is>
      </c>
      <c r="G582" s="29" t="inlineStr">
        <is>
          <t>CFS</t>
        </is>
      </c>
      <c r="H582" s="29" t="inlineStr">
        <is>
          <t>CF</t>
        </is>
      </c>
      <c r="I582" s="29" t="inlineStr">
        <is>
          <t>현금흐름표</t>
        </is>
      </c>
      <c r="J582" s="29" t="inlineStr">
        <is>
          <t>ifrs-full_ProfitLoss</t>
        </is>
      </c>
      <c r="K582" s="29" t="inlineStr">
        <is>
          <t>당기순이익(손실)</t>
        </is>
      </c>
      <c r="L582" s="29" t="inlineStr">
        <is>
          <t>-</t>
        </is>
      </c>
      <c r="M582" s="29" t="inlineStr">
        <is>
          <t>제 6 기</t>
        </is>
      </c>
      <c r="N582" s="29" t="inlineStr">
        <is>
          <t>79128216285.0</t>
        </is>
      </c>
      <c r="O582" s="29" t="inlineStr">
        <is>
          <t>52520188202.0</t>
        </is>
      </c>
      <c r="P582" s="29" t="inlineStr">
        <is>
          <t>KRW</t>
        </is>
      </c>
      <c r="Q582" s="29" t="inlineStr">
        <is>
          <t>38</t>
        </is>
      </c>
    </row>
    <row r="583" ht="24" customHeight="1">
      <c r="A583" s="24" t="inlineStr">
        <is>
          <t>OpenDART_fnlttSinglAcntAll</t>
        </is>
      </c>
      <c r="B583" s="24" t="inlineStr">
        <is>
          <t>01365825</t>
        </is>
      </c>
      <c r="C583" s="24" t="inlineStr">
        <is>
          <t>피에스케이</t>
        </is>
      </c>
      <c r="D583" s="24" t="inlineStr">
        <is>
          <t>psk</t>
        </is>
      </c>
      <c r="E583" s="24" t="inlineStr">
        <is>
          <t>319660</t>
        </is>
      </c>
      <c r="F583" s="24" t="inlineStr">
        <is>
          <t>2024</t>
        </is>
      </c>
      <c r="G583" s="24" t="inlineStr">
        <is>
          <t>CFS</t>
        </is>
      </c>
      <c r="H583" s="24" t="inlineStr">
        <is>
          <t>CF</t>
        </is>
      </c>
      <c r="I583" s="24" t="inlineStr">
        <is>
          <t>현금흐름표</t>
        </is>
      </c>
      <c r="J583" s="24" t="inlineStr">
        <is>
          <t>ifrs-full_EffectOfExchangeRateChangesOnCashAndCashEquivalents</t>
        </is>
      </c>
      <c r="K583" s="24" t="inlineStr">
        <is>
          <t>현금및현금성자산에 대한 환율변동효과</t>
        </is>
      </c>
      <c r="L583" s="24" t="inlineStr">
        <is>
          <t>-</t>
        </is>
      </c>
      <c r="M583" s="24" t="inlineStr">
        <is>
          <t>제 6 기</t>
        </is>
      </c>
      <c r="N583" s="24" t="inlineStr">
        <is>
          <t>6289079791.0</t>
        </is>
      </c>
      <c r="O583" s="24" t="inlineStr">
        <is>
          <t>-825105902.0</t>
        </is>
      </c>
      <c r="P583" s="24" t="inlineStr">
        <is>
          <t>KRW</t>
        </is>
      </c>
      <c r="Q583" s="24" t="inlineStr">
        <is>
          <t>39</t>
        </is>
      </c>
    </row>
    <row r="584" ht="24" customHeight="1">
      <c r="A584" s="29" t="inlineStr">
        <is>
          <t>OpenDART_fnlttSinglAcntAll</t>
        </is>
      </c>
      <c r="B584" s="29" t="inlineStr">
        <is>
          <t>01365825</t>
        </is>
      </c>
      <c r="C584" s="29" t="inlineStr">
        <is>
          <t>피에스케이</t>
        </is>
      </c>
      <c r="D584" s="29" t="inlineStr">
        <is>
          <t>psk</t>
        </is>
      </c>
      <c r="E584" s="29" t="inlineStr">
        <is>
          <t>319660</t>
        </is>
      </c>
      <c r="F584" s="29" t="inlineStr">
        <is>
          <t>2024</t>
        </is>
      </c>
      <c r="G584" s="29" t="inlineStr">
        <is>
          <t>CFS</t>
        </is>
      </c>
      <c r="H584" s="29" t="inlineStr">
        <is>
          <t>CF</t>
        </is>
      </c>
      <c r="I584" s="29" t="inlineStr">
        <is>
          <t>현금흐름표</t>
        </is>
      </c>
      <c r="J584" s="29" t="inlineStr">
        <is>
          <t>ifrs-full_IncreaseDecreaseInCashAndCashEquivalents</t>
        </is>
      </c>
      <c r="K584" s="29" t="inlineStr">
        <is>
          <t>현금및현금성자산의순증가(감소)</t>
        </is>
      </c>
      <c r="L584" s="29" t="inlineStr">
        <is>
          <t>-</t>
        </is>
      </c>
      <c r="M584" s="29" t="inlineStr">
        <is>
          <t>제 6 기</t>
        </is>
      </c>
      <c r="N584" s="29" t="inlineStr">
        <is>
          <t>29856565683.0</t>
        </is>
      </c>
      <c r="O584" s="29" t="inlineStr">
        <is>
          <t>8952580793.0</t>
        </is>
      </c>
      <c r="P584" s="29" t="inlineStr">
        <is>
          <t>KRW</t>
        </is>
      </c>
      <c r="Q584" s="29" t="inlineStr">
        <is>
          <t>40</t>
        </is>
      </c>
    </row>
    <row r="585" ht="24" customHeight="1">
      <c r="A585" s="24" t="inlineStr">
        <is>
          <t>OpenDART_fnlttSinglAcntAll</t>
        </is>
      </c>
      <c r="B585" s="24" t="inlineStr">
        <is>
          <t>01365825</t>
        </is>
      </c>
      <c r="C585" s="24" t="inlineStr">
        <is>
          <t>피에스케이</t>
        </is>
      </c>
      <c r="D585" s="24" t="inlineStr">
        <is>
          <t>psk</t>
        </is>
      </c>
      <c r="E585" s="24" t="inlineStr">
        <is>
          <t>319660</t>
        </is>
      </c>
      <c r="F585" s="24" t="inlineStr">
        <is>
          <t>2024</t>
        </is>
      </c>
      <c r="G585" s="24" t="inlineStr">
        <is>
          <t>CFS</t>
        </is>
      </c>
      <c r="H585" s="24" t="inlineStr">
        <is>
          <t>CF</t>
        </is>
      </c>
      <c r="I585" s="24" t="inlineStr">
        <is>
          <t>현금흐름표</t>
        </is>
      </c>
      <c r="J585" s="24" t="inlineStr">
        <is>
          <t>ifrs-full_IncreaseDecreaseInCashAndCashEquivalentsBeforeEffectOfExchangeRateChanges</t>
        </is>
      </c>
      <c r="K585" s="24" t="inlineStr">
        <is>
          <t>환율변동효과 반영전 현금및현금성자산의 순증가(감소)</t>
        </is>
      </c>
      <c r="L585" s="24" t="inlineStr">
        <is>
          <t>-</t>
        </is>
      </c>
      <c r="M585" s="24" t="inlineStr">
        <is>
          <t>제 6 기</t>
        </is>
      </c>
      <c r="N585" s="24" t="inlineStr">
        <is>
          <t>23567485892.0</t>
        </is>
      </c>
      <c r="O585" s="24" t="inlineStr">
        <is>
          <t>9777686695.0</t>
        </is>
      </c>
      <c r="P585" s="24" t="inlineStr">
        <is>
          <t>KRW</t>
        </is>
      </c>
      <c r="Q585" s="24" t="inlineStr">
        <is>
          <t>41</t>
        </is>
      </c>
    </row>
    <row r="586" ht="24" customHeight="1">
      <c r="A586" s="29" t="inlineStr">
        <is>
          <t>OpenDART_fnlttSinglAcntAll</t>
        </is>
      </c>
      <c r="B586" s="29" t="inlineStr">
        <is>
          <t>01365825</t>
        </is>
      </c>
      <c r="C586" s="29" t="inlineStr">
        <is>
          <t>피에스케이</t>
        </is>
      </c>
      <c r="D586" s="29" t="inlineStr">
        <is>
          <t>psk</t>
        </is>
      </c>
      <c r="E586" s="29" t="inlineStr">
        <is>
          <t>319660</t>
        </is>
      </c>
      <c r="F586" s="29" t="inlineStr">
        <is>
          <t>2024</t>
        </is>
      </c>
      <c r="G586" s="29" t="inlineStr">
        <is>
          <t>CFS</t>
        </is>
      </c>
      <c r="H586" s="29" t="inlineStr">
        <is>
          <t>SCE</t>
        </is>
      </c>
      <c r="I586" s="29" t="inlineStr">
        <is>
          <t>자본변동표</t>
        </is>
      </c>
      <c r="J586" s="29" t="inlineStr">
        <is>
          <t>dart_BonusIssue</t>
        </is>
      </c>
      <c r="K586" s="29" t="inlineStr">
        <is>
          <t>무상증자</t>
        </is>
      </c>
      <c r="L586" s="29" t="inlineStr">
        <is>
          <t>연결재무제표 [member]</t>
        </is>
      </c>
      <c r="M586" s="29" t="inlineStr">
        <is>
          <t>제 6 기</t>
        </is>
      </c>
      <c r="N586" s="29" t="inlineStr">
        <is>
          <t>해당 없음</t>
        </is>
      </c>
      <c r="O586" s="29" t="inlineStr">
        <is>
          <t>해당 없음</t>
        </is>
      </c>
      <c r="P586" s="29" t="inlineStr">
        <is>
          <t>KRW</t>
        </is>
      </c>
      <c r="Q586" s="29" t="inlineStr">
        <is>
          <t>3</t>
        </is>
      </c>
    </row>
    <row r="587" ht="24" customHeight="1">
      <c r="A587" s="24" t="inlineStr">
        <is>
          <t>OpenDART_fnlttSinglAcntAll</t>
        </is>
      </c>
      <c r="B587" s="24" t="inlineStr">
        <is>
          <t>01365825</t>
        </is>
      </c>
      <c r="C587" s="24" t="inlineStr">
        <is>
          <t>피에스케이</t>
        </is>
      </c>
      <c r="D587" s="24" t="inlineStr">
        <is>
          <t>psk</t>
        </is>
      </c>
      <c r="E587" s="24" t="inlineStr">
        <is>
          <t>319660</t>
        </is>
      </c>
      <c r="F587" s="24" t="inlineStr">
        <is>
          <t>2024</t>
        </is>
      </c>
      <c r="G587" s="24" t="inlineStr">
        <is>
          <t>CFS</t>
        </is>
      </c>
      <c r="H587" s="24" t="inlineStr">
        <is>
          <t>SCE</t>
        </is>
      </c>
      <c r="I587" s="24" t="inlineStr">
        <is>
          <t>자본변동표</t>
        </is>
      </c>
      <c r="J587" s="24" t="inlineStr">
        <is>
          <t>dart_BonusIssue</t>
        </is>
      </c>
      <c r="K587" s="24" t="inlineStr">
        <is>
          <t>무상증자</t>
        </is>
      </c>
      <c r="L587" s="24" t="inlineStr">
        <is>
          <t>자본 [구성요소]|지배기업의 소유주에게 귀속되는 지분 [구성요소]</t>
        </is>
      </c>
      <c r="M587" s="24" t="inlineStr">
        <is>
          <t>제 6 기</t>
        </is>
      </c>
      <c r="N587" s="24" t="inlineStr">
        <is>
          <t>해당 없음</t>
        </is>
      </c>
      <c r="O587" s="24" t="inlineStr">
        <is>
          <t>해당 없음</t>
        </is>
      </c>
      <c r="P587" s="24" t="inlineStr">
        <is>
          <t>KRW</t>
        </is>
      </c>
      <c r="Q587" s="24" t="inlineStr">
        <is>
          <t>3</t>
        </is>
      </c>
    </row>
    <row r="588" ht="24" customHeight="1">
      <c r="A588" s="29" t="inlineStr">
        <is>
          <t>OpenDART_fnlttSinglAcntAll</t>
        </is>
      </c>
      <c r="B588" s="29" t="inlineStr">
        <is>
          <t>01365825</t>
        </is>
      </c>
      <c r="C588" s="29" t="inlineStr">
        <is>
          <t>피에스케이</t>
        </is>
      </c>
      <c r="D588" s="29" t="inlineStr">
        <is>
          <t>psk</t>
        </is>
      </c>
      <c r="E588" s="29" t="inlineStr">
        <is>
          <t>319660</t>
        </is>
      </c>
      <c r="F588" s="29" t="inlineStr">
        <is>
          <t>2024</t>
        </is>
      </c>
      <c r="G588" s="29" t="inlineStr">
        <is>
          <t>CFS</t>
        </is>
      </c>
      <c r="H588" s="29" t="inlineStr">
        <is>
          <t>SCE</t>
        </is>
      </c>
      <c r="I588" s="29" t="inlineStr">
        <is>
          <t>자본변동표</t>
        </is>
      </c>
      <c r="J588" s="29" t="inlineStr">
        <is>
          <t>dart_BonusIssue</t>
        </is>
      </c>
      <c r="K588" s="29" t="inlineStr">
        <is>
          <t>무상증자</t>
        </is>
      </c>
      <c r="L588" s="29" t="inlineStr">
        <is>
          <t>자본 [구성요소]|지배기업의 소유주에게 귀속되는 지분 [구성요소]|기타자본구성요소 [구성요소]</t>
        </is>
      </c>
      <c r="M588" s="29" t="inlineStr">
        <is>
          <t>제 6 기</t>
        </is>
      </c>
      <c r="N588" s="29" t="inlineStr">
        <is>
          <t>해당 없음</t>
        </is>
      </c>
      <c r="O588" s="29" t="inlineStr">
        <is>
          <t>해당 없음</t>
        </is>
      </c>
      <c r="P588" s="29" t="inlineStr">
        <is>
          <t>KRW</t>
        </is>
      </c>
      <c r="Q588" s="29" t="inlineStr">
        <is>
          <t>3</t>
        </is>
      </c>
    </row>
    <row r="589" ht="24" customHeight="1">
      <c r="A589" s="24" t="inlineStr">
        <is>
          <t>OpenDART_fnlttSinglAcntAll</t>
        </is>
      </c>
      <c r="B589" s="24" t="inlineStr">
        <is>
          <t>01365825</t>
        </is>
      </c>
      <c r="C589" s="24" t="inlineStr">
        <is>
          <t>피에스케이</t>
        </is>
      </c>
      <c r="D589" s="24" t="inlineStr">
        <is>
          <t>psk</t>
        </is>
      </c>
      <c r="E589" s="24" t="inlineStr">
        <is>
          <t>319660</t>
        </is>
      </c>
      <c r="F589" s="24" t="inlineStr">
        <is>
          <t>2024</t>
        </is>
      </c>
      <c r="G589" s="24" t="inlineStr">
        <is>
          <t>CFS</t>
        </is>
      </c>
      <c r="H589" s="24" t="inlineStr">
        <is>
          <t>SCE</t>
        </is>
      </c>
      <c r="I589" s="24" t="inlineStr">
        <is>
          <t>자본변동표</t>
        </is>
      </c>
      <c r="J589" s="24" t="inlineStr">
        <is>
          <t>dart_BonusIssue</t>
        </is>
      </c>
      <c r="K589" s="24" t="inlineStr">
        <is>
          <t>무상증자</t>
        </is>
      </c>
      <c r="L589" s="24" t="inlineStr">
        <is>
          <t>자본 [구성요소]|지배기업의 소유주에게 귀속되는 지분 [구성요소]|이익잉여금 [구성요소]</t>
        </is>
      </c>
      <c r="M589" s="24" t="inlineStr">
        <is>
          <t>제 6 기</t>
        </is>
      </c>
      <c r="N589" s="24" t="inlineStr">
        <is>
          <t>해당 없음</t>
        </is>
      </c>
      <c r="O589" s="24" t="inlineStr">
        <is>
          <t>해당 없음</t>
        </is>
      </c>
      <c r="P589" s="24" t="inlineStr">
        <is>
          <t>KRW</t>
        </is>
      </c>
      <c r="Q589" s="24" t="inlineStr">
        <is>
          <t>3</t>
        </is>
      </c>
    </row>
    <row r="590" ht="24" customHeight="1">
      <c r="A590" s="29" t="inlineStr">
        <is>
          <t>OpenDART_fnlttSinglAcntAll</t>
        </is>
      </c>
      <c r="B590" s="29" t="inlineStr">
        <is>
          <t>01365825</t>
        </is>
      </c>
      <c r="C590" s="29" t="inlineStr">
        <is>
          <t>피에스케이</t>
        </is>
      </c>
      <c r="D590" s="29" t="inlineStr">
        <is>
          <t>psk</t>
        </is>
      </c>
      <c r="E590" s="29" t="inlineStr">
        <is>
          <t>319660</t>
        </is>
      </c>
      <c r="F590" s="29" t="inlineStr">
        <is>
          <t>2024</t>
        </is>
      </c>
      <c r="G590" s="29" t="inlineStr">
        <is>
          <t>CFS</t>
        </is>
      </c>
      <c r="H590" s="29" t="inlineStr">
        <is>
          <t>SCE</t>
        </is>
      </c>
      <c r="I590" s="29" t="inlineStr">
        <is>
          <t>자본변동표</t>
        </is>
      </c>
      <c r="J590" s="29" t="inlineStr">
        <is>
          <t>dart_BonusIssue</t>
        </is>
      </c>
      <c r="K590" s="29" t="inlineStr">
        <is>
          <t>무상증자</t>
        </is>
      </c>
      <c r="L590" s="29" t="inlineStr">
        <is>
          <t>자본 [구성요소]|지배기업의 소유주에게 귀속되는 지분 [구성요소]|자본금 [구성요소]</t>
        </is>
      </c>
      <c r="M590" s="29" t="inlineStr">
        <is>
          <t>제 6 기</t>
        </is>
      </c>
      <c r="N590" s="29" t="inlineStr">
        <is>
          <t>해당 없음</t>
        </is>
      </c>
      <c r="O590" s="29" t="inlineStr">
        <is>
          <t>해당 없음</t>
        </is>
      </c>
      <c r="P590" s="29" t="inlineStr">
        <is>
          <t>KRW</t>
        </is>
      </c>
      <c r="Q590" s="29" t="inlineStr">
        <is>
          <t>3</t>
        </is>
      </c>
    </row>
    <row r="591" ht="24" customHeight="1">
      <c r="A591" s="24" t="inlineStr">
        <is>
          <t>OpenDART_fnlttSinglAcntAll</t>
        </is>
      </c>
      <c r="B591" s="24" t="inlineStr">
        <is>
          <t>01365825</t>
        </is>
      </c>
      <c r="C591" s="24" t="inlineStr">
        <is>
          <t>피에스케이</t>
        </is>
      </c>
      <c r="D591" s="24" t="inlineStr">
        <is>
          <t>psk</t>
        </is>
      </c>
      <c r="E591" s="24" t="inlineStr">
        <is>
          <t>319660</t>
        </is>
      </c>
      <c r="F591" s="24" t="inlineStr">
        <is>
          <t>2024</t>
        </is>
      </c>
      <c r="G591" s="24" t="inlineStr">
        <is>
          <t>CFS</t>
        </is>
      </c>
      <c r="H591" s="24" t="inlineStr">
        <is>
          <t>SCE</t>
        </is>
      </c>
      <c r="I591" s="24" t="inlineStr">
        <is>
          <t>자본변동표</t>
        </is>
      </c>
      <c r="J591" s="24" t="inlineStr">
        <is>
          <t>dart_BonusIssue</t>
        </is>
      </c>
      <c r="K591" s="24" t="inlineStr">
        <is>
          <t>무상증자</t>
        </is>
      </c>
      <c r="L591" s="24" t="inlineStr">
        <is>
          <t>자본 [구성요소]|지배기업의 소유주에게 귀속되는 지분 [구성요소]|자본잉여금 [구성요소]</t>
        </is>
      </c>
      <c r="M591" s="24" t="inlineStr">
        <is>
          <t>제 6 기</t>
        </is>
      </c>
      <c r="N591" s="24" t="inlineStr">
        <is>
          <t>해당 없음</t>
        </is>
      </c>
      <c r="O591" s="24" t="inlineStr">
        <is>
          <t>해당 없음</t>
        </is>
      </c>
      <c r="P591" s="24" t="inlineStr">
        <is>
          <t>KRW</t>
        </is>
      </c>
      <c r="Q591" s="24" t="inlineStr">
        <is>
          <t>3</t>
        </is>
      </c>
    </row>
    <row r="592" ht="24" customHeight="1">
      <c r="A592" s="29" t="inlineStr">
        <is>
          <t>OpenDART_fnlttSinglAcntAll</t>
        </is>
      </c>
      <c r="B592" s="29" t="inlineStr">
        <is>
          <t>01365825</t>
        </is>
      </c>
      <c r="C592" s="29" t="inlineStr">
        <is>
          <t>피에스케이</t>
        </is>
      </c>
      <c r="D592" s="29" t="inlineStr">
        <is>
          <t>psk</t>
        </is>
      </c>
      <c r="E592" s="29" t="inlineStr">
        <is>
          <t>319660</t>
        </is>
      </c>
      <c r="F592" s="29" t="inlineStr">
        <is>
          <t>2024</t>
        </is>
      </c>
      <c r="G592" s="29" t="inlineStr">
        <is>
          <t>CFS</t>
        </is>
      </c>
      <c r="H592" s="29" t="inlineStr">
        <is>
          <t>SCE</t>
        </is>
      </c>
      <c r="I592" s="29" t="inlineStr">
        <is>
          <t>자본변동표</t>
        </is>
      </c>
      <c r="J592" s="29" t="inlineStr">
        <is>
          <t>dart_EquityAtBeginningOfPeriod</t>
        </is>
      </c>
      <c r="K592" s="29" t="inlineStr">
        <is>
          <t>기초자본</t>
        </is>
      </c>
      <c r="L592" s="29" t="inlineStr">
        <is>
          <t>자본 [구성요소]|지배기업의 소유주에게 귀속되는 지분 [구성요소]|자본금 [구성요소]</t>
        </is>
      </c>
      <c r="M592" s="29" t="inlineStr">
        <is>
          <t>제 6 기</t>
        </is>
      </c>
      <c r="N592" s="29" t="inlineStr">
        <is>
          <t>14624188500.0</t>
        </is>
      </c>
      <c r="O592" s="29" t="inlineStr">
        <is>
          <t>14624188500.0</t>
        </is>
      </c>
      <c r="P592" s="29" t="inlineStr">
        <is>
          <t>KRW</t>
        </is>
      </c>
      <c r="Q592" s="29" t="inlineStr">
        <is>
          <t>4</t>
        </is>
      </c>
    </row>
    <row r="593" ht="24" customHeight="1">
      <c r="A593" s="24" t="inlineStr">
        <is>
          <t>OpenDART_fnlttSinglAcntAll</t>
        </is>
      </c>
      <c r="B593" s="24" t="inlineStr">
        <is>
          <t>01365825</t>
        </is>
      </c>
      <c r="C593" s="24" t="inlineStr">
        <is>
          <t>피에스케이</t>
        </is>
      </c>
      <c r="D593" s="24" t="inlineStr">
        <is>
          <t>psk</t>
        </is>
      </c>
      <c r="E593" s="24" t="inlineStr">
        <is>
          <t>319660</t>
        </is>
      </c>
      <c r="F593" s="24" t="inlineStr">
        <is>
          <t>2024</t>
        </is>
      </c>
      <c r="G593" s="24" t="inlineStr">
        <is>
          <t>CFS</t>
        </is>
      </c>
      <c r="H593" s="24" t="inlineStr">
        <is>
          <t>SCE</t>
        </is>
      </c>
      <c r="I593" s="24" t="inlineStr">
        <is>
          <t>자본변동표</t>
        </is>
      </c>
      <c r="J593" s="24" t="inlineStr">
        <is>
          <t>dart_EquityAtBeginningOfPeriod</t>
        </is>
      </c>
      <c r="K593" s="24" t="inlineStr">
        <is>
          <t>기초자본</t>
        </is>
      </c>
      <c r="L593" s="24" t="inlineStr">
        <is>
          <t>자본 [구성요소]|지배기업의 소유주에게 귀속되는 지분 [구성요소]|이익잉여금 [구성요소]</t>
        </is>
      </c>
      <c r="M593" s="24" t="inlineStr">
        <is>
          <t>제 6 기</t>
        </is>
      </c>
      <c r="N593" s="24" t="inlineStr">
        <is>
          <t>204529192284.0</t>
        </is>
      </c>
      <c r="O593" s="24" t="inlineStr">
        <is>
          <t>164862991285.0</t>
        </is>
      </c>
      <c r="P593" s="24" t="inlineStr">
        <is>
          <t>KRW</t>
        </is>
      </c>
      <c r="Q593" s="24" t="inlineStr">
        <is>
          <t>4</t>
        </is>
      </c>
    </row>
    <row r="594" ht="24" customHeight="1">
      <c r="A594" s="29" t="inlineStr">
        <is>
          <t>OpenDART_fnlttSinglAcntAll</t>
        </is>
      </c>
      <c r="B594" s="29" t="inlineStr">
        <is>
          <t>01365825</t>
        </is>
      </c>
      <c r="C594" s="29" t="inlineStr">
        <is>
          <t>피에스케이</t>
        </is>
      </c>
      <c r="D594" s="29" t="inlineStr">
        <is>
          <t>psk</t>
        </is>
      </c>
      <c r="E594" s="29" t="inlineStr">
        <is>
          <t>319660</t>
        </is>
      </c>
      <c r="F594" s="29" t="inlineStr">
        <is>
          <t>2024</t>
        </is>
      </c>
      <c r="G594" s="29" t="inlineStr">
        <is>
          <t>CFS</t>
        </is>
      </c>
      <c r="H594" s="29" t="inlineStr">
        <is>
          <t>SCE</t>
        </is>
      </c>
      <c r="I594" s="29" t="inlineStr">
        <is>
          <t>자본변동표</t>
        </is>
      </c>
      <c r="J594" s="29" t="inlineStr">
        <is>
          <t>dart_EquityAtBeginningOfPeriod</t>
        </is>
      </c>
      <c r="K594" s="29" t="inlineStr">
        <is>
          <t>기초자본</t>
        </is>
      </c>
      <c r="L594" s="29" t="inlineStr">
        <is>
          <t>자본 [구성요소]|지배기업의 소유주에게 귀속되는 지분 [구성요소]|기타자본구성요소 [구성요소]</t>
        </is>
      </c>
      <c r="M594" s="29" t="inlineStr">
        <is>
          <t>제 6 기</t>
        </is>
      </c>
      <c r="N594" s="29" t="inlineStr">
        <is>
          <t>1455981401.0</t>
        </is>
      </c>
      <c r="O594" s="29" t="inlineStr">
        <is>
          <t>1860093233.0</t>
        </is>
      </c>
      <c r="P594" s="29" t="inlineStr">
        <is>
          <t>KRW</t>
        </is>
      </c>
      <c r="Q594" s="29" t="inlineStr">
        <is>
          <t>4</t>
        </is>
      </c>
    </row>
    <row r="595" ht="24" customHeight="1">
      <c r="A595" s="24" t="inlineStr">
        <is>
          <t>OpenDART_fnlttSinglAcntAll</t>
        </is>
      </c>
      <c r="B595" s="24" t="inlineStr">
        <is>
          <t>01365825</t>
        </is>
      </c>
      <c r="C595" s="24" t="inlineStr">
        <is>
          <t>피에스케이</t>
        </is>
      </c>
      <c r="D595" s="24" t="inlineStr">
        <is>
          <t>psk</t>
        </is>
      </c>
      <c r="E595" s="24" t="inlineStr">
        <is>
          <t>319660</t>
        </is>
      </c>
      <c r="F595" s="24" t="inlineStr">
        <is>
          <t>2024</t>
        </is>
      </c>
      <c r="G595" s="24" t="inlineStr">
        <is>
          <t>CFS</t>
        </is>
      </c>
      <c r="H595" s="24" t="inlineStr">
        <is>
          <t>SCE</t>
        </is>
      </c>
      <c r="I595" s="24" t="inlineStr">
        <is>
          <t>자본변동표</t>
        </is>
      </c>
      <c r="J595" s="24" t="inlineStr">
        <is>
          <t>dart_EquityAtBeginningOfPeriod</t>
        </is>
      </c>
      <c r="K595" s="24" t="inlineStr">
        <is>
          <t>기초자본</t>
        </is>
      </c>
      <c r="L595" s="24" t="inlineStr">
        <is>
          <t>자본 [구성요소]|지배기업의 소유주에게 귀속되는 지분 [구성요소]</t>
        </is>
      </c>
      <c r="M595" s="24" t="inlineStr">
        <is>
          <t>제 6 기</t>
        </is>
      </c>
      <c r="N595" s="24" t="inlineStr">
        <is>
          <t>392569607133.0</t>
        </is>
      </c>
      <c r="O595" s="24" t="inlineStr">
        <is>
          <t>353307517966.0</t>
        </is>
      </c>
      <c r="P595" s="24" t="inlineStr">
        <is>
          <t>KRW</t>
        </is>
      </c>
      <c r="Q595" s="24" t="inlineStr">
        <is>
          <t>4</t>
        </is>
      </c>
    </row>
    <row r="596" ht="24" customHeight="1">
      <c r="A596" s="29" t="inlineStr">
        <is>
          <t>OpenDART_fnlttSinglAcntAll</t>
        </is>
      </c>
      <c r="B596" s="29" t="inlineStr">
        <is>
          <t>01365825</t>
        </is>
      </c>
      <c r="C596" s="29" t="inlineStr">
        <is>
          <t>피에스케이</t>
        </is>
      </c>
      <c r="D596" s="29" t="inlineStr">
        <is>
          <t>psk</t>
        </is>
      </c>
      <c r="E596" s="29" t="inlineStr">
        <is>
          <t>319660</t>
        </is>
      </c>
      <c r="F596" s="29" t="inlineStr">
        <is>
          <t>2024</t>
        </is>
      </c>
      <c r="G596" s="29" t="inlineStr">
        <is>
          <t>CFS</t>
        </is>
      </c>
      <c r="H596" s="29" t="inlineStr">
        <is>
          <t>SCE</t>
        </is>
      </c>
      <c r="I596" s="29" t="inlineStr">
        <is>
          <t>자본변동표</t>
        </is>
      </c>
      <c r="J596" s="29" t="inlineStr">
        <is>
          <t>dart_EquityAtBeginningOfPeriod</t>
        </is>
      </c>
      <c r="K596" s="29" t="inlineStr">
        <is>
          <t>기초자본</t>
        </is>
      </c>
      <c r="L596" s="29" t="inlineStr">
        <is>
          <t>연결재무제표 [member]</t>
        </is>
      </c>
      <c r="M596" s="29" t="inlineStr">
        <is>
          <t>제 6 기</t>
        </is>
      </c>
      <c r="N596" s="29" t="inlineStr">
        <is>
          <t>392569607133.0</t>
        </is>
      </c>
      <c r="O596" s="29" t="inlineStr">
        <is>
          <t>353307517966.0</t>
        </is>
      </c>
      <c r="P596" s="29" t="inlineStr">
        <is>
          <t>KRW</t>
        </is>
      </c>
      <c r="Q596" s="29" t="inlineStr">
        <is>
          <t>4</t>
        </is>
      </c>
    </row>
    <row r="597" ht="24" customHeight="1">
      <c r="A597" s="24" t="inlineStr">
        <is>
          <t>OpenDART_fnlttSinglAcntAll</t>
        </is>
      </c>
      <c r="B597" s="24" t="inlineStr">
        <is>
          <t>01365825</t>
        </is>
      </c>
      <c r="C597" s="24" t="inlineStr">
        <is>
          <t>피에스케이</t>
        </is>
      </c>
      <c r="D597" s="24" t="inlineStr">
        <is>
          <t>psk</t>
        </is>
      </c>
      <c r="E597" s="24" t="inlineStr">
        <is>
          <t>319660</t>
        </is>
      </c>
      <c r="F597" s="24" t="inlineStr">
        <is>
          <t>2024</t>
        </is>
      </c>
      <c r="G597" s="24" t="inlineStr">
        <is>
          <t>CFS</t>
        </is>
      </c>
      <c r="H597" s="24" t="inlineStr">
        <is>
          <t>SCE</t>
        </is>
      </c>
      <c r="I597" s="24" t="inlineStr">
        <is>
          <t>자본변동표</t>
        </is>
      </c>
      <c r="J597" s="24" t="inlineStr">
        <is>
          <t>dart_EquityAtBeginningOfPeriod</t>
        </is>
      </c>
      <c r="K597" s="24" t="inlineStr">
        <is>
          <t>기초자본</t>
        </is>
      </c>
      <c r="L597" s="24" t="inlineStr">
        <is>
          <t>자본 [구성요소]|지배기업의 소유주에게 귀속되는 지분 [구성요소]|자본잉여금 [구성요소]</t>
        </is>
      </c>
      <c r="M597" s="24" t="inlineStr">
        <is>
          <t>제 6 기</t>
        </is>
      </c>
      <c r="N597" s="24" t="inlineStr">
        <is>
          <t>171960244948.0</t>
        </is>
      </c>
      <c r="O597" s="24" t="inlineStr">
        <is>
          <t>171960244948.0</t>
        </is>
      </c>
      <c r="P597" s="24" t="inlineStr">
        <is>
          <t>KRW</t>
        </is>
      </c>
      <c r="Q597" s="24" t="inlineStr">
        <is>
          <t>4</t>
        </is>
      </c>
    </row>
    <row r="598" ht="24" customHeight="1">
      <c r="A598" s="29" t="inlineStr">
        <is>
          <t>OpenDART_fnlttSinglAcntAll</t>
        </is>
      </c>
      <c r="B598" s="29" t="inlineStr">
        <is>
          <t>01365825</t>
        </is>
      </c>
      <c r="C598" s="29" t="inlineStr">
        <is>
          <t>피에스케이</t>
        </is>
      </c>
      <c r="D598" s="29" t="inlineStr">
        <is>
          <t>psk</t>
        </is>
      </c>
      <c r="E598" s="29" t="inlineStr">
        <is>
          <t>319660</t>
        </is>
      </c>
      <c r="F598" s="29" t="inlineStr">
        <is>
          <t>2024</t>
        </is>
      </c>
      <c r="G598" s="29" t="inlineStr">
        <is>
          <t>CFS</t>
        </is>
      </c>
      <c r="H598" s="29" t="inlineStr">
        <is>
          <t>SCE</t>
        </is>
      </c>
      <c r="I598" s="29" t="inlineStr">
        <is>
          <t>자본변동표</t>
        </is>
      </c>
      <c r="J598" s="29" t="inlineStr">
        <is>
          <t>dart_TreasuryShareTransactions</t>
        </is>
      </c>
      <c r="K598" s="29" t="inlineStr">
        <is>
          <t>자기주식 거래로 인한 증감</t>
        </is>
      </c>
      <c r="L598" s="29" t="inlineStr">
        <is>
          <t>연결재무제표 [member]</t>
        </is>
      </c>
      <c r="M598" s="29" t="inlineStr">
        <is>
          <t>제 6 기</t>
        </is>
      </c>
      <c r="N598" s="29" t="inlineStr">
        <is>
          <t>해당 없음</t>
        </is>
      </c>
      <c r="O598" s="29" t="inlineStr">
        <is>
          <t>해당 없음</t>
        </is>
      </c>
      <c r="P598" s="29" t="inlineStr">
        <is>
          <t>KRW</t>
        </is>
      </c>
      <c r="Q598" s="29" t="inlineStr">
        <is>
          <t>5</t>
        </is>
      </c>
    </row>
    <row r="599" ht="24" customHeight="1">
      <c r="A599" s="24" t="inlineStr">
        <is>
          <t>OpenDART_fnlttSinglAcntAll</t>
        </is>
      </c>
      <c r="B599" s="24" t="inlineStr">
        <is>
          <t>01365825</t>
        </is>
      </c>
      <c r="C599" s="24" t="inlineStr">
        <is>
          <t>피에스케이</t>
        </is>
      </c>
      <c r="D599" s="24" t="inlineStr">
        <is>
          <t>psk</t>
        </is>
      </c>
      <c r="E599" s="24" t="inlineStr">
        <is>
          <t>319660</t>
        </is>
      </c>
      <c r="F599" s="24" t="inlineStr">
        <is>
          <t>2024</t>
        </is>
      </c>
      <c r="G599" s="24" t="inlineStr">
        <is>
          <t>CFS</t>
        </is>
      </c>
      <c r="H599" s="24" t="inlineStr">
        <is>
          <t>SCE</t>
        </is>
      </c>
      <c r="I599" s="24" t="inlineStr">
        <is>
          <t>자본변동표</t>
        </is>
      </c>
      <c r="J599" s="24" t="inlineStr">
        <is>
          <t>dart_TreasuryShareTransactions</t>
        </is>
      </c>
      <c r="K599" s="24" t="inlineStr">
        <is>
          <t>자기주식 거래로 인한 증감</t>
        </is>
      </c>
      <c r="L599" s="24" t="inlineStr">
        <is>
          <t>자본 [구성요소]|지배기업의 소유주에게 귀속되는 지분 [구성요소]</t>
        </is>
      </c>
      <c r="M599" s="24" t="inlineStr">
        <is>
          <t>제 6 기</t>
        </is>
      </c>
      <c r="N599" s="24" t="inlineStr">
        <is>
          <t>해당 없음</t>
        </is>
      </c>
      <c r="O599" s="24" t="inlineStr">
        <is>
          <t>해당 없음</t>
        </is>
      </c>
      <c r="P599" s="24" t="inlineStr">
        <is>
          <t>KRW</t>
        </is>
      </c>
      <c r="Q599" s="24" t="inlineStr">
        <is>
          <t>5</t>
        </is>
      </c>
    </row>
    <row r="600" ht="24" customHeight="1">
      <c r="A600" s="29" t="inlineStr">
        <is>
          <t>OpenDART_fnlttSinglAcntAll</t>
        </is>
      </c>
      <c r="B600" s="29" t="inlineStr">
        <is>
          <t>01365825</t>
        </is>
      </c>
      <c r="C600" s="29" t="inlineStr">
        <is>
          <t>피에스케이</t>
        </is>
      </c>
      <c r="D600" s="29" t="inlineStr">
        <is>
          <t>psk</t>
        </is>
      </c>
      <c r="E600" s="29" t="inlineStr">
        <is>
          <t>319660</t>
        </is>
      </c>
      <c r="F600" s="29" t="inlineStr">
        <is>
          <t>2024</t>
        </is>
      </c>
      <c r="G600" s="29" t="inlineStr">
        <is>
          <t>CFS</t>
        </is>
      </c>
      <c r="H600" s="29" t="inlineStr">
        <is>
          <t>SCE</t>
        </is>
      </c>
      <c r="I600" s="29" t="inlineStr">
        <is>
          <t>자본변동표</t>
        </is>
      </c>
      <c r="J600" s="29" t="inlineStr">
        <is>
          <t>dart_TreasuryShareTransactions</t>
        </is>
      </c>
      <c r="K600" s="29" t="inlineStr">
        <is>
          <t>자기주식 거래로 인한 증감</t>
        </is>
      </c>
      <c r="L600" s="29" t="inlineStr">
        <is>
          <t>자본 [구성요소]|지배기업의 소유주에게 귀속되는 지분 [구성요소]|기타자본구성요소 [구성요소]</t>
        </is>
      </c>
      <c r="M600" s="29" t="inlineStr">
        <is>
          <t>제 6 기</t>
        </is>
      </c>
      <c r="N600" s="29" t="inlineStr">
        <is>
          <t>해당 없음</t>
        </is>
      </c>
      <c r="O600" s="29" t="inlineStr">
        <is>
          <t>해당 없음</t>
        </is>
      </c>
      <c r="P600" s="29" t="inlineStr">
        <is>
          <t>KRW</t>
        </is>
      </c>
      <c r="Q600" s="29" t="inlineStr">
        <is>
          <t>5</t>
        </is>
      </c>
    </row>
    <row r="601" ht="24" customHeight="1">
      <c r="A601" s="24" t="inlineStr">
        <is>
          <t>OpenDART_fnlttSinglAcntAll</t>
        </is>
      </c>
      <c r="B601" s="24" t="inlineStr">
        <is>
          <t>01365825</t>
        </is>
      </c>
      <c r="C601" s="24" t="inlineStr">
        <is>
          <t>피에스케이</t>
        </is>
      </c>
      <c r="D601" s="24" t="inlineStr">
        <is>
          <t>psk</t>
        </is>
      </c>
      <c r="E601" s="24" t="inlineStr">
        <is>
          <t>319660</t>
        </is>
      </c>
      <c r="F601" s="24" t="inlineStr">
        <is>
          <t>2024</t>
        </is>
      </c>
      <c r="G601" s="24" t="inlineStr">
        <is>
          <t>CFS</t>
        </is>
      </c>
      <c r="H601" s="24" t="inlineStr">
        <is>
          <t>SCE</t>
        </is>
      </c>
      <c r="I601" s="24" t="inlineStr">
        <is>
          <t>자본변동표</t>
        </is>
      </c>
      <c r="J601" s="24" t="inlineStr">
        <is>
          <t>dart_TreasuryShareTransactions</t>
        </is>
      </c>
      <c r="K601" s="24" t="inlineStr">
        <is>
          <t>자기주식 거래로 인한 증감</t>
        </is>
      </c>
      <c r="L601" s="24" t="inlineStr">
        <is>
          <t>자본 [구성요소]|지배기업의 소유주에게 귀속되는 지분 [구성요소]|이익잉여금 [구성요소]</t>
        </is>
      </c>
      <c r="M601" s="24" t="inlineStr">
        <is>
          <t>제 6 기</t>
        </is>
      </c>
      <c r="N601" s="24" t="inlineStr">
        <is>
          <t>해당 없음</t>
        </is>
      </c>
      <c r="O601" s="24" t="inlineStr">
        <is>
          <t>해당 없음</t>
        </is>
      </c>
      <c r="P601" s="24" t="inlineStr">
        <is>
          <t>KRW</t>
        </is>
      </c>
      <c r="Q601" s="24" t="inlineStr">
        <is>
          <t>5</t>
        </is>
      </c>
    </row>
    <row r="602" ht="24" customHeight="1">
      <c r="A602" s="29" t="inlineStr">
        <is>
          <t>OpenDART_fnlttSinglAcntAll</t>
        </is>
      </c>
      <c r="B602" s="29" t="inlineStr">
        <is>
          <t>01365825</t>
        </is>
      </c>
      <c r="C602" s="29" t="inlineStr">
        <is>
          <t>피에스케이</t>
        </is>
      </c>
      <c r="D602" s="29" t="inlineStr">
        <is>
          <t>psk</t>
        </is>
      </c>
      <c r="E602" s="29" t="inlineStr">
        <is>
          <t>319660</t>
        </is>
      </c>
      <c r="F602" s="29" t="inlineStr">
        <is>
          <t>2024</t>
        </is>
      </c>
      <c r="G602" s="29" t="inlineStr">
        <is>
          <t>CFS</t>
        </is>
      </c>
      <c r="H602" s="29" t="inlineStr">
        <is>
          <t>SCE</t>
        </is>
      </c>
      <c r="I602" s="29" t="inlineStr">
        <is>
          <t>자본변동표</t>
        </is>
      </c>
      <c r="J602" s="29" t="inlineStr">
        <is>
          <t>dart_TreasuryShareTransactions</t>
        </is>
      </c>
      <c r="K602" s="29" t="inlineStr">
        <is>
          <t>자기주식 거래로 인한 증감</t>
        </is>
      </c>
      <c r="L602" s="29" t="inlineStr">
        <is>
          <t>자본 [구성요소]|지배기업의 소유주에게 귀속되는 지분 [구성요소]|자본금 [구성요소]</t>
        </is>
      </c>
      <c r="M602" s="29" t="inlineStr">
        <is>
          <t>제 6 기</t>
        </is>
      </c>
      <c r="N602" s="29" t="inlineStr">
        <is>
          <t>해당 없음</t>
        </is>
      </c>
      <c r="O602" s="29" t="inlineStr">
        <is>
          <t>해당 없음</t>
        </is>
      </c>
      <c r="P602" s="29" t="inlineStr">
        <is>
          <t>KRW</t>
        </is>
      </c>
      <c r="Q602" s="29" t="inlineStr">
        <is>
          <t>5</t>
        </is>
      </c>
    </row>
    <row r="603" ht="24" customHeight="1">
      <c r="A603" s="24" t="inlineStr">
        <is>
          <t>OpenDART_fnlttSinglAcntAll</t>
        </is>
      </c>
      <c r="B603" s="24" t="inlineStr">
        <is>
          <t>01365825</t>
        </is>
      </c>
      <c r="C603" s="24" t="inlineStr">
        <is>
          <t>피에스케이</t>
        </is>
      </c>
      <c r="D603" s="24" t="inlineStr">
        <is>
          <t>psk</t>
        </is>
      </c>
      <c r="E603" s="24" t="inlineStr">
        <is>
          <t>319660</t>
        </is>
      </c>
      <c r="F603" s="24" t="inlineStr">
        <is>
          <t>2024</t>
        </is>
      </c>
      <c r="G603" s="24" t="inlineStr">
        <is>
          <t>CFS</t>
        </is>
      </c>
      <c r="H603" s="24" t="inlineStr">
        <is>
          <t>SCE</t>
        </is>
      </c>
      <c r="I603" s="24" t="inlineStr">
        <is>
          <t>자본변동표</t>
        </is>
      </c>
      <c r="J603" s="24" t="inlineStr">
        <is>
          <t>dart_TreasuryShareTransactions</t>
        </is>
      </c>
      <c r="K603" s="24" t="inlineStr">
        <is>
          <t>자기주식 거래로 인한 증감</t>
        </is>
      </c>
      <c r="L603" s="24" t="inlineStr">
        <is>
          <t>자본 [구성요소]|지배기업의 소유주에게 귀속되는 지분 [구성요소]|자본잉여금 [구성요소]</t>
        </is>
      </c>
      <c r="M603" s="24" t="inlineStr">
        <is>
          <t>제 6 기</t>
        </is>
      </c>
      <c r="N603" s="24" t="inlineStr">
        <is>
          <t>해당 없음</t>
        </is>
      </c>
      <c r="O603" s="24" t="inlineStr">
        <is>
          <t>해당 없음</t>
        </is>
      </c>
      <c r="P603" s="24" t="inlineStr">
        <is>
          <t>KRW</t>
        </is>
      </c>
      <c r="Q603" s="24" t="inlineStr">
        <is>
          <t>5</t>
        </is>
      </c>
    </row>
    <row r="604" ht="24" customHeight="1">
      <c r="A604" s="29" t="inlineStr">
        <is>
          <t>OpenDART_fnlttSinglAcntAll</t>
        </is>
      </c>
      <c r="B604" s="29" t="inlineStr">
        <is>
          <t>01365825</t>
        </is>
      </c>
      <c r="C604" s="29" t="inlineStr">
        <is>
          <t>피에스케이</t>
        </is>
      </c>
      <c r="D604" s="29" t="inlineStr">
        <is>
          <t>psk</t>
        </is>
      </c>
      <c r="E604" s="29" t="inlineStr">
        <is>
          <t>319660</t>
        </is>
      </c>
      <c r="F604" s="29" t="inlineStr">
        <is>
          <t>2024</t>
        </is>
      </c>
      <c r="G604" s="29" t="inlineStr">
        <is>
          <t>CFS</t>
        </is>
      </c>
      <c r="H604" s="29" t="inlineStr">
        <is>
          <t>SCE</t>
        </is>
      </c>
      <c r="I604" s="29" t="inlineStr">
        <is>
          <t>자본변동표</t>
        </is>
      </c>
      <c r="J604" s="29" t="inlineStr">
        <is>
          <t>ifrs-full_ChangesInEquity</t>
        </is>
      </c>
      <c r="K604" s="29" t="inlineStr">
        <is>
          <t>자본 증가(감소) 합계</t>
        </is>
      </c>
      <c r="L604" s="29" t="inlineStr">
        <is>
          <t>연결재무제표 [member]</t>
        </is>
      </c>
      <c r="M604" s="29" t="inlineStr">
        <is>
          <t>제 6 기</t>
        </is>
      </c>
      <c r="N604" s="29" t="inlineStr">
        <is>
          <t>79147198549.0</t>
        </is>
      </c>
      <c r="O604" s="29" t="inlineStr">
        <is>
          <t>39262089167.0</t>
        </is>
      </c>
      <c r="P604" s="29" t="inlineStr">
        <is>
          <t>KRW</t>
        </is>
      </c>
      <c r="Q604" s="29" t="inlineStr">
        <is>
          <t>6</t>
        </is>
      </c>
    </row>
    <row r="605" ht="24" customHeight="1">
      <c r="A605" s="24" t="inlineStr">
        <is>
          <t>OpenDART_fnlttSinglAcntAll</t>
        </is>
      </c>
      <c r="B605" s="24" t="inlineStr">
        <is>
          <t>01365825</t>
        </is>
      </c>
      <c r="C605" s="24" t="inlineStr">
        <is>
          <t>피에스케이</t>
        </is>
      </c>
      <c r="D605" s="24" t="inlineStr">
        <is>
          <t>psk</t>
        </is>
      </c>
      <c r="E605" s="24" t="inlineStr">
        <is>
          <t>319660</t>
        </is>
      </c>
      <c r="F605" s="24" t="inlineStr">
        <is>
          <t>2024</t>
        </is>
      </c>
      <c r="G605" s="24" t="inlineStr">
        <is>
          <t>CFS</t>
        </is>
      </c>
      <c r="H605" s="24" t="inlineStr">
        <is>
          <t>SCE</t>
        </is>
      </c>
      <c r="I605" s="24" t="inlineStr">
        <is>
          <t>자본변동표</t>
        </is>
      </c>
      <c r="J605" s="24" t="inlineStr">
        <is>
          <t>ifrs-full_ChangesInEquity</t>
        </is>
      </c>
      <c r="K605" s="24" t="inlineStr">
        <is>
          <t>자본 증가(감소) 합계</t>
        </is>
      </c>
      <c r="L605" s="24" t="inlineStr">
        <is>
          <t>자본 [구성요소]|지배기업의 소유주에게 귀속되는 지분 [구성요소]</t>
        </is>
      </c>
      <c r="M605" s="24" t="inlineStr">
        <is>
          <t>제 6 기</t>
        </is>
      </c>
      <c r="N605" s="24" t="inlineStr">
        <is>
          <t>79147198549.0</t>
        </is>
      </c>
      <c r="O605" s="24" t="inlineStr">
        <is>
          <t>39262089167.0</t>
        </is>
      </c>
      <c r="P605" s="24" t="inlineStr">
        <is>
          <t>KRW</t>
        </is>
      </c>
      <c r="Q605" s="24" t="inlineStr">
        <is>
          <t>6</t>
        </is>
      </c>
    </row>
    <row r="606" ht="24" customHeight="1">
      <c r="A606" s="29" t="inlineStr">
        <is>
          <t>OpenDART_fnlttSinglAcntAll</t>
        </is>
      </c>
      <c r="B606" s="29" t="inlineStr">
        <is>
          <t>01365825</t>
        </is>
      </c>
      <c r="C606" s="29" t="inlineStr">
        <is>
          <t>피에스케이</t>
        </is>
      </c>
      <c r="D606" s="29" t="inlineStr">
        <is>
          <t>psk</t>
        </is>
      </c>
      <c r="E606" s="29" t="inlineStr">
        <is>
          <t>319660</t>
        </is>
      </c>
      <c r="F606" s="29" t="inlineStr">
        <is>
          <t>2024</t>
        </is>
      </c>
      <c r="G606" s="29" t="inlineStr">
        <is>
          <t>CFS</t>
        </is>
      </c>
      <c r="H606" s="29" t="inlineStr">
        <is>
          <t>SCE</t>
        </is>
      </c>
      <c r="I606" s="29" t="inlineStr">
        <is>
          <t>자본변동표</t>
        </is>
      </c>
      <c r="J606" s="29" t="inlineStr">
        <is>
          <t>ifrs-full_ChangesInEquity</t>
        </is>
      </c>
      <c r="K606" s="29" t="inlineStr">
        <is>
          <t>자본 증가(감소) 합계</t>
        </is>
      </c>
      <c r="L606" s="29" t="inlineStr">
        <is>
          <t>자본 [구성요소]|지배기업의 소유주에게 귀속되는 지분 [구성요소]|기타자본구성요소 [구성요소]</t>
        </is>
      </c>
      <c r="M606" s="29" t="inlineStr">
        <is>
          <t>제 6 기</t>
        </is>
      </c>
      <c r="N606" s="29" t="inlineStr">
        <is>
          <t>7442724652.0</t>
        </is>
      </c>
      <c r="O606" s="29" t="inlineStr">
        <is>
          <t>-404111832.0</t>
        </is>
      </c>
      <c r="P606" s="29" t="inlineStr">
        <is>
          <t>KRW</t>
        </is>
      </c>
      <c r="Q606" s="29" t="inlineStr">
        <is>
          <t>6</t>
        </is>
      </c>
    </row>
    <row r="607" ht="24" customHeight="1">
      <c r="A607" s="24" t="inlineStr">
        <is>
          <t>OpenDART_fnlttSinglAcntAll</t>
        </is>
      </c>
      <c r="B607" s="24" t="inlineStr">
        <is>
          <t>01365825</t>
        </is>
      </c>
      <c r="C607" s="24" t="inlineStr">
        <is>
          <t>피에스케이</t>
        </is>
      </c>
      <c r="D607" s="24" t="inlineStr">
        <is>
          <t>psk</t>
        </is>
      </c>
      <c r="E607" s="24" t="inlineStr">
        <is>
          <t>319660</t>
        </is>
      </c>
      <c r="F607" s="24" t="inlineStr">
        <is>
          <t>2024</t>
        </is>
      </c>
      <c r="G607" s="24" t="inlineStr">
        <is>
          <t>CFS</t>
        </is>
      </c>
      <c r="H607" s="24" t="inlineStr">
        <is>
          <t>SCE</t>
        </is>
      </c>
      <c r="I607" s="24" t="inlineStr">
        <is>
          <t>자본변동표</t>
        </is>
      </c>
      <c r="J607" s="24" t="inlineStr">
        <is>
          <t>ifrs-full_ChangesInEquity</t>
        </is>
      </c>
      <c r="K607" s="24" t="inlineStr">
        <is>
          <t>자본 증가(감소) 합계</t>
        </is>
      </c>
      <c r="L607" s="24" t="inlineStr">
        <is>
          <t>자본 [구성요소]|지배기업의 소유주에게 귀속되는 지분 [구성요소]|이익잉여금 [구성요소]</t>
        </is>
      </c>
      <c r="M607" s="24" t="inlineStr">
        <is>
          <t>제 6 기</t>
        </is>
      </c>
      <c r="N607" s="24" t="inlineStr">
        <is>
          <t>71704473897.0</t>
        </is>
      </c>
      <c r="O607" s="24" t="inlineStr">
        <is>
          <t>39666200999.0</t>
        </is>
      </c>
      <c r="P607" s="24" t="inlineStr">
        <is>
          <t>KRW</t>
        </is>
      </c>
      <c r="Q607" s="24" t="inlineStr">
        <is>
          <t>6</t>
        </is>
      </c>
    </row>
    <row r="608" ht="24" customHeight="1">
      <c r="A608" s="29" t="inlineStr">
        <is>
          <t>OpenDART_fnlttSinglAcntAll</t>
        </is>
      </c>
      <c r="B608" s="29" t="inlineStr">
        <is>
          <t>01365825</t>
        </is>
      </c>
      <c r="C608" s="29" t="inlineStr">
        <is>
          <t>피에스케이</t>
        </is>
      </c>
      <c r="D608" s="29" t="inlineStr">
        <is>
          <t>psk</t>
        </is>
      </c>
      <c r="E608" s="29" t="inlineStr">
        <is>
          <t>319660</t>
        </is>
      </c>
      <c r="F608" s="29" t="inlineStr">
        <is>
          <t>2024</t>
        </is>
      </c>
      <c r="G608" s="29" t="inlineStr">
        <is>
          <t>CFS</t>
        </is>
      </c>
      <c r="H608" s="29" t="inlineStr">
        <is>
          <t>SCE</t>
        </is>
      </c>
      <c r="I608" s="29" t="inlineStr">
        <is>
          <t>자본변동표</t>
        </is>
      </c>
      <c r="J608" s="29" t="inlineStr">
        <is>
          <t>ifrs-full_ChangesInEquity</t>
        </is>
      </c>
      <c r="K608" s="29" t="inlineStr">
        <is>
          <t>자본 증가(감소) 합계</t>
        </is>
      </c>
      <c r="L608" s="29" t="inlineStr">
        <is>
          <t>자본 [구성요소]|지배기업의 소유주에게 귀속되는 지분 [구성요소]|자본금 [구성요소]</t>
        </is>
      </c>
      <c r="M608" s="29" t="inlineStr">
        <is>
          <t>제 6 기</t>
        </is>
      </c>
      <c r="N608" s="29" t="inlineStr">
        <is>
          <t>0.0</t>
        </is>
      </c>
      <c r="O608" s="29" t="inlineStr">
        <is>
          <t>0.0</t>
        </is>
      </c>
      <c r="P608" s="29" t="inlineStr">
        <is>
          <t>KRW</t>
        </is>
      </c>
      <c r="Q608" s="29" t="inlineStr">
        <is>
          <t>6</t>
        </is>
      </c>
    </row>
    <row r="609" ht="24" customHeight="1">
      <c r="A609" s="24" t="inlineStr">
        <is>
          <t>OpenDART_fnlttSinglAcntAll</t>
        </is>
      </c>
      <c r="B609" s="24" t="inlineStr">
        <is>
          <t>01365825</t>
        </is>
      </c>
      <c r="C609" s="24" t="inlineStr">
        <is>
          <t>피에스케이</t>
        </is>
      </c>
      <c r="D609" s="24" t="inlineStr">
        <is>
          <t>psk</t>
        </is>
      </c>
      <c r="E609" s="24" t="inlineStr">
        <is>
          <t>319660</t>
        </is>
      </c>
      <c r="F609" s="24" t="inlineStr">
        <is>
          <t>2024</t>
        </is>
      </c>
      <c r="G609" s="24" t="inlineStr">
        <is>
          <t>CFS</t>
        </is>
      </c>
      <c r="H609" s="24" t="inlineStr">
        <is>
          <t>SCE</t>
        </is>
      </c>
      <c r="I609" s="24" t="inlineStr">
        <is>
          <t>자본변동표</t>
        </is>
      </c>
      <c r="J609" s="24" t="inlineStr">
        <is>
          <t>ifrs-full_ChangesInEquity</t>
        </is>
      </c>
      <c r="K609" s="24" t="inlineStr">
        <is>
          <t>자본 증가(감소) 합계</t>
        </is>
      </c>
      <c r="L609" s="24" t="inlineStr">
        <is>
          <t>자본 [구성요소]|지배기업의 소유주에게 귀속되는 지분 [구성요소]|자본잉여금 [구성요소]</t>
        </is>
      </c>
      <c r="M609" s="24" t="inlineStr">
        <is>
          <t>제 6 기</t>
        </is>
      </c>
      <c r="N609" s="24" t="inlineStr">
        <is>
          <t>0.0</t>
        </is>
      </c>
      <c r="O609" s="24" t="inlineStr">
        <is>
          <t>0.0</t>
        </is>
      </c>
      <c r="P609" s="24" t="inlineStr">
        <is>
          <t>KRW</t>
        </is>
      </c>
      <c r="Q609" s="24" t="inlineStr">
        <is>
          <t>6</t>
        </is>
      </c>
    </row>
    <row r="610" ht="24" customHeight="1">
      <c r="A610" s="29" t="inlineStr">
        <is>
          <t>OpenDART_fnlttSinglAcntAll</t>
        </is>
      </c>
      <c r="B610" s="29" t="inlineStr">
        <is>
          <t>01365825</t>
        </is>
      </c>
      <c r="C610" s="29" t="inlineStr">
        <is>
          <t>피에스케이</t>
        </is>
      </c>
      <c r="D610" s="29" t="inlineStr">
        <is>
          <t>psk</t>
        </is>
      </c>
      <c r="E610" s="29" t="inlineStr">
        <is>
          <t>319660</t>
        </is>
      </c>
      <c r="F610" s="29" t="inlineStr">
        <is>
          <t>2024</t>
        </is>
      </c>
      <c r="G610" s="29" t="inlineStr">
        <is>
          <t>CFS</t>
        </is>
      </c>
      <c r="H610" s="29" t="inlineStr">
        <is>
          <t>SCE</t>
        </is>
      </c>
      <c r="I610" s="29" t="inlineStr">
        <is>
          <t>자본변동표</t>
        </is>
      </c>
      <c r="J610" s="29" t="inlineStr">
        <is>
          <t>ifrs-full_DividendsPaid</t>
        </is>
      </c>
      <c r="K610" s="29" t="inlineStr">
        <is>
          <t>소유주에 대한 배분으로 인식된 배당금</t>
        </is>
      </c>
      <c r="L610" s="29" t="inlineStr">
        <is>
          <t>자본 [구성요소]|지배기업의 소유주에게 귀속되는 지분 [구성요소]|자본금 [구성요소]</t>
        </is>
      </c>
      <c r="M610" s="29" t="inlineStr">
        <is>
          <t>제 6 기</t>
        </is>
      </c>
      <c r="N610" s="29" t="inlineStr">
        <is>
          <t>해당 없음</t>
        </is>
      </c>
      <c r="O610" s="29" t="inlineStr">
        <is>
          <t>해당 없음</t>
        </is>
      </c>
      <c r="P610" s="29" t="inlineStr">
        <is>
          <t>KRW</t>
        </is>
      </c>
      <c r="Q610" s="29" t="inlineStr">
        <is>
          <t>7</t>
        </is>
      </c>
    </row>
    <row r="611" ht="24" customHeight="1">
      <c r="A611" s="24" t="inlineStr">
        <is>
          <t>OpenDART_fnlttSinglAcntAll</t>
        </is>
      </c>
      <c r="B611" s="24" t="inlineStr">
        <is>
          <t>01365825</t>
        </is>
      </c>
      <c r="C611" s="24" t="inlineStr">
        <is>
          <t>피에스케이</t>
        </is>
      </c>
      <c r="D611" s="24" t="inlineStr">
        <is>
          <t>psk</t>
        </is>
      </c>
      <c r="E611" s="24" t="inlineStr">
        <is>
          <t>319660</t>
        </is>
      </c>
      <c r="F611" s="24" t="inlineStr">
        <is>
          <t>2024</t>
        </is>
      </c>
      <c r="G611" s="24" t="inlineStr">
        <is>
          <t>CFS</t>
        </is>
      </c>
      <c r="H611" s="24" t="inlineStr">
        <is>
          <t>SCE</t>
        </is>
      </c>
      <c r="I611" s="24" t="inlineStr">
        <is>
          <t>자본변동표</t>
        </is>
      </c>
      <c r="J611" s="24" t="inlineStr">
        <is>
          <t>ifrs-full_DividendsPaid</t>
        </is>
      </c>
      <c r="K611" s="24" t="inlineStr">
        <is>
          <t>소유주에 대한 배분으로 인식된 배당금</t>
        </is>
      </c>
      <c r="L611" s="24" t="inlineStr">
        <is>
          <t>자본 [구성요소]|지배기업의 소유주에게 귀속되는 지분 [구성요소]|이익잉여금 [구성요소]</t>
        </is>
      </c>
      <c r="M611" s="24" t="inlineStr">
        <is>
          <t>제 6 기</t>
        </is>
      </c>
      <c r="N611" s="24" t="inlineStr">
        <is>
          <t>5793342800.0</t>
        </is>
      </c>
      <c r="O611" s="24" t="inlineStr">
        <is>
          <t>11586685600.0</t>
        </is>
      </c>
      <c r="P611" s="24" t="inlineStr">
        <is>
          <t>KRW</t>
        </is>
      </c>
      <c r="Q611" s="24" t="inlineStr">
        <is>
          <t>7</t>
        </is>
      </c>
    </row>
    <row r="612" ht="24" customHeight="1">
      <c r="A612" s="29" t="inlineStr">
        <is>
          <t>OpenDART_fnlttSinglAcntAll</t>
        </is>
      </c>
      <c r="B612" s="29" t="inlineStr">
        <is>
          <t>01365825</t>
        </is>
      </c>
      <c r="C612" s="29" t="inlineStr">
        <is>
          <t>피에스케이</t>
        </is>
      </c>
      <c r="D612" s="29" t="inlineStr">
        <is>
          <t>psk</t>
        </is>
      </c>
      <c r="E612" s="29" t="inlineStr">
        <is>
          <t>319660</t>
        </is>
      </c>
      <c r="F612" s="29" t="inlineStr">
        <is>
          <t>2024</t>
        </is>
      </c>
      <c r="G612" s="29" t="inlineStr">
        <is>
          <t>CFS</t>
        </is>
      </c>
      <c r="H612" s="29" t="inlineStr">
        <is>
          <t>SCE</t>
        </is>
      </c>
      <c r="I612" s="29" t="inlineStr">
        <is>
          <t>자본변동표</t>
        </is>
      </c>
      <c r="J612" s="29" t="inlineStr">
        <is>
          <t>ifrs-full_DividendsPaid</t>
        </is>
      </c>
      <c r="K612" s="29" t="inlineStr">
        <is>
          <t>소유주에 대한 배분으로 인식된 배당금</t>
        </is>
      </c>
      <c r="L612" s="29" t="inlineStr">
        <is>
          <t>자본 [구성요소]|지배기업의 소유주에게 귀속되는 지분 [구성요소]|기타자본구성요소 [구성요소]</t>
        </is>
      </c>
      <c r="M612" s="29" t="inlineStr">
        <is>
          <t>제 6 기</t>
        </is>
      </c>
      <c r="N612" s="29" t="inlineStr">
        <is>
          <t>해당 없음</t>
        </is>
      </c>
      <c r="O612" s="29" t="inlineStr">
        <is>
          <t>해당 없음</t>
        </is>
      </c>
      <c r="P612" s="29" t="inlineStr">
        <is>
          <t>KRW</t>
        </is>
      </c>
      <c r="Q612" s="29" t="inlineStr">
        <is>
          <t>7</t>
        </is>
      </c>
    </row>
    <row r="613" ht="24" customHeight="1">
      <c r="A613" s="24" t="inlineStr">
        <is>
          <t>OpenDART_fnlttSinglAcntAll</t>
        </is>
      </c>
      <c r="B613" s="24" t="inlineStr">
        <is>
          <t>01365825</t>
        </is>
      </c>
      <c r="C613" s="24" t="inlineStr">
        <is>
          <t>피에스케이</t>
        </is>
      </c>
      <c r="D613" s="24" t="inlineStr">
        <is>
          <t>psk</t>
        </is>
      </c>
      <c r="E613" s="24" t="inlineStr">
        <is>
          <t>319660</t>
        </is>
      </c>
      <c r="F613" s="24" t="inlineStr">
        <is>
          <t>2024</t>
        </is>
      </c>
      <c r="G613" s="24" t="inlineStr">
        <is>
          <t>CFS</t>
        </is>
      </c>
      <c r="H613" s="24" t="inlineStr">
        <is>
          <t>SCE</t>
        </is>
      </c>
      <c r="I613" s="24" t="inlineStr">
        <is>
          <t>자본변동표</t>
        </is>
      </c>
      <c r="J613" s="24" t="inlineStr">
        <is>
          <t>ifrs-full_DividendsPaid</t>
        </is>
      </c>
      <c r="K613" s="24" t="inlineStr">
        <is>
          <t>소유주에 대한 배분으로 인식된 배당금</t>
        </is>
      </c>
      <c r="L613" s="24" t="inlineStr">
        <is>
          <t>자본 [구성요소]|지배기업의 소유주에게 귀속되는 지분 [구성요소]</t>
        </is>
      </c>
      <c r="M613" s="24" t="inlineStr">
        <is>
          <t>제 6 기</t>
        </is>
      </c>
      <c r="N613" s="24" t="inlineStr">
        <is>
          <t>5793342800.0</t>
        </is>
      </c>
      <c r="O613" s="24" t="inlineStr">
        <is>
          <t>11586685600.0</t>
        </is>
      </c>
      <c r="P613" s="24" t="inlineStr">
        <is>
          <t>KRW</t>
        </is>
      </c>
      <c r="Q613" s="24" t="inlineStr">
        <is>
          <t>7</t>
        </is>
      </c>
    </row>
    <row r="614" ht="24" customHeight="1">
      <c r="A614" s="29" t="inlineStr">
        <is>
          <t>OpenDART_fnlttSinglAcntAll</t>
        </is>
      </c>
      <c r="B614" s="29" t="inlineStr">
        <is>
          <t>01365825</t>
        </is>
      </c>
      <c r="C614" s="29" t="inlineStr">
        <is>
          <t>피에스케이</t>
        </is>
      </c>
      <c r="D614" s="29" t="inlineStr">
        <is>
          <t>psk</t>
        </is>
      </c>
      <c r="E614" s="29" t="inlineStr">
        <is>
          <t>319660</t>
        </is>
      </c>
      <c r="F614" s="29" t="inlineStr">
        <is>
          <t>2024</t>
        </is>
      </c>
      <c r="G614" s="29" t="inlineStr">
        <is>
          <t>CFS</t>
        </is>
      </c>
      <c r="H614" s="29" t="inlineStr">
        <is>
          <t>SCE</t>
        </is>
      </c>
      <c r="I614" s="29" t="inlineStr">
        <is>
          <t>자본변동표</t>
        </is>
      </c>
      <c r="J614" s="29" t="inlineStr">
        <is>
          <t>ifrs-full_DividendsPaid</t>
        </is>
      </c>
      <c r="K614" s="29" t="inlineStr">
        <is>
          <t>소유주에 대한 배분으로 인식된 배당금</t>
        </is>
      </c>
      <c r="L614" s="29" t="inlineStr">
        <is>
          <t>연결재무제표 [member]</t>
        </is>
      </c>
      <c r="M614" s="29" t="inlineStr">
        <is>
          <t>제 6 기</t>
        </is>
      </c>
      <c r="N614" s="29" t="inlineStr">
        <is>
          <t>5793342800.0</t>
        </is>
      </c>
      <c r="O614" s="29" t="inlineStr">
        <is>
          <t>11586685600.0</t>
        </is>
      </c>
      <c r="P614" s="29" t="inlineStr">
        <is>
          <t>KRW</t>
        </is>
      </c>
      <c r="Q614" s="29" t="inlineStr">
        <is>
          <t>7</t>
        </is>
      </c>
    </row>
    <row r="615" ht="24" customHeight="1">
      <c r="A615" s="24" t="inlineStr">
        <is>
          <t>OpenDART_fnlttSinglAcntAll</t>
        </is>
      </c>
      <c r="B615" s="24" t="inlineStr">
        <is>
          <t>01365825</t>
        </is>
      </c>
      <c r="C615" s="24" t="inlineStr">
        <is>
          <t>피에스케이</t>
        </is>
      </c>
      <c r="D615" s="24" t="inlineStr">
        <is>
          <t>psk</t>
        </is>
      </c>
      <c r="E615" s="24" t="inlineStr">
        <is>
          <t>319660</t>
        </is>
      </c>
      <c r="F615" s="24" t="inlineStr">
        <is>
          <t>2024</t>
        </is>
      </c>
      <c r="G615" s="24" t="inlineStr">
        <is>
          <t>CFS</t>
        </is>
      </c>
      <c r="H615" s="24" t="inlineStr">
        <is>
          <t>SCE</t>
        </is>
      </c>
      <c r="I615" s="24" t="inlineStr">
        <is>
          <t>자본변동표</t>
        </is>
      </c>
      <c r="J615" s="24" t="inlineStr">
        <is>
          <t>ifrs-full_DividendsPaid</t>
        </is>
      </c>
      <c r="K615" s="24" t="inlineStr">
        <is>
          <t>소유주에 대한 배분으로 인식된 배당금</t>
        </is>
      </c>
      <c r="L615" s="24" t="inlineStr">
        <is>
          <t>자본 [구성요소]|지배기업의 소유주에게 귀속되는 지분 [구성요소]|자본잉여금 [구성요소]</t>
        </is>
      </c>
      <c r="M615" s="24" t="inlineStr">
        <is>
          <t>제 6 기</t>
        </is>
      </c>
      <c r="N615" s="24" t="inlineStr">
        <is>
          <t>해당 없음</t>
        </is>
      </c>
      <c r="O615" s="24" t="inlineStr">
        <is>
          <t>해당 없음</t>
        </is>
      </c>
      <c r="P615" s="24" t="inlineStr">
        <is>
          <t>KRW</t>
        </is>
      </c>
      <c r="Q615" s="24" t="inlineStr">
        <is>
          <t>7</t>
        </is>
      </c>
    </row>
    <row r="616" ht="24" customHeight="1">
      <c r="A616" s="29" t="inlineStr">
        <is>
          <t>OpenDART_fnlttSinglAcntAll</t>
        </is>
      </c>
      <c r="B616" s="29" t="inlineStr">
        <is>
          <t>01365825</t>
        </is>
      </c>
      <c r="C616" s="29" t="inlineStr">
        <is>
          <t>피에스케이</t>
        </is>
      </c>
      <c r="D616" s="29" t="inlineStr">
        <is>
          <t>psk</t>
        </is>
      </c>
      <c r="E616" s="29" t="inlineStr">
        <is>
          <t>319660</t>
        </is>
      </c>
      <c r="F616" s="29" t="inlineStr">
        <is>
          <t>2024</t>
        </is>
      </c>
      <c r="G616" s="29" t="inlineStr">
        <is>
          <t>CFS</t>
        </is>
      </c>
      <c r="H616" s="29" t="inlineStr">
        <is>
          <t>SCE</t>
        </is>
      </c>
      <c r="I616" s="29" t="inlineStr">
        <is>
          <t>자본변동표</t>
        </is>
      </c>
      <c r="J616" s="29" t="inlineStr">
        <is>
          <t>ifrs-full_Equity</t>
        </is>
      </c>
      <c r="K616" s="29" t="inlineStr">
        <is>
          <t>자본총계</t>
        </is>
      </c>
      <c r="L616" s="29" t="inlineStr">
        <is>
          <t>연결재무제표 [member]</t>
        </is>
      </c>
      <c r="M616" s="29" t="inlineStr">
        <is>
          <t>제 6 기</t>
        </is>
      </c>
      <c r="N616" s="29" t="inlineStr">
        <is>
          <t>471716805682.0</t>
        </is>
      </c>
      <c r="O616" s="29" t="inlineStr">
        <is>
          <t>392569607133.0</t>
        </is>
      </c>
      <c r="P616" s="29" t="inlineStr">
        <is>
          <t>KRW</t>
        </is>
      </c>
      <c r="Q616" s="29" t="inlineStr">
        <is>
          <t>8</t>
        </is>
      </c>
    </row>
    <row r="617" ht="24" customHeight="1">
      <c r="A617" s="24" t="inlineStr">
        <is>
          <t>OpenDART_fnlttSinglAcntAll</t>
        </is>
      </c>
      <c r="B617" s="24" t="inlineStr">
        <is>
          <t>01365825</t>
        </is>
      </c>
      <c r="C617" s="24" t="inlineStr">
        <is>
          <t>피에스케이</t>
        </is>
      </c>
      <c r="D617" s="24" t="inlineStr">
        <is>
          <t>psk</t>
        </is>
      </c>
      <c r="E617" s="24" t="inlineStr">
        <is>
          <t>319660</t>
        </is>
      </c>
      <c r="F617" s="24" t="inlineStr">
        <is>
          <t>2024</t>
        </is>
      </c>
      <c r="G617" s="24" t="inlineStr">
        <is>
          <t>CFS</t>
        </is>
      </c>
      <c r="H617" s="24" t="inlineStr">
        <is>
          <t>SCE</t>
        </is>
      </c>
      <c r="I617" s="24" t="inlineStr">
        <is>
          <t>자본변동표</t>
        </is>
      </c>
      <c r="J617" s="24" t="inlineStr">
        <is>
          <t>ifrs-full_Equity</t>
        </is>
      </c>
      <c r="K617" s="24" t="inlineStr">
        <is>
          <t>자본총계</t>
        </is>
      </c>
      <c r="L617" s="24" t="inlineStr">
        <is>
          <t>자본 [구성요소]|지배기업의 소유주에게 귀속되는 지분 [구성요소]</t>
        </is>
      </c>
      <c r="M617" s="24" t="inlineStr">
        <is>
          <t>제 6 기</t>
        </is>
      </c>
      <c r="N617" s="24" t="inlineStr">
        <is>
          <t>471716805682.0</t>
        </is>
      </c>
      <c r="O617" s="24" t="inlineStr">
        <is>
          <t>392569607133.0</t>
        </is>
      </c>
      <c r="P617" s="24" t="inlineStr">
        <is>
          <t>KRW</t>
        </is>
      </c>
      <c r="Q617" s="24" t="inlineStr">
        <is>
          <t>8</t>
        </is>
      </c>
    </row>
    <row r="618" ht="24" customHeight="1">
      <c r="A618" s="29" t="inlineStr">
        <is>
          <t>OpenDART_fnlttSinglAcntAll</t>
        </is>
      </c>
      <c r="B618" s="29" t="inlineStr">
        <is>
          <t>01365825</t>
        </is>
      </c>
      <c r="C618" s="29" t="inlineStr">
        <is>
          <t>피에스케이</t>
        </is>
      </c>
      <c r="D618" s="29" t="inlineStr">
        <is>
          <t>psk</t>
        </is>
      </c>
      <c r="E618" s="29" t="inlineStr">
        <is>
          <t>319660</t>
        </is>
      </c>
      <c r="F618" s="29" t="inlineStr">
        <is>
          <t>2024</t>
        </is>
      </c>
      <c r="G618" s="29" t="inlineStr">
        <is>
          <t>CFS</t>
        </is>
      </c>
      <c r="H618" s="29" t="inlineStr">
        <is>
          <t>SCE</t>
        </is>
      </c>
      <c r="I618" s="29" t="inlineStr">
        <is>
          <t>자본변동표</t>
        </is>
      </c>
      <c r="J618" s="29" t="inlineStr">
        <is>
          <t>ifrs-full_Equity</t>
        </is>
      </c>
      <c r="K618" s="29" t="inlineStr">
        <is>
          <t>자본총계</t>
        </is>
      </c>
      <c r="L618" s="29" t="inlineStr">
        <is>
          <t>자본 [구성요소]|지배기업의 소유주에게 귀속되는 지분 [구성요소]|기타자본구성요소 [구성요소]</t>
        </is>
      </c>
      <c r="M618" s="29" t="inlineStr">
        <is>
          <t>제 6 기</t>
        </is>
      </c>
      <c r="N618" s="29" t="inlineStr">
        <is>
          <t>8898706053.0</t>
        </is>
      </c>
      <c r="O618" s="29" t="inlineStr">
        <is>
          <t>1455981401.0</t>
        </is>
      </c>
      <c r="P618" s="29" t="inlineStr">
        <is>
          <t>KRW</t>
        </is>
      </c>
      <c r="Q618" s="29" t="inlineStr">
        <is>
          <t>8</t>
        </is>
      </c>
    </row>
    <row r="619" ht="24" customHeight="1">
      <c r="A619" s="24" t="inlineStr">
        <is>
          <t>OpenDART_fnlttSinglAcntAll</t>
        </is>
      </c>
      <c r="B619" s="24" t="inlineStr">
        <is>
          <t>01365825</t>
        </is>
      </c>
      <c r="C619" s="24" t="inlineStr">
        <is>
          <t>피에스케이</t>
        </is>
      </c>
      <c r="D619" s="24" t="inlineStr">
        <is>
          <t>psk</t>
        </is>
      </c>
      <c r="E619" s="24" t="inlineStr">
        <is>
          <t>319660</t>
        </is>
      </c>
      <c r="F619" s="24" t="inlineStr">
        <is>
          <t>2024</t>
        </is>
      </c>
      <c r="G619" s="24" t="inlineStr">
        <is>
          <t>CFS</t>
        </is>
      </c>
      <c r="H619" s="24" t="inlineStr">
        <is>
          <t>SCE</t>
        </is>
      </c>
      <c r="I619" s="24" t="inlineStr">
        <is>
          <t>자본변동표</t>
        </is>
      </c>
      <c r="J619" s="24" t="inlineStr">
        <is>
          <t>ifrs-full_Equity</t>
        </is>
      </c>
      <c r="K619" s="24" t="inlineStr">
        <is>
          <t>자본총계</t>
        </is>
      </c>
      <c r="L619" s="24" t="inlineStr">
        <is>
          <t>자본 [구성요소]|지배기업의 소유주에게 귀속되는 지분 [구성요소]|이익잉여금 [구성요소]</t>
        </is>
      </c>
      <c r="M619" s="24" t="inlineStr">
        <is>
          <t>제 6 기</t>
        </is>
      </c>
      <c r="N619" s="24" t="inlineStr">
        <is>
          <t>276233666181.0</t>
        </is>
      </c>
      <c r="O619" s="24" t="inlineStr">
        <is>
          <t>204529192284.0</t>
        </is>
      </c>
      <c r="P619" s="24" t="inlineStr">
        <is>
          <t>KRW</t>
        </is>
      </c>
      <c r="Q619" s="24" t="inlineStr">
        <is>
          <t>8</t>
        </is>
      </c>
    </row>
    <row r="620" ht="24" customHeight="1">
      <c r="A620" s="29" t="inlineStr">
        <is>
          <t>OpenDART_fnlttSinglAcntAll</t>
        </is>
      </c>
      <c r="B620" s="29" t="inlineStr">
        <is>
          <t>01365825</t>
        </is>
      </c>
      <c r="C620" s="29" t="inlineStr">
        <is>
          <t>피에스케이</t>
        </is>
      </c>
      <c r="D620" s="29" t="inlineStr">
        <is>
          <t>psk</t>
        </is>
      </c>
      <c r="E620" s="29" t="inlineStr">
        <is>
          <t>319660</t>
        </is>
      </c>
      <c r="F620" s="29" t="inlineStr">
        <is>
          <t>2024</t>
        </is>
      </c>
      <c r="G620" s="29" t="inlineStr">
        <is>
          <t>CFS</t>
        </is>
      </c>
      <c r="H620" s="29" t="inlineStr">
        <is>
          <t>SCE</t>
        </is>
      </c>
      <c r="I620" s="29" t="inlineStr">
        <is>
          <t>자본변동표</t>
        </is>
      </c>
      <c r="J620" s="29" t="inlineStr">
        <is>
          <t>ifrs-full_Equity</t>
        </is>
      </c>
      <c r="K620" s="29" t="inlineStr">
        <is>
          <t>자본총계</t>
        </is>
      </c>
      <c r="L620" s="29" t="inlineStr">
        <is>
          <t>자본 [구성요소]|지배기업의 소유주에게 귀속되는 지분 [구성요소]|자본금 [구성요소]</t>
        </is>
      </c>
      <c r="M620" s="29" t="inlineStr">
        <is>
          <t>제 6 기</t>
        </is>
      </c>
      <c r="N620" s="29" t="inlineStr">
        <is>
          <t>14624188500.0</t>
        </is>
      </c>
      <c r="O620" s="29" t="inlineStr">
        <is>
          <t>14624188500.0</t>
        </is>
      </c>
      <c r="P620" s="29" t="inlineStr">
        <is>
          <t>KRW</t>
        </is>
      </c>
      <c r="Q620" s="29" t="inlineStr">
        <is>
          <t>8</t>
        </is>
      </c>
    </row>
    <row r="621" ht="24" customHeight="1">
      <c r="A621" s="24" t="inlineStr">
        <is>
          <t>OpenDART_fnlttSinglAcntAll</t>
        </is>
      </c>
      <c r="B621" s="24" t="inlineStr">
        <is>
          <t>01365825</t>
        </is>
      </c>
      <c r="C621" s="24" t="inlineStr">
        <is>
          <t>피에스케이</t>
        </is>
      </c>
      <c r="D621" s="24" t="inlineStr">
        <is>
          <t>psk</t>
        </is>
      </c>
      <c r="E621" s="24" t="inlineStr">
        <is>
          <t>319660</t>
        </is>
      </c>
      <c r="F621" s="24" t="inlineStr">
        <is>
          <t>2024</t>
        </is>
      </c>
      <c r="G621" s="24" t="inlineStr">
        <is>
          <t>CFS</t>
        </is>
      </c>
      <c r="H621" s="24" t="inlineStr">
        <is>
          <t>SCE</t>
        </is>
      </c>
      <c r="I621" s="24" t="inlineStr">
        <is>
          <t>자본변동표</t>
        </is>
      </c>
      <c r="J621" s="24" t="inlineStr">
        <is>
          <t>ifrs-full_Equity</t>
        </is>
      </c>
      <c r="K621" s="24" t="inlineStr">
        <is>
          <t>자본총계</t>
        </is>
      </c>
      <c r="L621" s="24" t="inlineStr">
        <is>
          <t>자본 [구성요소]|지배기업의 소유주에게 귀속되는 지분 [구성요소]|자본잉여금 [구성요소]</t>
        </is>
      </c>
      <c r="M621" s="24" t="inlineStr">
        <is>
          <t>제 6 기</t>
        </is>
      </c>
      <c r="N621" s="24" t="inlineStr">
        <is>
          <t>171960244948.0</t>
        </is>
      </c>
      <c r="O621" s="24" t="inlineStr">
        <is>
          <t>171960244948.0</t>
        </is>
      </c>
      <c r="P621" s="24" t="inlineStr">
        <is>
          <t>KRW</t>
        </is>
      </c>
      <c r="Q621" s="24" t="inlineStr">
        <is>
          <t>8</t>
        </is>
      </c>
    </row>
    <row r="622" ht="24" customHeight="1">
      <c r="A622" s="29" t="inlineStr">
        <is>
          <t>OpenDART_fnlttSinglAcntAll</t>
        </is>
      </c>
      <c r="B622" s="29" t="inlineStr">
        <is>
          <t>01365825</t>
        </is>
      </c>
      <c r="C622" s="29" t="inlineStr">
        <is>
          <t>피에스케이</t>
        </is>
      </c>
      <c r="D622" s="29" t="inlineStr">
        <is>
          <t>psk</t>
        </is>
      </c>
      <c r="E622" s="29" t="inlineStr">
        <is>
          <t>319660</t>
        </is>
      </c>
      <c r="F622" s="29" t="inlineStr">
        <is>
          <t>2024</t>
        </is>
      </c>
      <c r="G622" s="29" t="inlineStr">
        <is>
          <t>CFS</t>
        </is>
      </c>
      <c r="H622" s="29" t="inlineStr">
        <is>
          <t>SCE</t>
        </is>
      </c>
      <c r="I622" s="29" t="inlineStr">
        <is>
          <t>자본변동표</t>
        </is>
      </c>
      <c r="J622" s="29" t="inlineStr">
        <is>
          <t>ifrs-full_OtherComprehensiveIncome</t>
        </is>
      </c>
      <c r="K622" s="29" t="inlineStr">
        <is>
          <t>기타포괄손익</t>
        </is>
      </c>
      <c r="L622" s="29" t="inlineStr">
        <is>
          <t>자본 [구성요소]|지배기업의 소유주에게 귀속되는 지분 [구성요소]|기타자본구성요소 [구성요소]</t>
        </is>
      </c>
      <c r="M622" s="29" t="inlineStr">
        <is>
          <t>제 6 기</t>
        </is>
      </c>
      <c r="N622" s="29" t="inlineStr">
        <is>
          <t>7442724652.0</t>
        </is>
      </c>
      <c r="O622" s="29" t="inlineStr">
        <is>
          <t>-404111832.0</t>
        </is>
      </c>
      <c r="P622" s="29" t="inlineStr">
        <is>
          <t>KRW</t>
        </is>
      </c>
      <c r="Q622" s="29" t="inlineStr">
        <is>
          <t>9</t>
        </is>
      </c>
    </row>
    <row r="623" ht="24" customHeight="1">
      <c r="A623" s="24" t="inlineStr">
        <is>
          <t>OpenDART_fnlttSinglAcntAll</t>
        </is>
      </c>
      <c r="B623" s="24" t="inlineStr">
        <is>
          <t>01365825</t>
        </is>
      </c>
      <c r="C623" s="24" t="inlineStr">
        <is>
          <t>피에스케이</t>
        </is>
      </c>
      <c r="D623" s="24" t="inlineStr">
        <is>
          <t>psk</t>
        </is>
      </c>
      <c r="E623" s="24" t="inlineStr">
        <is>
          <t>319660</t>
        </is>
      </c>
      <c r="F623" s="24" t="inlineStr">
        <is>
          <t>2024</t>
        </is>
      </c>
      <c r="G623" s="24" t="inlineStr">
        <is>
          <t>CFS</t>
        </is>
      </c>
      <c r="H623" s="24" t="inlineStr">
        <is>
          <t>SCE</t>
        </is>
      </c>
      <c r="I623" s="24" t="inlineStr">
        <is>
          <t>자본변동표</t>
        </is>
      </c>
      <c r="J623" s="24" t="inlineStr">
        <is>
          <t>ifrs-full_OtherComprehensiveIncome</t>
        </is>
      </c>
      <c r="K623" s="24" t="inlineStr">
        <is>
          <t>기타포괄손익</t>
        </is>
      </c>
      <c r="L623" s="24" t="inlineStr">
        <is>
          <t>자본 [구성요소]|지배기업의 소유주에게 귀속되는 지분 [구성요소]|자본잉여금 [구성요소]</t>
        </is>
      </c>
      <c r="M623" s="24" t="inlineStr">
        <is>
          <t>제 6 기</t>
        </is>
      </c>
      <c r="N623" s="24" t="inlineStr">
        <is>
          <t>해당 없음</t>
        </is>
      </c>
      <c r="O623" s="24" t="inlineStr">
        <is>
          <t>0.0</t>
        </is>
      </c>
      <c r="P623" s="24" t="inlineStr">
        <is>
          <t>KRW</t>
        </is>
      </c>
      <c r="Q623" s="24" t="inlineStr">
        <is>
          <t>9</t>
        </is>
      </c>
    </row>
    <row r="624" ht="24" customHeight="1">
      <c r="A624" s="29" t="inlineStr">
        <is>
          <t>OpenDART_fnlttSinglAcntAll</t>
        </is>
      </c>
      <c r="B624" s="29" t="inlineStr">
        <is>
          <t>01365825</t>
        </is>
      </c>
      <c r="C624" s="29" t="inlineStr">
        <is>
          <t>피에스케이</t>
        </is>
      </c>
      <c r="D624" s="29" t="inlineStr">
        <is>
          <t>psk</t>
        </is>
      </c>
      <c r="E624" s="29" t="inlineStr">
        <is>
          <t>319660</t>
        </is>
      </c>
      <c r="F624" s="29" t="inlineStr">
        <is>
          <t>2024</t>
        </is>
      </c>
      <c r="G624" s="29" t="inlineStr">
        <is>
          <t>CFS</t>
        </is>
      </c>
      <c r="H624" s="29" t="inlineStr">
        <is>
          <t>SCE</t>
        </is>
      </c>
      <c r="I624" s="29" t="inlineStr">
        <is>
          <t>자본변동표</t>
        </is>
      </c>
      <c r="J624" s="29" t="inlineStr">
        <is>
          <t>ifrs-full_OtherComprehensiveIncome</t>
        </is>
      </c>
      <c r="K624" s="29" t="inlineStr">
        <is>
          <t>기타포괄손익</t>
        </is>
      </c>
      <c r="L624" s="29" t="inlineStr">
        <is>
          <t>자본 [구성요소]|지배기업의 소유주에게 귀속되는 지분 [구성요소]|자본금 [구성요소]</t>
        </is>
      </c>
      <c r="M624" s="29" t="inlineStr">
        <is>
          <t>제 6 기</t>
        </is>
      </c>
      <c r="N624" s="29" t="inlineStr">
        <is>
          <t>해당 없음</t>
        </is>
      </c>
      <c r="O624" s="29" t="inlineStr">
        <is>
          <t>0.0</t>
        </is>
      </c>
      <c r="P624" s="29" t="inlineStr">
        <is>
          <t>KRW</t>
        </is>
      </c>
      <c r="Q624" s="29" t="inlineStr">
        <is>
          <t>9</t>
        </is>
      </c>
    </row>
    <row r="625" ht="24" customHeight="1">
      <c r="A625" s="24" t="inlineStr">
        <is>
          <t>OpenDART_fnlttSinglAcntAll</t>
        </is>
      </c>
      <c r="B625" s="24" t="inlineStr">
        <is>
          <t>01365825</t>
        </is>
      </c>
      <c r="C625" s="24" t="inlineStr">
        <is>
          <t>피에스케이</t>
        </is>
      </c>
      <c r="D625" s="24" t="inlineStr">
        <is>
          <t>psk</t>
        </is>
      </c>
      <c r="E625" s="24" t="inlineStr">
        <is>
          <t>319660</t>
        </is>
      </c>
      <c r="F625" s="24" t="inlineStr">
        <is>
          <t>2024</t>
        </is>
      </c>
      <c r="G625" s="24" t="inlineStr">
        <is>
          <t>CFS</t>
        </is>
      </c>
      <c r="H625" s="24" t="inlineStr">
        <is>
          <t>SCE</t>
        </is>
      </c>
      <c r="I625" s="24" t="inlineStr">
        <is>
          <t>자본변동표</t>
        </is>
      </c>
      <c r="J625" s="24" t="inlineStr">
        <is>
          <t>ifrs-full_OtherComprehensiveIncome</t>
        </is>
      </c>
      <c r="K625" s="24" t="inlineStr">
        <is>
          <t>기타포괄손익</t>
        </is>
      </c>
      <c r="L625" s="24" t="inlineStr">
        <is>
          <t>자본 [구성요소]|지배기업의 소유주에게 귀속되는 지분 [구성요소]|이익잉여금 [구성요소]</t>
        </is>
      </c>
      <c r="M625" s="24" t="inlineStr">
        <is>
          <t>제 6 기</t>
        </is>
      </c>
      <c r="N625" s="24" t="inlineStr">
        <is>
          <t>-1630399588.0</t>
        </is>
      </c>
      <c r="O625" s="24" t="inlineStr">
        <is>
          <t>-1267301603.0</t>
        </is>
      </c>
      <c r="P625" s="24" t="inlineStr">
        <is>
          <t>KRW</t>
        </is>
      </c>
      <c r="Q625" s="24" t="inlineStr">
        <is>
          <t>9</t>
        </is>
      </c>
    </row>
    <row r="626" ht="24" customHeight="1">
      <c r="A626" s="29" t="inlineStr">
        <is>
          <t>OpenDART_fnlttSinglAcntAll</t>
        </is>
      </c>
      <c r="B626" s="29" t="inlineStr">
        <is>
          <t>01365825</t>
        </is>
      </c>
      <c r="C626" s="29" t="inlineStr">
        <is>
          <t>피에스케이</t>
        </is>
      </c>
      <c r="D626" s="29" t="inlineStr">
        <is>
          <t>psk</t>
        </is>
      </c>
      <c r="E626" s="29" t="inlineStr">
        <is>
          <t>319660</t>
        </is>
      </c>
      <c r="F626" s="29" t="inlineStr">
        <is>
          <t>2024</t>
        </is>
      </c>
      <c r="G626" s="29" t="inlineStr">
        <is>
          <t>CFS</t>
        </is>
      </c>
      <c r="H626" s="29" t="inlineStr">
        <is>
          <t>SCE</t>
        </is>
      </c>
      <c r="I626" s="29" t="inlineStr">
        <is>
          <t>자본변동표</t>
        </is>
      </c>
      <c r="J626" s="29" t="inlineStr">
        <is>
          <t>ifrs-full_OtherComprehensiveIncome</t>
        </is>
      </c>
      <c r="K626" s="29" t="inlineStr">
        <is>
          <t>기타포괄손익</t>
        </is>
      </c>
      <c r="L626" s="29" t="inlineStr">
        <is>
          <t>자본 [구성요소]|지배기업의 소유주에게 귀속되는 지분 [구성요소]</t>
        </is>
      </c>
      <c r="M626" s="29" t="inlineStr">
        <is>
          <t>제 6 기</t>
        </is>
      </c>
      <c r="N626" s="29" t="inlineStr">
        <is>
          <t>5812325064.0</t>
        </is>
      </c>
      <c r="O626" s="29" t="inlineStr">
        <is>
          <t>-1671413435.0</t>
        </is>
      </c>
      <c r="P626" s="29" t="inlineStr">
        <is>
          <t>KRW</t>
        </is>
      </c>
      <c r="Q626" s="29" t="inlineStr">
        <is>
          <t>9</t>
        </is>
      </c>
    </row>
    <row r="627" ht="24" customHeight="1">
      <c r="A627" s="24" t="inlineStr">
        <is>
          <t>OpenDART_fnlttSinglAcntAll</t>
        </is>
      </c>
      <c r="B627" s="24" t="inlineStr">
        <is>
          <t>01365825</t>
        </is>
      </c>
      <c r="C627" s="24" t="inlineStr">
        <is>
          <t>피에스케이</t>
        </is>
      </c>
      <c r="D627" s="24" t="inlineStr">
        <is>
          <t>psk</t>
        </is>
      </c>
      <c r="E627" s="24" t="inlineStr">
        <is>
          <t>319660</t>
        </is>
      </c>
      <c r="F627" s="24" t="inlineStr">
        <is>
          <t>2024</t>
        </is>
      </c>
      <c r="G627" s="24" t="inlineStr">
        <is>
          <t>CFS</t>
        </is>
      </c>
      <c r="H627" s="24" t="inlineStr">
        <is>
          <t>SCE</t>
        </is>
      </c>
      <c r="I627" s="24" t="inlineStr">
        <is>
          <t>자본변동표</t>
        </is>
      </c>
      <c r="J627" s="24" t="inlineStr">
        <is>
          <t>ifrs-full_OtherComprehensiveIncome</t>
        </is>
      </c>
      <c r="K627" s="24" t="inlineStr">
        <is>
          <t>기타포괄손익</t>
        </is>
      </c>
      <c r="L627" s="24" t="inlineStr">
        <is>
          <t>연결재무제표 [member]</t>
        </is>
      </c>
      <c r="M627" s="24" t="inlineStr">
        <is>
          <t>제 6 기</t>
        </is>
      </c>
      <c r="N627" s="24" t="inlineStr">
        <is>
          <t>5812325064.0</t>
        </is>
      </c>
      <c r="O627" s="24" t="inlineStr">
        <is>
          <t>-1671413435.0</t>
        </is>
      </c>
      <c r="P627" s="24" t="inlineStr">
        <is>
          <t>KRW</t>
        </is>
      </c>
      <c r="Q627" s="24" t="inlineStr">
        <is>
          <t>9</t>
        </is>
      </c>
    </row>
    <row r="628" ht="24" customHeight="1">
      <c r="A628" s="29" t="inlineStr">
        <is>
          <t>OpenDART_fnlttSinglAcntAll</t>
        </is>
      </c>
      <c r="B628" s="29" t="inlineStr">
        <is>
          <t>01365825</t>
        </is>
      </c>
      <c r="C628" s="29" t="inlineStr">
        <is>
          <t>피에스케이</t>
        </is>
      </c>
      <c r="D628" s="29" t="inlineStr">
        <is>
          <t>psk</t>
        </is>
      </c>
      <c r="E628" s="29" t="inlineStr">
        <is>
          <t>319660</t>
        </is>
      </c>
      <c r="F628" s="29" t="inlineStr">
        <is>
          <t>2024</t>
        </is>
      </c>
      <c r="G628" s="29" t="inlineStr">
        <is>
          <t>CFS</t>
        </is>
      </c>
      <c r="H628" s="29" t="inlineStr">
        <is>
          <t>SCE</t>
        </is>
      </c>
      <c r="I628" s="29" t="inlineStr">
        <is>
          <t>자본변동표</t>
        </is>
      </c>
      <c r="J628" s="29" t="inlineStr">
        <is>
          <t>ifrs-full_GainsLossesOnExchangeDifferencesOnTranslationNetOfTax</t>
        </is>
      </c>
      <c r="K628" s="29" t="inlineStr">
        <is>
          <t>해외사업장환산외환차이(세후기타포괄손익)</t>
        </is>
      </c>
      <c r="L628" s="29" t="inlineStr">
        <is>
          <t>자본 [구성요소]|지배기업의 소유주에게 귀속되는 지분 [구성요소]|기타자본구성요소 [구성요소]</t>
        </is>
      </c>
      <c r="M628" s="29" t="inlineStr">
        <is>
          <t>제 6 기</t>
        </is>
      </c>
      <c r="N628" s="29" t="inlineStr">
        <is>
          <t>7442724652.0</t>
        </is>
      </c>
      <c r="O628" s="29" t="inlineStr">
        <is>
          <t>-404111832.0</t>
        </is>
      </c>
      <c r="P628" s="29" t="inlineStr">
        <is>
          <t>KRW</t>
        </is>
      </c>
      <c r="Q628" s="29" t="inlineStr">
        <is>
          <t>10</t>
        </is>
      </c>
    </row>
    <row r="629" ht="24" customHeight="1">
      <c r="A629" s="24" t="inlineStr">
        <is>
          <t>OpenDART_fnlttSinglAcntAll</t>
        </is>
      </c>
      <c r="B629" s="24" t="inlineStr">
        <is>
          <t>01365825</t>
        </is>
      </c>
      <c r="C629" s="24" t="inlineStr">
        <is>
          <t>피에스케이</t>
        </is>
      </c>
      <c r="D629" s="24" t="inlineStr">
        <is>
          <t>psk</t>
        </is>
      </c>
      <c r="E629" s="24" t="inlineStr">
        <is>
          <t>319660</t>
        </is>
      </c>
      <c r="F629" s="24" t="inlineStr">
        <is>
          <t>2024</t>
        </is>
      </c>
      <c r="G629" s="24" t="inlineStr">
        <is>
          <t>CFS</t>
        </is>
      </c>
      <c r="H629" s="24" t="inlineStr">
        <is>
          <t>SCE</t>
        </is>
      </c>
      <c r="I629" s="24" t="inlineStr">
        <is>
          <t>자본변동표</t>
        </is>
      </c>
      <c r="J629" s="24" t="inlineStr">
        <is>
          <t>ifrs-full_GainsLossesOnExchangeDifferencesOnTranslationNetOfTax</t>
        </is>
      </c>
      <c r="K629" s="24" t="inlineStr">
        <is>
          <t>해외사업장환산외환차이(세후기타포괄손익)</t>
        </is>
      </c>
      <c r="L629" s="24" t="inlineStr">
        <is>
          <t>자본 [구성요소]|지배기업의 소유주에게 귀속되는 지분 [구성요소]</t>
        </is>
      </c>
      <c r="M629" s="24" t="inlineStr">
        <is>
          <t>제 6 기</t>
        </is>
      </c>
      <c r="N629" s="24" t="inlineStr">
        <is>
          <t>7442724652.0</t>
        </is>
      </c>
      <c r="O629" s="24" t="inlineStr">
        <is>
          <t>-404111832.0</t>
        </is>
      </c>
      <c r="P629" s="24" t="inlineStr">
        <is>
          <t>KRW</t>
        </is>
      </c>
      <c r="Q629" s="24" t="inlineStr">
        <is>
          <t>10</t>
        </is>
      </c>
    </row>
    <row r="630" ht="24" customHeight="1">
      <c r="A630" s="29" t="inlineStr">
        <is>
          <t>OpenDART_fnlttSinglAcntAll</t>
        </is>
      </c>
      <c r="B630" s="29" t="inlineStr">
        <is>
          <t>01365825</t>
        </is>
      </c>
      <c r="C630" s="29" t="inlineStr">
        <is>
          <t>피에스케이</t>
        </is>
      </c>
      <c r="D630" s="29" t="inlineStr">
        <is>
          <t>psk</t>
        </is>
      </c>
      <c r="E630" s="29" t="inlineStr">
        <is>
          <t>319660</t>
        </is>
      </c>
      <c r="F630" s="29" t="inlineStr">
        <is>
          <t>2024</t>
        </is>
      </c>
      <c r="G630" s="29" t="inlineStr">
        <is>
          <t>CFS</t>
        </is>
      </c>
      <c r="H630" s="29" t="inlineStr">
        <is>
          <t>SCE</t>
        </is>
      </c>
      <c r="I630" s="29" t="inlineStr">
        <is>
          <t>자본변동표</t>
        </is>
      </c>
      <c r="J630" s="29" t="inlineStr">
        <is>
          <t>ifrs-full_GainsLossesOnExchangeDifferencesOnTranslationNetOfTax</t>
        </is>
      </c>
      <c r="K630" s="29" t="inlineStr">
        <is>
          <t>해외사업장환산외환차이(세후기타포괄손익)</t>
        </is>
      </c>
      <c r="L630" s="29" t="inlineStr">
        <is>
          <t>자본 [구성요소]|지배기업의 소유주에게 귀속되는 지분 [구성요소]|이익잉여금 [구성요소]</t>
        </is>
      </c>
      <c r="M630" s="29" t="inlineStr">
        <is>
          <t>제 6 기</t>
        </is>
      </c>
      <c r="N630" s="29" t="inlineStr">
        <is>
          <t>해당 없음</t>
        </is>
      </c>
      <c r="O630" s="29" t="inlineStr">
        <is>
          <t>해당 없음</t>
        </is>
      </c>
      <c r="P630" s="29" t="inlineStr">
        <is>
          <t>KRW</t>
        </is>
      </c>
      <c r="Q630" s="29" t="inlineStr">
        <is>
          <t>10</t>
        </is>
      </c>
    </row>
    <row r="631" ht="24" customHeight="1">
      <c r="A631" s="24" t="inlineStr">
        <is>
          <t>OpenDART_fnlttSinglAcntAll</t>
        </is>
      </c>
      <c r="B631" s="24" t="inlineStr">
        <is>
          <t>01365825</t>
        </is>
      </c>
      <c r="C631" s="24" t="inlineStr">
        <is>
          <t>피에스케이</t>
        </is>
      </c>
      <c r="D631" s="24" t="inlineStr">
        <is>
          <t>psk</t>
        </is>
      </c>
      <c r="E631" s="24" t="inlineStr">
        <is>
          <t>319660</t>
        </is>
      </c>
      <c r="F631" s="24" t="inlineStr">
        <is>
          <t>2024</t>
        </is>
      </c>
      <c r="G631" s="24" t="inlineStr">
        <is>
          <t>CFS</t>
        </is>
      </c>
      <c r="H631" s="24" t="inlineStr">
        <is>
          <t>SCE</t>
        </is>
      </c>
      <c r="I631" s="24" t="inlineStr">
        <is>
          <t>자본변동표</t>
        </is>
      </c>
      <c r="J631" s="24" t="inlineStr">
        <is>
          <t>ifrs-full_GainsLossesOnExchangeDifferencesOnTranslationNetOfTax</t>
        </is>
      </c>
      <c r="K631" s="24" t="inlineStr">
        <is>
          <t>해외사업장환산외환차이(세후기타포괄손익)</t>
        </is>
      </c>
      <c r="L631" s="24" t="inlineStr">
        <is>
          <t>자본 [구성요소]|지배기업의 소유주에게 귀속되는 지분 [구성요소]|자본금 [구성요소]</t>
        </is>
      </c>
      <c r="M631" s="24" t="inlineStr">
        <is>
          <t>제 6 기</t>
        </is>
      </c>
      <c r="N631" s="24" t="inlineStr">
        <is>
          <t>해당 없음</t>
        </is>
      </c>
      <c r="O631" s="24" t="inlineStr">
        <is>
          <t>해당 없음</t>
        </is>
      </c>
      <c r="P631" s="24" t="inlineStr">
        <is>
          <t>KRW</t>
        </is>
      </c>
      <c r="Q631" s="24" t="inlineStr">
        <is>
          <t>10</t>
        </is>
      </c>
    </row>
    <row r="632" ht="24" customHeight="1">
      <c r="A632" s="29" t="inlineStr">
        <is>
          <t>OpenDART_fnlttSinglAcntAll</t>
        </is>
      </c>
      <c r="B632" s="29" t="inlineStr">
        <is>
          <t>01365825</t>
        </is>
      </c>
      <c r="C632" s="29" t="inlineStr">
        <is>
          <t>피에스케이</t>
        </is>
      </c>
      <c r="D632" s="29" t="inlineStr">
        <is>
          <t>psk</t>
        </is>
      </c>
      <c r="E632" s="29" t="inlineStr">
        <is>
          <t>319660</t>
        </is>
      </c>
      <c r="F632" s="29" t="inlineStr">
        <is>
          <t>2024</t>
        </is>
      </c>
      <c r="G632" s="29" t="inlineStr">
        <is>
          <t>CFS</t>
        </is>
      </c>
      <c r="H632" s="29" t="inlineStr">
        <is>
          <t>SCE</t>
        </is>
      </c>
      <c r="I632" s="29" t="inlineStr">
        <is>
          <t>자본변동표</t>
        </is>
      </c>
      <c r="J632" s="29" t="inlineStr">
        <is>
          <t>ifrs-full_GainsLossesOnExchangeDifferencesOnTranslationNetOfTax</t>
        </is>
      </c>
      <c r="K632" s="29" t="inlineStr">
        <is>
          <t>해외사업장환산외환차이(세후기타포괄손익)</t>
        </is>
      </c>
      <c r="L632" s="29" t="inlineStr">
        <is>
          <t>자본 [구성요소]|지배기업의 소유주에게 귀속되는 지분 [구성요소]|자본잉여금 [구성요소]</t>
        </is>
      </c>
      <c r="M632" s="29" t="inlineStr">
        <is>
          <t>제 6 기</t>
        </is>
      </c>
      <c r="N632" s="29" t="inlineStr">
        <is>
          <t>해당 없음</t>
        </is>
      </c>
      <c r="O632" s="29" t="inlineStr">
        <is>
          <t>해당 없음</t>
        </is>
      </c>
      <c r="P632" s="29" t="inlineStr">
        <is>
          <t>KRW</t>
        </is>
      </c>
      <c r="Q632" s="29" t="inlineStr">
        <is>
          <t>10</t>
        </is>
      </c>
    </row>
    <row r="633" ht="24" customHeight="1">
      <c r="A633" s="24" t="inlineStr">
        <is>
          <t>OpenDART_fnlttSinglAcntAll</t>
        </is>
      </c>
      <c r="B633" s="24" t="inlineStr">
        <is>
          <t>01365825</t>
        </is>
      </c>
      <c r="C633" s="24" t="inlineStr">
        <is>
          <t>피에스케이</t>
        </is>
      </c>
      <c r="D633" s="24" t="inlineStr">
        <is>
          <t>psk</t>
        </is>
      </c>
      <c r="E633" s="24" t="inlineStr">
        <is>
          <t>319660</t>
        </is>
      </c>
      <c r="F633" s="24" t="inlineStr">
        <is>
          <t>2024</t>
        </is>
      </c>
      <c r="G633" s="24" t="inlineStr">
        <is>
          <t>CFS</t>
        </is>
      </c>
      <c r="H633" s="24" t="inlineStr">
        <is>
          <t>SCE</t>
        </is>
      </c>
      <c r="I633" s="24" t="inlineStr">
        <is>
          <t>자본변동표</t>
        </is>
      </c>
      <c r="J633" s="24" t="inlineStr">
        <is>
          <t>ifrs-full_GainsLossesOnExchangeDifferencesOnTranslationNetOfTax</t>
        </is>
      </c>
      <c r="K633" s="24" t="inlineStr">
        <is>
          <t>해외사업장환산외환차이(세후기타포괄손익)</t>
        </is>
      </c>
      <c r="L633" s="24" t="inlineStr">
        <is>
          <t>연결재무제표 [member]</t>
        </is>
      </c>
      <c r="M633" s="24" t="inlineStr">
        <is>
          <t>제 6 기</t>
        </is>
      </c>
      <c r="N633" s="24" t="inlineStr">
        <is>
          <t>7442724652.0</t>
        </is>
      </c>
      <c r="O633" s="24" t="inlineStr">
        <is>
          <t>-404111832.0</t>
        </is>
      </c>
      <c r="P633" s="24" t="inlineStr">
        <is>
          <t>KRW</t>
        </is>
      </c>
      <c r="Q633" s="24" t="inlineStr">
        <is>
          <t>10</t>
        </is>
      </c>
    </row>
    <row r="634" ht="24" customHeight="1">
      <c r="A634" s="29" t="inlineStr">
        <is>
          <t>OpenDART_fnlttSinglAcntAll</t>
        </is>
      </c>
      <c r="B634" s="29" t="inlineStr">
        <is>
          <t>01365825</t>
        </is>
      </c>
      <c r="C634" s="29" t="inlineStr">
        <is>
          <t>피에스케이</t>
        </is>
      </c>
      <c r="D634" s="29" t="inlineStr">
        <is>
          <t>psk</t>
        </is>
      </c>
      <c r="E634" s="29" t="inlineStr">
        <is>
          <t>319660</t>
        </is>
      </c>
      <c r="F634" s="29" t="inlineStr">
        <is>
          <t>2024</t>
        </is>
      </c>
      <c r="G634" s="29" t="inlineStr">
        <is>
          <t>CFS</t>
        </is>
      </c>
      <c r="H634" s="29" t="inlineStr">
        <is>
          <t>SCE</t>
        </is>
      </c>
      <c r="I634" s="29" t="inlineStr">
        <is>
          <t>자본변동표</t>
        </is>
      </c>
      <c r="J634" s="29" t="inlineStr">
        <is>
          <t>ifrs-full_OtherComprehensiveIncomeNetOfTaxGainsLossesOnRemeasurementsOfDefinedBenefitPlans</t>
        </is>
      </c>
      <c r="K634" s="29" t="inlineStr">
        <is>
          <t>확정급여제도의 재측정손익(세후기타포괄손익)</t>
        </is>
      </c>
      <c r="L634" s="29" t="inlineStr">
        <is>
          <t>자본 [구성요소]|지배기업의 소유주에게 귀속되는 지분 [구성요소]</t>
        </is>
      </c>
      <c r="M634" s="29" t="inlineStr">
        <is>
          <t>제 6 기</t>
        </is>
      </c>
      <c r="N634" s="29" t="inlineStr">
        <is>
          <t>-1630399588.0</t>
        </is>
      </c>
      <c r="O634" s="29" t="inlineStr">
        <is>
          <t>-1267301603.0</t>
        </is>
      </c>
      <c r="P634" s="29" t="inlineStr">
        <is>
          <t>KRW</t>
        </is>
      </c>
      <c r="Q634" s="29" t="inlineStr">
        <is>
          <t>11</t>
        </is>
      </c>
    </row>
    <row r="635" ht="24" customHeight="1">
      <c r="A635" s="24" t="inlineStr">
        <is>
          <t>OpenDART_fnlttSinglAcntAll</t>
        </is>
      </c>
      <c r="B635" s="24" t="inlineStr">
        <is>
          <t>01365825</t>
        </is>
      </c>
      <c r="C635" s="24" t="inlineStr">
        <is>
          <t>피에스케이</t>
        </is>
      </c>
      <c r="D635" s="24" t="inlineStr">
        <is>
          <t>psk</t>
        </is>
      </c>
      <c r="E635" s="24" t="inlineStr">
        <is>
          <t>319660</t>
        </is>
      </c>
      <c r="F635" s="24" t="inlineStr">
        <is>
          <t>2024</t>
        </is>
      </c>
      <c r="G635" s="24" t="inlineStr">
        <is>
          <t>CFS</t>
        </is>
      </c>
      <c r="H635" s="24" t="inlineStr">
        <is>
          <t>SCE</t>
        </is>
      </c>
      <c r="I635" s="24" t="inlineStr">
        <is>
          <t>자본변동표</t>
        </is>
      </c>
      <c r="J635" s="24" t="inlineStr">
        <is>
          <t>ifrs-full_OtherComprehensiveIncomeNetOfTaxGainsLossesOnRemeasurementsOfDefinedBenefitPlans</t>
        </is>
      </c>
      <c r="K635" s="24" t="inlineStr">
        <is>
          <t>확정급여제도의 재측정손익(세후기타포괄손익)</t>
        </is>
      </c>
      <c r="L635" s="24" t="inlineStr">
        <is>
          <t>연결재무제표 [member]</t>
        </is>
      </c>
      <c r="M635" s="24" t="inlineStr">
        <is>
          <t>제 6 기</t>
        </is>
      </c>
      <c r="N635" s="24" t="inlineStr">
        <is>
          <t>-1630399588.0</t>
        </is>
      </c>
      <c r="O635" s="24" t="inlineStr">
        <is>
          <t>-1267301603.0</t>
        </is>
      </c>
      <c r="P635" s="24" t="inlineStr">
        <is>
          <t>KRW</t>
        </is>
      </c>
      <c r="Q635" s="24" t="inlineStr">
        <is>
          <t>11</t>
        </is>
      </c>
    </row>
    <row r="636" ht="24" customHeight="1">
      <c r="A636" s="29" t="inlineStr">
        <is>
          <t>OpenDART_fnlttSinglAcntAll</t>
        </is>
      </c>
      <c r="B636" s="29" t="inlineStr">
        <is>
          <t>01365825</t>
        </is>
      </c>
      <c r="C636" s="29" t="inlineStr">
        <is>
          <t>피에스케이</t>
        </is>
      </c>
      <c r="D636" s="29" t="inlineStr">
        <is>
          <t>psk</t>
        </is>
      </c>
      <c r="E636" s="29" t="inlineStr">
        <is>
          <t>319660</t>
        </is>
      </c>
      <c r="F636" s="29" t="inlineStr">
        <is>
          <t>2024</t>
        </is>
      </c>
      <c r="G636" s="29" t="inlineStr">
        <is>
          <t>CFS</t>
        </is>
      </c>
      <c r="H636" s="29" t="inlineStr">
        <is>
          <t>SCE</t>
        </is>
      </c>
      <c r="I636" s="29" t="inlineStr">
        <is>
          <t>자본변동표</t>
        </is>
      </c>
      <c r="J636" s="29" t="inlineStr">
        <is>
          <t>ifrs-full_OtherComprehensiveIncomeNetOfTaxGainsLossesOnRemeasurementsOfDefinedBenefitPlans</t>
        </is>
      </c>
      <c r="K636" s="29" t="inlineStr">
        <is>
          <t>확정급여제도의 재측정손익(세후기타포괄손익)</t>
        </is>
      </c>
      <c r="L636" s="29" t="inlineStr">
        <is>
          <t>자본 [구성요소]|지배기업의 소유주에게 귀속되는 지분 [구성요소]|기타자본구성요소 [구성요소]</t>
        </is>
      </c>
      <c r="M636" s="29" t="inlineStr">
        <is>
          <t>제 6 기</t>
        </is>
      </c>
      <c r="N636" s="29" t="inlineStr">
        <is>
          <t>해당 없음</t>
        </is>
      </c>
      <c r="O636" s="29" t="inlineStr">
        <is>
          <t>해당 없음</t>
        </is>
      </c>
      <c r="P636" s="29" t="inlineStr">
        <is>
          <t>KRW</t>
        </is>
      </c>
      <c r="Q636" s="29" t="inlineStr">
        <is>
          <t>11</t>
        </is>
      </c>
    </row>
    <row r="637" ht="24" customHeight="1">
      <c r="A637" s="24" t="inlineStr">
        <is>
          <t>OpenDART_fnlttSinglAcntAll</t>
        </is>
      </c>
      <c r="B637" s="24" t="inlineStr">
        <is>
          <t>01365825</t>
        </is>
      </c>
      <c r="C637" s="24" t="inlineStr">
        <is>
          <t>피에스케이</t>
        </is>
      </c>
      <c r="D637" s="24" t="inlineStr">
        <is>
          <t>psk</t>
        </is>
      </c>
      <c r="E637" s="24" t="inlineStr">
        <is>
          <t>319660</t>
        </is>
      </c>
      <c r="F637" s="24" t="inlineStr">
        <is>
          <t>2024</t>
        </is>
      </c>
      <c r="G637" s="24" t="inlineStr">
        <is>
          <t>CFS</t>
        </is>
      </c>
      <c r="H637" s="24" t="inlineStr">
        <is>
          <t>SCE</t>
        </is>
      </c>
      <c r="I637" s="24" t="inlineStr">
        <is>
          <t>자본변동표</t>
        </is>
      </c>
      <c r="J637" s="24" t="inlineStr">
        <is>
          <t>ifrs-full_OtherComprehensiveIncomeNetOfTaxGainsLossesOnRemeasurementsOfDefinedBenefitPlans</t>
        </is>
      </c>
      <c r="K637" s="24" t="inlineStr">
        <is>
          <t>확정급여제도의 재측정손익(세후기타포괄손익)</t>
        </is>
      </c>
      <c r="L637" s="24" t="inlineStr">
        <is>
          <t>자본 [구성요소]|지배기업의 소유주에게 귀속되는 지분 [구성요소]|자본잉여금 [구성요소]</t>
        </is>
      </c>
      <c r="M637" s="24" t="inlineStr">
        <is>
          <t>제 6 기</t>
        </is>
      </c>
      <c r="N637" s="24" t="inlineStr">
        <is>
          <t>해당 없음</t>
        </is>
      </c>
      <c r="O637" s="24" t="inlineStr">
        <is>
          <t>해당 없음</t>
        </is>
      </c>
      <c r="P637" s="24" t="inlineStr">
        <is>
          <t>KRW</t>
        </is>
      </c>
      <c r="Q637" s="24" t="inlineStr">
        <is>
          <t>11</t>
        </is>
      </c>
    </row>
    <row r="638" ht="24" customHeight="1">
      <c r="A638" s="29" t="inlineStr">
        <is>
          <t>OpenDART_fnlttSinglAcntAll</t>
        </is>
      </c>
      <c r="B638" s="29" t="inlineStr">
        <is>
          <t>01365825</t>
        </is>
      </c>
      <c r="C638" s="29" t="inlineStr">
        <is>
          <t>피에스케이</t>
        </is>
      </c>
      <c r="D638" s="29" t="inlineStr">
        <is>
          <t>psk</t>
        </is>
      </c>
      <c r="E638" s="29" t="inlineStr">
        <is>
          <t>319660</t>
        </is>
      </c>
      <c r="F638" s="29" t="inlineStr">
        <is>
          <t>2024</t>
        </is>
      </c>
      <c r="G638" s="29" t="inlineStr">
        <is>
          <t>CFS</t>
        </is>
      </c>
      <c r="H638" s="29" t="inlineStr">
        <is>
          <t>SCE</t>
        </is>
      </c>
      <c r="I638" s="29" t="inlineStr">
        <is>
          <t>자본변동표</t>
        </is>
      </c>
      <c r="J638" s="29" t="inlineStr">
        <is>
          <t>ifrs-full_OtherComprehensiveIncomeNetOfTaxGainsLossesOnRemeasurementsOfDefinedBenefitPlans</t>
        </is>
      </c>
      <c r="K638" s="29" t="inlineStr">
        <is>
          <t>확정급여제도의 재측정손익(세후기타포괄손익)</t>
        </is>
      </c>
      <c r="L638" s="29" t="inlineStr">
        <is>
          <t>자본 [구성요소]|지배기업의 소유주에게 귀속되는 지분 [구성요소]|자본금 [구성요소]</t>
        </is>
      </c>
      <c r="M638" s="29" t="inlineStr">
        <is>
          <t>제 6 기</t>
        </is>
      </c>
      <c r="N638" s="29" t="inlineStr">
        <is>
          <t>해당 없음</t>
        </is>
      </c>
      <c r="O638" s="29" t="inlineStr">
        <is>
          <t>해당 없음</t>
        </is>
      </c>
      <c r="P638" s="29" t="inlineStr">
        <is>
          <t>KRW</t>
        </is>
      </c>
      <c r="Q638" s="29" t="inlineStr">
        <is>
          <t>11</t>
        </is>
      </c>
    </row>
    <row r="639" ht="24" customHeight="1">
      <c r="A639" s="24" t="inlineStr">
        <is>
          <t>OpenDART_fnlttSinglAcntAll</t>
        </is>
      </c>
      <c r="B639" s="24" t="inlineStr">
        <is>
          <t>01365825</t>
        </is>
      </c>
      <c r="C639" s="24" t="inlineStr">
        <is>
          <t>피에스케이</t>
        </is>
      </c>
      <c r="D639" s="24" t="inlineStr">
        <is>
          <t>psk</t>
        </is>
      </c>
      <c r="E639" s="24" t="inlineStr">
        <is>
          <t>319660</t>
        </is>
      </c>
      <c r="F639" s="24" t="inlineStr">
        <is>
          <t>2024</t>
        </is>
      </c>
      <c r="G639" s="24" t="inlineStr">
        <is>
          <t>CFS</t>
        </is>
      </c>
      <c r="H639" s="24" t="inlineStr">
        <is>
          <t>SCE</t>
        </is>
      </c>
      <c r="I639" s="24" t="inlineStr">
        <is>
          <t>자본변동표</t>
        </is>
      </c>
      <c r="J639" s="24" t="inlineStr">
        <is>
          <t>ifrs-full_OtherComprehensiveIncomeNetOfTaxGainsLossesOnRemeasurementsOfDefinedBenefitPlans</t>
        </is>
      </c>
      <c r="K639" s="24" t="inlineStr">
        <is>
          <t>확정급여제도의 재측정손익(세후기타포괄손익)</t>
        </is>
      </c>
      <c r="L639" s="24" t="inlineStr">
        <is>
          <t>자본 [구성요소]|지배기업의 소유주에게 귀속되는 지분 [구성요소]|이익잉여금 [구성요소]</t>
        </is>
      </c>
      <c r="M639" s="24" t="inlineStr">
        <is>
          <t>제 6 기</t>
        </is>
      </c>
      <c r="N639" s="24" t="inlineStr">
        <is>
          <t>-1630399588.0</t>
        </is>
      </c>
      <c r="O639" s="24" t="inlineStr">
        <is>
          <t>-1267301603.0</t>
        </is>
      </c>
      <c r="P639" s="24" t="inlineStr">
        <is>
          <t>KRW</t>
        </is>
      </c>
      <c r="Q639" s="24" t="inlineStr">
        <is>
          <t>11</t>
        </is>
      </c>
    </row>
    <row r="640" ht="24" customHeight="1">
      <c r="A640" s="29" t="inlineStr">
        <is>
          <t>OpenDART_fnlttSinglAcntAll</t>
        </is>
      </c>
      <c r="B640" s="29" t="inlineStr">
        <is>
          <t>01365825</t>
        </is>
      </c>
      <c r="C640" s="29" t="inlineStr">
        <is>
          <t>피에스케이</t>
        </is>
      </c>
      <c r="D640" s="29" t="inlineStr">
        <is>
          <t>psk</t>
        </is>
      </c>
      <c r="E640" s="29" t="inlineStr">
        <is>
          <t>319660</t>
        </is>
      </c>
      <c r="F640" s="29" t="inlineStr">
        <is>
          <t>2024</t>
        </is>
      </c>
      <c r="G640" s="29" t="inlineStr">
        <is>
          <t>CFS</t>
        </is>
      </c>
      <c r="H640" s="29" t="inlineStr">
        <is>
          <t>SCE</t>
        </is>
      </c>
      <c r="I640" s="29" t="inlineStr">
        <is>
          <t>자본변동표</t>
        </is>
      </c>
      <c r="J640" s="29" t="inlineStr">
        <is>
          <t>ifrs-full_ProfitLoss</t>
        </is>
      </c>
      <c r="K640" s="29" t="inlineStr">
        <is>
          <t>당기순이익(손실)</t>
        </is>
      </c>
      <c r="L640" s="29" t="inlineStr">
        <is>
          <t>자본 [구성요소]|지배기업의 소유주에게 귀속되는 지분 [구성요소]|이익잉여금 [구성요소]</t>
        </is>
      </c>
      <c r="M640" s="29" t="inlineStr">
        <is>
          <t>제 6 기</t>
        </is>
      </c>
      <c r="N640" s="29" t="inlineStr">
        <is>
          <t>79128216285.0</t>
        </is>
      </c>
      <c r="O640" s="29" t="inlineStr">
        <is>
          <t>52520188202.0</t>
        </is>
      </c>
      <c r="P640" s="29" t="inlineStr">
        <is>
          <t>KRW</t>
        </is>
      </c>
      <c r="Q640" s="29" t="inlineStr">
        <is>
          <t>12</t>
        </is>
      </c>
    </row>
    <row r="641" ht="24" customHeight="1">
      <c r="A641" s="24" t="inlineStr">
        <is>
          <t>OpenDART_fnlttSinglAcntAll</t>
        </is>
      </c>
      <c r="B641" s="24" t="inlineStr">
        <is>
          <t>01365825</t>
        </is>
      </c>
      <c r="C641" s="24" t="inlineStr">
        <is>
          <t>피에스케이</t>
        </is>
      </c>
      <c r="D641" s="24" t="inlineStr">
        <is>
          <t>psk</t>
        </is>
      </c>
      <c r="E641" s="24" t="inlineStr">
        <is>
          <t>319660</t>
        </is>
      </c>
      <c r="F641" s="24" t="inlineStr">
        <is>
          <t>2024</t>
        </is>
      </c>
      <c r="G641" s="24" t="inlineStr">
        <is>
          <t>CFS</t>
        </is>
      </c>
      <c r="H641" s="24" t="inlineStr">
        <is>
          <t>SCE</t>
        </is>
      </c>
      <c r="I641" s="24" t="inlineStr">
        <is>
          <t>자본변동표</t>
        </is>
      </c>
      <c r="J641" s="24" t="inlineStr">
        <is>
          <t>ifrs-full_ProfitLoss</t>
        </is>
      </c>
      <c r="K641" s="24" t="inlineStr">
        <is>
          <t>당기순이익(손실)</t>
        </is>
      </c>
      <c r="L641" s="24" t="inlineStr">
        <is>
          <t>자본 [구성요소]|지배기업의 소유주에게 귀속되는 지분 [구성요소]|기타자본구성요소 [구성요소]</t>
        </is>
      </c>
      <c r="M641" s="24" t="inlineStr">
        <is>
          <t>제 6 기</t>
        </is>
      </c>
      <c r="N641" s="24" t="inlineStr">
        <is>
          <t>해당 없음</t>
        </is>
      </c>
      <c r="O641" s="24" t="inlineStr">
        <is>
          <t>해당 없음</t>
        </is>
      </c>
      <c r="P641" s="24" t="inlineStr">
        <is>
          <t>KRW</t>
        </is>
      </c>
      <c r="Q641" s="24" t="inlineStr">
        <is>
          <t>12</t>
        </is>
      </c>
    </row>
    <row r="642" ht="24" customHeight="1">
      <c r="A642" s="29" t="inlineStr">
        <is>
          <t>OpenDART_fnlttSinglAcntAll</t>
        </is>
      </c>
      <c r="B642" s="29" t="inlineStr">
        <is>
          <t>01365825</t>
        </is>
      </c>
      <c r="C642" s="29" t="inlineStr">
        <is>
          <t>피에스케이</t>
        </is>
      </c>
      <c r="D642" s="29" t="inlineStr">
        <is>
          <t>psk</t>
        </is>
      </c>
      <c r="E642" s="29" t="inlineStr">
        <is>
          <t>319660</t>
        </is>
      </c>
      <c r="F642" s="29" t="inlineStr">
        <is>
          <t>2024</t>
        </is>
      </c>
      <c r="G642" s="29" t="inlineStr">
        <is>
          <t>CFS</t>
        </is>
      </c>
      <c r="H642" s="29" t="inlineStr">
        <is>
          <t>SCE</t>
        </is>
      </c>
      <c r="I642" s="29" t="inlineStr">
        <is>
          <t>자본변동표</t>
        </is>
      </c>
      <c r="J642" s="29" t="inlineStr">
        <is>
          <t>ifrs-full_ProfitLoss</t>
        </is>
      </c>
      <c r="K642" s="29" t="inlineStr">
        <is>
          <t>당기순이익(손실)</t>
        </is>
      </c>
      <c r="L642" s="29" t="inlineStr">
        <is>
          <t>연결재무제표 [member]</t>
        </is>
      </c>
      <c r="M642" s="29" t="inlineStr">
        <is>
          <t>제 6 기</t>
        </is>
      </c>
      <c r="N642" s="29" t="inlineStr">
        <is>
          <t>79128216285.0</t>
        </is>
      </c>
      <c r="O642" s="29" t="inlineStr">
        <is>
          <t>52520188202.0</t>
        </is>
      </c>
      <c r="P642" s="29" t="inlineStr">
        <is>
          <t>KRW</t>
        </is>
      </c>
      <c r="Q642" s="29" t="inlineStr">
        <is>
          <t>12</t>
        </is>
      </c>
    </row>
    <row r="643" ht="24" customHeight="1">
      <c r="A643" s="24" t="inlineStr">
        <is>
          <t>OpenDART_fnlttSinglAcntAll</t>
        </is>
      </c>
      <c r="B643" s="24" t="inlineStr">
        <is>
          <t>01365825</t>
        </is>
      </c>
      <c r="C643" s="24" t="inlineStr">
        <is>
          <t>피에스케이</t>
        </is>
      </c>
      <c r="D643" s="24" t="inlineStr">
        <is>
          <t>psk</t>
        </is>
      </c>
      <c r="E643" s="24" t="inlineStr">
        <is>
          <t>319660</t>
        </is>
      </c>
      <c r="F643" s="24" t="inlineStr">
        <is>
          <t>2024</t>
        </is>
      </c>
      <c r="G643" s="24" t="inlineStr">
        <is>
          <t>CFS</t>
        </is>
      </c>
      <c r="H643" s="24" t="inlineStr">
        <is>
          <t>SCE</t>
        </is>
      </c>
      <c r="I643" s="24" t="inlineStr">
        <is>
          <t>자본변동표</t>
        </is>
      </c>
      <c r="J643" s="24" t="inlineStr">
        <is>
          <t>ifrs-full_ProfitLoss</t>
        </is>
      </c>
      <c r="K643" s="24" t="inlineStr">
        <is>
          <t>당기순이익(손실)</t>
        </is>
      </c>
      <c r="L643" s="24" t="inlineStr">
        <is>
          <t>자본 [구성요소]|지배기업의 소유주에게 귀속되는 지분 [구성요소]</t>
        </is>
      </c>
      <c r="M643" s="24" t="inlineStr">
        <is>
          <t>제 6 기</t>
        </is>
      </c>
      <c r="N643" s="24" t="inlineStr">
        <is>
          <t>79128216285.0</t>
        </is>
      </c>
      <c r="O643" s="24" t="inlineStr">
        <is>
          <t>52520188202.0</t>
        </is>
      </c>
      <c r="P643" s="24" t="inlineStr">
        <is>
          <t>KRW</t>
        </is>
      </c>
      <c r="Q643" s="24" t="inlineStr">
        <is>
          <t>12</t>
        </is>
      </c>
    </row>
    <row r="644" ht="24" customHeight="1">
      <c r="A644" s="29" t="inlineStr">
        <is>
          <t>OpenDART_fnlttSinglAcntAll</t>
        </is>
      </c>
      <c r="B644" s="29" t="inlineStr">
        <is>
          <t>01365825</t>
        </is>
      </c>
      <c r="C644" s="29" t="inlineStr">
        <is>
          <t>피에스케이</t>
        </is>
      </c>
      <c r="D644" s="29" t="inlineStr">
        <is>
          <t>psk</t>
        </is>
      </c>
      <c r="E644" s="29" t="inlineStr">
        <is>
          <t>319660</t>
        </is>
      </c>
      <c r="F644" s="29" t="inlineStr">
        <is>
          <t>2024</t>
        </is>
      </c>
      <c r="G644" s="29" t="inlineStr">
        <is>
          <t>CFS</t>
        </is>
      </c>
      <c r="H644" s="29" t="inlineStr">
        <is>
          <t>SCE</t>
        </is>
      </c>
      <c r="I644" s="29" t="inlineStr">
        <is>
          <t>자본변동표</t>
        </is>
      </c>
      <c r="J644" s="29" t="inlineStr">
        <is>
          <t>ifrs-full_ProfitLoss</t>
        </is>
      </c>
      <c r="K644" s="29" t="inlineStr">
        <is>
          <t>당기순이익(손실)</t>
        </is>
      </c>
      <c r="L644" s="29" t="inlineStr">
        <is>
          <t>자본 [구성요소]|지배기업의 소유주에게 귀속되는 지분 [구성요소]|자본잉여금 [구성요소]</t>
        </is>
      </c>
      <c r="M644" s="29" t="inlineStr">
        <is>
          <t>제 6 기</t>
        </is>
      </c>
      <c r="N644" s="29" t="inlineStr">
        <is>
          <t>해당 없음</t>
        </is>
      </c>
      <c r="O644" s="29" t="inlineStr">
        <is>
          <t>해당 없음</t>
        </is>
      </c>
      <c r="P644" s="29" t="inlineStr">
        <is>
          <t>KRW</t>
        </is>
      </c>
      <c r="Q644" s="29" t="inlineStr">
        <is>
          <t>12</t>
        </is>
      </c>
    </row>
    <row r="645" ht="24" customHeight="1">
      <c r="A645" s="24" t="inlineStr">
        <is>
          <t>OpenDART_fnlttSinglAcntAll</t>
        </is>
      </c>
      <c r="B645" s="24" t="inlineStr">
        <is>
          <t>01365825</t>
        </is>
      </c>
      <c r="C645" s="24" t="inlineStr">
        <is>
          <t>피에스케이</t>
        </is>
      </c>
      <c r="D645" s="24" t="inlineStr">
        <is>
          <t>psk</t>
        </is>
      </c>
      <c r="E645" s="24" t="inlineStr">
        <is>
          <t>319660</t>
        </is>
      </c>
      <c r="F645" s="24" t="inlineStr">
        <is>
          <t>2024</t>
        </is>
      </c>
      <c r="G645" s="24" t="inlineStr">
        <is>
          <t>CFS</t>
        </is>
      </c>
      <c r="H645" s="24" t="inlineStr">
        <is>
          <t>SCE</t>
        </is>
      </c>
      <c r="I645" s="24" t="inlineStr">
        <is>
          <t>자본변동표</t>
        </is>
      </c>
      <c r="J645" s="24" t="inlineStr">
        <is>
          <t>ifrs-full_ProfitLoss</t>
        </is>
      </c>
      <c r="K645" s="24" t="inlineStr">
        <is>
          <t>당기순이익(손실)</t>
        </is>
      </c>
      <c r="L645" s="24" t="inlineStr">
        <is>
          <t>자본 [구성요소]|지배기업의 소유주에게 귀속되는 지분 [구성요소]|자본금 [구성요소]</t>
        </is>
      </c>
      <c r="M645" s="24" t="inlineStr">
        <is>
          <t>제 6 기</t>
        </is>
      </c>
      <c r="N645" s="24" t="inlineStr">
        <is>
          <t>해당 없음</t>
        </is>
      </c>
      <c r="O645" s="24" t="inlineStr">
        <is>
          <t>해당 없음</t>
        </is>
      </c>
      <c r="P645" s="24" t="inlineStr">
        <is>
          <t>KRW</t>
        </is>
      </c>
      <c r="Q645" s="24" t="inlineStr">
        <is>
          <t>12</t>
        </is>
      </c>
    </row>
    <row r="646" ht="24" customHeight="1">
      <c r="A646" s="29" t="inlineStr">
        <is>
          <t>OpenDART_fnlttSinglAcntAll</t>
        </is>
      </c>
      <c r="B646" s="29" t="inlineStr">
        <is>
          <t>01365825</t>
        </is>
      </c>
      <c r="C646" s="29" t="inlineStr">
        <is>
          <t>피에스케이</t>
        </is>
      </c>
      <c r="D646" s="29" t="inlineStr">
        <is>
          <t>psk</t>
        </is>
      </c>
      <c r="E646" s="29" t="inlineStr">
        <is>
          <t>319660</t>
        </is>
      </c>
      <c r="F646" s="29" t="inlineStr">
        <is>
          <t>2025</t>
        </is>
      </c>
      <c r="G646" s="29" t="inlineStr">
        <is>
          <t>CFS</t>
        </is>
      </c>
      <c r="H646" s="29" t="inlineStr">
        <is>
          <t>BS</t>
        </is>
      </c>
      <c r="I646" s="29" t="inlineStr">
        <is>
          <t>재무상태표</t>
        </is>
      </c>
      <c r="J646" s="29" t="inlineStr">
        <is>
          <t>ifrs-full_Assets</t>
        </is>
      </c>
      <c r="K646" s="29" t="inlineStr">
        <is>
          <t>자산총계</t>
        </is>
      </c>
      <c r="L646" s="29" t="inlineStr">
        <is>
          <t>-</t>
        </is>
      </c>
      <c r="M646" s="29" t="inlineStr">
        <is>
          <t>제 7 기</t>
        </is>
      </c>
      <c r="N646" s="29" t="inlineStr">
        <is>
          <t>645998217783.0</t>
        </is>
      </c>
      <c r="O646" s="29" t="inlineStr">
        <is>
          <t>569356264734.0</t>
        </is>
      </c>
      <c r="P646" s="29" t="inlineStr">
        <is>
          <t>KRW</t>
        </is>
      </c>
      <c r="Q646" s="29" t="inlineStr">
        <is>
          <t>7</t>
        </is>
      </c>
    </row>
    <row r="647" ht="24" customHeight="1">
      <c r="A647" s="24" t="inlineStr">
        <is>
          <t>OpenDART_fnlttSinglAcntAll</t>
        </is>
      </c>
      <c r="B647" s="24" t="inlineStr">
        <is>
          <t>01365825</t>
        </is>
      </c>
      <c r="C647" s="24" t="inlineStr">
        <is>
          <t>피에스케이</t>
        </is>
      </c>
      <c r="D647" s="24" t="inlineStr">
        <is>
          <t>psk</t>
        </is>
      </c>
      <c r="E647" s="24" t="inlineStr">
        <is>
          <t>319660</t>
        </is>
      </c>
      <c r="F647" s="24" t="inlineStr">
        <is>
          <t>2025</t>
        </is>
      </c>
      <c r="G647" s="24" t="inlineStr">
        <is>
          <t>CFS</t>
        </is>
      </c>
      <c r="H647" s="24" t="inlineStr">
        <is>
          <t>BS</t>
        </is>
      </c>
      <c r="I647" s="24" t="inlineStr">
        <is>
          <t>재무상태표</t>
        </is>
      </c>
      <c r="J647" s="24" t="inlineStr">
        <is>
          <t>ifrs-full_CurrentAssets</t>
        </is>
      </c>
      <c r="K647" s="24" t="inlineStr">
        <is>
          <t>유동자산</t>
        </is>
      </c>
      <c r="L647" s="24" t="inlineStr">
        <is>
          <t>-</t>
        </is>
      </c>
      <c r="M647" s="24" t="inlineStr">
        <is>
          <t>제 7 기</t>
        </is>
      </c>
      <c r="N647" s="24" t="inlineStr">
        <is>
          <t>442780964186.0</t>
        </is>
      </c>
      <c r="O647" s="24" t="inlineStr">
        <is>
          <t>398573268975.0</t>
        </is>
      </c>
      <c r="P647" s="24" t="inlineStr">
        <is>
          <t>KRW</t>
        </is>
      </c>
      <c r="Q647" s="24" t="inlineStr">
        <is>
          <t>8</t>
        </is>
      </c>
    </row>
    <row r="648" ht="24" customHeight="1">
      <c r="A648" s="29" t="inlineStr">
        <is>
          <t>OpenDART_fnlttSinglAcntAll</t>
        </is>
      </c>
      <c r="B648" s="29" t="inlineStr">
        <is>
          <t>01365825</t>
        </is>
      </c>
      <c r="C648" s="29" t="inlineStr">
        <is>
          <t>피에스케이</t>
        </is>
      </c>
      <c r="D648" s="29" t="inlineStr">
        <is>
          <t>psk</t>
        </is>
      </c>
      <c r="E648" s="29" t="inlineStr">
        <is>
          <t>319660</t>
        </is>
      </c>
      <c r="F648" s="29" t="inlineStr">
        <is>
          <t>2025</t>
        </is>
      </c>
      <c r="G648" s="29" t="inlineStr">
        <is>
          <t>CFS</t>
        </is>
      </c>
      <c r="H648" s="29" t="inlineStr">
        <is>
          <t>BS</t>
        </is>
      </c>
      <c r="I648" s="29" t="inlineStr">
        <is>
          <t>재무상태표</t>
        </is>
      </c>
      <c r="J648" s="29" t="inlineStr">
        <is>
          <t>ifrs-full_CashAndCashEquivalents</t>
        </is>
      </c>
      <c r="K648" s="29" t="inlineStr">
        <is>
          <t>현금및현금성자산</t>
        </is>
      </c>
      <c r="L648" s="29" t="inlineStr">
        <is>
          <t>-</t>
        </is>
      </c>
      <c r="M648" s="29" t="inlineStr">
        <is>
          <t>제 7 기</t>
        </is>
      </c>
      <c r="N648" s="29" t="inlineStr">
        <is>
          <t>119421667338.0</t>
        </is>
      </c>
      <c r="O648" s="29" t="inlineStr">
        <is>
          <t>94599452537.0</t>
        </is>
      </c>
      <c r="P648" s="29" t="inlineStr">
        <is>
          <t>KRW</t>
        </is>
      </c>
      <c r="Q648" s="29" t="inlineStr">
        <is>
          <t>9</t>
        </is>
      </c>
    </row>
    <row r="649" ht="24" customHeight="1">
      <c r="A649" s="24" t="inlineStr">
        <is>
          <t>OpenDART_fnlttSinglAcntAll</t>
        </is>
      </c>
      <c r="B649" s="24" t="inlineStr">
        <is>
          <t>01365825</t>
        </is>
      </c>
      <c r="C649" s="24" t="inlineStr">
        <is>
          <t>피에스케이</t>
        </is>
      </c>
      <c r="D649" s="24" t="inlineStr">
        <is>
          <t>psk</t>
        </is>
      </c>
      <c r="E649" s="24" t="inlineStr">
        <is>
          <t>319660</t>
        </is>
      </c>
      <c r="F649" s="24" t="inlineStr">
        <is>
          <t>2025</t>
        </is>
      </c>
      <c r="G649" s="24" t="inlineStr">
        <is>
          <t>CFS</t>
        </is>
      </c>
      <c r="H649" s="24" t="inlineStr">
        <is>
          <t>BS</t>
        </is>
      </c>
      <c r="I649" s="24" t="inlineStr">
        <is>
          <t>재무상태표</t>
        </is>
      </c>
      <c r="J649" s="24" t="inlineStr">
        <is>
          <t>ifrs-full_CurrentTaxAssets</t>
        </is>
      </c>
      <c r="K649" s="24" t="inlineStr">
        <is>
          <t>당기법인세자산</t>
        </is>
      </c>
      <c r="L649" s="24" t="inlineStr">
        <is>
          <t>-</t>
        </is>
      </c>
      <c r="M649" s="24" t="inlineStr">
        <is>
          <t>제 7 기</t>
        </is>
      </c>
      <c r="N649" s="24" t="inlineStr">
        <is>
          <t>457185060.0</t>
        </is>
      </c>
      <c r="O649" s="24" t="inlineStr">
        <is>
          <t>17324348.0</t>
        </is>
      </c>
      <c r="P649" s="24" t="inlineStr">
        <is>
          <t>KRW</t>
        </is>
      </c>
      <c r="Q649" s="24" t="inlineStr">
        <is>
          <t>10</t>
        </is>
      </c>
    </row>
    <row r="650" ht="24" customHeight="1">
      <c r="A650" s="29" t="inlineStr">
        <is>
          <t>OpenDART_fnlttSinglAcntAll</t>
        </is>
      </c>
      <c r="B650" s="29" t="inlineStr">
        <is>
          <t>01365825</t>
        </is>
      </c>
      <c r="C650" s="29" t="inlineStr">
        <is>
          <t>피에스케이</t>
        </is>
      </c>
      <c r="D650" s="29" t="inlineStr">
        <is>
          <t>psk</t>
        </is>
      </c>
      <c r="E650" s="29" t="inlineStr">
        <is>
          <t>319660</t>
        </is>
      </c>
      <c r="F650" s="29" t="inlineStr">
        <is>
          <t>2025</t>
        </is>
      </c>
      <c r="G650" s="29" t="inlineStr">
        <is>
          <t>CFS</t>
        </is>
      </c>
      <c r="H650" s="29" t="inlineStr">
        <is>
          <t>BS</t>
        </is>
      </c>
      <c r="I650" s="29" t="inlineStr">
        <is>
          <t>재무상태표</t>
        </is>
      </c>
      <c r="J650" s="29" t="inlineStr">
        <is>
          <t>ifrs-full_Inventories</t>
        </is>
      </c>
      <c r="K650" s="29" t="inlineStr">
        <is>
          <t>재고자산</t>
        </is>
      </c>
      <c r="L650" s="29" t="inlineStr">
        <is>
          <t>-</t>
        </is>
      </c>
      <c r="M650" s="29" t="inlineStr">
        <is>
          <t>제 7 기</t>
        </is>
      </c>
      <c r="N650" s="29" t="inlineStr">
        <is>
          <t>104213583798.0</t>
        </is>
      </c>
      <c r="O650" s="29" t="inlineStr">
        <is>
          <t>108346942948.0</t>
        </is>
      </c>
      <c r="P650" s="29" t="inlineStr">
        <is>
          <t>KRW</t>
        </is>
      </c>
      <c r="Q650" s="29" t="inlineStr">
        <is>
          <t>11</t>
        </is>
      </c>
    </row>
    <row r="651" ht="24" customHeight="1">
      <c r="A651" s="24" t="inlineStr">
        <is>
          <t>OpenDART_fnlttSinglAcntAll</t>
        </is>
      </c>
      <c r="B651" s="24" t="inlineStr">
        <is>
          <t>01365825</t>
        </is>
      </c>
      <c r="C651" s="24" t="inlineStr">
        <is>
          <t>피에스케이</t>
        </is>
      </c>
      <c r="D651" s="24" t="inlineStr">
        <is>
          <t>psk</t>
        </is>
      </c>
      <c r="E651" s="24" t="inlineStr">
        <is>
          <t>319660</t>
        </is>
      </c>
      <c r="F651" s="24" t="inlineStr">
        <is>
          <t>2025</t>
        </is>
      </c>
      <c r="G651" s="24" t="inlineStr">
        <is>
          <t>CFS</t>
        </is>
      </c>
      <c r="H651" s="24" t="inlineStr">
        <is>
          <t>BS</t>
        </is>
      </c>
      <c r="I651" s="24" t="inlineStr">
        <is>
          <t>재무상태표</t>
        </is>
      </c>
      <c r="J651" s="24" t="inlineStr">
        <is>
          <t>ifrs-full_OtherCurrentAssets</t>
        </is>
      </c>
      <c r="K651" s="24" t="inlineStr">
        <is>
          <t>기타유동자산</t>
        </is>
      </c>
      <c r="L651" s="24" t="inlineStr">
        <is>
          <t>-</t>
        </is>
      </c>
      <c r="M651" s="24" t="inlineStr">
        <is>
          <t>제 7 기</t>
        </is>
      </c>
      <c r="N651" s="24" t="inlineStr">
        <is>
          <t>6736646857.0</t>
        </is>
      </c>
      <c r="O651" s="24" t="inlineStr">
        <is>
          <t>4600938332.0</t>
        </is>
      </c>
      <c r="P651" s="24" t="inlineStr">
        <is>
          <t>KRW</t>
        </is>
      </c>
      <c r="Q651" s="24" t="inlineStr">
        <is>
          <t>12</t>
        </is>
      </c>
    </row>
    <row r="652" ht="24" customHeight="1">
      <c r="A652" s="29" t="inlineStr">
        <is>
          <t>OpenDART_fnlttSinglAcntAll</t>
        </is>
      </c>
      <c r="B652" s="29" t="inlineStr">
        <is>
          <t>01365825</t>
        </is>
      </c>
      <c r="C652" s="29" t="inlineStr">
        <is>
          <t>피에스케이</t>
        </is>
      </c>
      <c r="D652" s="29" t="inlineStr">
        <is>
          <t>psk</t>
        </is>
      </c>
      <c r="E652" s="29" t="inlineStr">
        <is>
          <t>319660</t>
        </is>
      </c>
      <c r="F652" s="29" t="inlineStr">
        <is>
          <t>2025</t>
        </is>
      </c>
      <c r="G652" s="29" t="inlineStr">
        <is>
          <t>CFS</t>
        </is>
      </c>
      <c r="H652" s="29" t="inlineStr">
        <is>
          <t>BS</t>
        </is>
      </c>
      <c r="I652" s="29" t="inlineStr">
        <is>
          <t>재무상태표</t>
        </is>
      </c>
      <c r="J652" s="29" t="inlineStr">
        <is>
          <t>ifrs-full_OtherCurrentFinancialAssets</t>
        </is>
      </c>
      <c r="K652" s="29" t="inlineStr">
        <is>
          <t>유동금융자산</t>
        </is>
      </c>
      <c r="L652" s="29" t="inlineStr">
        <is>
          <t>-</t>
        </is>
      </c>
      <c r="M652" s="29" t="inlineStr">
        <is>
          <t>제 7 기</t>
        </is>
      </c>
      <c r="N652" s="29" t="inlineStr">
        <is>
          <t>115144176211.0</t>
        </is>
      </c>
      <c r="O652" s="29" t="inlineStr">
        <is>
          <t>134317144694.0</t>
        </is>
      </c>
      <c r="P652" s="29" t="inlineStr">
        <is>
          <t>KRW</t>
        </is>
      </c>
      <c r="Q652" s="29" t="inlineStr">
        <is>
          <t>13</t>
        </is>
      </c>
    </row>
    <row r="653" ht="24" customHeight="1">
      <c r="A653" s="24" t="inlineStr">
        <is>
          <t>OpenDART_fnlttSinglAcntAll</t>
        </is>
      </c>
      <c r="B653" s="24" t="inlineStr">
        <is>
          <t>01365825</t>
        </is>
      </c>
      <c r="C653" s="24" t="inlineStr">
        <is>
          <t>피에스케이</t>
        </is>
      </c>
      <c r="D653" s="24" t="inlineStr">
        <is>
          <t>psk</t>
        </is>
      </c>
      <c r="E653" s="24" t="inlineStr">
        <is>
          <t>319660</t>
        </is>
      </c>
      <c r="F653" s="24" t="inlineStr">
        <is>
          <t>2025</t>
        </is>
      </c>
      <c r="G653" s="24" t="inlineStr">
        <is>
          <t>CFS</t>
        </is>
      </c>
      <c r="H653" s="24" t="inlineStr">
        <is>
          <t>BS</t>
        </is>
      </c>
      <c r="I653" s="24" t="inlineStr">
        <is>
          <t>재무상태표</t>
        </is>
      </c>
      <c r="J653" s="24" t="inlineStr">
        <is>
          <t>ifrs-full_TradeAndOtherCurrentReceivables</t>
        </is>
      </c>
      <c r="K653" s="24" t="inlineStr">
        <is>
          <t>매출채권 및 기타채권</t>
        </is>
      </c>
      <c r="L653" s="24" t="inlineStr">
        <is>
          <t>-</t>
        </is>
      </c>
      <c r="M653" s="24" t="inlineStr">
        <is>
          <t>제 7 기</t>
        </is>
      </c>
      <c r="N653" s="24" t="inlineStr">
        <is>
          <t>96807704922.0</t>
        </is>
      </c>
      <c r="O653" s="24" t="inlineStr">
        <is>
          <t>56691466116.0</t>
        </is>
      </c>
      <c r="P653" s="24" t="inlineStr">
        <is>
          <t>KRW</t>
        </is>
      </c>
      <c r="Q653" s="24" t="inlineStr">
        <is>
          <t>14</t>
        </is>
      </c>
    </row>
    <row r="654" ht="24" customHeight="1">
      <c r="A654" s="29" t="inlineStr">
        <is>
          <t>OpenDART_fnlttSinglAcntAll</t>
        </is>
      </c>
      <c r="B654" s="29" t="inlineStr">
        <is>
          <t>01365825</t>
        </is>
      </c>
      <c r="C654" s="29" t="inlineStr">
        <is>
          <t>피에스케이</t>
        </is>
      </c>
      <c r="D654" s="29" t="inlineStr">
        <is>
          <t>psk</t>
        </is>
      </c>
      <c r="E654" s="29" t="inlineStr">
        <is>
          <t>319660</t>
        </is>
      </c>
      <c r="F654" s="29" t="inlineStr">
        <is>
          <t>2025</t>
        </is>
      </c>
      <c r="G654" s="29" t="inlineStr">
        <is>
          <t>CFS</t>
        </is>
      </c>
      <c r="H654" s="29" t="inlineStr">
        <is>
          <t>BS</t>
        </is>
      </c>
      <c r="I654" s="29" t="inlineStr">
        <is>
          <t>재무상태표</t>
        </is>
      </c>
      <c r="J654" s="29" t="inlineStr">
        <is>
          <t>ifrs-full_NoncurrentAssets</t>
        </is>
      </c>
      <c r="K654" s="29" t="inlineStr">
        <is>
          <t>비유동자산</t>
        </is>
      </c>
      <c r="L654" s="29" t="inlineStr">
        <is>
          <t>-</t>
        </is>
      </c>
      <c r="M654" s="29" t="inlineStr">
        <is>
          <t>제 7 기</t>
        </is>
      </c>
      <c r="N654" s="29" t="inlineStr">
        <is>
          <t>203217253597.0</t>
        </is>
      </c>
      <c r="O654" s="29" t="inlineStr">
        <is>
          <t>170782995759.0</t>
        </is>
      </c>
      <c r="P654" s="29" t="inlineStr">
        <is>
          <t>KRW</t>
        </is>
      </c>
      <c r="Q654" s="29" t="inlineStr">
        <is>
          <t>15</t>
        </is>
      </c>
    </row>
    <row r="655" ht="24" customHeight="1">
      <c r="A655" s="24" t="inlineStr">
        <is>
          <t>OpenDART_fnlttSinglAcntAll</t>
        </is>
      </c>
      <c r="B655" s="24" t="inlineStr">
        <is>
          <t>01365825</t>
        </is>
      </c>
      <c r="C655" s="24" t="inlineStr">
        <is>
          <t>피에스케이</t>
        </is>
      </c>
      <c r="D655" s="24" t="inlineStr">
        <is>
          <t>psk</t>
        </is>
      </c>
      <c r="E655" s="24" t="inlineStr">
        <is>
          <t>319660</t>
        </is>
      </c>
      <c r="F655" s="24" t="inlineStr">
        <is>
          <t>2025</t>
        </is>
      </c>
      <c r="G655" s="24" t="inlineStr">
        <is>
          <t>CFS</t>
        </is>
      </c>
      <c r="H655" s="24" t="inlineStr">
        <is>
          <t>BS</t>
        </is>
      </c>
      <c r="I655" s="24" t="inlineStr">
        <is>
          <t>재무상태표</t>
        </is>
      </c>
      <c r="J655" s="24" t="inlineStr">
        <is>
          <t>ifrs-full_DeferredTaxAssets</t>
        </is>
      </c>
      <c r="K655" s="24" t="inlineStr">
        <is>
          <t>이연법인세자산</t>
        </is>
      </c>
      <c r="L655" s="24" t="inlineStr">
        <is>
          <t>-</t>
        </is>
      </c>
      <c r="M655" s="24" t="inlineStr">
        <is>
          <t>제 7 기</t>
        </is>
      </c>
      <c r="N655" s="24" t="inlineStr">
        <is>
          <t>4714031676.0</t>
        </is>
      </c>
      <c r="O655" s="24" t="inlineStr">
        <is>
          <t>5692078926.0</t>
        </is>
      </c>
      <c r="P655" s="24" t="inlineStr">
        <is>
          <t>KRW</t>
        </is>
      </c>
      <c r="Q655" s="24" t="inlineStr">
        <is>
          <t>16</t>
        </is>
      </c>
    </row>
    <row r="656" ht="24" customHeight="1">
      <c r="A656" s="29" t="inlineStr">
        <is>
          <t>OpenDART_fnlttSinglAcntAll</t>
        </is>
      </c>
      <c r="B656" s="29" t="inlineStr">
        <is>
          <t>01365825</t>
        </is>
      </c>
      <c r="C656" s="29" t="inlineStr">
        <is>
          <t>피에스케이</t>
        </is>
      </c>
      <c r="D656" s="29" t="inlineStr">
        <is>
          <t>psk</t>
        </is>
      </c>
      <c r="E656" s="29" t="inlineStr">
        <is>
          <t>319660</t>
        </is>
      </c>
      <c r="F656" s="29" t="inlineStr">
        <is>
          <t>2025</t>
        </is>
      </c>
      <c r="G656" s="29" t="inlineStr">
        <is>
          <t>CFS</t>
        </is>
      </c>
      <c r="H656" s="29" t="inlineStr">
        <is>
          <t>BS</t>
        </is>
      </c>
      <c r="I656" s="29" t="inlineStr">
        <is>
          <t>재무상태표</t>
        </is>
      </c>
      <c r="J656" s="29" t="inlineStr">
        <is>
          <t>ifrs-full_IntangibleAssetsAndGoodwill</t>
        </is>
      </c>
      <c r="K656" s="29" t="inlineStr">
        <is>
          <t>무형자산</t>
        </is>
      </c>
      <c r="L656" s="29" t="inlineStr">
        <is>
          <t>-</t>
        </is>
      </c>
      <c r="M656" s="29" t="inlineStr">
        <is>
          <t>제 7 기</t>
        </is>
      </c>
      <c r="N656" s="29" t="inlineStr">
        <is>
          <t>10089200026.0</t>
        </is>
      </c>
      <c r="O656" s="29" t="inlineStr">
        <is>
          <t>10064001118.0</t>
        </is>
      </c>
      <c r="P656" s="29" t="inlineStr">
        <is>
          <t>KRW</t>
        </is>
      </c>
      <c r="Q656" s="29" t="inlineStr">
        <is>
          <t>17</t>
        </is>
      </c>
    </row>
    <row r="657" ht="24" customHeight="1">
      <c r="A657" s="24" t="inlineStr">
        <is>
          <t>OpenDART_fnlttSinglAcntAll</t>
        </is>
      </c>
      <c r="B657" s="24" t="inlineStr">
        <is>
          <t>01365825</t>
        </is>
      </c>
      <c r="C657" s="24" t="inlineStr">
        <is>
          <t>피에스케이</t>
        </is>
      </c>
      <c r="D657" s="24" t="inlineStr">
        <is>
          <t>psk</t>
        </is>
      </c>
      <c r="E657" s="24" t="inlineStr">
        <is>
          <t>319660</t>
        </is>
      </c>
      <c r="F657" s="24" t="inlineStr">
        <is>
          <t>2025</t>
        </is>
      </c>
      <c r="G657" s="24" t="inlineStr">
        <is>
          <t>CFS</t>
        </is>
      </c>
      <c r="H657" s="24" t="inlineStr">
        <is>
          <t>BS</t>
        </is>
      </c>
      <c r="I657" s="24" t="inlineStr">
        <is>
          <t>재무상태표</t>
        </is>
      </c>
      <c r="J657" s="24" t="inlineStr">
        <is>
          <t>ifrs-full_NoncurrentReceivables</t>
        </is>
      </c>
      <c r="K657" s="24" t="inlineStr">
        <is>
          <t>매출채권 및 기타채권</t>
        </is>
      </c>
      <c r="L657" s="24" t="inlineStr">
        <is>
          <t>-</t>
        </is>
      </c>
      <c r="M657" s="24" t="inlineStr">
        <is>
          <t>제 7 기</t>
        </is>
      </c>
      <c r="N657" s="24" t="inlineStr">
        <is>
          <t>3024868836.0</t>
        </is>
      </c>
      <c r="O657" s="24" t="inlineStr">
        <is>
          <t>3124754527.0</t>
        </is>
      </c>
      <c r="P657" s="24" t="inlineStr">
        <is>
          <t>KRW</t>
        </is>
      </c>
      <c r="Q657" s="24" t="inlineStr">
        <is>
          <t>18</t>
        </is>
      </c>
    </row>
    <row r="658" ht="24" customHeight="1">
      <c r="A658" s="29" t="inlineStr">
        <is>
          <t>OpenDART_fnlttSinglAcntAll</t>
        </is>
      </c>
      <c r="B658" s="29" t="inlineStr">
        <is>
          <t>01365825</t>
        </is>
      </c>
      <c r="C658" s="29" t="inlineStr">
        <is>
          <t>피에스케이</t>
        </is>
      </c>
      <c r="D658" s="29" t="inlineStr">
        <is>
          <t>psk</t>
        </is>
      </c>
      <c r="E658" s="29" t="inlineStr">
        <is>
          <t>319660</t>
        </is>
      </c>
      <c r="F658" s="29" t="inlineStr">
        <is>
          <t>2025</t>
        </is>
      </c>
      <c r="G658" s="29" t="inlineStr">
        <is>
          <t>CFS</t>
        </is>
      </c>
      <c r="H658" s="29" t="inlineStr">
        <is>
          <t>BS</t>
        </is>
      </c>
      <c r="I658" s="29" t="inlineStr">
        <is>
          <t>재무상태표</t>
        </is>
      </c>
      <c r="J658" s="29" t="inlineStr">
        <is>
          <t>ifrs-full_NoncurrentRecognisedAssetsDefinedBenefitPlan</t>
        </is>
      </c>
      <c r="K658" s="29" t="inlineStr">
        <is>
          <t>순확정급여자산</t>
        </is>
      </c>
      <c r="L658" s="29" t="inlineStr">
        <is>
          <t>-</t>
        </is>
      </c>
      <c r="M658" s="29" t="inlineStr">
        <is>
          <t>제 7 기</t>
        </is>
      </c>
      <c r="N658" s="29" t="inlineStr">
        <is>
          <t>2483410891.0</t>
        </is>
      </c>
      <c r="O658" s="29" t="inlineStr">
        <is>
          <t>1725769510.0</t>
        </is>
      </c>
      <c r="P658" s="29" t="inlineStr">
        <is>
          <t>KRW</t>
        </is>
      </c>
      <c r="Q658" s="29" t="inlineStr">
        <is>
          <t>19</t>
        </is>
      </c>
    </row>
    <row r="659" ht="24" customHeight="1">
      <c r="A659" s="24" t="inlineStr">
        <is>
          <t>OpenDART_fnlttSinglAcntAll</t>
        </is>
      </c>
      <c r="B659" s="24" t="inlineStr">
        <is>
          <t>01365825</t>
        </is>
      </c>
      <c r="C659" s="24" t="inlineStr">
        <is>
          <t>피에스케이</t>
        </is>
      </c>
      <c r="D659" s="24" t="inlineStr">
        <is>
          <t>psk</t>
        </is>
      </c>
      <c r="E659" s="24" t="inlineStr">
        <is>
          <t>319660</t>
        </is>
      </c>
      <c r="F659" s="24" t="inlineStr">
        <is>
          <t>2025</t>
        </is>
      </c>
      <c r="G659" s="24" t="inlineStr">
        <is>
          <t>CFS</t>
        </is>
      </c>
      <c r="H659" s="24" t="inlineStr">
        <is>
          <t>BS</t>
        </is>
      </c>
      <c r="I659" s="24" t="inlineStr">
        <is>
          <t>재무상태표</t>
        </is>
      </c>
      <c r="J659" s="24" t="inlineStr">
        <is>
          <t>ifrs-full_OtherNoncurrentAssets</t>
        </is>
      </c>
      <c r="K659" s="24" t="inlineStr">
        <is>
          <t>기타비유동자산</t>
        </is>
      </c>
      <c r="L659" s="24" t="inlineStr">
        <is>
          <t>-</t>
        </is>
      </c>
      <c r="M659" s="24" t="inlineStr">
        <is>
          <t>제 7 기</t>
        </is>
      </c>
      <c r="N659" s="24" t="inlineStr">
        <is>
          <t>246152205.0</t>
        </is>
      </c>
      <c r="O659" s="24" t="inlineStr">
        <is>
          <t>124677367.0</t>
        </is>
      </c>
      <c r="P659" s="24" t="inlineStr">
        <is>
          <t>KRW</t>
        </is>
      </c>
      <c r="Q659" s="24" t="inlineStr">
        <is>
          <t>20</t>
        </is>
      </c>
    </row>
    <row r="660" ht="24" customHeight="1">
      <c r="A660" s="29" t="inlineStr">
        <is>
          <t>OpenDART_fnlttSinglAcntAll</t>
        </is>
      </c>
      <c r="B660" s="29" t="inlineStr">
        <is>
          <t>01365825</t>
        </is>
      </c>
      <c r="C660" s="29" t="inlineStr">
        <is>
          <t>피에스케이</t>
        </is>
      </c>
      <c r="D660" s="29" t="inlineStr">
        <is>
          <t>psk</t>
        </is>
      </c>
      <c r="E660" s="29" t="inlineStr">
        <is>
          <t>319660</t>
        </is>
      </c>
      <c r="F660" s="29" t="inlineStr">
        <is>
          <t>2025</t>
        </is>
      </c>
      <c r="G660" s="29" t="inlineStr">
        <is>
          <t>CFS</t>
        </is>
      </c>
      <c r="H660" s="29" t="inlineStr">
        <is>
          <t>BS</t>
        </is>
      </c>
      <c r="I660" s="29" t="inlineStr">
        <is>
          <t>재무상태표</t>
        </is>
      </c>
      <c r="J660" s="29" t="inlineStr">
        <is>
          <t>ifrs-full_OtherNoncurrentFinancialAssets</t>
        </is>
      </c>
      <c r="K660" s="29" t="inlineStr">
        <is>
          <t>비유동금융자산</t>
        </is>
      </c>
      <c r="L660" s="29" t="inlineStr">
        <is>
          <t>-</t>
        </is>
      </c>
      <c r="M660" s="29" t="inlineStr">
        <is>
          <t>제 7 기</t>
        </is>
      </c>
      <c r="N660" s="29" t="inlineStr">
        <is>
          <t>74329816127.0</t>
        </is>
      </c>
      <c r="O660" s="29" t="inlineStr">
        <is>
          <t>53240589070.0</t>
        </is>
      </c>
      <c r="P660" s="29" t="inlineStr">
        <is>
          <t>KRW</t>
        </is>
      </c>
      <c r="Q660" s="29" t="inlineStr">
        <is>
          <t>21</t>
        </is>
      </c>
    </row>
    <row r="661" ht="24" customHeight="1">
      <c r="A661" s="24" t="inlineStr">
        <is>
          <t>OpenDART_fnlttSinglAcntAll</t>
        </is>
      </c>
      <c r="B661" s="24" t="inlineStr">
        <is>
          <t>01365825</t>
        </is>
      </c>
      <c r="C661" s="24" t="inlineStr">
        <is>
          <t>피에스케이</t>
        </is>
      </c>
      <c r="D661" s="24" t="inlineStr">
        <is>
          <t>psk</t>
        </is>
      </c>
      <c r="E661" s="24" t="inlineStr">
        <is>
          <t>319660</t>
        </is>
      </c>
      <c r="F661" s="24" t="inlineStr">
        <is>
          <t>2025</t>
        </is>
      </c>
      <c r="G661" s="24" t="inlineStr">
        <is>
          <t>CFS</t>
        </is>
      </c>
      <c r="H661" s="24" t="inlineStr">
        <is>
          <t>BS</t>
        </is>
      </c>
      <c r="I661" s="24" t="inlineStr">
        <is>
          <t>재무상태표</t>
        </is>
      </c>
      <c r="J661" s="24" t="inlineStr">
        <is>
          <t>ifrs-full_PropertyPlantAndEquipment</t>
        </is>
      </c>
      <c r="K661" s="24" t="inlineStr">
        <is>
          <t>유형자산</t>
        </is>
      </c>
      <c r="L661" s="24" t="inlineStr">
        <is>
          <t>-</t>
        </is>
      </c>
      <c r="M661" s="24" t="inlineStr">
        <is>
          <t>제 7 기</t>
        </is>
      </c>
      <c r="N661" s="24" t="inlineStr">
        <is>
          <t>102298682061.0</t>
        </is>
      </c>
      <c r="O661" s="24" t="inlineStr">
        <is>
          <t>92635598884.0</t>
        </is>
      </c>
      <c r="P661" s="24" t="inlineStr">
        <is>
          <t>KRW</t>
        </is>
      </c>
      <c r="Q661" s="24" t="inlineStr">
        <is>
          <t>22</t>
        </is>
      </c>
    </row>
    <row r="662" ht="24" customHeight="1">
      <c r="A662" s="29" t="inlineStr">
        <is>
          <t>OpenDART_fnlttSinglAcntAll</t>
        </is>
      </c>
      <c r="B662" s="29" t="inlineStr">
        <is>
          <t>01365825</t>
        </is>
      </c>
      <c r="C662" s="29" t="inlineStr">
        <is>
          <t>피에스케이</t>
        </is>
      </c>
      <c r="D662" s="29" t="inlineStr">
        <is>
          <t>psk</t>
        </is>
      </c>
      <c r="E662" s="29" t="inlineStr">
        <is>
          <t>319660</t>
        </is>
      </c>
      <c r="F662" s="29" t="inlineStr">
        <is>
          <t>2025</t>
        </is>
      </c>
      <c r="G662" s="29" t="inlineStr">
        <is>
          <t>CFS</t>
        </is>
      </c>
      <c r="H662" s="29" t="inlineStr">
        <is>
          <t>BS</t>
        </is>
      </c>
      <c r="I662" s="29" t="inlineStr">
        <is>
          <t>재무상태표</t>
        </is>
      </c>
      <c r="J662" s="29" t="inlineStr">
        <is>
          <t>ifrs-full_RightofuseAssets</t>
        </is>
      </c>
      <c r="K662" s="29" t="inlineStr">
        <is>
          <t>사용권자산</t>
        </is>
      </c>
      <c r="L662" s="29" t="inlineStr">
        <is>
          <t>-</t>
        </is>
      </c>
      <c r="M662" s="29" t="inlineStr">
        <is>
          <t>제 7 기</t>
        </is>
      </c>
      <c r="N662" s="29" t="inlineStr">
        <is>
          <t>6031091775.0</t>
        </is>
      </c>
      <c r="O662" s="29" t="inlineStr">
        <is>
          <t>4175526357.0</t>
        </is>
      </c>
      <c r="P662" s="29" t="inlineStr">
        <is>
          <t>KRW</t>
        </is>
      </c>
      <c r="Q662" s="29" t="inlineStr">
        <is>
          <t>23</t>
        </is>
      </c>
    </row>
    <row r="663" ht="24" customHeight="1">
      <c r="A663" s="24" t="inlineStr">
        <is>
          <t>OpenDART_fnlttSinglAcntAll</t>
        </is>
      </c>
      <c r="B663" s="24" t="inlineStr">
        <is>
          <t>01365825</t>
        </is>
      </c>
      <c r="C663" s="24" t="inlineStr">
        <is>
          <t>피에스케이</t>
        </is>
      </c>
      <c r="D663" s="24" t="inlineStr">
        <is>
          <t>psk</t>
        </is>
      </c>
      <c r="E663" s="24" t="inlineStr">
        <is>
          <t>319660</t>
        </is>
      </c>
      <c r="F663" s="24" t="inlineStr">
        <is>
          <t>2025</t>
        </is>
      </c>
      <c r="G663" s="24" t="inlineStr">
        <is>
          <t>CFS</t>
        </is>
      </c>
      <c r="H663" s="24" t="inlineStr">
        <is>
          <t>BS</t>
        </is>
      </c>
      <c r="I663" s="24" t="inlineStr">
        <is>
          <t>재무상태표</t>
        </is>
      </c>
      <c r="J663" s="24" t="inlineStr">
        <is>
          <t>ifrs-full_Equity</t>
        </is>
      </c>
      <c r="K663" s="24" t="inlineStr">
        <is>
          <t>자본총계</t>
        </is>
      </c>
      <c r="L663" s="24" t="inlineStr">
        <is>
          <t>-</t>
        </is>
      </c>
      <c r="M663" s="24" t="inlineStr">
        <is>
          <t>제 7 기</t>
        </is>
      </c>
      <c r="N663" s="24" t="inlineStr">
        <is>
          <t>539036262184.0</t>
        </is>
      </c>
      <c r="O663" s="24" t="inlineStr">
        <is>
          <t>471716805682.0</t>
        </is>
      </c>
      <c r="P663" s="24" t="inlineStr">
        <is>
          <t>KRW</t>
        </is>
      </c>
      <c r="Q663" s="24" t="inlineStr">
        <is>
          <t>25</t>
        </is>
      </c>
    </row>
    <row r="664" ht="24" customHeight="1">
      <c r="A664" s="29" t="inlineStr">
        <is>
          <t>OpenDART_fnlttSinglAcntAll</t>
        </is>
      </c>
      <c r="B664" s="29" t="inlineStr">
        <is>
          <t>01365825</t>
        </is>
      </c>
      <c r="C664" s="29" t="inlineStr">
        <is>
          <t>피에스케이</t>
        </is>
      </c>
      <c r="D664" s="29" t="inlineStr">
        <is>
          <t>psk</t>
        </is>
      </c>
      <c r="E664" s="29" t="inlineStr">
        <is>
          <t>319660</t>
        </is>
      </c>
      <c r="F664" s="29" t="inlineStr">
        <is>
          <t>2025</t>
        </is>
      </c>
      <c r="G664" s="29" t="inlineStr">
        <is>
          <t>CFS</t>
        </is>
      </c>
      <c r="H664" s="29" t="inlineStr">
        <is>
          <t>BS</t>
        </is>
      </c>
      <c r="I664" s="29" t="inlineStr">
        <is>
          <t>재무상태표</t>
        </is>
      </c>
      <c r="J664" s="29" t="inlineStr">
        <is>
          <t>ifrs-full_EquityAttributableToOwnersOfParent</t>
        </is>
      </c>
      <c r="K664" s="29" t="inlineStr">
        <is>
          <t>지배주주지분</t>
        </is>
      </c>
      <c r="L664" s="29" t="inlineStr">
        <is>
          <t>-</t>
        </is>
      </c>
      <c r="M664" s="29" t="inlineStr">
        <is>
          <t>제 7 기</t>
        </is>
      </c>
      <c r="N664" s="29" t="inlineStr">
        <is>
          <t>538946086444.0</t>
        </is>
      </c>
      <c r="O664" s="29" t="inlineStr">
        <is>
          <t>471716805682.0</t>
        </is>
      </c>
      <c r="P664" s="29" t="inlineStr">
        <is>
          <t>KRW</t>
        </is>
      </c>
      <c r="Q664" s="29" t="inlineStr">
        <is>
          <t>26</t>
        </is>
      </c>
    </row>
    <row r="665" ht="24" customHeight="1">
      <c r="A665" s="24" t="inlineStr">
        <is>
          <t>OpenDART_fnlttSinglAcntAll</t>
        </is>
      </c>
      <c r="B665" s="24" t="inlineStr">
        <is>
          <t>01365825</t>
        </is>
      </c>
      <c r="C665" s="24" t="inlineStr">
        <is>
          <t>피에스케이</t>
        </is>
      </c>
      <c r="D665" s="24" t="inlineStr">
        <is>
          <t>psk</t>
        </is>
      </c>
      <c r="E665" s="24" t="inlineStr">
        <is>
          <t>319660</t>
        </is>
      </c>
      <c r="F665" s="24" t="inlineStr">
        <is>
          <t>2025</t>
        </is>
      </c>
      <c r="G665" s="24" t="inlineStr">
        <is>
          <t>CFS</t>
        </is>
      </c>
      <c r="H665" s="24" t="inlineStr">
        <is>
          <t>BS</t>
        </is>
      </c>
      <c r="I665" s="24" t="inlineStr">
        <is>
          <t>재무상태표</t>
        </is>
      </c>
      <c r="J665" s="24" t="inlineStr">
        <is>
          <t>dart_CapitalSurplus</t>
        </is>
      </c>
      <c r="K665" s="24" t="inlineStr">
        <is>
          <t>기타불입자본</t>
        </is>
      </c>
      <c r="L665" s="24" t="inlineStr">
        <is>
          <t>-</t>
        </is>
      </c>
      <c r="M665" s="24" t="inlineStr">
        <is>
          <t>제 7 기</t>
        </is>
      </c>
      <c r="N665" s="24" t="inlineStr">
        <is>
          <t>171870069208.0</t>
        </is>
      </c>
      <c r="O665" s="24" t="inlineStr">
        <is>
          <t>171960244948.0</t>
        </is>
      </c>
      <c r="P665" s="24" t="inlineStr">
        <is>
          <t>KRW</t>
        </is>
      </c>
      <c r="Q665" s="24" t="inlineStr">
        <is>
          <t>27</t>
        </is>
      </c>
    </row>
    <row r="666" ht="24" customHeight="1">
      <c r="A666" s="29" t="inlineStr">
        <is>
          <t>OpenDART_fnlttSinglAcntAll</t>
        </is>
      </c>
      <c r="B666" s="29" t="inlineStr">
        <is>
          <t>01365825</t>
        </is>
      </c>
      <c r="C666" s="29" t="inlineStr">
        <is>
          <t>피에스케이</t>
        </is>
      </c>
      <c r="D666" s="29" t="inlineStr">
        <is>
          <t>psk</t>
        </is>
      </c>
      <c r="E666" s="29" t="inlineStr">
        <is>
          <t>319660</t>
        </is>
      </c>
      <c r="F666" s="29" t="inlineStr">
        <is>
          <t>2025</t>
        </is>
      </c>
      <c r="G666" s="29" t="inlineStr">
        <is>
          <t>CFS</t>
        </is>
      </c>
      <c r="H666" s="29" t="inlineStr">
        <is>
          <t>BS</t>
        </is>
      </c>
      <c r="I666" s="29" t="inlineStr">
        <is>
          <t>재무상태표</t>
        </is>
      </c>
      <c r="J666" s="29" t="inlineStr">
        <is>
          <t>dart_ElementsOfOtherStockholdersEquity</t>
        </is>
      </c>
      <c r="K666" s="29" t="inlineStr">
        <is>
          <t>기타자본구성요소</t>
        </is>
      </c>
      <c r="L666" s="29" t="inlineStr">
        <is>
          <t>-</t>
        </is>
      </c>
      <c r="M666" s="29" t="inlineStr">
        <is>
          <t>제 7 기</t>
        </is>
      </c>
      <c r="N666" s="29" t="inlineStr">
        <is>
          <t>9697781079.0</t>
        </is>
      </c>
      <c r="O666" s="29" t="inlineStr">
        <is>
          <t>8898706053.0</t>
        </is>
      </c>
      <c r="P666" s="29" t="inlineStr">
        <is>
          <t>KRW</t>
        </is>
      </c>
      <c r="Q666" s="29" t="inlineStr">
        <is>
          <t>28</t>
        </is>
      </c>
    </row>
    <row r="667" ht="24" customHeight="1">
      <c r="A667" s="24" t="inlineStr">
        <is>
          <t>OpenDART_fnlttSinglAcntAll</t>
        </is>
      </c>
      <c r="B667" s="24" t="inlineStr">
        <is>
          <t>01365825</t>
        </is>
      </c>
      <c r="C667" s="24" t="inlineStr">
        <is>
          <t>피에스케이</t>
        </is>
      </c>
      <c r="D667" s="24" t="inlineStr">
        <is>
          <t>psk</t>
        </is>
      </c>
      <c r="E667" s="24" t="inlineStr">
        <is>
          <t>319660</t>
        </is>
      </c>
      <c r="F667" s="24" t="inlineStr">
        <is>
          <t>2025</t>
        </is>
      </c>
      <c r="G667" s="24" t="inlineStr">
        <is>
          <t>CFS</t>
        </is>
      </c>
      <c r="H667" s="24" t="inlineStr">
        <is>
          <t>BS</t>
        </is>
      </c>
      <c r="I667" s="24" t="inlineStr">
        <is>
          <t>재무상태표</t>
        </is>
      </c>
      <c r="J667" s="24" t="inlineStr">
        <is>
          <t>ifrs-full_IssuedCapital</t>
        </is>
      </c>
      <c r="K667" s="24" t="inlineStr">
        <is>
          <t>자본금</t>
        </is>
      </c>
      <c r="L667" s="24" t="inlineStr">
        <is>
          <t>-</t>
        </is>
      </c>
      <c r="M667" s="24" t="inlineStr">
        <is>
          <t>제 7 기</t>
        </is>
      </c>
      <c r="N667" s="24" t="inlineStr">
        <is>
          <t>14624188500.0</t>
        </is>
      </c>
      <c r="O667" s="24" t="inlineStr">
        <is>
          <t>14624188500.0</t>
        </is>
      </c>
      <c r="P667" s="24" t="inlineStr">
        <is>
          <t>KRW</t>
        </is>
      </c>
      <c r="Q667" s="24" t="inlineStr">
        <is>
          <t>29</t>
        </is>
      </c>
    </row>
    <row r="668" ht="24" customHeight="1">
      <c r="A668" s="29" t="inlineStr">
        <is>
          <t>OpenDART_fnlttSinglAcntAll</t>
        </is>
      </c>
      <c r="B668" s="29" t="inlineStr">
        <is>
          <t>01365825</t>
        </is>
      </c>
      <c r="C668" s="29" t="inlineStr">
        <is>
          <t>피에스케이</t>
        </is>
      </c>
      <c r="D668" s="29" t="inlineStr">
        <is>
          <t>psk</t>
        </is>
      </c>
      <c r="E668" s="29" t="inlineStr">
        <is>
          <t>319660</t>
        </is>
      </c>
      <c r="F668" s="29" t="inlineStr">
        <is>
          <t>2025</t>
        </is>
      </c>
      <c r="G668" s="29" t="inlineStr">
        <is>
          <t>CFS</t>
        </is>
      </c>
      <c r="H668" s="29" t="inlineStr">
        <is>
          <t>BS</t>
        </is>
      </c>
      <c r="I668" s="29" t="inlineStr">
        <is>
          <t>재무상태표</t>
        </is>
      </c>
      <c r="J668" s="29" t="inlineStr">
        <is>
          <t>ifrs-full_RetainedEarnings</t>
        </is>
      </c>
      <c r="K668" s="29" t="inlineStr">
        <is>
          <t>이익잉여금</t>
        </is>
      </c>
      <c r="L668" s="29" t="inlineStr">
        <is>
          <t>-</t>
        </is>
      </c>
      <c r="M668" s="29" t="inlineStr">
        <is>
          <t>제 7 기</t>
        </is>
      </c>
      <c r="N668" s="29" t="inlineStr">
        <is>
          <t>342754047657.0</t>
        </is>
      </c>
      <c r="O668" s="29" t="inlineStr">
        <is>
          <t>276233666181.0</t>
        </is>
      </c>
      <c r="P668" s="29" t="inlineStr">
        <is>
          <t>KRW</t>
        </is>
      </c>
      <c r="Q668" s="29" t="inlineStr">
        <is>
          <t>30</t>
        </is>
      </c>
    </row>
    <row r="669" ht="24" customHeight="1">
      <c r="A669" s="24" t="inlineStr">
        <is>
          <t>OpenDART_fnlttSinglAcntAll</t>
        </is>
      </c>
      <c r="B669" s="24" t="inlineStr">
        <is>
          <t>01365825</t>
        </is>
      </c>
      <c r="C669" s="24" t="inlineStr">
        <is>
          <t>피에스케이</t>
        </is>
      </c>
      <c r="D669" s="24" t="inlineStr">
        <is>
          <t>psk</t>
        </is>
      </c>
      <c r="E669" s="24" t="inlineStr">
        <is>
          <t>319660</t>
        </is>
      </c>
      <c r="F669" s="24" t="inlineStr">
        <is>
          <t>2025</t>
        </is>
      </c>
      <c r="G669" s="24" t="inlineStr">
        <is>
          <t>CFS</t>
        </is>
      </c>
      <c r="H669" s="24" t="inlineStr">
        <is>
          <t>BS</t>
        </is>
      </c>
      <c r="I669" s="24" t="inlineStr">
        <is>
          <t>재무상태표</t>
        </is>
      </c>
      <c r="J669" s="24" t="inlineStr">
        <is>
          <t>ifrs-full_NoncontrollingInterests</t>
        </is>
      </c>
      <c r="K669" s="24" t="inlineStr">
        <is>
          <t>비지배주주지분</t>
        </is>
      </c>
      <c r="L669" s="24" t="inlineStr">
        <is>
          <t>-</t>
        </is>
      </c>
      <c r="M669" s="24" t="inlineStr">
        <is>
          <t>제 7 기</t>
        </is>
      </c>
      <c r="N669" s="24" t="inlineStr">
        <is>
          <t>90175740.0</t>
        </is>
      </c>
      <c r="O669" s="24" t="inlineStr">
        <is>
          <t>0.0</t>
        </is>
      </c>
      <c r="P669" s="24" t="inlineStr">
        <is>
          <t>KRW</t>
        </is>
      </c>
      <c r="Q669" s="24" t="inlineStr">
        <is>
          <t>31</t>
        </is>
      </c>
    </row>
    <row r="670" ht="24" customHeight="1">
      <c r="A670" s="29" t="inlineStr">
        <is>
          <t>OpenDART_fnlttSinglAcntAll</t>
        </is>
      </c>
      <c r="B670" s="29" t="inlineStr">
        <is>
          <t>01365825</t>
        </is>
      </c>
      <c r="C670" s="29" t="inlineStr">
        <is>
          <t>피에스케이</t>
        </is>
      </c>
      <c r="D670" s="29" t="inlineStr">
        <is>
          <t>psk</t>
        </is>
      </c>
      <c r="E670" s="29" t="inlineStr">
        <is>
          <t>319660</t>
        </is>
      </c>
      <c r="F670" s="29" t="inlineStr">
        <is>
          <t>2025</t>
        </is>
      </c>
      <c r="G670" s="29" t="inlineStr">
        <is>
          <t>CFS</t>
        </is>
      </c>
      <c r="H670" s="29" t="inlineStr">
        <is>
          <t>BS</t>
        </is>
      </c>
      <c r="I670" s="29" t="inlineStr">
        <is>
          <t>재무상태표</t>
        </is>
      </c>
      <c r="J670" s="29" t="inlineStr">
        <is>
          <t>ifrs-full_EquityAndLiabilities</t>
        </is>
      </c>
      <c r="K670" s="29" t="inlineStr">
        <is>
          <t>부채와자본총계</t>
        </is>
      </c>
      <c r="L670" s="29" t="inlineStr">
        <is>
          <t>-</t>
        </is>
      </c>
      <c r="M670" s="29" t="inlineStr">
        <is>
          <t>제 7 기</t>
        </is>
      </c>
      <c r="N670" s="29" t="inlineStr">
        <is>
          <t>645998217783.0</t>
        </is>
      </c>
      <c r="O670" s="29" t="inlineStr">
        <is>
          <t>569356264734.0</t>
        </is>
      </c>
      <c r="P670" s="29" t="inlineStr">
        <is>
          <t>KRW</t>
        </is>
      </c>
      <c r="Q670" s="29" t="inlineStr">
        <is>
          <t>32</t>
        </is>
      </c>
    </row>
    <row r="671" ht="24" customHeight="1">
      <c r="A671" s="24" t="inlineStr">
        <is>
          <t>OpenDART_fnlttSinglAcntAll</t>
        </is>
      </c>
      <c r="B671" s="24" t="inlineStr">
        <is>
          <t>01365825</t>
        </is>
      </c>
      <c r="C671" s="24" t="inlineStr">
        <is>
          <t>피에스케이</t>
        </is>
      </c>
      <c r="D671" s="24" t="inlineStr">
        <is>
          <t>psk</t>
        </is>
      </c>
      <c r="E671" s="24" t="inlineStr">
        <is>
          <t>319660</t>
        </is>
      </c>
      <c r="F671" s="24" t="inlineStr">
        <is>
          <t>2025</t>
        </is>
      </c>
      <c r="G671" s="24" t="inlineStr">
        <is>
          <t>CFS</t>
        </is>
      </c>
      <c r="H671" s="24" t="inlineStr">
        <is>
          <t>BS</t>
        </is>
      </c>
      <c r="I671" s="24" t="inlineStr">
        <is>
          <t>재무상태표</t>
        </is>
      </c>
      <c r="J671" s="24" t="inlineStr">
        <is>
          <t>ifrs-full_CurrentLiabilities</t>
        </is>
      </c>
      <c r="K671" s="24" t="inlineStr">
        <is>
          <t>유동부채</t>
        </is>
      </c>
      <c r="L671" s="24" t="inlineStr">
        <is>
          <t>-</t>
        </is>
      </c>
      <c r="M671" s="24" t="inlineStr">
        <is>
          <t>제 7 기</t>
        </is>
      </c>
      <c r="N671" s="24" t="inlineStr">
        <is>
          <t>89382450594.0</t>
        </is>
      </c>
      <c r="O671" s="24" t="inlineStr">
        <is>
          <t>81154312944.0</t>
        </is>
      </c>
      <c r="P671" s="24" t="inlineStr">
        <is>
          <t>KRW</t>
        </is>
      </c>
      <c r="Q671" s="24" t="inlineStr">
        <is>
          <t>34</t>
        </is>
      </c>
    </row>
    <row r="672" ht="24" customHeight="1">
      <c r="A672" s="29" t="inlineStr">
        <is>
          <t>OpenDART_fnlttSinglAcntAll</t>
        </is>
      </c>
      <c r="B672" s="29" t="inlineStr">
        <is>
          <t>01365825</t>
        </is>
      </c>
      <c r="C672" s="29" t="inlineStr">
        <is>
          <t>피에스케이</t>
        </is>
      </c>
      <c r="D672" s="29" t="inlineStr">
        <is>
          <t>psk</t>
        </is>
      </c>
      <c r="E672" s="29" t="inlineStr">
        <is>
          <t>319660</t>
        </is>
      </c>
      <c r="F672" s="29" t="inlineStr">
        <is>
          <t>2025</t>
        </is>
      </c>
      <c r="G672" s="29" t="inlineStr">
        <is>
          <t>CFS</t>
        </is>
      </c>
      <c r="H672" s="29" t="inlineStr">
        <is>
          <t>BS</t>
        </is>
      </c>
      <c r="I672" s="29" t="inlineStr">
        <is>
          <t>재무상태표</t>
        </is>
      </c>
      <c r="J672" s="29" t="inlineStr">
        <is>
          <t>ifrs-full_CurrentBorrowingsAndCurrentPortionOfNoncurrentBorrowings</t>
        </is>
      </c>
      <c r="K672" s="29" t="inlineStr">
        <is>
          <t>차입금</t>
        </is>
      </c>
      <c r="L672" s="29" t="inlineStr">
        <is>
          <t>-</t>
        </is>
      </c>
      <c r="M672" s="29" t="inlineStr">
        <is>
          <t>제 7 기</t>
        </is>
      </c>
      <c r="N672" s="29" t="inlineStr">
        <is>
          <t>2245333260.0</t>
        </is>
      </c>
      <c r="O672" s="29" t="inlineStr">
        <is>
          <t>7000089244.0</t>
        </is>
      </c>
      <c r="P672" s="29" t="inlineStr">
        <is>
          <t>KRW</t>
        </is>
      </c>
      <c r="Q672" s="29" t="inlineStr">
        <is>
          <t>35</t>
        </is>
      </c>
    </row>
    <row r="673" ht="24" customHeight="1">
      <c r="A673" s="24" t="inlineStr">
        <is>
          <t>OpenDART_fnlttSinglAcntAll</t>
        </is>
      </c>
      <c r="B673" s="24" t="inlineStr">
        <is>
          <t>01365825</t>
        </is>
      </c>
      <c r="C673" s="24" t="inlineStr">
        <is>
          <t>피에스케이</t>
        </is>
      </c>
      <c r="D673" s="24" t="inlineStr">
        <is>
          <t>psk</t>
        </is>
      </c>
      <c r="E673" s="24" t="inlineStr">
        <is>
          <t>319660</t>
        </is>
      </c>
      <c r="F673" s="24" t="inlineStr">
        <is>
          <t>2025</t>
        </is>
      </c>
      <c r="G673" s="24" t="inlineStr">
        <is>
          <t>CFS</t>
        </is>
      </c>
      <c r="H673" s="24" t="inlineStr">
        <is>
          <t>BS</t>
        </is>
      </c>
      <c r="I673" s="24" t="inlineStr">
        <is>
          <t>재무상태표</t>
        </is>
      </c>
      <c r="J673" s="24" t="inlineStr">
        <is>
          <t>ifrs-full_CurrentLeaseLiabilities</t>
        </is>
      </c>
      <c r="K673" s="24" t="inlineStr">
        <is>
          <t>리스부채</t>
        </is>
      </c>
      <c r="L673" s="24" t="inlineStr">
        <is>
          <t>-</t>
        </is>
      </c>
      <c r="M673" s="24" t="inlineStr">
        <is>
          <t>제 7 기</t>
        </is>
      </c>
      <c r="N673" s="24" t="inlineStr">
        <is>
          <t>1855473119.0</t>
        </is>
      </c>
      <c r="O673" s="24" t="inlineStr">
        <is>
          <t>1664785559.0</t>
        </is>
      </c>
      <c r="P673" s="24" t="inlineStr">
        <is>
          <t>KRW</t>
        </is>
      </c>
      <c r="Q673" s="24" t="inlineStr">
        <is>
          <t>36</t>
        </is>
      </c>
    </row>
    <row r="674" ht="24" customHeight="1">
      <c r="A674" s="29" t="inlineStr">
        <is>
          <t>OpenDART_fnlttSinglAcntAll</t>
        </is>
      </c>
      <c r="B674" s="29" t="inlineStr">
        <is>
          <t>01365825</t>
        </is>
      </c>
      <c r="C674" s="29" t="inlineStr">
        <is>
          <t>피에스케이</t>
        </is>
      </c>
      <c r="D674" s="29" t="inlineStr">
        <is>
          <t>psk</t>
        </is>
      </c>
      <c r="E674" s="29" t="inlineStr">
        <is>
          <t>319660</t>
        </is>
      </c>
      <c r="F674" s="29" t="inlineStr">
        <is>
          <t>2025</t>
        </is>
      </c>
      <c r="G674" s="29" t="inlineStr">
        <is>
          <t>CFS</t>
        </is>
      </c>
      <c r="H674" s="29" t="inlineStr">
        <is>
          <t>BS</t>
        </is>
      </c>
      <c r="I674" s="29" t="inlineStr">
        <is>
          <t>재무상태표</t>
        </is>
      </c>
      <c r="J674" s="29" t="inlineStr">
        <is>
          <t>ifrs-full_CurrentProvisions</t>
        </is>
      </c>
      <c r="K674" s="29" t="inlineStr">
        <is>
          <t>충당부채</t>
        </is>
      </c>
      <c r="L674" s="29" t="inlineStr">
        <is>
          <t>-</t>
        </is>
      </c>
      <c r="M674" s="29" t="inlineStr">
        <is>
          <t>제 7 기</t>
        </is>
      </c>
      <c r="N674" s="29" t="inlineStr">
        <is>
          <t>10873116822.0</t>
        </is>
      </c>
      <c r="O674" s="29" t="inlineStr">
        <is>
          <t>11964786763.0</t>
        </is>
      </c>
      <c r="P674" s="29" t="inlineStr">
        <is>
          <t>KRW</t>
        </is>
      </c>
      <c r="Q674" s="29" t="inlineStr">
        <is>
          <t>37</t>
        </is>
      </c>
    </row>
    <row r="675" ht="24" customHeight="1">
      <c r="A675" s="24" t="inlineStr">
        <is>
          <t>OpenDART_fnlttSinglAcntAll</t>
        </is>
      </c>
      <c r="B675" s="24" t="inlineStr">
        <is>
          <t>01365825</t>
        </is>
      </c>
      <c r="C675" s="24" t="inlineStr">
        <is>
          <t>피에스케이</t>
        </is>
      </c>
      <c r="D675" s="24" t="inlineStr">
        <is>
          <t>psk</t>
        </is>
      </c>
      <c r="E675" s="24" t="inlineStr">
        <is>
          <t>319660</t>
        </is>
      </c>
      <c r="F675" s="24" t="inlineStr">
        <is>
          <t>2025</t>
        </is>
      </c>
      <c r="G675" s="24" t="inlineStr">
        <is>
          <t>CFS</t>
        </is>
      </c>
      <c r="H675" s="24" t="inlineStr">
        <is>
          <t>BS</t>
        </is>
      </c>
      <c r="I675" s="24" t="inlineStr">
        <is>
          <t>재무상태표</t>
        </is>
      </c>
      <c r="J675" s="24" t="inlineStr">
        <is>
          <t>ifrs-full_CurrentTaxLiabilities</t>
        </is>
      </c>
      <c r="K675" s="24" t="inlineStr">
        <is>
          <t>당기법인세부채</t>
        </is>
      </c>
      <c r="L675" s="24" t="inlineStr">
        <is>
          <t>-</t>
        </is>
      </c>
      <c r="M675" s="24" t="inlineStr">
        <is>
          <t>제 7 기</t>
        </is>
      </c>
      <c r="N675" s="24" t="inlineStr">
        <is>
          <t>6373709509.0</t>
        </is>
      </c>
      <c r="O675" s="24" t="inlineStr">
        <is>
          <t>7850832961.0</t>
        </is>
      </c>
      <c r="P675" s="24" t="inlineStr">
        <is>
          <t>KRW</t>
        </is>
      </c>
      <c r="Q675" s="24" t="inlineStr">
        <is>
          <t>38</t>
        </is>
      </c>
    </row>
    <row r="676" ht="24" customHeight="1">
      <c r="A676" s="29" t="inlineStr">
        <is>
          <t>OpenDART_fnlttSinglAcntAll</t>
        </is>
      </c>
      <c r="B676" s="29" t="inlineStr">
        <is>
          <t>01365825</t>
        </is>
      </c>
      <c r="C676" s="29" t="inlineStr">
        <is>
          <t>피에스케이</t>
        </is>
      </c>
      <c r="D676" s="29" t="inlineStr">
        <is>
          <t>psk</t>
        </is>
      </c>
      <c r="E676" s="29" t="inlineStr">
        <is>
          <t>319660</t>
        </is>
      </c>
      <c r="F676" s="29" t="inlineStr">
        <is>
          <t>2025</t>
        </is>
      </c>
      <c r="G676" s="29" t="inlineStr">
        <is>
          <t>CFS</t>
        </is>
      </c>
      <c r="H676" s="29" t="inlineStr">
        <is>
          <t>BS</t>
        </is>
      </c>
      <c r="I676" s="29" t="inlineStr">
        <is>
          <t>재무상태표</t>
        </is>
      </c>
      <c r="J676" s="29" t="inlineStr">
        <is>
          <t>ifrs-full_OtherCurrentLiabilities</t>
        </is>
      </c>
      <c r="K676" s="29" t="inlineStr">
        <is>
          <t>기타 유동부채</t>
        </is>
      </c>
      <c r="L676" s="29" t="inlineStr">
        <is>
          <t>-</t>
        </is>
      </c>
      <c r="M676" s="29" t="inlineStr">
        <is>
          <t>제 7 기</t>
        </is>
      </c>
      <c r="N676" s="29" t="inlineStr">
        <is>
          <t>22471660208.0</t>
        </is>
      </c>
      <c r="O676" s="29" t="inlineStr">
        <is>
          <t>17515221092.0</t>
        </is>
      </c>
      <c r="P676" s="29" t="inlineStr">
        <is>
          <t>KRW</t>
        </is>
      </c>
      <c r="Q676" s="29" t="inlineStr">
        <is>
          <t>39</t>
        </is>
      </c>
    </row>
    <row r="677" ht="24" customHeight="1">
      <c r="A677" s="24" t="inlineStr">
        <is>
          <t>OpenDART_fnlttSinglAcntAll</t>
        </is>
      </c>
      <c r="B677" s="24" t="inlineStr">
        <is>
          <t>01365825</t>
        </is>
      </c>
      <c r="C677" s="24" t="inlineStr">
        <is>
          <t>피에스케이</t>
        </is>
      </c>
      <c r="D677" s="24" t="inlineStr">
        <is>
          <t>psk</t>
        </is>
      </c>
      <c r="E677" s="24" t="inlineStr">
        <is>
          <t>319660</t>
        </is>
      </c>
      <c r="F677" s="24" t="inlineStr">
        <is>
          <t>2025</t>
        </is>
      </c>
      <c r="G677" s="24" t="inlineStr">
        <is>
          <t>CFS</t>
        </is>
      </c>
      <c r="H677" s="24" t="inlineStr">
        <is>
          <t>BS</t>
        </is>
      </c>
      <c r="I677" s="24" t="inlineStr">
        <is>
          <t>재무상태표</t>
        </is>
      </c>
      <c r="J677" s="24" t="inlineStr">
        <is>
          <t>ifrs-full_TradeAndOtherCurrentPayables</t>
        </is>
      </c>
      <c r="K677" s="24" t="inlineStr">
        <is>
          <t>매입채무 및 기타채무</t>
        </is>
      </c>
      <c r="L677" s="24" t="inlineStr">
        <is>
          <t>-</t>
        </is>
      </c>
      <c r="M677" s="24" t="inlineStr">
        <is>
          <t>제 7 기</t>
        </is>
      </c>
      <c r="N677" s="24" t="inlineStr">
        <is>
          <t>45563157676.0</t>
        </is>
      </c>
      <c r="O677" s="24" t="inlineStr">
        <is>
          <t>35158597325.0</t>
        </is>
      </c>
      <c r="P677" s="24" t="inlineStr">
        <is>
          <t>KRW</t>
        </is>
      </c>
      <c r="Q677" s="24" t="inlineStr">
        <is>
          <t>40</t>
        </is>
      </c>
    </row>
    <row r="678" ht="24" customHeight="1">
      <c r="A678" s="29" t="inlineStr">
        <is>
          <t>OpenDART_fnlttSinglAcntAll</t>
        </is>
      </c>
      <c r="B678" s="29" t="inlineStr">
        <is>
          <t>01365825</t>
        </is>
      </c>
      <c r="C678" s="29" t="inlineStr">
        <is>
          <t>피에스케이</t>
        </is>
      </c>
      <c r="D678" s="29" t="inlineStr">
        <is>
          <t>psk</t>
        </is>
      </c>
      <c r="E678" s="29" t="inlineStr">
        <is>
          <t>319660</t>
        </is>
      </c>
      <c r="F678" s="29" t="inlineStr">
        <is>
          <t>2025</t>
        </is>
      </c>
      <c r="G678" s="29" t="inlineStr">
        <is>
          <t>CFS</t>
        </is>
      </c>
      <c r="H678" s="29" t="inlineStr">
        <is>
          <t>BS</t>
        </is>
      </c>
      <c r="I678" s="29" t="inlineStr">
        <is>
          <t>재무상태표</t>
        </is>
      </c>
      <c r="J678" s="29" t="inlineStr">
        <is>
          <t>ifrs-full_Liabilities</t>
        </is>
      </c>
      <c r="K678" s="29" t="inlineStr">
        <is>
          <t>부채총계</t>
        </is>
      </c>
      <c r="L678" s="29" t="inlineStr">
        <is>
          <t>-</t>
        </is>
      </c>
      <c r="M678" s="29" t="inlineStr">
        <is>
          <t>제 7 기</t>
        </is>
      </c>
      <c r="N678" s="29" t="inlineStr">
        <is>
          <t>106961955599.0</t>
        </is>
      </c>
      <c r="O678" s="29" t="inlineStr">
        <is>
          <t>97639459052.0</t>
        </is>
      </c>
      <c r="P678" s="29" t="inlineStr">
        <is>
          <t>KRW</t>
        </is>
      </c>
      <c r="Q678" s="29" t="inlineStr">
        <is>
          <t>41</t>
        </is>
      </c>
    </row>
    <row r="679" ht="24" customHeight="1">
      <c r="A679" s="24" t="inlineStr">
        <is>
          <t>OpenDART_fnlttSinglAcntAll</t>
        </is>
      </c>
      <c r="B679" s="24" t="inlineStr">
        <is>
          <t>01365825</t>
        </is>
      </c>
      <c r="C679" s="24" t="inlineStr">
        <is>
          <t>피에스케이</t>
        </is>
      </c>
      <c r="D679" s="24" t="inlineStr">
        <is>
          <t>psk</t>
        </is>
      </c>
      <c r="E679" s="24" t="inlineStr">
        <is>
          <t>319660</t>
        </is>
      </c>
      <c r="F679" s="24" t="inlineStr">
        <is>
          <t>2025</t>
        </is>
      </c>
      <c r="G679" s="24" t="inlineStr">
        <is>
          <t>CFS</t>
        </is>
      </c>
      <c r="H679" s="24" t="inlineStr">
        <is>
          <t>BS</t>
        </is>
      </c>
      <c r="I679" s="24" t="inlineStr">
        <is>
          <t>재무상태표</t>
        </is>
      </c>
      <c r="J679" s="24" t="inlineStr">
        <is>
          <t>ifrs-full_NoncurrentLiabilities</t>
        </is>
      </c>
      <c r="K679" s="24" t="inlineStr">
        <is>
          <t>비유동부채</t>
        </is>
      </c>
      <c r="L679" s="24" t="inlineStr">
        <is>
          <t>-</t>
        </is>
      </c>
      <c r="M679" s="24" t="inlineStr">
        <is>
          <t>제 7 기</t>
        </is>
      </c>
      <c r="N679" s="24" t="inlineStr">
        <is>
          <t>17579505005.0</t>
        </is>
      </c>
      <c r="O679" s="24" t="inlineStr">
        <is>
          <t>16485146108.0</t>
        </is>
      </c>
      <c r="P679" s="24" t="inlineStr">
        <is>
          <t>KRW</t>
        </is>
      </c>
      <c r="Q679" s="24" t="inlineStr">
        <is>
          <t>42</t>
        </is>
      </c>
    </row>
    <row r="680" ht="24" customHeight="1">
      <c r="A680" s="29" t="inlineStr">
        <is>
          <t>OpenDART_fnlttSinglAcntAll</t>
        </is>
      </c>
      <c r="B680" s="29" t="inlineStr">
        <is>
          <t>01365825</t>
        </is>
      </c>
      <c r="C680" s="29" t="inlineStr">
        <is>
          <t>피에스케이</t>
        </is>
      </c>
      <c r="D680" s="29" t="inlineStr">
        <is>
          <t>psk</t>
        </is>
      </c>
      <c r="E680" s="29" t="inlineStr">
        <is>
          <t>319660</t>
        </is>
      </c>
      <c r="F680" s="29" t="inlineStr">
        <is>
          <t>2025</t>
        </is>
      </c>
      <c r="G680" s="29" t="inlineStr">
        <is>
          <t>CFS</t>
        </is>
      </c>
      <c r="H680" s="29" t="inlineStr">
        <is>
          <t>BS</t>
        </is>
      </c>
      <c r="I680" s="29" t="inlineStr">
        <is>
          <t>재무상태표</t>
        </is>
      </c>
      <c r="J680" s="29" t="inlineStr">
        <is>
          <t>ifrs-full_DeferredTaxLiabilities</t>
        </is>
      </c>
      <c r="K680" s="29" t="inlineStr">
        <is>
          <t>이연법인세부채</t>
        </is>
      </c>
      <c r="L680" s="29" t="inlineStr">
        <is>
          <t>-</t>
        </is>
      </c>
      <c r="M680" s="29" t="inlineStr">
        <is>
          <t>제 7 기</t>
        </is>
      </c>
      <c r="N680" s="29" t="inlineStr">
        <is>
          <t>63911522.0</t>
        </is>
      </c>
      <c r="O680" s="29" t="inlineStr">
        <is>
          <t>68228756.0</t>
        </is>
      </c>
      <c r="P680" s="29" t="inlineStr">
        <is>
          <t>KRW</t>
        </is>
      </c>
      <c r="Q680" s="29" t="inlineStr">
        <is>
          <t>43</t>
        </is>
      </c>
    </row>
    <row r="681" ht="24" customHeight="1">
      <c r="A681" s="24" t="inlineStr">
        <is>
          <t>OpenDART_fnlttSinglAcntAll</t>
        </is>
      </c>
      <c r="B681" s="24" t="inlineStr">
        <is>
          <t>01365825</t>
        </is>
      </c>
      <c r="C681" s="24" t="inlineStr">
        <is>
          <t>피에스케이</t>
        </is>
      </c>
      <c r="D681" s="24" t="inlineStr">
        <is>
          <t>psk</t>
        </is>
      </c>
      <c r="E681" s="24" t="inlineStr">
        <is>
          <t>319660</t>
        </is>
      </c>
      <c r="F681" s="24" t="inlineStr">
        <is>
          <t>2025</t>
        </is>
      </c>
      <c r="G681" s="24" t="inlineStr">
        <is>
          <t>CFS</t>
        </is>
      </c>
      <c r="H681" s="24" t="inlineStr">
        <is>
          <t>BS</t>
        </is>
      </c>
      <c r="I681" s="24" t="inlineStr">
        <is>
          <t>재무상태표</t>
        </is>
      </c>
      <c r="J681" s="24" t="inlineStr">
        <is>
          <t>ifrs-full_LongtermBorrowings</t>
        </is>
      </c>
      <c r="K681" s="24" t="inlineStr">
        <is>
          <t>차입금</t>
        </is>
      </c>
      <c r="L681" s="24" t="inlineStr">
        <is>
          <t>-</t>
        </is>
      </c>
      <c r="M681" s="24" t="inlineStr">
        <is>
          <t>제 7 기</t>
        </is>
      </c>
      <c r="N681" s="24" t="inlineStr">
        <is>
          <t>10977066800.0</t>
        </is>
      </c>
      <c r="O681" s="24" t="inlineStr">
        <is>
          <t>13220659128.0</t>
        </is>
      </c>
      <c r="P681" s="24" t="inlineStr">
        <is>
          <t>KRW</t>
        </is>
      </c>
      <c r="Q681" s="24" t="inlineStr">
        <is>
          <t>44</t>
        </is>
      </c>
    </row>
    <row r="682" ht="24" customHeight="1">
      <c r="A682" s="29" t="inlineStr">
        <is>
          <t>OpenDART_fnlttSinglAcntAll</t>
        </is>
      </c>
      <c r="B682" s="29" t="inlineStr">
        <is>
          <t>01365825</t>
        </is>
      </c>
      <c r="C682" s="29" t="inlineStr">
        <is>
          <t>피에스케이</t>
        </is>
      </c>
      <c r="D682" s="29" t="inlineStr">
        <is>
          <t>psk</t>
        </is>
      </c>
      <c r="E682" s="29" t="inlineStr">
        <is>
          <t>319660</t>
        </is>
      </c>
      <c r="F682" s="29" t="inlineStr">
        <is>
          <t>2025</t>
        </is>
      </c>
      <c r="G682" s="29" t="inlineStr">
        <is>
          <t>CFS</t>
        </is>
      </c>
      <c r="H682" s="29" t="inlineStr">
        <is>
          <t>BS</t>
        </is>
      </c>
      <c r="I682" s="29" t="inlineStr">
        <is>
          <t>재무상태표</t>
        </is>
      </c>
      <c r="J682" s="29" t="inlineStr">
        <is>
          <t>ifrs-full_NoncurrentLeaseLiabilities</t>
        </is>
      </c>
      <c r="K682" s="29" t="inlineStr">
        <is>
          <t>리스부채</t>
        </is>
      </c>
      <c r="L682" s="29" t="inlineStr">
        <is>
          <t>-</t>
        </is>
      </c>
      <c r="M682" s="29" t="inlineStr">
        <is>
          <t>제 7 기</t>
        </is>
      </c>
      <c r="N682" s="29" t="inlineStr">
        <is>
          <t>2825249995.0</t>
        </is>
      </c>
      <c r="O682" s="29" t="inlineStr">
        <is>
          <t>1153826313.0</t>
        </is>
      </c>
      <c r="P682" s="29" t="inlineStr">
        <is>
          <t>KRW</t>
        </is>
      </c>
      <c r="Q682" s="29" t="inlineStr">
        <is>
          <t>45</t>
        </is>
      </c>
    </row>
    <row r="683" ht="24" customHeight="1">
      <c r="A683" s="24" t="inlineStr">
        <is>
          <t>OpenDART_fnlttSinglAcntAll</t>
        </is>
      </c>
      <c r="B683" s="24" t="inlineStr">
        <is>
          <t>01365825</t>
        </is>
      </c>
      <c r="C683" s="24" t="inlineStr">
        <is>
          <t>피에스케이</t>
        </is>
      </c>
      <c r="D683" s="24" t="inlineStr">
        <is>
          <t>psk</t>
        </is>
      </c>
      <c r="E683" s="24" t="inlineStr">
        <is>
          <t>319660</t>
        </is>
      </c>
      <c r="F683" s="24" t="inlineStr">
        <is>
          <t>2025</t>
        </is>
      </c>
      <c r="G683" s="24" t="inlineStr">
        <is>
          <t>CFS</t>
        </is>
      </c>
      <c r="H683" s="24" t="inlineStr">
        <is>
          <t>BS</t>
        </is>
      </c>
      <c r="I683" s="24" t="inlineStr">
        <is>
          <t>재무상태표</t>
        </is>
      </c>
      <c r="J683" s="24" t="inlineStr">
        <is>
          <t>ifrs-full_NoncurrentPayables</t>
        </is>
      </c>
      <c r="K683" s="24" t="inlineStr">
        <is>
          <t>매입채무 및 기타채무</t>
        </is>
      </c>
      <c r="L683" s="24" t="inlineStr">
        <is>
          <t>-</t>
        </is>
      </c>
      <c r="M683" s="24" t="inlineStr">
        <is>
          <t>제 7 기</t>
        </is>
      </c>
      <c r="N683" s="24" t="inlineStr">
        <is>
          <t>1036894465.0</t>
        </is>
      </c>
      <c r="O683" s="24" t="inlineStr">
        <is>
          <t>507800830.0</t>
        </is>
      </c>
      <c r="P683" s="24" t="inlineStr">
        <is>
          <t>KRW</t>
        </is>
      </c>
      <c r="Q683" s="24" t="inlineStr">
        <is>
          <t>46</t>
        </is>
      </c>
    </row>
    <row r="684" ht="24" customHeight="1">
      <c r="A684" s="29" t="inlineStr">
        <is>
          <t>OpenDART_fnlttSinglAcntAll</t>
        </is>
      </c>
      <c r="B684" s="29" t="inlineStr">
        <is>
          <t>01365825</t>
        </is>
      </c>
      <c r="C684" s="29" t="inlineStr">
        <is>
          <t>피에스케이</t>
        </is>
      </c>
      <c r="D684" s="29" t="inlineStr">
        <is>
          <t>psk</t>
        </is>
      </c>
      <c r="E684" s="29" t="inlineStr">
        <is>
          <t>319660</t>
        </is>
      </c>
      <c r="F684" s="29" t="inlineStr">
        <is>
          <t>2025</t>
        </is>
      </c>
      <c r="G684" s="29" t="inlineStr">
        <is>
          <t>CFS</t>
        </is>
      </c>
      <c r="H684" s="29" t="inlineStr">
        <is>
          <t>BS</t>
        </is>
      </c>
      <c r="I684" s="29" t="inlineStr">
        <is>
          <t>재무상태표</t>
        </is>
      </c>
      <c r="J684" s="29" t="inlineStr">
        <is>
          <t>ifrs-full_NoncurrentProvisions</t>
        </is>
      </c>
      <c r="K684" s="29" t="inlineStr">
        <is>
          <t>충당부채</t>
        </is>
      </c>
      <c r="L684" s="29" t="inlineStr">
        <is>
          <t>-</t>
        </is>
      </c>
      <c r="M684" s="29" t="inlineStr">
        <is>
          <t>제 7 기</t>
        </is>
      </c>
      <c r="N684" s="29" t="inlineStr">
        <is>
          <t>1275659016.0</t>
        </is>
      </c>
      <c r="O684" s="29" t="inlineStr">
        <is>
          <t>866375669.0</t>
        </is>
      </c>
      <c r="P684" s="29" t="inlineStr">
        <is>
          <t>KRW</t>
        </is>
      </c>
      <c r="Q684" s="29" t="inlineStr">
        <is>
          <t>47</t>
        </is>
      </c>
    </row>
    <row r="685" ht="24" customHeight="1">
      <c r="A685" s="24" t="inlineStr">
        <is>
          <t>OpenDART_fnlttSinglAcntAll</t>
        </is>
      </c>
      <c r="B685" s="24" t="inlineStr">
        <is>
          <t>01365825</t>
        </is>
      </c>
      <c r="C685" s="24" t="inlineStr">
        <is>
          <t>피에스케이</t>
        </is>
      </c>
      <c r="D685" s="24" t="inlineStr">
        <is>
          <t>psk</t>
        </is>
      </c>
      <c r="E685" s="24" t="inlineStr">
        <is>
          <t>319660</t>
        </is>
      </c>
      <c r="F685" s="24" t="inlineStr">
        <is>
          <t>2025</t>
        </is>
      </c>
      <c r="G685" s="24" t="inlineStr">
        <is>
          <t>CFS</t>
        </is>
      </c>
      <c r="H685" s="24" t="inlineStr">
        <is>
          <t>BS</t>
        </is>
      </c>
      <c r="I685" s="24" t="inlineStr">
        <is>
          <t>재무상태표</t>
        </is>
      </c>
      <c r="J685" s="24" t="inlineStr">
        <is>
          <t>ifrs-full_NoncurrentRecognisedLiabilitiesDefinedBenefitPlan</t>
        </is>
      </c>
      <c r="K685" s="24" t="inlineStr">
        <is>
          <t>순확정급여부채</t>
        </is>
      </c>
      <c r="L685" s="24" t="inlineStr">
        <is>
          <t>-</t>
        </is>
      </c>
      <c r="M685" s="24" t="inlineStr">
        <is>
          <t>제 7 기</t>
        </is>
      </c>
      <c r="N685" s="24" t="inlineStr">
        <is>
          <t>1400723207.0</t>
        </is>
      </c>
      <c r="O685" s="24" t="inlineStr">
        <is>
          <t>668255412.0</t>
        </is>
      </c>
      <c r="P685" s="24" t="inlineStr">
        <is>
          <t>KRW</t>
        </is>
      </c>
      <c r="Q685" s="24" t="inlineStr">
        <is>
          <t>48</t>
        </is>
      </c>
    </row>
    <row r="686" ht="24" customHeight="1">
      <c r="A686" s="29" t="inlineStr">
        <is>
          <t>OpenDART_fnlttSinglAcntAll</t>
        </is>
      </c>
      <c r="B686" s="29" t="inlineStr">
        <is>
          <t>01365825</t>
        </is>
      </c>
      <c r="C686" s="29" t="inlineStr">
        <is>
          <t>피에스케이</t>
        </is>
      </c>
      <c r="D686" s="29" t="inlineStr">
        <is>
          <t>psk</t>
        </is>
      </c>
      <c r="E686" s="29" t="inlineStr">
        <is>
          <t>319660</t>
        </is>
      </c>
      <c r="F686" s="29" t="inlineStr">
        <is>
          <t>2025</t>
        </is>
      </c>
      <c r="G686" s="29" t="inlineStr">
        <is>
          <t>CFS</t>
        </is>
      </c>
      <c r="H686" s="29" t="inlineStr">
        <is>
          <t>CIS</t>
        </is>
      </c>
      <c r="I686" s="29" t="inlineStr">
        <is>
          <t>포괄손익계산서</t>
        </is>
      </c>
      <c r="J686" s="29" t="inlineStr">
        <is>
          <t>dart_NonOperatingProfitLoss</t>
        </is>
      </c>
      <c r="K686" s="29" t="inlineStr">
        <is>
          <t>영업외손익</t>
        </is>
      </c>
      <c r="L686" s="29" t="inlineStr">
        <is>
          <t>-</t>
        </is>
      </c>
      <c r="M686" s="29" t="inlineStr">
        <is>
          <t>제 7 기</t>
        </is>
      </c>
      <c r="N686" s="29" t="inlineStr">
        <is>
          <t>4012483421.0</t>
        </is>
      </c>
      <c r="O686" s="29" t="inlineStr">
        <is>
          <t>13483837568.0</t>
        </is>
      </c>
      <c r="P686" s="29" t="inlineStr">
        <is>
          <t>KRW</t>
        </is>
      </c>
      <c r="Q686" s="29" t="inlineStr">
        <is>
          <t>6</t>
        </is>
      </c>
    </row>
    <row r="687" ht="24" customHeight="1">
      <c r="A687" s="24" t="inlineStr">
        <is>
          <t>OpenDART_fnlttSinglAcntAll</t>
        </is>
      </c>
      <c r="B687" s="24" t="inlineStr">
        <is>
          <t>01365825</t>
        </is>
      </c>
      <c r="C687" s="24" t="inlineStr">
        <is>
          <t>피에스케이</t>
        </is>
      </c>
      <c r="D687" s="24" t="inlineStr">
        <is>
          <t>psk</t>
        </is>
      </c>
      <c r="E687" s="24" t="inlineStr">
        <is>
          <t>319660</t>
        </is>
      </c>
      <c r="F687" s="24" t="inlineStr">
        <is>
          <t>2025</t>
        </is>
      </c>
      <c r="G687" s="24" t="inlineStr">
        <is>
          <t>CFS</t>
        </is>
      </c>
      <c r="H687" s="24" t="inlineStr">
        <is>
          <t>CIS</t>
        </is>
      </c>
      <c r="I687" s="24" t="inlineStr">
        <is>
          <t>포괄손익계산서</t>
        </is>
      </c>
      <c r="J687" s="24" t="inlineStr">
        <is>
          <t>dart_OtherGains</t>
        </is>
      </c>
      <c r="K687" s="24" t="inlineStr">
        <is>
          <t>기타영업외수익</t>
        </is>
      </c>
      <c r="L687" s="24" t="inlineStr">
        <is>
          <t>-</t>
        </is>
      </c>
      <c r="M687" s="24" t="inlineStr">
        <is>
          <t>제 7 기</t>
        </is>
      </c>
      <c r="N687" s="24" t="inlineStr">
        <is>
          <t>683129831.0</t>
        </is>
      </c>
      <c r="O687" s="24" t="inlineStr">
        <is>
          <t>717536839.0</t>
        </is>
      </c>
      <c r="P687" s="24" t="inlineStr">
        <is>
          <t>KRW</t>
        </is>
      </c>
      <c r="Q687" s="24" t="inlineStr">
        <is>
          <t>7</t>
        </is>
      </c>
    </row>
    <row r="688" ht="24" customHeight="1">
      <c r="A688" s="29" t="inlineStr">
        <is>
          <t>OpenDART_fnlttSinglAcntAll</t>
        </is>
      </c>
      <c r="B688" s="29" t="inlineStr">
        <is>
          <t>01365825</t>
        </is>
      </c>
      <c r="C688" s="29" t="inlineStr">
        <is>
          <t>피에스케이</t>
        </is>
      </c>
      <c r="D688" s="29" t="inlineStr">
        <is>
          <t>psk</t>
        </is>
      </c>
      <c r="E688" s="29" t="inlineStr">
        <is>
          <t>319660</t>
        </is>
      </c>
      <c r="F688" s="29" t="inlineStr">
        <is>
          <t>2025</t>
        </is>
      </c>
      <c r="G688" s="29" t="inlineStr">
        <is>
          <t>CFS</t>
        </is>
      </c>
      <c r="H688" s="29" t="inlineStr">
        <is>
          <t>CIS</t>
        </is>
      </c>
      <c r="I688" s="29" t="inlineStr">
        <is>
          <t>포괄손익계산서</t>
        </is>
      </c>
      <c r="J688" s="29" t="inlineStr">
        <is>
          <t>dart_OtherLosses</t>
        </is>
      </c>
      <c r="K688" s="29" t="inlineStr">
        <is>
          <t>기타영업외비용</t>
        </is>
      </c>
      <c r="L688" s="29" t="inlineStr">
        <is>
          <t>-</t>
        </is>
      </c>
      <c r="M688" s="29" t="inlineStr">
        <is>
          <t>제 7 기</t>
        </is>
      </c>
      <c r="N688" s="29" t="inlineStr">
        <is>
          <t>2558487105.0</t>
        </is>
      </c>
      <c r="O688" s="29" t="inlineStr">
        <is>
          <t>442472694.0</t>
        </is>
      </c>
      <c r="P688" s="29" t="inlineStr">
        <is>
          <t>KRW</t>
        </is>
      </c>
      <c r="Q688" s="29" t="inlineStr">
        <is>
          <t>8</t>
        </is>
      </c>
    </row>
    <row r="689" ht="24" customHeight="1">
      <c r="A689" s="24" t="inlineStr">
        <is>
          <t>OpenDART_fnlttSinglAcntAll</t>
        </is>
      </c>
      <c r="B689" s="24" t="inlineStr">
        <is>
          <t>01365825</t>
        </is>
      </c>
      <c r="C689" s="24" t="inlineStr">
        <is>
          <t>피에스케이</t>
        </is>
      </c>
      <c r="D689" s="24" t="inlineStr">
        <is>
          <t>psk</t>
        </is>
      </c>
      <c r="E689" s="24" t="inlineStr">
        <is>
          <t>319660</t>
        </is>
      </c>
      <c r="F689" s="24" t="inlineStr">
        <is>
          <t>2025</t>
        </is>
      </c>
      <c r="G689" s="24" t="inlineStr">
        <is>
          <t>CFS</t>
        </is>
      </c>
      <c r="H689" s="24" t="inlineStr">
        <is>
          <t>CIS</t>
        </is>
      </c>
      <c r="I689" s="24" t="inlineStr">
        <is>
          <t>포괄손익계산서</t>
        </is>
      </c>
      <c r="J689" s="24" t="inlineStr">
        <is>
          <t>ifrs-full_FinanceCosts</t>
        </is>
      </c>
      <c r="K689" s="24" t="inlineStr">
        <is>
          <t>금융원가</t>
        </is>
      </c>
      <c r="L689" s="24" t="inlineStr">
        <is>
          <t>-</t>
        </is>
      </c>
      <c r="M689" s="24" t="inlineStr">
        <is>
          <t>제 7 기</t>
        </is>
      </c>
      <c r="N689" s="24" t="inlineStr">
        <is>
          <t>16150015108.0</t>
        </is>
      </c>
      <c r="O689" s="24" t="inlineStr">
        <is>
          <t>11436347154.0</t>
        </is>
      </c>
      <c r="P689" s="24" t="inlineStr">
        <is>
          <t>KRW</t>
        </is>
      </c>
      <c r="Q689" s="24" t="inlineStr">
        <is>
          <t>9</t>
        </is>
      </c>
    </row>
    <row r="690" ht="24" customHeight="1">
      <c r="A690" s="29" t="inlineStr">
        <is>
          <t>OpenDART_fnlttSinglAcntAll</t>
        </is>
      </c>
      <c r="B690" s="29" t="inlineStr">
        <is>
          <t>01365825</t>
        </is>
      </c>
      <c r="C690" s="29" t="inlineStr">
        <is>
          <t>피에스케이</t>
        </is>
      </c>
      <c r="D690" s="29" t="inlineStr">
        <is>
          <t>psk</t>
        </is>
      </c>
      <c r="E690" s="29" t="inlineStr">
        <is>
          <t>319660</t>
        </is>
      </c>
      <c r="F690" s="29" t="inlineStr">
        <is>
          <t>2025</t>
        </is>
      </c>
      <c r="G690" s="29" t="inlineStr">
        <is>
          <t>CFS</t>
        </is>
      </c>
      <c r="H690" s="29" t="inlineStr">
        <is>
          <t>CIS</t>
        </is>
      </c>
      <c r="I690" s="29" t="inlineStr">
        <is>
          <t>포괄손익계산서</t>
        </is>
      </c>
      <c r="J690" s="29" t="inlineStr">
        <is>
          <t>ifrs-full_FinanceIncome</t>
        </is>
      </c>
      <c r="K690" s="29" t="inlineStr">
        <is>
          <t>금융수익</t>
        </is>
      </c>
      <c r="L690" s="29" t="inlineStr">
        <is>
          <t>-</t>
        </is>
      </c>
      <c r="M690" s="29" t="inlineStr">
        <is>
          <t>제 7 기</t>
        </is>
      </c>
      <c r="N690" s="29" t="inlineStr">
        <is>
          <t>22037855803.0</t>
        </is>
      </c>
      <c r="O690" s="29" t="inlineStr">
        <is>
          <t>24645120577.0</t>
        </is>
      </c>
      <c r="P690" s="29" t="inlineStr">
        <is>
          <t>KRW</t>
        </is>
      </c>
      <c r="Q690" s="29" t="inlineStr">
        <is>
          <t>10</t>
        </is>
      </c>
    </row>
    <row r="691" ht="24" customHeight="1">
      <c r="A691" s="24" t="inlineStr">
        <is>
          <t>OpenDART_fnlttSinglAcntAll</t>
        </is>
      </c>
      <c r="B691" s="24" t="inlineStr">
        <is>
          <t>01365825</t>
        </is>
      </c>
      <c r="C691" s="24" t="inlineStr">
        <is>
          <t>피에스케이</t>
        </is>
      </c>
      <c r="D691" s="24" t="inlineStr">
        <is>
          <t>psk</t>
        </is>
      </c>
      <c r="E691" s="24" t="inlineStr">
        <is>
          <t>319660</t>
        </is>
      </c>
      <c r="F691" s="24" t="inlineStr">
        <is>
          <t>2025</t>
        </is>
      </c>
      <c r="G691" s="24" t="inlineStr">
        <is>
          <t>CFS</t>
        </is>
      </c>
      <c r="H691" s="24" t="inlineStr">
        <is>
          <t>CIS</t>
        </is>
      </c>
      <c r="I691" s="24" t="inlineStr">
        <is>
          <t>포괄손익계산서</t>
        </is>
      </c>
      <c r="J691" s="24" t="inlineStr">
        <is>
          <t>dart_OperatingIncomeLoss</t>
        </is>
      </c>
      <c r="K691" s="24" t="inlineStr">
        <is>
          <t>영업이익(손실)</t>
        </is>
      </c>
      <c r="L691" s="24" t="inlineStr">
        <is>
          <t>-</t>
        </is>
      </c>
      <c r="M691" s="24" t="inlineStr">
        <is>
          <t>제 7 기</t>
        </is>
      </c>
      <c r="N691" s="24" t="inlineStr">
        <is>
          <t>88494057075.0</t>
        </is>
      </c>
      <c r="O691" s="24" t="inlineStr">
        <is>
          <t>83924423263.0</t>
        </is>
      </c>
      <c r="P691" s="24" t="inlineStr">
        <is>
          <t>KRW</t>
        </is>
      </c>
      <c r="Q691" s="24" t="inlineStr">
        <is>
          <t>11</t>
        </is>
      </c>
    </row>
    <row r="692" ht="24" customHeight="1">
      <c r="A692" s="29" t="inlineStr">
        <is>
          <t>OpenDART_fnlttSinglAcntAll</t>
        </is>
      </c>
      <c r="B692" s="29" t="inlineStr">
        <is>
          <t>01365825</t>
        </is>
      </c>
      <c r="C692" s="29" t="inlineStr">
        <is>
          <t>피에스케이</t>
        </is>
      </c>
      <c r="D692" s="29" t="inlineStr">
        <is>
          <t>psk</t>
        </is>
      </c>
      <c r="E692" s="29" t="inlineStr">
        <is>
          <t>319660</t>
        </is>
      </c>
      <c r="F692" s="29" t="inlineStr">
        <is>
          <t>2025</t>
        </is>
      </c>
      <c r="G692" s="29" t="inlineStr">
        <is>
          <t>CFS</t>
        </is>
      </c>
      <c r="H692" s="29" t="inlineStr">
        <is>
          <t>CIS</t>
        </is>
      </c>
      <c r="I692" s="29" t="inlineStr">
        <is>
          <t>포괄손익계산서</t>
        </is>
      </c>
      <c r="J692" s="29" t="inlineStr">
        <is>
          <t>dart_TotalSellingGeneralAdministrativeExpenses</t>
        </is>
      </c>
      <c r="K692" s="29" t="inlineStr">
        <is>
          <t>판매비와관리비</t>
        </is>
      </c>
      <c r="L692" s="29" t="inlineStr">
        <is>
          <t>-</t>
        </is>
      </c>
      <c r="M692" s="29" t="inlineStr">
        <is>
          <t>제 7 기</t>
        </is>
      </c>
      <c r="N692" s="29" t="inlineStr">
        <is>
          <t>134734425900.0</t>
        </is>
      </c>
      <c r="O692" s="29" t="inlineStr">
        <is>
          <t>125669566368.0</t>
        </is>
      </c>
      <c r="P692" s="29" t="inlineStr">
        <is>
          <t>KRW</t>
        </is>
      </c>
      <c r="Q692" s="29" t="inlineStr">
        <is>
          <t>12</t>
        </is>
      </c>
    </row>
    <row r="693" ht="24" customHeight="1">
      <c r="A693" s="24" t="inlineStr">
        <is>
          <t>OpenDART_fnlttSinglAcntAll</t>
        </is>
      </c>
      <c r="B693" s="24" t="inlineStr">
        <is>
          <t>01365825</t>
        </is>
      </c>
      <c r="C693" s="24" t="inlineStr">
        <is>
          <t>피에스케이</t>
        </is>
      </c>
      <c r="D693" s="24" t="inlineStr">
        <is>
          <t>psk</t>
        </is>
      </c>
      <c r="E693" s="24" t="inlineStr">
        <is>
          <t>319660</t>
        </is>
      </c>
      <c r="F693" s="24" t="inlineStr">
        <is>
          <t>2025</t>
        </is>
      </c>
      <c r="G693" s="24" t="inlineStr">
        <is>
          <t>CFS</t>
        </is>
      </c>
      <c r="H693" s="24" t="inlineStr">
        <is>
          <t>CIS</t>
        </is>
      </c>
      <c r="I693" s="24" t="inlineStr">
        <is>
          <t>포괄손익계산서</t>
        </is>
      </c>
      <c r="J693" s="24" t="inlineStr">
        <is>
          <t>ifrs-full_ComprehensiveIncome</t>
        </is>
      </c>
      <c r="K693" s="24" t="inlineStr">
        <is>
          <t>지배주주당기총포괄이익</t>
        </is>
      </c>
      <c r="L693" s="24" t="inlineStr">
        <is>
          <t>-</t>
        </is>
      </c>
      <c r="M693" s="24" t="inlineStr">
        <is>
          <t>제 7 기</t>
        </is>
      </c>
      <c r="N693" s="24" t="inlineStr">
        <is>
          <t>78906142102.0</t>
        </is>
      </c>
      <c r="O693" s="24" t="inlineStr">
        <is>
          <t>84940541349.0</t>
        </is>
      </c>
      <c r="P693" s="24" t="inlineStr">
        <is>
          <t>KRW</t>
        </is>
      </c>
      <c r="Q693" s="24" t="inlineStr">
        <is>
          <t>13</t>
        </is>
      </c>
    </row>
    <row r="694" ht="24" customHeight="1">
      <c r="A694" s="29" t="inlineStr">
        <is>
          <t>OpenDART_fnlttSinglAcntAll</t>
        </is>
      </c>
      <c r="B694" s="29" t="inlineStr">
        <is>
          <t>01365825</t>
        </is>
      </c>
      <c r="C694" s="29" t="inlineStr">
        <is>
          <t>피에스케이</t>
        </is>
      </c>
      <c r="D694" s="29" t="inlineStr">
        <is>
          <t>psk</t>
        </is>
      </c>
      <c r="E694" s="29" t="inlineStr">
        <is>
          <t>319660</t>
        </is>
      </c>
      <c r="F694" s="29" t="inlineStr">
        <is>
          <t>2025</t>
        </is>
      </c>
      <c r="G694" s="29" t="inlineStr">
        <is>
          <t>CFS</t>
        </is>
      </c>
      <c r="H694" s="29" t="inlineStr">
        <is>
          <t>CIS</t>
        </is>
      </c>
      <c r="I694" s="29" t="inlineStr">
        <is>
          <t>포괄손익계산서</t>
        </is>
      </c>
      <c r="J694" s="29" t="inlineStr">
        <is>
          <t>ifrs-full_CostOfSales</t>
        </is>
      </c>
      <c r="K694" s="29" t="inlineStr">
        <is>
          <t>매출원가</t>
        </is>
      </c>
      <c r="L694" s="29" t="inlineStr">
        <is>
          <t>-</t>
        </is>
      </c>
      <c r="M694" s="29" t="inlineStr">
        <is>
          <t>제 7 기</t>
        </is>
      </c>
      <c r="N694" s="29" t="inlineStr">
        <is>
          <t>233984668943.0</t>
        </is>
      </c>
      <c r="O694" s="29" t="inlineStr">
        <is>
          <t>188456987944.0</t>
        </is>
      </c>
      <c r="P694" s="29" t="inlineStr">
        <is>
          <t>KRW</t>
        </is>
      </c>
      <c r="Q694" s="29" t="inlineStr">
        <is>
          <t>14</t>
        </is>
      </c>
    </row>
    <row r="695" ht="24" customHeight="1">
      <c r="A695" s="24" t="inlineStr">
        <is>
          <t>OpenDART_fnlttSinglAcntAll</t>
        </is>
      </c>
      <c r="B695" s="24" t="inlineStr">
        <is>
          <t>01365825</t>
        </is>
      </c>
      <c r="C695" s="24" t="inlineStr">
        <is>
          <t>피에스케이</t>
        </is>
      </c>
      <c r="D695" s="24" t="inlineStr">
        <is>
          <t>psk</t>
        </is>
      </c>
      <c r="E695" s="24" t="inlineStr">
        <is>
          <t>319660</t>
        </is>
      </c>
      <c r="F695" s="24" t="inlineStr">
        <is>
          <t>2025</t>
        </is>
      </c>
      <c r="G695" s="24" t="inlineStr">
        <is>
          <t>CFS</t>
        </is>
      </c>
      <c r="H695" s="24" t="inlineStr">
        <is>
          <t>CIS</t>
        </is>
      </c>
      <c r="I695" s="24" t="inlineStr">
        <is>
          <t>포괄손익계산서</t>
        </is>
      </c>
      <c r="J695" s="24" t="inlineStr">
        <is>
          <t>ifrs-full_BasicEarningsLossPerShare</t>
        </is>
      </c>
      <c r="K695" s="24" t="inlineStr">
        <is>
          <t>기본주당이익</t>
        </is>
      </c>
      <c r="L695" s="24" t="inlineStr">
        <is>
          <t>-</t>
        </is>
      </c>
      <c r="M695" s="24" t="inlineStr">
        <is>
          <t>제 7 기</t>
        </is>
      </c>
      <c r="N695" s="24" t="inlineStr">
        <is>
          <t>2712.0</t>
        </is>
      </c>
      <c r="O695" s="24" t="inlineStr">
        <is>
          <t>2732.0</t>
        </is>
      </c>
      <c r="P695" s="24" t="inlineStr">
        <is>
          <t>KRW</t>
        </is>
      </c>
      <c r="Q695" s="24" t="inlineStr">
        <is>
          <t>16</t>
        </is>
      </c>
    </row>
    <row r="696" ht="24" customHeight="1">
      <c r="A696" s="29" t="inlineStr">
        <is>
          <t>OpenDART_fnlttSinglAcntAll</t>
        </is>
      </c>
      <c r="B696" s="29" t="inlineStr">
        <is>
          <t>01365825</t>
        </is>
      </c>
      <c r="C696" s="29" t="inlineStr">
        <is>
          <t>피에스케이</t>
        </is>
      </c>
      <c r="D696" s="29" t="inlineStr">
        <is>
          <t>psk</t>
        </is>
      </c>
      <c r="E696" s="29" t="inlineStr">
        <is>
          <t>319660</t>
        </is>
      </c>
      <c r="F696" s="29" t="inlineStr">
        <is>
          <t>2025</t>
        </is>
      </c>
      <c r="G696" s="29" t="inlineStr">
        <is>
          <t>CFS</t>
        </is>
      </c>
      <c r="H696" s="29" t="inlineStr">
        <is>
          <t>CIS</t>
        </is>
      </c>
      <c r="I696" s="29" t="inlineStr">
        <is>
          <t>포괄손익계산서</t>
        </is>
      </c>
      <c r="J696" s="29" t="inlineStr">
        <is>
          <t>ifrs-full_DilutedEarningsLossPerShare</t>
        </is>
      </c>
      <c r="K696" s="29" t="inlineStr">
        <is>
          <t>희석주당이익</t>
        </is>
      </c>
      <c r="L696" s="29" t="inlineStr">
        <is>
          <t>-</t>
        </is>
      </c>
      <c r="M696" s="29" t="inlineStr">
        <is>
          <t>제 7 기</t>
        </is>
      </c>
      <c r="N696" s="29" t="inlineStr">
        <is>
          <t>2712.0</t>
        </is>
      </c>
      <c r="O696" s="29" t="inlineStr">
        <is>
          <t>2732.0</t>
        </is>
      </c>
      <c r="P696" s="29" t="inlineStr">
        <is>
          <t>KRW</t>
        </is>
      </c>
      <c r="Q696" s="29" t="inlineStr">
        <is>
          <t>17</t>
        </is>
      </c>
    </row>
    <row r="697" ht="24" customHeight="1">
      <c r="A697" s="24" t="inlineStr">
        <is>
          <t>OpenDART_fnlttSinglAcntAll</t>
        </is>
      </c>
      <c r="B697" s="24" t="inlineStr">
        <is>
          <t>01365825</t>
        </is>
      </c>
      <c r="C697" s="24" t="inlineStr">
        <is>
          <t>피에스케이</t>
        </is>
      </c>
      <c r="D697" s="24" t="inlineStr">
        <is>
          <t>psk</t>
        </is>
      </c>
      <c r="E697" s="24" t="inlineStr">
        <is>
          <t>319660</t>
        </is>
      </c>
      <c r="F697" s="24" t="inlineStr">
        <is>
          <t>2025</t>
        </is>
      </c>
      <c r="G697" s="24" t="inlineStr">
        <is>
          <t>CFS</t>
        </is>
      </c>
      <c r="H697" s="24" t="inlineStr">
        <is>
          <t>CIS</t>
        </is>
      </c>
      <c r="I697" s="24" t="inlineStr">
        <is>
          <t>포괄손익계산서</t>
        </is>
      </c>
      <c r="J697" s="24" t="inlineStr">
        <is>
          <t>ifrs-full_GrossProfit</t>
        </is>
      </c>
      <c r="K697" s="24" t="inlineStr">
        <is>
          <t>매출총이익</t>
        </is>
      </c>
      <c r="L697" s="24" t="inlineStr">
        <is>
          <t>-</t>
        </is>
      </c>
      <c r="M697" s="24" t="inlineStr">
        <is>
          <t>제 7 기</t>
        </is>
      </c>
      <c r="N697" s="24" t="inlineStr">
        <is>
          <t>223228482975.0</t>
        </is>
      </c>
      <c r="O697" s="24" t="inlineStr">
        <is>
          <t>209593989631.0</t>
        </is>
      </c>
      <c r="P697" s="24" t="inlineStr">
        <is>
          <t>KRW</t>
        </is>
      </c>
      <c r="Q697" s="24" t="inlineStr">
        <is>
          <t>18</t>
        </is>
      </c>
    </row>
    <row r="698" ht="24" customHeight="1">
      <c r="A698" s="29" t="inlineStr">
        <is>
          <t>OpenDART_fnlttSinglAcntAll</t>
        </is>
      </c>
      <c r="B698" s="29" t="inlineStr">
        <is>
          <t>01365825</t>
        </is>
      </c>
      <c r="C698" s="29" t="inlineStr">
        <is>
          <t>피에스케이</t>
        </is>
      </c>
      <c r="D698" s="29" t="inlineStr">
        <is>
          <t>psk</t>
        </is>
      </c>
      <c r="E698" s="29" t="inlineStr">
        <is>
          <t>319660</t>
        </is>
      </c>
      <c r="F698" s="29" t="inlineStr">
        <is>
          <t>2025</t>
        </is>
      </c>
      <c r="G698" s="29" t="inlineStr">
        <is>
          <t>CFS</t>
        </is>
      </c>
      <c r="H698" s="29" t="inlineStr">
        <is>
          <t>CIS</t>
        </is>
      </c>
      <c r="I698" s="29" t="inlineStr">
        <is>
          <t>포괄손익계산서</t>
        </is>
      </c>
      <c r="J698" s="29" t="inlineStr">
        <is>
          <t>ifrs-full_IncomeTaxExpenseContinuingOperations</t>
        </is>
      </c>
      <c r="K698" s="29" t="inlineStr">
        <is>
          <t>법인세비용(수익)</t>
        </is>
      </c>
      <c r="L698" s="29" t="inlineStr">
        <is>
          <t>-</t>
        </is>
      </c>
      <c r="M698" s="29" t="inlineStr">
        <is>
          <t>제 7 기</t>
        </is>
      </c>
      <c r="N698" s="29" t="inlineStr">
        <is>
          <t>13960877117.0</t>
        </is>
      </c>
      <c r="O698" s="29" t="inlineStr">
        <is>
          <t>18280044546.0</t>
        </is>
      </c>
      <c r="P698" s="29" t="inlineStr">
        <is>
          <t>KRW</t>
        </is>
      </c>
      <c r="Q698" s="29" t="inlineStr">
        <is>
          <t>19</t>
        </is>
      </c>
    </row>
    <row r="699" ht="24" customHeight="1">
      <c r="A699" s="24" t="inlineStr">
        <is>
          <t>OpenDART_fnlttSinglAcntAll</t>
        </is>
      </c>
      <c r="B699" s="24" t="inlineStr">
        <is>
          <t>01365825</t>
        </is>
      </c>
      <c r="C699" s="24" t="inlineStr">
        <is>
          <t>피에스케이</t>
        </is>
      </c>
      <c r="D699" s="24" t="inlineStr">
        <is>
          <t>psk</t>
        </is>
      </c>
      <c r="E699" s="24" t="inlineStr">
        <is>
          <t>319660</t>
        </is>
      </c>
      <c r="F699" s="24" t="inlineStr">
        <is>
          <t>2025</t>
        </is>
      </c>
      <c r="G699" s="24" t="inlineStr">
        <is>
          <t>CFS</t>
        </is>
      </c>
      <c r="H699" s="24" t="inlineStr">
        <is>
          <t>CIS</t>
        </is>
      </c>
      <c r="I699" s="24" t="inlineStr">
        <is>
          <t>포괄손익계산서</t>
        </is>
      </c>
      <c r="J699" s="24" t="inlineStr">
        <is>
          <t>ifrs-full_OtherComprehensiveIncome</t>
        </is>
      </c>
      <c r="K699" s="24" t="inlineStr">
        <is>
          <t>기타포괄손익</t>
        </is>
      </c>
      <c r="L699" s="24" t="inlineStr">
        <is>
          <t>-</t>
        </is>
      </c>
      <c r="M699" s="24" t="inlineStr">
        <is>
          <t>제 7 기</t>
        </is>
      </c>
      <c r="N699" s="24" t="inlineStr">
        <is>
          <t>360478723.0</t>
        </is>
      </c>
      <c r="O699" s="24" t="inlineStr">
        <is>
          <t>5812325064.0</t>
        </is>
      </c>
      <c r="P699" s="24" t="inlineStr">
        <is>
          <t>KRW</t>
        </is>
      </c>
      <c r="Q699" s="24" t="inlineStr">
        <is>
          <t>20</t>
        </is>
      </c>
    </row>
    <row r="700" ht="24" customHeight="1">
      <c r="A700" s="29" t="inlineStr">
        <is>
          <t>OpenDART_fnlttSinglAcntAll</t>
        </is>
      </c>
      <c r="B700" s="29" t="inlineStr">
        <is>
          <t>01365825</t>
        </is>
      </c>
      <c r="C700" s="29" t="inlineStr">
        <is>
          <t>피에스케이</t>
        </is>
      </c>
      <c r="D700" s="29" t="inlineStr">
        <is>
          <t>psk</t>
        </is>
      </c>
      <c r="E700" s="29" t="inlineStr">
        <is>
          <t>319660</t>
        </is>
      </c>
      <c r="F700" s="29" t="inlineStr">
        <is>
          <t>2025</t>
        </is>
      </c>
      <c r="G700" s="29" t="inlineStr">
        <is>
          <t>CFS</t>
        </is>
      </c>
      <c r="H700" s="29" t="inlineStr">
        <is>
          <t>CIS</t>
        </is>
      </c>
      <c r="I700" s="29" t="inlineStr">
        <is>
          <t>포괄손익계산서</t>
        </is>
      </c>
      <c r="J700" s="29" t="inlineStr">
        <is>
          <t>ifrs-full_OtherComprehensiveIncomeThatWillBeReclassifiedToProfitOrLossNetOfTax</t>
        </is>
      </c>
      <c r="K700" s="29" t="inlineStr">
        <is>
          <t>당기손익으로 재분류될 수 있는 항목(세후기타포괄손익)</t>
        </is>
      </c>
      <c r="L700" s="29" t="inlineStr">
        <is>
          <t>-</t>
        </is>
      </c>
      <c r="M700" s="29" t="inlineStr">
        <is>
          <t>제 7 기</t>
        </is>
      </c>
      <c r="N700" s="29" t="inlineStr">
        <is>
          <t>799075026.0</t>
        </is>
      </c>
      <c r="O700" s="29" t="inlineStr">
        <is>
          <t>7442724652.0</t>
        </is>
      </c>
      <c r="P700" s="29" t="inlineStr">
        <is>
          <t>KRW</t>
        </is>
      </c>
      <c r="Q700" s="29" t="inlineStr">
        <is>
          <t>21</t>
        </is>
      </c>
    </row>
    <row r="701" ht="24" customHeight="1">
      <c r="A701" s="24" t="inlineStr">
        <is>
          <t>OpenDART_fnlttSinglAcntAll</t>
        </is>
      </c>
      <c r="B701" s="24" t="inlineStr">
        <is>
          <t>01365825</t>
        </is>
      </c>
      <c r="C701" s="24" t="inlineStr">
        <is>
          <t>피에스케이</t>
        </is>
      </c>
      <c r="D701" s="24" t="inlineStr">
        <is>
          <t>psk</t>
        </is>
      </c>
      <c r="E701" s="24" t="inlineStr">
        <is>
          <t>319660</t>
        </is>
      </c>
      <c r="F701" s="24" t="inlineStr">
        <is>
          <t>2025</t>
        </is>
      </c>
      <c r="G701" s="24" t="inlineStr">
        <is>
          <t>CFS</t>
        </is>
      </c>
      <c r="H701" s="24" t="inlineStr">
        <is>
          <t>CIS</t>
        </is>
      </c>
      <c r="I701" s="24" t="inlineStr">
        <is>
          <t>포괄손익계산서</t>
        </is>
      </c>
      <c r="J701" s="24" t="inlineStr">
        <is>
          <t>ifrs-full_GainsLossesOnExchangeDifferencesOnTranslationNetOfTax</t>
        </is>
      </c>
      <c r="K701" s="24" t="inlineStr">
        <is>
          <t>해외사업장환산외환차이(세후기타포괄손익)</t>
        </is>
      </c>
      <c r="L701" s="24" t="inlineStr">
        <is>
          <t>-</t>
        </is>
      </c>
      <c r="M701" s="24" t="inlineStr">
        <is>
          <t>제 7 기</t>
        </is>
      </c>
      <c r="N701" s="24" t="inlineStr">
        <is>
          <t>799075026.0</t>
        </is>
      </c>
      <c r="O701" s="24" t="inlineStr">
        <is>
          <t>7442724652.0</t>
        </is>
      </c>
      <c r="P701" s="24" t="inlineStr">
        <is>
          <t>KRW</t>
        </is>
      </c>
      <c r="Q701" s="24" t="inlineStr">
        <is>
          <t>22</t>
        </is>
      </c>
    </row>
    <row r="702" ht="24" customHeight="1">
      <c r="A702" s="29" t="inlineStr">
        <is>
          <t>OpenDART_fnlttSinglAcntAll</t>
        </is>
      </c>
      <c r="B702" s="29" t="inlineStr">
        <is>
          <t>01365825</t>
        </is>
      </c>
      <c r="C702" s="29" t="inlineStr">
        <is>
          <t>피에스케이</t>
        </is>
      </c>
      <c r="D702" s="29" t="inlineStr">
        <is>
          <t>psk</t>
        </is>
      </c>
      <c r="E702" s="29" t="inlineStr">
        <is>
          <t>319660</t>
        </is>
      </c>
      <c r="F702" s="29" t="inlineStr">
        <is>
          <t>2025</t>
        </is>
      </c>
      <c r="G702" s="29" t="inlineStr">
        <is>
          <t>CFS</t>
        </is>
      </c>
      <c r="H702" s="29" t="inlineStr">
        <is>
          <t>CIS</t>
        </is>
      </c>
      <c r="I702" s="29" t="inlineStr">
        <is>
          <t>포괄손익계산서</t>
        </is>
      </c>
      <c r="J702" s="29" t="inlineStr">
        <is>
          <t>ifrs-full_OtherComprehensiveIncomeThatWillNotBeReclassifiedToProfitOrLossNetOfTax</t>
        </is>
      </c>
      <c r="K702" s="29" t="inlineStr">
        <is>
          <t>당기손익으로 재분류 되지않는 세후기타포괄손익</t>
        </is>
      </c>
      <c r="L702" s="29" t="inlineStr">
        <is>
          <t>-</t>
        </is>
      </c>
      <c r="M702" s="29" t="inlineStr">
        <is>
          <t>제 7 기</t>
        </is>
      </c>
      <c r="N702" s="29" t="inlineStr">
        <is>
          <t>-438596303.0</t>
        </is>
      </c>
      <c r="O702" s="29" t="inlineStr">
        <is>
          <t>-1630399588.0</t>
        </is>
      </c>
      <c r="P702" s="29" t="inlineStr">
        <is>
          <t>KRW</t>
        </is>
      </c>
      <c r="Q702" s="29" t="inlineStr">
        <is>
          <t>23</t>
        </is>
      </c>
    </row>
    <row r="703" ht="24" customHeight="1">
      <c r="A703" s="24" t="inlineStr">
        <is>
          <t>OpenDART_fnlttSinglAcntAll</t>
        </is>
      </c>
      <c r="B703" s="24" t="inlineStr">
        <is>
          <t>01365825</t>
        </is>
      </c>
      <c r="C703" s="24" t="inlineStr">
        <is>
          <t>피에스케이</t>
        </is>
      </c>
      <c r="D703" s="24" t="inlineStr">
        <is>
          <t>psk</t>
        </is>
      </c>
      <c r="E703" s="24" t="inlineStr">
        <is>
          <t>319660</t>
        </is>
      </c>
      <c r="F703" s="24" t="inlineStr">
        <is>
          <t>2025</t>
        </is>
      </c>
      <c r="G703" s="24" t="inlineStr">
        <is>
          <t>CFS</t>
        </is>
      </c>
      <c r="H703" s="24" t="inlineStr">
        <is>
          <t>CIS</t>
        </is>
      </c>
      <c r="I703" s="24" t="inlineStr">
        <is>
          <t>포괄손익계산서</t>
        </is>
      </c>
      <c r="J703" s="24" t="inlineStr">
        <is>
          <t>ifrs-full_OtherComprehensiveIncomeNetOfTaxGainsLossesOnRemeasurementsOfDefinedBenefitPlans</t>
        </is>
      </c>
      <c r="K703" s="24" t="inlineStr">
        <is>
          <t>세후기타포괄손익, 확정급여제도의 재측정손익</t>
        </is>
      </c>
      <c r="L703" s="24" t="inlineStr">
        <is>
          <t>-</t>
        </is>
      </c>
      <c r="M703" s="24" t="inlineStr">
        <is>
          <t>제 7 기</t>
        </is>
      </c>
      <c r="N703" s="24" t="inlineStr">
        <is>
          <t>-438596303.0</t>
        </is>
      </c>
      <c r="O703" s="24" t="inlineStr">
        <is>
          <t>-1630399588.0</t>
        </is>
      </c>
      <c r="P703" s="24" t="inlineStr">
        <is>
          <t>KRW</t>
        </is>
      </c>
      <c r="Q703" s="24" t="inlineStr">
        <is>
          <t>24</t>
        </is>
      </c>
    </row>
    <row r="704" ht="24" customHeight="1">
      <c r="A704" s="29" t="inlineStr">
        <is>
          <t>OpenDART_fnlttSinglAcntAll</t>
        </is>
      </c>
      <c r="B704" s="29" t="inlineStr">
        <is>
          <t>01365825</t>
        </is>
      </c>
      <c r="C704" s="29" t="inlineStr">
        <is>
          <t>피에스케이</t>
        </is>
      </c>
      <c r="D704" s="29" t="inlineStr">
        <is>
          <t>psk</t>
        </is>
      </c>
      <c r="E704" s="29" t="inlineStr">
        <is>
          <t>319660</t>
        </is>
      </c>
      <c r="F704" s="29" t="inlineStr">
        <is>
          <t>2025</t>
        </is>
      </c>
      <c r="G704" s="29" t="inlineStr">
        <is>
          <t>CFS</t>
        </is>
      </c>
      <c r="H704" s="29" t="inlineStr">
        <is>
          <t>CIS</t>
        </is>
      </c>
      <c r="I704" s="29" t="inlineStr">
        <is>
          <t>포괄손익계산서</t>
        </is>
      </c>
      <c r="J704" s="29" t="inlineStr">
        <is>
          <t>ifrs-full_ProfitLoss</t>
        </is>
      </c>
      <c r="K704" s="29" t="inlineStr">
        <is>
          <t>지배주주당기순이익</t>
        </is>
      </c>
      <c r="L704" s="29" t="inlineStr">
        <is>
          <t>-</t>
        </is>
      </c>
      <c r="M704" s="29" t="inlineStr">
        <is>
          <t>제 7 기</t>
        </is>
      </c>
      <c r="N704" s="29" t="inlineStr">
        <is>
          <t>78545663379.0</t>
        </is>
      </c>
      <c r="O704" s="29" t="inlineStr">
        <is>
          <t>79128216285.0</t>
        </is>
      </c>
      <c r="P704" s="29" t="inlineStr">
        <is>
          <t>KRW</t>
        </is>
      </c>
      <c r="Q704" s="29" t="inlineStr">
        <is>
          <t>25</t>
        </is>
      </c>
    </row>
    <row r="705" ht="24" customHeight="1">
      <c r="A705" s="24" t="inlineStr">
        <is>
          <t>OpenDART_fnlttSinglAcntAll</t>
        </is>
      </c>
      <c r="B705" s="24" t="inlineStr">
        <is>
          <t>01365825</t>
        </is>
      </c>
      <c r="C705" s="24" t="inlineStr">
        <is>
          <t>피에스케이</t>
        </is>
      </c>
      <c r="D705" s="24" t="inlineStr">
        <is>
          <t>psk</t>
        </is>
      </c>
      <c r="E705" s="24" t="inlineStr">
        <is>
          <t>319660</t>
        </is>
      </c>
      <c r="F705" s="24" t="inlineStr">
        <is>
          <t>2025</t>
        </is>
      </c>
      <c r="G705" s="24" t="inlineStr">
        <is>
          <t>CFS</t>
        </is>
      </c>
      <c r="H705" s="24" t="inlineStr">
        <is>
          <t>CIS</t>
        </is>
      </c>
      <c r="I705" s="24" t="inlineStr">
        <is>
          <t>포괄손익계산서</t>
        </is>
      </c>
      <c r="J705" s="24" t="inlineStr">
        <is>
          <t>ifrs-full_ProfitLossBeforeTax</t>
        </is>
      </c>
      <c r="K705" s="24" t="inlineStr">
        <is>
          <t>법인세비용차감전순이익(손실)</t>
        </is>
      </c>
      <c r="L705" s="24" t="inlineStr">
        <is>
          <t>-</t>
        </is>
      </c>
      <c r="M705" s="24" t="inlineStr">
        <is>
          <t>제 7 기</t>
        </is>
      </c>
      <c r="N705" s="24" t="inlineStr">
        <is>
          <t>92506540496.0</t>
        </is>
      </c>
      <c r="O705" s="24" t="inlineStr">
        <is>
          <t>97408260831.0</t>
        </is>
      </c>
      <c r="P705" s="24" t="inlineStr">
        <is>
          <t>KRW</t>
        </is>
      </c>
      <c r="Q705" s="24" t="inlineStr">
        <is>
          <t>26</t>
        </is>
      </c>
    </row>
    <row r="706" ht="24" customHeight="1">
      <c r="A706" s="29" t="inlineStr">
        <is>
          <t>OpenDART_fnlttSinglAcntAll</t>
        </is>
      </c>
      <c r="B706" s="29" t="inlineStr">
        <is>
          <t>01365825</t>
        </is>
      </c>
      <c r="C706" s="29" t="inlineStr">
        <is>
          <t>피에스케이</t>
        </is>
      </c>
      <c r="D706" s="29" t="inlineStr">
        <is>
          <t>psk</t>
        </is>
      </c>
      <c r="E706" s="29" t="inlineStr">
        <is>
          <t>319660</t>
        </is>
      </c>
      <c r="F706" s="29" t="inlineStr">
        <is>
          <t>2025</t>
        </is>
      </c>
      <c r="G706" s="29" t="inlineStr">
        <is>
          <t>CFS</t>
        </is>
      </c>
      <c r="H706" s="29" t="inlineStr">
        <is>
          <t>CIS</t>
        </is>
      </c>
      <c r="I706" s="29" t="inlineStr">
        <is>
          <t>포괄손익계산서</t>
        </is>
      </c>
      <c r="J706" s="29" t="inlineStr">
        <is>
          <t>ifrs-full_Revenue</t>
        </is>
      </c>
      <c r="K706" s="29" t="inlineStr">
        <is>
          <t>매출액</t>
        </is>
      </c>
      <c r="L706" s="29" t="inlineStr">
        <is>
          <t>-</t>
        </is>
      </c>
      <c r="M706" s="29" t="inlineStr">
        <is>
          <t>제 7 기</t>
        </is>
      </c>
      <c r="N706" s="29" t="inlineStr">
        <is>
          <t>457213151918.0</t>
        </is>
      </c>
      <c r="O706" s="29" t="inlineStr">
        <is>
          <t>398050977575.0</t>
        </is>
      </c>
      <c r="P706" s="29" t="inlineStr">
        <is>
          <t>KRW</t>
        </is>
      </c>
      <c r="Q706" s="29" t="inlineStr">
        <is>
          <t>27</t>
        </is>
      </c>
    </row>
    <row r="707" ht="24" customHeight="1">
      <c r="A707" s="24" t="inlineStr">
        <is>
          <t>OpenDART_fnlttSinglAcntAll</t>
        </is>
      </c>
      <c r="B707" s="24" t="inlineStr">
        <is>
          <t>01365825</t>
        </is>
      </c>
      <c r="C707" s="24" t="inlineStr">
        <is>
          <t>피에스케이</t>
        </is>
      </c>
      <c r="D707" s="24" t="inlineStr">
        <is>
          <t>psk</t>
        </is>
      </c>
      <c r="E707" s="24" t="inlineStr">
        <is>
          <t>319660</t>
        </is>
      </c>
      <c r="F707" s="24" t="inlineStr">
        <is>
          <t>2025</t>
        </is>
      </c>
      <c r="G707" s="24" t="inlineStr">
        <is>
          <t>CFS</t>
        </is>
      </c>
      <c r="H707" s="24" t="inlineStr">
        <is>
          <t>CF</t>
        </is>
      </c>
      <c r="I707" s="24" t="inlineStr">
        <is>
          <t>현금흐름표</t>
        </is>
      </c>
      <c r="J707" s="24" t="inlineStr">
        <is>
          <t>dart_CashAndCashEquivalentsAtBeginningOfPeriodCf</t>
        </is>
      </c>
      <c r="K707" s="24" t="inlineStr">
        <is>
          <t>기초의 현금및현금성자산</t>
        </is>
      </c>
      <c r="L707" s="24" t="inlineStr">
        <is>
          <t>-</t>
        </is>
      </c>
      <c r="M707" s="24" t="inlineStr">
        <is>
          <t>제 7 기</t>
        </is>
      </c>
      <c r="N707" s="24" t="inlineStr">
        <is>
          <t>94599452537.0</t>
        </is>
      </c>
      <c r="O707" s="24" t="inlineStr">
        <is>
          <t>64452389619.0</t>
        </is>
      </c>
      <c r="P707" s="24" t="inlineStr">
        <is>
          <t>KRW</t>
        </is>
      </c>
      <c r="Q707" s="24" t="inlineStr">
        <is>
          <t>2</t>
        </is>
      </c>
    </row>
    <row r="708" ht="24" customHeight="1">
      <c r="A708" s="29" t="inlineStr">
        <is>
          <t>OpenDART_fnlttSinglAcntAll</t>
        </is>
      </c>
      <c r="B708" s="29" t="inlineStr">
        <is>
          <t>01365825</t>
        </is>
      </c>
      <c r="C708" s="29" t="inlineStr">
        <is>
          <t>피에스케이</t>
        </is>
      </c>
      <c r="D708" s="29" t="inlineStr">
        <is>
          <t>psk</t>
        </is>
      </c>
      <c r="E708" s="29" t="inlineStr">
        <is>
          <t>319660</t>
        </is>
      </c>
      <c r="F708" s="29" t="inlineStr">
        <is>
          <t>2025</t>
        </is>
      </c>
      <c r="G708" s="29" t="inlineStr">
        <is>
          <t>CFS</t>
        </is>
      </c>
      <c r="H708" s="29" t="inlineStr">
        <is>
          <t>CF</t>
        </is>
      </c>
      <c r="I708" s="29" t="inlineStr">
        <is>
          <t>현금흐름표</t>
        </is>
      </c>
      <c r="J708" s="29" t="inlineStr">
        <is>
          <t>dart_CashAndCashEquivalentsAtEndOfPeriodCf</t>
        </is>
      </c>
      <c r="K708" s="29" t="inlineStr">
        <is>
          <t>기말의 현금및현금성자산</t>
        </is>
      </c>
      <c r="L708" s="29" t="inlineStr">
        <is>
          <t>-</t>
        </is>
      </c>
      <c r="M708" s="29" t="inlineStr">
        <is>
          <t>제 7 기</t>
        </is>
      </c>
      <c r="N708" s="29" t="inlineStr">
        <is>
          <t>119421667338.0</t>
        </is>
      </c>
      <c r="O708" s="29" t="inlineStr">
        <is>
          <t>94599452537.0</t>
        </is>
      </c>
      <c r="P708" s="29" t="inlineStr">
        <is>
          <t>KRW</t>
        </is>
      </c>
      <c r="Q708" s="29" t="inlineStr">
        <is>
          <t>3</t>
        </is>
      </c>
    </row>
    <row r="709" ht="24" customHeight="1">
      <c r="A709" s="24" t="inlineStr">
        <is>
          <t>OpenDART_fnlttSinglAcntAll</t>
        </is>
      </c>
      <c r="B709" s="24" t="inlineStr">
        <is>
          <t>01365825</t>
        </is>
      </c>
      <c r="C709" s="24" t="inlineStr">
        <is>
          <t>피에스케이</t>
        </is>
      </c>
      <c r="D709" s="24" t="inlineStr">
        <is>
          <t>psk</t>
        </is>
      </c>
      <c r="E709" s="24" t="inlineStr">
        <is>
          <t>319660</t>
        </is>
      </c>
      <c r="F709" s="24" t="inlineStr">
        <is>
          <t>2025</t>
        </is>
      </c>
      <c r="G709" s="24" t="inlineStr">
        <is>
          <t>CFS</t>
        </is>
      </c>
      <c r="H709" s="24" t="inlineStr">
        <is>
          <t>CF</t>
        </is>
      </c>
      <c r="I709" s="24" t="inlineStr">
        <is>
          <t>현금흐름표</t>
        </is>
      </c>
      <c r="J709" s="24" t="inlineStr">
        <is>
          <t>ifrs-full_CashFlowsFromUsedInFinancingActivities</t>
        </is>
      </c>
      <c r="K709" s="24" t="inlineStr">
        <is>
          <t>재무활동으로 인한 현금흐름</t>
        </is>
      </c>
      <c r="L709" s="24" t="inlineStr">
        <is>
          <t>-</t>
        </is>
      </c>
      <c r="M709" s="24" t="inlineStr">
        <is>
          <t>제 7 기</t>
        </is>
      </c>
      <c r="N709" s="24" t="inlineStr">
        <is>
          <t>-20241932191.0</t>
        </is>
      </c>
      <c r="O709" s="24" t="inlineStr">
        <is>
          <t>-9249244373.0</t>
        </is>
      </c>
      <c r="P709" s="24" t="inlineStr">
        <is>
          <t>KRW</t>
        </is>
      </c>
      <c r="Q709" s="24" t="inlineStr">
        <is>
          <t>8</t>
        </is>
      </c>
    </row>
    <row r="710" ht="24" customHeight="1">
      <c r="A710" s="29" t="inlineStr">
        <is>
          <t>OpenDART_fnlttSinglAcntAll</t>
        </is>
      </c>
      <c r="B710" s="29" t="inlineStr">
        <is>
          <t>01365825</t>
        </is>
      </c>
      <c r="C710" s="29" t="inlineStr">
        <is>
          <t>피에스케이</t>
        </is>
      </c>
      <c r="D710" s="29" t="inlineStr">
        <is>
          <t>psk</t>
        </is>
      </c>
      <c r="E710" s="29" t="inlineStr">
        <is>
          <t>319660</t>
        </is>
      </c>
      <c r="F710" s="29" t="inlineStr">
        <is>
          <t>2025</t>
        </is>
      </c>
      <c r="G710" s="29" t="inlineStr">
        <is>
          <t>CFS</t>
        </is>
      </c>
      <c r="H710" s="29" t="inlineStr">
        <is>
          <t>CF</t>
        </is>
      </c>
      <c r="I710" s="29" t="inlineStr">
        <is>
          <t>현금흐름표</t>
        </is>
      </c>
      <c r="J710" s="29" t="inlineStr">
        <is>
          <t>dart_DecreaseInGuaranteeDepositsAsFinancialActivities</t>
        </is>
      </c>
      <c r="K710" s="29" t="inlineStr">
        <is>
          <t>임대보증금의 감소</t>
        </is>
      </c>
      <c r="L710" s="29" t="inlineStr">
        <is>
          <t>-</t>
        </is>
      </c>
      <c r="M710" s="29" t="inlineStr">
        <is>
          <t>제 7 기</t>
        </is>
      </c>
      <c r="N710" s="29" t="inlineStr">
        <is>
          <t>6000000.0</t>
        </is>
      </c>
      <c r="O710" s="29" t="inlineStr">
        <is>
          <t>해당 없음</t>
        </is>
      </c>
      <c r="P710" s="29" t="inlineStr">
        <is>
          <t>KRW</t>
        </is>
      </c>
      <c r="Q710" s="29" t="inlineStr">
        <is>
          <t>9</t>
        </is>
      </c>
    </row>
    <row r="711" ht="24" customHeight="1">
      <c r="A711" s="24" t="inlineStr">
        <is>
          <t>OpenDART_fnlttSinglAcntAll</t>
        </is>
      </c>
      <c r="B711" s="24" t="inlineStr">
        <is>
          <t>01365825</t>
        </is>
      </c>
      <c r="C711" s="24" t="inlineStr">
        <is>
          <t>피에스케이</t>
        </is>
      </c>
      <c r="D711" s="24" t="inlineStr">
        <is>
          <t>psk</t>
        </is>
      </c>
      <c r="E711" s="24" t="inlineStr">
        <is>
          <t>319660</t>
        </is>
      </c>
      <c r="F711" s="24" t="inlineStr">
        <is>
          <t>2025</t>
        </is>
      </c>
      <c r="G711" s="24" t="inlineStr">
        <is>
          <t>CFS</t>
        </is>
      </c>
      <c r="H711" s="24" t="inlineStr">
        <is>
          <t>CF</t>
        </is>
      </c>
      <c r="I711" s="24" t="inlineStr">
        <is>
          <t>현금흐름표</t>
        </is>
      </c>
      <c r="J711" s="24" t="inlineStr">
        <is>
          <t>dart_IncreaseInGuaranteeDepositsAsFinancialActivities</t>
        </is>
      </c>
      <c r="K711" s="24" t="inlineStr">
        <is>
          <t>임대보증금의 증가</t>
        </is>
      </c>
      <c r="L711" s="24" t="inlineStr">
        <is>
          <t>-</t>
        </is>
      </c>
      <c r="M711" s="24" t="inlineStr">
        <is>
          <t>제 7 기</t>
        </is>
      </c>
      <c r="N711" s="24" t="inlineStr">
        <is>
          <t>500000000.0</t>
        </is>
      </c>
      <c r="O711" s="24" t="inlineStr">
        <is>
          <t>37500000.0</t>
        </is>
      </c>
      <c r="P711" s="24" t="inlineStr">
        <is>
          <t>KRW</t>
        </is>
      </c>
      <c r="Q711" s="24" t="inlineStr">
        <is>
          <t>10</t>
        </is>
      </c>
    </row>
    <row r="712" ht="24" customHeight="1">
      <c r="A712" s="29" t="inlineStr">
        <is>
          <t>OpenDART_fnlttSinglAcntAll</t>
        </is>
      </c>
      <c r="B712" s="29" t="inlineStr">
        <is>
          <t>01365825</t>
        </is>
      </c>
      <c r="C712" s="29" t="inlineStr">
        <is>
          <t>피에스케이</t>
        </is>
      </c>
      <c r="D712" s="29" t="inlineStr">
        <is>
          <t>psk</t>
        </is>
      </c>
      <c r="E712" s="29" t="inlineStr">
        <is>
          <t>319660</t>
        </is>
      </c>
      <c r="F712" s="29" t="inlineStr">
        <is>
          <t>2025</t>
        </is>
      </c>
      <c r="G712" s="29" t="inlineStr">
        <is>
          <t>CFS</t>
        </is>
      </c>
      <c r="H712" s="29" t="inlineStr">
        <is>
          <t>CF</t>
        </is>
      </c>
      <c r="I712" s="29" t="inlineStr">
        <is>
          <t>현금흐름표</t>
        </is>
      </c>
      <c r="J712" s="29" t="inlineStr">
        <is>
          <t>ifrs-full_DividendsPaidClassifiedAsFinancingActivities</t>
        </is>
      </c>
      <c r="K712" s="29" t="inlineStr">
        <is>
          <t>배당금의 지급</t>
        </is>
      </c>
      <c r="L712" s="29" t="inlineStr">
        <is>
          <t>-</t>
        </is>
      </c>
      <c r="M712" s="29" t="inlineStr">
        <is>
          <t>제 7 기</t>
        </is>
      </c>
      <c r="N712" s="29" t="inlineStr">
        <is>
          <t>11586685600.0</t>
        </is>
      </c>
      <c r="O712" s="29" t="inlineStr">
        <is>
          <t>5793342800.0</t>
        </is>
      </c>
      <c r="P712" s="29" t="inlineStr">
        <is>
          <t>KRW</t>
        </is>
      </c>
      <c r="Q712" s="29" t="inlineStr">
        <is>
          <t>11</t>
        </is>
      </c>
    </row>
    <row r="713" ht="24" customHeight="1">
      <c r="A713" s="24" t="inlineStr">
        <is>
          <t>OpenDART_fnlttSinglAcntAll</t>
        </is>
      </c>
      <c r="B713" s="24" t="inlineStr">
        <is>
          <t>01365825</t>
        </is>
      </c>
      <c r="C713" s="24" t="inlineStr">
        <is>
          <t>피에스케이</t>
        </is>
      </c>
      <c r="D713" s="24" t="inlineStr">
        <is>
          <t>psk</t>
        </is>
      </c>
      <c r="E713" s="24" t="inlineStr">
        <is>
          <t>319660</t>
        </is>
      </c>
      <c r="F713" s="24" t="inlineStr">
        <is>
          <t>2025</t>
        </is>
      </c>
      <c r="G713" s="24" t="inlineStr">
        <is>
          <t>CFS</t>
        </is>
      </c>
      <c r="H713" s="24" t="inlineStr">
        <is>
          <t>CF</t>
        </is>
      </c>
      <c r="I713" s="24" t="inlineStr">
        <is>
          <t>현금흐름표</t>
        </is>
      </c>
      <c r="J713" s="24" t="inlineStr">
        <is>
          <t>ifrs-full_PaymentsOfLeaseLiabilitiesClassifiedAsFinancingActivities</t>
        </is>
      </c>
      <c r="K713" s="24" t="inlineStr">
        <is>
          <t>리스부채의 상환</t>
        </is>
      </c>
      <c r="L713" s="24" t="inlineStr">
        <is>
          <t>-</t>
        </is>
      </c>
      <c r="M713" s="24" t="inlineStr">
        <is>
          <t>제 7 기</t>
        </is>
      </c>
      <c r="N713" s="24" t="inlineStr">
        <is>
          <t>2150898279.0</t>
        </is>
      </c>
      <c r="O713" s="24" t="inlineStr">
        <is>
          <t>2123477756.0</t>
        </is>
      </c>
      <c r="P713" s="24" t="inlineStr">
        <is>
          <t>KRW</t>
        </is>
      </c>
      <c r="Q713" s="24" t="inlineStr">
        <is>
          <t>12</t>
        </is>
      </c>
    </row>
    <row r="714" ht="24" customHeight="1">
      <c r="A714" s="29" t="inlineStr">
        <is>
          <t>OpenDART_fnlttSinglAcntAll</t>
        </is>
      </c>
      <c r="B714" s="29" t="inlineStr">
        <is>
          <t>01365825</t>
        </is>
      </c>
      <c r="C714" s="29" t="inlineStr">
        <is>
          <t>피에스케이</t>
        </is>
      </c>
      <c r="D714" s="29" t="inlineStr">
        <is>
          <t>psk</t>
        </is>
      </c>
      <c r="E714" s="29" t="inlineStr">
        <is>
          <t>319660</t>
        </is>
      </c>
      <c r="F714" s="29" t="inlineStr">
        <is>
          <t>2025</t>
        </is>
      </c>
      <c r="G714" s="29" t="inlineStr">
        <is>
          <t>CFS</t>
        </is>
      </c>
      <c r="H714" s="29" t="inlineStr">
        <is>
          <t>CF</t>
        </is>
      </c>
      <c r="I714" s="29" t="inlineStr">
        <is>
          <t>현금흐름표</t>
        </is>
      </c>
      <c r="J714" s="29" t="inlineStr">
        <is>
          <t>ifrs-full_ProceedsFromBorrowingsClassifiedAsFinancingActivities</t>
        </is>
      </c>
      <c r="K714" s="29" t="inlineStr">
        <is>
          <t>차입금의 차입</t>
        </is>
      </c>
      <c r="L714" s="29" t="inlineStr">
        <is>
          <t>-</t>
        </is>
      </c>
      <c r="M714" s="29" t="inlineStr">
        <is>
          <t>제 7 기</t>
        </is>
      </c>
      <c r="N714" s="29" t="inlineStr">
        <is>
          <t>11144567743.0</t>
        </is>
      </c>
      <c r="O714" s="29" t="inlineStr">
        <is>
          <t>3000000000.0</t>
        </is>
      </c>
      <c r="P714" s="29" t="inlineStr">
        <is>
          <t>KRW</t>
        </is>
      </c>
      <c r="Q714" s="29" t="inlineStr">
        <is>
          <t>13</t>
        </is>
      </c>
    </row>
    <row r="715" ht="24" customHeight="1">
      <c r="A715" s="24" t="inlineStr">
        <is>
          <t>OpenDART_fnlttSinglAcntAll</t>
        </is>
      </c>
      <c r="B715" s="24" t="inlineStr">
        <is>
          <t>01365825</t>
        </is>
      </c>
      <c r="C715" s="24" t="inlineStr">
        <is>
          <t>피에스케이</t>
        </is>
      </c>
      <c r="D715" s="24" t="inlineStr">
        <is>
          <t>psk</t>
        </is>
      </c>
      <c r="E715" s="24" t="inlineStr">
        <is>
          <t>319660</t>
        </is>
      </c>
      <c r="F715" s="24" t="inlineStr">
        <is>
          <t>2025</t>
        </is>
      </c>
      <c r="G715" s="24" t="inlineStr">
        <is>
          <t>CFS</t>
        </is>
      </c>
      <c r="H715" s="24" t="inlineStr">
        <is>
          <t>CF</t>
        </is>
      </c>
      <c r="I715" s="24" t="inlineStr">
        <is>
          <t>현금흐름표</t>
        </is>
      </c>
      <c r="J715" s="24" t="inlineStr">
        <is>
          <t>ifrs-full_RepaymentsOfBorrowingsClassifiedAsFinancingActivities</t>
        </is>
      </c>
      <c r="K715" s="24" t="inlineStr">
        <is>
          <t>차입금의 상환</t>
        </is>
      </c>
      <c r="L715" s="24" t="inlineStr">
        <is>
          <t>-</t>
        </is>
      </c>
      <c r="M715" s="24" t="inlineStr">
        <is>
          <t>제 7 기</t>
        </is>
      </c>
      <c r="N715" s="24" t="inlineStr">
        <is>
          <t>18142916055.0</t>
        </is>
      </c>
      <c r="O715" s="24" t="inlineStr">
        <is>
          <t>4369923817.0</t>
        </is>
      </c>
      <c r="P715" s="24" t="inlineStr">
        <is>
          <t>KRW</t>
        </is>
      </c>
      <c r="Q715" s="24" t="inlineStr">
        <is>
          <t>14</t>
        </is>
      </c>
    </row>
    <row r="716" ht="24" customHeight="1">
      <c r="A716" s="29" t="inlineStr">
        <is>
          <t>OpenDART_fnlttSinglAcntAll</t>
        </is>
      </c>
      <c r="B716" s="29" t="inlineStr">
        <is>
          <t>01365825</t>
        </is>
      </c>
      <c r="C716" s="29" t="inlineStr">
        <is>
          <t>피에스케이</t>
        </is>
      </c>
      <c r="D716" s="29" t="inlineStr">
        <is>
          <t>psk</t>
        </is>
      </c>
      <c r="E716" s="29" t="inlineStr">
        <is>
          <t>319660</t>
        </is>
      </c>
      <c r="F716" s="29" t="inlineStr">
        <is>
          <t>2025</t>
        </is>
      </c>
      <c r="G716" s="29" t="inlineStr">
        <is>
          <t>CFS</t>
        </is>
      </c>
      <c r="H716" s="29" t="inlineStr">
        <is>
          <t>CF</t>
        </is>
      </c>
      <c r="I716" s="29" t="inlineStr">
        <is>
          <t>현금흐름표</t>
        </is>
      </c>
      <c r="J716" s="29" t="inlineStr">
        <is>
          <t>ifrs-full_CashFlowsFromUsedInInvestingActivities</t>
        </is>
      </c>
      <c r="K716" s="29" t="inlineStr">
        <is>
          <t>투자활동으로 인한 현금흐름</t>
        </is>
      </c>
      <c r="L716" s="29" t="inlineStr">
        <is>
          <t>-</t>
        </is>
      </c>
      <c r="M716" s="29" t="inlineStr">
        <is>
          <t>제 7 기</t>
        </is>
      </c>
      <c r="N716" s="29" t="inlineStr">
        <is>
          <t>-17161223038.0</t>
        </is>
      </c>
      <c r="O716" s="29" t="inlineStr">
        <is>
          <t>-34424696928.0</t>
        </is>
      </c>
      <c r="P716" s="29" t="inlineStr">
        <is>
          <t>KRW</t>
        </is>
      </c>
      <c r="Q716" s="29" t="inlineStr">
        <is>
          <t>15</t>
        </is>
      </c>
    </row>
    <row r="717" ht="24" customHeight="1">
      <c r="A717" s="24" t="inlineStr">
        <is>
          <t>OpenDART_fnlttSinglAcntAll</t>
        </is>
      </c>
      <c r="B717" s="24" t="inlineStr">
        <is>
          <t>01365825</t>
        </is>
      </c>
      <c r="C717" s="24" t="inlineStr">
        <is>
          <t>피에스케이</t>
        </is>
      </c>
      <c r="D717" s="24" t="inlineStr">
        <is>
          <t>psk</t>
        </is>
      </c>
      <c r="E717" s="24" t="inlineStr">
        <is>
          <t>319660</t>
        </is>
      </c>
      <c r="F717" s="24" t="inlineStr">
        <is>
          <t>2025</t>
        </is>
      </c>
      <c r="G717" s="24" t="inlineStr">
        <is>
          <t>CFS</t>
        </is>
      </c>
      <c r="H717" s="24" t="inlineStr">
        <is>
          <t>CF</t>
        </is>
      </c>
      <c r="I717" s="24" t="inlineStr">
        <is>
          <t>현금흐름표</t>
        </is>
      </c>
      <c r="J717" s="24" t="inlineStr">
        <is>
          <t>dart_DecreaseInGuaranteeDeposits</t>
        </is>
      </c>
      <c r="K717" s="24" t="inlineStr">
        <is>
          <t>보증금의 감소</t>
        </is>
      </c>
      <c r="L717" s="24" t="inlineStr">
        <is>
          <t>-</t>
        </is>
      </c>
      <c r="M717" s="24" t="inlineStr">
        <is>
          <t>제 7 기</t>
        </is>
      </c>
      <c r="N717" s="24" t="inlineStr">
        <is>
          <t>148918570.0</t>
        </is>
      </c>
      <c r="O717" s="24" t="inlineStr">
        <is>
          <t>1649135523.0</t>
        </is>
      </c>
      <c r="P717" s="24" t="inlineStr">
        <is>
          <t>KRW</t>
        </is>
      </c>
      <c r="Q717" s="24" t="inlineStr">
        <is>
          <t>16</t>
        </is>
      </c>
    </row>
    <row r="718" ht="24" customHeight="1">
      <c r="A718" s="29" t="inlineStr">
        <is>
          <t>OpenDART_fnlttSinglAcntAll</t>
        </is>
      </c>
      <c r="B718" s="29" t="inlineStr">
        <is>
          <t>01365825</t>
        </is>
      </c>
      <c r="C718" s="29" t="inlineStr">
        <is>
          <t>피에스케이</t>
        </is>
      </c>
      <c r="D718" s="29" t="inlineStr">
        <is>
          <t>psk</t>
        </is>
      </c>
      <c r="E718" s="29" t="inlineStr">
        <is>
          <t>319660</t>
        </is>
      </c>
      <c r="F718" s="29" t="inlineStr">
        <is>
          <t>2025</t>
        </is>
      </c>
      <c r="G718" s="29" t="inlineStr">
        <is>
          <t>CFS</t>
        </is>
      </c>
      <c r="H718" s="29" t="inlineStr">
        <is>
          <t>CF</t>
        </is>
      </c>
      <c r="I718" s="29" t="inlineStr">
        <is>
          <t>현금흐름표</t>
        </is>
      </c>
      <c r="J718" s="29" t="inlineStr">
        <is>
          <t>dart_IncreaseInGuaranteeDeposits</t>
        </is>
      </c>
      <c r="K718" s="29" t="inlineStr">
        <is>
          <t>보증금의 증가</t>
        </is>
      </c>
      <c r="L718" s="29" t="inlineStr">
        <is>
          <t>-</t>
        </is>
      </c>
      <c r="M718" s="29" t="inlineStr">
        <is>
          <t>제 7 기</t>
        </is>
      </c>
      <c r="N718" s="29" t="inlineStr">
        <is>
          <t>253155112.0</t>
        </is>
      </c>
      <c r="O718" s="29" t="inlineStr">
        <is>
          <t>1031925182.0</t>
        </is>
      </c>
      <c r="P718" s="29" t="inlineStr">
        <is>
          <t>KRW</t>
        </is>
      </c>
      <c r="Q718" s="29" t="inlineStr">
        <is>
          <t>17</t>
        </is>
      </c>
    </row>
    <row r="719" ht="24" customHeight="1">
      <c r="A719" s="24" t="inlineStr">
        <is>
          <t>OpenDART_fnlttSinglAcntAll</t>
        </is>
      </c>
      <c r="B719" s="24" t="inlineStr">
        <is>
          <t>01365825</t>
        </is>
      </c>
      <c r="C719" s="24" t="inlineStr">
        <is>
          <t>피에스케이</t>
        </is>
      </c>
      <c r="D719" s="24" t="inlineStr">
        <is>
          <t>psk</t>
        </is>
      </c>
      <c r="E719" s="24" t="inlineStr">
        <is>
          <t>319660</t>
        </is>
      </c>
      <c r="F719" s="24" t="inlineStr">
        <is>
          <t>2025</t>
        </is>
      </c>
      <c r="G719" s="24" t="inlineStr">
        <is>
          <t>CFS</t>
        </is>
      </c>
      <c r="H719" s="24" t="inlineStr">
        <is>
          <t>CF</t>
        </is>
      </c>
      <c r="I719" s="24" t="inlineStr">
        <is>
          <t>현금흐름표</t>
        </is>
      </c>
      <c r="J719" s="24" t="inlineStr">
        <is>
          <t>dart_ProceedsFromSalesOfFairValueFinancialAsset</t>
        </is>
      </c>
      <c r="K719" s="24" t="inlineStr">
        <is>
          <t>당기손익-공정가치측정금융자산의 처분</t>
        </is>
      </c>
      <c r="L719" s="24" t="inlineStr">
        <is>
          <t>-</t>
        </is>
      </c>
      <c r="M719" s="24" t="inlineStr">
        <is>
          <t>제 7 기</t>
        </is>
      </c>
      <c r="N719" s="24" t="inlineStr">
        <is>
          <t>50070055831.0</t>
        </is>
      </c>
      <c r="O719" s="24" t="inlineStr">
        <is>
          <t>34859005149.0</t>
        </is>
      </c>
      <c r="P719" s="24" t="inlineStr">
        <is>
          <t>KRW</t>
        </is>
      </c>
      <c r="Q719" s="24" t="inlineStr">
        <is>
          <t>18</t>
        </is>
      </c>
    </row>
    <row r="720" ht="24" customHeight="1">
      <c r="A720" s="29" t="inlineStr">
        <is>
          <t>OpenDART_fnlttSinglAcntAll</t>
        </is>
      </c>
      <c r="B720" s="29" t="inlineStr">
        <is>
          <t>01365825</t>
        </is>
      </c>
      <c r="C720" s="29" t="inlineStr">
        <is>
          <t>피에스케이</t>
        </is>
      </c>
      <c r="D720" s="29" t="inlineStr">
        <is>
          <t>psk</t>
        </is>
      </c>
      <c r="E720" s="29" t="inlineStr">
        <is>
          <t>319660</t>
        </is>
      </c>
      <c r="F720" s="29" t="inlineStr">
        <is>
          <t>2025</t>
        </is>
      </c>
      <c r="G720" s="29" t="inlineStr">
        <is>
          <t>CFS</t>
        </is>
      </c>
      <c r="H720" s="29" t="inlineStr">
        <is>
          <t>CF</t>
        </is>
      </c>
      <c r="I720" s="29" t="inlineStr">
        <is>
          <t>현금흐름표</t>
        </is>
      </c>
      <c r="J720" s="29" t="inlineStr">
        <is>
          <t>dart_ProceedsFromSalesOfFinancialAssetsAtAmortisedCostClassifiedAsInvestingActivities</t>
        </is>
      </c>
      <c r="K720" s="29" t="inlineStr">
        <is>
          <t>상각후원가측정금융자산의 처분</t>
        </is>
      </c>
      <c r="L720" s="29" t="inlineStr">
        <is>
          <t>-</t>
        </is>
      </c>
      <c r="M720" s="29" t="inlineStr">
        <is>
          <t>제 7 기</t>
        </is>
      </c>
      <c r="N720" s="29" t="inlineStr">
        <is>
          <t>222000000000.0</t>
        </is>
      </c>
      <c r="O720" s="29" t="inlineStr">
        <is>
          <t>217594100000.0</t>
        </is>
      </c>
      <c r="P720" s="29" t="inlineStr">
        <is>
          <t>KRW</t>
        </is>
      </c>
      <c r="Q720" s="29" t="inlineStr">
        <is>
          <t>19</t>
        </is>
      </c>
    </row>
    <row r="721" ht="24" customHeight="1">
      <c r="A721" s="24" t="inlineStr">
        <is>
          <t>OpenDART_fnlttSinglAcntAll</t>
        </is>
      </c>
      <c r="B721" s="24" t="inlineStr">
        <is>
          <t>01365825</t>
        </is>
      </c>
      <c r="C721" s="24" t="inlineStr">
        <is>
          <t>피에스케이</t>
        </is>
      </c>
      <c r="D721" s="24" t="inlineStr">
        <is>
          <t>psk</t>
        </is>
      </c>
      <c r="E721" s="24" t="inlineStr">
        <is>
          <t>319660</t>
        </is>
      </c>
      <c r="F721" s="24" t="inlineStr">
        <is>
          <t>2025</t>
        </is>
      </c>
      <c r="G721" s="24" t="inlineStr">
        <is>
          <t>CFS</t>
        </is>
      </c>
      <c r="H721" s="24" t="inlineStr">
        <is>
          <t>CF</t>
        </is>
      </c>
      <c r="I721" s="24" t="inlineStr">
        <is>
          <t>현금흐름표</t>
        </is>
      </c>
      <c r="J721" s="24" t="inlineStr">
        <is>
          <t>dart_ProceedsFromSalesOfLongTermLoansAndReceivables</t>
        </is>
      </c>
      <c r="K721" s="24" t="inlineStr">
        <is>
          <t>장기대여금의 감소</t>
        </is>
      </c>
      <c r="L721" s="24" t="inlineStr">
        <is>
          <t>-</t>
        </is>
      </c>
      <c r="M721" s="24" t="inlineStr">
        <is>
          <t>제 7 기</t>
        </is>
      </c>
      <c r="N721" s="24" t="inlineStr">
        <is>
          <t>112991537.0</t>
        </is>
      </c>
      <c r="O721" s="24" t="inlineStr">
        <is>
          <t>511983334.0</t>
        </is>
      </c>
      <c r="P721" s="24" t="inlineStr">
        <is>
          <t>KRW</t>
        </is>
      </c>
      <c r="Q721" s="24" t="inlineStr">
        <is>
          <t>20</t>
        </is>
      </c>
    </row>
    <row r="722" ht="24" customHeight="1">
      <c r="A722" s="29" t="inlineStr">
        <is>
          <t>OpenDART_fnlttSinglAcntAll</t>
        </is>
      </c>
      <c r="B722" s="29" t="inlineStr">
        <is>
          <t>01365825</t>
        </is>
      </c>
      <c r="C722" s="29" t="inlineStr">
        <is>
          <t>피에스케이</t>
        </is>
      </c>
      <c r="D722" s="29" t="inlineStr">
        <is>
          <t>psk</t>
        </is>
      </c>
      <c r="E722" s="29" t="inlineStr">
        <is>
          <t>319660</t>
        </is>
      </c>
      <c r="F722" s="29" t="inlineStr">
        <is>
          <t>2025</t>
        </is>
      </c>
      <c r="G722" s="29" t="inlineStr">
        <is>
          <t>CFS</t>
        </is>
      </c>
      <c r="H722" s="29" t="inlineStr">
        <is>
          <t>CF</t>
        </is>
      </c>
      <c r="I722" s="29" t="inlineStr">
        <is>
          <t>현금흐름표</t>
        </is>
      </c>
      <c r="J722" s="29" t="inlineStr">
        <is>
          <t>dart_ProceedsFromSalesOfShortTermLoansAndReceivables</t>
        </is>
      </c>
      <c r="K722" s="29" t="inlineStr">
        <is>
          <t>단기대여금의 감소</t>
        </is>
      </c>
      <c r="L722" s="29" t="inlineStr">
        <is>
          <t>-</t>
        </is>
      </c>
      <c r="M722" s="29" t="inlineStr">
        <is>
          <t>제 7 기</t>
        </is>
      </c>
      <c r="N722" s="29" t="inlineStr">
        <is>
          <t>588576528.0</t>
        </is>
      </c>
      <c r="O722" s="29" t="inlineStr">
        <is>
          <t>306712633.0</t>
        </is>
      </c>
      <c r="P722" s="29" t="inlineStr">
        <is>
          <t>KRW</t>
        </is>
      </c>
      <c r="Q722" s="29" t="inlineStr">
        <is>
          <t>21</t>
        </is>
      </c>
    </row>
    <row r="723" ht="24" customHeight="1">
      <c r="A723" s="24" t="inlineStr">
        <is>
          <t>OpenDART_fnlttSinglAcntAll</t>
        </is>
      </c>
      <c r="B723" s="24" t="inlineStr">
        <is>
          <t>01365825</t>
        </is>
      </c>
      <c r="C723" s="24" t="inlineStr">
        <is>
          <t>피에스케이</t>
        </is>
      </c>
      <c r="D723" s="24" t="inlineStr">
        <is>
          <t>psk</t>
        </is>
      </c>
      <c r="E723" s="24" t="inlineStr">
        <is>
          <t>319660</t>
        </is>
      </c>
      <c r="F723" s="24" t="inlineStr">
        <is>
          <t>2025</t>
        </is>
      </c>
      <c r="G723" s="24" t="inlineStr">
        <is>
          <t>CFS</t>
        </is>
      </c>
      <c r="H723" s="24" t="inlineStr">
        <is>
          <t>CF</t>
        </is>
      </c>
      <c r="I723" s="24" t="inlineStr">
        <is>
          <t>현금흐름표</t>
        </is>
      </c>
      <c r="J723" s="24" t="inlineStr">
        <is>
          <t>dart_PurchaseOfFairValueFinancialAsset</t>
        </is>
      </c>
      <c r="K723" s="24" t="inlineStr">
        <is>
          <t>당기손익-공정가치측정금융자산의 취득</t>
        </is>
      </c>
      <c r="L723" s="24" t="inlineStr">
        <is>
          <t>-</t>
        </is>
      </c>
      <c r="M723" s="24" t="inlineStr">
        <is>
          <t>제 7 기</t>
        </is>
      </c>
      <c r="N723" s="24" t="inlineStr">
        <is>
          <t>74516050616.0</t>
        </is>
      </c>
      <c r="O723" s="24" t="inlineStr">
        <is>
          <t>66531850412.0</t>
        </is>
      </c>
      <c r="P723" s="24" t="inlineStr">
        <is>
          <t>KRW</t>
        </is>
      </c>
      <c r="Q723" s="24" t="inlineStr">
        <is>
          <t>22</t>
        </is>
      </c>
    </row>
    <row r="724" ht="24" customHeight="1">
      <c r="A724" s="29" t="inlineStr">
        <is>
          <t>OpenDART_fnlttSinglAcntAll</t>
        </is>
      </c>
      <c r="B724" s="29" t="inlineStr">
        <is>
          <t>01365825</t>
        </is>
      </c>
      <c r="C724" s="29" t="inlineStr">
        <is>
          <t>피에스케이</t>
        </is>
      </c>
      <c r="D724" s="29" t="inlineStr">
        <is>
          <t>psk</t>
        </is>
      </c>
      <c r="E724" s="29" t="inlineStr">
        <is>
          <t>319660</t>
        </is>
      </c>
      <c r="F724" s="29" t="inlineStr">
        <is>
          <t>2025</t>
        </is>
      </c>
      <c r="G724" s="29" t="inlineStr">
        <is>
          <t>CFS</t>
        </is>
      </c>
      <c r="H724" s="29" t="inlineStr">
        <is>
          <t>CF</t>
        </is>
      </c>
      <c r="I724" s="29" t="inlineStr">
        <is>
          <t>현금흐름표</t>
        </is>
      </c>
      <c r="J724" s="29" t="inlineStr">
        <is>
          <t>dart_PurchaseOfFinancialAssetsAtAmortisedCostClassifiedAsInvestingActivities</t>
        </is>
      </c>
      <c r="K724" s="29" t="inlineStr">
        <is>
          <t>상각후원가측정금융자산의 취득</t>
        </is>
      </c>
      <c r="L724" s="29" t="inlineStr">
        <is>
          <t>-</t>
        </is>
      </c>
      <c r="M724" s="29" t="inlineStr">
        <is>
          <t>제 7 기</t>
        </is>
      </c>
      <c r="N724" s="29" t="inlineStr">
        <is>
          <t>196400000000.0</t>
        </is>
      </c>
      <c r="O724" s="29" t="inlineStr">
        <is>
          <t>192594100000.0</t>
        </is>
      </c>
      <c r="P724" s="29" t="inlineStr">
        <is>
          <t>KRW</t>
        </is>
      </c>
      <c r="Q724" s="29" t="inlineStr">
        <is>
          <t>23</t>
        </is>
      </c>
    </row>
    <row r="725" ht="24" customHeight="1">
      <c r="A725" s="24" t="inlineStr">
        <is>
          <t>OpenDART_fnlttSinglAcntAll</t>
        </is>
      </c>
      <c r="B725" s="24" t="inlineStr">
        <is>
          <t>01365825</t>
        </is>
      </c>
      <c r="C725" s="24" t="inlineStr">
        <is>
          <t>피에스케이</t>
        </is>
      </c>
      <c r="D725" s="24" t="inlineStr">
        <is>
          <t>psk</t>
        </is>
      </c>
      <c r="E725" s="24" t="inlineStr">
        <is>
          <t>319660</t>
        </is>
      </c>
      <c r="F725" s="24" t="inlineStr">
        <is>
          <t>2025</t>
        </is>
      </c>
      <c r="G725" s="24" t="inlineStr">
        <is>
          <t>CFS</t>
        </is>
      </c>
      <c r="H725" s="24" t="inlineStr">
        <is>
          <t>CF</t>
        </is>
      </c>
      <c r="I725" s="24" t="inlineStr">
        <is>
          <t>현금흐름표</t>
        </is>
      </c>
      <c r="J725" s="24" t="inlineStr">
        <is>
          <t>dart_PurchaseOfLongTermLoansAndReceivables</t>
        </is>
      </c>
      <c r="K725" s="24" t="inlineStr">
        <is>
          <t>장기대여금의 증가</t>
        </is>
      </c>
      <c r="L725" s="24" t="inlineStr">
        <is>
          <t>-</t>
        </is>
      </c>
      <c r="M725" s="24" t="inlineStr">
        <is>
          <t>제 7 기</t>
        </is>
      </c>
      <c r="N725" s="24" t="inlineStr">
        <is>
          <t>320500000.0</t>
        </is>
      </c>
      <c r="O725" s="24" t="inlineStr">
        <is>
          <t>20000000.0</t>
        </is>
      </c>
      <c r="P725" s="24" t="inlineStr">
        <is>
          <t>KRW</t>
        </is>
      </c>
      <c r="Q725" s="24" t="inlineStr">
        <is>
          <t>24</t>
        </is>
      </c>
    </row>
    <row r="726" ht="24" customHeight="1">
      <c r="A726" s="29" t="inlineStr">
        <is>
          <t>OpenDART_fnlttSinglAcntAll</t>
        </is>
      </c>
      <c r="B726" s="29" t="inlineStr">
        <is>
          <t>01365825</t>
        </is>
      </c>
      <c r="C726" s="29" t="inlineStr">
        <is>
          <t>피에스케이</t>
        </is>
      </c>
      <c r="D726" s="29" t="inlineStr">
        <is>
          <t>psk</t>
        </is>
      </c>
      <c r="E726" s="29" t="inlineStr">
        <is>
          <t>319660</t>
        </is>
      </c>
      <c r="F726" s="29" t="inlineStr">
        <is>
          <t>2025</t>
        </is>
      </c>
      <c r="G726" s="29" t="inlineStr">
        <is>
          <t>CFS</t>
        </is>
      </c>
      <c r="H726" s="29" t="inlineStr">
        <is>
          <t>CF</t>
        </is>
      </c>
      <c r="I726" s="29" t="inlineStr">
        <is>
          <t>현금흐름표</t>
        </is>
      </c>
      <c r="J726" s="29" t="inlineStr">
        <is>
          <t>dart_PurchaseOfShortTermLoansAndReceivables</t>
        </is>
      </c>
      <c r="K726" s="29" t="inlineStr">
        <is>
          <t>단기대여금의 증가</t>
        </is>
      </c>
      <c r="L726" s="29" t="inlineStr">
        <is>
          <t>-</t>
        </is>
      </c>
      <c r="M726" s="29" t="inlineStr">
        <is>
          <t>제 7 기</t>
        </is>
      </c>
      <c r="N726" s="29" t="inlineStr">
        <is>
          <t>58850866.0</t>
        </is>
      </c>
      <c r="O726" s="29" t="inlineStr">
        <is>
          <t>572850000.0</t>
        </is>
      </c>
      <c r="P726" s="29" t="inlineStr">
        <is>
          <t>KRW</t>
        </is>
      </c>
      <c r="Q726" s="29" t="inlineStr">
        <is>
          <t>25</t>
        </is>
      </c>
    </row>
    <row r="727" ht="24" customHeight="1">
      <c r="A727" s="24" t="inlineStr">
        <is>
          <t>OpenDART_fnlttSinglAcntAll</t>
        </is>
      </c>
      <c r="B727" s="24" t="inlineStr">
        <is>
          <t>01365825</t>
        </is>
      </c>
      <c r="C727" s="24" t="inlineStr">
        <is>
          <t>피에스케이</t>
        </is>
      </c>
      <c r="D727" s="24" t="inlineStr">
        <is>
          <t>psk</t>
        </is>
      </c>
      <c r="E727" s="24" t="inlineStr">
        <is>
          <t>319660</t>
        </is>
      </c>
      <c r="F727" s="24" t="inlineStr">
        <is>
          <t>2025</t>
        </is>
      </c>
      <c r="G727" s="24" t="inlineStr">
        <is>
          <t>CFS</t>
        </is>
      </c>
      <c r="H727" s="24" t="inlineStr">
        <is>
          <t>CF</t>
        </is>
      </c>
      <c r="I727" s="24" t="inlineStr">
        <is>
          <t>현금흐름표</t>
        </is>
      </c>
      <c r="J727" s="24" t="inlineStr">
        <is>
          <t>ifrs-full_AdditionsToRightofuseAssets</t>
        </is>
      </c>
      <c r="K727" s="24" t="inlineStr">
        <is>
          <t>사용권자산의 추가</t>
        </is>
      </c>
      <c r="L727" s="24" t="inlineStr">
        <is>
          <t>-</t>
        </is>
      </c>
      <c r="M727" s="24" t="inlineStr">
        <is>
          <t>제 7 기</t>
        </is>
      </c>
      <c r="N727" s="24" t="inlineStr">
        <is>
          <t>해당 없음</t>
        </is>
      </c>
      <c r="O727" s="24" t="inlineStr">
        <is>
          <t>-1314913493.0</t>
        </is>
      </c>
      <c r="P727" s="24" t="inlineStr">
        <is>
          <t>KRW</t>
        </is>
      </c>
      <c r="Q727" s="24" t="inlineStr">
        <is>
          <t>26</t>
        </is>
      </c>
    </row>
    <row r="728" ht="24" customHeight="1">
      <c r="A728" s="29" t="inlineStr">
        <is>
          <t>OpenDART_fnlttSinglAcntAll</t>
        </is>
      </c>
      <c r="B728" s="29" t="inlineStr">
        <is>
          <t>01365825</t>
        </is>
      </c>
      <c r="C728" s="29" t="inlineStr">
        <is>
          <t>피에스케이</t>
        </is>
      </c>
      <c r="D728" s="29" t="inlineStr">
        <is>
          <t>psk</t>
        </is>
      </c>
      <c r="E728" s="29" t="inlineStr">
        <is>
          <t>319660</t>
        </is>
      </c>
      <c r="F728" s="29" t="inlineStr">
        <is>
          <t>2025</t>
        </is>
      </c>
      <c r="G728" s="29" t="inlineStr">
        <is>
          <t>CFS</t>
        </is>
      </c>
      <c r="H728" s="29" t="inlineStr">
        <is>
          <t>CF</t>
        </is>
      </c>
      <c r="I728" s="29" t="inlineStr">
        <is>
          <t>현금흐름표</t>
        </is>
      </c>
      <c r="J728" s="29" t="inlineStr">
        <is>
          <t>ifrs-full_ProceedsFromSalesOfPropertyPlantAndEquipmentClassifiedAsInvestingActivities</t>
        </is>
      </c>
      <c r="K728" s="29" t="inlineStr">
        <is>
          <t>유형자산의 처분</t>
        </is>
      </c>
      <c r="L728" s="29" t="inlineStr">
        <is>
          <t>-</t>
        </is>
      </c>
      <c r="M728" s="29" t="inlineStr">
        <is>
          <t>제 7 기</t>
        </is>
      </c>
      <c r="N728" s="29" t="inlineStr">
        <is>
          <t>304662.0</t>
        </is>
      </c>
      <c r="O728" s="29" t="inlineStr">
        <is>
          <t>35327723.0</t>
        </is>
      </c>
      <c r="P728" s="29" t="inlineStr">
        <is>
          <t>KRW</t>
        </is>
      </c>
      <c r="Q728" s="29" t="inlineStr">
        <is>
          <t>28</t>
        </is>
      </c>
    </row>
    <row r="729" ht="24" customHeight="1">
      <c r="A729" s="24" t="inlineStr">
        <is>
          <t>OpenDART_fnlttSinglAcntAll</t>
        </is>
      </c>
      <c r="B729" s="24" t="inlineStr">
        <is>
          <t>01365825</t>
        </is>
      </c>
      <c r="C729" s="24" t="inlineStr">
        <is>
          <t>피에스케이</t>
        </is>
      </c>
      <c r="D729" s="24" t="inlineStr">
        <is>
          <t>psk</t>
        </is>
      </c>
      <c r="E729" s="24" t="inlineStr">
        <is>
          <t>319660</t>
        </is>
      </c>
      <c r="F729" s="24" t="inlineStr">
        <is>
          <t>2025</t>
        </is>
      </c>
      <c r="G729" s="24" t="inlineStr">
        <is>
          <t>CFS</t>
        </is>
      </c>
      <c r="H729" s="24" t="inlineStr">
        <is>
          <t>CF</t>
        </is>
      </c>
      <c r="I729" s="24" t="inlineStr">
        <is>
          <t>현금흐름표</t>
        </is>
      </c>
      <c r="J729" s="24" t="inlineStr">
        <is>
          <t>ifrs-full_PurchaseOfIntangibleAssetsClassifiedAsInvestingActivities</t>
        </is>
      </c>
      <c r="K729" s="24" t="inlineStr">
        <is>
          <t>무형자산의 취득</t>
        </is>
      </c>
      <c r="L729" s="24" t="inlineStr">
        <is>
          <t>-</t>
        </is>
      </c>
      <c r="M729" s="24" t="inlineStr">
        <is>
          <t>제 7 기</t>
        </is>
      </c>
      <c r="N729" s="24" t="inlineStr">
        <is>
          <t>2000000.0</t>
        </is>
      </c>
      <c r="O729" s="24" t="inlineStr">
        <is>
          <t>122720000.0</t>
        </is>
      </c>
      <c r="P729" s="24" t="inlineStr">
        <is>
          <t>KRW</t>
        </is>
      </c>
      <c r="Q729" s="24" t="inlineStr">
        <is>
          <t>29</t>
        </is>
      </c>
    </row>
    <row r="730" ht="24" customHeight="1">
      <c r="A730" s="29" t="inlineStr">
        <is>
          <t>OpenDART_fnlttSinglAcntAll</t>
        </is>
      </c>
      <c r="B730" s="29" t="inlineStr">
        <is>
          <t>01365825</t>
        </is>
      </c>
      <c r="C730" s="29" t="inlineStr">
        <is>
          <t>피에스케이</t>
        </is>
      </c>
      <c r="D730" s="29" t="inlineStr">
        <is>
          <t>psk</t>
        </is>
      </c>
      <c r="E730" s="29" t="inlineStr">
        <is>
          <t>319660</t>
        </is>
      </c>
      <c r="F730" s="29" t="inlineStr">
        <is>
          <t>2025</t>
        </is>
      </c>
      <c r="G730" s="29" t="inlineStr">
        <is>
          <t>CFS</t>
        </is>
      </c>
      <c r="H730" s="29" t="inlineStr">
        <is>
          <t>CF</t>
        </is>
      </c>
      <c r="I730" s="29" t="inlineStr">
        <is>
          <t>현금흐름표</t>
        </is>
      </c>
      <c r="J730" s="29" t="inlineStr">
        <is>
          <t>ifrs-full_PurchaseOfPropertyPlantAndEquipmentClassifiedAsInvestingActivities</t>
        </is>
      </c>
      <c r="K730" s="29" t="inlineStr">
        <is>
          <t>유형자산의 취득</t>
        </is>
      </c>
      <c r="L730" s="29" t="inlineStr">
        <is>
          <t>-</t>
        </is>
      </c>
      <c r="M730" s="29" t="inlineStr">
        <is>
          <t>제 7 기</t>
        </is>
      </c>
      <c r="N730" s="29" t="inlineStr">
        <is>
          <t>18531513572.0</t>
        </is>
      </c>
      <c r="O730" s="29" t="inlineStr">
        <is>
          <t>27192602203.0</t>
        </is>
      </c>
      <c r="P730" s="29" t="inlineStr">
        <is>
          <t>KRW</t>
        </is>
      </c>
      <c r="Q730" s="29" t="inlineStr">
        <is>
          <t>30</t>
        </is>
      </c>
    </row>
    <row r="731" ht="24" customHeight="1">
      <c r="A731" s="24" t="inlineStr">
        <is>
          <t>OpenDART_fnlttSinglAcntAll</t>
        </is>
      </c>
      <c r="B731" s="24" t="inlineStr">
        <is>
          <t>01365825</t>
        </is>
      </c>
      <c r="C731" s="24" t="inlineStr">
        <is>
          <t>피에스케이</t>
        </is>
      </c>
      <c r="D731" s="24" t="inlineStr">
        <is>
          <t>psk</t>
        </is>
      </c>
      <c r="E731" s="24" t="inlineStr">
        <is>
          <t>319660</t>
        </is>
      </c>
      <c r="F731" s="24" t="inlineStr">
        <is>
          <t>2025</t>
        </is>
      </c>
      <c r="G731" s="24" t="inlineStr">
        <is>
          <t>CFS</t>
        </is>
      </c>
      <c r="H731" s="24" t="inlineStr">
        <is>
          <t>CF</t>
        </is>
      </c>
      <c r="I731" s="24" t="inlineStr">
        <is>
          <t>현금흐름표</t>
        </is>
      </c>
      <c r="J731" s="24" t="inlineStr">
        <is>
          <t>ifrs-full_CashFlowsFromUsedInOperatingActivities</t>
        </is>
      </c>
      <c r="K731" s="24" t="inlineStr">
        <is>
          <t>영업활동으로 인한 현금흐름</t>
        </is>
      </c>
      <c r="L731" s="24" t="inlineStr">
        <is>
          <t>-</t>
        </is>
      </c>
      <c r="M731" s="24" t="inlineStr">
        <is>
          <t>제 7 기</t>
        </is>
      </c>
      <c r="N731" s="24" t="inlineStr">
        <is>
          <t>61731136881.0</t>
        </is>
      </c>
      <c r="O731" s="24" t="inlineStr">
        <is>
          <t>67531924428.0</t>
        </is>
      </c>
      <c r="P731" s="24" t="inlineStr">
        <is>
          <t>KRW</t>
        </is>
      </c>
      <c r="Q731" s="24" t="inlineStr">
        <is>
          <t>31</t>
        </is>
      </c>
    </row>
    <row r="732" ht="24" customHeight="1">
      <c r="A732" s="29" t="inlineStr">
        <is>
          <t>OpenDART_fnlttSinglAcntAll</t>
        </is>
      </c>
      <c r="B732" s="29" t="inlineStr">
        <is>
          <t>01365825</t>
        </is>
      </c>
      <c r="C732" s="29" t="inlineStr">
        <is>
          <t>피에스케이</t>
        </is>
      </c>
      <c r="D732" s="29" t="inlineStr">
        <is>
          <t>psk</t>
        </is>
      </c>
      <c r="E732" s="29" t="inlineStr">
        <is>
          <t>319660</t>
        </is>
      </c>
      <c r="F732" s="29" t="inlineStr">
        <is>
          <t>2025</t>
        </is>
      </c>
      <c r="G732" s="29" t="inlineStr">
        <is>
          <t>CFS</t>
        </is>
      </c>
      <c r="H732" s="29" t="inlineStr">
        <is>
          <t>CF</t>
        </is>
      </c>
      <c r="I732" s="29" t="inlineStr">
        <is>
          <t>현금흐름표</t>
        </is>
      </c>
      <c r="J732" s="29" t="inlineStr">
        <is>
          <t>ifrs-full_CashFlowsFromUsedInOperations</t>
        </is>
      </c>
      <c r="K732" s="29" t="inlineStr">
        <is>
          <t>영업활동으로 창출된 현금</t>
        </is>
      </c>
      <c r="L732" s="29" t="inlineStr">
        <is>
          <t>-</t>
        </is>
      </c>
      <c r="M732" s="29" t="inlineStr">
        <is>
          <t>제 7 기</t>
        </is>
      </c>
      <c r="N732" s="29" t="inlineStr">
        <is>
          <t>68865992660.0</t>
        </is>
      </c>
      <c r="O732" s="29" t="inlineStr">
        <is>
          <t>73490508324.0</t>
        </is>
      </c>
      <c r="P732" s="29" t="inlineStr">
        <is>
          <t>KRW</t>
        </is>
      </c>
      <c r="Q732" s="29" t="inlineStr">
        <is>
          <t>32</t>
        </is>
      </c>
    </row>
    <row r="733" ht="24" customHeight="1">
      <c r="A733" s="24" t="inlineStr">
        <is>
          <t>OpenDART_fnlttSinglAcntAll</t>
        </is>
      </c>
      <c r="B733" s="24" t="inlineStr">
        <is>
          <t>01365825</t>
        </is>
      </c>
      <c r="C733" s="24" t="inlineStr">
        <is>
          <t>피에스케이</t>
        </is>
      </c>
      <c r="D733" s="24" t="inlineStr">
        <is>
          <t>psk</t>
        </is>
      </c>
      <c r="E733" s="24" t="inlineStr">
        <is>
          <t>319660</t>
        </is>
      </c>
      <c r="F733" s="24" t="inlineStr">
        <is>
          <t>2025</t>
        </is>
      </c>
      <c r="G733" s="24" t="inlineStr">
        <is>
          <t>CFS</t>
        </is>
      </c>
      <c r="H733" s="24" t="inlineStr">
        <is>
          <t>CF</t>
        </is>
      </c>
      <c r="I733" s="24" t="inlineStr">
        <is>
          <t>현금흐름표</t>
        </is>
      </c>
      <c r="J733" s="24" t="inlineStr">
        <is>
          <t>ifrs-full_IncomeTaxesPaidRefundClassifiedAsOperatingActivities</t>
        </is>
      </c>
      <c r="K733" s="24" t="inlineStr">
        <is>
          <t>법인세 지급액</t>
        </is>
      </c>
      <c r="L733" s="24" t="inlineStr">
        <is>
          <t>-</t>
        </is>
      </c>
      <c r="M733" s="24" t="inlineStr">
        <is>
          <t>제 7 기</t>
        </is>
      </c>
      <c r="N733" s="24" t="inlineStr">
        <is>
          <t>14861146605.0</t>
        </is>
      </c>
      <c r="O733" s="24" t="inlineStr">
        <is>
          <t>14629242620.0</t>
        </is>
      </c>
      <c r="P733" s="24" t="inlineStr">
        <is>
          <t>KRW</t>
        </is>
      </c>
      <c r="Q733" s="24" t="inlineStr">
        <is>
          <t>33</t>
        </is>
      </c>
    </row>
    <row r="734" ht="24" customHeight="1">
      <c r="A734" s="29" t="inlineStr">
        <is>
          <t>OpenDART_fnlttSinglAcntAll</t>
        </is>
      </c>
      <c r="B734" s="29" t="inlineStr">
        <is>
          <t>01365825</t>
        </is>
      </c>
      <c r="C734" s="29" t="inlineStr">
        <is>
          <t>피에스케이</t>
        </is>
      </c>
      <c r="D734" s="29" t="inlineStr">
        <is>
          <t>psk</t>
        </is>
      </c>
      <c r="E734" s="29" t="inlineStr">
        <is>
          <t>319660</t>
        </is>
      </c>
      <c r="F734" s="29" t="inlineStr">
        <is>
          <t>2025</t>
        </is>
      </c>
      <c r="G734" s="29" t="inlineStr">
        <is>
          <t>CFS</t>
        </is>
      </c>
      <c r="H734" s="29" t="inlineStr">
        <is>
          <t>CF</t>
        </is>
      </c>
      <c r="I734" s="29" t="inlineStr">
        <is>
          <t>현금흐름표</t>
        </is>
      </c>
      <c r="J734" s="29" t="inlineStr">
        <is>
          <t>ifrs-full_InterestPaidClassifiedAsOperatingActivities</t>
        </is>
      </c>
      <c r="K734" s="29" t="inlineStr">
        <is>
          <t>이자의 지급</t>
        </is>
      </c>
      <c r="L734" s="29" t="inlineStr">
        <is>
          <t>-</t>
        </is>
      </c>
      <c r="M734" s="29" t="inlineStr">
        <is>
          <t>제 7 기</t>
        </is>
      </c>
      <c r="N734" s="29" t="inlineStr">
        <is>
          <t>412638766.0</t>
        </is>
      </c>
      <c r="O734" s="29" t="inlineStr">
        <is>
          <t>671536701.0</t>
        </is>
      </c>
      <c r="P734" s="29" t="inlineStr">
        <is>
          <t>KRW</t>
        </is>
      </c>
      <c r="Q734" s="29" t="inlineStr">
        <is>
          <t>34</t>
        </is>
      </c>
    </row>
    <row r="735" ht="24" customHeight="1">
      <c r="A735" s="24" t="inlineStr">
        <is>
          <t>OpenDART_fnlttSinglAcntAll</t>
        </is>
      </c>
      <c r="B735" s="24" t="inlineStr">
        <is>
          <t>01365825</t>
        </is>
      </c>
      <c r="C735" s="24" t="inlineStr">
        <is>
          <t>피에스케이</t>
        </is>
      </c>
      <c r="D735" s="24" t="inlineStr">
        <is>
          <t>psk</t>
        </is>
      </c>
      <c r="E735" s="24" t="inlineStr">
        <is>
          <t>319660</t>
        </is>
      </c>
      <c r="F735" s="24" t="inlineStr">
        <is>
          <t>2025</t>
        </is>
      </c>
      <c r="G735" s="24" t="inlineStr">
        <is>
          <t>CFS</t>
        </is>
      </c>
      <c r="H735" s="24" t="inlineStr">
        <is>
          <t>CF</t>
        </is>
      </c>
      <c r="I735" s="24" t="inlineStr">
        <is>
          <t>현금흐름표</t>
        </is>
      </c>
      <c r="J735" s="24" t="inlineStr">
        <is>
          <t>ifrs-full_InterestReceivedClassifiedAsOperatingActivities</t>
        </is>
      </c>
      <c r="K735" s="24" t="inlineStr">
        <is>
          <t>이자의 수취</t>
        </is>
      </c>
      <c r="L735" s="24" t="inlineStr">
        <is>
          <t>-</t>
        </is>
      </c>
      <c r="M735" s="24" t="inlineStr">
        <is>
          <t>제 7 기</t>
        </is>
      </c>
      <c r="N735" s="24" t="inlineStr">
        <is>
          <t>8138929592.0</t>
        </is>
      </c>
      <c r="O735" s="24" t="inlineStr">
        <is>
          <t>9342195425.0</t>
        </is>
      </c>
      <c r="P735" s="24" t="inlineStr">
        <is>
          <t>KRW</t>
        </is>
      </c>
      <c r="Q735" s="24" t="inlineStr">
        <is>
          <t>35</t>
        </is>
      </c>
    </row>
    <row r="736" ht="24" customHeight="1">
      <c r="A736" s="29" t="inlineStr">
        <is>
          <t>OpenDART_fnlttSinglAcntAll</t>
        </is>
      </c>
      <c r="B736" s="29" t="inlineStr">
        <is>
          <t>01365825</t>
        </is>
      </c>
      <c r="C736" s="29" t="inlineStr">
        <is>
          <t>피에스케이</t>
        </is>
      </c>
      <c r="D736" s="29" t="inlineStr">
        <is>
          <t>psk</t>
        </is>
      </c>
      <c r="E736" s="29" t="inlineStr">
        <is>
          <t>319660</t>
        </is>
      </c>
      <c r="F736" s="29" t="inlineStr">
        <is>
          <t>2025</t>
        </is>
      </c>
      <c r="G736" s="29" t="inlineStr">
        <is>
          <t>CFS</t>
        </is>
      </c>
      <c r="H736" s="29" t="inlineStr">
        <is>
          <t>CF</t>
        </is>
      </c>
      <c r="I736" s="29" t="inlineStr">
        <is>
          <t>현금흐름표</t>
        </is>
      </c>
      <c r="J736" s="29" t="inlineStr">
        <is>
          <t>ifrs-full_EffectOfExchangeRateChangesOnCashAndCashEquivalents</t>
        </is>
      </c>
      <c r="K736" s="29" t="inlineStr">
        <is>
          <t>외화표시 현금및현금성자산의 환율변동효과</t>
        </is>
      </c>
      <c r="L736" s="29" t="inlineStr">
        <is>
          <t>-</t>
        </is>
      </c>
      <c r="M736" s="29" t="inlineStr">
        <is>
          <t>제 7 기</t>
        </is>
      </c>
      <c r="N736" s="29" t="inlineStr">
        <is>
          <t>494233149.0</t>
        </is>
      </c>
      <c r="O736" s="29" t="inlineStr">
        <is>
          <t>6289079791.0</t>
        </is>
      </c>
      <c r="P736" s="29" t="inlineStr">
        <is>
          <t>KRW</t>
        </is>
      </c>
      <c r="Q736" s="29" t="inlineStr">
        <is>
          <t>36</t>
        </is>
      </c>
    </row>
    <row r="737" ht="24" customHeight="1">
      <c r="A737" s="24" t="inlineStr">
        <is>
          <t>OpenDART_fnlttSinglAcntAll</t>
        </is>
      </c>
      <c r="B737" s="24" t="inlineStr">
        <is>
          <t>01365825</t>
        </is>
      </c>
      <c r="C737" s="24" t="inlineStr">
        <is>
          <t>피에스케이</t>
        </is>
      </c>
      <c r="D737" s="24" t="inlineStr">
        <is>
          <t>psk</t>
        </is>
      </c>
      <c r="E737" s="24" t="inlineStr">
        <is>
          <t>319660</t>
        </is>
      </c>
      <c r="F737" s="24" t="inlineStr">
        <is>
          <t>2025</t>
        </is>
      </c>
      <c r="G737" s="24" t="inlineStr">
        <is>
          <t>CFS</t>
        </is>
      </c>
      <c r="H737" s="24" t="inlineStr">
        <is>
          <t>CF</t>
        </is>
      </c>
      <c r="I737" s="24" t="inlineStr">
        <is>
          <t>현금흐름표</t>
        </is>
      </c>
      <c r="J737" s="24" t="inlineStr">
        <is>
          <t>ifrs-full_IncreaseDecreaseInCashAndCashEquivalents</t>
        </is>
      </c>
      <c r="K737" s="24" t="inlineStr">
        <is>
          <t>현금및현금성자산의순증가(감소)</t>
        </is>
      </c>
      <c r="L737" s="24" t="inlineStr">
        <is>
          <t>-</t>
        </is>
      </c>
      <c r="M737" s="24" t="inlineStr">
        <is>
          <t>제 7 기</t>
        </is>
      </c>
      <c r="N737" s="24" t="inlineStr">
        <is>
          <t>24822214801.0</t>
        </is>
      </c>
      <c r="O737" s="24" t="inlineStr">
        <is>
          <t>30147062918.0</t>
        </is>
      </c>
      <c r="P737" s="24" t="inlineStr">
        <is>
          <t>KRW</t>
        </is>
      </c>
      <c r="Q737" s="24" t="inlineStr">
        <is>
          <t>37</t>
        </is>
      </c>
    </row>
    <row r="738" ht="24" customHeight="1">
      <c r="A738" s="29" t="inlineStr">
        <is>
          <t>OpenDART_fnlttSinglAcntAll</t>
        </is>
      </c>
      <c r="B738" s="29" t="inlineStr">
        <is>
          <t>01365825</t>
        </is>
      </c>
      <c r="C738" s="29" t="inlineStr">
        <is>
          <t>피에스케이</t>
        </is>
      </c>
      <c r="D738" s="29" t="inlineStr">
        <is>
          <t>psk</t>
        </is>
      </c>
      <c r="E738" s="29" t="inlineStr">
        <is>
          <t>319660</t>
        </is>
      </c>
      <c r="F738" s="29" t="inlineStr">
        <is>
          <t>2025</t>
        </is>
      </c>
      <c r="G738" s="29" t="inlineStr">
        <is>
          <t>CFS</t>
        </is>
      </c>
      <c r="H738" s="29" t="inlineStr">
        <is>
          <t>CF</t>
        </is>
      </c>
      <c r="I738" s="29" t="inlineStr">
        <is>
          <t>현금흐름표</t>
        </is>
      </c>
      <c r="J738" s="29" t="inlineStr">
        <is>
          <t>ifrs-full_IncreaseDecreaseInCashAndCashEquivalentsBeforeEffectOfExchangeRateChanges</t>
        </is>
      </c>
      <c r="K738" s="29" t="inlineStr">
        <is>
          <t>환율효과 반영전 현금및현금성자산의 순증감</t>
        </is>
      </c>
      <c r="L738" s="29" t="inlineStr">
        <is>
          <t>-</t>
        </is>
      </c>
      <c r="M738" s="29" t="inlineStr">
        <is>
          <t>제 7 기</t>
        </is>
      </c>
      <c r="N738" s="29" t="inlineStr">
        <is>
          <t>24327981652.0</t>
        </is>
      </c>
      <c r="O738" s="29" t="inlineStr">
        <is>
          <t>23857983127.0</t>
        </is>
      </c>
      <c r="P738" s="29" t="inlineStr">
        <is>
          <t>KRW</t>
        </is>
      </c>
      <c r="Q738" s="29" t="inlineStr">
        <is>
          <t>38</t>
        </is>
      </c>
    </row>
    <row r="739" ht="24" customHeight="1">
      <c r="A739" s="24" t="inlineStr">
        <is>
          <t>OpenDART_fnlttSinglAcntAll</t>
        </is>
      </c>
      <c r="B739" s="24" t="inlineStr">
        <is>
          <t>01365825</t>
        </is>
      </c>
      <c r="C739" s="24" t="inlineStr">
        <is>
          <t>피에스케이</t>
        </is>
      </c>
      <c r="D739" s="24" t="inlineStr">
        <is>
          <t>psk</t>
        </is>
      </c>
      <c r="E739" s="24" t="inlineStr">
        <is>
          <t>319660</t>
        </is>
      </c>
      <c r="F739" s="24" t="inlineStr">
        <is>
          <t>2025</t>
        </is>
      </c>
      <c r="G739" s="24" t="inlineStr">
        <is>
          <t>CFS</t>
        </is>
      </c>
      <c r="H739" s="24" t="inlineStr">
        <is>
          <t>SCE</t>
        </is>
      </c>
      <c r="I739" s="24" t="inlineStr">
        <is>
          <t>자본변동표</t>
        </is>
      </c>
      <c r="J739" s="24" t="inlineStr">
        <is>
          <t>dart_EquityAtBeginningOfPeriod</t>
        </is>
      </c>
      <c r="K739" s="24" t="inlineStr">
        <is>
          <t>기초자본</t>
        </is>
      </c>
      <c r="L739" s="24" t="inlineStr">
        <is>
          <t>연결재무제표 [member]</t>
        </is>
      </c>
      <c r="M739" s="24" t="inlineStr">
        <is>
          <t>제 7 기</t>
        </is>
      </c>
      <c r="N739" s="24" t="inlineStr">
        <is>
          <t>471716805682.0</t>
        </is>
      </c>
      <c r="O739" s="24" t="inlineStr">
        <is>
          <t>392569607133.0</t>
        </is>
      </c>
      <c r="P739" s="24" t="inlineStr">
        <is>
          <t>KRW</t>
        </is>
      </c>
      <c r="Q739" s="24" t="inlineStr">
        <is>
          <t>3</t>
        </is>
      </c>
    </row>
    <row r="740" ht="24" customHeight="1">
      <c r="A740" s="29" t="inlineStr">
        <is>
          <t>OpenDART_fnlttSinglAcntAll</t>
        </is>
      </c>
      <c r="B740" s="29" t="inlineStr">
        <is>
          <t>01365825</t>
        </is>
      </c>
      <c r="C740" s="29" t="inlineStr">
        <is>
          <t>피에스케이</t>
        </is>
      </c>
      <c r="D740" s="29" t="inlineStr">
        <is>
          <t>psk</t>
        </is>
      </c>
      <c r="E740" s="29" t="inlineStr">
        <is>
          <t>319660</t>
        </is>
      </c>
      <c r="F740" s="29" t="inlineStr">
        <is>
          <t>2025</t>
        </is>
      </c>
      <c r="G740" s="29" t="inlineStr">
        <is>
          <t>CFS</t>
        </is>
      </c>
      <c r="H740" s="29" t="inlineStr">
        <is>
          <t>SCE</t>
        </is>
      </c>
      <c r="I740" s="29" t="inlineStr">
        <is>
          <t>자본변동표</t>
        </is>
      </c>
      <c r="J740" s="29" t="inlineStr">
        <is>
          <t>dart_EquityAtBeginningOfPeriod</t>
        </is>
      </c>
      <c r="K740" s="29" t="inlineStr">
        <is>
          <t>기초자본</t>
        </is>
      </c>
      <c r="L740" s="29" t="inlineStr">
        <is>
          <t>자본 [구성요소]|지배기업의 소유주에게 귀속되는 지분 [구성요소]</t>
        </is>
      </c>
      <c r="M740" s="29" t="inlineStr">
        <is>
          <t>제 7 기</t>
        </is>
      </c>
      <c r="N740" s="29" t="inlineStr">
        <is>
          <t>471716805682.0</t>
        </is>
      </c>
      <c r="O740" s="29" t="inlineStr">
        <is>
          <t>392569607133.0</t>
        </is>
      </c>
      <c r="P740" s="29" t="inlineStr">
        <is>
          <t>KRW</t>
        </is>
      </c>
      <c r="Q740" s="29" t="inlineStr">
        <is>
          <t>3</t>
        </is>
      </c>
    </row>
    <row r="741" ht="24" customHeight="1">
      <c r="A741" s="24" t="inlineStr">
        <is>
          <t>OpenDART_fnlttSinglAcntAll</t>
        </is>
      </c>
      <c r="B741" s="24" t="inlineStr">
        <is>
          <t>01365825</t>
        </is>
      </c>
      <c r="C741" s="24" t="inlineStr">
        <is>
          <t>피에스케이</t>
        </is>
      </c>
      <c r="D741" s="24" t="inlineStr">
        <is>
          <t>psk</t>
        </is>
      </c>
      <c r="E741" s="24" t="inlineStr">
        <is>
          <t>319660</t>
        </is>
      </c>
      <c r="F741" s="24" t="inlineStr">
        <is>
          <t>2025</t>
        </is>
      </c>
      <c r="G741" s="24" t="inlineStr">
        <is>
          <t>CFS</t>
        </is>
      </c>
      <c r="H741" s="24" t="inlineStr">
        <is>
          <t>SCE</t>
        </is>
      </c>
      <c r="I741" s="24" t="inlineStr">
        <is>
          <t>자본변동표</t>
        </is>
      </c>
      <c r="J741" s="24" t="inlineStr">
        <is>
          <t>dart_EquityAtBeginningOfPeriod</t>
        </is>
      </c>
      <c r="K741" s="24" t="inlineStr">
        <is>
          <t>기초자본</t>
        </is>
      </c>
      <c r="L741" s="24" t="inlineStr">
        <is>
          <t>자본 [구성요소]|지배기업의 소유주에게 귀속되는 지분 [구성요소]|기타자본구성요소 [구성요소]</t>
        </is>
      </c>
      <c r="M741" s="24" t="inlineStr">
        <is>
          <t>제 7 기</t>
        </is>
      </c>
      <c r="N741" s="24" t="inlineStr">
        <is>
          <t>8898706053.0</t>
        </is>
      </c>
      <c r="O741" s="24" t="inlineStr">
        <is>
          <t>1455981401.0</t>
        </is>
      </c>
      <c r="P741" s="24" t="inlineStr">
        <is>
          <t>KRW</t>
        </is>
      </c>
      <c r="Q741" s="24" t="inlineStr">
        <is>
          <t>3</t>
        </is>
      </c>
    </row>
    <row r="742" ht="24" customHeight="1">
      <c r="A742" s="29" t="inlineStr">
        <is>
          <t>OpenDART_fnlttSinglAcntAll</t>
        </is>
      </c>
      <c r="B742" s="29" t="inlineStr">
        <is>
          <t>01365825</t>
        </is>
      </c>
      <c r="C742" s="29" t="inlineStr">
        <is>
          <t>피에스케이</t>
        </is>
      </c>
      <c r="D742" s="29" t="inlineStr">
        <is>
          <t>psk</t>
        </is>
      </c>
      <c r="E742" s="29" t="inlineStr">
        <is>
          <t>319660</t>
        </is>
      </c>
      <c r="F742" s="29" t="inlineStr">
        <is>
          <t>2025</t>
        </is>
      </c>
      <c r="G742" s="29" t="inlineStr">
        <is>
          <t>CFS</t>
        </is>
      </c>
      <c r="H742" s="29" t="inlineStr">
        <is>
          <t>SCE</t>
        </is>
      </c>
      <c r="I742" s="29" t="inlineStr">
        <is>
          <t>자본변동표</t>
        </is>
      </c>
      <c r="J742" s="29" t="inlineStr">
        <is>
          <t>dart_EquityAtBeginningOfPeriod</t>
        </is>
      </c>
      <c r="K742" s="29" t="inlineStr">
        <is>
          <t>기초자본</t>
        </is>
      </c>
      <c r="L742" s="29" t="inlineStr">
        <is>
          <t>자본 [구성요소]|지배기업의 소유주에게 귀속되는 지분 [구성요소]|이익잉여금 [구성요소]</t>
        </is>
      </c>
      <c r="M742" s="29" t="inlineStr">
        <is>
          <t>제 7 기</t>
        </is>
      </c>
      <c r="N742" s="29" t="inlineStr">
        <is>
          <t>276233666181.0</t>
        </is>
      </c>
      <c r="O742" s="29" t="inlineStr">
        <is>
          <t>204529192284.0</t>
        </is>
      </c>
      <c r="P742" s="29" t="inlineStr">
        <is>
          <t>KRW</t>
        </is>
      </c>
      <c r="Q742" s="29" t="inlineStr">
        <is>
          <t>3</t>
        </is>
      </c>
    </row>
    <row r="743" ht="24" customHeight="1">
      <c r="A743" s="24" t="inlineStr">
        <is>
          <t>OpenDART_fnlttSinglAcntAll</t>
        </is>
      </c>
      <c r="B743" s="24" t="inlineStr">
        <is>
          <t>01365825</t>
        </is>
      </c>
      <c r="C743" s="24" t="inlineStr">
        <is>
          <t>피에스케이</t>
        </is>
      </c>
      <c r="D743" s="24" t="inlineStr">
        <is>
          <t>psk</t>
        </is>
      </c>
      <c r="E743" s="24" t="inlineStr">
        <is>
          <t>319660</t>
        </is>
      </c>
      <c r="F743" s="24" t="inlineStr">
        <is>
          <t>2025</t>
        </is>
      </c>
      <c r="G743" s="24" t="inlineStr">
        <is>
          <t>CFS</t>
        </is>
      </c>
      <c r="H743" s="24" t="inlineStr">
        <is>
          <t>SCE</t>
        </is>
      </c>
      <c r="I743" s="24" t="inlineStr">
        <is>
          <t>자본변동표</t>
        </is>
      </c>
      <c r="J743" s="24" t="inlineStr">
        <is>
          <t>dart_EquityAtBeginningOfPeriod</t>
        </is>
      </c>
      <c r="K743" s="24" t="inlineStr">
        <is>
          <t>기초자본</t>
        </is>
      </c>
      <c r="L743" s="24" t="inlineStr">
        <is>
          <t>자본 [구성요소]|지배기업의 소유주에게 귀속되는 지분 [구성요소]|자본금 [구성요소]</t>
        </is>
      </c>
      <c r="M743" s="24" t="inlineStr">
        <is>
          <t>제 7 기</t>
        </is>
      </c>
      <c r="N743" s="24" t="inlineStr">
        <is>
          <t>14624188500.0</t>
        </is>
      </c>
      <c r="O743" s="24" t="inlineStr">
        <is>
          <t>14624188500.0</t>
        </is>
      </c>
      <c r="P743" s="24" t="inlineStr">
        <is>
          <t>KRW</t>
        </is>
      </c>
      <c r="Q743" s="24" t="inlineStr">
        <is>
          <t>3</t>
        </is>
      </c>
    </row>
    <row r="744" ht="24" customHeight="1">
      <c r="A744" s="29" t="inlineStr">
        <is>
          <t>OpenDART_fnlttSinglAcntAll</t>
        </is>
      </c>
      <c r="B744" s="29" t="inlineStr">
        <is>
          <t>01365825</t>
        </is>
      </c>
      <c r="C744" s="29" t="inlineStr">
        <is>
          <t>피에스케이</t>
        </is>
      </c>
      <c r="D744" s="29" t="inlineStr">
        <is>
          <t>psk</t>
        </is>
      </c>
      <c r="E744" s="29" t="inlineStr">
        <is>
          <t>319660</t>
        </is>
      </c>
      <c r="F744" s="29" t="inlineStr">
        <is>
          <t>2025</t>
        </is>
      </c>
      <c r="G744" s="29" t="inlineStr">
        <is>
          <t>CFS</t>
        </is>
      </c>
      <c r="H744" s="29" t="inlineStr">
        <is>
          <t>SCE</t>
        </is>
      </c>
      <c r="I744" s="29" t="inlineStr">
        <is>
          <t>자본변동표</t>
        </is>
      </c>
      <c r="J744" s="29" t="inlineStr">
        <is>
          <t>dart_EquityAtBeginningOfPeriod</t>
        </is>
      </c>
      <c r="K744" s="29" t="inlineStr">
        <is>
          <t>기초자본</t>
        </is>
      </c>
      <c r="L744" s="29" t="inlineStr">
        <is>
          <t>자본 [구성요소]|지배기업의 소유주에게 귀속되는 지분 [구성요소]|자본잉여금 [구성요소]</t>
        </is>
      </c>
      <c r="M744" s="29" t="inlineStr">
        <is>
          <t>제 7 기</t>
        </is>
      </c>
      <c r="N744" s="29" t="inlineStr">
        <is>
          <t>171960244948.0</t>
        </is>
      </c>
      <c r="O744" s="29" t="inlineStr">
        <is>
          <t>171960244948.0</t>
        </is>
      </c>
      <c r="P744" s="29" t="inlineStr">
        <is>
          <t>KRW</t>
        </is>
      </c>
      <c r="Q744" s="29" t="inlineStr">
        <is>
          <t>3</t>
        </is>
      </c>
    </row>
    <row r="745" ht="24" customHeight="1">
      <c r="A745" s="24" t="inlineStr">
        <is>
          <t>OpenDART_fnlttSinglAcntAll</t>
        </is>
      </c>
      <c r="B745" s="24" t="inlineStr">
        <is>
          <t>01365825</t>
        </is>
      </c>
      <c r="C745" s="24" t="inlineStr">
        <is>
          <t>피에스케이</t>
        </is>
      </c>
      <c r="D745" s="24" t="inlineStr">
        <is>
          <t>psk</t>
        </is>
      </c>
      <c r="E745" s="24" t="inlineStr">
        <is>
          <t>319660</t>
        </is>
      </c>
      <c r="F745" s="24" t="inlineStr">
        <is>
          <t>2025</t>
        </is>
      </c>
      <c r="G745" s="24" t="inlineStr">
        <is>
          <t>CFS</t>
        </is>
      </c>
      <c r="H745" s="24" t="inlineStr">
        <is>
          <t>SCE</t>
        </is>
      </c>
      <c r="I745" s="24" t="inlineStr">
        <is>
          <t>자본변동표</t>
        </is>
      </c>
      <c r="J745" s="24" t="inlineStr">
        <is>
          <t>ifrs-full_ComprehensiveIncome</t>
        </is>
      </c>
      <c r="K745" s="24" t="inlineStr">
        <is>
          <t>지배주주당기총포괄이익</t>
        </is>
      </c>
      <c r="L745" s="24" t="inlineStr">
        <is>
          <t>자본 [구성요소]|지배기업의 소유주에게 귀속되는 지분 [구성요소]|이익잉여금 [구성요소]</t>
        </is>
      </c>
      <c r="M745" s="24" t="inlineStr">
        <is>
          <t>제 7 기</t>
        </is>
      </c>
      <c r="N745" s="24" t="inlineStr">
        <is>
          <t>78107067076.0</t>
        </is>
      </c>
      <c r="O745" s="24" t="inlineStr">
        <is>
          <t>77497816697.0</t>
        </is>
      </c>
      <c r="P745" s="24" t="inlineStr">
        <is>
          <t>KRW</t>
        </is>
      </c>
      <c r="Q745" s="24" t="inlineStr">
        <is>
          <t>4</t>
        </is>
      </c>
    </row>
    <row r="746" ht="24" customHeight="1">
      <c r="A746" s="29" t="inlineStr">
        <is>
          <t>OpenDART_fnlttSinglAcntAll</t>
        </is>
      </c>
      <c r="B746" s="29" t="inlineStr">
        <is>
          <t>01365825</t>
        </is>
      </c>
      <c r="C746" s="29" t="inlineStr">
        <is>
          <t>피에스케이</t>
        </is>
      </c>
      <c r="D746" s="29" t="inlineStr">
        <is>
          <t>psk</t>
        </is>
      </c>
      <c r="E746" s="29" t="inlineStr">
        <is>
          <t>319660</t>
        </is>
      </c>
      <c r="F746" s="29" t="inlineStr">
        <is>
          <t>2025</t>
        </is>
      </c>
      <c r="G746" s="29" t="inlineStr">
        <is>
          <t>CFS</t>
        </is>
      </c>
      <c r="H746" s="29" t="inlineStr">
        <is>
          <t>SCE</t>
        </is>
      </c>
      <c r="I746" s="29" t="inlineStr">
        <is>
          <t>자본변동표</t>
        </is>
      </c>
      <c r="J746" s="29" t="inlineStr">
        <is>
          <t>ifrs-full_ComprehensiveIncome</t>
        </is>
      </c>
      <c r="K746" s="29" t="inlineStr">
        <is>
          <t>지배주주당기총포괄이익</t>
        </is>
      </c>
      <c r="L746" s="29" t="inlineStr">
        <is>
          <t>자본 [구성요소]|지배기업의 소유주에게 귀속되는 지분 [구성요소]|기타자본구성요소 [구성요소]</t>
        </is>
      </c>
      <c r="M746" s="29" t="inlineStr">
        <is>
          <t>제 7 기</t>
        </is>
      </c>
      <c r="N746" s="29" t="inlineStr">
        <is>
          <t>799075026.0</t>
        </is>
      </c>
      <c r="O746" s="29" t="inlineStr">
        <is>
          <t>7442724652.0</t>
        </is>
      </c>
      <c r="P746" s="29" t="inlineStr">
        <is>
          <t>KRW</t>
        </is>
      </c>
      <c r="Q746" s="29" t="inlineStr">
        <is>
          <t>4</t>
        </is>
      </c>
    </row>
    <row r="747" ht="24" customHeight="1">
      <c r="A747" s="24" t="inlineStr">
        <is>
          <t>OpenDART_fnlttSinglAcntAll</t>
        </is>
      </c>
      <c r="B747" s="24" t="inlineStr">
        <is>
          <t>01365825</t>
        </is>
      </c>
      <c r="C747" s="24" t="inlineStr">
        <is>
          <t>피에스케이</t>
        </is>
      </c>
      <c r="D747" s="24" t="inlineStr">
        <is>
          <t>psk</t>
        </is>
      </c>
      <c r="E747" s="24" t="inlineStr">
        <is>
          <t>319660</t>
        </is>
      </c>
      <c r="F747" s="24" t="inlineStr">
        <is>
          <t>2025</t>
        </is>
      </c>
      <c r="G747" s="24" t="inlineStr">
        <is>
          <t>CFS</t>
        </is>
      </c>
      <c r="H747" s="24" t="inlineStr">
        <is>
          <t>SCE</t>
        </is>
      </c>
      <c r="I747" s="24" t="inlineStr">
        <is>
          <t>자본변동표</t>
        </is>
      </c>
      <c r="J747" s="24" t="inlineStr">
        <is>
          <t>ifrs-full_ComprehensiveIncome</t>
        </is>
      </c>
      <c r="K747" s="24" t="inlineStr">
        <is>
          <t>지배주주당기총포괄이익</t>
        </is>
      </c>
      <c r="L747" s="24" t="inlineStr">
        <is>
          <t>자본 [구성요소]|지배기업의 소유주에게 귀속되는 지분 [구성요소]</t>
        </is>
      </c>
      <c r="M747" s="24" t="inlineStr">
        <is>
          <t>제 7 기</t>
        </is>
      </c>
      <c r="N747" s="24" t="inlineStr">
        <is>
          <t>78906142102.0</t>
        </is>
      </c>
      <c r="O747" s="24" t="inlineStr">
        <is>
          <t>84940541349.0</t>
        </is>
      </c>
      <c r="P747" s="24" t="inlineStr">
        <is>
          <t>KRW</t>
        </is>
      </c>
      <c r="Q747" s="24" t="inlineStr">
        <is>
          <t>4</t>
        </is>
      </c>
    </row>
    <row r="748" ht="24" customHeight="1">
      <c r="A748" s="29" t="inlineStr">
        <is>
          <t>OpenDART_fnlttSinglAcntAll</t>
        </is>
      </c>
      <c r="B748" s="29" t="inlineStr">
        <is>
          <t>01365825</t>
        </is>
      </c>
      <c r="C748" s="29" t="inlineStr">
        <is>
          <t>피에스케이</t>
        </is>
      </c>
      <c r="D748" s="29" t="inlineStr">
        <is>
          <t>psk</t>
        </is>
      </c>
      <c r="E748" s="29" t="inlineStr">
        <is>
          <t>319660</t>
        </is>
      </c>
      <c r="F748" s="29" t="inlineStr">
        <is>
          <t>2025</t>
        </is>
      </c>
      <c r="G748" s="29" t="inlineStr">
        <is>
          <t>CFS</t>
        </is>
      </c>
      <c r="H748" s="29" t="inlineStr">
        <is>
          <t>SCE</t>
        </is>
      </c>
      <c r="I748" s="29" t="inlineStr">
        <is>
          <t>자본변동표</t>
        </is>
      </c>
      <c r="J748" s="29" t="inlineStr">
        <is>
          <t>ifrs-full_ComprehensiveIncome</t>
        </is>
      </c>
      <c r="K748" s="29" t="inlineStr">
        <is>
          <t>지배주주당기총포괄이익</t>
        </is>
      </c>
      <c r="L748" s="29" t="inlineStr">
        <is>
          <t>연결재무제표 [member]</t>
        </is>
      </c>
      <c r="M748" s="29" t="inlineStr">
        <is>
          <t>제 7 기</t>
        </is>
      </c>
      <c r="N748" s="29" t="inlineStr">
        <is>
          <t>78906142102.0</t>
        </is>
      </c>
      <c r="O748" s="29" t="inlineStr">
        <is>
          <t>84940541349.0</t>
        </is>
      </c>
      <c r="P748" s="29" t="inlineStr">
        <is>
          <t>KRW</t>
        </is>
      </c>
      <c r="Q748" s="29" t="inlineStr">
        <is>
          <t>4</t>
        </is>
      </c>
    </row>
    <row r="749" ht="24" customHeight="1">
      <c r="A749" s="24" t="inlineStr">
        <is>
          <t>OpenDART_fnlttSinglAcntAll</t>
        </is>
      </c>
      <c r="B749" s="24" t="inlineStr">
        <is>
          <t>01365825</t>
        </is>
      </c>
      <c r="C749" s="24" t="inlineStr">
        <is>
          <t>피에스케이</t>
        </is>
      </c>
      <c r="D749" s="24" t="inlineStr">
        <is>
          <t>psk</t>
        </is>
      </c>
      <c r="E749" s="24" t="inlineStr">
        <is>
          <t>319660</t>
        </is>
      </c>
      <c r="F749" s="24" t="inlineStr">
        <is>
          <t>2025</t>
        </is>
      </c>
      <c r="G749" s="24" t="inlineStr">
        <is>
          <t>CFS</t>
        </is>
      </c>
      <c r="H749" s="24" t="inlineStr">
        <is>
          <t>SCE</t>
        </is>
      </c>
      <c r="I749" s="24" t="inlineStr">
        <is>
          <t>자본변동표</t>
        </is>
      </c>
      <c r="J749" s="24" t="inlineStr">
        <is>
          <t>ifrs-full_GainsLossesOnExchangeDifferencesOnTranslationNetOfTax</t>
        </is>
      </c>
      <c r="K749" s="24" t="inlineStr">
        <is>
          <t>해외사업장환산외환차이(세후기타포괄손익)</t>
        </is>
      </c>
      <c r="L749" s="24" t="inlineStr">
        <is>
          <t>자본 [구성요소]|지배기업의 소유주에게 귀속되는 지분 [구성요소]</t>
        </is>
      </c>
      <c r="M749" s="24" t="inlineStr">
        <is>
          <t>제 7 기</t>
        </is>
      </c>
      <c r="N749" s="24" t="inlineStr">
        <is>
          <t>799075026.0</t>
        </is>
      </c>
      <c r="O749" s="24" t="inlineStr">
        <is>
          <t>7442724652.0</t>
        </is>
      </c>
      <c r="P749" s="24" t="inlineStr">
        <is>
          <t>KRW</t>
        </is>
      </c>
      <c r="Q749" s="24" t="inlineStr">
        <is>
          <t>5</t>
        </is>
      </c>
    </row>
    <row r="750" ht="24" customHeight="1">
      <c r="A750" s="29" t="inlineStr">
        <is>
          <t>OpenDART_fnlttSinglAcntAll</t>
        </is>
      </c>
      <c r="B750" s="29" t="inlineStr">
        <is>
          <t>01365825</t>
        </is>
      </c>
      <c r="C750" s="29" t="inlineStr">
        <is>
          <t>피에스케이</t>
        </is>
      </c>
      <c r="D750" s="29" t="inlineStr">
        <is>
          <t>psk</t>
        </is>
      </c>
      <c r="E750" s="29" t="inlineStr">
        <is>
          <t>319660</t>
        </is>
      </c>
      <c r="F750" s="29" t="inlineStr">
        <is>
          <t>2025</t>
        </is>
      </c>
      <c r="G750" s="29" t="inlineStr">
        <is>
          <t>CFS</t>
        </is>
      </c>
      <c r="H750" s="29" t="inlineStr">
        <is>
          <t>SCE</t>
        </is>
      </c>
      <c r="I750" s="29" t="inlineStr">
        <is>
          <t>자본변동표</t>
        </is>
      </c>
      <c r="J750" s="29" t="inlineStr">
        <is>
          <t>ifrs-full_GainsLossesOnExchangeDifferencesOnTranslationNetOfTax</t>
        </is>
      </c>
      <c r="K750" s="29" t="inlineStr">
        <is>
          <t>해외사업장환산외환차이(세후기타포괄손익)</t>
        </is>
      </c>
      <c r="L750" s="29" t="inlineStr">
        <is>
          <t>연결재무제표 [member]</t>
        </is>
      </c>
      <c r="M750" s="29" t="inlineStr">
        <is>
          <t>제 7 기</t>
        </is>
      </c>
      <c r="N750" s="29" t="inlineStr">
        <is>
          <t>799075026.0</t>
        </is>
      </c>
      <c r="O750" s="29" t="inlineStr">
        <is>
          <t>7442724652.0</t>
        </is>
      </c>
      <c r="P750" s="29" t="inlineStr">
        <is>
          <t>KRW</t>
        </is>
      </c>
      <c r="Q750" s="29" t="inlineStr">
        <is>
          <t>5</t>
        </is>
      </c>
    </row>
    <row r="751" ht="24" customHeight="1">
      <c r="A751" s="24" t="inlineStr">
        <is>
          <t>OpenDART_fnlttSinglAcntAll</t>
        </is>
      </c>
      <c r="B751" s="24" t="inlineStr">
        <is>
          <t>01365825</t>
        </is>
      </c>
      <c r="C751" s="24" t="inlineStr">
        <is>
          <t>피에스케이</t>
        </is>
      </c>
      <c r="D751" s="24" t="inlineStr">
        <is>
          <t>psk</t>
        </is>
      </c>
      <c r="E751" s="24" t="inlineStr">
        <is>
          <t>319660</t>
        </is>
      </c>
      <c r="F751" s="24" t="inlineStr">
        <is>
          <t>2025</t>
        </is>
      </c>
      <c r="G751" s="24" t="inlineStr">
        <is>
          <t>CFS</t>
        </is>
      </c>
      <c r="H751" s="24" t="inlineStr">
        <is>
          <t>SCE</t>
        </is>
      </c>
      <c r="I751" s="24" t="inlineStr">
        <is>
          <t>자본변동표</t>
        </is>
      </c>
      <c r="J751" s="24" t="inlineStr">
        <is>
          <t>ifrs-full_GainsLossesOnExchangeDifferencesOnTranslationNetOfTax</t>
        </is>
      </c>
      <c r="K751" s="24" t="inlineStr">
        <is>
          <t>해외사업장환산외환차이(세후기타포괄손익)</t>
        </is>
      </c>
      <c r="L751" s="24" t="inlineStr">
        <is>
          <t>자본 [구성요소]|지배기업의 소유주에게 귀속되는 지분 [구성요소]|기타자본구성요소 [구성요소]</t>
        </is>
      </c>
      <c r="M751" s="24" t="inlineStr">
        <is>
          <t>제 7 기</t>
        </is>
      </c>
      <c r="N751" s="24" t="inlineStr">
        <is>
          <t>799075026.0</t>
        </is>
      </c>
      <c r="O751" s="24" t="inlineStr">
        <is>
          <t>7442724652.0</t>
        </is>
      </c>
      <c r="P751" s="24" t="inlineStr">
        <is>
          <t>KRW</t>
        </is>
      </c>
      <c r="Q751" s="24" t="inlineStr">
        <is>
          <t>5</t>
        </is>
      </c>
    </row>
    <row r="752" ht="24" customHeight="1">
      <c r="A752" s="29" t="inlineStr">
        <is>
          <t>OpenDART_fnlttSinglAcntAll</t>
        </is>
      </c>
      <c r="B752" s="29" t="inlineStr">
        <is>
          <t>01365825</t>
        </is>
      </c>
      <c r="C752" s="29" t="inlineStr">
        <is>
          <t>피에스케이</t>
        </is>
      </c>
      <c r="D752" s="29" t="inlineStr">
        <is>
          <t>psk</t>
        </is>
      </c>
      <c r="E752" s="29" t="inlineStr">
        <is>
          <t>319660</t>
        </is>
      </c>
      <c r="F752" s="29" t="inlineStr">
        <is>
          <t>2025</t>
        </is>
      </c>
      <c r="G752" s="29" t="inlineStr">
        <is>
          <t>CFS</t>
        </is>
      </c>
      <c r="H752" s="29" t="inlineStr">
        <is>
          <t>SCE</t>
        </is>
      </c>
      <c r="I752" s="29" t="inlineStr">
        <is>
          <t>자본변동표</t>
        </is>
      </c>
      <c r="J752" s="29" t="inlineStr">
        <is>
          <t>ifrs-full_OtherComprehensiveIncomeNetOfTaxGainsLossesOnRemeasurementsOfDefinedBenefitPlans</t>
        </is>
      </c>
      <c r="K752" s="29" t="inlineStr">
        <is>
          <t>세후기타포괄손익, 확정급여제도의 재측정손익</t>
        </is>
      </c>
      <c r="L752" s="29" t="inlineStr">
        <is>
          <t>자본 [구성요소]|지배기업의 소유주에게 귀속되는 지분 [구성요소]|이익잉여금 [구성요소]</t>
        </is>
      </c>
      <c r="M752" s="29" t="inlineStr">
        <is>
          <t>제 7 기</t>
        </is>
      </c>
      <c r="N752" s="29" t="inlineStr">
        <is>
          <t>-438596303.0</t>
        </is>
      </c>
      <c r="O752" s="29" t="inlineStr">
        <is>
          <t>-1630399588.0</t>
        </is>
      </c>
      <c r="P752" s="29" t="inlineStr">
        <is>
          <t>KRW</t>
        </is>
      </c>
      <c r="Q752" s="29" t="inlineStr">
        <is>
          <t>6</t>
        </is>
      </c>
    </row>
    <row r="753" ht="24" customHeight="1">
      <c r="A753" s="24" t="inlineStr">
        <is>
          <t>OpenDART_fnlttSinglAcntAll</t>
        </is>
      </c>
      <c r="B753" s="24" t="inlineStr">
        <is>
          <t>01365825</t>
        </is>
      </c>
      <c r="C753" s="24" t="inlineStr">
        <is>
          <t>피에스케이</t>
        </is>
      </c>
      <c r="D753" s="24" t="inlineStr">
        <is>
          <t>psk</t>
        </is>
      </c>
      <c r="E753" s="24" t="inlineStr">
        <is>
          <t>319660</t>
        </is>
      </c>
      <c r="F753" s="24" t="inlineStr">
        <is>
          <t>2025</t>
        </is>
      </c>
      <c r="G753" s="24" t="inlineStr">
        <is>
          <t>CFS</t>
        </is>
      </c>
      <c r="H753" s="24" t="inlineStr">
        <is>
          <t>SCE</t>
        </is>
      </c>
      <c r="I753" s="24" t="inlineStr">
        <is>
          <t>자본변동표</t>
        </is>
      </c>
      <c r="J753" s="24" t="inlineStr">
        <is>
          <t>ifrs-full_OtherComprehensiveIncomeNetOfTaxGainsLossesOnRemeasurementsOfDefinedBenefitPlans</t>
        </is>
      </c>
      <c r="K753" s="24" t="inlineStr">
        <is>
          <t>세후기타포괄손익, 확정급여제도의 재측정손익</t>
        </is>
      </c>
      <c r="L753" s="24" t="inlineStr">
        <is>
          <t>자본 [구성요소]|지배기업의 소유주에게 귀속되는 지분 [구성요소]</t>
        </is>
      </c>
      <c r="M753" s="24" t="inlineStr">
        <is>
          <t>제 7 기</t>
        </is>
      </c>
      <c r="N753" s="24" t="inlineStr">
        <is>
          <t>-438596303.0</t>
        </is>
      </c>
      <c r="O753" s="24" t="inlineStr">
        <is>
          <t>-1630399588.0</t>
        </is>
      </c>
      <c r="P753" s="24" t="inlineStr">
        <is>
          <t>KRW</t>
        </is>
      </c>
      <c r="Q753" s="24" t="inlineStr">
        <is>
          <t>6</t>
        </is>
      </c>
    </row>
    <row r="754" ht="24" customHeight="1">
      <c r="A754" s="29" t="inlineStr">
        <is>
          <t>OpenDART_fnlttSinglAcntAll</t>
        </is>
      </c>
      <c r="B754" s="29" t="inlineStr">
        <is>
          <t>01365825</t>
        </is>
      </c>
      <c r="C754" s="29" t="inlineStr">
        <is>
          <t>피에스케이</t>
        </is>
      </c>
      <c r="D754" s="29" t="inlineStr">
        <is>
          <t>psk</t>
        </is>
      </c>
      <c r="E754" s="29" t="inlineStr">
        <is>
          <t>319660</t>
        </is>
      </c>
      <c r="F754" s="29" t="inlineStr">
        <is>
          <t>2025</t>
        </is>
      </c>
      <c r="G754" s="29" t="inlineStr">
        <is>
          <t>CFS</t>
        </is>
      </c>
      <c r="H754" s="29" t="inlineStr">
        <is>
          <t>SCE</t>
        </is>
      </c>
      <c r="I754" s="29" t="inlineStr">
        <is>
          <t>자본변동표</t>
        </is>
      </c>
      <c r="J754" s="29" t="inlineStr">
        <is>
          <t>ifrs-full_OtherComprehensiveIncomeNetOfTaxGainsLossesOnRemeasurementsOfDefinedBenefitPlans</t>
        </is>
      </c>
      <c r="K754" s="29" t="inlineStr">
        <is>
          <t>세후기타포괄손익, 확정급여제도의 재측정손익</t>
        </is>
      </c>
      <c r="L754" s="29" t="inlineStr">
        <is>
          <t>연결재무제표 [member]</t>
        </is>
      </c>
      <c r="M754" s="29" t="inlineStr">
        <is>
          <t>제 7 기</t>
        </is>
      </c>
      <c r="N754" s="29" t="inlineStr">
        <is>
          <t>-438596303.0</t>
        </is>
      </c>
      <c r="O754" s="29" t="inlineStr">
        <is>
          <t>-1630399588.0</t>
        </is>
      </c>
      <c r="P754" s="29" t="inlineStr">
        <is>
          <t>KRW</t>
        </is>
      </c>
      <c r="Q754" s="29" t="inlineStr">
        <is>
          <t>6</t>
        </is>
      </c>
    </row>
    <row r="755" ht="24" customHeight="1">
      <c r="A755" s="24" t="inlineStr">
        <is>
          <t>OpenDART_fnlttSinglAcntAll</t>
        </is>
      </c>
      <c r="B755" s="24" t="inlineStr">
        <is>
          <t>01365825</t>
        </is>
      </c>
      <c r="C755" s="24" t="inlineStr">
        <is>
          <t>피에스케이</t>
        </is>
      </c>
      <c r="D755" s="24" t="inlineStr">
        <is>
          <t>psk</t>
        </is>
      </c>
      <c r="E755" s="24" t="inlineStr">
        <is>
          <t>319660</t>
        </is>
      </c>
      <c r="F755" s="24" t="inlineStr">
        <is>
          <t>2025</t>
        </is>
      </c>
      <c r="G755" s="24" t="inlineStr">
        <is>
          <t>CFS</t>
        </is>
      </c>
      <c r="H755" s="24" t="inlineStr">
        <is>
          <t>SCE</t>
        </is>
      </c>
      <c r="I755" s="24" t="inlineStr">
        <is>
          <t>자본변동표</t>
        </is>
      </c>
      <c r="J755" s="24" t="inlineStr">
        <is>
          <t>ifrs-full_ProfitLoss</t>
        </is>
      </c>
      <c r="K755" s="24" t="inlineStr">
        <is>
          <t>지배주주당기순이익</t>
        </is>
      </c>
      <c r="L755" s="24" t="inlineStr">
        <is>
          <t>자본 [구성요소]|지배기업의 소유주에게 귀속되는 지분 [구성요소]</t>
        </is>
      </c>
      <c r="M755" s="24" t="inlineStr">
        <is>
          <t>제 7 기</t>
        </is>
      </c>
      <c r="N755" s="24" t="inlineStr">
        <is>
          <t>78545663379.0</t>
        </is>
      </c>
      <c r="O755" s="24" t="inlineStr">
        <is>
          <t>79128216285.0</t>
        </is>
      </c>
      <c r="P755" s="24" t="inlineStr">
        <is>
          <t>KRW</t>
        </is>
      </c>
      <c r="Q755" s="24" t="inlineStr">
        <is>
          <t>7</t>
        </is>
      </c>
    </row>
    <row r="756" ht="24" customHeight="1">
      <c r="A756" s="29" t="inlineStr">
        <is>
          <t>OpenDART_fnlttSinglAcntAll</t>
        </is>
      </c>
      <c r="B756" s="29" t="inlineStr">
        <is>
          <t>01365825</t>
        </is>
      </c>
      <c r="C756" s="29" t="inlineStr">
        <is>
          <t>피에스케이</t>
        </is>
      </c>
      <c r="D756" s="29" t="inlineStr">
        <is>
          <t>psk</t>
        </is>
      </c>
      <c r="E756" s="29" t="inlineStr">
        <is>
          <t>319660</t>
        </is>
      </c>
      <c r="F756" s="29" t="inlineStr">
        <is>
          <t>2025</t>
        </is>
      </c>
      <c r="G756" s="29" t="inlineStr">
        <is>
          <t>CFS</t>
        </is>
      </c>
      <c r="H756" s="29" t="inlineStr">
        <is>
          <t>SCE</t>
        </is>
      </c>
      <c r="I756" s="29" t="inlineStr">
        <is>
          <t>자본변동표</t>
        </is>
      </c>
      <c r="J756" s="29" t="inlineStr">
        <is>
          <t>ifrs-full_ProfitLoss</t>
        </is>
      </c>
      <c r="K756" s="29" t="inlineStr">
        <is>
          <t>지배주주당기순이익</t>
        </is>
      </c>
      <c r="L756" s="29" t="inlineStr">
        <is>
          <t>자본 [구성요소]|지배기업의 소유주에게 귀속되는 지분 [구성요소]|이익잉여금 [구성요소]</t>
        </is>
      </c>
      <c r="M756" s="29" t="inlineStr">
        <is>
          <t>제 7 기</t>
        </is>
      </c>
      <c r="N756" s="29" t="inlineStr">
        <is>
          <t>78545663379.0</t>
        </is>
      </c>
      <c r="O756" s="29" t="inlineStr">
        <is>
          <t>79128216285.0</t>
        </is>
      </c>
      <c r="P756" s="29" t="inlineStr">
        <is>
          <t>KRW</t>
        </is>
      </c>
      <c r="Q756" s="29" t="inlineStr">
        <is>
          <t>7</t>
        </is>
      </c>
    </row>
    <row r="757" ht="24" customHeight="1">
      <c r="A757" s="24" t="inlineStr">
        <is>
          <t>OpenDART_fnlttSinglAcntAll</t>
        </is>
      </c>
      <c r="B757" s="24" t="inlineStr">
        <is>
          <t>01365825</t>
        </is>
      </c>
      <c r="C757" s="24" t="inlineStr">
        <is>
          <t>피에스케이</t>
        </is>
      </c>
      <c r="D757" s="24" t="inlineStr">
        <is>
          <t>psk</t>
        </is>
      </c>
      <c r="E757" s="24" t="inlineStr">
        <is>
          <t>319660</t>
        </is>
      </c>
      <c r="F757" s="24" t="inlineStr">
        <is>
          <t>2025</t>
        </is>
      </c>
      <c r="G757" s="24" t="inlineStr">
        <is>
          <t>CFS</t>
        </is>
      </c>
      <c r="H757" s="24" t="inlineStr">
        <is>
          <t>SCE</t>
        </is>
      </c>
      <c r="I757" s="24" t="inlineStr">
        <is>
          <t>자본변동표</t>
        </is>
      </c>
      <c r="J757" s="24" t="inlineStr">
        <is>
          <t>ifrs-full_ProfitLoss</t>
        </is>
      </c>
      <c r="K757" s="24" t="inlineStr">
        <is>
          <t>지배주주당기순이익</t>
        </is>
      </c>
      <c r="L757" s="24" t="inlineStr">
        <is>
          <t>연결재무제표 [member]</t>
        </is>
      </c>
      <c r="M757" s="24" t="inlineStr">
        <is>
          <t>제 7 기</t>
        </is>
      </c>
      <c r="N757" s="24" t="inlineStr">
        <is>
          <t>78545663379.0</t>
        </is>
      </c>
      <c r="O757" s="24" t="inlineStr">
        <is>
          <t>79128216285.0</t>
        </is>
      </c>
      <c r="P757" s="24" t="inlineStr">
        <is>
          <t>KRW</t>
        </is>
      </c>
      <c r="Q757" s="24" t="inlineStr">
        <is>
          <t>7</t>
        </is>
      </c>
    </row>
    <row r="758" ht="24" customHeight="1">
      <c r="A758" s="29" t="inlineStr">
        <is>
          <t>OpenDART_fnlttSinglAcntAll</t>
        </is>
      </c>
      <c r="B758" s="29" t="inlineStr">
        <is>
          <t>01365825</t>
        </is>
      </c>
      <c r="C758" s="29" t="inlineStr">
        <is>
          <t>피에스케이</t>
        </is>
      </c>
      <c r="D758" s="29" t="inlineStr">
        <is>
          <t>psk</t>
        </is>
      </c>
      <c r="E758" s="29" t="inlineStr">
        <is>
          <t>319660</t>
        </is>
      </c>
      <c r="F758" s="29" t="inlineStr">
        <is>
          <t>2025</t>
        </is>
      </c>
      <c r="G758" s="29" t="inlineStr">
        <is>
          <t>CFS</t>
        </is>
      </c>
      <c r="H758" s="29" t="inlineStr">
        <is>
          <t>SCE</t>
        </is>
      </c>
      <c r="I758" s="29" t="inlineStr">
        <is>
          <t>자본변동표</t>
        </is>
      </c>
      <c r="J758" s="29" t="inlineStr">
        <is>
          <t>ifrs-full_Equity</t>
        </is>
      </c>
      <c r="K758" s="29" t="inlineStr">
        <is>
          <t>자본총계</t>
        </is>
      </c>
      <c r="L758" s="29" t="inlineStr">
        <is>
          <t>자본 [구성요소]|지배기업의 소유주에게 귀속되는 지분 [구성요소]|기타자본구성요소 [구성요소]</t>
        </is>
      </c>
      <c r="M758" s="29" t="inlineStr">
        <is>
          <t>제 7 기</t>
        </is>
      </c>
      <c r="N758" s="29" t="inlineStr">
        <is>
          <t>9697781079.0</t>
        </is>
      </c>
      <c r="O758" s="29" t="inlineStr">
        <is>
          <t>8898706053.0</t>
        </is>
      </c>
      <c r="P758" s="29" t="inlineStr">
        <is>
          <t>KRW</t>
        </is>
      </c>
      <c r="Q758" s="29" t="inlineStr">
        <is>
          <t>8</t>
        </is>
      </c>
    </row>
    <row r="759" ht="24" customHeight="1">
      <c r="A759" s="24" t="inlineStr">
        <is>
          <t>OpenDART_fnlttSinglAcntAll</t>
        </is>
      </c>
      <c r="B759" s="24" t="inlineStr">
        <is>
          <t>01365825</t>
        </is>
      </c>
      <c r="C759" s="24" t="inlineStr">
        <is>
          <t>피에스케이</t>
        </is>
      </c>
      <c r="D759" s="24" t="inlineStr">
        <is>
          <t>psk</t>
        </is>
      </c>
      <c r="E759" s="24" t="inlineStr">
        <is>
          <t>319660</t>
        </is>
      </c>
      <c r="F759" s="24" t="inlineStr">
        <is>
          <t>2025</t>
        </is>
      </c>
      <c r="G759" s="24" t="inlineStr">
        <is>
          <t>CFS</t>
        </is>
      </c>
      <c r="H759" s="24" t="inlineStr">
        <is>
          <t>SCE</t>
        </is>
      </c>
      <c r="I759" s="24" t="inlineStr">
        <is>
          <t>자본변동표</t>
        </is>
      </c>
      <c r="J759" s="24" t="inlineStr">
        <is>
          <t>ifrs-full_Equity</t>
        </is>
      </c>
      <c r="K759" s="24" t="inlineStr">
        <is>
          <t>자본총계</t>
        </is>
      </c>
      <c r="L759" s="24" t="inlineStr">
        <is>
          <t>연결재무제표 [member]</t>
        </is>
      </c>
      <c r="M759" s="24" t="inlineStr">
        <is>
          <t>제 7 기</t>
        </is>
      </c>
      <c r="N759" s="24" t="inlineStr">
        <is>
          <t>539036262184.0</t>
        </is>
      </c>
      <c r="O759" s="24" t="inlineStr">
        <is>
          <t>471716805682.0</t>
        </is>
      </c>
      <c r="P759" s="24" t="inlineStr">
        <is>
          <t>KRW</t>
        </is>
      </c>
      <c r="Q759" s="24" t="inlineStr">
        <is>
          <t>8</t>
        </is>
      </c>
    </row>
    <row r="760" ht="24" customHeight="1">
      <c r="A760" s="29" t="inlineStr">
        <is>
          <t>OpenDART_fnlttSinglAcntAll</t>
        </is>
      </c>
      <c r="B760" s="29" t="inlineStr">
        <is>
          <t>01365825</t>
        </is>
      </c>
      <c r="C760" s="29" t="inlineStr">
        <is>
          <t>피에스케이</t>
        </is>
      </c>
      <c r="D760" s="29" t="inlineStr">
        <is>
          <t>psk</t>
        </is>
      </c>
      <c r="E760" s="29" t="inlineStr">
        <is>
          <t>319660</t>
        </is>
      </c>
      <c r="F760" s="29" t="inlineStr">
        <is>
          <t>2025</t>
        </is>
      </c>
      <c r="G760" s="29" t="inlineStr">
        <is>
          <t>CFS</t>
        </is>
      </c>
      <c r="H760" s="29" t="inlineStr">
        <is>
          <t>SCE</t>
        </is>
      </c>
      <c r="I760" s="29" t="inlineStr">
        <is>
          <t>자본변동표</t>
        </is>
      </c>
      <c r="J760" s="29" t="inlineStr">
        <is>
          <t>ifrs-full_Equity</t>
        </is>
      </c>
      <c r="K760" s="29" t="inlineStr">
        <is>
          <t>자본총계</t>
        </is>
      </c>
      <c r="L760" s="29" t="inlineStr">
        <is>
          <t>자본 [구성요소]|지배기업의 소유주에게 귀속되는 지분 [구성요소]|자본금 [구성요소]</t>
        </is>
      </c>
      <c r="M760" s="29" t="inlineStr">
        <is>
          <t>제 7 기</t>
        </is>
      </c>
      <c r="N760" s="29" t="inlineStr">
        <is>
          <t>14624188500.0</t>
        </is>
      </c>
      <c r="O760" s="29" t="inlineStr">
        <is>
          <t>14624188500.0</t>
        </is>
      </c>
      <c r="P760" s="29" t="inlineStr">
        <is>
          <t>KRW</t>
        </is>
      </c>
      <c r="Q760" s="29" t="inlineStr">
        <is>
          <t>8</t>
        </is>
      </c>
    </row>
    <row r="761" ht="24" customHeight="1">
      <c r="A761" s="24" t="inlineStr">
        <is>
          <t>OpenDART_fnlttSinglAcntAll</t>
        </is>
      </c>
      <c r="B761" s="24" t="inlineStr">
        <is>
          <t>01365825</t>
        </is>
      </c>
      <c r="C761" s="24" t="inlineStr">
        <is>
          <t>피에스케이</t>
        </is>
      </c>
      <c r="D761" s="24" t="inlineStr">
        <is>
          <t>psk</t>
        </is>
      </c>
      <c r="E761" s="24" t="inlineStr">
        <is>
          <t>319660</t>
        </is>
      </c>
      <c r="F761" s="24" t="inlineStr">
        <is>
          <t>2025</t>
        </is>
      </c>
      <c r="G761" s="24" t="inlineStr">
        <is>
          <t>CFS</t>
        </is>
      </c>
      <c r="H761" s="24" t="inlineStr">
        <is>
          <t>SCE</t>
        </is>
      </c>
      <c r="I761" s="24" t="inlineStr">
        <is>
          <t>자본변동표</t>
        </is>
      </c>
      <c r="J761" s="24" t="inlineStr">
        <is>
          <t>ifrs-full_Equity</t>
        </is>
      </c>
      <c r="K761" s="24" t="inlineStr">
        <is>
          <t>자본총계</t>
        </is>
      </c>
      <c r="L761" s="24" t="inlineStr">
        <is>
          <t>자본 [구성요소]|지배기업의 소유주에게 귀속되는 지분 [구성요소]|자본잉여금 [구성요소]</t>
        </is>
      </c>
      <c r="M761" s="24" t="inlineStr">
        <is>
          <t>제 7 기</t>
        </is>
      </c>
      <c r="N761" s="24" t="inlineStr">
        <is>
          <t>171870069208.0</t>
        </is>
      </c>
      <c r="O761" s="24" t="inlineStr">
        <is>
          <t>171960244948.0</t>
        </is>
      </c>
      <c r="P761" s="24" t="inlineStr">
        <is>
          <t>KRW</t>
        </is>
      </c>
      <c r="Q761" s="24" t="inlineStr">
        <is>
          <t>8</t>
        </is>
      </c>
    </row>
    <row r="762" ht="24" customHeight="1">
      <c r="A762" s="29" t="inlineStr">
        <is>
          <t>OpenDART_fnlttSinglAcntAll</t>
        </is>
      </c>
      <c r="B762" s="29" t="inlineStr">
        <is>
          <t>01365825</t>
        </is>
      </c>
      <c r="C762" s="29" t="inlineStr">
        <is>
          <t>피에스케이</t>
        </is>
      </c>
      <c r="D762" s="29" t="inlineStr">
        <is>
          <t>psk</t>
        </is>
      </c>
      <c r="E762" s="29" t="inlineStr">
        <is>
          <t>319660</t>
        </is>
      </c>
      <c r="F762" s="29" t="inlineStr">
        <is>
          <t>2025</t>
        </is>
      </c>
      <c r="G762" s="29" t="inlineStr">
        <is>
          <t>CFS</t>
        </is>
      </c>
      <c r="H762" s="29" t="inlineStr">
        <is>
          <t>SCE</t>
        </is>
      </c>
      <c r="I762" s="29" t="inlineStr">
        <is>
          <t>자본변동표</t>
        </is>
      </c>
      <c r="J762" s="29" t="inlineStr">
        <is>
          <t>ifrs-full_Equity</t>
        </is>
      </c>
      <c r="K762" s="29" t="inlineStr">
        <is>
          <t>자본총계</t>
        </is>
      </c>
      <c r="L762" s="29" t="inlineStr">
        <is>
          <t>자본 [구성요소]|지배기업의 소유주에게 귀속되는 지분 [구성요소]|이익잉여금 [구성요소]</t>
        </is>
      </c>
      <c r="M762" s="29" t="inlineStr">
        <is>
          <t>제 7 기</t>
        </is>
      </c>
      <c r="N762" s="29" t="inlineStr">
        <is>
          <t>342754047657.0</t>
        </is>
      </c>
      <c r="O762" s="29" t="inlineStr">
        <is>
          <t>276233666181.0</t>
        </is>
      </c>
      <c r="P762" s="29" t="inlineStr">
        <is>
          <t>KRW</t>
        </is>
      </c>
      <c r="Q762" s="29" t="inlineStr">
        <is>
          <t>8</t>
        </is>
      </c>
    </row>
    <row r="763" ht="24" customHeight="1">
      <c r="A763" s="24" t="inlineStr">
        <is>
          <t>OpenDART_fnlttSinglAcntAll</t>
        </is>
      </c>
      <c r="B763" s="24" t="inlineStr">
        <is>
          <t>01365825</t>
        </is>
      </c>
      <c r="C763" s="24" t="inlineStr">
        <is>
          <t>피에스케이</t>
        </is>
      </c>
      <c r="D763" s="24" t="inlineStr">
        <is>
          <t>psk</t>
        </is>
      </c>
      <c r="E763" s="24" t="inlineStr">
        <is>
          <t>319660</t>
        </is>
      </c>
      <c r="F763" s="24" t="inlineStr">
        <is>
          <t>2025</t>
        </is>
      </c>
      <c r="G763" s="24" t="inlineStr">
        <is>
          <t>CFS</t>
        </is>
      </c>
      <c r="H763" s="24" t="inlineStr">
        <is>
          <t>SCE</t>
        </is>
      </c>
      <c r="I763" s="24" t="inlineStr">
        <is>
          <t>자본변동표</t>
        </is>
      </c>
      <c r="J763" s="24" t="inlineStr">
        <is>
          <t>ifrs-full_Equity</t>
        </is>
      </c>
      <c r="K763" s="24" t="inlineStr">
        <is>
          <t>자본총계</t>
        </is>
      </c>
      <c r="L763" s="24" t="inlineStr">
        <is>
          <t>자본 [구성요소]|비지배지분 [구성요소]</t>
        </is>
      </c>
      <c r="M763" s="24" t="inlineStr">
        <is>
          <t>제 7 기</t>
        </is>
      </c>
      <c r="N763" s="24" t="inlineStr">
        <is>
          <t>90175740.0</t>
        </is>
      </c>
      <c r="O763" s="24" t="inlineStr">
        <is>
          <t>해당 없음</t>
        </is>
      </c>
      <c r="P763" s="24" t="inlineStr">
        <is>
          <t>KRW</t>
        </is>
      </c>
      <c r="Q763" s="24" t="inlineStr">
        <is>
          <t>8</t>
        </is>
      </c>
    </row>
    <row r="764" ht="24" customHeight="1">
      <c r="A764" s="29" t="inlineStr">
        <is>
          <t>OpenDART_fnlttSinglAcntAll</t>
        </is>
      </c>
      <c r="B764" s="29" t="inlineStr">
        <is>
          <t>01365825</t>
        </is>
      </c>
      <c r="C764" s="29" t="inlineStr">
        <is>
          <t>피에스케이</t>
        </is>
      </c>
      <c r="D764" s="29" t="inlineStr">
        <is>
          <t>psk</t>
        </is>
      </c>
      <c r="E764" s="29" t="inlineStr">
        <is>
          <t>319660</t>
        </is>
      </c>
      <c r="F764" s="29" t="inlineStr">
        <is>
          <t>2025</t>
        </is>
      </c>
      <c r="G764" s="29" t="inlineStr">
        <is>
          <t>CFS</t>
        </is>
      </c>
      <c r="H764" s="29" t="inlineStr">
        <is>
          <t>SCE</t>
        </is>
      </c>
      <c r="I764" s="29" t="inlineStr">
        <is>
          <t>자본변동표</t>
        </is>
      </c>
      <c r="J764" s="29" t="inlineStr">
        <is>
          <t>ifrs-full_Equity</t>
        </is>
      </c>
      <c r="K764" s="29" t="inlineStr">
        <is>
          <t>자본총계</t>
        </is>
      </c>
      <c r="L764" s="29" t="inlineStr">
        <is>
          <t>자본 [구성요소]|지배기업의 소유주에게 귀속되는 지분 [구성요소]</t>
        </is>
      </c>
      <c r="M764" s="29" t="inlineStr">
        <is>
          <t>제 7 기</t>
        </is>
      </c>
      <c r="N764" s="29" t="inlineStr">
        <is>
          <t>538946086444.0</t>
        </is>
      </c>
      <c r="O764" s="29" t="inlineStr">
        <is>
          <t>471716805682.0</t>
        </is>
      </c>
      <c r="P764" s="29" t="inlineStr">
        <is>
          <t>KRW</t>
        </is>
      </c>
      <c r="Q764" s="29" t="inlineStr">
        <is>
          <t>8</t>
        </is>
      </c>
    </row>
    <row r="765" ht="24" customHeight="1">
      <c r="A765" s="24" t="inlineStr">
        <is>
          <t>OpenDART_fnlttSinglAcntAll</t>
        </is>
      </c>
      <c r="B765" s="24" t="inlineStr">
        <is>
          <t>01365825</t>
        </is>
      </c>
      <c r="C765" s="24" t="inlineStr">
        <is>
          <t>피에스케이</t>
        </is>
      </c>
      <c r="D765" s="24" t="inlineStr">
        <is>
          <t>psk</t>
        </is>
      </c>
      <c r="E765" s="24" t="inlineStr">
        <is>
          <t>319660</t>
        </is>
      </c>
      <c r="F765" s="24" t="inlineStr">
        <is>
          <t>2025</t>
        </is>
      </c>
      <c r="G765" s="24" t="inlineStr">
        <is>
          <t>CFS</t>
        </is>
      </c>
      <c r="H765" s="24" t="inlineStr">
        <is>
          <t>SCE</t>
        </is>
      </c>
      <c r="I765" s="24" t="inlineStr">
        <is>
          <t>자본변동표</t>
        </is>
      </c>
      <c r="J765" s="24" t="inlineStr">
        <is>
          <t>ifrs-full_IncreaseDecreaseThroughTransactionsWithOwners</t>
        </is>
      </c>
      <c r="K765" s="24" t="inlineStr">
        <is>
          <t>소유주와의 거래</t>
        </is>
      </c>
      <c r="L765" s="24" t="inlineStr">
        <is>
          <t>연결재무제표 [member]</t>
        </is>
      </c>
      <c r="M765" s="24" t="inlineStr">
        <is>
          <t>제 7 기</t>
        </is>
      </c>
      <c r="N765" s="24" t="inlineStr">
        <is>
          <t>-11586685600.0</t>
        </is>
      </c>
      <c r="O765" s="24" t="inlineStr">
        <is>
          <t>-5793342800.0</t>
        </is>
      </c>
      <c r="P765" s="24" t="inlineStr">
        <is>
          <t>KRW</t>
        </is>
      </c>
      <c r="Q765" s="24" t="inlineStr">
        <is>
          <t>9</t>
        </is>
      </c>
    </row>
    <row r="766" ht="24" customHeight="1">
      <c r="A766" s="29" t="inlineStr">
        <is>
          <t>OpenDART_fnlttSinglAcntAll</t>
        </is>
      </c>
      <c r="B766" s="29" t="inlineStr">
        <is>
          <t>01365825</t>
        </is>
      </c>
      <c r="C766" s="29" t="inlineStr">
        <is>
          <t>피에스케이</t>
        </is>
      </c>
      <c r="D766" s="29" t="inlineStr">
        <is>
          <t>psk</t>
        </is>
      </c>
      <c r="E766" s="29" t="inlineStr">
        <is>
          <t>319660</t>
        </is>
      </c>
      <c r="F766" s="29" t="inlineStr">
        <is>
          <t>2025</t>
        </is>
      </c>
      <c r="G766" s="29" t="inlineStr">
        <is>
          <t>CFS</t>
        </is>
      </c>
      <c r="H766" s="29" t="inlineStr">
        <is>
          <t>SCE</t>
        </is>
      </c>
      <c r="I766" s="29" t="inlineStr">
        <is>
          <t>자본변동표</t>
        </is>
      </c>
      <c r="J766" s="29" t="inlineStr">
        <is>
          <t>ifrs-full_IncreaseDecreaseThroughTransactionsWithOwners</t>
        </is>
      </c>
      <c r="K766" s="29" t="inlineStr">
        <is>
          <t>소유주와의 거래</t>
        </is>
      </c>
      <c r="L766" s="29" t="inlineStr">
        <is>
          <t>자본 [구성요소]|비지배지분 [구성요소]</t>
        </is>
      </c>
      <c r="M766" s="29" t="inlineStr">
        <is>
          <t>제 7 기</t>
        </is>
      </c>
      <c r="N766" s="29" t="inlineStr">
        <is>
          <t>90175740.0</t>
        </is>
      </c>
      <c r="O766" s="29" t="inlineStr">
        <is>
          <t>해당 없음</t>
        </is>
      </c>
      <c r="P766" s="29" t="inlineStr">
        <is>
          <t>KRW</t>
        </is>
      </c>
      <c r="Q766" s="29" t="inlineStr">
        <is>
          <t>9</t>
        </is>
      </c>
    </row>
    <row r="767" ht="24" customHeight="1">
      <c r="A767" s="24" t="inlineStr">
        <is>
          <t>OpenDART_fnlttSinglAcntAll</t>
        </is>
      </c>
      <c r="B767" s="24" t="inlineStr">
        <is>
          <t>01365825</t>
        </is>
      </c>
      <c r="C767" s="24" t="inlineStr">
        <is>
          <t>피에스케이</t>
        </is>
      </c>
      <c r="D767" s="24" t="inlineStr">
        <is>
          <t>psk</t>
        </is>
      </c>
      <c r="E767" s="24" t="inlineStr">
        <is>
          <t>319660</t>
        </is>
      </c>
      <c r="F767" s="24" t="inlineStr">
        <is>
          <t>2025</t>
        </is>
      </c>
      <c r="G767" s="24" t="inlineStr">
        <is>
          <t>CFS</t>
        </is>
      </c>
      <c r="H767" s="24" t="inlineStr">
        <is>
          <t>SCE</t>
        </is>
      </c>
      <c r="I767" s="24" t="inlineStr">
        <is>
          <t>자본변동표</t>
        </is>
      </c>
      <c r="J767" s="24" t="inlineStr">
        <is>
          <t>ifrs-full_IncreaseDecreaseThroughTransactionsWithOwners</t>
        </is>
      </c>
      <c r="K767" s="24" t="inlineStr">
        <is>
          <t>소유주와의 거래</t>
        </is>
      </c>
      <c r="L767" s="24" t="inlineStr">
        <is>
          <t>자본 [구성요소]|지배기업의 소유주에게 귀속되는 지분 [구성요소]</t>
        </is>
      </c>
      <c r="M767" s="24" t="inlineStr">
        <is>
          <t>제 7 기</t>
        </is>
      </c>
      <c r="N767" s="24" t="inlineStr">
        <is>
          <t>-11676861340.0</t>
        </is>
      </c>
      <c r="O767" s="24" t="inlineStr">
        <is>
          <t>-5793342800.0</t>
        </is>
      </c>
      <c r="P767" s="24" t="inlineStr">
        <is>
          <t>KRW</t>
        </is>
      </c>
      <c r="Q767" s="24" t="inlineStr">
        <is>
          <t>9</t>
        </is>
      </c>
    </row>
    <row r="768" ht="24" customHeight="1">
      <c r="A768" s="29" t="inlineStr">
        <is>
          <t>OpenDART_fnlttSinglAcntAll</t>
        </is>
      </c>
      <c r="B768" s="29" t="inlineStr">
        <is>
          <t>01365825</t>
        </is>
      </c>
      <c r="C768" s="29" t="inlineStr">
        <is>
          <t>피에스케이</t>
        </is>
      </c>
      <c r="D768" s="29" t="inlineStr">
        <is>
          <t>psk</t>
        </is>
      </c>
      <c r="E768" s="29" t="inlineStr">
        <is>
          <t>319660</t>
        </is>
      </c>
      <c r="F768" s="29" t="inlineStr">
        <is>
          <t>2025</t>
        </is>
      </c>
      <c r="G768" s="29" t="inlineStr">
        <is>
          <t>CFS</t>
        </is>
      </c>
      <c r="H768" s="29" t="inlineStr">
        <is>
          <t>SCE</t>
        </is>
      </c>
      <c r="I768" s="29" t="inlineStr">
        <is>
          <t>자본변동표</t>
        </is>
      </c>
      <c r="J768" s="29" t="inlineStr">
        <is>
          <t>ifrs-full_IncreaseDecreaseThroughTransactionsWithOwners</t>
        </is>
      </c>
      <c r="K768" s="29" t="inlineStr">
        <is>
          <t>소유주와의 거래</t>
        </is>
      </c>
      <c r="L768" s="29" t="inlineStr">
        <is>
          <t>자본 [구성요소]|지배기업의 소유주에게 귀속되는 지분 [구성요소]|이익잉여금 [구성요소]</t>
        </is>
      </c>
      <c r="M768" s="29" t="inlineStr">
        <is>
          <t>제 7 기</t>
        </is>
      </c>
      <c r="N768" s="29" t="inlineStr">
        <is>
          <t>-11586685600.0</t>
        </is>
      </c>
      <c r="O768" s="29" t="inlineStr">
        <is>
          <t>-5793342800.0</t>
        </is>
      </c>
      <c r="P768" s="29" t="inlineStr">
        <is>
          <t>KRW</t>
        </is>
      </c>
      <c r="Q768" s="29" t="inlineStr">
        <is>
          <t>9</t>
        </is>
      </c>
    </row>
    <row r="769" ht="24" customHeight="1">
      <c r="A769" s="24" t="inlineStr">
        <is>
          <t>OpenDART_fnlttSinglAcntAll</t>
        </is>
      </c>
      <c r="B769" s="24" t="inlineStr">
        <is>
          <t>01365825</t>
        </is>
      </c>
      <c r="C769" s="24" t="inlineStr">
        <is>
          <t>피에스케이</t>
        </is>
      </c>
      <c r="D769" s="24" t="inlineStr">
        <is>
          <t>psk</t>
        </is>
      </c>
      <c r="E769" s="24" t="inlineStr">
        <is>
          <t>319660</t>
        </is>
      </c>
      <c r="F769" s="24" t="inlineStr">
        <is>
          <t>2025</t>
        </is>
      </c>
      <c r="G769" s="24" t="inlineStr">
        <is>
          <t>CFS</t>
        </is>
      </c>
      <c r="H769" s="24" t="inlineStr">
        <is>
          <t>SCE</t>
        </is>
      </c>
      <c r="I769" s="24" t="inlineStr">
        <is>
          <t>자본변동표</t>
        </is>
      </c>
      <c r="J769" s="24" t="inlineStr">
        <is>
          <t>ifrs-full_IncreaseDecreaseThroughTransactionsWithOwners</t>
        </is>
      </c>
      <c r="K769" s="24" t="inlineStr">
        <is>
          <t>소유주와의 거래</t>
        </is>
      </c>
      <c r="L769" s="24" t="inlineStr">
        <is>
          <t>자본 [구성요소]|지배기업의 소유주에게 귀속되는 지분 [구성요소]|자본잉여금 [구성요소]</t>
        </is>
      </c>
      <c r="M769" s="24" t="inlineStr">
        <is>
          <t>제 7 기</t>
        </is>
      </c>
      <c r="N769" s="24" t="inlineStr">
        <is>
          <t>-90175740.0</t>
        </is>
      </c>
      <c r="O769" s="24" t="inlineStr">
        <is>
          <t>해당 없음</t>
        </is>
      </c>
      <c r="P769" s="24" t="inlineStr">
        <is>
          <t>KRW</t>
        </is>
      </c>
      <c r="Q769" s="24" t="inlineStr">
        <is>
          <t>9</t>
        </is>
      </c>
    </row>
    <row r="770" ht="24" customHeight="1">
      <c r="A770" s="29" t="inlineStr">
        <is>
          <t>OpenDART_fnlttSinglAcntAll</t>
        </is>
      </c>
      <c r="B770" s="29" t="inlineStr">
        <is>
          <t>01365825</t>
        </is>
      </c>
      <c r="C770" s="29" t="inlineStr">
        <is>
          <t>피에스케이</t>
        </is>
      </c>
      <c r="D770" s="29" t="inlineStr">
        <is>
          <t>psk</t>
        </is>
      </c>
      <c r="E770" s="29" t="inlineStr">
        <is>
          <t>319660</t>
        </is>
      </c>
      <c r="F770" s="29" t="inlineStr">
        <is>
          <t>2025</t>
        </is>
      </c>
      <c r="G770" s="29" t="inlineStr">
        <is>
          <t>CFS</t>
        </is>
      </c>
      <c r="H770" s="29" t="inlineStr">
        <is>
          <t>SCE</t>
        </is>
      </c>
      <c r="I770" s="29" t="inlineStr">
        <is>
          <t>자본변동표</t>
        </is>
      </c>
      <c r="J770" s="29" t="inlineStr">
        <is>
          <t>dart_TreasuryShareTransactions</t>
        </is>
      </c>
      <c r="K770" s="29" t="inlineStr">
        <is>
          <t>자기주식 거래로 인한 증감</t>
        </is>
      </c>
      <c r="L770" s="29" t="inlineStr">
        <is>
          <t>자본 [구성요소]|지배기업의 소유주에게 귀속되는 지분 [구성요소]|자본잉여금 [구성요소]</t>
        </is>
      </c>
      <c r="M770" s="29" t="inlineStr">
        <is>
          <t>제 7 기</t>
        </is>
      </c>
      <c r="N770" s="29" t="inlineStr">
        <is>
          <t>-90175740.0</t>
        </is>
      </c>
      <c r="O770" s="29" t="inlineStr">
        <is>
          <t>해당 없음</t>
        </is>
      </c>
      <c r="P770" s="29" t="inlineStr">
        <is>
          <t>KRW</t>
        </is>
      </c>
      <c r="Q770" s="29" t="inlineStr">
        <is>
          <t>11</t>
        </is>
      </c>
    </row>
    <row r="771" ht="24" customHeight="1">
      <c r="A771" s="24" t="inlineStr">
        <is>
          <t>OpenDART_fnlttSinglAcntAll</t>
        </is>
      </c>
      <c r="B771" s="24" t="inlineStr">
        <is>
          <t>01365825</t>
        </is>
      </c>
      <c r="C771" s="24" t="inlineStr">
        <is>
          <t>피에스케이</t>
        </is>
      </c>
      <c r="D771" s="24" t="inlineStr">
        <is>
          <t>psk</t>
        </is>
      </c>
      <c r="E771" s="24" t="inlineStr">
        <is>
          <t>319660</t>
        </is>
      </c>
      <c r="F771" s="24" t="inlineStr">
        <is>
          <t>2025</t>
        </is>
      </c>
      <c r="G771" s="24" t="inlineStr">
        <is>
          <t>CFS</t>
        </is>
      </c>
      <c r="H771" s="24" t="inlineStr">
        <is>
          <t>SCE</t>
        </is>
      </c>
      <c r="I771" s="24" t="inlineStr">
        <is>
          <t>자본변동표</t>
        </is>
      </c>
      <c r="J771" s="24" t="inlineStr">
        <is>
          <t>dart_TreasuryShareTransactions</t>
        </is>
      </c>
      <c r="K771" s="24" t="inlineStr">
        <is>
          <t>자기주식 거래로 인한 증감</t>
        </is>
      </c>
      <c r="L771" s="24" t="inlineStr">
        <is>
          <t>자본 [구성요소]|비지배지분 [구성요소]</t>
        </is>
      </c>
      <c r="M771" s="24" t="inlineStr">
        <is>
          <t>제 7 기</t>
        </is>
      </c>
      <c r="N771" s="24" t="inlineStr">
        <is>
          <t>90175740.0</t>
        </is>
      </c>
      <c r="O771" s="24" t="inlineStr">
        <is>
          <t>해당 없음</t>
        </is>
      </c>
      <c r="P771" s="24" t="inlineStr">
        <is>
          <t>KRW</t>
        </is>
      </c>
      <c r="Q771" s="24" t="inlineStr">
        <is>
          <t>11</t>
        </is>
      </c>
    </row>
    <row r="772" ht="24" customHeight="1">
      <c r="A772" s="29" t="inlineStr">
        <is>
          <t>OpenDART_fnlttSinglAcntAll</t>
        </is>
      </c>
      <c r="B772" s="29" t="inlineStr">
        <is>
          <t>01365825</t>
        </is>
      </c>
      <c r="C772" s="29" t="inlineStr">
        <is>
          <t>피에스케이</t>
        </is>
      </c>
      <c r="D772" s="29" t="inlineStr">
        <is>
          <t>psk</t>
        </is>
      </c>
      <c r="E772" s="29" t="inlineStr">
        <is>
          <t>319660</t>
        </is>
      </c>
      <c r="F772" s="29" t="inlineStr">
        <is>
          <t>2025</t>
        </is>
      </c>
      <c r="G772" s="29" t="inlineStr">
        <is>
          <t>CFS</t>
        </is>
      </c>
      <c r="H772" s="29" t="inlineStr">
        <is>
          <t>SCE</t>
        </is>
      </c>
      <c r="I772" s="29" t="inlineStr">
        <is>
          <t>자본변동표</t>
        </is>
      </c>
      <c r="J772" s="29" t="inlineStr">
        <is>
          <t>dart_TreasuryShareTransactions</t>
        </is>
      </c>
      <c r="K772" s="29" t="inlineStr">
        <is>
          <t>자기주식 거래로 인한 증감</t>
        </is>
      </c>
      <c r="L772" s="29" t="inlineStr">
        <is>
          <t>자본 [구성요소]|지배기업의 소유주에게 귀속되는 지분 [구성요소]</t>
        </is>
      </c>
      <c r="M772" s="29" t="inlineStr">
        <is>
          <t>제 7 기</t>
        </is>
      </c>
      <c r="N772" s="29" t="inlineStr">
        <is>
          <t>-90175740.0</t>
        </is>
      </c>
      <c r="O772" s="29" t="inlineStr">
        <is>
          <t>해당 없음</t>
        </is>
      </c>
      <c r="P772" s="29" t="inlineStr">
        <is>
          <t>KRW</t>
        </is>
      </c>
      <c r="Q772" s="29" t="inlineStr">
        <is>
          <t>11</t>
        </is>
      </c>
    </row>
    <row r="773" ht="24" customHeight="1">
      <c r="A773" s="24" t="inlineStr">
        <is>
          <t>OpenDART_fnlttSinglAcntAll</t>
        </is>
      </c>
      <c r="B773" s="24" t="inlineStr">
        <is>
          <t>01365825</t>
        </is>
      </c>
      <c r="C773" s="24" t="inlineStr">
        <is>
          <t>피에스케이</t>
        </is>
      </c>
      <c r="D773" s="24" t="inlineStr">
        <is>
          <t>psk</t>
        </is>
      </c>
      <c r="E773" s="24" t="inlineStr">
        <is>
          <t>319660</t>
        </is>
      </c>
      <c r="F773" s="24" t="inlineStr">
        <is>
          <t>2025</t>
        </is>
      </c>
      <c r="G773" s="24" t="inlineStr">
        <is>
          <t>CFS</t>
        </is>
      </c>
      <c r="H773" s="24" t="inlineStr">
        <is>
          <t>SCE</t>
        </is>
      </c>
      <c r="I773" s="24" t="inlineStr">
        <is>
          <t>자본변동표</t>
        </is>
      </c>
      <c r="J773" s="24" t="inlineStr">
        <is>
          <t>ifrs-full_DividendsRecognisedAsDistributionsToOwnersOfParent</t>
        </is>
      </c>
      <c r="K773" s="24" t="inlineStr">
        <is>
          <t>지배기업의 소유주지분에 대한 배당금</t>
        </is>
      </c>
      <c r="L773" s="24" t="inlineStr">
        <is>
          <t>자본 [구성요소]|지배기업의 소유주에게 귀속되는 지분 [구성요소]</t>
        </is>
      </c>
      <c r="M773" s="24" t="inlineStr">
        <is>
          <t>제 7 기</t>
        </is>
      </c>
      <c r="N773" s="24" t="inlineStr">
        <is>
          <t>-11586685600.0</t>
        </is>
      </c>
      <c r="O773" s="24" t="inlineStr">
        <is>
          <t>-5793342800.0</t>
        </is>
      </c>
      <c r="P773" s="24" t="inlineStr">
        <is>
          <t>KRW</t>
        </is>
      </c>
      <c r="Q773" s="24" t="inlineStr">
        <is>
          <t>12</t>
        </is>
      </c>
    </row>
    <row r="774" ht="24" customHeight="1">
      <c r="A774" s="29" t="inlineStr">
        <is>
          <t>OpenDART_fnlttSinglAcntAll</t>
        </is>
      </c>
      <c r="B774" s="29" t="inlineStr">
        <is>
          <t>01365825</t>
        </is>
      </c>
      <c r="C774" s="29" t="inlineStr">
        <is>
          <t>피에스케이</t>
        </is>
      </c>
      <c r="D774" s="29" t="inlineStr">
        <is>
          <t>psk</t>
        </is>
      </c>
      <c r="E774" s="29" t="inlineStr">
        <is>
          <t>319660</t>
        </is>
      </c>
      <c r="F774" s="29" t="inlineStr">
        <is>
          <t>2025</t>
        </is>
      </c>
      <c r="G774" s="29" t="inlineStr">
        <is>
          <t>CFS</t>
        </is>
      </c>
      <c r="H774" s="29" t="inlineStr">
        <is>
          <t>SCE</t>
        </is>
      </c>
      <c r="I774" s="29" t="inlineStr">
        <is>
          <t>자본변동표</t>
        </is>
      </c>
      <c r="J774" s="29" t="inlineStr">
        <is>
          <t>ifrs-full_DividendsRecognisedAsDistributionsToOwnersOfParent</t>
        </is>
      </c>
      <c r="K774" s="29" t="inlineStr">
        <is>
          <t>지배기업의 소유주지분에 대한 배당금</t>
        </is>
      </c>
      <c r="L774" s="29" t="inlineStr">
        <is>
          <t>연결재무제표 [member]</t>
        </is>
      </c>
      <c r="M774" s="29" t="inlineStr">
        <is>
          <t>제 7 기</t>
        </is>
      </c>
      <c r="N774" s="29" t="inlineStr">
        <is>
          <t>-11586685600.0</t>
        </is>
      </c>
      <c r="O774" s="29" t="inlineStr">
        <is>
          <t>-5793342800.0</t>
        </is>
      </c>
      <c r="P774" s="29" t="inlineStr">
        <is>
          <t>KRW</t>
        </is>
      </c>
      <c r="Q774" s="29" t="inlineStr">
        <is>
          <t>12</t>
        </is>
      </c>
    </row>
    <row r="775" ht="24" customHeight="1">
      <c r="A775" s="24" t="inlineStr">
        <is>
          <t>OpenDART_fnlttSinglAcntAll</t>
        </is>
      </c>
      <c r="B775" s="24" t="inlineStr">
        <is>
          <t>01365825</t>
        </is>
      </c>
      <c r="C775" s="24" t="inlineStr">
        <is>
          <t>피에스케이</t>
        </is>
      </c>
      <c r="D775" s="24" t="inlineStr">
        <is>
          <t>psk</t>
        </is>
      </c>
      <c r="E775" s="24" t="inlineStr">
        <is>
          <t>319660</t>
        </is>
      </c>
      <c r="F775" s="24" t="inlineStr">
        <is>
          <t>2025</t>
        </is>
      </c>
      <c r="G775" s="24" t="inlineStr">
        <is>
          <t>CFS</t>
        </is>
      </c>
      <c r="H775" s="24" t="inlineStr">
        <is>
          <t>SCE</t>
        </is>
      </c>
      <c r="I775" s="24" t="inlineStr">
        <is>
          <t>자본변동표</t>
        </is>
      </c>
      <c r="J775" s="24" t="inlineStr">
        <is>
          <t>ifrs-full_DividendsRecognisedAsDistributionsToOwnersOfParent</t>
        </is>
      </c>
      <c r="K775" s="24" t="inlineStr">
        <is>
          <t>지배기업의 소유주지분에 대한 배당금</t>
        </is>
      </c>
      <c r="L775" s="24" t="inlineStr">
        <is>
          <t>자본 [구성요소]|지배기업의 소유주에게 귀속되는 지분 [구성요소]|이익잉여금 [구성요소]</t>
        </is>
      </c>
      <c r="M775" s="24" t="inlineStr">
        <is>
          <t>제 7 기</t>
        </is>
      </c>
      <c r="N775" s="24" t="inlineStr">
        <is>
          <t>-11586685600.0</t>
        </is>
      </c>
      <c r="O775" s="24" t="inlineStr">
        <is>
          <t>-5793342800.0</t>
        </is>
      </c>
      <c r="P775" s="24" t="inlineStr">
        <is>
          <t>KRW</t>
        </is>
      </c>
      <c r="Q775" s="24" t="inlineStr">
        <is>
          <t>12</t>
        </is>
      </c>
    </row>
  </sheetData>
  <autoFilter ref="A2:Q775"/>
  <mergeCells count="1">
    <mergeCell ref="A1:F1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E7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3" customWidth="1" min="31" max="31"/>
  </cols>
  <sheetData>
    <row r="1" ht="30" customHeight="1">
      <c r="A1" s="16" t="inlineStr">
        <is>
          <t>주가 데이터·기술적 지표</t>
        </is>
      </c>
    </row>
    <row r="2" ht="28" customHeight="1">
      <c r="A2" s="17" t="inlineStr">
        <is>
          <t>Valuation Agent 전용 주가 intake: 종가·이동평균·수익률·MDD·롤링 변동성</t>
        </is>
      </c>
    </row>
    <row r="3" ht="24" customHeight="1"/>
    <row r="4" ht="24" customHeight="1">
      <c r="A4" s="22" t="inlineStr">
        <is>
          <t>주가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  <c r="C5" s="25" t="inlineStr">
        <is>
          <t>비고</t>
        </is>
      </c>
    </row>
    <row r="6" ht="24" customHeight="1">
      <c r="A6" s="24" t="inlineStr">
        <is>
          <t>데이터 행 수</t>
        </is>
      </c>
      <c r="B6" s="30" t="n">
        <v>1222</v>
      </c>
      <c r="C6" s="24" t="inlineStr">
        <is>
          <t>valuation_price_history.csv 기준</t>
        </is>
      </c>
    </row>
    <row r="7" ht="24" customHeight="1">
      <c r="A7" s="29" t="inlineStr">
        <is>
          <t>수집 시작일</t>
        </is>
      </c>
      <c r="B7" s="29" t="inlineStr">
        <is>
          <t>2021-05-20</t>
        </is>
      </c>
      <c r="C7" s="29" t="inlineStr">
        <is>
          <t>가격 데이터 시작</t>
        </is>
      </c>
    </row>
    <row r="8" ht="24" customHeight="1">
      <c r="A8" s="24" t="inlineStr">
        <is>
          <t>수집 종료일</t>
        </is>
      </c>
      <c r="B8" s="24" t="inlineStr">
        <is>
          <t>2026-05-20</t>
        </is>
      </c>
      <c r="C8" s="24" t="inlineStr">
        <is>
          <t>가격 데이터 종료</t>
        </is>
      </c>
    </row>
    <row r="9" ht="24" customHeight="1">
      <c r="A9" s="29" t="inlineStr">
        <is>
          <t>현재가</t>
        </is>
      </c>
      <c r="B9" s="31" t="n">
        <v>107300</v>
      </c>
      <c r="C9" s="29" t="inlineStr">
        <is>
          <t>최근 종가</t>
        </is>
      </c>
    </row>
    <row r="10" ht="24" customHeight="1">
      <c r="A10" s="24" t="inlineStr">
        <is>
          <t>1년 수익률</t>
        </is>
      </c>
      <c r="B10" s="30" t="n">
        <v>4.611924686192468</v>
      </c>
      <c r="C10" s="24" t="inlineStr">
        <is>
          <t>최근 약 1년</t>
        </is>
      </c>
    </row>
    <row r="11" ht="24" customHeight="1">
      <c r="A11" s="29" t="inlineStr">
        <is>
          <t>연환산 변동성</t>
        </is>
      </c>
      <c r="B11" s="31" t="n">
        <v>0.54859367864032</v>
      </c>
      <c r="C11" s="29" t="inlineStr">
        <is>
          <t>일수익률 × √252</t>
        </is>
      </c>
    </row>
    <row r="12" ht="24" customHeight="1">
      <c r="A12" s="24" t="inlineStr">
        <is>
          <t>MDD</t>
        </is>
      </c>
      <c r="B12" s="30" t="n">
        <v>-0.5761658031088083</v>
      </c>
      <c r="C12" s="24" t="inlineStr">
        <is>
          <t>기간 중 최대 낙폭</t>
        </is>
      </c>
    </row>
    <row r="13" ht="24" customHeight="1">
      <c r="A13" s="29" t="inlineStr">
        <is>
          <t>52주 고가</t>
        </is>
      </c>
      <c r="B13" s="31" t="n">
        <v>114200</v>
      </c>
      <c r="C13" s="29" t="inlineStr">
        <is>
          <t>최근 252거래일</t>
        </is>
      </c>
    </row>
    <row r="14" ht="24" customHeight="1">
      <c r="A14" s="24" t="inlineStr">
        <is>
          <t>52주 저가</t>
        </is>
      </c>
      <c r="B14" s="30" t="n">
        <v>17760</v>
      </c>
      <c r="C14" s="24" t="inlineStr">
        <is>
          <t>최근 252거래일</t>
        </is>
      </c>
    </row>
    <row r="15" ht="24" customHeight="1">
      <c r="A15" s="29" t="inlineStr">
        <is>
          <t>발행주식 수</t>
        </is>
      </c>
      <c r="B15" s="31" t="n">
        <v>28966714</v>
      </c>
      <c r="C15" s="29" t="inlineStr">
        <is>
          <t>DART stockTotqySttus</t>
        </is>
      </c>
    </row>
    <row r="16" ht="24" customHeight="1">
      <c r="A16" s="24" t="inlineStr">
        <is>
          <t>시가총액</t>
        </is>
      </c>
      <c r="B16" s="30" t="n">
        <v>3108128412200</v>
      </c>
      <c r="C16" s="24" t="inlineStr">
        <is>
          <t>현재가 × 발행주식 수</t>
        </is>
      </c>
    </row>
    <row r="17" ht="24" customHeight="1">
      <c r="A17" s="22" t="inlineStr">
        <is>
          <t>최근 주가 원천 데이터</t>
        </is>
      </c>
      <c r="B17" s="32" t="n"/>
      <c r="C17" s="32" t="n"/>
      <c r="D17" s="32" t="n"/>
      <c r="E17" s="32" t="n"/>
      <c r="F17" s="33" t="n"/>
    </row>
    <row r="18" ht="24" customHeight="1">
      <c r="A18" s="25" t="inlineStr">
        <is>
          <t>일자</t>
        </is>
      </c>
      <c r="B18" s="34" t="inlineStr">
        <is>
          <t>시가</t>
        </is>
      </c>
      <c r="C18" s="25" t="inlineStr">
        <is>
          <t>고가</t>
        </is>
      </c>
      <c r="D18" s="25" t="inlineStr">
        <is>
          <t>저가</t>
        </is>
      </c>
      <c r="E18" s="25" t="inlineStr">
        <is>
          <t>종가</t>
        </is>
      </c>
      <c r="F18" s="25" t="inlineStr">
        <is>
          <t>수정종가</t>
        </is>
      </c>
      <c r="G18" s="25" t="inlineStr">
        <is>
          <t>거래량</t>
        </is>
      </c>
      <c r="H18" s="25" t="inlineStr">
        <is>
          <t>일수익률</t>
        </is>
      </c>
      <c r="I18" s="25" t="inlineStr">
        <is>
          <t>드로다운</t>
        </is>
      </c>
      <c r="J18" s="25" t="inlineStr">
        <is>
          <t>20일선</t>
        </is>
      </c>
      <c r="K18" s="25" t="inlineStr">
        <is>
          <t>60일선</t>
        </is>
      </c>
      <c r="L18" s="25" t="inlineStr">
        <is>
          <t>120일선</t>
        </is>
      </c>
      <c r="M18" s="25" t="inlineStr">
        <is>
          <t>20일 변동성</t>
        </is>
      </c>
      <c r="N18" s="25" t="inlineStr">
        <is>
          <t>60일 변동성</t>
        </is>
      </c>
      <c r="O18" s="25" t="inlineStr">
        <is>
          <t>20일 수익률</t>
        </is>
      </c>
      <c r="P18" s="25" t="inlineStr">
        <is>
          <t>60일 수익률</t>
        </is>
      </c>
      <c r="Q18" s="25" t="inlineStr">
        <is>
          <t>120일 수익률</t>
        </is>
      </c>
      <c r="R18" s="25" t="inlineStr">
        <is>
          <t>20일선 괴리</t>
        </is>
      </c>
      <c r="S18" s="25" t="inlineStr">
        <is>
          <t>60일선 괴리</t>
        </is>
      </c>
      <c r="T18" s="25" t="inlineStr">
        <is>
          <t>120일선 괴리</t>
        </is>
      </c>
      <c r="U18" s="25" t="inlineStr">
        <is>
          <t>52주 고가</t>
        </is>
      </c>
      <c r="V18" s="25" t="inlineStr">
        <is>
          <t>52주 저가</t>
        </is>
      </c>
      <c r="W18" s="25" t="inlineStr">
        <is>
          <t>52주 고가 대비</t>
        </is>
      </c>
      <c r="X18" s="25" t="inlineStr">
        <is>
          <t>52주 저가 대비</t>
        </is>
      </c>
      <c r="Y18" s="25" t="inlineStr">
        <is>
          <t>발행주식 수</t>
        </is>
      </c>
      <c r="Z18" s="25" t="inlineStr">
        <is>
          <t>시가총액</t>
        </is>
      </c>
      <c r="AA18" s="25" t="inlineStr">
        <is>
          <t>거래대금</t>
        </is>
      </c>
      <c r="AB18" s="25" t="inlineStr">
        <is>
          <t>20일 평균 거래대금</t>
        </is>
      </c>
      <c r="AC18" s="25" t="inlineStr">
        <is>
          <t>거래회전율</t>
        </is>
      </c>
      <c r="AD18" s="25" t="inlineStr">
        <is>
          <t>출처</t>
        </is>
      </c>
      <c r="AE18" s="25" t="inlineStr">
        <is>
          <t>티커</t>
        </is>
      </c>
    </row>
    <row r="19" ht="24" customHeight="1">
      <c r="A19" s="24" t="inlineStr">
        <is>
          <t>2023-07-03</t>
        </is>
      </c>
      <c r="B19" s="30" t="n">
        <v>22750</v>
      </c>
      <c r="C19" s="30" t="n">
        <v>23200</v>
      </c>
      <c r="D19" s="30" t="n">
        <v>22550</v>
      </c>
      <c r="E19" s="30" t="n">
        <v>22700</v>
      </c>
      <c r="F19" s="30" t="n">
        <v>21738.26953125</v>
      </c>
      <c r="G19" s="30" t="n">
        <v>385476</v>
      </c>
      <c r="H19" s="35" t="n">
        <v>0</v>
      </c>
      <c r="I19" s="35" t="n">
        <v>-0.148217636022514</v>
      </c>
      <c r="J19" s="30" t="n">
        <v>22110</v>
      </c>
      <c r="K19" s="30" t="n">
        <v>21238</v>
      </c>
      <c r="L19" s="30" t="n">
        <v>19873.91666666667</v>
      </c>
      <c r="M19" s="35" t="n">
        <v>0.2574456928456288</v>
      </c>
      <c r="N19" s="35" t="n">
        <v>0.4251335938332172</v>
      </c>
      <c r="O19" s="35" t="n">
        <v>0.06572769953051649</v>
      </c>
      <c r="P19" s="35" t="n">
        <v>0.1453077699293643</v>
      </c>
      <c r="Q19" s="35" t="n">
        <v>0.3313782991202345</v>
      </c>
      <c r="R19" s="35" t="n">
        <v>0.0266847580280416</v>
      </c>
      <c r="S19" s="35" t="n">
        <v>0.06883887371692254</v>
      </c>
      <c r="T19" s="35" t="n">
        <v>0.1422006230947599</v>
      </c>
      <c r="U19" s="30" t="n">
        <v>23300</v>
      </c>
      <c r="V19" s="30" t="n">
        <v>14250</v>
      </c>
      <c r="W19" s="35" t="n">
        <v>-0.02575107296137336</v>
      </c>
      <c r="X19" s="35" t="n">
        <v>0.5929824561403509</v>
      </c>
      <c r="Y19" s="30" t="n">
        <v>28966714</v>
      </c>
      <c r="Z19" s="30" t="n">
        <v>657544407800</v>
      </c>
      <c r="AA19" s="30" t="n">
        <v>8750305200</v>
      </c>
      <c r="AB19" s="30" t="n">
        <v>9200322410</v>
      </c>
      <c r="AC19" s="35" t="n">
        <v>0.01330755017638521</v>
      </c>
      <c r="AD19" s="24" t="inlineStr">
        <is>
          <t>yfinance_download</t>
        </is>
      </c>
      <c r="AE19" s="24" t="inlineStr">
        <is>
          <t>319660.KQ</t>
        </is>
      </c>
    </row>
    <row r="20" ht="24" customHeight="1">
      <c r="A20" s="29" t="inlineStr">
        <is>
          <t>2023-07-04</t>
        </is>
      </c>
      <c r="B20" s="31" t="n">
        <v>22750</v>
      </c>
      <c r="C20" s="31" t="n">
        <v>23150</v>
      </c>
      <c r="D20" s="31" t="n">
        <v>22400</v>
      </c>
      <c r="E20" s="31" t="n">
        <v>22900</v>
      </c>
      <c r="F20" s="31" t="n">
        <v>21929.796875</v>
      </c>
      <c r="G20" s="31" t="n">
        <v>234429</v>
      </c>
      <c r="H20" s="36" t="n">
        <v>0.008810572687224738</v>
      </c>
      <c r="I20" s="36" t="n">
        <v>-0.1407129455909943</v>
      </c>
      <c r="J20" s="31" t="n">
        <v>22192.5</v>
      </c>
      <c r="K20" s="31" t="n">
        <v>21283.83333333333</v>
      </c>
      <c r="L20" s="31" t="n">
        <v>19914.75</v>
      </c>
      <c r="M20" s="36" t="n">
        <v>0.2572387556244237</v>
      </c>
      <c r="N20" s="36" t="n">
        <v>0.4243304067568867</v>
      </c>
      <c r="O20" s="36" t="n">
        <v>0.0776470588235294</v>
      </c>
      <c r="P20" s="36" t="n">
        <v>0.1364764267990075</v>
      </c>
      <c r="Q20" s="36" t="n">
        <v>0.2722222222222221</v>
      </c>
      <c r="R20" s="36" t="n">
        <v>0.03188013968683112</v>
      </c>
      <c r="S20" s="36" t="n">
        <v>0.07593400311660647</v>
      </c>
      <c r="T20" s="36" t="n">
        <v>0.1499014549517317</v>
      </c>
      <c r="U20" s="31" t="n">
        <v>23300</v>
      </c>
      <c r="V20" s="31" t="n">
        <v>14250</v>
      </c>
      <c r="W20" s="36" t="n">
        <v>-0.01716738197424894</v>
      </c>
      <c r="X20" s="36" t="n">
        <v>0.6070175438596492</v>
      </c>
      <c r="Y20" s="31" t="n">
        <v>28966714</v>
      </c>
      <c r="Z20" s="31" t="n">
        <v>663337750600</v>
      </c>
      <c r="AA20" s="31" t="n">
        <v>5368424100</v>
      </c>
      <c r="AB20" s="31" t="n">
        <v>9195665177.5</v>
      </c>
      <c r="AC20" s="36" t="n">
        <v>0.008093047765100315</v>
      </c>
      <c r="AD20" s="29" t="inlineStr">
        <is>
          <t>yfinance_download</t>
        </is>
      </c>
      <c r="AE20" s="29" t="inlineStr">
        <is>
          <t>319660.KQ</t>
        </is>
      </c>
    </row>
    <row r="21" ht="24" customHeight="1">
      <c r="A21" s="24" t="inlineStr">
        <is>
          <t>2023-07-05</t>
        </is>
      </c>
      <c r="B21" s="30" t="n">
        <v>22950</v>
      </c>
      <c r="C21" s="30" t="n">
        <v>23000</v>
      </c>
      <c r="D21" s="30" t="n">
        <v>21900</v>
      </c>
      <c r="E21" s="30" t="n">
        <v>22100</v>
      </c>
      <c r="F21" s="30" t="n">
        <v>21163.689453125</v>
      </c>
      <c r="G21" s="30" t="n">
        <v>430736</v>
      </c>
      <c r="H21" s="35" t="n">
        <v>-0.03493449781659386</v>
      </c>
      <c r="I21" s="35" t="n">
        <v>-0.1707317073170732</v>
      </c>
      <c r="J21" s="30" t="n">
        <v>22242.5</v>
      </c>
      <c r="K21" s="30" t="n">
        <v>21325.33333333333</v>
      </c>
      <c r="L21" s="30" t="n">
        <v>19949.75</v>
      </c>
      <c r="M21" s="35" t="n">
        <v>0.2899036418996584</v>
      </c>
      <c r="N21" s="35" t="n">
        <v>0.4270466194098095</v>
      </c>
      <c r="O21" s="35" t="n">
        <v>0.04739336492891</v>
      </c>
      <c r="P21" s="35" t="n">
        <v>0.12697603263641</v>
      </c>
      <c r="Q21" s="35" t="n">
        <v>0.23463687150838</v>
      </c>
      <c r="R21" s="35" t="n">
        <v>-0.006406653928290429</v>
      </c>
      <c r="S21" s="35" t="n">
        <v>0.03632612229586107</v>
      </c>
      <c r="T21" s="35" t="n">
        <v>0.1077833055552075</v>
      </c>
      <c r="U21" s="30" t="n">
        <v>23300</v>
      </c>
      <c r="V21" s="30" t="n">
        <v>14250</v>
      </c>
      <c r="W21" s="35" t="n">
        <v>-0.05150214592274682</v>
      </c>
      <c r="X21" s="35" t="n">
        <v>0.5508771929824561</v>
      </c>
      <c r="Y21" s="30" t="n">
        <v>28966714</v>
      </c>
      <c r="Z21" s="30" t="n">
        <v>640164379400</v>
      </c>
      <c r="AA21" s="30" t="n">
        <v>9519265600</v>
      </c>
      <c r="AB21" s="30" t="n">
        <v>9390749477.5</v>
      </c>
      <c r="AC21" s="35" t="n">
        <v>0.01487003323884097</v>
      </c>
      <c r="AD21" s="24" t="inlineStr">
        <is>
          <t>yfinance_download</t>
        </is>
      </c>
      <c r="AE21" s="24" t="inlineStr">
        <is>
          <t>319660.KQ</t>
        </is>
      </c>
    </row>
    <row r="22" ht="24" customHeight="1">
      <c r="A22" s="29" t="inlineStr">
        <is>
          <t>2023-07-06</t>
        </is>
      </c>
      <c r="B22" s="31" t="n">
        <v>22000</v>
      </c>
      <c r="C22" s="31" t="n">
        <v>22050</v>
      </c>
      <c r="D22" s="31" t="n">
        <v>20750</v>
      </c>
      <c r="E22" s="31" t="n">
        <v>21000</v>
      </c>
      <c r="F22" s="31" t="n">
        <v>20110.296875</v>
      </c>
      <c r="G22" s="31" t="n">
        <v>602497</v>
      </c>
      <c r="H22" s="36" t="n">
        <v>-0.04977375565610864</v>
      </c>
      <c r="I22" s="36" t="n">
        <v>-0.2120075046904315</v>
      </c>
      <c r="J22" s="31" t="n">
        <v>22205</v>
      </c>
      <c r="K22" s="31" t="n">
        <v>21323.66666666667</v>
      </c>
      <c r="L22" s="31" t="n">
        <v>19976.83333333333</v>
      </c>
      <c r="M22" s="36" t="n">
        <v>0.3245053923178629</v>
      </c>
      <c r="N22" s="36" t="n">
        <v>0.4119233053395713</v>
      </c>
      <c r="O22" s="36" t="n">
        <v>-0.03448275862068961</v>
      </c>
      <c r="P22" s="36" t="n">
        <v>-0.004739336492891044</v>
      </c>
      <c r="Q22" s="36" t="n">
        <v>0.1830985915492958</v>
      </c>
      <c r="R22" s="36" t="n">
        <v>-0.05426705696915113</v>
      </c>
      <c r="S22" s="36" t="n">
        <v>-0.01517875287239534</v>
      </c>
      <c r="T22" s="36" t="n">
        <v>0.05121766045669585</v>
      </c>
      <c r="U22" s="31" t="n">
        <v>23300</v>
      </c>
      <c r="V22" s="31" t="n">
        <v>14250</v>
      </c>
      <c r="W22" s="36" t="n">
        <v>-0.09871244635193133</v>
      </c>
      <c r="X22" s="36" t="n">
        <v>0.4736842105263157</v>
      </c>
      <c r="Y22" s="31" t="n">
        <v>28966714</v>
      </c>
      <c r="Z22" s="31" t="n">
        <v>608300994000</v>
      </c>
      <c r="AA22" s="31" t="n">
        <v>12652437000</v>
      </c>
      <c r="AB22" s="31" t="n">
        <v>9404744777.5</v>
      </c>
      <c r="AC22" s="36" t="n">
        <v>0.02079963229519234</v>
      </c>
      <c r="AD22" s="29" t="inlineStr">
        <is>
          <t>yfinance_download</t>
        </is>
      </c>
      <c r="AE22" s="29" t="inlineStr">
        <is>
          <t>319660.KQ</t>
        </is>
      </c>
    </row>
    <row r="23" ht="24" customHeight="1">
      <c r="A23" s="24" t="inlineStr">
        <is>
          <t>2023-07-07</t>
        </is>
      </c>
      <c r="B23" s="30" t="n">
        <v>21000</v>
      </c>
      <c r="C23" s="30" t="n">
        <v>21100</v>
      </c>
      <c r="D23" s="30" t="n">
        <v>20550</v>
      </c>
      <c r="E23" s="30" t="n">
        <v>20800</v>
      </c>
      <c r="F23" s="30" t="n">
        <v>19918.767578125</v>
      </c>
      <c r="G23" s="30" t="n">
        <v>374711</v>
      </c>
      <c r="H23" s="35" t="n">
        <v>-0.00952380952380949</v>
      </c>
      <c r="I23" s="35" t="n">
        <v>-0.2195121951219512</v>
      </c>
      <c r="J23" s="30" t="n">
        <v>22145</v>
      </c>
      <c r="K23" s="30" t="n">
        <v>21315.33333333333</v>
      </c>
      <c r="L23" s="30" t="n">
        <v>20003.5</v>
      </c>
      <c r="M23" s="35" t="n">
        <v>0.3218633230390054</v>
      </c>
      <c r="N23" s="35" t="n">
        <v>0.4119448119020896</v>
      </c>
      <c r="O23" s="35" t="n">
        <v>-0.05454545454545456</v>
      </c>
      <c r="P23" s="35" t="n">
        <v>-0.02347417840375587</v>
      </c>
      <c r="Q23" s="35" t="n">
        <v>0.1818181818181819</v>
      </c>
      <c r="R23" s="35" t="n">
        <v>-0.060736057800858</v>
      </c>
      <c r="S23" s="35" t="n">
        <v>-0.02417664904763384</v>
      </c>
      <c r="T23" s="35" t="n">
        <v>0.03981803184442723</v>
      </c>
      <c r="U23" s="30" t="n">
        <v>23300</v>
      </c>
      <c r="V23" s="30" t="n">
        <v>14250</v>
      </c>
      <c r="W23" s="35" t="n">
        <v>-0.1072961373390557</v>
      </c>
      <c r="X23" s="35" t="n">
        <v>0.4596491228070176</v>
      </c>
      <c r="Y23" s="30" t="n">
        <v>28966714</v>
      </c>
      <c r="Z23" s="30" t="n">
        <v>602507651200</v>
      </c>
      <c r="AA23" s="30" t="n">
        <v>7793988800</v>
      </c>
      <c r="AB23" s="30" t="n">
        <v>9130513917.5</v>
      </c>
      <c r="AC23" s="35" t="n">
        <v>0.01293591672151698</v>
      </c>
      <c r="AD23" s="24" t="inlineStr">
        <is>
          <t>yfinance_download</t>
        </is>
      </c>
      <c r="AE23" s="24" t="inlineStr">
        <is>
          <t>319660.KQ</t>
        </is>
      </c>
    </row>
    <row r="24" ht="24" customHeight="1">
      <c r="A24" s="29" t="inlineStr">
        <is>
          <t>2023-07-10</t>
        </is>
      </c>
      <c r="B24" s="31" t="n">
        <v>20800</v>
      </c>
      <c r="C24" s="31" t="n">
        <v>20850</v>
      </c>
      <c r="D24" s="31" t="n">
        <v>20200</v>
      </c>
      <c r="E24" s="31" t="n">
        <v>20350</v>
      </c>
      <c r="F24" s="31" t="n">
        <v>19487.833984375</v>
      </c>
      <c r="G24" s="31" t="n">
        <v>275874</v>
      </c>
      <c r="H24" s="36" t="n">
        <v>-0.02163461538461542</v>
      </c>
      <c r="I24" s="36" t="n">
        <v>-0.2363977485928705</v>
      </c>
      <c r="J24" s="31" t="n">
        <v>22065</v>
      </c>
      <c r="K24" s="31" t="n">
        <v>21266.16666666667</v>
      </c>
      <c r="L24" s="31" t="n">
        <v>20027.25</v>
      </c>
      <c r="M24" s="36" t="n">
        <v>0.3288612871628661</v>
      </c>
      <c r="N24" s="36" t="n">
        <v>0.3647182257063</v>
      </c>
      <c r="O24" s="36" t="n">
        <v>-0.07289293849658318</v>
      </c>
      <c r="P24" s="36" t="n">
        <v>-0.1266094420600858</v>
      </c>
      <c r="Q24" s="36" t="n">
        <v>0.1628571428571428</v>
      </c>
      <c r="R24" s="36" t="n">
        <v>-0.0777249036936325</v>
      </c>
      <c r="S24" s="36" t="n">
        <v>-0.04308095017907954</v>
      </c>
      <c r="T24" s="36" t="n">
        <v>0.01611554257324399</v>
      </c>
      <c r="U24" s="31" t="n">
        <v>23300</v>
      </c>
      <c r="V24" s="31" t="n">
        <v>14250</v>
      </c>
      <c r="W24" s="36" t="n">
        <v>-0.1266094420600858</v>
      </c>
      <c r="X24" s="36" t="n">
        <v>0.4280701754385965</v>
      </c>
      <c r="Y24" s="31" t="n">
        <v>28966714</v>
      </c>
      <c r="Z24" s="31" t="n">
        <v>589472629900</v>
      </c>
      <c r="AA24" s="31" t="n">
        <v>5614035900</v>
      </c>
      <c r="AB24" s="31" t="n">
        <v>9035498660</v>
      </c>
      <c r="AC24" s="36" t="n">
        <v>0.009523827935747216</v>
      </c>
      <c r="AD24" s="29" t="inlineStr">
        <is>
          <t>yfinance_download</t>
        </is>
      </c>
      <c r="AE24" s="29" t="inlineStr">
        <is>
          <t>319660.KQ</t>
        </is>
      </c>
    </row>
    <row r="25" ht="24" customHeight="1">
      <c r="A25" s="24" t="inlineStr">
        <is>
          <t>2023-07-12</t>
        </is>
      </c>
      <c r="B25" s="30" t="n">
        <v>20800</v>
      </c>
      <c r="C25" s="30" t="n">
        <v>21400</v>
      </c>
      <c r="D25" s="30" t="n">
        <v>20600</v>
      </c>
      <c r="E25" s="30" t="n">
        <v>21250</v>
      </c>
      <c r="F25" s="30" t="n">
        <v>20349.705078125</v>
      </c>
      <c r="G25" s="30" t="n">
        <v>277634</v>
      </c>
      <c r="H25" s="35" t="n">
        <v>0.04422604422604426</v>
      </c>
      <c r="I25" s="35" t="n">
        <v>-0.2026266416510319</v>
      </c>
      <c r="J25" s="30" t="n">
        <v>22007.5</v>
      </c>
      <c r="K25" s="30" t="n">
        <v>21245.33333333333</v>
      </c>
      <c r="L25" s="30" t="n">
        <v>20058.08333333333</v>
      </c>
      <c r="M25" s="35" t="n">
        <v>0.3610977500637934</v>
      </c>
      <c r="N25" s="35" t="n">
        <v>0.3704583736312954</v>
      </c>
      <c r="O25" s="35" t="n">
        <v>-0.0513392857142857</v>
      </c>
      <c r="P25" s="35" t="n">
        <v>-0.05555555555555558</v>
      </c>
      <c r="Q25" s="35" t="n">
        <v>0.2108262108262109</v>
      </c>
      <c r="R25" s="35" t="n">
        <v>-0.0344200840622515</v>
      </c>
      <c r="S25" s="35" t="n">
        <v>0.0002196560813356729</v>
      </c>
      <c r="T25" s="35" t="n">
        <v>0.05942325828739037</v>
      </c>
      <c r="U25" s="30" t="n">
        <v>23300</v>
      </c>
      <c r="V25" s="30" t="n">
        <v>14250</v>
      </c>
      <c r="W25" s="35" t="n">
        <v>-0.08798283261802575</v>
      </c>
      <c r="X25" s="35" t="n">
        <v>0.4912280701754386</v>
      </c>
      <c r="Y25" s="30" t="n">
        <v>28966714</v>
      </c>
      <c r="Z25" s="30" t="n">
        <v>615542672500</v>
      </c>
      <c r="AA25" s="30" t="n">
        <v>5899722500</v>
      </c>
      <c r="AB25" s="30" t="n">
        <v>8582083985</v>
      </c>
      <c r="AC25" s="35" t="n">
        <v>0.009584587330133476</v>
      </c>
      <c r="AD25" s="24" t="inlineStr">
        <is>
          <t>yfinance_download</t>
        </is>
      </c>
      <c r="AE25" s="24" t="inlineStr">
        <is>
          <t>319660.KQ</t>
        </is>
      </c>
    </row>
    <row r="26" ht="24" customHeight="1">
      <c r="A26" s="29" t="inlineStr">
        <is>
          <t>2023-07-13</t>
        </is>
      </c>
      <c r="B26" s="31" t="n">
        <v>21600</v>
      </c>
      <c r="C26" s="31" t="n">
        <v>21750</v>
      </c>
      <c r="D26" s="31" t="n">
        <v>21250</v>
      </c>
      <c r="E26" s="31" t="n">
        <v>21650</v>
      </c>
      <c r="F26" s="31" t="n">
        <v>20732.7578125</v>
      </c>
      <c r="G26" s="31" t="n">
        <v>311777</v>
      </c>
      <c r="H26" s="36" t="n">
        <v>0.01882352941176468</v>
      </c>
      <c r="I26" s="36" t="n">
        <v>-0.1876172607879925</v>
      </c>
      <c r="J26" s="31" t="n">
        <v>22005</v>
      </c>
      <c r="K26" s="31" t="n">
        <v>21242</v>
      </c>
      <c r="L26" s="31" t="n">
        <v>20092.66666666667</v>
      </c>
      <c r="M26" s="36" t="n">
        <v>0.3516305931371255</v>
      </c>
      <c r="N26" s="36" t="n">
        <v>0.3678403685862259</v>
      </c>
      <c r="O26" s="36" t="n">
        <v>-0.002304147465437834</v>
      </c>
      <c r="P26" s="36" t="n">
        <v>-0.009153318077803174</v>
      </c>
      <c r="Q26" s="36" t="n">
        <v>0.2371428571428571</v>
      </c>
      <c r="R26" s="36" t="n">
        <v>-0.01613269711429222</v>
      </c>
      <c r="S26" s="36" t="n">
        <v>0.01920723095753685</v>
      </c>
      <c r="T26" s="36" t="n">
        <v>0.07750754835926865</v>
      </c>
      <c r="U26" s="31" t="n">
        <v>23300</v>
      </c>
      <c r="V26" s="31" t="n">
        <v>14250</v>
      </c>
      <c r="W26" s="36" t="n">
        <v>-0.07081545064377681</v>
      </c>
      <c r="X26" s="36" t="n">
        <v>0.5192982456140351</v>
      </c>
      <c r="Y26" s="31" t="n">
        <v>28966714</v>
      </c>
      <c r="Z26" s="31" t="n">
        <v>627129358100</v>
      </c>
      <c r="AA26" s="31" t="n">
        <v>6749972050</v>
      </c>
      <c r="AB26" s="31" t="n">
        <v>8423897082.5</v>
      </c>
      <c r="AC26" s="36" t="n">
        <v>0.01076328505884375</v>
      </c>
      <c r="AD26" s="29" t="inlineStr">
        <is>
          <t>yfinance_download</t>
        </is>
      </c>
      <c r="AE26" s="29" t="inlineStr">
        <is>
          <t>319660.KQ</t>
        </is>
      </c>
    </row>
    <row r="27" ht="24" customHeight="1">
      <c r="A27" s="24" t="inlineStr">
        <is>
          <t>2023-07-14</t>
        </is>
      </c>
      <c r="B27" s="30" t="n">
        <v>21750</v>
      </c>
      <c r="C27" s="30" t="n">
        <v>22200</v>
      </c>
      <c r="D27" s="30" t="n">
        <v>21500</v>
      </c>
      <c r="E27" s="30" t="n">
        <v>21650</v>
      </c>
      <c r="F27" s="30" t="n">
        <v>20732.7578125</v>
      </c>
      <c r="G27" s="30" t="n">
        <v>613195</v>
      </c>
      <c r="H27" s="35" t="n">
        <v>0</v>
      </c>
      <c r="I27" s="35" t="n">
        <v>-0.1876172607879925</v>
      </c>
      <c r="J27" s="30" t="n">
        <v>21970</v>
      </c>
      <c r="K27" s="30" t="n">
        <v>21240.33333333333</v>
      </c>
      <c r="L27" s="30" t="n">
        <v>20130.58333333333</v>
      </c>
      <c r="M27" s="35" t="n">
        <v>0.3335311910835089</v>
      </c>
      <c r="N27" s="35" t="n">
        <v>0.3677110125285291</v>
      </c>
      <c r="O27" s="35" t="n">
        <v>-0.03131991051454142</v>
      </c>
      <c r="P27" s="35" t="n">
        <v>-0.00459770114942526</v>
      </c>
      <c r="Q27" s="35" t="n">
        <v>0.2660818713450293</v>
      </c>
      <c r="R27" s="35" t="n">
        <v>-0.01456531634046432</v>
      </c>
      <c r="S27" s="35" t="n">
        <v>0.01928720515999438</v>
      </c>
      <c r="T27" s="35" t="n">
        <v>0.07547802473019916</v>
      </c>
      <c r="U27" s="30" t="n">
        <v>23300</v>
      </c>
      <c r="V27" s="30" t="n">
        <v>14250</v>
      </c>
      <c r="W27" s="35" t="n">
        <v>-0.07081545064377681</v>
      </c>
      <c r="X27" s="35" t="n">
        <v>0.5192982456140351</v>
      </c>
      <c r="Y27" s="30" t="n">
        <v>28966714</v>
      </c>
      <c r="Z27" s="30" t="n">
        <v>627129358100</v>
      </c>
      <c r="AA27" s="30" t="n">
        <v>13275671750</v>
      </c>
      <c r="AB27" s="30" t="n">
        <v>8422681005</v>
      </c>
      <c r="AC27" s="35" t="n">
        <v>0.02116895275038791</v>
      </c>
      <c r="AD27" s="24" t="inlineStr">
        <is>
          <t>yfinance_download</t>
        </is>
      </c>
      <c r="AE27" s="24" t="inlineStr">
        <is>
          <t>319660.KQ</t>
        </is>
      </c>
    </row>
    <row r="28" ht="24" customHeight="1">
      <c r="A28" s="29" t="inlineStr">
        <is>
          <t>2023-07-17</t>
        </is>
      </c>
      <c r="B28" s="31" t="n">
        <v>21400</v>
      </c>
      <c r="C28" s="31" t="n">
        <v>24400</v>
      </c>
      <c r="D28" s="31" t="n">
        <v>21200</v>
      </c>
      <c r="E28" s="31" t="n">
        <v>23350</v>
      </c>
      <c r="F28" s="31" t="n">
        <v>22360.732421875</v>
      </c>
      <c r="G28" s="31" t="n">
        <v>1897384</v>
      </c>
      <c r="H28" s="36" t="n">
        <v>0.07852193995381063</v>
      </c>
      <c r="I28" s="36" t="n">
        <v>-0.1238273921200751</v>
      </c>
      <c r="J28" s="31" t="n">
        <v>22035</v>
      </c>
      <c r="K28" s="31" t="n">
        <v>21266.16666666667</v>
      </c>
      <c r="L28" s="31" t="n">
        <v>20179.75</v>
      </c>
      <c r="M28" s="36" t="n">
        <v>0.4340362407045111</v>
      </c>
      <c r="N28" s="36" t="n">
        <v>0.4012362784891337</v>
      </c>
      <c r="O28" s="36" t="n">
        <v>0.05895691609977316</v>
      </c>
      <c r="P28" s="36" t="n">
        <v>0.07110091743119273</v>
      </c>
      <c r="Q28" s="36" t="n">
        <v>0.33810888252149</v>
      </c>
      <c r="R28" s="36" t="n">
        <v>0.05967778534150225</v>
      </c>
      <c r="S28" s="36" t="n">
        <v>0.09798819721466789</v>
      </c>
      <c r="T28" s="36" t="n">
        <v>0.1571005587284282</v>
      </c>
      <c r="U28" s="31" t="n">
        <v>23350</v>
      </c>
      <c r="V28" s="31" t="n">
        <v>14250</v>
      </c>
      <c r="W28" s="36" t="n">
        <v>0</v>
      </c>
      <c r="X28" s="36" t="n">
        <v>0.6385964912280702</v>
      </c>
      <c r="Y28" s="31" t="n">
        <v>28966714</v>
      </c>
      <c r="Z28" s="31" t="n">
        <v>676372771900</v>
      </c>
      <c r="AA28" s="31" t="n">
        <v>44303916400</v>
      </c>
      <c r="AB28" s="31" t="n">
        <v>10298698212.5</v>
      </c>
      <c r="AC28" s="36" t="n">
        <v>0.06550221747623841</v>
      </c>
      <c r="AD28" s="29" t="inlineStr">
        <is>
          <t>yfinance_download</t>
        </is>
      </c>
      <c r="AE28" s="29" t="inlineStr">
        <is>
          <t>319660.KQ</t>
        </is>
      </c>
    </row>
    <row r="29" ht="24" customHeight="1">
      <c r="A29" s="24" t="inlineStr">
        <is>
          <t>2023-07-18</t>
        </is>
      </c>
      <c r="B29" s="30" t="n">
        <v>23650</v>
      </c>
      <c r="C29" s="30" t="n">
        <v>23650</v>
      </c>
      <c r="D29" s="30" t="n">
        <v>22400</v>
      </c>
      <c r="E29" s="30" t="n">
        <v>22700</v>
      </c>
      <c r="F29" s="30" t="n">
        <v>21738.26953125</v>
      </c>
      <c r="G29" s="30" t="n">
        <v>662772</v>
      </c>
      <c r="H29" s="35" t="n">
        <v>-0.02783725910064239</v>
      </c>
      <c r="I29" s="35" t="n">
        <v>-0.148217636022514</v>
      </c>
      <c r="J29" s="30" t="n">
        <v>22075</v>
      </c>
      <c r="K29" s="30" t="n">
        <v>21292.83333333333</v>
      </c>
      <c r="L29" s="30" t="n">
        <v>20222.25</v>
      </c>
      <c r="M29" s="35" t="n">
        <v>0.446714279125467</v>
      </c>
      <c r="N29" s="35" t="n">
        <v>0.3998026262989241</v>
      </c>
      <c r="O29" s="35" t="n">
        <v>0.0365296803652968</v>
      </c>
      <c r="P29" s="35" t="n">
        <v>0.07582938388625582</v>
      </c>
      <c r="Q29" s="35" t="n">
        <v>0.2897727272727273</v>
      </c>
      <c r="R29" s="35" t="n">
        <v>0.0283125707814269</v>
      </c>
      <c r="S29" s="35" t="n">
        <v>0.06608639839695685</v>
      </c>
      <c r="T29" s="35" t="n">
        <v>0.1225259305962492</v>
      </c>
      <c r="U29" s="30" t="n">
        <v>23350</v>
      </c>
      <c r="V29" s="30" t="n">
        <v>14250</v>
      </c>
      <c r="W29" s="35" t="n">
        <v>-0.02783725910064239</v>
      </c>
      <c r="X29" s="35" t="n">
        <v>0.5929824561403509</v>
      </c>
      <c r="Y29" s="30" t="n">
        <v>28966714</v>
      </c>
      <c r="Z29" s="30" t="n">
        <v>657544407800</v>
      </c>
      <c r="AA29" s="30" t="n">
        <v>15044924400</v>
      </c>
      <c r="AB29" s="30" t="n">
        <v>10724144967.5</v>
      </c>
      <c r="AC29" s="35" t="n">
        <v>0.02288046894100587</v>
      </c>
      <c r="AD29" s="24" t="inlineStr">
        <is>
          <t>yfinance_download</t>
        </is>
      </c>
      <c r="AE29" s="24" t="inlineStr">
        <is>
          <t>319660.KQ</t>
        </is>
      </c>
    </row>
    <row r="30" ht="24" customHeight="1">
      <c r="A30" s="29" t="inlineStr">
        <is>
          <t>2023-07-19</t>
        </is>
      </c>
      <c r="B30" s="31" t="n">
        <v>22750</v>
      </c>
      <c r="C30" s="31" t="n">
        <v>23100</v>
      </c>
      <c r="D30" s="31" t="n">
        <v>22150</v>
      </c>
      <c r="E30" s="31" t="n">
        <v>22650</v>
      </c>
      <c r="F30" s="31" t="n">
        <v>21690.388671875</v>
      </c>
      <c r="G30" s="31" t="n">
        <v>385871</v>
      </c>
      <c r="H30" s="36" t="n">
        <v>-0.002202643171806185</v>
      </c>
      <c r="I30" s="36" t="n">
        <v>-0.150093808630394</v>
      </c>
      <c r="J30" s="31" t="n">
        <v>22107.5</v>
      </c>
      <c r="K30" s="31" t="n">
        <v>21322</v>
      </c>
      <c r="L30" s="31" t="n">
        <v>20267.25</v>
      </c>
      <c r="M30" s="36" t="n">
        <v>0.4468781107402395</v>
      </c>
      <c r="N30" s="36" t="n">
        <v>0.3992249408814605</v>
      </c>
      <c r="O30" s="36" t="n">
        <v>0.02954545454545454</v>
      </c>
      <c r="P30" s="36" t="n">
        <v>0.08373205741626788</v>
      </c>
      <c r="Q30" s="36" t="n">
        <v>0.3130434782608695</v>
      </c>
      <c r="R30" s="36" t="n">
        <v>0.02453918353499951</v>
      </c>
      <c r="S30" s="36" t="n">
        <v>0.0622830878904419</v>
      </c>
      <c r="T30" s="36" t="n">
        <v>0.1175665174110943</v>
      </c>
      <c r="U30" s="31" t="n">
        <v>23350</v>
      </c>
      <c r="V30" s="31" t="n">
        <v>14250</v>
      </c>
      <c r="W30" s="36" t="n">
        <v>-0.02997858672376874</v>
      </c>
      <c r="X30" s="36" t="n">
        <v>0.5894736842105264</v>
      </c>
      <c r="Y30" s="31" t="n">
        <v>28966714</v>
      </c>
      <c r="Z30" s="31" t="n">
        <v>656096072100</v>
      </c>
      <c r="AA30" s="31" t="n">
        <v>8739978150</v>
      </c>
      <c r="AB30" s="31" t="n">
        <v>10754174675</v>
      </c>
      <c r="AC30" s="36" t="n">
        <v>0.01332118651773895</v>
      </c>
      <c r="AD30" s="29" t="inlineStr">
        <is>
          <t>yfinance_download</t>
        </is>
      </c>
      <c r="AE30" s="29" t="inlineStr">
        <is>
          <t>319660.KQ</t>
        </is>
      </c>
    </row>
    <row r="31" ht="24" customHeight="1">
      <c r="A31" s="24" t="inlineStr">
        <is>
          <t>2023-07-20</t>
        </is>
      </c>
      <c r="B31" s="30" t="n">
        <v>22300</v>
      </c>
      <c r="C31" s="30" t="n">
        <v>23100</v>
      </c>
      <c r="D31" s="30" t="n">
        <v>22050</v>
      </c>
      <c r="E31" s="30" t="n">
        <v>22950</v>
      </c>
      <c r="F31" s="30" t="n">
        <v>21977.677734375</v>
      </c>
      <c r="G31" s="30" t="n">
        <v>354662</v>
      </c>
      <c r="H31" s="35" t="n">
        <v>0.01324503311258285</v>
      </c>
      <c r="I31" s="35" t="n">
        <v>-0.1388367729831145</v>
      </c>
      <c r="J31" s="30" t="n">
        <v>22160</v>
      </c>
      <c r="K31" s="30" t="n">
        <v>21363.66666666667</v>
      </c>
      <c r="L31" s="30" t="n">
        <v>20303.5</v>
      </c>
      <c r="M31" s="35" t="n">
        <v>0.447973513619515</v>
      </c>
      <c r="N31" s="35" t="n">
        <v>0.3969566586348159</v>
      </c>
      <c r="O31" s="35" t="n">
        <v>0.04794520547945202</v>
      </c>
      <c r="P31" s="35" t="n">
        <v>0.1222493887530562</v>
      </c>
      <c r="Q31" s="35" t="n">
        <v>0.2338709677419355</v>
      </c>
      <c r="R31" s="35" t="n">
        <v>0.0356498194945849</v>
      </c>
      <c r="S31" s="35" t="n">
        <v>0.07425379538468735</v>
      </c>
      <c r="T31" s="35" t="n">
        <v>0.1303469845100598</v>
      </c>
      <c r="U31" s="30" t="n">
        <v>23350</v>
      </c>
      <c r="V31" s="30" t="n">
        <v>14250</v>
      </c>
      <c r="W31" s="35" t="n">
        <v>-0.01713062098501072</v>
      </c>
      <c r="X31" s="35" t="n">
        <v>0.6105263157894736</v>
      </c>
      <c r="Y31" s="30" t="n">
        <v>28966714</v>
      </c>
      <c r="Z31" s="30" t="n">
        <v>664786086300</v>
      </c>
      <c r="AA31" s="30" t="n">
        <v>8139492900</v>
      </c>
      <c r="AB31" s="30" t="n">
        <v>10653874145</v>
      </c>
      <c r="AC31" s="35" t="n">
        <v>0.01224377746126123</v>
      </c>
      <c r="AD31" s="24" t="inlineStr">
        <is>
          <t>yfinance_download</t>
        </is>
      </c>
      <c r="AE31" s="24" t="inlineStr">
        <is>
          <t>319660.KQ</t>
        </is>
      </c>
    </row>
    <row r="32" ht="24" customHeight="1">
      <c r="A32" s="29" t="inlineStr">
        <is>
          <t>2023-07-21</t>
        </is>
      </c>
      <c r="B32" s="31" t="n">
        <v>22350</v>
      </c>
      <c r="C32" s="31" t="n">
        <v>22500</v>
      </c>
      <c r="D32" s="31" t="n">
        <v>21750</v>
      </c>
      <c r="E32" s="31" t="n">
        <v>22150</v>
      </c>
      <c r="F32" s="31" t="n">
        <v>21211.572265625</v>
      </c>
      <c r="G32" s="31" t="n">
        <v>401293</v>
      </c>
      <c r="H32" s="36" t="n">
        <v>-0.03485838779956429</v>
      </c>
      <c r="I32" s="36" t="n">
        <v>-0.1688555347091932</v>
      </c>
      <c r="J32" s="31" t="n">
        <v>22177.5</v>
      </c>
      <c r="K32" s="31" t="n">
        <v>21382</v>
      </c>
      <c r="L32" s="31" t="n">
        <v>20333.75</v>
      </c>
      <c r="M32" s="36" t="n">
        <v>0.4670063521423265</v>
      </c>
      <c r="N32" s="36" t="n">
        <v>0.4000189396536505</v>
      </c>
      <c r="O32" s="36" t="n">
        <v>0.01605504587155959</v>
      </c>
      <c r="P32" s="36" t="n">
        <v>0.05225653206650827</v>
      </c>
      <c r="Q32" s="36" t="n">
        <v>0.1960043196544277</v>
      </c>
      <c r="R32" s="36" t="n">
        <v>-0.001239995490925461</v>
      </c>
      <c r="S32" s="36" t="n">
        <v>0.03591806192124225</v>
      </c>
      <c r="T32" s="36" t="n">
        <v>0.08932194012417782</v>
      </c>
      <c r="U32" s="31" t="n">
        <v>23350</v>
      </c>
      <c r="V32" s="31" t="n">
        <v>14250</v>
      </c>
      <c r="W32" s="36" t="n">
        <v>-0.05139186295503217</v>
      </c>
      <c r="X32" s="36" t="n">
        <v>0.5543859649122806</v>
      </c>
      <c r="Y32" s="31" t="n">
        <v>28966714</v>
      </c>
      <c r="Z32" s="31" t="n">
        <v>641612715100</v>
      </c>
      <c r="AA32" s="31" t="n">
        <v>8888639950</v>
      </c>
      <c r="AB32" s="31" t="n">
        <v>10852686632.5</v>
      </c>
      <c r="AC32" s="36" t="n">
        <v>0.01385359071104855</v>
      </c>
      <c r="AD32" s="29" t="inlineStr">
        <is>
          <t>yfinance_download</t>
        </is>
      </c>
      <c r="AE32" s="29" t="inlineStr">
        <is>
          <t>319660.KQ</t>
        </is>
      </c>
    </row>
    <row r="33" ht="24" customHeight="1">
      <c r="A33" s="24" t="inlineStr">
        <is>
          <t>2023-07-24</t>
        </is>
      </c>
      <c r="B33" s="30" t="n">
        <v>22050</v>
      </c>
      <c r="C33" s="30" t="n">
        <v>22500</v>
      </c>
      <c r="D33" s="30" t="n">
        <v>21450</v>
      </c>
      <c r="E33" s="30" t="n">
        <v>22500</v>
      </c>
      <c r="F33" s="30" t="n">
        <v>21546.744140625</v>
      </c>
      <c r="G33" s="30" t="n">
        <v>402844</v>
      </c>
      <c r="H33" s="35" t="n">
        <v>0.01580135440180586</v>
      </c>
      <c r="I33" s="35" t="n">
        <v>-0.1557223264540337</v>
      </c>
      <c r="J33" s="30" t="n">
        <v>22212.5</v>
      </c>
      <c r="K33" s="30" t="n">
        <v>21417</v>
      </c>
      <c r="L33" s="30" t="n">
        <v>20369.16666666667</v>
      </c>
      <c r="M33" s="35" t="n">
        <v>0.4698263169939632</v>
      </c>
      <c r="N33" s="35" t="n">
        <v>0.3954654228313502</v>
      </c>
      <c r="O33" s="35" t="n">
        <v>0.03211009174311918</v>
      </c>
      <c r="P33" s="35" t="n">
        <v>0.1029411764705883</v>
      </c>
      <c r="Q33" s="35" t="n">
        <v>0.2328767123287672</v>
      </c>
      <c r="R33" s="35" t="n">
        <v>0.01294316263365225</v>
      </c>
      <c r="S33" s="35" t="n">
        <v>0.05056730634542661</v>
      </c>
      <c r="T33" s="35" t="n">
        <v>0.1046107269975043</v>
      </c>
      <c r="U33" s="30" t="n">
        <v>23350</v>
      </c>
      <c r="V33" s="30" t="n">
        <v>14250</v>
      </c>
      <c r="W33" s="35" t="n">
        <v>-0.0364025695931478</v>
      </c>
      <c r="X33" s="35" t="n">
        <v>0.5789473684210527</v>
      </c>
      <c r="Y33" s="30" t="n">
        <v>28966714</v>
      </c>
      <c r="Z33" s="30" t="n">
        <v>651751065000</v>
      </c>
      <c r="AA33" s="30" t="n">
        <v>9063990000</v>
      </c>
      <c r="AB33" s="30" t="n">
        <v>10777402902.5</v>
      </c>
      <c r="AC33" s="35" t="n">
        <v>0.01390713492735144</v>
      </c>
      <c r="AD33" s="24" t="inlineStr">
        <is>
          <t>yfinance_download</t>
        </is>
      </c>
      <c r="AE33" s="24" t="inlineStr">
        <is>
          <t>319660.KQ</t>
        </is>
      </c>
    </row>
    <row r="34" ht="24" customHeight="1">
      <c r="A34" s="29" t="inlineStr">
        <is>
          <t>2023-07-25</t>
        </is>
      </c>
      <c r="B34" s="31" t="n">
        <v>22700</v>
      </c>
      <c r="C34" s="31" t="n">
        <v>22950</v>
      </c>
      <c r="D34" s="31" t="n">
        <v>22100</v>
      </c>
      <c r="E34" s="31" t="n">
        <v>22600</v>
      </c>
      <c r="F34" s="31" t="n">
        <v>21642.505859375</v>
      </c>
      <c r="G34" s="31" t="n">
        <v>333320</v>
      </c>
      <c r="H34" s="36" t="n">
        <v>0.004444444444444473</v>
      </c>
      <c r="I34" s="36" t="n">
        <v>-0.1519699812382739</v>
      </c>
      <c r="J34" s="31" t="n">
        <v>22225</v>
      </c>
      <c r="K34" s="31" t="n">
        <v>21461.16666666667</v>
      </c>
      <c r="L34" s="31" t="n">
        <v>20411.5</v>
      </c>
      <c r="M34" s="36" t="n">
        <v>0.4619185754490133</v>
      </c>
      <c r="N34" s="36" t="n">
        <v>0.3923150191579851</v>
      </c>
      <c r="O34" s="36" t="n">
        <v>0.01118568232662187</v>
      </c>
      <c r="P34" s="36" t="n">
        <v>0.1328320802005012</v>
      </c>
      <c r="Q34" s="36" t="n">
        <v>0.2899543378995433</v>
      </c>
      <c r="R34" s="36" t="n">
        <v>0.01687289088863886</v>
      </c>
      <c r="S34" s="36" t="n">
        <v>0.05306483804080231</v>
      </c>
      <c r="T34" s="36" t="n">
        <v>0.1072189696984542</v>
      </c>
      <c r="U34" s="31" t="n">
        <v>23350</v>
      </c>
      <c r="V34" s="31" t="n">
        <v>14250</v>
      </c>
      <c r="W34" s="36" t="n">
        <v>-0.0321199143468951</v>
      </c>
      <c r="X34" s="36" t="n">
        <v>0.5859649122807018</v>
      </c>
      <c r="Y34" s="31" t="n">
        <v>28966714</v>
      </c>
      <c r="Z34" s="31" t="n">
        <v>654647736400</v>
      </c>
      <c r="AA34" s="31" t="n">
        <v>7533032000</v>
      </c>
      <c r="AB34" s="31" t="n">
        <v>10706543805</v>
      </c>
      <c r="AC34" s="36" t="n">
        <v>0.01150700075956147</v>
      </c>
      <c r="AD34" s="29" t="inlineStr">
        <is>
          <t>yfinance_download</t>
        </is>
      </c>
      <c r="AE34" s="29" t="inlineStr">
        <is>
          <t>319660.KQ</t>
        </is>
      </c>
    </row>
    <row r="35" ht="24" customHeight="1">
      <c r="A35" s="24" t="inlineStr">
        <is>
          <t>2023-07-26</t>
        </is>
      </c>
      <c r="B35" s="30" t="n">
        <v>22650</v>
      </c>
      <c r="C35" s="30" t="n">
        <v>22850</v>
      </c>
      <c r="D35" s="30" t="n">
        <v>21250</v>
      </c>
      <c r="E35" s="30" t="n">
        <v>21400</v>
      </c>
      <c r="F35" s="30" t="n">
        <v>20493.349609375</v>
      </c>
      <c r="G35" s="30" t="n">
        <v>559333</v>
      </c>
      <c r="H35" s="35" t="n">
        <v>-0.05309734513274333</v>
      </c>
      <c r="I35" s="35" t="n">
        <v>-0.1969981238273921</v>
      </c>
      <c r="J35" s="30" t="n">
        <v>22160</v>
      </c>
      <c r="K35" s="30" t="n">
        <v>21478.66666666667</v>
      </c>
      <c r="L35" s="30" t="n">
        <v>20441.75</v>
      </c>
      <c r="M35" s="35" t="n">
        <v>0.496098382234501</v>
      </c>
      <c r="N35" s="35" t="n">
        <v>0.4066196217769287</v>
      </c>
      <c r="O35" s="35" t="n">
        <v>-0.05726872246696035</v>
      </c>
      <c r="P35" s="35" t="n">
        <v>0.05159705159705164</v>
      </c>
      <c r="Q35" s="35" t="n">
        <v>0.2042768711311198</v>
      </c>
      <c r="R35" s="35" t="n">
        <v>-0.03429602888086647</v>
      </c>
      <c r="S35" s="35" t="n">
        <v>-0.003662548885716155</v>
      </c>
      <c r="T35" s="35" t="n">
        <v>0.04687710200936812</v>
      </c>
      <c r="U35" s="30" t="n">
        <v>23350</v>
      </c>
      <c r="V35" s="30" t="n">
        <v>14250</v>
      </c>
      <c r="W35" s="35" t="n">
        <v>-0.08351177730192716</v>
      </c>
      <c r="X35" s="35" t="n">
        <v>0.5017543859649123</v>
      </c>
      <c r="Y35" s="30" t="n">
        <v>28966714</v>
      </c>
      <c r="Z35" s="30" t="n">
        <v>619887679600</v>
      </c>
      <c r="AA35" s="30" t="n">
        <v>11969726200</v>
      </c>
      <c r="AB35" s="30" t="n">
        <v>10823381515</v>
      </c>
      <c r="AC35" s="35" t="n">
        <v>0.01930950814786931</v>
      </c>
      <c r="AD35" s="24" t="inlineStr">
        <is>
          <t>yfinance_download</t>
        </is>
      </c>
      <c r="AE35" s="24" t="inlineStr">
        <is>
          <t>319660.KQ</t>
        </is>
      </c>
    </row>
    <row r="36" ht="24" customHeight="1">
      <c r="A36" s="29" t="inlineStr">
        <is>
          <t>2023-07-27</t>
        </is>
      </c>
      <c r="B36" s="31" t="n">
        <v>21600</v>
      </c>
      <c r="C36" s="31" t="n">
        <v>22700</v>
      </c>
      <c r="D36" s="31" t="n">
        <v>21350</v>
      </c>
      <c r="E36" s="31" t="n">
        <v>22650</v>
      </c>
      <c r="F36" s="31" t="n">
        <v>21690.388671875</v>
      </c>
      <c r="G36" s="31" t="n">
        <v>546703</v>
      </c>
      <c r="H36" s="36" t="n">
        <v>0.05841121495327095</v>
      </c>
      <c r="I36" s="36" t="n">
        <v>-0.150093808630394</v>
      </c>
      <c r="J36" s="31" t="n">
        <v>22157.5</v>
      </c>
      <c r="K36" s="31" t="n">
        <v>21508.66666666667</v>
      </c>
      <c r="L36" s="31" t="n">
        <v>20480.33333333333</v>
      </c>
      <c r="M36" s="36" t="n">
        <v>0.5412506745876238</v>
      </c>
      <c r="N36" s="36" t="n">
        <v>0.4206160999569391</v>
      </c>
      <c r="O36" s="36" t="n">
        <v>-0.002202643171806185</v>
      </c>
      <c r="P36" s="36" t="n">
        <v>0.08633093525179847</v>
      </c>
      <c r="Q36" s="36" t="n">
        <v>0.2569367369589346</v>
      </c>
      <c r="R36" s="36" t="n">
        <v>0.02222723682725936</v>
      </c>
      <c r="S36" s="36" t="n">
        <v>0.05306388122617234</v>
      </c>
      <c r="T36" s="36" t="n">
        <v>0.1059390309402517</v>
      </c>
      <c r="U36" s="31" t="n">
        <v>23350</v>
      </c>
      <c r="V36" s="31" t="n">
        <v>14250</v>
      </c>
      <c r="W36" s="36" t="n">
        <v>-0.02997858672376874</v>
      </c>
      <c r="X36" s="36" t="n">
        <v>0.5894736842105264</v>
      </c>
      <c r="Y36" s="31" t="n">
        <v>28966714</v>
      </c>
      <c r="Z36" s="31" t="n">
        <v>656096072100</v>
      </c>
      <c r="AA36" s="31" t="n">
        <v>12382822950</v>
      </c>
      <c r="AB36" s="31" t="n">
        <v>10940517837.5</v>
      </c>
      <c r="AC36" s="36" t="n">
        <v>0.01887349044838155</v>
      </c>
      <c r="AD36" s="29" t="inlineStr">
        <is>
          <t>yfinance_download</t>
        </is>
      </c>
      <c r="AE36" s="29" t="inlineStr">
        <is>
          <t>319660.KQ</t>
        </is>
      </c>
    </row>
    <row r="37" ht="24" customHeight="1">
      <c r="A37" s="24" t="inlineStr">
        <is>
          <t>2023-07-28</t>
        </is>
      </c>
      <c r="B37" s="30" t="n">
        <v>23000</v>
      </c>
      <c r="C37" s="30" t="n">
        <v>23400</v>
      </c>
      <c r="D37" s="30" t="n">
        <v>22350</v>
      </c>
      <c r="E37" s="30" t="n">
        <v>23150</v>
      </c>
      <c r="F37" s="30" t="n">
        <v>22169.205078125</v>
      </c>
      <c r="G37" s="30" t="n">
        <v>631635</v>
      </c>
      <c r="H37" s="35" t="n">
        <v>0.02207505518763786</v>
      </c>
      <c r="I37" s="35" t="n">
        <v>-0.1313320825515948</v>
      </c>
      <c r="J37" s="30" t="n">
        <v>22160</v>
      </c>
      <c r="K37" s="30" t="n">
        <v>21550.33333333333</v>
      </c>
      <c r="L37" s="30" t="n">
        <v>20521.41666666667</v>
      </c>
      <c r="M37" s="35" t="n">
        <v>0.5433530665229964</v>
      </c>
      <c r="N37" s="35" t="n">
        <v>0.4219827402122094</v>
      </c>
      <c r="O37" s="35" t="n">
        <v>0.002164502164502258</v>
      </c>
      <c r="P37" s="35" t="n">
        <v>0.1210653753026634</v>
      </c>
      <c r="Q37" s="35" t="n">
        <v>0.2705817782656421</v>
      </c>
      <c r="R37" s="35" t="n">
        <v>0.04467509025270755</v>
      </c>
      <c r="S37" s="35" t="n">
        <v>0.07422932359901635</v>
      </c>
      <c r="T37" s="35" t="n">
        <v>0.1280897598849982</v>
      </c>
      <c r="U37" s="30" t="n">
        <v>23350</v>
      </c>
      <c r="V37" s="30" t="n">
        <v>14250</v>
      </c>
      <c r="W37" s="35" t="n">
        <v>-0.008565310492505307</v>
      </c>
      <c r="X37" s="35" t="n">
        <v>0.6245614035087719</v>
      </c>
      <c r="Y37" s="30" t="n">
        <v>28966714</v>
      </c>
      <c r="Z37" s="30" t="n">
        <v>670579429100</v>
      </c>
      <c r="AA37" s="30" t="n">
        <v>14622350250</v>
      </c>
      <c r="AB37" s="30" t="n">
        <v>11176466060</v>
      </c>
      <c r="AC37" s="35" t="n">
        <v>0.02180554549611668</v>
      </c>
      <c r="AD37" s="24" t="inlineStr">
        <is>
          <t>yfinance_download</t>
        </is>
      </c>
      <c r="AE37" s="24" t="inlineStr">
        <is>
          <t>319660.KQ</t>
        </is>
      </c>
    </row>
    <row r="38" ht="24" customHeight="1">
      <c r="A38" s="29" t="inlineStr">
        <is>
          <t>2023-07-31</t>
        </is>
      </c>
      <c r="B38" s="31" t="n">
        <v>23400</v>
      </c>
      <c r="C38" s="31" t="n">
        <v>23400</v>
      </c>
      <c r="D38" s="31" t="n">
        <v>22150</v>
      </c>
      <c r="E38" s="31" t="n">
        <v>22500</v>
      </c>
      <c r="F38" s="31" t="n">
        <v>21546.744140625</v>
      </c>
      <c r="G38" s="31" t="n">
        <v>509155</v>
      </c>
      <c r="H38" s="36" t="n">
        <v>-0.02807775377969768</v>
      </c>
      <c r="I38" s="36" t="n">
        <v>-0.1557223264540337</v>
      </c>
      <c r="J38" s="31" t="n">
        <v>22150</v>
      </c>
      <c r="K38" s="31" t="n">
        <v>21588.66666666667</v>
      </c>
      <c r="L38" s="31" t="n">
        <v>20556.58333333333</v>
      </c>
      <c r="M38" s="36" t="n">
        <v>0.5493843371931947</v>
      </c>
      <c r="N38" s="36" t="n">
        <v>0.4237054205978135</v>
      </c>
      <c r="O38" s="36" t="n">
        <v>-0.008810572687224627</v>
      </c>
      <c r="P38" s="36" t="n">
        <v>0.113861386138614</v>
      </c>
      <c r="Q38" s="36" t="n">
        <v>0.2308533916849016</v>
      </c>
      <c r="R38" s="36" t="n">
        <v>0.01580135440180586</v>
      </c>
      <c r="S38" s="36" t="n">
        <v>0.04221350708705174</v>
      </c>
      <c r="T38" s="36" t="n">
        <v>0.09453986760121458</v>
      </c>
      <c r="U38" s="31" t="n">
        <v>23350</v>
      </c>
      <c r="V38" s="31" t="n">
        <v>14250</v>
      </c>
      <c r="W38" s="36" t="n">
        <v>-0.0364025695931478</v>
      </c>
      <c r="X38" s="36" t="n">
        <v>0.5789473684210527</v>
      </c>
      <c r="Y38" s="31" t="n">
        <v>28966714</v>
      </c>
      <c r="Z38" s="31" t="n">
        <v>651751065000</v>
      </c>
      <c r="AA38" s="31" t="n">
        <v>11455987500</v>
      </c>
      <c r="AB38" s="31" t="n">
        <v>11388434180</v>
      </c>
      <c r="AC38" s="36" t="n">
        <v>0.01757724400496377</v>
      </c>
      <c r="AD38" s="29" t="inlineStr">
        <is>
          <t>yfinance_download</t>
        </is>
      </c>
      <c r="AE38" s="29" t="inlineStr">
        <is>
          <t>319660.KQ</t>
        </is>
      </c>
    </row>
    <row r="39" ht="24" customHeight="1">
      <c r="A39" s="24" t="inlineStr">
        <is>
          <t>2023-08-01</t>
        </is>
      </c>
      <c r="B39" s="30" t="n">
        <v>22450</v>
      </c>
      <c r="C39" s="30" t="n">
        <v>22850</v>
      </c>
      <c r="D39" s="30" t="n">
        <v>21900</v>
      </c>
      <c r="E39" s="30" t="n">
        <v>22650</v>
      </c>
      <c r="F39" s="30" t="n">
        <v>21690.388671875</v>
      </c>
      <c r="G39" s="30" t="n">
        <v>405846</v>
      </c>
      <c r="H39" s="35" t="n">
        <v>0.006666666666666599</v>
      </c>
      <c r="I39" s="35" t="n">
        <v>-0.150093808630394</v>
      </c>
      <c r="J39" s="30" t="n">
        <v>22147.5</v>
      </c>
      <c r="K39" s="30" t="n">
        <v>21626.16666666667</v>
      </c>
      <c r="L39" s="30" t="n">
        <v>20598.83333333333</v>
      </c>
      <c r="M39" s="35" t="n">
        <v>0.5498743127575286</v>
      </c>
      <c r="N39" s="35" t="n">
        <v>0.4235043021141259</v>
      </c>
      <c r="O39" s="35" t="n">
        <v>-0.002202643171806185</v>
      </c>
      <c r="P39" s="35" t="n">
        <v>0.1102941176470589</v>
      </c>
      <c r="Q39" s="35" t="n">
        <v>0.28839590443686</v>
      </c>
      <c r="R39" s="35" t="n">
        <v>0.02268879105993915</v>
      </c>
      <c r="S39" s="35" t="n">
        <v>0.04734233991229764</v>
      </c>
      <c r="T39" s="35" t="n">
        <v>0.09957683687587493</v>
      </c>
      <c r="U39" s="30" t="n">
        <v>23350</v>
      </c>
      <c r="V39" s="30" t="n">
        <v>14250</v>
      </c>
      <c r="W39" s="35" t="n">
        <v>-0.02997858672376874</v>
      </c>
      <c r="X39" s="35" t="n">
        <v>0.5894736842105264</v>
      </c>
      <c r="Y39" s="30" t="n">
        <v>28966714</v>
      </c>
      <c r="Z39" s="30" t="n">
        <v>656096072100</v>
      </c>
      <c r="AA39" s="30" t="n">
        <v>9192411900</v>
      </c>
      <c r="AB39" s="30" t="n">
        <v>11410539515</v>
      </c>
      <c r="AC39" s="35" t="n">
        <v>0.01401077112163982</v>
      </c>
      <c r="AD39" s="24" t="inlineStr">
        <is>
          <t>yfinance_download</t>
        </is>
      </c>
      <c r="AE39" s="24" t="inlineStr">
        <is>
          <t>319660.KQ</t>
        </is>
      </c>
    </row>
    <row r="40" ht="24" customHeight="1">
      <c r="A40" s="29" t="inlineStr">
        <is>
          <t>2023-08-02</t>
        </is>
      </c>
      <c r="B40" s="31" t="n">
        <v>22450</v>
      </c>
      <c r="C40" s="31" t="n">
        <v>22450</v>
      </c>
      <c r="D40" s="31" t="n">
        <v>20700</v>
      </c>
      <c r="E40" s="31" t="n">
        <v>21200</v>
      </c>
      <c r="F40" s="31" t="n">
        <v>20301.822265625</v>
      </c>
      <c r="G40" s="31" t="n">
        <v>578166</v>
      </c>
      <c r="H40" s="36" t="n">
        <v>-0.0640176600441501</v>
      </c>
      <c r="I40" s="36" t="n">
        <v>-0.2045028142589118</v>
      </c>
      <c r="J40" s="31" t="n">
        <v>22062.5</v>
      </c>
      <c r="K40" s="31" t="n">
        <v>21647.5</v>
      </c>
      <c r="L40" s="31" t="n">
        <v>20622.25</v>
      </c>
      <c r="M40" s="36" t="n">
        <v>0.594178710303804</v>
      </c>
      <c r="N40" s="36" t="n">
        <v>0.4417032322047263</v>
      </c>
      <c r="O40" s="36" t="n">
        <v>-0.07423580786026196</v>
      </c>
      <c r="P40" s="36" t="n">
        <v>0.06425702811244971</v>
      </c>
      <c r="Q40" s="36" t="n">
        <v>0.1528004350190322</v>
      </c>
      <c r="R40" s="36" t="n">
        <v>-0.03909348441926341</v>
      </c>
      <c r="S40" s="36" t="n">
        <v>-0.02067213304076687</v>
      </c>
      <c r="T40" s="36" t="n">
        <v>0.02801585665967576</v>
      </c>
      <c r="U40" s="31" t="n">
        <v>23350</v>
      </c>
      <c r="V40" s="31" t="n">
        <v>14250</v>
      </c>
      <c r="W40" s="36" t="n">
        <v>-0.09207708779443258</v>
      </c>
      <c r="X40" s="36" t="n">
        <v>0.487719298245614</v>
      </c>
      <c r="Y40" s="31" t="n">
        <v>28966714</v>
      </c>
      <c r="Z40" s="31" t="n">
        <v>614094336800</v>
      </c>
      <c r="AA40" s="31" t="n">
        <v>12257119200</v>
      </c>
      <c r="AB40" s="31" t="n">
        <v>11754974270</v>
      </c>
      <c r="AC40" s="36" t="n">
        <v>0.01995966819018546</v>
      </c>
      <c r="AD40" s="29" t="inlineStr">
        <is>
          <t>yfinance_download</t>
        </is>
      </c>
      <c r="AE40" s="29" t="inlineStr">
        <is>
          <t>319660.KQ</t>
        </is>
      </c>
    </row>
    <row r="41" ht="24" customHeight="1">
      <c r="A41" s="24" t="inlineStr">
        <is>
          <t>2023-08-03</t>
        </is>
      </c>
      <c r="B41" s="30" t="n">
        <v>21150</v>
      </c>
      <c r="C41" s="30" t="n">
        <v>21500</v>
      </c>
      <c r="D41" s="30" t="n">
        <v>20850</v>
      </c>
      <c r="E41" s="30" t="n">
        <v>21450</v>
      </c>
      <c r="F41" s="30" t="n">
        <v>20541.23046875</v>
      </c>
      <c r="G41" s="30" t="n">
        <v>290584</v>
      </c>
      <c r="H41" s="35" t="n">
        <v>0.0117924528301887</v>
      </c>
      <c r="I41" s="35" t="n">
        <v>-0.1951219512195121</v>
      </c>
      <c r="J41" s="30" t="n">
        <v>22030</v>
      </c>
      <c r="K41" s="30" t="n">
        <v>21664.16666666667</v>
      </c>
      <c r="L41" s="30" t="n">
        <v>20645.83333333333</v>
      </c>
      <c r="M41" s="35" t="n">
        <v>0.584130638474144</v>
      </c>
      <c r="N41" s="35" t="n">
        <v>0.439130460679648</v>
      </c>
      <c r="O41" s="35" t="n">
        <v>-0.02941176470588236</v>
      </c>
      <c r="P41" s="35" t="n">
        <v>0.0488997555012225</v>
      </c>
      <c r="Q41" s="35" t="n">
        <v>0.1519871106337272</v>
      </c>
      <c r="R41" s="35" t="n">
        <v>-0.02632773490694507</v>
      </c>
      <c r="S41" s="35" t="n">
        <v>-0.009885756048774952</v>
      </c>
      <c r="T41" s="35" t="n">
        <v>0.0389505549949547</v>
      </c>
      <c r="U41" s="30" t="n">
        <v>23350</v>
      </c>
      <c r="V41" s="30" t="n">
        <v>14250</v>
      </c>
      <c r="W41" s="35" t="n">
        <v>-0.0813704496788008</v>
      </c>
      <c r="X41" s="35" t="n">
        <v>0.5052631578947369</v>
      </c>
      <c r="Y41" s="30" t="n">
        <v>28966714</v>
      </c>
      <c r="Z41" s="30" t="n">
        <v>621336015300</v>
      </c>
      <c r="AA41" s="30" t="n">
        <v>6233026800</v>
      </c>
      <c r="AB41" s="30" t="n">
        <v>11590662330</v>
      </c>
      <c r="AC41" s="35" t="n">
        <v>0.01003165219223692</v>
      </c>
      <c r="AD41" s="24" t="inlineStr">
        <is>
          <t>yfinance_download</t>
        </is>
      </c>
      <c r="AE41" s="24" t="inlineStr">
        <is>
          <t>319660.KQ</t>
        </is>
      </c>
    </row>
    <row r="42" ht="24" customHeight="1">
      <c r="A42" s="29" t="inlineStr">
        <is>
          <t>2023-08-04</t>
        </is>
      </c>
      <c r="B42" s="31" t="n">
        <v>21450</v>
      </c>
      <c r="C42" s="31" t="n">
        <v>21650</v>
      </c>
      <c r="D42" s="31" t="n">
        <v>21000</v>
      </c>
      <c r="E42" s="31" t="n">
        <v>21200</v>
      </c>
      <c r="F42" s="31" t="n">
        <v>20301.822265625</v>
      </c>
      <c r="G42" s="31" t="n">
        <v>170280</v>
      </c>
      <c r="H42" s="36" t="n">
        <v>-0.0116550116550117</v>
      </c>
      <c r="I42" s="36" t="n">
        <v>-0.2045028142589118</v>
      </c>
      <c r="J42" s="31" t="n">
        <v>22040</v>
      </c>
      <c r="K42" s="31" t="n">
        <v>21686</v>
      </c>
      <c r="L42" s="31" t="n">
        <v>20671.16666666667</v>
      </c>
      <c r="M42" s="36" t="n">
        <v>0.5568199218177772</v>
      </c>
      <c r="N42" s="36" t="n">
        <v>0.4359338721642759</v>
      </c>
      <c r="O42" s="36" t="n">
        <v>0.00952380952380949</v>
      </c>
      <c r="P42" s="36" t="n">
        <v>0.06586224233283056</v>
      </c>
      <c r="Q42" s="36" t="n">
        <v>0.1674008810572687</v>
      </c>
      <c r="R42" s="36" t="n">
        <v>-0.03811252268602539</v>
      </c>
      <c r="S42" s="36" t="n">
        <v>-0.02241077192658858</v>
      </c>
      <c r="T42" s="36" t="n">
        <v>0.02558313915518395</v>
      </c>
      <c r="U42" s="31" t="n">
        <v>23350</v>
      </c>
      <c r="V42" s="31" t="n">
        <v>14250</v>
      </c>
      <c r="W42" s="36" t="n">
        <v>-0.09207708779443258</v>
      </c>
      <c r="X42" s="36" t="n">
        <v>0.487719298245614</v>
      </c>
      <c r="Y42" s="31" t="n">
        <v>28966714</v>
      </c>
      <c r="Z42" s="31" t="n">
        <v>614094336800</v>
      </c>
      <c r="AA42" s="31" t="n">
        <v>3609936000</v>
      </c>
      <c r="AB42" s="31" t="n">
        <v>11138537280</v>
      </c>
      <c r="AC42" s="36" t="n">
        <v>0.005878471406870658</v>
      </c>
      <c r="AD42" s="29" t="inlineStr">
        <is>
          <t>yfinance_download</t>
        </is>
      </c>
      <c r="AE42" s="29" t="inlineStr">
        <is>
          <t>319660.KQ</t>
        </is>
      </c>
    </row>
    <row r="43" ht="24" customHeight="1">
      <c r="A43" s="24" t="inlineStr">
        <is>
          <t>2023-08-07</t>
        </is>
      </c>
      <c r="B43" s="30" t="n">
        <v>20950</v>
      </c>
      <c r="C43" s="30" t="n">
        <v>21500</v>
      </c>
      <c r="D43" s="30" t="n">
        <v>20700</v>
      </c>
      <c r="E43" s="30" t="n">
        <v>20950</v>
      </c>
      <c r="F43" s="30" t="n">
        <v>20062.4140625</v>
      </c>
      <c r="G43" s="30" t="n">
        <v>314809</v>
      </c>
      <c r="H43" s="35" t="n">
        <v>-0.0117924528301887</v>
      </c>
      <c r="I43" s="35" t="n">
        <v>-0.2138836772983115</v>
      </c>
      <c r="J43" s="30" t="n">
        <v>22047.5</v>
      </c>
      <c r="K43" s="30" t="n">
        <v>21708.5</v>
      </c>
      <c r="L43" s="30" t="n">
        <v>20696.08333333333</v>
      </c>
      <c r="M43" s="35" t="n">
        <v>0.5574494628092992</v>
      </c>
      <c r="N43" s="35" t="n">
        <v>0.4355338228114787</v>
      </c>
      <c r="O43" s="35" t="n">
        <v>0.007211538461538547</v>
      </c>
      <c r="P43" s="35" t="n">
        <v>0.06887755102040827</v>
      </c>
      <c r="Q43" s="35" t="n">
        <v>0.1664810690423162</v>
      </c>
      <c r="R43" s="35" t="n">
        <v>-0.04977888649506745</v>
      </c>
      <c r="S43" s="35" t="n">
        <v>-0.03494023078517627</v>
      </c>
      <c r="T43" s="35" t="n">
        <v>0.01226882703248999</v>
      </c>
      <c r="U43" s="30" t="n">
        <v>23350</v>
      </c>
      <c r="V43" s="30" t="n">
        <v>14250</v>
      </c>
      <c r="W43" s="35" t="n">
        <v>-0.1027837259100642</v>
      </c>
      <c r="X43" s="35" t="n">
        <v>0.4701754385964911</v>
      </c>
      <c r="Y43" s="30" t="n">
        <v>28966714</v>
      </c>
      <c r="Z43" s="30" t="n">
        <v>606852658300</v>
      </c>
      <c r="AA43" s="30" t="n">
        <v>6595248550</v>
      </c>
      <c r="AB43" s="30" t="n">
        <v>11078600267.5</v>
      </c>
      <c r="AC43" s="35" t="n">
        <v>0.01086795692462735</v>
      </c>
      <c r="AD43" s="24" t="inlineStr">
        <is>
          <t>yfinance_download</t>
        </is>
      </c>
      <c r="AE43" s="24" t="inlineStr">
        <is>
          <t>319660.KQ</t>
        </is>
      </c>
    </row>
    <row r="44" ht="24" customHeight="1">
      <c r="A44" s="29" t="inlineStr">
        <is>
          <t>2023-08-08</t>
        </is>
      </c>
      <c r="B44" s="31" t="n">
        <v>21200</v>
      </c>
      <c r="C44" s="31" t="n">
        <v>21650</v>
      </c>
      <c r="D44" s="31" t="n">
        <v>20750</v>
      </c>
      <c r="E44" s="31" t="n">
        <v>20950</v>
      </c>
      <c r="F44" s="31" t="n">
        <v>20062.4140625</v>
      </c>
      <c r="G44" s="31" t="n">
        <v>254452</v>
      </c>
      <c r="H44" s="36" t="n">
        <v>0</v>
      </c>
      <c r="I44" s="36" t="n">
        <v>-0.2138836772983115</v>
      </c>
      <c r="J44" s="31" t="n">
        <v>22077.5</v>
      </c>
      <c r="K44" s="31" t="n">
        <v>21733.83333333333</v>
      </c>
      <c r="L44" s="31" t="n">
        <v>20719.5</v>
      </c>
      <c r="M44" s="36" t="n">
        <v>0.5510818027849745</v>
      </c>
      <c r="N44" s="36" t="n">
        <v>0.4350329042289448</v>
      </c>
      <c r="O44" s="36" t="n">
        <v>0.02948402948402951</v>
      </c>
      <c r="P44" s="36" t="n">
        <v>0.07822954194544529</v>
      </c>
      <c r="Q44" s="36" t="n">
        <v>0.1549062844542448</v>
      </c>
      <c r="R44" s="36" t="n">
        <v>-0.05107009398709095</v>
      </c>
      <c r="S44" s="36" t="n">
        <v>-0.03606512120119931</v>
      </c>
      <c r="T44" s="36" t="n">
        <v>0.01112478582977383</v>
      </c>
      <c r="U44" s="31" t="n">
        <v>23350</v>
      </c>
      <c r="V44" s="31" t="n">
        <v>14250</v>
      </c>
      <c r="W44" s="36" t="n">
        <v>-0.1027837259100642</v>
      </c>
      <c r="X44" s="36" t="n">
        <v>0.4701754385964911</v>
      </c>
      <c r="Y44" s="31" t="n">
        <v>28966714</v>
      </c>
      <c r="Z44" s="31" t="n">
        <v>606852658300</v>
      </c>
      <c r="AA44" s="31" t="n">
        <v>5330769400</v>
      </c>
      <c r="AB44" s="31" t="n">
        <v>11064436942.5</v>
      </c>
      <c r="AC44" s="36" t="n">
        <v>0.008784289443393545</v>
      </c>
      <c r="AD44" s="29" t="inlineStr">
        <is>
          <t>yfinance_download</t>
        </is>
      </c>
      <c r="AE44" s="29" t="inlineStr">
        <is>
          <t>319660.KQ</t>
        </is>
      </c>
    </row>
    <row r="45" ht="24" customHeight="1">
      <c r="A45" s="24" t="inlineStr">
        <is>
          <t>2023-08-09</t>
        </is>
      </c>
      <c r="B45" s="30" t="n">
        <v>20950</v>
      </c>
      <c r="C45" s="30" t="n">
        <v>21150</v>
      </c>
      <c r="D45" s="30" t="n">
        <v>20350</v>
      </c>
      <c r="E45" s="30" t="n">
        <v>20900</v>
      </c>
      <c r="F45" s="30" t="n">
        <v>20014.53125</v>
      </c>
      <c r="G45" s="30" t="n">
        <v>230736</v>
      </c>
      <c r="H45" s="35" t="n">
        <v>-0.002386634844868785</v>
      </c>
      <c r="I45" s="35" t="n">
        <v>-0.2157598499061913</v>
      </c>
      <c r="J45" s="30" t="n">
        <v>22060</v>
      </c>
      <c r="K45" s="30" t="n">
        <v>21756.33333333333</v>
      </c>
      <c r="L45" s="30" t="n">
        <v>20739.75</v>
      </c>
      <c r="M45" s="35" t="n">
        <v>0.5280963767174551</v>
      </c>
      <c r="N45" s="35" t="n">
        <v>0.4350039158523925</v>
      </c>
      <c r="O45" s="35" t="n">
        <v>-0.01647058823529413</v>
      </c>
      <c r="P45" s="35" t="n">
        <v>0.06905370843989767</v>
      </c>
      <c r="Q45" s="35" t="n">
        <v>0.1315646995127233</v>
      </c>
      <c r="R45" s="35" t="n">
        <v>-0.05258386219401634</v>
      </c>
      <c r="S45" s="35" t="n">
        <v>-0.03936018630590321</v>
      </c>
      <c r="T45" s="35" t="n">
        <v>0.007726708374016011</v>
      </c>
      <c r="U45" s="30" t="n">
        <v>23350</v>
      </c>
      <c r="V45" s="30" t="n">
        <v>14250</v>
      </c>
      <c r="W45" s="35" t="n">
        <v>-0.1049250535331906</v>
      </c>
      <c r="X45" s="35" t="n">
        <v>0.4666666666666666</v>
      </c>
      <c r="Y45" s="30" t="n">
        <v>28966714</v>
      </c>
      <c r="Z45" s="30" t="n">
        <v>605404322600</v>
      </c>
      <c r="AA45" s="30" t="n">
        <v>4822382400</v>
      </c>
      <c r="AB45" s="30" t="n">
        <v>11010569937.5</v>
      </c>
      <c r="AC45" s="35" t="n">
        <v>0.007965556604038691</v>
      </c>
      <c r="AD45" s="24" t="inlineStr">
        <is>
          <t>yfinance_download</t>
        </is>
      </c>
      <c r="AE45" s="24" t="inlineStr">
        <is>
          <t>319660.KQ</t>
        </is>
      </c>
    </row>
    <row r="46" ht="24" customHeight="1">
      <c r="A46" s="29" t="inlineStr">
        <is>
          <t>2023-08-10</t>
        </is>
      </c>
      <c r="B46" s="31" t="n">
        <v>20650</v>
      </c>
      <c r="C46" s="31" t="n">
        <v>20650</v>
      </c>
      <c r="D46" s="31" t="n">
        <v>19550</v>
      </c>
      <c r="E46" s="31" t="n">
        <v>19720</v>
      </c>
      <c r="F46" s="31" t="n">
        <v>18884.5234375</v>
      </c>
      <c r="G46" s="31" t="n">
        <v>639740</v>
      </c>
      <c r="H46" s="36" t="n">
        <v>-0.05645933014354065</v>
      </c>
      <c r="I46" s="36" t="n">
        <v>-0.2600375234521576</v>
      </c>
      <c r="J46" s="31" t="n">
        <v>21963.5</v>
      </c>
      <c r="K46" s="31" t="n">
        <v>21766</v>
      </c>
      <c r="L46" s="31" t="n">
        <v>20751.83333333333</v>
      </c>
      <c r="M46" s="36" t="n">
        <v>0.5586526873898501</v>
      </c>
      <c r="N46" s="36" t="n">
        <v>0.4486908651964338</v>
      </c>
      <c r="O46" s="36" t="n">
        <v>-0.08914549653579673</v>
      </c>
      <c r="P46" s="36" t="n">
        <v>0.03030303030303028</v>
      </c>
      <c r="Q46" s="36" t="n">
        <v>0.07936507936507931</v>
      </c>
      <c r="R46" s="36" t="n">
        <v>-0.1021467434607417</v>
      </c>
      <c r="S46" s="36" t="n">
        <v>-0.09399981622714326</v>
      </c>
      <c r="T46" s="36" t="n">
        <v>-0.04972251447663256</v>
      </c>
      <c r="U46" s="31" t="n">
        <v>23350</v>
      </c>
      <c r="V46" s="31" t="n">
        <v>14250</v>
      </c>
      <c r="W46" s="36" t="n">
        <v>-0.1554603854389721</v>
      </c>
      <c r="X46" s="36" t="n">
        <v>0.383859649122807</v>
      </c>
      <c r="Y46" s="31" t="n">
        <v>28966714</v>
      </c>
      <c r="Z46" s="31" t="n">
        <v>571223600080</v>
      </c>
      <c r="AA46" s="31" t="n">
        <v>12615672800</v>
      </c>
      <c r="AB46" s="31" t="n">
        <v>11303854975</v>
      </c>
      <c r="AC46" s="36" t="n">
        <v>0.02208534941174204</v>
      </c>
      <c r="AD46" s="29" t="inlineStr">
        <is>
          <t>yfinance_download</t>
        </is>
      </c>
      <c r="AE46" s="29" t="inlineStr">
        <is>
          <t>319660.KQ</t>
        </is>
      </c>
    </row>
    <row r="47" ht="24" customHeight="1">
      <c r="A47" s="24" t="inlineStr">
        <is>
          <t>2023-08-11</t>
        </is>
      </c>
      <c r="B47" s="30" t="n">
        <v>19800</v>
      </c>
      <c r="C47" s="30" t="n">
        <v>20150</v>
      </c>
      <c r="D47" s="30" t="n">
        <v>19600</v>
      </c>
      <c r="E47" s="30" t="n">
        <v>19880</v>
      </c>
      <c r="F47" s="30" t="n">
        <v>19037.74609375</v>
      </c>
      <c r="G47" s="30" t="n">
        <v>288307</v>
      </c>
      <c r="H47" s="35" t="n">
        <v>0.008113590263691739</v>
      </c>
      <c r="I47" s="35" t="n">
        <v>-0.2540337711069418</v>
      </c>
      <c r="J47" s="30" t="n">
        <v>21875</v>
      </c>
      <c r="K47" s="30" t="n">
        <v>21779</v>
      </c>
      <c r="L47" s="30" t="n">
        <v>20757</v>
      </c>
      <c r="M47" s="35" t="n">
        <v>0.5601772317644913</v>
      </c>
      <c r="N47" s="35" t="n">
        <v>0.4488889413950299</v>
      </c>
      <c r="O47" s="35" t="n">
        <v>-0.08175519630484984</v>
      </c>
      <c r="P47" s="35" t="n">
        <v>0.0408376963350785</v>
      </c>
      <c r="Q47" s="35" t="n">
        <v>0.03219106957424711</v>
      </c>
      <c r="R47" s="35" t="n">
        <v>-0.09119999999999995</v>
      </c>
      <c r="S47" s="35" t="n">
        <v>-0.08719408604619128</v>
      </c>
      <c r="T47" s="35" t="n">
        <v>-0.04225080695668926</v>
      </c>
      <c r="U47" s="30" t="n">
        <v>23350</v>
      </c>
      <c r="V47" s="30" t="n">
        <v>14250</v>
      </c>
      <c r="W47" s="35" t="n">
        <v>-0.1486081370449679</v>
      </c>
      <c r="X47" s="35" t="n">
        <v>0.3950877192982456</v>
      </c>
      <c r="Y47" s="30" t="n">
        <v>28966714</v>
      </c>
      <c r="Z47" s="30" t="n">
        <v>575858274320</v>
      </c>
      <c r="AA47" s="30" t="n">
        <v>5731543160</v>
      </c>
      <c r="AB47" s="30" t="n">
        <v>10926648545.5</v>
      </c>
      <c r="AC47" s="35" t="n">
        <v>0.009953044725749699</v>
      </c>
      <c r="AD47" s="24" t="inlineStr">
        <is>
          <t>yfinance_download</t>
        </is>
      </c>
      <c r="AE47" s="24" t="inlineStr">
        <is>
          <t>319660.KQ</t>
        </is>
      </c>
    </row>
    <row r="48" ht="24" customHeight="1">
      <c r="A48" s="29" t="inlineStr">
        <is>
          <t>2023-08-14</t>
        </is>
      </c>
      <c r="B48" s="31" t="n">
        <v>19930</v>
      </c>
      <c r="C48" s="31" t="n">
        <v>19940</v>
      </c>
      <c r="D48" s="31" t="n">
        <v>19180</v>
      </c>
      <c r="E48" s="31" t="n">
        <v>19410</v>
      </c>
      <c r="F48" s="31" t="n">
        <v>18587.658203125</v>
      </c>
      <c r="G48" s="31" t="n">
        <v>373075</v>
      </c>
      <c r="H48" s="36" t="n">
        <v>-0.02364185110663986</v>
      </c>
      <c r="I48" s="36" t="n">
        <v>-0.2716697936210132</v>
      </c>
      <c r="J48" s="31" t="n">
        <v>21678</v>
      </c>
      <c r="K48" s="31" t="n">
        <v>21779.5</v>
      </c>
      <c r="L48" s="31" t="n">
        <v>20765.41666666667</v>
      </c>
      <c r="M48" s="36" t="n">
        <v>0.471783386414368</v>
      </c>
      <c r="N48" s="36" t="n">
        <v>0.4507905810593253</v>
      </c>
      <c r="O48" s="36" t="n">
        <v>-0.1687366167023555</v>
      </c>
      <c r="P48" s="36" t="n">
        <v>0.001547987616099089</v>
      </c>
      <c r="Q48" s="36" t="n">
        <v>0.05489130434782608</v>
      </c>
      <c r="R48" s="36" t="n">
        <v>-0.1046221976197066</v>
      </c>
      <c r="S48" s="36" t="n">
        <v>-0.1087949677448977</v>
      </c>
      <c r="T48" s="36" t="n">
        <v>-0.06527278929309555</v>
      </c>
      <c r="U48" s="31" t="n">
        <v>23350</v>
      </c>
      <c r="V48" s="31" t="n">
        <v>14250</v>
      </c>
      <c r="W48" s="36" t="n">
        <v>-0.1687366167023555</v>
      </c>
      <c r="X48" s="36" t="n">
        <v>0.3621052631578947</v>
      </c>
      <c r="Y48" s="31" t="n">
        <v>28966714</v>
      </c>
      <c r="Z48" s="31" t="n">
        <v>562243918740</v>
      </c>
      <c r="AA48" s="31" t="n">
        <v>7241385750</v>
      </c>
      <c r="AB48" s="31" t="n">
        <v>9073522013</v>
      </c>
      <c r="AC48" s="36" t="n">
        <v>0.0128794381026443</v>
      </c>
      <c r="AD48" s="29" t="inlineStr">
        <is>
          <t>yfinance_download</t>
        </is>
      </c>
      <c r="AE48" s="29" t="inlineStr">
        <is>
          <t>319660.KQ</t>
        </is>
      </c>
    </row>
    <row r="49" ht="24" customHeight="1">
      <c r="A49" s="24" t="inlineStr">
        <is>
          <t>2023-08-16</t>
        </is>
      </c>
      <c r="B49" s="30" t="n">
        <v>19270</v>
      </c>
      <c r="C49" s="30" t="n">
        <v>19720</v>
      </c>
      <c r="D49" s="30" t="n">
        <v>19180</v>
      </c>
      <c r="E49" s="30" t="n">
        <v>19640</v>
      </c>
      <c r="F49" s="30" t="n">
        <v>18807.9140625</v>
      </c>
      <c r="G49" s="30" t="n">
        <v>265262</v>
      </c>
      <c r="H49" s="35" t="n">
        <v>0.01184956208140142</v>
      </c>
      <c r="I49" s="35" t="n">
        <v>-0.2630393996247655</v>
      </c>
      <c r="J49" s="30" t="n">
        <v>21525</v>
      </c>
      <c r="K49" s="30" t="n">
        <v>21775</v>
      </c>
      <c r="L49" s="30" t="n">
        <v>20775</v>
      </c>
      <c r="M49" s="35" t="n">
        <v>0.4715465813522141</v>
      </c>
      <c r="N49" s="35" t="n">
        <v>0.4479461933910338</v>
      </c>
      <c r="O49" s="35" t="n">
        <v>-0.1348017621145374</v>
      </c>
      <c r="P49" s="35" t="n">
        <v>-0.01356102461074837</v>
      </c>
      <c r="Q49" s="35" t="n">
        <v>0.06219578150351546</v>
      </c>
      <c r="R49" s="35" t="n">
        <v>-0.08757259001161444</v>
      </c>
      <c r="S49" s="35" t="n">
        <v>-0.09804822043628014</v>
      </c>
      <c r="T49" s="35" t="n">
        <v>-0.05463297232250297</v>
      </c>
      <c r="U49" s="30" t="n">
        <v>23350</v>
      </c>
      <c r="V49" s="30" t="n">
        <v>14250</v>
      </c>
      <c r="W49" s="35" t="n">
        <v>-0.1588865096359743</v>
      </c>
      <c r="X49" s="35" t="n">
        <v>0.3782456140350878</v>
      </c>
      <c r="Y49" s="30" t="n">
        <v>28966714</v>
      </c>
      <c r="Z49" s="30" t="n">
        <v>568906262960</v>
      </c>
      <c r="AA49" s="30" t="n">
        <v>5209745680</v>
      </c>
      <c r="AB49" s="30" t="n">
        <v>8581763077</v>
      </c>
      <c r="AC49" s="35" t="n">
        <v>0.009157476405504609</v>
      </c>
      <c r="AD49" s="24" t="inlineStr">
        <is>
          <t>yfinance_download</t>
        </is>
      </c>
      <c r="AE49" s="24" t="inlineStr">
        <is>
          <t>319660.KQ</t>
        </is>
      </c>
    </row>
    <row r="50" ht="24" customHeight="1">
      <c r="A50" s="29" t="inlineStr">
        <is>
          <t>2023-08-17</t>
        </is>
      </c>
      <c r="B50" s="31" t="n">
        <v>19400</v>
      </c>
      <c r="C50" s="31" t="n">
        <v>19800</v>
      </c>
      <c r="D50" s="31" t="n">
        <v>19200</v>
      </c>
      <c r="E50" s="31" t="n">
        <v>19650</v>
      </c>
      <c r="F50" s="31" t="n">
        <v>18817.490234375</v>
      </c>
      <c r="G50" s="31" t="n">
        <v>177055</v>
      </c>
      <c r="H50" s="36" t="n">
        <v>0.0005091649694501932</v>
      </c>
      <c r="I50" s="36" t="n">
        <v>-0.2626641651031895</v>
      </c>
      <c r="J50" s="31" t="n">
        <v>21375</v>
      </c>
      <c r="K50" s="31" t="n">
        <v>21740</v>
      </c>
      <c r="L50" s="31" t="n">
        <v>20788.16666666667</v>
      </c>
      <c r="M50" s="36" t="n">
        <v>0.4719944795394492</v>
      </c>
      <c r="N50" s="36" t="n">
        <v>0.404601888343484</v>
      </c>
      <c r="O50" s="36" t="n">
        <v>-0.1324503311258278</v>
      </c>
      <c r="P50" s="36" t="n">
        <v>-0.09655172413793101</v>
      </c>
      <c r="Q50" s="36" t="n">
        <v>0.08743774211400113</v>
      </c>
      <c r="R50" s="36" t="n">
        <v>-0.08070175438596494</v>
      </c>
      <c r="S50" s="36" t="n">
        <v>-0.09613615455381785</v>
      </c>
      <c r="T50" s="36" t="n">
        <v>-0.05475069951655198</v>
      </c>
      <c r="U50" s="31" t="n">
        <v>23350</v>
      </c>
      <c r="V50" s="31" t="n">
        <v>14250</v>
      </c>
      <c r="W50" s="36" t="n">
        <v>-0.158458244111349</v>
      </c>
      <c r="X50" s="36" t="n">
        <v>0.3789473684210527</v>
      </c>
      <c r="Y50" s="31" t="n">
        <v>28966714</v>
      </c>
      <c r="Z50" s="31" t="n">
        <v>569195930100</v>
      </c>
      <c r="AA50" s="31" t="n">
        <v>3479130750</v>
      </c>
      <c r="AB50" s="31" t="n">
        <v>8318720707</v>
      </c>
      <c r="AC50" s="36" t="n">
        <v>0.006112360552874585</v>
      </c>
      <c r="AD50" s="29" t="inlineStr">
        <is>
          <t>yfinance_download</t>
        </is>
      </c>
      <c r="AE50" s="29" t="inlineStr">
        <is>
          <t>319660.KQ</t>
        </is>
      </c>
    </row>
    <row r="51" ht="24" customHeight="1">
      <c r="A51" s="24" t="inlineStr">
        <is>
          <t>2023-08-18</t>
        </is>
      </c>
      <c r="B51" s="30" t="n">
        <v>19310</v>
      </c>
      <c r="C51" s="30" t="n">
        <v>20100</v>
      </c>
      <c r="D51" s="30" t="n">
        <v>18900</v>
      </c>
      <c r="E51" s="30" t="n">
        <v>19670</v>
      </c>
      <c r="F51" s="30" t="n">
        <v>18836.642578125</v>
      </c>
      <c r="G51" s="30" t="n">
        <v>270276</v>
      </c>
      <c r="H51" s="35" t="n">
        <v>0.001017811704834504</v>
      </c>
      <c r="I51" s="35" t="n">
        <v>-0.2619136960600376</v>
      </c>
      <c r="J51" s="30" t="n">
        <v>21211</v>
      </c>
      <c r="K51" s="30" t="n">
        <v>21705.33333333333</v>
      </c>
      <c r="L51" s="30" t="n">
        <v>20806.58333333333</v>
      </c>
      <c r="M51" s="35" t="n">
        <v>0.4671278951602517</v>
      </c>
      <c r="N51" s="35" t="n">
        <v>0.4046219987952454</v>
      </c>
      <c r="O51" s="35" t="n">
        <v>-0.1429193899782135</v>
      </c>
      <c r="P51" s="35" t="n">
        <v>-0.09563218390804595</v>
      </c>
      <c r="Q51" s="35" t="n">
        <v>0.1265750286368843</v>
      </c>
      <c r="R51" s="35" t="n">
        <v>-0.07265098298052897</v>
      </c>
      <c r="S51" s="35" t="n">
        <v>-0.09377111616192635</v>
      </c>
      <c r="T51" s="35" t="n">
        <v>-0.05462613996371335</v>
      </c>
      <c r="U51" s="30" t="n">
        <v>23350</v>
      </c>
      <c r="V51" s="30" t="n">
        <v>14250</v>
      </c>
      <c r="W51" s="35" t="n">
        <v>-0.1576017130620985</v>
      </c>
      <c r="X51" s="35" t="n">
        <v>0.3803508771929824</v>
      </c>
      <c r="Y51" s="30" t="n">
        <v>28966714</v>
      </c>
      <c r="Z51" s="30" t="n">
        <v>569775264380</v>
      </c>
      <c r="AA51" s="30" t="n">
        <v>5316328920</v>
      </c>
      <c r="AB51" s="30" t="n">
        <v>8177562508</v>
      </c>
      <c r="AC51" s="35" t="n">
        <v>0.009330571634739101</v>
      </c>
      <c r="AD51" s="24" t="inlineStr">
        <is>
          <t>yfinance_download</t>
        </is>
      </c>
      <c r="AE51" s="24" t="inlineStr">
        <is>
          <t>319660.KQ</t>
        </is>
      </c>
    </row>
    <row r="52" ht="24" customHeight="1">
      <c r="A52" s="29" t="inlineStr">
        <is>
          <t>2023-08-21</t>
        </is>
      </c>
      <c r="B52" s="31" t="n">
        <v>20000</v>
      </c>
      <c r="C52" s="31" t="n">
        <v>20000</v>
      </c>
      <c r="D52" s="31" t="n">
        <v>19210</v>
      </c>
      <c r="E52" s="31" t="n">
        <v>19290</v>
      </c>
      <c r="F52" s="31" t="n">
        <v>18472.7421875</v>
      </c>
      <c r="G52" s="31" t="n">
        <v>282919</v>
      </c>
      <c r="H52" s="36" t="n">
        <v>-0.01931875953228268</v>
      </c>
      <c r="I52" s="36" t="n">
        <v>-0.2761726078799249</v>
      </c>
      <c r="J52" s="31" t="n">
        <v>21068</v>
      </c>
      <c r="K52" s="31" t="n">
        <v>21666.83333333333</v>
      </c>
      <c r="L52" s="31" t="n">
        <v>20818.16666666667</v>
      </c>
      <c r="M52" s="36" t="n">
        <v>0.4581233230889926</v>
      </c>
      <c r="N52" s="36" t="n">
        <v>0.4061467478602335</v>
      </c>
      <c r="O52" s="36" t="n">
        <v>-0.1291196388261852</v>
      </c>
      <c r="P52" s="36" t="n">
        <v>-0.1069444444444444</v>
      </c>
      <c r="Q52" s="36" t="n">
        <v>0.07765363128491609</v>
      </c>
      <c r="R52" s="36" t="n">
        <v>-0.08439339282323899</v>
      </c>
      <c r="S52" s="36" t="n">
        <v>-0.1096991561603372</v>
      </c>
      <c r="T52" s="36" t="n">
        <v>-0.07340543915970832</v>
      </c>
      <c r="U52" s="31" t="n">
        <v>23350</v>
      </c>
      <c r="V52" s="31" t="n">
        <v>14250</v>
      </c>
      <c r="W52" s="36" t="n">
        <v>-0.1738758029978587</v>
      </c>
      <c r="X52" s="36" t="n">
        <v>0.3536842105263158</v>
      </c>
      <c r="Y52" s="31" t="n">
        <v>28966714</v>
      </c>
      <c r="Z52" s="31" t="n">
        <v>558767913060</v>
      </c>
      <c r="AA52" s="31" t="n">
        <v>5457507510</v>
      </c>
      <c r="AB52" s="31" t="n">
        <v>8006005886</v>
      </c>
      <c r="AC52" s="36" t="n">
        <v>0.009767038125208127</v>
      </c>
      <c r="AD52" s="29" t="inlineStr">
        <is>
          <t>yfinance_download</t>
        </is>
      </c>
      <c r="AE52" s="29" t="inlineStr">
        <is>
          <t>319660.KQ</t>
        </is>
      </c>
    </row>
    <row r="53" ht="24" customHeight="1">
      <c r="A53" s="24" t="inlineStr">
        <is>
          <t>2023-08-22</t>
        </is>
      </c>
      <c r="B53" s="30" t="n">
        <v>19600</v>
      </c>
      <c r="C53" s="30" t="n">
        <v>19850</v>
      </c>
      <c r="D53" s="30" t="n">
        <v>18200</v>
      </c>
      <c r="E53" s="30" t="n">
        <v>18320</v>
      </c>
      <c r="F53" s="30" t="n">
        <v>17543.837890625</v>
      </c>
      <c r="G53" s="30" t="n">
        <v>498155</v>
      </c>
      <c r="H53" s="35" t="n">
        <v>-0.05028512182477973</v>
      </c>
      <c r="I53" s="35" t="n">
        <v>-0.3125703564727955</v>
      </c>
      <c r="J53" s="30" t="n">
        <v>20859</v>
      </c>
      <c r="K53" s="30" t="n">
        <v>21613</v>
      </c>
      <c r="L53" s="30" t="n">
        <v>20822.66666666667</v>
      </c>
      <c r="M53" s="35" t="n">
        <v>0.4752179466128685</v>
      </c>
      <c r="N53" s="35" t="n">
        <v>0.4182448480717886</v>
      </c>
      <c r="O53" s="35" t="n">
        <v>-0.1857777777777778</v>
      </c>
      <c r="P53" s="35" t="n">
        <v>-0.1498839907192575</v>
      </c>
      <c r="Q53" s="35" t="n">
        <v>0.03037120359955003</v>
      </c>
      <c r="R53" s="35" t="n">
        <v>-0.1217220384486313</v>
      </c>
      <c r="S53" s="35" t="n">
        <v>-0.1523620043492343</v>
      </c>
      <c r="T53" s="35" t="n">
        <v>-0.1201895370429661</v>
      </c>
      <c r="U53" s="30" t="n">
        <v>23350</v>
      </c>
      <c r="V53" s="30" t="n">
        <v>14250</v>
      </c>
      <c r="W53" s="35" t="n">
        <v>-0.2154175588865096</v>
      </c>
      <c r="X53" s="35" t="n">
        <v>0.2856140350877192</v>
      </c>
      <c r="Y53" s="30" t="n">
        <v>28966714</v>
      </c>
      <c r="Z53" s="30" t="n">
        <v>530670200480</v>
      </c>
      <c r="AA53" s="30" t="n">
        <v>9126199600</v>
      </c>
      <c r="AB53" s="30" t="n">
        <v>8009116366</v>
      </c>
      <c r="AC53" s="35" t="n">
        <v>0.01719749779004964</v>
      </c>
      <c r="AD53" s="24" t="inlineStr">
        <is>
          <t>yfinance_download</t>
        </is>
      </c>
      <c r="AE53" s="24" t="inlineStr">
        <is>
          <t>319660.KQ</t>
        </is>
      </c>
    </row>
    <row r="54" ht="24" customHeight="1">
      <c r="A54" s="29" t="inlineStr">
        <is>
          <t>2023-08-23</t>
        </is>
      </c>
      <c r="B54" s="31" t="n">
        <v>18320</v>
      </c>
      <c r="C54" s="31" t="n">
        <v>18790</v>
      </c>
      <c r="D54" s="31" t="n">
        <v>18150</v>
      </c>
      <c r="E54" s="31" t="n">
        <v>18200</v>
      </c>
      <c r="F54" s="31" t="n">
        <v>17428.921875</v>
      </c>
      <c r="G54" s="31" t="n">
        <v>262186</v>
      </c>
      <c r="H54" s="36" t="n">
        <v>-0.006550218340611313</v>
      </c>
      <c r="I54" s="36" t="n">
        <v>-0.3170731707317073</v>
      </c>
      <c r="J54" s="31" t="n">
        <v>20639</v>
      </c>
      <c r="K54" s="31" t="n">
        <v>21552.16666666667</v>
      </c>
      <c r="L54" s="31" t="n">
        <v>20829.33333333333</v>
      </c>
      <c r="M54" s="36" t="n">
        <v>0.4724436624711577</v>
      </c>
      <c r="N54" s="36" t="n">
        <v>0.4169431312237137</v>
      </c>
      <c r="O54" s="36" t="n">
        <v>-0.1946902654867256</v>
      </c>
      <c r="P54" s="36" t="n">
        <v>-0.1670480549199085</v>
      </c>
      <c r="Q54" s="36" t="n">
        <v>0.04597701149425282</v>
      </c>
      <c r="R54" s="36" t="n">
        <v>-0.1181743301516547</v>
      </c>
      <c r="S54" s="36" t="n">
        <v>-0.1555373396332929</v>
      </c>
      <c r="T54" s="36" t="n">
        <v>-0.1262322365894252</v>
      </c>
      <c r="U54" s="31" t="n">
        <v>23350</v>
      </c>
      <c r="V54" s="31" t="n">
        <v>14250</v>
      </c>
      <c r="W54" s="36" t="n">
        <v>-0.2205567451820128</v>
      </c>
      <c r="X54" s="36" t="n">
        <v>0.2771929824561403</v>
      </c>
      <c r="Y54" s="31" t="n">
        <v>28966714</v>
      </c>
      <c r="Z54" s="31" t="n">
        <v>527194194800</v>
      </c>
      <c r="AA54" s="31" t="n">
        <v>4771785200</v>
      </c>
      <c r="AB54" s="31" t="n">
        <v>7871054026</v>
      </c>
      <c r="AC54" s="36" t="n">
        <v>0.009051285554861349</v>
      </c>
      <c r="AD54" s="29" t="inlineStr">
        <is>
          <t>yfinance_download</t>
        </is>
      </c>
      <c r="AE54" s="29" t="inlineStr">
        <is>
          <t>319660.KQ</t>
        </is>
      </c>
    </row>
    <row r="55" ht="24" customHeight="1">
      <c r="A55" s="24" t="inlineStr">
        <is>
          <t>2023-08-24</t>
        </is>
      </c>
      <c r="B55" s="30" t="n">
        <v>18610</v>
      </c>
      <c r="C55" s="30" t="n">
        <v>18910</v>
      </c>
      <c r="D55" s="30" t="n">
        <v>18370</v>
      </c>
      <c r="E55" s="30" t="n">
        <v>18630</v>
      </c>
      <c r="F55" s="30" t="n">
        <v>17840.705078125</v>
      </c>
      <c r="G55" s="30" t="n">
        <v>264149</v>
      </c>
      <c r="H55" s="35" t="n">
        <v>0.02362637362637354</v>
      </c>
      <c r="I55" s="35" t="n">
        <v>-0.3009380863039399</v>
      </c>
      <c r="J55" s="30" t="n">
        <v>20500.5</v>
      </c>
      <c r="K55" s="30" t="n">
        <v>21501.83333333333</v>
      </c>
      <c r="L55" s="30" t="n">
        <v>20837</v>
      </c>
      <c r="M55" s="35" t="n">
        <v>0.4586484253751044</v>
      </c>
      <c r="N55" s="35" t="n">
        <v>0.4201762209461706</v>
      </c>
      <c r="O55" s="35" t="n">
        <v>-0.1294392523364486</v>
      </c>
      <c r="P55" s="35" t="n">
        <v>-0.1394919168591224</v>
      </c>
      <c r="Q55" s="35" t="n">
        <v>0.05194805194805197</v>
      </c>
      <c r="R55" s="35" t="n">
        <v>-0.09124167703226749</v>
      </c>
      <c r="S55" s="35" t="n">
        <v>-0.1335622543814093</v>
      </c>
      <c r="T55" s="35" t="n">
        <v>-0.1059173585448961</v>
      </c>
      <c r="U55" s="30" t="n">
        <v>23350</v>
      </c>
      <c r="V55" s="30" t="n">
        <v>14250</v>
      </c>
      <c r="W55" s="35" t="n">
        <v>-0.2021413276231263</v>
      </c>
      <c r="X55" s="35" t="n">
        <v>0.3073684210526315</v>
      </c>
      <c r="Y55" s="30" t="n">
        <v>28966714</v>
      </c>
      <c r="Z55" s="30" t="n">
        <v>539649881820</v>
      </c>
      <c r="AA55" s="30" t="n">
        <v>4921095870</v>
      </c>
      <c r="AB55" s="30" t="n">
        <v>7518622509.5</v>
      </c>
      <c r="AC55" s="35" t="n">
        <v>0.009119052993031933</v>
      </c>
      <c r="AD55" s="24" t="inlineStr">
        <is>
          <t>yfinance_download</t>
        </is>
      </c>
      <c r="AE55" s="24" t="inlineStr">
        <is>
          <t>319660.KQ</t>
        </is>
      </c>
    </row>
    <row r="56" ht="24" customHeight="1">
      <c r="A56" s="29" t="inlineStr">
        <is>
          <t>2023-08-25</t>
        </is>
      </c>
      <c r="B56" s="31" t="n">
        <v>18220</v>
      </c>
      <c r="C56" s="31" t="n">
        <v>18310</v>
      </c>
      <c r="D56" s="31" t="n">
        <v>18060</v>
      </c>
      <c r="E56" s="31" t="n">
        <v>18110</v>
      </c>
      <c r="F56" s="31" t="n">
        <v>17342.734375</v>
      </c>
      <c r="G56" s="31" t="n">
        <v>183381</v>
      </c>
      <c r="H56" s="36" t="n">
        <v>-0.02791196994095546</v>
      </c>
      <c r="I56" s="36" t="n">
        <v>-0.3204502814258912</v>
      </c>
      <c r="J56" s="31" t="n">
        <v>20273.5</v>
      </c>
      <c r="K56" s="31" t="n">
        <v>21449.5</v>
      </c>
      <c r="L56" s="31" t="n">
        <v>20842.41666666667</v>
      </c>
      <c r="M56" s="36" t="n">
        <v>0.3944611366711867</v>
      </c>
      <c r="N56" s="36" t="n">
        <v>0.4221818941602994</v>
      </c>
      <c r="O56" s="36" t="n">
        <v>-0.2004415011037528</v>
      </c>
      <c r="P56" s="36" t="n">
        <v>-0.1477647058823529</v>
      </c>
      <c r="Q56" s="36" t="n">
        <v>0.03722794959908371</v>
      </c>
      <c r="R56" s="36" t="n">
        <v>-0.1067156633043135</v>
      </c>
      <c r="S56" s="36" t="n">
        <v>-0.1556912748548918</v>
      </c>
      <c r="T56" s="36" t="n">
        <v>-0.1310988409053653</v>
      </c>
      <c r="U56" s="31" t="n">
        <v>23350</v>
      </c>
      <c r="V56" s="31" t="n">
        <v>14250</v>
      </c>
      <c r="W56" s="36" t="n">
        <v>-0.2244111349036403</v>
      </c>
      <c r="X56" s="36" t="n">
        <v>0.270877192982456</v>
      </c>
      <c r="Y56" s="31" t="n">
        <v>28966714</v>
      </c>
      <c r="Z56" s="31" t="n">
        <v>524587190540</v>
      </c>
      <c r="AA56" s="31" t="n">
        <v>3321029910</v>
      </c>
      <c r="AB56" s="31" t="n">
        <v>7065532857.5</v>
      </c>
      <c r="AC56" s="36" t="n">
        <v>0.006330749148833381</v>
      </c>
      <c r="AD56" s="29" t="inlineStr">
        <is>
          <t>yfinance_download</t>
        </is>
      </c>
      <c r="AE56" s="29" t="inlineStr">
        <is>
          <t>319660.KQ</t>
        </is>
      </c>
    </row>
    <row r="57" ht="24" customHeight="1">
      <c r="A57" s="24" t="inlineStr">
        <is>
          <t>2023-08-28</t>
        </is>
      </c>
      <c r="B57" s="30" t="n">
        <v>18150</v>
      </c>
      <c r="C57" s="30" t="n">
        <v>18200</v>
      </c>
      <c r="D57" s="30" t="n">
        <v>17700</v>
      </c>
      <c r="E57" s="30" t="n">
        <v>17950</v>
      </c>
      <c r="F57" s="30" t="n">
        <v>17189.51171875</v>
      </c>
      <c r="G57" s="30" t="n">
        <v>333777</v>
      </c>
      <c r="H57" s="35" t="n">
        <v>-0.008834897846493606</v>
      </c>
      <c r="I57" s="35" t="n">
        <v>-0.3264540337711069</v>
      </c>
      <c r="J57" s="30" t="n">
        <v>20013.5</v>
      </c>
      <c r="K57" s="30" t="n">
        <v>21391.16666666667</v>
      </c>
      <c r="L57" s="30" t="n">
        <v>20845.25</v>
      </c>
      <c r="M57" s="35" t="n">
        <v>0.3750526719736722</v>
      </c>
      <c r="N57" s="35" t="n">
        <v>0.4216732890574464</v>
      </c>
      <c r="O57" s="35" t="n">
        <v>-0.224622030237581</v>
      </c>
      <c r="P57" s="35" t="n">
        <v>-0.1631701631701632</v>
      </c>
      <c r="Q57" s="35" t="n">
        <v>0.01930721181147077</v>
      </c>
      <c r="R57" s="35" t="n">
        <v>-0.1031054038523996</v>
      </c>
      <c r="S57" s="35" t="n">
        <v>-0.1608685828262445</v>
      </c>
      <c r="T57" s="35" t="n">
        <v>-0.1388925534594212</v>
      </c>
      <c r="U57" s="30" t="n">
        <v>23350</v>
      </c>
      <c r="V57" s="30" t="n">
        <v>14250</v>
      </c>
      <c r="W57" s="35" t="n">
        <v>-0.2312633832976445</v>
      </c>
      <c r="X57" s="35" t="n">
        <v>0.2596491228070175</v>
      </c>
      <c r="Y57" s="30" t="n">
        <v>28966714</v>
      </c>
      <c r="Z57" s="30" t="n">
        <v>519952516300</v>
      </c>
      <c r="AA57" s="30" t="n">
        <v>5991297150</v>
      </c>
      <c r="AB57" s="30" t="n">
        <v>6633980202.5</v>
      </c>
      <c r="AC57" s="35" t="n">
        <v>0.011522777488672</v>
      </c>
      <c r="AD57" s="24" t="inlineStr">
        <is>
          <t>yfinance_download</t>
        </is>
      </c>
      <c r="AE57" s="24" t="inlineStr">
        <is>
          <t>319660.KQ</t>
        </is>
      </c>
    </row>
    <row r="58" ht="24" customHeight="1">
      <c r="A58" s="29" t="inlineStr">
        <is>
          <t>2023-08-29</t>
        </is>
      </c>
      <c r="B58" s="31" t="n">
        <v>17990</v>
      </c>
      <c r="C58" s="31" t="n">
        <v>18430</v>
      </c>
      <c r="D58" s="31" t="n">
        <v>17990</v>
      </c>
      <c r="E58" s="31" t="n">
        <v>18370</v>
      </c>
      <c r="F58" s="31" t="n">
        <v>17591.720703125</v>
      </c>
      <c r="G58" s="31" t="n">
        <v>205778</v>
      </c>
      <c r="H58" s="36" t="n">
        <v>0.02339832869080771</v>
      </c>
      <c r="I58" s="36" t="n">
        <v>-0.3106941838649155</v>
      </c>
      <c r="J58" s="31" t="n">
        <v>19807</v>
      </c>
      <c r="K58" s="31" t="n">
        <v>21332.33333333333</v>
      </c>
      <c r="L58" s="31" t="n">
        <v>20849.66666666667</v>
      </c>
      <c r="M58" s="36" t="n">
        <v>0.3906409387773225</v>
      </c>
      <c r="N58" s="36" t="n">
        <v>0.4222802368652033</v>
      </c>
      <c r="O58" s="36" t="n">
        <v>-0.1835555555555556</v>
      </c>
      <c r="P58" s="36" t="n">
        <v>-0.1611872146118721</v>
      </c>
      <c r="Q58" s="36" t="n">
        <v>0.02970852017937209</v>
      </c>
      <c r="R58" s="36" t="n">
        <v>-0.07255010854748323</v>
      </c>
      <c r="S58" s="36" t="n">
        <v>-0.1388658843383284</v>
      </c>
      <c r="T58" s="36" t="n">
        <v>-0.1189307582855043</v>
      </c>
      <c r="U58" s="31" t="n">
        <v>23350</v>
      </c>
      <c r="V58" s="31" t="n">
        <v>14250</v>
      </c>
      <c r="W58" s="36" t="n">
        <v>-0.2132762312633832</v>
      </c>
      <c r="X58" s="36" t="n">
        <v>0.2891228070175438</v>
      </c>
      <c r="Y58" s="31" t="n">
        <v>28966714</v>
      </c>
      <c r="Z58" s="31" t="n">
        <v>532118536180</v>
      </c>
      <c r="AA58" s="31" t="n">
        <v>3780141860</v>
      </c>
      <c r="AB58" s="31" t="n">
        <v>6250187920.5</v>
      </c>
      <c r="AC58" s="36" t="n">
        <v>0.007103946964781714</v>
      </c>
      <c r="AD58" s="29" t="inlineStr">
        <is>
          <t>yfinance_download</t>
        </is>
      </c>
      <c r="AE58" s="29" t="inlineStr">
        <is>
          <t>319660.KQ</t>
        </is>
      </c>
    </row>
    <row r="59" ht="24" customHeight="1">
      <c r="A59" s="24" t="inlineStr">
        <is>
          <t>2023-08-30</t>
        </is>
      </c>
      <c r="B59" s="30" t="n">
        <v>18720</v>
      </c>
      <c r="C59" s="30" t="n">
        <v>18760</v>
      </c>
      <c r="D59" s="30" t="n">
        <v>18410</v>
      </c>
      <c r="E59" s="30" t="n">
        <v>18430</v>
      </c>
      <c r="F59" s="30" t="n">
        <v>17649.177734375</v>
      </c>
      <c r="G59" s="30" t="n">
        <v>181716</v>
      </c>
      <c r="H59" s="35" t="n">
        <v>0.003266194882961315</v>
      </c>
      <c r="I59" s="35" t="n">
        <v>-0.3084427767354596</v>
      </c>
      <c r="J59" s="30" t="n">
        <v>19596</v>
      </c>
      <c r="K59" s="30" t="n">
        <v>21284.5</v>
      </c>
      <c r="L59" s="30" t="n">
        <v>20856.16666666667</v>
      </c>
      <c r="M59" s="35" t="n">
        <v>0.3889231991069148</v>
      </c>
      <c r="N59" s="35" t="n">
        <v>0.4192471851919272</v>
      </c>
      <c r="O59" s="35" t="n">
        <v>-0.1863134657836645</v>
      </c>
      <c r="P59" s="35" t="n">
        <v>-0.1347417840375587</v>
      </c>
      <c r="Q59" s="35" t="n">
        <v>0.0441926345609065</v>
      </c>
      <c r="R59" s="35" t="n">
        <v>-0.05950193917125945</v>
      </c>
      <c r="S59" s="35" t="n">
        <v>-0.1341116775118044</v>
      </c>
      <c r="T59" s="35" t="n">
        <v>-0.1163285039596602</v>
      </c>
      <c r="U59" s="30" t="n">
        <v>23350</v>
      </c>
      <c r="V59" s="30" t="n">
        <v>14250</v>
      </c>
      <c r="W59" s="35" t="n">
        <v>-0.2107066381156317</v>
      </c>
      <c r="X59" s="35" t="n">
        <v>0.2933333333333332</v>
      </c>
      <c r="Y59" s="30" t="n">
        <v>28966714</v>
      </c>
      <c r="Z59" s="30" t="n">
        <v>533856539020</v>
      </c>
      <c r="AA59" s="30" t="n">
        <v>3349025880</v>
      </c>
      <c r="AB59" s="30" t="n">
        <v>5958018619.5</v>
      </c>
      <c r="AC59" s="35" t="n">
        <v>0.006273269380848653</v>
      </c>
      <c r="AD59" s="24" t="inlineStr">
        <is>
          <t>yfinance_download</t>
        </is>
      </c>
      <c r="AE59" s="24" t="inlineStr">
        <is>
          <t>319660.KQ</t>
        </is>
      </c>
    </row>
    <row r="60" ht="24" customHeight="1">
      <c r="A60" s="29" t="inlineStr">
        <is>
          <t>2023-08-31</t>
        </is>
      </c>
      <c r="B60" s="31" t="n">
        <v>18520</v>
      </c>
      <c r="C60" s="31" t="n">
        <v>18750</v>
      </c>
      <c r="D60" s="31" t="n">
        <v>18310</v>
      </c>
      <c r="E60" s="31" t="n">
        <v>18750</v>
      </c>
      <c r="F60" s="31" t="n">
        <v>17955.619140625</v>
      </c>
      <c r="G60" s="31" t="n">
        <v>188273</v>
      </c>
      <c r="H60" s="36" t="n">
        <v>0.01736299511665762</v>
      </c>
      <c r="I60" s="36" t="n">
        <v>-0.2964352720450282</v>
      </c>
      <c r="J60" s="31" t="n">
        <v>19473.5</v>
      </c>
      <c r="K60" s="31" t="n">
        <v>21242.83333333333</v>
      </c>
      <c r="L60" s="31" t="n">
        <v>20864.33333333333</v>
      </c>
      <c r="M60" s="36" t="n">
        <v>0.3435426013287649</v>
      </c>
      <c r="N60" s="36" t="n">
        <v>0.4211323769274901</v>
      </c>
      <c r="O60" s="36" t="n">
        <v>-0.1155660377358491</v>
      </c>
      <c r="P60" s="36" t="n">
        <v>-0.1176470588235294</v>
      </c>
      <c r="Q60" s="36" t="n">
        <v>0.05514912774338776</v>
      </c>
      <c r="R60" s="36" t="n">
        <v>-0.03715305415051229</v>
      </c>
      <c r="S60" s="36" t="n">
        <v>-0.1173493805754097</v>
      </c>
      <c r="T60" s="36" t="n">
        <v>-0.1013372102311759</v>
      </c>
      <c r="U60" s="31" t="n">
        <v>23350</v>
      </c>
      <c r="V60" s="31" t="n">
        <v>14250</v>
      </c>
      <c r="W60" s="36" t="n">
        <v>-0.1970021413276232</v>
      </c>
      <c r="X60" s="36" t="n">
        <v>0.3157894736842106</v>
      </c>
      <c r="Y60" s="31" t="n">
        <v>28966714</v>
      </c>
      <c r="Z60" s="31" t="n">
        <v>543125887500</v>
      </c>
      <c r="AA60" s="31" t="n">
        <v>3530118750</v>
      </c>
      <c r="AB60" s="31" t="n">
        <v>5521668597</v>
      </c>
      <c r="AC60" s="36" t="n">
        <v>0.006499632647320645</v>
      </c>
      <c r="AD60" s="29" t="inlineStr">
        <is>
          <t>yfinance_download</t>
        </is>
      </c>
      <c r="AE60" s="29" t="inlineStr">
        <is>
          <t>319660.KQ</t>
        </is>
      </c>
    </row>
    <row r="61" ht="24" customHeight="1">
      <c r="A61" s="24" t="inlineStr">
        <is>
          <t>2023-09-01</t>
        </is>
      </c>
      <c r="B61" s="30" t="n">
        <v>18740</v>
      </c>
      <c r="C61" s="30" t="n">
        <v>20300</v>
      </c>
      <c r="D61" s="30" t="n">
        <v>18650</v>
      </c>
      <c r="E61" s="30" t="n">
        <v>20100</v>
      </c>
      <c r="F61" s="30" t="n">
        <v>19248.42578125</v>
      </c>
      <c r="G61" s="30" t="n">
        <v>684943</v>
      </c>
      <c r="H61" s="35" t="n">
        <v>0.07200000000000006</v>
      </c>
      <c r="I61" s="35" t="n">
        <v>-0.2457786116322702</v>
      </c>
      <c r="J61" s="30" t="n">
        <v>19406</v>
      </c>
      <c r="K61" s="30" t="n">
        <v>21226.16666666667</v>
      </c>
      <c r="L61" s="30" t="n">
        <v>20876.83333333333</v>
      </c>
      <c r="M61" s="35" t="n">
        <v>0.4381143801579942</v>
      </c>
      <c r="N61" s="35" t="n">
        <v>0.4472245538207784</v>
      </c>
      <c r="O61" s="35" t="n">
        <v>-0.06293706293706292</v>
      </c>
      <c r="P61" s="35" t="n">
        <v>-0.04739336492891</v>
      </c>
      <c r="Q61" s="35" t="n">
        <v>0.08064516129032251</v>
      </c>
      <c r="R61" s="35" t="n">
        <v>0.03576213542203432</v>
      </c>
      <c r="S61" s="35" t="n">
        <v>-0.05305558390979692</v>
      </c>
      <c r="T61" s="35" t="n">
        <v>-0.03721030488340338</v>
      </c>
      <c r="U61" s="30" t="n">
        <v>23350</v>
      </c>
      <c r="V61" s="30" t="n">
        <v>14250</v>
      </c>
      <c r="W61" s="35" t="n">
        <v>-0.139186295503212</v>
      </c>
      <c r="X61" s="35" t="n">
        <v>0.4105263157894736</v>
      </c>
      <c r="Y61" s="30" t="n">
        <v>28966714</v>
      </c>
      <c r="Z61" s="30" t="n">
        <v>582230951400</v>
      </c>
      <c r="AA61" s="30" t="n">
        <v>13767354300</v>
      </c>
      <c r="AB61" s="30" t="n">
        <v>5898384972</v>
      </c>
      <c r="AC61" s="35" t="n">
        <v>0.02364586469835688</v>
      </c>
      <c r="AD61" s="24" t="inlineStr">
        <is>
          <t>yfinance_download</t>
        </is>
      </c>
      <c r="AE61" s="24" t="inlineStr">
        <is>
          <t>319660.KQ</t>
        </is>
      </c>
    </row>
    <row r="62" ht="24" customHeight="1">
      <c r="A62" s="29" t="inlineStr">
        <is>
          <t>2023-09-04</t>
        </is>
      </c>
      <c r="B62" s="31" t="n">
        <v>20400</v>
      </c>
      <c r="C62" s="31" t="n">
        <v>20550</v>
      </c>
      <c r="D62" s="31" t="n">
        <v>19990</v>
      </c>
      <c r="E62" s="31" t="n">
        <v>20450</v>
      </c>
      <c r="F62" s="31" t="n">
        <v>19583.59765625</v>
      </c>
      <c r="G62" s="31" t="n">
        <v>385421</v>
      </c>
      <c r="H62" s="36" t="n">
        <v>0.01741293532338317</v>
      </c>
      <c r="I62" s="36" t="n">
        <v>-0.2326454033771107</v>
      </c>
      <c r="J62" s="31" t="n">
        <v>19368.5</v>
      </c>
      <c r="K62" s="31" t="n">
        <v>21204.5</v>
      </c>
      <c r="L62" s="31" t="n">
        <v>20896.75</v>
      </c>
      <c r="M62" s="36" t="n">
        <v>0.4425245422110203</v>
      </c>
      <c r="N62" s="36" t="n">
        <v>0.4440616866709333</v>
      </c>
      <c r="O62" s="36" t="n">
        <v>-0.035377358490566</v>
      </c>
      <c r="P62" s="36" t="n">
        <v>-0.05977011494252871</v>
      </c>
      <c r="Q62" s="36" t="n">
        <v>0.1323366555924697</v>
      </c>
      <c r="R62" s="36" t="n">
        <v>0.05583808761649078</v>
      </c>
      <c r="S62" s="36" t="n">
        <v>-0.0355820698436653</v>
      </c>
      <c r="T62" s="36" t="n">
        <v>-0.02137892255972818</v>
      </c>
      <c r="U62" s="31" t="n">
        <v>23350</v>
      </c>
      <c r="V62" s="31" t="n">
        <v>14250</v>
      </c>
      <c r="W62" s="36" t="n">
        <v>-0.1241970021413277</v>
      </c>
      <c r="X62" s="36" t="n">
        <v>0.4350877192982456</v>
      </c>
      <c r="Y62" s="31" t="n">
        <v>28966714</v>
      </c>
      <c r="Z62" s="31" t="n">
        <v>592369301300</v>
      </c>
      <c r="AA62" s="31" t="n">
        <v>7881859450</v>
      </c>
      <c r="AB62" s="31" t="n">
        <v>6111981144.5</v>
      </c>
      <c r="AC62" s="36" t="n">
        <v>0.01330565144531064</v>
      </c>
      <c r="AD62" s="29" t="inlineStr">
        <is>
          <t>yfinance_download</t>
        </is>
      </c>
      <c r="AE62" s="29" t="inlineStr">
        <is>
          <t>319660.KQ</t>
        </is>
      </c>
    </row>
    <row r="63" ht="24" customHeight="1">
      <c r="A63" s="24" t="inlineStr">
        <is>
          <t>2023-09-05</t>
        </is>
      </c>
      <c r="B63" s="30" t="n">
        <v>20450</v>
      </c>
      <c r="C63" s="30" t="n">
        <v>20450</v>
      </c>
      <c r="D63" s="30" t="n">
        <v>19610</v>
      </c>
      <c r="E63" s="30" t="n">
        <v>19860</v>
      </c>
      <c r="F63" s="30" t="n">
        <v>19018.591796875</v>
      </c>
      <c r="G63" s="30" t="n">
        <v>197613</v>
      </c>
      <c r="H63" s="35" t="n">
        <v>-0.02885085574572133</v>
      </c>
      <c r="I63" s="35" t="n">
        <v>-0.2547842401500938</v>
      </c>
      <c r="J63" s="30" t="n">
        <v>19314</v>
      </c>
      <c r="K63" s="30" t="n">
        <v>21168.83333333333</v>
      </c>
      <c r="L63" s="30" t="n">
        <v>20908.91666666667</v>
      </c>
      <c r="M63" s="35" t="n">
        <v>0.4518659739494119</v>
      </c>
      <c r="N63" s="35" t="n">
        <v>0.4470394663945633</v>
      </c>
      <c r="O63" s="35" t="n">
        <v>-0.05202863961813842</v>
      </c>
      <c r="P63" s="35" t="n">
        <v>-0.09727272727272729</v>
      </c>
      <c r="Q63" s="35" t="n">
        <v>0.07934782608695645</v>
      </c>
      <c r="R63" s="35" t="n">
        <v>0.02826964895930417</v>
      </c>
      <c r="S63" s="35" t="n">
        <v>-0.06182831678647061</v>
      </c>
      <c r="T63" s="35" t="n">
        <v>-0.05016599776012631</v>
      </c>
      <c r="U63" s="30" t="n">
        <v>23350</v>
      </c>
      <c r="V63" s="30" t="n">
        <v>14250</v>
      </c>
      <c r="W63" s="35" t="n">
        <v>-0.1494646680942184</v>
      </c>
      <c r="X63" s="35" t="n">
        <v>0.3936842105263159</v>
      </c>
      <c r="Y63" s="30" t="n">
        <v>28966714</v>
      </c>
      <c r="Z63" s="30" t="n">
        <v>575278940040</v>
      </c>
      <c r="AA63" s="30" t="n">
        <v>3924594180</v>
      </c>
      <c r="AB63" s="30" t="n">
        <v>5978448426</v>
      </c>
      <c r="AC63" s="35" t="n">
        <v>0.006822071706165912</v>
      </c>
      <c r="AD63" s="24" t="inlineStr">
        <is>
          <t>yfinance_download</t>
        </is>
      </c>
      <c r="AE63" s="24" t="inlineStr">
        <is>
          <t>319660.KQ</t>
        </is>
      </c>
    </row>
    <row r="64" ht="24" customHeight="1">
      <c r="A64" s="29" t="inlineStr">
        <is>
          <t>2023-09-06</t>
        </is>
      </c>
      <c r="B64" s="31" t="n">
        <v>19830</v>
      </c>
      <c r="C64" s="31" t="n">
        <v>19830</v>
      </c>
      <c r="D64" s="31" t="n">
        <v>19230</v>
      </c>
      <c r="E64" s="31" t="n">
        <v>19390</v>
      </c>
      <c r="F64" s="31" t="n">
        <v>18568.50390625</v>
      </c>
      <c r="G64" s="31" t="n">
        <v>207645</v>
      </c>
      <c r="H64" s="36" t="n">
        <v>-0.02366565961732126</v>
      </c>
      <c r="I64" s="36" t="n">
        <v>-0.2724202626641651</v>
      </c>
      <c r="J64" s="31" t="n">
        <v>19236</v>
      </c>
      <c r="K64" s="31" t="n">
        <v>21126.16666666667</v>
      </c>
      <c r="L64" s="31" t="n">
        <v>20927.83333333333</v>
      </c>
      <c r="M64" s="36" t="n">
        <v>0.4580455910422029</v>
      </c>
      <c r="N64" s="36" t="n">
        <v>0.4493789330325698</v>
      </c>
      <c r="O64" s="36" t="n">
        <v>-0.0744630071599045</v>
      </c>
      <c r="P64" s="36" t="n">
        <v>-0.116628701594533</v>
      </c>
      <c r="Q64" s="36" t="n">
        <v>0.1325934579439252</v>
      </c>
      <c r="R64" s="36" t="n">
        <v>0.008005822416302655</v>
      </c>
      <c r="S64" s="36" t="n">
        <v>-0.08218086575100392</v>
      </c>
      <c r="T64" s="36" t="n">
        <v>-0.07348268255194434</v>
      </c>
      <c r="U64" s="31" t="n">
        <v>23350</v>
      </c>
      <c r="V64" s="31" t="n">
        <v>14250</v>
      </c>
      <c r="W64" s="36" t="n">
        <v>-0.1695931477516059</v>
      </c>
      <c r="X64" s="36" t="n">
        <v>0.360701754385965</v>
      </c>
      <c r="Y64" s="31" t="n">
        <v>28966714</v>
      </c>
      <c r="Z64" s="31" t="n">
        <v>561664584460</v>
      </c>
      <c r="AA64" s="31" t="n">
        <v>4026236550</v>
      </c>
      <c r="AB64" s="31" t="n">
        <v>5913221783.5</v>
      </c>
      <c r="AC64" s="36" t="n">
        <v>0.007168400254167594</v>
      </c>
      <c r="AD64" s="29" t="inlineStr">
        <is>
          <t>yfinance_download</t>
        </is>
      </c>
      <c r="AE64" s="29" t="inlineStr">
        <is>
          <t>319660.KQ</t>
        </is>
      </c>
    </row>
    <row r="65" ht="24" customHeight="1">
      <c r="A65" s="24" t="inlineStr">
        <is>
          <t>2023-09-07</t>
        </is>
      </c>
      <c r="B65" s="30" t="n">
        <v>19190</v>
      </c>
      <c r="C65" s="30" t="n">
        <v>19690</v>
      </c>
      <c r="D65" s="30" t="n">
        <v>19190</v>
      </c>
      <c r="E65" s="30" t="n">
        <v>19520</v>
      </c>
      <c r="F65" s="30" t="n">
        <v>18692.998046875</v>
      </c>
      <c r="G65" s="30" t="n">
        <v>172714</v>
      </c>
      <c r="H65" s="35" t="n">
        <v>0.006704486848891245</v>
      </c>
      <c r="I65" s="35" t="n">
        <v>-0.2675422138836773</v>
      </c>
      <c r="J65" s="30" t="n">
        <v>19167</v>
      </c>
      <c r="K65" s="30" t="n">
        <v>21078.16666666667</v>
      </c>
      <c r="L65" s="30" t="n">
        <v>20949.16666666667</v>
      </c>
      <c r="M65" s="35" t="n">
        <v>0.459464655248552</v>
      </c>
      <c r="N65" s="35" t="n">
        <v>0.4473563129898194</v>
      </c>
      <c r="O65" s="35" t="n">
        <v>-0.06602870813397133</v>
      </c>
      <c r="P65" s="35" t="n">
        <v>-0.1285714285714286</v>
      </c>
      <c r="Q65" s="35" t="n">
        <v>0.1509433962264151</v>
      </c>
      <c r="R65" s="35" t="n">
        <v>0.01841707100746071</v>
      </c>
      <c r="S65" s="35" t="n">
        <v>-0.07392325391993304</v>
      </c>
      <c r="T65" s="35" t="n">
        <v>-0.06822069294721356</v>
      </c>
      <c r="U65" s="30" t="n">
        <v>23350</v>
      </c>
      <c r="V65" s="30" t="n">
        <v>14250</v>
      </c>
      <c r="W65" s="35" t="n">
        <v>-0.1640256959314775</v>
      </c>
      <c r="X65" s="35" t="n">
        <v>0.3698245614035087</v>
      </c>
      <c r="Y65" s="30" t="n">
        <v>28966714</v>
      </c>
      <c r="Z65" s="30" t="n">
        <v>565430257280</v>
      </c>
      <c r="AA65" s="30" t="n">
        <v>3371377280</v>
      </c>
      <c r="AB65" s="30" t="n">
        <v>5840671527.5</v>
      </c>
      <c r="AC65" s="35" t="n">
        <v>0.005962498887516202</v>
      </c>
      <c r="AD65" s="24" t="inlineStr">
        <is>
          <t>yfinance_download</t>
        </is>
      </c>
      <c r="AE65" s="24" t="inlineStr">
        <is>
          <t>319660.KQ</t>
        </is>
      </c>
    </row>
    <row r="66" ht="24" customHeight="1">
      <c r="A66" s="29" t="inlineStr">
        <is>
          <t>2023-09-08</t>
        </is>
      </c>
      <c r="B66" s="31" t="n">
        <v>19520</v>
      </c>
      <c r="C66" s="31" t="n">
        <v>19520</v>
      </c>
      <c r="D66" s="31" t="n">
        <v>18950</v>
      </c>
      <c r="E66" s="31" t="n">
        <v>19280</v>
      </c>
      <c r="F66" s="31" t="n">
        <v>18463.16796875</v>
      </c>
      <c r="G66" s="31" t="n">
        <v>210967</v>
      </c>
      <c r="H66" s="36" t="n">
        <v>-0.01229508196721307</v>
      </c>
      <c r="I66" s="36" t="n">
        <v>-0.276547842401501</v>
      </c>
      <c r="J66" s="31" t="n">
        <v>19145</v>
      </c>
      <c r="K66" s="31" t="n">
        <v>21037.83333333333</v>
      </c>
      <c r="L66" s="31" t="n">
        <v>20963.08333333333</v>
      </c>
      <c r="M66" s="36" t="n">
        <v>0.4160174256889801</v>
      </c>
      <c r="N66" s="36" t="n">
        <v>0.4437168149336383</v>
      </c>
      <c r="O66" s="36" t="n">
        <v>-0.02231237322515212</v>
      </c>
      <c r="P66" s="36" t="n">
        <v>-0.1115207373271889</v>
      </c>
      <c r="Q66" s="36" t="n">
        <v>0.09483248154457691</v>
      </c>
      <c r="R66" s="36" t="n">
        <v>0.007051449464612114</v>
      </c>
      <c r="S66" s="36" t="n">
        <v>-0.08355581610907326</v>
      </c>
      <c r="T66" s="36" t="n">
        <v>-0.08028796654436166</v>
      </c>
      <c r="U66" s="31" t="n">
        <v>23350</v>
      </c>
      <c r="V66" s="31" t="n">
        <v>14250</v>
      </c>
      <c r="W66" s="36" t="n">
        <v>-0.1743040685224839</v>
      </c>
      <c r="X66" s="36" t="n">
        <v>0.352982456140351</v>
      </c>
      <c r="Y66" s="31" t="n">
        <v>28966714</v>
      </c>
      <c r="Z66" s="31" t="n">
        <v>558478245920</v>
      </c>
      <c r="AA66" s="31" t="n">
        <v>4067443760</v>
      </c>
      <c r="AB66" s="31" t="n">
        <v>5413260075.5</v>
      </c>
      <c r="AC66" s="36" t="n">
        <v>0.00728308361107166</v>
      </c>
      <c r="AD66" s="29" t="inlineStr">
        <is>
          <t>yfinance_download</t>
        </is>
      </c>
      <c r="AE66" s="29" t="inlineStr">
        <is>
          <t>319660.KQ</t>
        </is>
      </c>
    </row>
    <row r="67" ht="24" customHeight="1">
      <c r="A67" s="24" t="inlineStr">
        <is>
          <t>2023-09-11</t>
        </is>
      </c>
      <c r="B67" s="30" t="n">
        <v>19280</v>
      </c>
      <c r="C67" s="30" t="n">
        <v>19370</v>
      </c>
      <c r="D67" s="30" t="n">
        <v>18670</v>
      </c>
      <c r="E67" s="30" t="n">
        <v>19030</v>
      </c>
      <c r="F67" s="30" t="n">
        <v>18223.7578125</v>
      </c>
      <c r="G67" s="30" t="n">
        <v>223961</v>
      </c>
      <c r="H67" s="35" t="n">
        <v>-0.01296680497925307</v>
      </c>
      <c r="I67" s="35" t="n">
        <v>-0.2859287054409005</v>
      </c>
      <c r="J67" s="30" t="n">
        <v>19102.5</v>
      </c>
      <c r="K67" s="30" t="n">
        <v>20982.5</v>
      </c>
      <c r="L67" s="30" t="n">
        <v>20950</v>
      </c>
      <c r="M67" s="35" t="n">
        <v>0.4167526576941372</v>
      </c>
      <c r="N67" s="35" t="n">
        <v>0.4393835757357236</v>
      </c>
      <c r="O67" s="35" t="n">
        <v>-0.04275653923541245</v>
      </c>
      <c r="P67" s="35" t="n">
        <v>-0.1485458612975391</v>
      </c>
      <c r="Q67" s="35" t="n">
        <v>-0.07621359223300972</v>
      </c>
      <c r="R67" s="35" t="n">
        <v>-0.003795314749378331</v>
      </c>
      <c r="S67" s="35" t="n">
        <v>-0.09305373525557015</v>
      </c>
      <c r="T67" s="35" t="n">
        <v>-0.0916467780429594</v>
      </c>
      <c r="U67" s="30" t="n">
        <v>23350</v>
      </c>
      <c r="V67" s="30" t="n">
        <v>14250</v>
      </c>
      <c r="W67" s="35" t="n">
        <v>-0.1850107066381156</v>
      </c>
      <c r="X67" s="35" t="n">
        <v>0.3354385964912281</v>
      </c>
      <c r="Y67" s="30" t="n">
        <v>28966714</v>
      </c>
      <c r="Z67" s="30" t="n">
        <v>551236567420</v>
      </c>
      <c r="AA67" s="30" t="n">
        <v>4261977830</v>
      </c>
      <c r="AB67" s="30" t="n">
        <v>5339781809</v>
      </c>
      <c r="AC67" s="35" t="n">
        <v>0.007731667458034764</v>
      </c>
      <c r="AD67" s="24" t="inlineStr">
        <is>
          <t>yfinance_download</t>
        </is>
      </c>
      <c r="AE67" s="24" t="inlineStr">
        <is>
          <t>319660.KQ</t>
        </is>
      </c>
    </row>
    <row r="68" ht="24" customHeight="1">
      <c r="A68" s="29" t="inlineStr">
        <is>
          <t>2023-09-12</t>
        </is>
      </c>
      <c r="B68" s="31" t="n">
        <v>19120</v>
      </c>
      <c r="C68" s="31" t="n">
        <v>19930</v>
      </c>
      <c r="D68" s="31" t="n">
        <v>19030</v>
      </c>
      <c r="E68" s="31" t="n">
        <v>19810</v>
      </c>
      <c r="F68" s="31" t="n">
        <v>18970.7109375</v>
      </c>
      <c r="G68" s="31" t="n">
        <v>297682</v>
      </c>
      <c r="H68" s="36" t="n">
        <v>0.04098791382028377</v>
      </c>
      <c r="I68" s="36" t="n">
        <v>-0.2566604127579737</v>
      </c>
      <c r="J68" s="31" t="n">
        <v>19122.5</v>
      </c>
      <c r="K68" s="31" t="n">
        <v>20945.16666666667</v>
      </c>
      <c r="L68" s="31" t="n">
        <v>20945.91666666667</v>
      </c>
      <c r="M68" s="36" t="n">
        <v>0.4347047260688683</v>
      </c>
      <c r="N68" s="36" t="n">
        <v>0.4475743839650679</v>
      </c>
      <c r="O68" s="36" t="n">
        <v>0.02060793405461103</v>
      </c>
      <c r="P68" s="36" t="n">
        <v>-0.1015873015873016</v>
      </c>
      <c r="Q68" s="36" t="n">
        <v>-0.02413793103448281</v>
      </c>
      <c r="R68" s="36" t="n">
        <v>0.03595241208001054</v>
      </c>
      <c r="S68" s="36" t="n">
        <v>-0.05419707012755537</v>
      </c>
      <c r="T68" s="36" t="n">
        <v>-0.05423093602173856</v>
      </c>
      <c r="U68" s="31" t="n">
        <v>23350</v>
      </c>
      <c r="V68" s="31" t="n">
        <v>14250</v>
      </c>
      <c r="W68" s="36" t="n">
        <v>-0.1516059957173448</v>
      </c>
      <c r="X68" s="36" t="n">
        <v>0.3901754385964913</v>
      </c>
      <c r="Y68" s="31" t="n">
        <v>28966714</v>
      </c>
      <c r="Z68" s="31" t="n">
        <v>573830604340</v>
      </c>
      <c r="AA68" s="31" t="n">
        <v>5897080420</v>
      </c>
      <c r="AB68" s="31" t="n">
        <v>5272566542.5</v>
      </c>
      <c r="AC68" s="36" t="n">
        <v>0.01027669206800606</v>
      </c>
      <c r="AD68" s="29" t="inlineStr">
        <is>
          <t>yfinance_download</t>
        </is>
      </c>
      <c r="AE68" s="29" t="inlineStr">
        <is>
          <t>319660.KQ</t>
        </is>
      </c>
    </row>
    <row r="69" ht="24" customHeight="1">
      <c r="A69" s="24" t="inlineStr">
        <is>
          <t>2023-09-13</t>
        </is>
      </c>
      <c r="B69" s="30" t="n">
        <v>19900</v>
      </c>
      <c r="C69" s="30" t="n">
        <v>20650</v>
      </c>
      <c r="D69" s="30" t="n">
        <v>19620</v>
      </c>
      <c r="E69" s="30" t="n">
        <v>20000</v>
      </c>
      <c r="F69" s="30" t="n">
        <v>19152.662109375</v>
      </c>
      <c r="G69" s="30" t="n">
        <v>281357</v>
      </c>
      <c r="H69" s="35" t="n">
        <v>0.009591115598182709</v>
      </c>
      <c r="I69" s="35" t="n">
        <v>-0.2495309568480301</v>
      </c>
      <c r="J69" s="30" t="n">
        <v>19140.5</v>
      </c>
      <c r="K69" s="30" t="n">
        <v>20913.5</v>
      </c>
      <c r="L69" s="30" t="n">
        <v>20944.66666666667</v>
      </c>
      <c r="M69" s="35" t="n">
        <v>0.434056243747418</v>
      </c>
      <c r="N69" s="35" t="n">
        <v>0.4479890688202178</v>
      </c>
      <c r="O69" s="35" t="n">
        <v>0.01832993890020362</v>
      </c>
      <c r="P69" s="35" t="n">
        <v>-0.08675799086757996</v>
      </c>
      <c r="Q69" s="35" t="n">
        <v>-0.007444168734491274</v>
      </c>
      <c r="R69" s="35" t="n">
        <v>0.04490478305164447</v>
      </c>
      <c r="S69" s="35" t="n">
        <v>-0.04367991966911322</v>
      </c>
      <c r="T69" s="35" t="n">
        <v>-0.04510296972976424</v>
      </c>
      <c r="U69" s="30" t="n">
        <v>23350</v>
      </c>
      <c r="V69" s="30" t="n">
        <v>14250</v>
      </c>
      <c r="W69" s="35" t="n">
        <v>-0.1434689507494646</v>
      </c>
      <c r="X69" s="35" t="n">
        <v>0.4035087719298245</v>
      </c>
      <c r="Y69" s="30" t="n">
        <v>28966714</v>
      </c>
      <c r="Z69" s="30" t="n">
        <v>579334280000</v>
      </c>
      <c r="AA69" s="30" t="n">
        <v>5627140000</v>
      </c>
      <c r="AB69" s="30" t="n">
        <v>5293436258.5</v>
      </c>
      <c r="AC69" s="35" t="n">
        <v>0.009713114162690321</v>
      </c>
      <c r="AD69" s="24" t="inlineStr">
        <is>
          <t>yfinance_download</t>
        </is>
      </c>
      <c r="AE69" s="24" t="inlineStr">
        <is>
          <t>319660.KQ</t>
        </is>
      </c>
    </row>
    <row r="70" ht="24" customHeight="1">
      <c r="A70" s="29" t="inlineStr">
        <is>
          <t>2023-09-14</t>
        </is>
      </c>
      <c r="B70" s="31" t="n">
        <v>20150</v>
      </c>
      <c r="C70" s="31" t="n">
        <v>20700</v>
      </c>
      <c r="D70" s="31" t="n">
        <v>19850</v>
      </c>
      <c r="E70" s="31" t="n">
        <v>20400</v>
      </c>
      <c r="F70" s="31" t="n">
        <v>19535.71484375</v>
      </c>
      <c r="G70" s="31" t="n">
        <v>400922</v>
      </c>
      <c r="H70" s="36" t="n">
        <v>0.02000000000000002</v>
      </c>
      <c r="I70" s="36" t="n">
        <v>-0.2345215759849906</v>
      </c>
      <c r="J70" s="31" t="n">
        <v>19178</v>
      </c>
      <c r="K70" s="31" t="n">
        <v>20886.83333333333</v>
      </c>
      <c r="L70" s="31" t="n">
        <v>20941.75</v>
      </c>
      <c r="M70" s="36" t="n">
        <v>0.4390937557531361</v>
      </c>
      <c r="N70" s="36" t="n">
        <v>0.4499382983367438</v>
      </c>
      <c r="O70" s="36" t="n">
        <v>0.03816793893129766</v>
      </c>
      <c r="P70" s="36" t="n">
        <v>-0.07272727272727275</v>
      </c>
      <c r="Q70" s="36" t="n">
        <v>-0.01686746987951804</v>
      </c>
      <c r="R70" s="36" t="n">
        <v>0.06371884450933352</v>
      </c>
      <c r="S70" s="36" t="n">
        <v>-0.0233081446844503</v>
      </c>
      <c r="T70" s="36" t="n">
        <v>-0.02586937576850068</v>
      </c>
      <c r="U70" s="31" t="n">
        <v>23350</v>
      </c>
      <c r="V70" s="31" t="n">
        <v>14250</v>
      </c>
      <c r="W70" s="36" t="n">
        <v>-0.1263383297644539</v>
      </c>
      <c r="X70" s="36" t="n">
        <v>0.4315789473684211</v>
      </c>
      <c r="Y70" s="31" t="n">
        <v>28966714</v>
      </c>
      <c r="Z70" s="31" t="n">
        <v>590920965600</v>
      </c>
      <c r="AA70" s="31" t="n">
        <v>8178808800</v>
      </c>
      <c r="AB70" s="31" t="n">
        <v>5528420161</v>
      </c>
      <c r="AC70" s="36" t="n">
        <v>0.01384078290689099</v>
      </c>
      <c r="AD70" s="29" t="inlineStr">
        <is>
          <t>yfinance_download</t>
        </is>
      </c>
      <c r="AE70" s="29" t="inlineStr">
        <is>
          <t>319660.KQ</t>
        </is>
      </c>
    </row>
    <row r="71" ht="24" customHeight="1">
      <c r="A71" s="24" t="inlineStr">
        <is>
          <t>2023-09-15</t>
        </is>
      </c>
      <c r="B71" s="30" t="n">
        <v>20800</v>
      </c>
      <c r="C71" s="30" t="n">
        <v>20800</v>
      </c>
      <c r="D71" s="30" t="n">
        <v>20100</v>
      </c>
      <c r="E71" s="30" t="n">
        <v>20500</v>
      </c>
      <c r="F71" s="30" t="n">
        <v>19631.48046875</v>
      </c>
      <c r="G71" s="30" t="n">
        <v>169075</v>
      </c>
      <c r="H71" s="35" t="n">
        <v>0.004901960784313708</v>
      </c>
      <c r="I71" s="35" t="n">
        <v>-0.2307692307692307</v>
      </c>
      <c r="J71" s="30" t="n">
        <v>19219.5</v>
      </c>
      <c r="K71" s="30" t="n">
        <v>20863.5</v>
      </c>
      <c r="L71" s="30" t="n">
        <v>20939.25</v>
      </c>
      <c r="M71" s="35" t="n">
        <v>0.4391674690871806</v>
      </c>
      <c r="N71" s="35" t="n">
        <v>0.4500246877957024</v>
      </c>
      <c r="O71" s="35" t="n">
        <v>0.0421962379257752</v>
      </c>
      <c r="P71" s="35" t="n">
        <v>-0.0639269406392694</v>
      </c>
      <c r="Q71" s="35" t="n">
        <v>-0.01442307692307687</v>
      </c>
      <c r="R71" s="35" t="n">
        <v>0.06662504227477295</v>
      </c>
      <c r="S71" s="35" t="n">
        <v>-0.0174227718263954</v>
      </c>
      <c r="T71" s="35" t="n">
        <v>-0.0209773511467698</v>
      </c>
      <c r="U71" s="30" t="n">
        <v>23350</v>
      </c>
      <c r="V71" s="30" t="n">
        <v>14250</v>
      </c>
      <c r="W71" s="35" t="n">
        <v>-0.1220556745182013</v>
      </c>
      <c r="X71" s="35" t="n">
        <v>0.4385964912280702</v>
      </c>
      <c r="Y71" s="30" t="n">
        <v>28966714</v>
      </c>
      <c r="Z71" s="30" t="n">
        <v>593817637000</v>
      </c>
      <c r="AA71" s="30" t="n">
        <v>3466037500</v>
      </c>
      <c r="AB71" s="30" t="n">
        <v>5435905590</v>
      </c>
      <c r="AC71" s="35" t="n">
        <v>0.005836871935145975</v>
      </c>
      <c r="AD71" s="24" t="inlineStr">
        <is>
          <t>yfinance_download</t>
        </is>
      </c>
      <c r="AE71" s="24" t="inlineStr">
        <is>
          <t>319660.KQ</t>
        </is>
      </c>
    </row>
    <row r="72" ht="24" customHeight="1">
      <c r="A72" s="29" t="inlineStr">
        <is>
          <t>2023-09-18</t>
        </is>
      </c>
      <c r="B72" s="31" t="n">
        <v>20000</v>
      </c>
      <c r="C72" s="31" t="n">
        <v>20600</v>
      </c>
      <c r="D72" s="31" t="n">
        <v>19990</v>
      </c>
      <c r="E72" s="31" t="n">
        <v>20500</v>
      </c>
      <c r="F72" s="31" t="n">
        <v>19631.48046875</v>
      </c>
      <c r="G72" s="31" t="n">
        <v>204962</v>
      </c>
      <c r="H72" s="36" t="n">
        <v>0</v>
      </c>
      <c r="I72" s="36" t="n">
        <v>-0.2307692307692307</v>
      </c>
      <c r="J72" s="31" t="n">
        <v>19280</v>
      </c>
      <c r="K72" s="31" t="n">
        <v>20841.83333333333</v>
      </c>
      <c r="L72" s="31" t="n">
        <v>20934.25</v>
      </c>
      <c r="M72" s="36" t="n">
        <v>0.4317707608430988</v>
      </c>
      <c r="N72" s="36" t="n">
        <v>0.4499547017223452</v>
      </c>
      <c r="O72" s="36" t="n">
        <v>0.0627268014515292</v>
      </c>
      <c r="P72" s="36" t="n">
        <v>-0.05963302752293576</v>
      </c>
      <c r="Q72" s="36" t="n">
        <v>-0.02843601895734593</v>
      </c>
      <c r="R72" s="36" t="n">
        <v>0.06327800829875518</v>
      </c>
      <c r="S72" s="36" t="n">
        <v>-0.01640130826622732</v>
      </c>
      <c r="T72" s="36" t="n">
        <v>-0.02074351839688549</v>
      </c>
      <c r="U72" s="31" t="n">
        <v>23350</v>
      </c>
      <c r="V72" s="31" t="n">
        <v>14250</v>
      </c>
      <c r="W72" s="36" t="n">
        <v>-0.1220556745182013</v>
      </c>
      <c r="X72" s="36" t="n">
        <v>0.4385964912280702</v>
      </c>
      <c r="Y72" s="31" t="n">
        <v>28966714</v>
      </c>
      <c r="Z72" s="31" t="n">
        <v>593817637000</v>
      </c>
      <c r="AA72" s="31" t="n">
        <v>4201721000</v>
      </c>
      <c r="AB72" s="31" t="n">
        <v>5373116264.5</v>
      </c>
      <c r="AC72" s="36" t="n">
        <v>0.007075776700111721</v>
      </c>
      <c r="AD72" s="29" t="inlineStr">
        <is>
          <t>yfinance_download</t>
        </is>
      </c>
      <c r="AE72" s="29" t="inlineStr">
        <is>
          <t>319660.KQ</t>
        </is>
      </c>
    </row>
    <row r="73" ht="24" customHeight="1">
      <c r="A73" s="24" t="inlineStr">
        <is>
          <t>2023-09-19</t>
        </is>
      </c>
      <c r="B73" s="30" t="n">
        <v>20350</v>
      </c>
      <c r="C73" s="30" t="n">
        <v>20650</v>
      </c>
      <c r="D73" s="30" t="n">
        <v>19990</v>
      </c>
      <c r="E73" s="30" t="n">
        <v>20150</v>
      </c>
      <c r="F73" s="30" t="n">
        <v>19296.306640625</v>
      </c>
      <c r="G73" s="30" t="n">
        <v>167605</v>
      </c>
      <c r="H73" s="35" t="n">
        <v>-0.01707317073170733</v>
      </c>
      <c r="I73" s="35" t="n">
        <v>-0.2439024390243902</v>
      </c>
      <c r="J73" s="30" t="n">
        <v>19371.5</v>
      </c>
      <c r="K73" s="30" t="n">
        <v>20814.33333333333</v>
      </c>
      <c r="L73" s="30" t="n">
        <v>20931.75</v>
      </c>
      <c r="M73" s="35" t="n">
        <v>0.3911941871901579</v>
      </c>
      <c r="N73" s="35" t="n">
        <v>0.4512112370896484</v>
      </c>
      <c r="O73" s="35" t="n">
        <v>0.09989082969432306</v>
      </c>
      <c r="P73" s="35" t="n">
        <v>-0.07568807339449546</v>
      </c>
      <c r="Q73" s="35" t="n">
        <v>-0.0146699266503667</v>
      </c>
      <c r="R73" s="35" t="n">
        <v>0.04018790491185498</v>
      </c>
      <c r="S73" s="35" t="n">
        <v>-0.03191710840286333</v>
      </c>
      <c r="T73" s="35" t="n">
        <v>-0.03734757007894707</v>
      </c>
      <c r="U73" s="30" t="n">
        <v>23350</v>
      </c>
      <c r="V73" s="30" t="n">
        <v>14250</v>
      </c>
      <c r="W73" s="35" t="n">
        <v>-0.1370449678800857</v>
      </c>
      <c r="X73" s="35" t="n">
        <v>0.4140350877192982</v>
      </c>
      <c r="Y73" s="30" t="n">
        <v>28966714</v>
      </c>
      <c r="Z73" s="30" t="n">
        <v>583679287100</v>
      </c>
      <c r="AA73" s="30" t="n">
        <v>3377240750</v>
      </c>
      <c r="AB73" s="30" t="n">
        <v>5085668322</v>
      </c>
      <c r="AC73" s="35" t="n">
        <v>0.005786124031880178</v>
      </c>
      <c r="AD73" s="24" t="inlineStr">
        <is>
          <t>yfinance_download</t>
        </is>
      </c>
      <c r="AE73" s="24" t="inlineStr">
        <is>
          <t>319660.KQ</t>
        </is>
      </c>
    </row>
    <row r="74" ht="24" customHeight="1">
      <c r="A74" s="29" t="inlineStr">
        <is>
          <t>2023-09-20</t>
        </is>
      </c>
      <c r="B74" s="31" t="n">
        <v>20250</v>
      </c>
      <c r="C74" s="31" t="n">
        <v>20450</v>
      </c>
      <c r="D74" s="31" t="n">
        <v>19850</v>
      </c>
      <c r="E74" s="31" t="n">
        <v>20150</v>
      </c>
      <c r="F74" s="31" t="n">
        <v>19296.306640625</v>
      </c>
      <c r="G74" s="31" t="n">
        <v>111121</v>
      </c>
      <c r="H74" s="36" t="n">
        <v>0</v>
      </c>
      <c r="I74" s="36" t="n">
        <v>-0.2439024390243902</v>
      </c>
      <c r="J74" s="31" t="n">
        <v>19469</v>
      </c>
      <c r="K74" s="31" t="n">
        <v>20777.66666666667</v>
      </c>
      <c r="L74" s="31" t="n">
        <v>20925.08333333333</v>
      </c>
      <c r="M74" s="36" t="n">
        <v>0.3893032553149346</v>
      </c>
      <c r="N74" s="36" t="n">
        <v>0.4479178565806544</v>
      </c>
      <c r="O74" s="36" t="n">
        <v>0.1071428571428572</v>
      </c>
      <c r="P74" s="36" t="n">
        <v>-0.09843400447427297</v>
      </c>
      <c r="Q74" s="36" t="n">
        <v>-0.03818615751789978</v>
      </c>
      <c r="R74" s="36" t="n">
        <v>0.03497868406184179</v>
      </c>
      <c r="S74" s="36" t="n">
        <v>-0.03020871769367761</v>
      </c>
      <c r="T74" s="36" t="n">
        <v>-0.03704087199971318</v>
      </c>
      <c r="U74" s="31" t="n">
        <v>23350</v>
      </c>
      <c r="V74" s="31" t="n">
        <v>14250</v>
      </c>
      <c r="W74" s="36" t="n">
        <v>-0.1370449678800857</v>
      </c>
      <c r="X74" s="36" t="n">
        <v>0.4140350877192982</v>
      </c>
      <c r="Y74" s="31" t="n">
        <v>28966714</v>
      </c>
      <c r="Z74" s="31" t="n">
        <v>583679287100</v>
      </c>
      <c r="AA74" s="31" t="n">
        <v>2239088150</v>
      </c>
      <c r="AB74" s="31" t="n">
        <v>4959033469.5</v>
      </c>
      <c r="AC74" s="36" t="n">
        <v>0.003836161740679319</v>
      </c>
      <c r="AD74" s="29" t="inlineStr">
        <is>
          <t>yfinance_download</t>
        </is>
      </c>
      <c r="AE74" s="29" t="inlineStr">
        <is>
          <t>319660.KQ</t>
        </is>
      </c>
    </row>
    <row r="75" ht="24" customHeight="1">
      <c r="A75" s="24" t="inlineStr">
        <is>
          <t>2023-09-21</t>
        </is>
      </c>
      <c r="B75" s="30" t="n">
        <v>19730</v>
      </c>
      <c r="C75" s="30" t="n">
        <v>19990</v>
      </c>
      <c r="D75" s="30" t="n">
        <v>19180</v>
      </c>
      <c r="E75" s="30" t="n">
        <v>19300</v>
      </c>
      <c r="F75" s="30" t="n">
        <v>18482.318359375</v>
      </c>
      <c r="G75" s="30" t="n">
        <v>204282</v>
      </c>
      <c r="H75" s="35" t="n">
        <v>-0.04218362282878407</v>
      </c>
      <c r="I75" s="35" t="n">
        <v>-0.275797373358349</v>
      </c>
      <c r="J75" s="30" t="n">
        <v>19502.5</v>
      </c>
      <c r="K75" s="30" t="n">
        <v>20721</v>
      </c>
      <c r="L75" s="30" t="n">
        <v>20910.08333333333</v>
      </c>
      <c r="M75" s="35" t="n">
        <v>0.4174675220599076</v>
      </c>
      <c r="N75" s="35" t="n">
        <v>0.4541864887014063</v>
      </c>
      <c r="O75" s="35" t="n">
        <v>0.03596349973161561</v>
      </c>
      <c r="P75" s="35" t="n">
        <v>-0.1497797356828194</v>
      </c>
      <c r="Q75" s="35" t="n">
        <v>-0.08530805687203791</v>
      </c>
      <c r="R75" s="35" t="n">
        <v>-0.0103832841943341</v>
      </c>
      <c r="S75" s="35" t="n">
        <v>-0.06857777134308185</v>
      </c>
      <c r="T75" s="35" t="n">
        <v>-0.07700033078140123</v>
      </c>
      <c r="U75" s="30" t="n">
        <v>23350</v>
      </c>
      <c r="V75" s="30" t="n">
        <v>14250</v>
      </c>
      <c r="W75" s="35" t="n">
        <v>-0.1734475374732334</v>
      </c>
      <c r="X75" s="35" t="n">
        <v>0.3543859649122807</v>
      </c>
      <c r="Y75" s="30" t="n">
        <v>28966714</v>
      </c>
      <c r="Z75" s="30" t="n">
        <v>559057580200</v>
      </c>
      <c r="AA75" s="30" t="n">
        <v>3942642600</v>
      </c>
      <c r="AB75" s="30" t="n">
        <v>4910110806</v>
      </c>
      <c r="AC75" s="35" t="n">
        <v>0.007052301479553394</v>
      </c>
      <c r="AD75" s="24" t="inlineStr">
        <is>
          <t>yfinance_download</t>
        </is>
      </c>
      <c r="AE75" s="24" t="inlineStr">
        <is>
          <t>319660.KQ</t>
        </is>
      </c>
    </row>
    <row r="76" ht="24" customHeight="1">
      <c r="A76" s="29" t="inlineStr">
        <is>
          <t>2023-09-22</t>
        </is>
      </c>
      <c r="B76" s="31" t="n">
        <v>19180</v>
      </c>
      <c r="C76" s="31" t="n">
        <v>19610</v>
      </c>
      <c r="D76" s="31" t="n">
        <v>19000</v>
      </c>
      <c r="E76" s="31" t="n">
        <v>19570</v>
      </c>
      <c r="F76" s="31" t="n">
        <v>18740.87890625</v>
      </c>
      <c r="G76" s="31" t="n">
        <v>94911</v>
      </c>
      <c r="H76" s="36" t="n">
        <v>0.01398963730569958</v>
      </c>
      <c r="I76" s="36" t="n">
        <v>-0.2656660412757974</v>
      </c>
      <c r="J76" s="31" t="n">
        <v>19575.5</v>
      </c>
      <c r="K76" s="31" t="n">
        <v>20668.83333333333</v>
      </c>
      <c r="L76" s="31" t="n">
        <v>20892.75</v>
      </c>
      <c r="M76" s="36" t="n">
        <v>0.4037970153292176</v>
      </c>
      <c r="N76" s="36" t="n">
        <v>0.4553922880655861</v>
      </c>
      <c r="O76" s="36" t="n">
        <v>0.08061844284925446</v>
      </c>
      <c r="P76" s="36" t="n">
        <v>-0.1378854625550661</v>
      </c>
      <c r="Q76" s="36" t="n">
        <v>-0.09607390300230945</v>
      </c>
      <c r="R76" s="36" t="n">
        <v>-0.0002809634492094704</v>
      </c>
      <c r="S76" s="36" t="n">
        <v>-0.05316378121648535</v>
      </c>
      <c r="T76" s="36" t="n">
        <v>-0.06331143578514076</v>
      </c>
      <c r="U76" s="31" t="n">
        <v>23350</v>
      </c>
      <c r="V76" s="31" t="n">
        <v>14250</v>
      </c>
      <c r="W76" s="36" t="n">
        <v>-0.1618843683083512</v>
      </c>
      <c r="X76" s="36" t="n">
        <v>0.3733333333333333</v>
      </c>
      <c r="Y76" s="31" t="n">
        <v>28966714</v>
      </c>
      <c r="Z76" s="31" t="n">
        <v>566878592980</v>
      </c>
      <c r="AA76" s="31" t="n">
        <v>1857408270</v>
      </c>
      <c r="AB76" s="31" t="n">
        <v>4836929724</v>
      </c>
      <c r="AC76" s="36" t="n">
        <v>0.003276553909428595</v>
      </c>
      <c r="AD76" s="29" t="inlineStr">
        <is>
          <t>yfinance_download</t>
        </is>
      </c>
      <c r="AE76" s="29" t="inlineStr">
        <is>
          <t>319660.KQ</t>
        </is>
      </c>
    </row>
    <row r="77" ht="24" customHeight="1">
      <c r="A77" s="24" t="inlineStr">
        <is>
          <t>2023-09-25</t>
        </is>
      </c>
      <c r="B77" s="30" t="n">
        <v>19320</v>
      </c>
      <c r="C77" s="30" t="n">
        <v>19680</v>
      </c>
      <c r="D77" s="30" t="n">
        <v>19220</v>
      </c>
      <c r="E77" s="30" t="n">
        <v>19420</v>
      </c>
      <c r="F77" s="30" t="n">
        <v>18597.234375</v>
      </c>
      <c r="G77" s="30" t="n">
        <v>99334</v>
      </c>
      <c r="H77" s="35" t="n">
        <v>-0.007664793050587648</v>
      </c>
      <c r="I77" s="35" t="n">
        <v>-0.2712945590994371</v>
      </c>
      <c r="J77" s="30" t="n">
        <v>19649</v>
      </c>
      <c r="K77" s="30" t="n">
        <v>20607.5</v>
      </c>
      <c r="L77" s="30" t="n">
        <v>20880.83333333333</v>
      </c>
      <c r="M77" s="35" t="n">
        <v>0.4033176059180006</v>
      </c>
      <c r="N77" s="35" t="n">
        <v>0.4536683989506022</v>
      </c>
      <c r="O77" s="35" t="n">
        <v>0.08189415041782722</v>
      </c>
      <c r="P77" s="35" t="n">
        <v>-0.1593073593073593</v>
      </c>
      <c r="Q77" s="35" t="n">
        <v>-0.06858513189448445</v>
      </c>
      <c r="R77" s="35" t="n">
        <v>-0.01165453712657127</v>
      </c>
      <c r="S77" s="35" t="n">
        <v>-0.05762465121921634</v>
      </c>
      <c r="T77" s="35" t="n">
        <v>-0.06996049008261163</v>
      </c>
      <c r="U77" s="30" t="n">
        <v>23350</v>
      </c>
      <c r="V77" s="30" t="n">
        <v>14250</v>
      </c>
      <c r="W77" s="35" t="n">
        <v>-0.1683083511777302</v>
      </c>
      <c r="X77" s="35" t="n">
        <v>0.3628070175438596</v>
      </c>
      <c r="Y77" s="30" t="n">
        <v>28966714</v>
      </c>
      <c r="Z77" s="30" t="n">
        <v>562533585880</v>
      </c>
      <c r="AA77" s="30" t="n">
        <v>1929066280</v>
      </c>
      <c r="AB77" s="30" t="n">
        <v>4633818180.5</v>
      </c>
      <c r="AC77" s="35" t="n">
        <v>0.003429246410207247</v>
      </c>
      <c r="AD77" s="24" t="inlineStr">
        <is>
          <t>yfinance_download</t>
        </is>
      </c>
      <c r="AE77" s="24" t="inlineStr">
        <is>
          <t>319660.KQ</t>
        </is>
      </c>
    </row>
    <row r="78" ht="24" customHeight="1">
      <c r="A78" s="29" t="inlineStr">
        <is>
          <t>2023-09-26</t>
        </is>
      </c>
      <c r="B78" s="31" t="n">
        <v>19530</v>
      </c>
      <c r="C78" s="31" t="n">
        <v>19530</v>
      </c>
      <c r="D78" s="31" t="n">
        <v>19110</v>
      </c>
      <c r="E78" s="31" t="n">
        <v>19270</v>
      </c>
      <c r="F78" s="31" t="n">
        <v>18453.58984375</v>
      </c>
      <c r="G78" s="31" t="n">
        <v>90002</v>
      </c>
      <c r="H78" s="36" t="n">
        <v>-0.007723995880535517</v>
      </c>
      <c r="I78" s="36" t="n">
        <v>-0.2769230769230769</v>
      </c>
      <c r="J78" s="31" t="n">
        <v>19694</v>
      </c>
      <c r="K78" s="31" t="n">
        <v>20550.33333333333</v>
      </c>
      <c r="L78" s="31" t="n">
        <v>20870.16666666667</v>
      </c>
      <c r="M78" s="36" t="n">
        <v>0.3988205725809102</v>
      </c>
      <c r="N78" s="36" t="n">
        <v>0.4527542709844523</v>
      </c>
      <c r="O78" s="36" t="n">
        <v>0.04899292324442017</v>
      </c>
      <c r="P78" s="36" t="n">
        <v>-0.1511013215859031</v>
      </c>
      <c r="Q78" s="36" t="n">
        <v>-0.06228710462287101</v>
      </c>
      <c r="R78" s="36" t="n">
        <v>-0.02152939981720325</v>
      </c>
      <c r="S78" s="36" t="n">
        <v>-0.06230231464209823</v>
      </c>
      <c r="T78" s="36" t="n">
        <v>-0.07667244312056287</v>
      </c>
      <c r="U78" s="31" t="n">
        <v>23350</v>
      </c>
      <c r="V78" s="31" t="n">
        <v>14250</v>
      </c>
      <c r="W78" s="36" t="n">
        <v>-0.1747323340471092</v>
      </c>
      <c r="X78" s="36" t="n">
        <v>0.3522807017543859</v>
      </c>
      <c r="Y78" s="31" t="n">
        <v>28966714</v>
      </c>
      <c r="Z78" s="31" t="n">
        <v>558188578780</v>
      </c>
      <c r="AA78" s="31" t="n">
        <v>1734338540</v>
      </c>
      <c r="AB78" s="31" t="n">
        <v>4531528014.5</v>
      </c>
      <c r="AC78" s="36" t="n">
        <v>0.003107083530427373</v>
      </c>
      <c r="AD78" s="29" t="inlineStr">
        <is>
          <t>yfinance_download</t>
        </is>
      </c>
      <c r="AE78" s="29" t="inlineStr">
        <is>
          <t>319660.KQ</t>
        </is>
      </c>
    </row>
    <row r="79" ht="24" customHeight="1">
      <c r="A79" s="24" t="inlineStr">
        <is>
          <t>2023-09-27</t>
        </is>
      </c>
      <c r="B79" s="30" t="n">
        <v>19190</v>
      </c>
      <c r="C79" s="30" t="n">
        <v>19330</v>
      </c>
      <c r="D79" s="30" t="n">
        <v>18640</v>
      </c>
      <c r="E79" s="30" t="n">
        <v>19270</v>
      </c>
      <c r="F79" s="30" t="n">
        <v>18453.58984375</v>
      </c>
      <c r="G79" s="30" t="n">
        <v>124032</v>
      </c>
      <c r="H79" s="35" t="n">
        <v>0</v>
      </c>
      <c r="I79" s="35" t="n">
        <v>-0.2769230769230769</v>
      </c>
      <c r="J79" s="30" t="n">
        <v>19736</v>
      </c>
      <c r="K79" s="30" t="n">
        <v>20493.16666666667</v>
      </c>
      <c r="L79" s="30" t="n">
        <v>20865.58333333333</v>
      </c>
      <c r="M79" s="35" t="n">
        <v>0.3989264537072192</v>
      </c>
      <c r="N79" s="35" t="n">
        <v>0.4527542709844523</v>
      </c>
      <c r="O79" s="35" t="n">
        <v>0.04557786218122617</v>
      </c>
      <c r="P79" s="35" t="n">
        <v>-0.1511013215859031</v>
      </c>
      <c r="Q79" s="35" t="n">
        <v>-0.02774974772956607</v>
      </c>
      <c r="R79" s="35" t="n">
        <v>-0.02361167409809484</v>
      </c>
      <c r="S79" s="35" t="n">
        <v>-0.05968656218739588</v>
      </c>
      <c r="T79" s="35" t="n">
        <v>-0.07646962502046828</v>
      </c>
      <c r="U79" s="30" t="n">
        <v>23350</v>
      </c>
      <c r="V79" s="30" t="n">
        <v>14250</v>
      </c>
      <c r="W79" s="35" t="n">
        <v>-0.1747323340471092</v>
      </c>
      <c r="X79" s="35" t="n">
        <v>0.3522807017543859</v>
      </c>
      <c r="Y79" s="30" t="n">
        <v>28966714</v>
      </c>
      <c r="Z79" s="30" t="n">
        <v>558188578780</v>
      </c>
      <c r="AA79" s="30" t="n">
        <v>2390096640</v>
      </c>
      <c r="AB79" s="30" t="n">
        <v>4483581552.5</v>
      </c>
      <c r="AC79" s="35" t="n">
        <v>0.00428188022983898</v>
      </c>
      <c r="AD79" s="24" t="inlineStr">
        <is>
          <t>yfinance_download</t>
        </is>
      </c>
      <c r="AE79" s="24" t="inlineStr">
        <is>
          <t>319660.KQ</t>
        </is>
      </c>
    </row>
    <row r="80" ht="24" customHeight="1">
      <c r="A80" s="29" t="inlineStr">
        <is>
          <t>2023-10-04</t>
        </is>
      </c>
      <c r="B80" s="31" t="n">
        <v>18890</v>
      </c>
      <c r="C80" s="31" t="n">
        <v>19340</v>
      </c>
      <c r="D80" s="31" t="n">
        <v>18730</v>
      </c>
      <c r="E80" s="31" t="n">
        <v>19180</v>
      </c>
      <c r="F80" s="31" t="n">
        <v>18367.40234375</v>
      </c>
      <c r="G80" s="31" t="n">
        <v>203557</v>
      </c>
      <c r="H80" s="36" t="n">
        <v>-0.004670472236637302</v>
      </c>
      <c r="I80" s="36" t="n">
        <v>-0.2803001876172608</v>
      </c>
      <c r="J80" s="31" t="n">
        <v>19757.5</v>
      </c>
      <c r="K80" s="31" t="n">
        <v>20431.16666666667</v>
      </c>
      <c r="L80" s="31" t="n">
        <v>20857.5</v>
      </c>
      <c r="M80" s="36" t="n">
        <v>0.3957117137912811</v>
      </c>
      <c r="N80" s="36" t="n">
        <v>0.452180314088335</v>
      </c>
      <c r="O80" s="36" t="n">
        <v>0.02293333333333325</v>
      </c>
      <c r="P80" s="36" t="n">
        <v>-0.1624454148471616</v>
      </c>
      <c r="Q80" s="36" t="n">
        <v>-0.04813895781637723</v>
      </c>
      <c r="R80" s="36" t="n">
        <v>-0.02922940655447304</v>
      </c>
      <c r="S80" s="36" t="n">
        <v>-0.061238141075318</v>
      </c>
      <c r="T80" s="36" t="n">
        <v>-0.08042670502217431</v>
      </c>
      <c r="U80" s="31" t="n">
        <v>23350</v>
      </c>
      <c r="V80" s="31" t="n">
        <v>14250</v>
      </c>
      <c r="W80" s="36" t="n">
        <v>-0.1785867237687366</v>
      </c>
      <c r="X80" s="36" t="n">
        <v>0.3459649122807018</v>
      </c>
      <c r="Y80" s="31" t="n">
        <v>28966714</v>
      </c>
      <c r="Z80" s="31" t="n">
        <v>555581574520</v>
      </c>
      <c r="AA80" s="31" t="n">
        <v>3904223260</v>
      </c>
      <c r="AB80" s="31" t="n">
        <v>4502286778</v>
      </c>
      <c r="AC80" s="36" t="n">
        <v>0.007027272751752235</v>
      </c>
      <c r="AD80" s="29" t="inlineStr">
        <is>
          <t>yfinance_download</t>
        </is>
      </c>
      <c r="AE80" s="29" t="inlineStr">
        <is>
          <t>319660.KQ</t>
        </is>
      </c>
    </row>
    <row r="81" ht="24" customHeight="1">
      <c r="A81" s="24" t="inlineStr">
        <is>
          <t>2023-10-05</t>
        </is>
      </c>
      <c r="B81" s="30" t="n">
        <v>19350</v>
      </c>
      <c r="C81" s="30" t="n">
        <v>19800</v>
      </c>
      <c r="D81" s="30" t="n">
        <v>18910</v>
      </c>
      <c r="E81" s="30" t="n">
        <v>19350</v>
      </c>
      <c r="F81" s="30" t="n">
        <v>18530.19921875</v>
      </c>
      <c r="G81" s="30" t="n">
        <v>180960</v>
      </c>
      <c r="H81" s="35" t="n">
        <v>0.008863399374348324</v>
      </c>
      <c r="I81" s="35" t="n">
        <v>-0.273921200750469</v>
      </c>
      <c r="J81" s="30" t="n">
        <v>19720</v>
      </c>
      <c r="K81" s="30" t="n">
        <v>20385.33333333333</v>
      </c>
      <c r="L81" s="30" t="n">
        <v>20855.33333333333</v>
      </c>
      <c r="M81" s="35" t="n">
        <v>0.2976844443668894</v>
      </c>
      <c r="N81" s="35" t="n">
        <v>0.4476699312369783</v>
      </c>
      <c r="O81" s="35" t="n">
        <v>-0.03731343283582089</v>
      </c>
      <c r="P81" s="35" t="n">
        <v>-0.1244343891402715</v>
      </c>
      <c r="Q81" s="35" t="n">
        <v>-0.01325854156042838</v>
      </c>
      <c r="R81" s="35" t="n">
        <v>-0.01876267748478699</v>
      </c>
      <c r="S81" s="35" t="n">
        <v>-0.05078814834194512</v>
      </c>
      <c r="T81" s="35" t="n">
        <v>-0.07217977815426901</v>
      </c>
      <c r="U81" s="30" t="n">
        <v>23350</v>
      </c>
      <c r="V81" s="30" t="n">
        <v>14250</v>
      </c>
      <c r="W81" s="35" t="n">
        <v>-0.171306209850107</v>
      </c>
      <c r="X81" s="35" t="n">
        <v>0.3578947368421053</v>
      </c>
      <c r="Y81" s="30" t="n">
        <v>28966714</v>
      </c>
      <c r="Z81" s="30" t="n">
        <v>560505915900</v>
      </c>
      <c r="AA81" s="30" t="n">
        <v>3501576000</v>
      </c>
      <c r="AB81" s="30" t="n">
        <v>3988997863</v>
      </c>
      <c r="AC81" s="35" t="n">
        <v>0.0062471704591691</v>
      </c>
      <c r="AD81" s="24" t="inlineStr">
        <is>
          <t>yfinance_download</t>
        </is>
      </c>
      <c r="AE81" s="24" t="inlineStr">
        <is>
          <t>319660.KQ</t>
        </is>
      </c>
    </row>
    <row r="82" ht="24" customHeight="1">
      <c r="A82" s="29" t="inlineStr">
        <is>
          <t>2023-10-06</t>
        </is>
      </c>
      <c r="B82" s="31" t="n">
        <v>19560</v>
      </c>
      <c r="C82" s="31" t="n">
        <v>19700</v>
      </c>
      <c r="D82" s="31" t="n">
        <v>19010</v>
      </c>
      <c r="E82" s="31" t="n">
        <v>19320</v>
      </c>
      <c r="F82" s="31" t="n">
        <v>18501.470703125</v>
      </c>
      <c r="G82" s="31" t="n">
        <v>100205</v>
      </c>
      <c r="H82" s="36" t="n">
        <v>-0.001550387596899183</v>
      </c>
      <c r="I82" s="36" t="n">
        <v>-0.275046904315197</v>
      </c>
      <c r="J82" s="31" t="n">
        <v>19663.5</v>
      </c>
      <c r="K82" s="31" t="n">
        <v>20357.33333333333</v>
      </c>
      <c r="L82" s="31" t="n">
        <v>20840.5</v>
      </c>
      <c r="M82" s="36" t="n">
        <v>0.2889923659561587</v>
      </c>
      <c r="N82" s="36" t="n">
        <v>0.4363740461350671</v>
      </c>
      <c r="O82" s="36" t="n">
        <v>-0.05525672371638146</v>
      </c>
      <c r="P82" s="36" t="n">
        <v>-0.07999999999999996</v>
      </c>
      <c r="Q82" s="36" t="n">
        <v>-0.0843601895734597</v>
      </c>
      <c r="R82" s="36" t="n">
        <v>-0.01746891448623078</v>
      </c>
      <c r="S82" s="36" t="n">
        <v>-0.05095624836258839</v>
      </c>
      <c r="T82" s="36" t="n">
        <v>-0.07295890213766465</v>
      </c>
      <c r="U82" s="31" t="n">
        <v>23350</v>
      </c>
      <c r="V82" s="31" t="n">
        <v>14250</v>
      </c>
      <c r="W82" s="36" t="n">
        <v>-0.1725910064239828</v>
      </c>
      <c r="X82" s="36" t="n">
        <v>0.3557894736842104</v>
      </c>
      <c r="Y82" s="31" t="n">
        <v>28966714</v>
      </c>
      <c r="Z82" s="31" t="n">
        <v>559636914480</v>
      </c>
      <c r="AA82" s="31" t="n">
        <v>1935960600</v>
      </c>
      <c r="AB82" s="31" t="n">
        <v>3691702920.5</v>
      </c>
      <c r="AC82" s="36" t="n">
        <v>0.003459315405951811</v>
      </c>
      <c r="AD82" s="29" t="inlineStr">
        <is>
          <t>yfinance_download</t>
        </is>
      </c>
      <c r="AE82" s="29" t="inlineStr">
        <is>
          <t>319660.KQ</t>
        </is>
      </c>
    </row>
    <row r="83" ht="24" customHeight="1">
      <c r="A83" s="24" t="inlineStr">
        <is>
          <t>2023-10-10</t>
        </is>
      </c>
      <c r="B83" s="30" t="n">
        <v>19400</v>
      </c>
      <c r="C83" s="30" t="n">
        <v>19800</v>
      </c>
      <c r="D83" s="30" t="n">
        <v>19280</v>
      </c>
      <c r="E83" s="30" t="n">
        <v>19300</v>
      </c>
      <c r="F83" s="30" t="n">
        <v>18482.318359375</v>
      </c>
      <c r="G83" s="30" t="n">
        <v>133863</v>
      </c>
      <c r="H83" s="35" t="n">
        <v>-0.001035196687370621</v>
      </c>
      <c r="I83" s="35" t="n">
        <v>-0.275797373358349</v>
      </c>
      <c r="J83" s="30" t="n">
        <v>19635.5</v>
      </c>
      <c r="K83" s="30" t="n">
        <v>20332.33333333333</v>
      </c>
      <c r="L83" s="30" t="n">
        <v>20823.83333333333</v>
      </c>
      <c r="M83" s="35" t="n">
        <v>0.271947590709112</v>
      </c>
      <c r="N83" s="35" t="n">
        <v>0.4360140158267173</v>
      </c>
      <c r="O83" s="35" t="n">
        <v>-0.02819738167170194</v>
      </c>
      <c r="P83" s="35" t="n">
        <v>-0.07211538461538458</v>
      </c>
      <c r="Q83" s="35" t="n">
        <v>-0.0938967136150235</v>
      </c>
      <c r="R83" s="35" t="n">
        <v>-0.01708639963331715</v>
      </c>
      <c r="S83" s="35" t="n">
        <v>-0.0507729888355164</v>
      </c>
      <c r="T83" s="35" t="n">
        <v>-0.07317736888020931</v>
      </c>
      <c r="U83" s="30" t="n">
        <v>23350</v>
      </c>
      <c r="V83" s="30" t="n">
        <v>14250</v>
      </c>
      <c r="W83" s="35" t="n">
        <v>-0.1734475374732334</v>
      </c>
      <c r="X83" s="35" t="n">
        <v>0.3543859649122807</v>
      </c>
      <c r="Y83" s="30" t="n">
        <v>28966714</v>
      </c>
      <c r="Z83" s="30" t="n">
        <v>559057580200</v>
      </c>
      <c r="AA83" s="30" t="n">
        <v>2583555900</v>
      </c>
      <c r="AB83" s="30" t="n">
        <v>3624651006.5</v>
      </c>
      <c r="AC83" s="35" t="n">
        <v>0.004621269778822686</v>
      </c>
      <c r="AD83" s="24" t="inlineStr">
        <is>
          <t>yfinance_download</t>
        </is>
      </c>
      <c r="AE83" s="24" t="inlineStr">
        <is>
          <t>319660.KQ</t>
        </is>
      </c>
    </row>
    <row r="84" ht="24" customHeight="1">
      <c r="A84" s="29" t="inlineStr">
        <is>
          <t>2023-10-11</t>
        </is>
      </c>
      <c r="B84" s="31" t="n">
        <v>19640</v>
      </c>
      <c r="C84" s="31" t="n">
        <v>20400</v>
      </c>
      <c r="D84" s="31" t="n">
        <v>19540</v>
      </c>
      <c r="E84" s="31" t="n">
        <v>20050</v>
      </c>
      <c r="F84" s="31" t="n">
        <v>19200.54296875</v>
      </c>
      <c r="G84" s="31" t="n">
        <v>212813</v>
      </c>
      <c r="H84" s="36" t="n">
        <v>0.03886010362694292</v>
      </c>
      <c r="I84" s="36" t="n">
        <v>-0.2476547842401501</v>
      </c>
      <c r="J84" s="31" t="n">
        <v>19668.5</v>
      </c>
      <c r="K84" s="31" t="n">
        <v>20327.33333333333</v>
      </c>
      <c r="L84" s="31" t="n">
        <v>20796.75</v>
      </c>
      <c r="M84" s="36" t="n">
        <v>0.2934318899923703</v>
      </c>
      <c r="N84" s="36" t="n">
        <v>0.4413070009892553</v>
      </c>
      <c r="O84" s="36" t="n">
        <v>0.03403816400206283</v>
      </c>
      <c r="P84" s="36" t="n">
        <v>-0.01474201474201475</v>
      </c>
      <c r="Q84" s="36" t="n">
        <v>-0.1394849785407726</v>
      </c>
      <c r="R84" s="36" t="n">
        <v>0.01939649693672618</v>
      </c>
      <c r="S84" s="36" t="n">
        <v>-0.01364337017480566</v>
      </c>
      <c r="T84" s="36" t="n">
        <v>-0.03590705278468986</v>
      </c>
      <c r="U84" s="31" t="n">
        <v>23350</v>
      </c>
      <c r="V84" s="31" t="n">
        <v>14450</v>
      </c>
      <c r="W84" s="36" t="n">
        <v>-0.1413276231263383</v>
      </c>
      <c r="X84" s="36" t="n">
        <v>0.3875432525951557</v>
      </c>
      <c r="Y84" s="31" t="n">
        <v>28966714</v>
      </c>
      <c r="Z84" s="31" t="n">
        <v>580782615700</v>
      </c>
      <c r="AA84" s="31" t="n">
        <v>4266900650</v>
      </c>
      <c r="AB84" s="31" t="n">
        <v>3636684211.5</v>
      </c>
      <c r="AC84" s="36" t="n">
        <v>0.007346811930410885</v>
      </c>
      <c r="AD84" s="29" t="inlineStr">
        <is>
          <t>yfinance_download</t>
        </is>
      </c>
      <c r="AE84" s="29" t="inlineStr">
        <is>
          <t>319660.KQ</t>
        </is>
      </c>
    </row>
    <row r="85" ht="24" customHeight="1">
      <c r="A85" s="24" t="inlineStr">
        <is>
          <t>2023-10-12</t>
        </is>
      </c>
      <c r="B85" s="30" t="n">
        <v>20300</v>
      </c>
      <c r="C85" s="30" t="n">
        <v>20300</v>
      </c>
      <c r="D85" s="30" t="n">
        <v>19570</v>
      </c>
      <c r="E85" s="30" t="n">
        <v>19820</v>
      </c>
      <c r="F85" s="30" t="n">
        <v>18980.287109375</v>
      </c>
      <c r="G85" s="30" t="n">
        <v>184666</v>
      </c>
      <c r="H85" s="35" t="n">
        <v>-0.01147132169576059</v>
      </c>
      <c r="I85" s="35" t="n">
        <v>-0.2562851782363977</v>
      </c>
      <c r="J85" s="30" t="n">
        <v>19683.5</v>
      </c>
      <c r="K85" s="30" t="n">
        <v>20303.5</v>
      </c>
      <c r="L85" s="30" t="n">
        <v>20774.41666666667</v>
      </c>
      <c r="M85" s="35" t="n">
        <v>0.2965095197071447</v>
      </c>
      <c r="N85" s="35" t="n">
        <v>0.4322050259956337</v>
      </c>
      <c r="O85" s="35" t="n">
        <v>0.01536885245901631</v>
      </c>
      <c r="P85" s="35" t="n">
        <v>-0.06729411764705884</v>
      </c>
      <c r="Q85" s="35" t="n">
        <v>-0.1191111111111111</v>
      </c>
      <c r="R85" s="35" t="n">
        <v>0.00693474229684754</v>
      </c>
      <c r="S85" s="35" t="n">
        <v>-0.02381362819218358</v>
      </c>
      <c r="T85" s="35" t="n">
        <v>-0.04594192376039441</v>
      </c>
      <c r="U85" s="30" t="n">
        <v>23350</v>
      </c>
      <c r="V85" s="30" t="n">
        <v>14600</v>
      </c>
      <c r="W85" s="35" t="n">
        <v>-0.1511777301927195</v>
      </c>
      <c r="X85" s="35" t="n">
        <v>0.3575342465753424</v>
      </c>
      <c r="Y85" s="30" t="n">
        <v>28966714</v>
      </c>
      <c r="Z85" s="30" t="n">
        <v>574120271480</v>
      </c>
      <c r="AA85" s="30" t="n">
        <v>3660080120</v>
      </c>
      <c r="AB85" s="30" t="n">
        <v>3651119353.5</v>
      </c>
      <c r="AC85" s="35" t="n">
        <v>0.006375110411211986</v>
      </c>
      <c r="AD85" s="24" t="inlineStr">
        <is>
          <t>yfinance_download</t>
        </is>
      </c>
      <c r="AE85" s="24" t="inlineStr">
        <is>
          <t>319660.KQ</t>
        </is>
      </c>
    </row>
    <row r="86" ht="24" customHeight="1">
      <c r="A86" s="29" t="inlineStr">
        <is>
          <t>2023-10-13</t>
        </is>
      </c>
      <c r="B86" s="31" t="n">
        <v>19640</v>
      </c>
      <c r="C86" s="31" t="n">
        <v>20150</v>
      </c>
      <c r="D86" s="31" t="n">
        <v>19640</v>
      </c>
      <c r="E86" s="31" t="n">
        <v>19900</v>
      </c>
      <c r="F86" s="31" t="n">
        <v>19056.8984375</v>
      </c>
      <c r="G86" s="31" t="n">
        <v>197839</v>
      </c>
      <c r="H86" s="36" t="n">
        <v>0.004036326942482349</v>
      </c>
      <c r="I86" s="36" t="n">
        <v>-0.2532833020637899</v>
      </c>
      <c r="J86" s="31" t="n">
        <v>19714.5</v>
      </c>
      <c r="K86" s="31" t="n">
        <v>20274.33333333333</v>
      </c>
      <c r="L86" s="31" t="n">
        <v>20758.16666666667</v>
      </c>
      <c r="M86" s="36" t="n">
        <v>0.2924895203671266</v>
      </c>
      <c r="N86" s="36" t="n">
        <v>0.4303964394522898</v>
      </c>
      <c r="O86" s="36" t="n">
        <v>0.03215767634854783</v>
      </c>
      <c r="P86" s="36" t="n">
        <v>-0.08083140877598149</v>
      </c>
      <c r="Q86" s="36" t="n">
        <v>-0.08924485125858128</v>
      </c>
      <c r="R86" s="36" t="n">
        <v>0.009409318014659274</v>
      </c>
      <c r="S86" s="36" t="n">
        <v>-0.01846341022310638</v>
      </c>
      <c r="T86" s="36" t="n">
        <v>-0.04134115890131596</v>
      </c>
      <c r="U86" s="31" t="n">
        <v>23350</v>
      </c>
      <c r="V86" s="31" t="n">
        <v>14600</v>
      </c>
      <c r="W86" s="36" t="n">
        <v>-0.1477516059957173</v>
      </c>
      <c r="X86" s="36" t="n">
        <v>0.3630136986301369</v>
      </c>
      <c r="Y86" s="31" t="n">
        <v>28966714</v>
      </c>
      <c r="Z86" s="31" t="n">
        <v>576437608600</v>
      </c>
      <c r="AA86" s="31" t="n">
        <v>3936996100</v>
      </c>
      <c r="AB86" s="31" t="n">
        <v>3644596970.5</v>
      </c>
      <c r="AC86" s="36" t="n">
        <v>0.006829873764763238</v>
      </c>
      <c r="AD86" s="29" t="inlineStr">
        <is>
          <t>yfinance_download</t>
        </is>
      </c>
      <c r="AE86" s="29" t="inlineStr">
        <is>
          <t>319660.KQ</t>
        </is>
      </c>
    </row>
    <row r="87" ht="24" customHeight="1">
      <c r="A87" s="24" t="inlineStr">
        <is>
          <t>2023-10-16</t>
        </is>
      </c>
      <c r="B87" s="30" t="n">
        <v>19800</v>
      </c>
      <c r="C87" s="30" t="n">
        <v>19860</v>
      </c>
      <c r="D87" s="30" t="n">
        <v>19000</v>
      </c>
      <c r="E87" s="30" t="n">
        <v>19450</v>
      </c>
      <c r="F87" s="30" t="n">
        <v>18625.96484375</v>
      </c>
      <c r="G87" s="30" t="n">
        <v>204727</v>
      </c>
      <c r="H87" s="35" t="n">
        <v>-0.02261306532663321</v>
      </c>
      <c r="I87" s="35" t="n">
        <v>-0.2701688555347092</v>
      </c>
      <c r="J87" s="30" t="n">
        <v>19735.5</v>
      </c>
      <c r="K87" s="30" t="n">
        <v>20237.66666666667</v>
      </c>
      <c r="L87" s="30" t="n">
        <v>20739</v>
      </c>
      <c r="M87" s="35" t="n">
        <v>0.3008103848867832</v>
      </c>
      <c r="N87" s="35" t="n">
        <v>0.4326512870190642</v>
      </c>
      <c r="O87" s="35" t="n">
        <v>0.02207041513399899</v>
      </c>
      <c r="P87" s="35" t="n">
        <v>-0.1016166281755196</v>
      </c>
      <c r="Q87" s="35" t="n">
        <v>-0.1057471264367816</v>
      </c>
      <c r="R87" s="35" t="n">
        <v>-0.01446631704289225</v>
      </c>
      <c r="S87" s="35" t="n">
        <v>-0.0389208242056891</v>
      </c>
      <c r="T87" s="35" t="n">
        <v>-0.06215343073436519</v>
      </c>
      <c r="U87" s="30" t="n">
        <v>23350</v>
      </c>
      <c r="V87" s="30" t="n">
        <v>14600</v>
      </c>
      <c r="W87" s="35" t="n">
        <v>-0.1670235546038544</v>
      </c>
      <c r="X87" s="35" t="n">
        <v>0.3321917808219179</v>
      </c>
      <c r="Y87" s="30" t="n">
        <v>28966714</v>
      </c>
      <c r="Z87" s="30" t="n">
        <v>563402587300</v>
      </c>
      <c r="AA87" s="30" t="n">
        <v>3981940150</v>
      </c>
      <c r="AB87" s="30" t="n">
        <v>3630595086.5</v>
      </c>
      <c r="AC87" s="35" t="n">
        <v>0.007067663940065829</v>
      </c>
      <c r="AD87" s="24" t="inlineStr">
        <is>
          <t>yfinance_download</t>
        </is>
      </c>
      <c r="AE87" s="24" t="inlineStr">
        <is>
          <t>319660.KQ</t>
        </is>
      </c>
    </row>
    <row r="88" ht="24" customHeight="1">
      <c r="A88" s="29" t="inlineStr">
        <is>
          <t>2023-10-17</t>
        </is>
      </c>
      <c r="B88" s="31" t="n">
        <v>19460</v>
      </c>
      <c r="C88" s="31" t="n">
        <v>19750</v>
      </c>
      <c r="D88" s="31" t="n">
        <v>19070</v>
      </c>
      <c r="E88" s="31" t="n">
        <v>19660</v>
      </c>
      <c r="F88" s="31" t="n">
        <v>18827.06640625</v>
      </c>
      <c r="G88" s="31" t="n">
        <v>138940</v>
      </c>
      <c r="H88" s="36" t="n">
        <v>0.01079691516709502</v>
      </c>
      <c r="I88" s="36" t="n">
        <v>-0.2622889305816135</v>
      </c>
      <c r="J88" s="31" t="n">
        <v>19728</v>
      </c>
      <c r="K88" s="31" t="n">
        <v>20176.16666666667</v>
      </c>
      <c r="L88" s="31" t="n">
        <v>20721.16666666667</v>
      </c>
      <c r="M88" s="36" t="n">
        <v>0.2648720157336399</v>
      </c>
      <c r="N88" s="36" t="n">
        <v>0.4002521487402319</v>
      </c>
      <c r="O88" s="36" t="n">
        <v>-0.007571933366986361</v>
      </c>
      <c r="P88" s="36" t="n">
        <v>-0.1580299785867237</v>
      </c>
      <c r="Q88" s="36" t="n">
        <v>-0.09816513761467893</v>
      </c>
      <c r="R88" s="36" t="n">
        <v>-0.003446877534468817</v>
      </c>
      <c r="S88" s="36" t="n">
        <v>-0.02558298983123664</v>
      </c>
      <c r="T88" s="36" t="n">
        <v>-0.0512117239215939</v>
      </c>
      <c r="U88" s="31" t="n">
        <v>23350</v>
      </c>
      <c r="V88" s="31" t="n">
        <v>14600</v>
      </c>
      <c r="W88" s="36" t="n">
        <v>-0.1580299785867237</v>
      </c>
      <c r="X88" s="36" t="n">
        <v>0.3465753424657534</v>
      </c>
      <c r="Y88" s="31" t="n">
        <v>28966714</v>
      </c>
      <c r="Z88" s="31" t="n">
        <v>569485597240</v>
      </c>
      <c r="AA88" s="31" t="n">
        <v>2731560400</v>
      </c>
      <c r="AB88" s="31" t="n">
        <v>3472319085.5</v>
      </c>
      <c r="AC88" s="36" t="n">
        <v>0.004796539918197141</v>
      </c>
      <c r="AD88" s="29" t="inlineStr">
        <is>
          <t>yfinance_download</t>
        </is>
      </c>
      <c r="AE88" s="29" t="inlineStr">
        <is>
          <t>319660.KQ</t>
        </is>
      </c>
    </row>
    <row r="89" ht="24" customHeight="1">
      <c r="A89" s="24" t="inlineStr">
        <is>
          <t>2023-10-18</t>
        </is>
      </c>
      <c r="B89" s="30" t="n">
        <v>19300</v>
      </c>
      <c r="C89" s="30" t="n">
        <v>19690</v>
      </c>
      <c r="D89" s="30" t="n">
        <v>19150</v>
      </c>
      <c r="E89" s="30" t="n">
        <v>19250</v>
      </c>
      <c r="F89" s="30" t="n">
        <v>18434.435546875</v>
      </c>
      <c r="G89" s="30" t="n">
        <v>162339</v>
      </c>
      <c r="H89" s="35" t="n">
        <v>-0.02085452695829093</v>
      </c>
      <c r="I89" s="35" t="n">
        <v>-0.2776735459662288</v>
      </c>
      <c r="J89" s="30" t="n">
        <v>19690.5</v>
      </c>
      <c r="K89" s="30" t="n">
        <v>20118.66666666667</v>
      </c>
      <c r="L89" s="30" t="n">
        <v>20705.75</v>
      </c>
      <c r="M89" s="35" t="n">
        <v>0.2718289166367309</v>
      </c>
      <c r="N89" s="35" t="n">
        <v>0.3986203369955654</v>
      </c>
      <c r="O89" s="35" t="n">
        <v>-0.03749999999999998</v>
      </c>
      <c r="P89" s="35" t="n">
        <v>-0.1519823788546255</v>
      </c>
      <c r="Q89" s="35" t="n">
        <v>-0.08767772511848337</v>
      </c>
      <c r="R89" s="35" t="n">
        <v>-0.02237119423072043</v>
      </c>
      <c r="S89" s="35" t="n">
        <v>-0.04317714891642921</v>
      </c>
      <c r="T89" s="35" t="n">
        <v>-0.07030655735725588</v>
      </c>
      <c r="U89" s="30" t="n">
        <v>23350</v>
      </c>
      <c r="V89" s="30" t="n">
        <v>14600</v>
      </c>
      <c r="W89" s="35" t="n">
        <v>-0.1755888650963597</v>
      </c>
      <c r="X89" s="35" t="n">
        <v>0.3184931506849316</v>
      </c>
      <c r="Y89" s="30" t="n">
        <v>28966714</v>
      </c>
      <c r="Z89" s="30" t="n">
        <v>557609244500</v>
      </c>
      <c r="AA89" s="30" t="n">
        <v>3125025750</v>
      </c>
      <c r="AB89" s="30" t="n">
        <v>3347213373</v>
      </c>
      <c r="AC89" s="35" t="n">
        <v>0.005604329162085834</v>
      </c>
      <c r="AD89" s="24" t="inlineStr">
        <is>
          <t>yfinance_download</t>
        </is>
      </c>
      <c r="AE89" s="24" t="inlineStr">
        <is>
          <t>319660.KQ</t>
        </is>
      </c>
    </row>
    <row r="90" ht="24" customHeight="1">
      <c r="A90" s="29" t="inlineStr">
        <is>
          <t>2023-10-19</t>
        </is>
      </c>
      <c r="B90" s="31" t="n">
        <v>19100</v>
      </c>
      <c r="C90" s="31" t="n">
        <v>19140</v>
      </c>
      <c r="D90" s="31" t="n">
        <v>18420</v>
      </c>
      <c r="E90" s="31" t="n">
        <v>18520</v>
      </c>
      <c r="F90" s="31" t="n">
        <v>17735.36328125</v>
      </c>
      <c r="G90" s="31" t="n">
        <v>188065</v>
      </c>
      <c r="H90" s="36" t="n">
        <v>-0.03792207792207791</v>
      </c>
      <c r="I90" s="36" t="n">
        <v>-0.3050656660412758</v>
      </c>
      <c r="J90" s="31" t="n">
        <v>19596.5</v>
      </c>
      <c r="K90" s="31" t="n">
        <v>20049.83333333333</v>
      </c>
      <c r="L90" s="31" t="n">
        <v>20685.91666666667</v>
      </c>
      <c r="M90" s="36" t="n">
        <v>0.2876028935281409</v>
      </c>
      <c r="N90" s="36" t="n">
        <v>0.4051993980044488</v>
      </c>
      <c r="O90" s="36" t="n">
        <v>-0.09215686274509804</v>
      </c>
      <c r="P90" s="36" t="n">
        <v>-0.1823399558498896</v>
      </c>
      <c r="Q90" s="36" t="n">
        <v>-0.1138755980861244</v>
      </c>
      <c r="R90" s="36" t="n">
        <v>-0.05493327890184474</v>
      </c>
      <c r="S90" s="36" t="n">
        <v>-0.07630154864130201</v>
      </c>
      <c r="T90" s="36" t="n">
        <v>-0.1047048918144793</v>
      </c>
      <c r="U90" s="31" t="n">
        <v>23350</v>
      </c>
      <c r="V90" s="31" t="n">
        <v>14600</v>
      </c>
      <c r="W90" s="36" t="n">
        <v>-0.2068522483940043</v>
      </c>
      <c r="X90" s="36" t="n">
        <v>0.2684931506849315</v>
      </c>
      <c r="Y90" s="31" t="n">
        <v>28966714</v>
      </c>
      <c r="Z90" s="31" t="n">
        <v>536463543280</v>
      </c>
      <c r="AA90" s="31" t="n">
        <v>3482963800</v>
      </c>
      <c r="AB90" s="31" t="n">
        <v>3112421123</v>
      </c>
      <c r="AC90" s="36" t="n">
        <v>0.006492451991620451</v>
      </c>
      <c r="AD90" s="29" t="inlineStr">
        <is>
          <t>yfinance_download</t>
        </is>
      </c>
      <c r="AE90" s="29" t="inlineStr">
        <is>
          <t>319660.KQ</t>
        </is>
      </c>
    </row>
    <row r="91" ht="24" customHeight="1">
      <c r="A91" s="24" t="inlineStr">
        <is>
          <t>2023-10-20</t>
        </is>
      </c>
      <c r="B91" s="30" t="n">
        <v>18510</v>
      </c>
      <c r="C91" s="30" t="n">
        <v>18990</v>
      </c>
      <c r="D91" s="30" t="n">
        <v>18210</v>
      </c>
      <c r="E91" s="30" t="n">
        <v>18740</v>
      </c>
      <c r="F91" s="30" t="n">
        <v>17946.044921875</v>
      </c>
      <c r="G91" s="30" t="n">
        <v>162643</v>
      </c>
      <c r="H91" s="35" t="n">
        <v>0.01187904967602593</v>
      </c>
      <c r="I91" s="35" t="n">
        <v>-0.2968105065666041</v>
      </c>
      <c r="J91" s="30" t="n">
        <v>19508.5</v>
      </c>
      <c r="K91" s="30" t="n">
        <v>19979.66666666667</v>
      </c>
      <c r="L91" s="30" t="n">
        <v>20671.66666666667</v>
      </c>
      <c r="M91" s="35" t="n">
        <v>0.2917182561000686</v>
      </c>
      <c r="N91" s="35" t="n">
        <v>0.4049746888747301</v>
      </c>
      <c r="O91" s="35" t="n">
        <v>-0.08585365853658533</v>
      </c>
      <c r="P91" s="35" t="n">
        <v>-0.1834422657952069</v>
      </c>
      <c r="Q91" s="35" t="n">
        <v>-0.08361858190709048</v>
      </c>
      <c r="R91" s="35" t="n">
        <v>-0.03939308506548422</v>
      </c>
      <c r="S91" s="35" t="n">
        <v>-0.06204641385408505</v>
      </c>
      <c r="T91" s="35" t="n">
        <v>-0.09344513424171574</v>
      </c>
      <c r="U91" s="30" t="n">
        <v>23350</v>
      </c>
      <c r="V91" s="30" t="n">
        <v>14600</v>
      </c>
      <c r="W91" s="35" t="n">
        <v>-0.1974304068522484</v>
      </c>
      <c r="X91" s="35" t="n">
        <v>0.2835616438356163</v>
      </c>
      <c r="Y91" s="30" t="n">
        <v>28966714</v>
      </c>
      <c r="Z91" s="30" t="n">
        <v>542836220360</v>
      </c>
      <c r="AA91" s="30" t="n">
        <v>3047929820</v>
      </c>
      <c r="AB91" s="30" t="n">
        <v>3091515739</v>
      </c>
      <c r="AC91" s="35" t="n">
        <v>0.005614823966570734</v>
      </c>
      <c r="AD91" s="24" t="inlineStr">
        <is>
          <t>yfinance_download</t>
        </is>
      </c>
      <c r="AE91" s="24" t="inlineStr">
        <is>
          <t>319660.KQ</t>
        </is>
      </c>
    </row>
    <row r="92" ht="24" customHeight="1">
      <c r="A92" s="29" t="inlineStr">
        <is>
          <t>2023-10-23</t>
        </is>
      </c>
      <c r="B92" s="31" t="n">
        <v>18560</v>
      </c>
      <c r="C92" s="31" t="n">
        <v>18800</v>
      </c>
      <c r="D92" s="31" t="n">
        <v>18300</v>
      </c>
      <c r="E92" s="31" t="n">
        <v>18550</v>
      </c>
      <c r="F92" s="31" t="n">
        <v>17764.09375</v>
      </c>
      <c r="G92" s="31" t="n">
        <v>132846</v>
      </c>
      <c r="H92" s="36" t="n">
        <v>-0.01013874066168619</v>
      </c>
      <c r="I92" s="36" t="n">
        <v>-0.3039399624765479</v>
      </c>
      <c r="J92" s="31" t="n">
        <v>19411</v>
      </c>
      <c r="K92" s="31" t="n">
        <v>19919.66666666667</v>
      </c>
      <c r="L92" s="31" t="n">
        <v>20650.83333333333</v>
      </c>
      <c r="M92" s="36" t="n">
        <v>0.2919482059859106</v>
      </c>
      <c r="N92" s="36" t="n">
        <v>0.3998179564372288</v>
      </c>
      <c r="O92" s="36" t="n">
        <v>-0.09512195121951217</v>
      </c>
      <c r="P92" s="36" t="n">
        <v>-0.162528216704289</v>
      </c>
      <c r="Q92" s="36" t="n">
        <v>-0.1187648456057007</v>
      </c>
      <c r="R92" s="36" t="n">
        <v>-0.04435629282365672</v>
      </c>
      <c r="S92" s="36" t="n">
        <v>-0.06875951739486941</v>
      </c>
      <c r="T92" s="36" t="n">
        <v>-0.1017311650054477</v>
      </c>
      <c r="U92" s="31" t="n">
        <v>23350</v>
      </c>
      <c r="V92" s="31" t="n">
        <v>14600</v>
      </c>
      <c r="W92" s="36" t="n">
        <v>-0.2055674518201285</v>
      </c>
      <c r="X92" s="36" t="n">
        <v>0.2705479452054795</v>
      </c>
      <c r="Y92" s="31" t="n">
        <v>28966714</v>
      </c>
      <c r="Z92" s="31" t="n">
        <v>537332544700</v>
      </c>
      <c r="AA92" s="31" t="n">
        <v>2464293300</v>
      </c>
      <c r="AB92" s="31" t="n">
        <v>3004644354</v>
      </c>
      <c r="AC92" s="36" t="n">
        <v>0.004586160515134717</v>
      </c>
      <c r="AD92" s="29" t="inlineStr">
        <is>
          <t>yfinance_download</t>
        </is>
      </c>
      <c r="AE92" s="29" t="inlineStr">
        <is>
          <t>319660.KQ</t>
        </is>
      </c>
    </row>
    <row r="93" ht="24" customHeight="1">
      <c r="A93" s="24" t="inlineStr">
        <is>
          <t>2023-10-24</t>
        </is>
      </c>
      <c r="B93" s="30" t="n">
        <v>18720</v>
      </c>
      <c r="C93" s="30" t="n">
        <v>19280</v>
      </c>
      <c r="D93" s="30" t="n">
        <v>18640</v>
      </c>
      <c r="E93" s="30" t="n">
        <v>19280</v>
      </c>
      <c r="F93" s="30" t="n">
        <v>18463.16796875</v>
      </c>
      <c r="G93" s="30" t="n">
        <v>143017</v>
      </c>
      <c r="H93" s="35" t="n">
        <v>0.03935309973045831</v>
      </c>
      <c r="I93" s="35" t="n">
        <v>-0.276547842401501</v>
      </c>
      <c r="J93" s="30" t="n">
        <v>19367.5</v>
      </c>
      <c r="K93" s="30" t="n">
        <v>19866</v>
      </c>
      <c r="L93" s="30" t="n">
        <v>20641.5</v>
      </c>
      <c r="M93" s="35" t="n">
        <v>0.3271338664950902</v>
      </c>
      <c r="N93" s="35" t="n">
        <v>0.4073009708287314</v>
      </c>
      <c r="O93" s="35" t="n">
        <v>-0.04317617866004964</v>
      </c>
      <c r="P93" s="35" t="n">
        <v>-0.1431111111111111</v>
      </c>
      <c r="Q93" s="35" t="n">
        <v>-0.05490196078431375</v>
      </c>
      <c r="R93" s="35" t="n">
        <v>-0.004517877888214783</v>
      </c>
      <c r="S93" s="35" t="n">
        <v>-0.02949763414879691</v>
      </c>
      <c r="T93" s="35" t="n">
        <v>-0.06595935372913786</v>
      </c>
      <c r="U93" s="30" t="n">
        <v>23350</v>
      </c>
      <c r="V93" s="30" t="n">
        <v>14600</v>
      </c>
      <c r="W93" s="35" t="n">
        <v>-0.1743040685224839</v>
      </c>
      <c r="X93" s="35" t="n">
        <v>0.3205479452054794</v>
      </c>
      <c r="Y93" s="30" t="n">
        <v>28966714</v>
      </c>
      <c r="Z93" s="30" t="n">
        <v>558478245920</v>
      </c>
      <c r="AA93" s="30" t="n">
        <v>2757367760</v>
      </c>
      <c r="AB93" s="30" t="n">
        <v>2973650704.5</v>
      </c>
      <c r="AC93" s="35" t="n">
        <v>0.004937287674397586</v>
      </c>
      <c r="AD93" s="24" t="inlineStr">
        <is>
          <t>yfinance_download</t>
        </is>
      </c>
      <c r="AE93" s="24" t="inlineStr">
        <is>
          <t>319660.KQ</t>
        </is>
      </c>
    </row>
    <row r="94" ht="24" customHeight="1">
      <c r="A94" s="29" t="inlineStr">
        <is>
          <t>2023-10-25</t>
        </is>
      </c>
      <c r="B94" s="31" t="n">
        <v>19350</v>
      </c>
      <c r="C94" s="31" t="n">
        <v>19620</v>
      </c>
      <c r="D94" s="31" t="n">
        <v>19050</v>
      </c>
      <c r="E94" s="31" t="n">
        <v>19320</v>
      </c>
      <c r="F94" s="31" t="n">
        <v>18501.470703125</v>
      </c>
      <c r="G94" s="31" t="n">
        <v>140976</v>
      </c>
      <c r="H94" s="36" t="n">
        <v>0.002074688796680491</v>
      </c>
      <c r="I94" s="36" t="n">
        <v>-0.275046904315197</v>
      </c>
      <c r="J94" s="31" t="n">
        <v>19326</v>
      </c>
      <c r="K94" s="31" t="n">
        <v>19811.33333333333</v>
      </c>
      <c r="L94" s="31" t="n">
        <v>20636.25</v>
      </c>
      <c r="M94" s="36" t="n">
        <v>0.327385102876832</v>
      </c>
      <c r="N94" s="36" t="n">
        <v>0.407163624629975</v>
      </c>
      <c r="O94" s="36" t="n">
        <v>-0.04119106699751862</v>
      </c>
      <c r="P94" s="36" t="n">
        <v>-0.1451327433628319</v>
      </c>
      <c r="Q94" s="36" t="n">
        <v>-0.03157894736842104</v>
      </c>
      <c r="R94" s="36" t="n">
        <v>-0.0003104625892580426</v>
      </c>
      <c r="S94" s="36" t="n">
        <v>-0.02480061917420995</v>
      </c>
      <c r="T94" s="36" t="n">
        <v>-0.06378339087770302</v>
      </c>
      <c r="U94" s="31" t="n">
        <v>23350</v>
      </c>
      <c r="V94" s="31" t="n">
        <v>14600</v>
      </c>
      <c r="W94" s="36" t="n">
        <v>-0.1725910064239828</v>
      </c>
      <c r="X94" s="36" t="n">
        <v>0.3232876712328767</v>
      </c>
      <c r="Y94" s="31" t="n">
        <v>28966714</v>
      </c>
      <c r="Z94" s="31" t="n">
        <v>559636914480</v>
      </c>
      <c r="AA94" s="31" t="n">
        <v>2723656320</v>
      </c>
      <c r="AB94" s="31" t="n">
        <v>2997879113</v>
      </c>
      <c r="AC94" s="36" t="n">
        <v>0.004866827490339429</v>
      </c>
      <c r="AD94" s="29" t="inlineStr">
        <is>
          <t>yfinance_download</t>
        </is>
      </c>
      <c r="AE94" s="29" t="inlineStr">
        <is>
          <t>319660.KQ</t>
        </is>
      </c>
    </row>
    <row r="95" ht="24" customHeight="1">
      <c r="A95" s="24" t="inlineStr">
        <is>
          <t>2023-10-26</t>
        </is>
      </c>
      <c r="B95" s="30" t="n">
        <v>18850</v>
      </c>
      <c r="C95" s="30" t="n">
        <v>19620</v>
      </c>
      <c r="D95" s="30" t="n">
        <v>18470</v>
      </c>
      <c r="E95" s="30" t="n">
        <v>18820</v>
      </c>
      <c r="F95" s="30" t="n">
        <v>18022.654296875</v>
      </c>
      <c r="G95" s="30" t="n">
        <v>194674</v>
      </c>
      <c r="H95" s="35" t="n">
        <v>-0.02587991718426497</v>
      </c>
      <c r="I95" s="35" t="n">
        <v>-0.2938086303939963</v>
      </c>
      <c r="J95" s="30" t="n">
        <v>19302</v>
      </c>
      <c r="K95" s="30" t="n">
        <v>19768.33333333333</v>
      </c>
      <c r="L95" s="30" t="n">
        <v>20623.5</v>
      </c>
      <c r="M95" s="35" t="n">
        <v>0.3051359216267658</v>
      </c>
      <c r="N95" s="35" t="n">
        <v>0.3963330021603604</v>
      </c>
      <c r="O95" s="35" t="n">
        <v>-0.02487046632124357</v>
      </c>
      <c r="P95" s="35" t="n">
        <v>-0.1205607476635514</v>
      </c>
      <c r="Q95" s="35" t="n">
        <v>-0.07518427518427517</v>
      </c>
      <c r="R95" s="35" t="n">
        <v>-0.02497150554346694</v>
      </c>
      <c r="S95" s="35" t="n">
        <v>-0.04797234634516478</v>
      </c>
      <c r="T95" s="35" t="n">
        <v>-0.08744878415399904</v>
      </c>
      <c r="U95" s="30" t="n">
        <v>23350</v>
      </c>
      <c r="V95" s="30" t="n">
        <v>14600</v>
      </c>
      <c r="W95" s="35" t="n">
        <v>-0.1940042826552463</v>
      </c>
      <c r="X95" s="35" t="n">
        <v>0.289041095890411</v>
      </c>
      <c r="Y95" s="30" t="n">
        <v>28966714</v>
      </c>
      <c r="Z95" s="30" t="n">
        <v>545153557480</v>
      </c>
      <c r="AA95" s="30" t="n">
        <v>3663764680</v>
      </c>
      <c r="AB95" s="30" t="n">
        <v>2983935217</v>
      </c>
      <c r="AC95" s="35" t="n">
        <v>0.006720610422017492</v>
      </c>
      <c r="AD95" s="24" t="inlineStr">
        <is>
          <t>yfinance_download</t>
        </is>
      </c>
      <c r="AE95" s="24" t="inlineStr">
        <is>
          <t>319660.KQ</t>
        </is>
      </c>
    </row>
    <row r="96" ht="24" customHeight="1">
      <c r="A96" s="29" t="inlineStr">
        <is>
          <t>2023-10-27</t>
        </is>
      </c>
      <c r="B96" s="31" t="n">
        <v>19080</v>
      </c>
      <c r="C96" s="31" t="n">
        <v>19180</v>
      </c>
      <c r="D96" s="31" t="n">
        <v>18300</v>
      </c>
      <c r="E96" s="31" t="n">
        <v>18420</v>
      </c>
      <c r="F96" s="31" t="n">
        <v>17639.599609375</v>
      </c>
      <c r="G96" s="31" t="n">
        <v>135392</v>
      </c>
      <c r="H96" s="36" t="n">
        <v>-0.02125398512221044</v>
      </c>
      <c r="I96" s="36" t="n">
        <v>-0.3088180112570357</v>
      </c>
      <c r="J96" s="31" t="n">
        <v>19244.5</v>
      </c>
      <c r="K96" s="31" t="n">
        <v>19697.83333333333</v>
      </c>
      <c r="L96" s="31" t="n">
        <v>20603.25</v>
      </c>
      <c r="M96" s="36" t="n">
        <v>0.3076798127508446</v>
      </c>
      <c r="N96" s="36" t="n">
        <v>0.3778064112050448</v>
      </c>
      <c r="O96" s="36" t="n">
        <v>-0.05876341338783853</v>
      </c>
      <c r="P96" s="36" t="n">
        <v>-0.1867549668874172</v>
      </c>
      <c r="Q96" s="36" t="n">
        <v>-0.116546762589928</v>
      </c>
      <c r="R96" s="36" t="n">
        <v>-0.04284340980539891</v>
      </c>
      <c r="S96" s="36" t="n">
        <v>-0.06487177100696351</v>
      </c>
      <c r="T96" s="36" t="n">
        <v>-0.1059662917258199</v>
      </c>
      <c r="U96" s="31" t="n">
        <v>23350</v>
      </c>
      <c r="V96" s="31" t="n">
        <v>14600</v>
      </c>
      <c r="W96" s="36" t="n">
        <v>-0.211134903640257</v>
      </c>
      <c r="X96" s="36" t="n">
        <v>0.2616438356164383</v>
      </c>
      <c r="Y96" s="31" t="n">
        <v>28966714</v>
      </c>
      <c r="Z96" s="31" t="n">
        <v>533566871880</v>
      </c>
      <c r="AA96" s="31" t="n">
        <v>2493920640</v>
      </c>
      <c r="AB96" s="31" t="n">
        <v>3015760835.5</v>
      </c>
      <c r="AC96" s="36" t="n">
        <v>0.004674054502695749</v>
      </c>
      <c r="AD96" s="29" t="inlineStr">
        <is>
          <t>yfinance_download</t>
        </is>
      </c>
      <c r="AE96" s="29" t="inlineStr">
        <is>
          <t>319660.KQ</t>
        </is>
      </c>
    </row>
    <row r="97" ht="24" customHeight="1">
      <c r="A97" s="24" t="inlineStr">
        <is>
          <t>2023-10-30</t>
        </is>
      </c>
      <c r="B97" s="30" t="n">
        <v>18570</v>
      </c>
      <c r="C97" s="30" t="n">
        <v>18650</v>
      </c>
      <c r="D97" s="30" t="n">
        <v>18150</v>
      </c>
      <c r="E97" s="30" t="n">
        <v>18210</v>
      </c>
      <c r="F97" s="30" t="n">
        <v>17438.5</v>
      </c>
      <c r="G97" s="30" t="n">
        <v>90523</v>
      </c>
      <c r="H97" s="35" t="n">
        <v>-0.01140065146579805</v>
      </c>
      <c r="I97" s="35" t="n">
        <v>-0.3166979362101313</v>
      </c>
      <c r="J97" s="30" t="n">
        <v>19184</v>
      </c>
      <c r="K97" s="30" t="n">
        <v>19615.5</v>
      </c>
      <c r="L97" s="30" t="n">
        <v>20582.91666666667</v>
      </c>
      <c r="M97" s="35" t="n">
        <v>0.3087398282566757</v>
      </c>
      <c r="N97" s="35" t="n">
        <v>0.3744702400727831</v>
      </c>
      <c r="O97" s="35" t="n">
        <v>-0.06230690010298656</v>
      </c>
      <c r="P97" s="35" t="n">
        <v>-0.213390928725702</v>
      </c>
      <c r="Q97" s="35" t="n">
        <v>-0.1181598062953995</v>
      </c>
      <c r="R97" s="35" t="n">
        <v>-0.05077147623019185</v>
      </c>
      <c r="S97" s="35" t="n">
        <v>-0.07165251969106068</v>
      </c>
      <c r="T97" s="35" t="n">
        <v>-0.1152857345290391</v>
      </c>
      <c r="U97" s="30" t="n">
        <v>23350</v>
      </c>
      <c r="V97" s="30" t="n">
        <v>14600</v>
      </c>
      <c r="W97" s="35" t="n">
        <v>-0.2201284796573876</v>
      </c>
      <c r="X97" s="35" t="n">
        <v>0.2472602739726026</v>
      </c>
      <c r="Y97" s="30" t="n">
        <v>28966714</v>
      </c>
      <c r="Z97" s="30" t="n">
        <v>527483861940</v>
      </c>
      <c r="AA97" s="30" t="n">
        <v>1648423830</v>
      </c>
      <c r="AB97" s="30" t="n">
        <v>3001728713</v>
      </c>
      <c r="AC97" s="35" t="n">
        <v>0.003125069692061032</v>
      </c>
      <c r="AD97" s="24" t="inlineStr">
        <is>
          <t>yfinance_download</t>
        </is>
      </c>
      <c r="AE97" s="24" t="inlineStr">
        <is>
          <t>319660.KQ</t>
        </is>
      </c>
    </row>
    <row r="98" ht="24" customHeight="1">
      <c r="A98" s="29" t="inlineStr">
        <is>
          <t>2023-10-31</t>
        </is>
      </c>
      <c r="B98" s="31" t="n">
        <v>18200</v>
      </c>
      <c r="C98" s="31" t="n">
        <v>18440</v>
      </c>
      <c r="D98" s="31" t="n">
        <v>17150</v>
      </c>
      <c r="E98" s="31" t="n">
        <v>17160</v>
      </c>
      <c r="F98" s="31" t="n">
        <v>16432.984375</v>
      </c>
      <c r="G98" s="31" t="n">
        <v>255824</v>
      </c>
      <c r="H98" s="36" t="n">
        <v>-0.05766062602965405</v>
      </c>
      <c r="I98" s="36" t="n">
        <v>-0.3560975609756097</v>
      </c>
      <c r="J98" s="31" t="n">
        <v>19078.5</v>
      </c>
      <c r="K98" s="31" t="n">
        <v>19526.5</v>
      </c>
      <c r="L98" s="31" t="n">
        <v>20557.58333333333</v>
      </c>
      <c r="M98" s="36" t="n">
        <v>0.3646298875710554</v>
      </c>
      <c r="N98" s="36" t="n">
        <v>0.387375051981182</v>
      </c>
      <c r="O98" s="36" t="n">
        <v>-0.1094966268811625</v>
      </c>
      <c r="P98" s="36" t="n">
        <v>-0.2373333333333333</v>
      </c>
      <c r="Q98" s="36" t="n">
        <v>-0.1504950495049505</v>
      </c>
      <c r="R98" s="36" t="n">
        <v>-0.1005582199858479</v>
      </c>
      <c r="S98" s="36" t="n">
        <v>-0.1211942744475456</v>
      </c>
      <c r="T98" s="36" t="n">
        <v>-0.1652715340243462</v>
      </c>
      <c r="U98" s="31" t="n">
        <v>23350</v>
      </c>
      <c r="V98" s="31" t="n">
        <v>14600</v>
      </c>
      <c r="W98" s="36" t="n">
        <v>-0.2650963597430407</v>
      </c>
      <c r="X98" s="36" t="n">
        <v>0.1753424657534246</v>
      </c>
      <c r="Y98" s="31" t="n">
        <v>28966714</v>
      </c>
      <c r="Z98" s="31" t="n">
        <v>497068812240</v>
      </c>
      <c r="AA98" s="31" t="n">
        <v>4389939840</v>
      </c>
      <c r="AB98" s="31" t="n">
        <v>3134508778</v>
      </c>
      <c r="AC98" s="36" t="n">
        <v>0.008831654153108288</v>
      </c>
      <c r="AD98" s="29" t="inlineStr">
        <is>
          <t>yfinance_download</t>
        </is>
      </c>
      <c r="AE98" s="29" t="inlineStr">
        <is>
          <t>319660.KQ</t>
        </is>
      </c>
    </row>
    <row r="99" ht="24" customHeight="1">
      <c r="A99" s="24" t="inlineStr">
        <is>
          <t>2023-11-01</t>
        </is>
      </c>
      <c r="B99" s="30" t="n">
        <v>17450</v>
      </c>
      <c r="C99" s="30" t="n">
        <v>17800</v>
      </c>
      <c r="D99" s="30" t="n">
        <v>17310</v>
      </c>
      <c r="E99" s="30" t="n">
        <v>17710</v>
      </c>
      <c r="F99" s="30" t="n">
        <v>16959.681640625</v>
      </c>
      <c r="G99" s="30" t="n">
        <v>134654</v>
      </c>
      <c r="H99" s="35" t="n">
        <v>0.03205128205128216</v>
      </c>
      <c r="I99" s="35" t="n">
        <v>-0.3354596622889305</v>
      </c>
      <c r="J99" s="30" t="n">
        <v>19000.5</v>
      </c>
      <c r="K99" s="30" t="n">
        <v>19444.16666666667</v>
      </c>
      <c r="L99" s="30" t="n">
        <v>20535.16666666667</v>
      </c>
      <c r="M99" s="35" t="n">
        <v>0.3880719328741957</v>
      </c>
      <c r="N99" s="35" t="n">
        <v>0.3938586527454019</v>
      </c>
      <c r="O99" s="35" t="n">
        <v>-0.08095485210171249</v>
      </c>
      <c r="P99" s="35" t="n">
        <v>-0.2181015452538632</v>
      </c>
      <c r="Q99" s="35" t="n">
        <v>-0.1318627450980392</v>
      </c>
      <c r="R99" s="35" t="n">
        <v>-0.06791926528249259</v>
      </c>
      <c r="S99" s="35" t="n">
        <v>-0.08918698838554839</v>
      </c>
      <c r="T99" s="35" t="n">
        <v>-0.1375770020533882</v>
      </c>
      <c r="U99" s="30" t="n">
        <v>23350</v>
      </c>
      <c r="V99" s="30" t="n">
        <v>14600</v>
      </c>
      <c r="W99" s="35" t="n">
        <v>-0.241541755888651</v>
      </c>
      <c r="X99" s="35" t="n">
        <v>0.213013698630137</v>
      </c>
      <c r="Y99" s="30" t="n">
        <v>28966714</v>
      </c>
      <c r="Z99" s="30" t="n">
        <v>513000504940</v>
      </c>
      <c r="AA99" s="30" t="n">
        <v>2384722340</v>
      </c>
      <c r="AB99" s="30" t="n">
        <v>3134240063</v>
      </c>
      <c r="AC99" s="35" t="n">
        <v>0.004648576983913329</v>
      </c>
      <c r="AD99" s="24" t="inlineStr">
        <is>
          <t>yfinance_download</t>
        </is>
      </c>
      <c r="AE99" s="24" t="inlineStr">
        <is>
          <t>319660.KQ</t>
        </is>
      </c>
    </row>
    <row r="100" ht="24" customHeight="1">
      <c r="A100" s="29" t="inlineStr">
        <is>
          <t>2023-11-02</t>
        </is>
      </c>
      <c r="B100" s="31" t="n">
        <v>18290</v>
      </c>
      <c r="C100" s="31" t="n">
        <v>19080</v>
      </c>
      <c r="D100" s="31" t="n">
        <v>18110</v>
      </c>
      <c r="E100" s="31" t="n">
        <v>18900</v>
      </c>
      <c r="F100" s="31" t="n">
        <v>18099.265625</v>
      </c>
      <c r="G100" s="31" t="n">
        <v>231761</v>
      </c>
      <c r="H100" s="36" t="n">
        <v>0.06719367588932812</v>
      </c>
      <c r="I100" s="36" t="n">
        <v>-0.2908067542213884</v>
      </c>
      <c r="J100" s="31" t="n">
        <v>18986.5</v>
      </c>
      <c r="K100" s="31" t="n">
        <v>19405.83333333333</v>
      </c>
      <c r="L100" s="31" t="n">
        <v>20526.66666666667</v>
      </c>
      <c r="M100" s="36" t="n">
        <v>0.4628761412056004</v>
      </c>
      <c r="N100" s="36" t="n">
        <v>0.3999062035046506</v>
      </c>
      <c r="O100" s="36" t="n">
        <v>-0.01459854014598538</v>
      </c>
      <c r="P100" s="36" t="n">
        <v>-0.1084905660377359</v>
      </c>
      <c r="Q100" s="36" t="n">
        <v>-0.0512048192771084</v>
      </c>
      <c r="R100" s="36" t="n">
        <v>-0.004555868643509875</v>
      </c>
      <c r="S100" s="36" t="n">
        <v>-0.02606604543307423</v>
      </c>
      <c r="T100" s="36" t="n">
        <v>-0.07924650860669058</v>
      </c>
      <c r="U100" s="31" t="n">
        <v>23350</v>
      </c>
      <c r="V100" s="31" t="n">
        <v>14600</v>
      </c>
      <c r="W100" s="36" t="n">
        <v>-0.1905781584582441</v>
      </c>
      <c r="X100" s="36" t="n">
        <v>0.2945205479452055</v>
      </c>
      <c r="Y100" s="31" t="n">
        <v>28966714</v>
      </c>
      <c r="Z100" s="31" t="n">
        <v>547470894600</v>
      </c>
      <c r="AA100" s="31" t="n">
        <v>4380282900</v>
      </c>
      <c r="AB100" s="31" t="n">
        <v>3158043045</v>
      </c>
      <c r="AC100" s="36" t="n">
        <v>0.008000942046792052</v>
      </c>
      <c r="AD100" s="29" t="inlineStr">
        <is>
          <t>yfinance_download</t>
        </is>
      </c>
      <c r="AE100" s="29" t="inlineStr">
        <is>
          <t>319660.KQ</t>
        </is>
      </c>
    </row>
    <row r="101" ht="24" customHeight="1">
      <c r="A101" s="24" t="inlineStr">
        <is>
          <t>2023-11-03</t>
        </is>
      </c>
      <c r="B101" s="30" t="n">
        <v>19010</v>
      </c>
      <c r="C101" s="30" t="n">
        <v>19030</v>
      </c>
      <c r="D101" s="30" t="n">
        <v>18650</v>
      </c>
      <c r="E101" s="30" t="n">
        <v>18900</v>
      </c>
      <c r="F101" s="30" t="n">
        <v>18099.265625</v>
      </c>
      <c r="G101" s="30" t="n">
        <v>112811</v>
      </c>
      <c r="H101" s="35" t="n">
        <v>0</v>
      </c>
      <c r="I101" s="35" t="n">
        <v>-0.2908067542213884</v>
      </c>
      <c r="J101" s="30" t="n">
        <v>18964</v>
      </c>
      <c r="K101" s="30" t="n">
        <v>19363.33333333333</v>
      </c>
      <c r="L101" s="30" t="n">
        <v>20513.75</v>
      </c>
      <c r="M101" s="35" t="n">
        <v>0.461607885067441</v>
      </c>
      <c r="N101" s="35" t="n">
        <v>0.3989483735468665</v>
      </c>
      <c r="O101" s="35" t="n">
        <v>-0.02325581395348841</v>
      </c>
      <c r="P101" s="35" t="n">
        <v>-0.1188811188811189</v>
      </c>
      <c r="Q101" s="35" t="n">
        <v>-0.07579462102689483</v>
      </c>
      <c r="R101" s="35" t="n">
        <v>-0.003374815439780687</v>
      </c>
      <c r="S101" s="35" t="n">
        <v>-0.02392838698571176</v>
      </c>
      <c r="T101" s="35" t="n">
        <v>-0.07866674791298522</v>
      </c>
      <c r="U101" s="30" t="n">
        <v>23350</v>
      </c>
      <c r="V101" s="30" t="n">
        <v>14600</v>
      </c>
      <c r="W101" s="35" t="n">
        <v>-0.1905781584582441</v>
      </c>
      <c r="X101" s="35" t="n">
        <v>0.2945205479452055</v>
      </c>
      <c r="Y101" s="30" t="n">
        <v>28966714</v>
      </c>
      <c r="Z101" s="30" t="n">
        <v>547470894600</v>
      </c>
      <c r="AA101" s="30" t="n">
        <v>2132127900</v>
      </c>
      <c r="AB101" s="30" t="n">
        <v>3089570640</v>
      </c>
      <c r="AC101" s="35" t="n">
        <v>0.003894504568243398</v>
      </c>
      <c r="AD101" s="24" t="inlineStr">
        <is>
          <t>yfinance_download</t>
        </is>
      </c>
      <c r="AE101" s="24" t="inlineStr">
        <is>
          <t>319660.KQ</t>
        </is>
      </c>
    </row>
    <row r="102" ht="24" customHeight="1">
      <c r="A102" s="29" t="inlineStr">
        <is>
          <t>2023-11-06</t>
        </is>
      </c>
      <c r="B102" s="31" t="n">
        <v>19200</v>
      </c>
      <c r="C102" s="31" t="n">
        <v>19400</v>
      </c>
      <c r="D102" s="31" t="n">
        <v>18800</v>
      </c>
      <c r="E102" s="31" t="n">
        <v>19290</v>
      </c>
      <c r="F102" s="31" t="n">
        <v>18472.7421875</v>
      </c>
      <c r="G102" s="31" t="n">
        <v>283821</v>
      </c>
      <c r="H102" s="36" t="n">
        <v>0.02063492063492056</v>
      </c>
      <c r="I102" s="36" t="n">
        <v>-0.2761726078799249</v>
      </c>
      <c r="J102" s="31" t="n">
        <v>18962.5</v>
      </c>
      <c r="K102" s="31" t="n">
        <v>19331.5</v>
      </c>
      <c r="L102" s="31" t="n">
        <v>20508.75</v>
      </c>
      <c r="M102" s="36" t="n">
        <v>0.467790696880279</v>
      </c>
      <c r="N102" s="36" t="n">
        <v>0.401023643669284</v>
      </c>
      <c r="O102" s="36" t="n">
        <v>-0.001552795031055876</v>
      </c>
      <c r="P102" s="36" t="n">
        <v>-0.09009433962264146</v>
      </c>
      <c r="Q102" s="36" t="n">
        <v>-0.0301659125188537</v>
      </c>
      <c r="R102" s="36" t="n">
        <v>0.01727092946605135</v>
      </c>
      <c r="S102" s="36" t="n">
        <v>-0.002146755295760805</v>
      </c>
      <c r="T102" s="36" t="n">
        <v>-0.0594258548180655</v>
      </c>
      <c r="U102" s="31" t="n">
        <v>23350</v>
      </c>
      <c r="V102" s="31" t="n">
        <v>14600</v>
      </c>
      <c r="W102" s="36" t="n">
        <v>-0.1738758029978587</v>
      </c>
      <c r="X102" s="36" t="n">
        <v>0.3212328767123287</v>
      </c>
      <c r="Y102" s="31" t="n">
        <v>28966714</v>
      </c>
      <c r="Z102" s="31" t="n">
        <v>558767913060</v>
      </c>
      <c r="AA102" s="31" t="n">
        <v>5474907090</v>
      </c>
      <c r="AB102" s="31" t="n">
        <v>3266517964.5</v>
      </c>
      <c r="AC102" s="36" t="n">
        <v>0.009798177314831085</v>
      </c>
      <c r="AD102" s="29" t="inlineStr">
        <is>
          <t>yfinance_download</t>
        </is>
      </c>
      <c r="AE102" s="29" t="inlineStr">
        <is>
          <t>319660.KQ</t>
        </is>
      </c>
    </row>
    <row r="103" ht="24" customHeight="1">
      <c r="A103" s="24" t="inlineStr">
        <is>
          <t>2023-11-07</t>
        </is>
      </c>
      <c r="B103" s="30" t="n">
        <v>19200</v>
      </c>
      <c r="C103" s="30" t="n">
        <v>19800</v>
      </c>
      <c r="D103" s="30" t="n">
        <v>18940</v>
      </c>
      <c r="E103" s="30" t="n">
        <v>19770</v>
      </c>
      <c r="F103" s="30" t="n">
        <v>18932.40625</v>
      </c>
      <c r="G103" s="30" t="n">
        <v>262021</v>
      </c>
      <c r="H103" s="35" t="n">
        <v>0.02488335925349916</v>
      </c>
      <c r="I103" s="35" t="n">
        <v>-0.2581613508442777</v>
      </c>
      <c r="J103" s="30" t="n">
        <v>18986</v>
      </c>
      <c r="K103" s="30" t="n">
        <v>19311.83333333333</v>
      </c>
      <c r="L103" s="30" t="n">
        <v>20510.16666666667</v>
      </c>
      <c r="M103" s="35" t="n">
        <v>0.4757647896746663</v>
      </c>
      <c r="N103" s="35" t="n">
        <v>0.4039425012405251</v>
      </c>
      <c r="O103" s="35" t="n">
        <v>0.02435233160621753</v>
      </c>
      <c r="P103" s="35" t="n">
        <v>-0.05632458233890214</v>
      </c>
      <c r="Q103" s="35" t="n">
        <v>0.00867346938775504</v>
      </c>
      <c r="R103" s="35" t="n">
        <v>0.04129358474665534</v>
      </c>
      <c r="S103" s="35" t="n">
        <v>0.02372465931941559</v>
      </c>
      <c r="T103" s="35" t="n">
        <v>-0.0360877938583305</v>
      </c>
      <c r="U103" s="30" t="n">
        <v>23350</v>
      </c>
      <c r="V103" s="30" t="n">
        <v>14600</v>
      </c>
      <c r="W103" s="35" t="n">
        <v>-0.1533190578158459</v>
      </c>
      <c r="X103" s="35" t="n">
        <v>0.3541095890410959</v>
      </c>
      <c r="Y103" s="30" t="n">
        <v>28966714</v>
      </c>
      <c r="Z103" s="30" t="n">
        <v>572671935780</v>
      </c>
      <c r="AA103" s="30" t="n">
        <v>5180155170</v>
      </c>
      <c r="AB103" s="30" t="n">
        <v>3396347928</v>
      </c>
      <c r="AC103" s="35" t="n">
        <v>0.009045589361637636</v>
      </c>
      <c r="AD103" s="24" t="inlineStr">
        <is>
          <t>yfinance_download</t>
        </is>
      </c>
      <c r="AE103" s="24" t="inlineStr">
        <is>
          <t>319660.KQ</t>
        </is>
      </c>
    </row>
    <row r="104" ht="24" customHeight="1">
      <c r="A104" s="29" t="inlineStr">
        <is>
          <t>2023-11-08</t>
        </is>
      </c>
      <c r="B104" s="31" t="n">
        <v>19900</v>
      </c>
      <c r="C104" s="31" t="n">
        <v>19930</v>
      </c>
      <c r="D104" s="31" t="n">
        <v>19310</v>
      </c>
      <c r="E104" s="31" t="n">
        <v>19550</v>
      </c>
      <c r="F104" s="31" t="n">
        <v>18721.7265625</v>
      </c>
      <c r="G104" s="31" t="n">
        <v>115696</v>
      </c>
      <c r="H104" s="36" t="n">
        <v>-0.01112797167425394</v>
      </c>
      <c r="I104" s="36" t="n">
        <v>-0.2664165103189493</v>
      </c>
      <c r="J104" s="31" t="n">
        <v>18961</v>
      </c>
      <c r="K104" s="31" t="n">
        <v>19288.5</v>
      </c>
      <c r="L104" s="31" t="n">
        <v>20511.16666666667</v>
      </c>
      <c r="M104" s="36" t="n">
        <v>0.4565828799018874</v>
      </c>
      <c r="N104" s="36" t="n">
        <v>0.4045095794850657</v>
      </c>
      <c r="O104" s="36" t="n">
        <v>-0.02493765586034913</v>
      </c>
      <c r="P104" s="36" t="n">
        <v>-0.06682577565632464</v>
      </c>
      <c r="Q104" s="36" t="n">
        <v>0.006176016469377155</v>
      </c>
      <c r="R104" s="36" t="n">
        <v>0.03106376245978582</v>
      </c>
      <c r="S104" s="36" t="n">
        <v>0.01355730098245078</v>
      </c>
      <c r="T104" s="36" t="n">
        <v>-0.04686065314015952</v>
      </c>
      <c r="U104" s="31" t="n">
        <v>23350</v>
      </c>
      <c r="V104" s="31" t="n">
        <v>14600</v>
      </c>
      <c r="W104" s="36" t="n">
        <v>-0.1627408993576017</v>
      </c>
      <c r="X104" s="36" t="n">
        <v>0.3390410958904109</v>
      </c>
      <c r="Y104" s="31" t="n">
        <v>28966714</v>
      </c>
      <c r="Z104" s="31" t="n">
        <v>566299258700</v>
      </c>
      <c r="AA104" s="31" t="n">
        <v>2261856800</v>
      </c>
      <c r="AB104" s="31" t="n">
        <v>3296095735.5</v>
      </c>
      <c r="AC104" s="36" t="n">
        <v>0.003994101643700421</v>
      </c>
      <c r="AD104" s="29" t="inlineStr">
        <is>
          <t>yfinance_download</t>
        </is>
      </c>
      <c r="AE104" s="29" t="inlineStr">
        <is>
          <t>319660.KQ</t>
        </is>
      </c>
    </row>
    <row r="105" ht="24" customHeight="1">
      <c r="A105" s="24" t="inlineStr">
        <is>
          <t>2023-11-09</t>
        </is>
      </c>
      <c r="B105" s="30" t="n">
        <v>19450</v>
      </c>
      <c r="C105" s="30" t="n">
        <v>19830</v>
      </c>
      <c r="D105" s="30" t="n">
        <v>19310</v>
      </c>
      <c r="E105" s="30" t="n">
        <v>19390</v>
      </c>
      <c r="F105" s="30" t="n">
        <v>18568.50390625</v>
      </c>
      <c r="G105" s="30" t="n">
        <v>91413</v>
      </c>
      <c r="H105" s="35" t="n">
        <v>-0.008184143222506379</v>
      </c>
      <c r="I105" s="35" t="n">
        <v>-0.2724202626641651</v>
      </c>
      <c r="J105" s="30" t="n">
        <v>18939.5</v>
      </c>
      <c r="K105" s="30" t="n">
        <v>19263.33333333333</v>
      </c>
      <c r="L105" s="30" t="n">
        <v>20509.83333333333</v>
      </c>
      <c r="M105" s="35" t="n">
        <v>0.4557189492728156</v>
      </c>
      <c r="N105" s="35" t="n">
        <v>0.4047790334111365</v>
      </c>
      <c r="O105" s="35" t="n">
        <v>-0.02169525731584254</v>
      </c>
      <c r="P105" s="35" t="n">
        <v>-0.07224880382775123</v>
      </c>
      <c r="Q105" s="35" t="n">
        <v>-0.008184143222506379</v>
      </c>
      <c r="R105" s="35" t="n">
        <v>0.02378626679690599</v>
      </c>
      <c r="S105" s="35" t="n">
        <v>0.006575532098979098</v>
      </c>
      <c r="T105" s="35" t="n">
        <v>-0.05459982609967573</v>
      </c>
      <c r="U105" s="30" t="n">
        <v>23350</v>
      </c>
      <c r="V105" s="30" t="n">
        <v>14600</v>
      </c>
      <c r="W105" s="35" t="n">
        <v>-0.1695931477516059</v>
      </c>
      <c r="X105" s="35" t="n">
        <v>0.3280821917808219</v>
      </c>
      <c r="Y105" s="30" t="n">
        <v>28966714</v>
      </c>
      <c r="Z105" s="30" t="n">
        <v>561664584460</v>
      </c>
      <c r="AA105" s="30" t="n">
        <v>1772498070</v>
      </c>
      <c r="AB105" s="30" t="n">
        <v>3201716633</v>
      </c>
      <c r="AC105" s="35" t="n">
        <v>0.003155794613085903</v>
      </c>
      <c r="AD105" s="24" t="inlineStr">
        <is>
          <t>yfinance_download</t>
        </is>
      </c>
      <c r="AE105" s="24" t="inlineStr">
        <is>
          <t>319660.KQ</t>
        </is>
      </c>
    </row>
    <row r="106" ht="24" customHeight="1">
      <c r="A106" s="29" t="inlineStr">
        <is>
          <t>2023-11-10</t>
        </is>
      </c>
      <c r="B106" s="31" t="n">
        <v>19150</v>
      </c>
      <c r="C106" s="31" t="n">
        <v>19440</v>
      </c>
      <c r="D106" s="31" t="n">
        <v>19070</v>
      </c>
      <c r="E106" s="31" t="n">
        <v>19360</v>
      </c>
      <c r="F106" s="31" t="n">
        <v>18539.77734375</v>
      </c>
      <c r="G106" s="31" t="n">
        <v>123843</v>
      </c>
      <c r="H106" s="36" t="n">
        <v>-0.001547189272821048</v>
      </c>
      <c r="I106" s="36" t="n">
        <v>-0.273545966228893</v>
      </c>
      <c r="J106" s="31" t="n">
        <v>18912.5</v>
      </c>
      <c r="K106" s="31" t="n">
        <v>19257.33333333333</v>
      </c>
      <c r="L106" s="31" t="n">
        <v>20511.66666666667</v>
      </c>
      <c r="M106" s="36" t="n">
        <v>0.4553790680711846</v>
      </c>
      <c r="N106" s="36" t="n">
        <v>0.3878956653958721</v>
      </c>
      <c r="O106" s="36" t="n">
        <v>-0.02713567839195985</v>
      </c>
      <c r="P106" s="36" t="n">
        <v>-0.01825557809330625</v>
      </c>
      <c r="Q106" s="36" t="n">
        <v>0.01149425287356332</v>
      </c>
      <c r="R106" s="36" t="n">
        <v>0.02366159947124924</v>
      </c>
      <c r="S106" s="36" t="n">
        <v>0.005331302361005319</v>
      </c>
      <c r="T106" s="36" t="n">
        <v>-0.05614690826358992</v>
      </c>
      <c r="U106" s="31" t="n">
        <v>23350</v>
      </c>
      <c r="V106" s="31" t="n">
        <v>14600</v>
      </c>
      <c r="W106" s="36" t="n">
        <v>-0.1708779443254818</v>
      </c>
      <c r="X106" s="36" t="n">
        <v>0.3260273972602741</v>
      </c>
      <c r="Y106" s="31" t="n">
        <v>28966714</v>
      </c>
      <c r="Z106" s="31" t="n">
        <v>560795583040</v>
      </c>
      <c r="AA106" s="31" t="n">
        <v>2397600480</v>
      </c>
      <c r="AB106" s="31" t="n">
        <v>3124746852</v>
      </c>
      <c r="AC106" s="36" t="n">
        <v>0.004275355499419092</v>
      </c>
      <c r="AD106" s="29" t="inlineStr">
        <is>
          <t>yfinance_download</t>
        </is>
      </c>
      <c r="AE106" s="29" t="inlineStr">
        <is>
          <t>319660.KQ</t>
        </is>
      </c>
    </row>
    <row r="107" ht="24" customHeight="1">
      <c r="A107" s="24" t="inlineStr">
        <is>
          <t>2023-11-13</t>
        </is>
      </c>
      <c r="B107" s="30" t="n">
        <v>19500</v>
      </c>
      <c r="C107" s="30" t="n">
        <v>19660</v>
      </c>
      <c r="D107" s="30" t="n">
        <v>19020</v>
      </c>
      <c r="E107" s="30" t="n">
        <v>19380</v>
      </c>
      <c r="F107" s="30" t="n">
        <v>18558.9296875</v>
      </c>
      <c r="G107" s="30" t="n">
        <v>164472</v>
      </c>
      <c r="H107" s="35" t="n">
        <v>0.001033057851239638</v>
      </c>
      <c r="I107" s="35" t="n">
        <v>-0.2727954971857411</v>
      </c>
      <c r="J107" s="30" t="n">
        <v>18909</v>
      </c>
      <c r="K107" s="30" t="n">
        <v>19249</v>
      </c>
      <c r="L107" s="30" t="n">
        <v>20514</v>
      </c>
      <c r="M107" s="35" t="n">
        <v>0.4481625396081432</v>
      </c>
      <c r="N107" s="35" t="n">
        <v>0.3875331435349462</v>
      </c>
      <c r="O107" s="35" t="n">
        <v>-0.003598971722365008</v>
      </c>
      <c r="P107" s="35" t="n">
        <v>-0.02515090543259557</v>
      </c>
      <c r="Q107" s="35" t="n">
        <v>0.01465968586387434</v>
      </c>
      <c r="R107" s="35" t="n">
        <v>0.02490877359987298</v>
      </c>
      <c r="S107" s="35" t="n">
        <v>0.00680554834017344</v>
      </c>
      <c r="T107" s="35" t="n">
        <v>-0.05527932143901726</v>
      </c>
      <c r="U107" s="30" t="n">
        <v>23350</v>
      </c>
      <c r="V107" s="30" t="n">
        <v>14600</v>
      </c>
      <c r="W107" s="35" t="n">
        <v>-0.1700214132762312</v>
      </c>
      <c r="X107" s="35" t="n">
        <v>0.3273972602739725</v>
      </c>
      <c r="Y107" s="30" t="n">
        <v>28966714</v>
      </c>
      <c r="Z107" s="30" t="n">
        <v>561374917320</v>
      </c>
      <c r="AA107" s="30" t="n">
        <v>3187467360</v>
      </c>
      <c r="AB107" s="30" t="n">
        <v>3085023212.5</v>
      </c>
      <c r="AC107" s="35" t="n">
        <v>0.005677965405396001</v>
      </c>
      <c r="AD107" s="24" t="inlineStr">
        <is>
          <t>yfinance_download</t>
        </is>
      </c>
      <c r="AE107" s="24" t="inlineStr">
        <is>
          <t>319660.KQ</t>
        </is>
      </c>
    </row>
    <row r="108" ht="24" customHeight="1">
      <c r="A108" s="29" t="inlineStr">
        <is>
          <t>2023-11-14</t>
        </is>
      </c>
      <c r="B108" s="31" t="n">
        <v>19220</v>
      </c>
      <c r="C108" s="31" t="n">
        <v>19410</v>
      </c>
      <c r="D108" s="31" t="n">
        <v>19100</v>
      </c>
      <c r="E108" s="31" t="n">
        <v>19300</v>
      </c>
      <c r="F108" s="31" t="n">
        <v>18482.318359375</v>
      </c>
      <c r="G108" s="31" t="n">
        <v>95557</v>
      </c>
      <c r="H108" s="36" t="n">
        <v>-0.004127966976264164</v>
      </c>
      <c r="I108" s="36" t="n">
        <v>-0.275797373358349</v>
      </c>
      <c r="J108" s="31" t="n">
        <v>18891</v>
      </c>
      <c r="K108" s="31" t="n">
        <v>19247.16666666667</v>
      </c>
      <c r="L108" s="31" t="n">
        <v>20513.33333333333</v>
      </c>
      <c r="M108" s="36" t="n">
        <v>0.4466090189255972</v>
      </c>
      <c r="N108" s="36" t="n">
        <v>0.3845289447890328</v>
      </c>
      <c r="O108" s="36" t="n">
        <v>-0.01831129196337744</v>
      </c>
      <c r="P108" s="36" t="n">
        <v>-0.005667181865018023</v>
      </c>
      <c r="Q108" s="36" t="n">
        <v>-0.004127966976264164</v>
      </c>
      <c r="R108" s="36" t="n">
        <v>0.02165052141231283</v>
      </c>
      <c r="S108" s="36" t="n">
        <v>0.002744992769498467</v>
      </c>
      <c r="T108" s="36" t="n">
        <v>-0.05914852128696779</v>
      </c>
      <c r="U108" s="31" t="n">
        <v>23350</v>
      </c>
      <c r="V108" s="31" t="n">
        <v>15050</v>
      </c>
      <c r="W108" s="36" t="n">
        <v>-0.1734475374732334</v>
      </c>
      <c r="X108" s="36" t="n">
        <v>0.2823920265780731</v>
      </c>
      <c r="Y108" s="31" t="n">
        <v>28966714</v>
      </c>
      <c r="Z108" s="31" t="n">
        <v>559057580200</v>
      </c>
      <c r="AA108" s="31" t="n">
        <v>1844250100</v>
      </c>
      <c r="AB108" s="31" t="n">
        <v>3040657697.5</v>
      </c>
      <c r="AC108" s="36" t="n">
        <v>0.003298855368959006</v>
      </c>
      <c r="AD108" s="29" t="inlineStr">
        <is>
          <t>yfinance_download</t>
        </is>
      </c>
      <c r="AE108" s="29" t="inlineStr">
        <is>
          <t>319660.KQ</t>
        </is>
      </c>
    </row>
    <row r="109" ht="24" customHeight="1">
      <c r="A109" s="24" t="inlineStr">
        <is>
          <t>2023-11-15</t>
        </is>
      </c>
      <c r="B109" s="30" t="n">
        <v>20250</v>
      </c>
      <c r="C109" s="30" t="n">
        <v>20650</v>
      </c>
      <c r="D109" s="30" t="n">
        <v>20000</v>
      </c>
      <c r="E109" s="30" t="n">
        <v>20200</v>
      </c>
      <c r="F109" s="30" t="n">
        <v>19344.189453125</v>
      </c>
      <c r="G109" s="30" t="n">
        <v>402851</v>
      </c>
      <c r="H109" s="35" t="n">
        <v>0.04663212435233155</v>
      </c>
      <c r="I109" s="35" t="n">
        <v>-0.2420262664165104</v>
      </c>
      <c r="J109" s="30" t="n">
        <v>18938.5</v>
      </c>
      <c r="K109" s="30" t="n">
        <v>19256.5</v>
      </c>
      <c r="L109" s="30" t="n">
        <v>20515.75</v>
      </c>
      <c r="M109" s="35" t="n">
        <v>0.4695706379028279</v>
      </c>
      <c r="N109" s="35" t="n">
        <v>0.3954839636629687</v>
      </c>
      <c r="O109" s="35" t="n">
        <v>0.04935064935064926</v>
      </c>
      <c r="P109" s="35" t="n">
        <v>0.02851323828920571</v>
      </c>
      <c r="Q109" s="35" t="n">
        <v>0.01456554495228524</v>
      </c>
      <c r="R109" s="35" t="n">
        <v>0.06661034400823729</v>
      </c>
      <c r="S109" s="35" t="n">
        <v>0.0489964427595877</v>
      </c>
      <c r="T109" s="35" t="n">
        <v>-0.01539061452786272</v>
      </c>
      <c r="U109" s="30" t="n">
        <v>23350</v>
      </c>
      <c r="V109" s="30" t="n">
        <v>15050</v>
      </c>
      <c r="W109" s="35" t="n">
        <v>-0.1349036402569593</v>
      </c>
      <c r="X109" s="35" t="n">
        <v>0.3421926910299002</v>
      </c>
      <c r="Y109" s="30" t="n">
        <v>28966714</v>
      </c>
      <c r="Z109" s="30" t="n">
        <v>585127622800</v>
      </c>
      <c r="AA109" s="30" t="n">
        <v>8137590200</v>
      </c>
      <c r="AB109" s="30" t="n">
        <v>3291285920</v>
      </c>
      <c r="AC109" s="35" t="n">
        <v>0.01390737658403366</v>
      </c>
      <c r="AD109" s="24" t="inlineStr">
        <is>
          <t>yfinance_download</t>
        </is>
      </c>
      <c r="AE109" s="24" t="inlineStr">
        <is>
          <t>319660.KQ</t>
        </is>
      </c>
    </row>
    <row r="110" ht="24" customHeight="1">
      <c r="A110" s="29" t="inlineStr">
        <is>
          <t>2023-11-16</t>
        </is>
      </c>
      <c r="B110" s="31" t="n">
        <v>20400</v>
      </c>
      <c r="C110" s="31" t="n">
        <v>20750</v>
      </c>
      <c r="D110" s="31" t="n">
        <v>20150</v>
      </c>
      <c r="E110" s="31" t="n">
        <v>20750</v>
      </c>
      <c r="F110" s="31" t="n">
        <v>19870.888671875</v>
      </c>
      <c r="G110" s="31" t="n">
        <v>236457</v>
      </c>
      <c r="H110" s="36" t="n">
        <v>0.02722772277227725</v>
      </c>
      <c r="I110" s="36" t="n">
        <v>-0.2213883677298312</v>
      </c>
      <c r="J110" s="31" t="n">
        <v>19050</v>
      </c>
      <c r="K110" s="31" t="n">
        <v>19274.83333333333</v>
      </c>
      <c r="L110" s="31" t="n">
        <v>20507.41666666667</v>
      </c>
      <c r="M110" s="36" t="n">
        <v>0.4511756606797616</v>
      </c>
      <c r="N110" s="36" t="n">
        <v>0.3991816157896538</v>
      </c>
      <c r="O110" s="36" t="n">
        <v>0.1204103671706263</v>
      </c>
      <c r="P110" s="36" t="n">
        <v>0.05597964376590325</v>
      </c>
      <c r="Q110" s="36" t="n">
        <v>-0.04597701149425293</v>
      </c>
      <c r="R110" s="36" t="n">
        <v>0.08923884514435687</v>
      </c>
      <c r="S110" s="36" t="n">
        <v>0.07653330335757347</v>
      </c>
      <c r="T110" s="36" t="n">
        <v>0.01182905371633836</v>
      </c>
      <c r="U110" s="31" t="n">
        <v>23350</v>
      </c>
      <c r="V110" s="31" t="n">
        <v>15050</v>
      </c>
      <c r="W110" s="36" t="n">
        <v>-0.1113490364025695</v>
      </c>
      <c r="X110" s="36" t="n">
        <v>0.3787375415282392</v>
      </c>
      <c r="Y110" s="31" t="n">
        <v>28966714</v>
      </c>
      <c r="Z110" s="31" t="n">
        <v>601059315500</v>
      </c>
      <c r="AA110" s="31" t="n">
        <v>4906482750</v>
      </c>
      <c r="AB110" s="31" t="n">
        <v>3362461867.5</v>
      </c>
      <c r="AC110" s="36" t="n">
        <v>0.008163059158177209</v>
      </c>
      <c r="AD110" s="29" t="inlineStr">
        <is>
          <t>yfinance_download</t>
        </is>
      </c>
      <c r="AE110" s="29" t="inlineStr">
        <is>
          <t>319660.KQ</t>
        </is>
      </c>
    </row>
    <row r="111" ht="24" customHeight="1">
      <c r="A111" s="24" t="inlineStr">
        <is>
          <t>2023-11-17</t>
        </is>
      </c>
      <c r="B111" s="30" t="n">
        <v>20750</v>
      </c>
      <c r="C111" s="30" t="n">
        <v>20900</v>
      </c>
      <c r="D111" s="30" t="n">
        <v>20350</v>
      </c>
      <c r="E111" s="30" t="n">
        <v>20800</v>
      </c>
      <c r="F111" s="30" t="n">
        <v>19918.767578125</v>
      </c>
      <c r="G111" s="30" t="n">
        <v>220718</v>
      </c>
      <c r="H111" s="35" t="n">
        <v>0.002409638554216942</v>
      </c>
      <c r="I111" s="35" t="n">
        <v>-0.2195121951219512</v>
      </c>
      <c r="J111" s="30" t="n">
        <v>19153</v>
      </c>
      <c r="K111" s="30" t="n">
        <v>19293.66666666667</v>
      </c>
      <c r="L111" s="30" t="n">
        <v>20499.5</v>
      </c>
      <c r="M111" s="35" t="n">
        <v>0.4508139143181943</v>
      </c>
      <c r="N111" s="35" t="n">
        <v>0.3991888413199859</v>
      </c>
      <c r="O111" s="35" t="n">
        <v>0.1099252934898614</v>
      </c>
      <c r="P111" s="35" t="n">
        <v>0.0574478901881037</v>
      </c>
      <c r="Q111" s="35" t="n">
        <v>-0.04367816091954024</v>
      </c>
      <c r="R111" s="35" t="n">
        <v>0.08599175063958642</v>
      </c>
      <c r="S111" s="35" t="n">
        <v>0.07807397937146887</v>
      </c>
      <c r="T111" s="35" t="n">
        <v>0.01465889411936883</v>
      </c>
      <c r="U111" s="30" t="n">
        <v>23350</v>
      </c>
      <c r="V111" s="30" t="n">
        <v>15050</v>
      </c>
      <c r="W111" s="35" t="n">
        <v>-0.1092077087794433</v>
      </c>
      <c r="X111" s="35" t="n">
        <v>0.3820598006644518</v>
      </c>
      <c r="Y111" s="30" t="n">
        <v>28966714</v>
      </c>
      <c r="Z111" s="30" t="n">
        <v>602507651200</v>
      </c>
      <c r="AA111" s="30" t="n">
        <v>4590934400</v>
      </c>
      <c r="AB111" s="30" t="n">
        <v>3439612096.5</v>
      </c>
      <c r="AC111" s="35" t="n">
        <v>0.007619711369401445</v>
      </c>
      <c r="AD111" s="24" t="inlineStr">
        <is>
          <t>yfinance_download</t>
        </is>
      </c>
      <c r="AE111" s="24" t="inlineStr">
        <is>
          <t>319660.KQ</t>
        </is>
      </c>
    </row>
    <row r="112" ht="24" customHeight="1">
      <c r="A112" s="29" t="inlineStr">
        <is>
          <t>2023-11-20</t>
        </is>
      </c>
      <c r="B112" s="31" t="n">
        <v>21050</v>
      </c>
      <c r="C112" s="31" t="n">
        <v>21600</v>
      </c>
      <c r="D112" s="31" t="n">
        <v>20700</v>
      </c>
      <c r="E112" s="31" t="n">
        <v>20700</v>
      </c>
      <c r="F112" s="31" t="n">
        <v>19823.005859375</v>
      </c>
      <c r="G112" s="31" t="n">
        <v>304042</v>
      </c>
      <c r="H112" s="36" t="n">
        <v>-0.004807692307692291</v>
      </c>
      <c r="I112" s="36" t="n">
        <v>-0.223264540337711</v>
      </c>
      <c r="J112" s="31" t="n">
        <v>19260.5</v>
      </c>
      <c r="K112" s="31" t="n">
        <v>19317.16666666667</v>
      </c>
      <c r="L112" s="31" t="n">
        <v>20492</v>
      </c>
      <c r="M112" s="36" t="n">
        <v>0.4487364435968978</v>
      </c>
      <c r="N112" s="36" t="n">
        <v>0.3970990689822479</v>
      </c>
      <c r="O112" s="36" t="n">
        <v>0.1159029649595686</v>
      </c>
      <c r="P112" s="36" t="n">
        <v>0.07309486780715391</v>
      </c>
      <c r="Q112" s="36" t="n">
        <v>-0.04166666666666663</v>
      </c>
      <c r="R112" s="36" t="n">
        <v>0.07473845434957549</v>
      </c>
      <c r="S112" s="36" t="n">
        <v>0.0715857225438512</v>
      </c>
      <c r="T112" s="36" t="n">
        <v>0.01015030255709548</v>
      </c>
      <c r="U112" s="31" t="n">
        <v>23350</v>
      </c>
      <c r="V112" s="31" t="n">
        <v>15050</v>
      </c>
      <c r="W112" s="36" t="n">
        <v>-0.1134903640256959</v>
      </c>
      <c r="X112" s="36" t="n">
        <v>0.3754152823920265</v>
      </c>
      <c r="Y112" s="31" t="n">
        <v>28966714</v>
      </c>
      <c r="Z112" s="31" t="n">
        <v>599610979800</v>
      </c>
      <c r="AA112" s="31" t="n">
        <v>6293669400</v>
      </c>
      <c r="AB112" s="31" t="n">
        <v>3631080901.5</v>
      </c>
      <c r="AC112" s="36" t="n">
        <v>0.01049625442499277</v>
      </c>
      <c r="AD112" s="29" t="inlineStr">
        <is>
          <t>yfinance_download</t>
        </is>
      </c>
      <c r="AE112" s="29" t="inlineStr">
        <is>
          <t>319660.KQ</t>
        </is>
      </c>
    </row>
    <row r="113" ht="24" customHeight="1">
      <c r="A113" s="24" t="inlineStr">
        <is>
          <t>2023-11-21</t>
        </is>
      </c>
      <c r="B113" s="30" t="n">
        <v>20950</v>
      </c>
      <c r="C113" s="30" t="n">
        <v>21000</v>
      </c>
      <c r="D113" s="30" t="n">
        <v>20350</v>
      </c>
      <c r="E113" s="30" t="n">
        <v>20850</v>
      </c>
      <c r="F113" s="30" t="n">
        <v>19966.650390625</v>
      </c>
      <c r="G113" s="30" t="n">
        <v>207519</v>
      </c>
      <c r="H113" s="35" t="n">
        <v>0.007246376811594235</v>
      </c>
      <c r="I113" s="35" t="n">
        <v>-0.2176360225140713</v>
      </c>
      <c r="J113" s="30" t="n">
        <v>19339</v>
      </c>
      <c r="K113" s="30" t="n">
        <v>19359.33333333333</v>
      </c>
      <c r="L113" s="30" t="n">
        <v>20486.16666666667</v>
      </c>
      <c r="M113" s="35" t="n">
        <v>0.4310925081592928</v>
      </c>
      <c r="N113" s="35" t="n">
        <v>0.3822929607586567</v>
      </c>
      <c r="O113" s="35" t="n">
        <v>0.08143153526970948</v>
      </c>
      <c r="P113" s="35" t="n">
        <v>0.1381004366812226</v>
      </c>
      <c r="Q113" s="35" t="n">
        <v>-0.0324825986078886</v>
      </c>
      <c r="R113" s="35" t="n">
        <v>0.07813227157557279</v>
      </c>
      <c r="S113" s="35" t="n">
        <v>0.07699989669065754</v>
      </c>
      <c r="T113" s="35" t="n">
        <v>0.01775995183741874</v>
      </c>
      <c r="U113" s="30" t="n">
        <v>23350</v>
      </c>
      <c r="V113" s="30" t="n">
        <v>15050</v>
      </c>
      <c r="W113" s="35" t="n">
        <v>-0.1070663811563169</v>
      </c>
      <c r="X113" s="35" t="n">
        <v>0.3853820598006645</v>
      </c>
      <c r="Y113" s="30" t="n">
        <v>28966714</v>
      </c>
      <c r="Z113" s="30" t="n">
        <v>603955986900</v>
      </c>
      <c r="AA113" s="30" t="n">
        <v>4326771150</v>
      </c>
      <c r="AB113" s="30" t="n">
        <v>3709551071</v>
      </c>
      <c r="AC113" s="35" t="n">
        <v>0.007164050433887669</v>
      </c>
      <c r="AD113" s="24" t="inlineStr">
        <is>
          <t>yfinance_download</t>
        </is>
      </c>
      <c r="AE113" s="24" t="inlineStr">
        <is>
          <t>319660.KQ</t>
        </is>
      </c>
    </row>
    <row r="114" ht="24" customHeight="1">
      <c r="A114" s="29" t="inlineStr">
        <is>
          <t>2023-11-22</t>
        </is>
      </c>
      <c r="B114" s="31" t="n">
        <v>20600</v>
      </c>
      <c r="C114" s="31" t="n">
        <v>20950</v>
      </c>
      <c r="D114" s="31" t="n">
        <v>20450</v>
      </c>
      <c r="E114" s="31" t="n">
        <v>20850</v>
      </c>
      <c r="F114" s="31" t="n">
        <v>19966.650390625</v>
      </c>
      <c r="G114" s="31" t="n">
        <v>117743</v>
      </c>
      <c r="H114" s="36" t="n">
        <v>0</v>
      </c>
      <c r="I114" s="36" t="n">
        <v>-0.2176360225140713</v>
      </c>
      <c r="J114" s="31" t="n">
        <v>19415.5</v>
      </c>
      <c r="K114" s="31" t="n">
        <v>19403.5</v>
      </c>
      <c r="L114" s="31" t="n">
        <v>20477.83333333333</v>
      </c>
      <c r="M114" s="36" t="n">
        <v>0.4312954817198666</v>
      </c>
      <c r="N114" s="36" t="n">
        <v>0.3818704240382817</v>
      </c>
      <c r="O114" s="36" t="n">
        <v>0.079192546583851</v>
      </c>
      <c r="P114" s="36" t="n">
        <v>0.1456043956043955</v>
      </c>
      <c r="Q114" s="36" t="n">
        <v>-0.04576659038901598</v>
      </c>
      <c r="R114" s="36" t="n">
        <v>0.07388426772424084</v>
      </c>
      <c r="S114" s="36" t="n">
        <v>0.07454840621537362</v>
      </c>
      <c r="T114" s="36" t="n">
        <v>0.0181741232389494</v>
      </c>
      <c r="U114" s="31" t="n">
        <v>23350</v>
      </c>
      <c r="V114" s="31" t="n">
        <v>15050</v>
      </c>
      <c r="W114" s="36" t="n">
        <v>-0.1070663811563169</v>
      </c>
      <c r="X114" s="36" t="n">
        <v>0.3853820598006645</v>
      </c>
      <c r="Y114" s="31" t="n">
        <v>28966714</v>
      </c>
      <c r="Z114" s="31" t="n">
        <v>603955986900</v>
      </c>
      <c r="AA114" s="31" t="n">
        <v>2454941550</v>
      </c>
      <c r="AB114" s="31" t="n">
        <v>3696115332.5</v>
      </c>
      <c r="AC114" s="36" t="n">
        <v>0.004064768962057623</v>
      </c>
      <c r="AD114" s="29" t="inlineStr">
        <is>
          <t>yfinance_download</t>
        </is>
      </c>
      <c r="AE114" s="29" t="inlineStr">
        <is>
          <t>319660.KQ</t>
        </is>
      </c>
    </row>
    <row r="115" ht="24" customHeight="1">
      <c r="A115" s="24" t="inlineStr">
        <is>
          <t>2023-11-23</t>
        </is>
      </c>
      <c r="B115" s="30" t="n">
        <v>20800</v>
      </c>
      <c r="C115" s="30" t="n">
        <v>20800</v>
      </c>
      <c r="D115" s="30" t="n">
        <v>19690</v>
      </c>
      <c r="E115" s="30" t="n">
        <v>19840</v>
      </c>
      <c r="F115" s="30" t="n">
        <v>18999.439453125</v>
      </c>
      <c r="G115" s="30" t="n">
        <v>293598</v>
      </c>
      <c r="H115" s="35" t="n">
        <v>-0.04844124700239805</v>
      </c>
      <c r="I115" s="35" t="n">
        <v>-0.2555347091932457</v>
      </c>
      <c r="J115" s="30" t="n">
        <v>19466.5</v>
      </c>
      <c r="K115" s="30" t="n">
        <v>19423.66666666667</v>
      </c>
      <c r="L115" s="30" t="n">
        <v>20462.75</v>
      </c>
      <c r="M115" s="35" t="n">
        <v>0.4587057586690014</v>
      </c>
      <c r="N115" s="35" t="n">
        <v>0.3932728443534677</v>
      </c>
      <c r="O115" s="35" t="n">
        <v>0.05419766206163645</v>
      </c>
      <c r="P115" s="35" t="n">
        <v>0.06494900697799255</v>
      </c>
      <c r="Q115" s="35" t="n">
        <v>-0.08360277136258665</v>
      </c>
      <c r="R115" s="35" t="n">
        <v>0.01918680810623385</v>
      </c>
      <c r="S115" s="35" t="n">
        <v>0.02143433268692818</v>
      </c>
      <c r="T115" s="35" t="n">
        <v>-0.03043334840136347</v>
      </c>
      <c r="U115" s="30" t="n">
        <v>23350</v>
      </c>
      <c r="V115" s="30" t="n">
        <v>15050</v>
      </c>
      <c r="W115" s="35" t="n">
        <v>-0.150321199143469</v>
      </c>
      <c r="X115" s="35" t="n">
        <v>0.3182724252491695</v>
      </c>
      <c r="Y115" s="30" t="n">
        <v>28966714</v>
      </c>
      <c r="Z115" s="30" t="n">
        <v>574699605760</v>
      </c>
      <c r="AA115" s="30" t="n">
        <v>5824984320</v>
      </c>
      <c r="AB115" s="30" t="n">
        <v>3804176314.5</v>
      </c>
      <c r="AC115" s="35" t="n">
        <v>0.01013570265512339</v>
      </c>
      <c r="AD115" s="24" t="inlineStr">
        <is>
          <t>yfinance_download</t>
        </is>
      </c>
      <c r="AE115" s="24" t="inlineStr">
        <is>
          <t>319660.KQ</t>
        </is>
      </c>
    </row>
    <row r="116" ht="24" customHeight="1">
      <c r="A116" s="29" t="inlineStr">
        <is>
          <t>2023-11-24</t>
        </is>
      </c>
      <c r="B116" s="31" t="n">
        <v>19840</v>
      </c>
      <c r="C116" s="31" t="n">
        <v>19910</v>
      </c>
      <c r="D116" s="31" t="n">
        <v>19500</v>
      </c>
      <c r="E116" s="31" t="n">
        <v>19650</v>
      </c>
      <c r="F116" s="31" t="n">
        <v>18817.490234375</v>
      </c>
      <c r="G116" s="31" t="n">
        <v>160915</v>
      </c>
      <c r="H116" s="36" t="n">
        <v>-0.009576612903225756</v>
      </c>
      <c r="I116" s="36" t="n">
        <v>-0.2626641651031895</v>
      </c>
      <c r="J116" s="31" t="n">
        <v>19528</v>
      </c>
      <c r="K116" s="31" t="n">
        <v>19449.33333333333</v>
      </c>
      <c r="L116" s="31" t="n">
        <v>20449.41666666667</v>
      </c>
      <c r="M116" s="36" t="n">
        <v>0.4523322703047146</v>
      </c>
      <c r="N116" s="36" t="n">
        <v>0.3892203163821583</v>
      </c>
      <c r="O116" s="36" t="n">
        <v>0.0667752442996743</v>
      </c>
      <c r="P116" s="36" t="n">
        <v>0.08503589177250137</v>
      </c>
      <c r="Q116" s="36" t="n">
        <v>-0.07529411764705884</v>
      </c>
      <c r="R116" s="36" t="n">
        <v>0.006247439573945135</v>
      </c>
      <c r="S116" s="36" t="n">
        <v>0.01031740590937136</v>
      </c>
      <c r="T116" s="36" t="n">
        <v>-0.03909239464858416</v>
      </c>
      <c r="U116" s="31" t="n">
        <v>23350</v>
      </c>
      <c r="V116" s="31" t="n">
        <v>15050</v>
      </c>
      <c r="W116" s="36" t="n">
        <v>-0.158458244111349</v>
      </c>
      <c r="X116" s="36" t="n">
        <v>0.3056478405315615</v>
      </c>
      <c r="Y116" s="31" t="n">
        <v>28966714</v>
      </c>
      <c r="Z116" s="31" t="n">
        <v>569195930100</v>
      </c>
      <c r="AA116" s="31" t="n">
        <v>3161979750</v>
      </c>
      <c r="AB116" s="31" t="n">
        <v>3837579270</v>
      </c>
      <c r="AC116" s="36" t="n">
        <v>0.005555169288446042</v>
      </c>
      <c r="AD116" s="29" t="inlineStr">
        <is>
          <t>yfinance_download</t>
        </is>
      </c>
      <c r="AE116" s="29" t="inlineStr">
        <is>
          <t>319660.KQ</t>
        </is>
      </c>
    </row>
    <row r="117" ht="24" customHeight="1">
      <c r="A117" s="24" t="inlineStr">
        <is>
          <t>2023-11-27</t>
        </is>
      </c>
      <c r="B117" s="30" t="n">
        <v>19640</v>
      </c>
      <c r="C117" s="30" t="n">
        <v>20000</v>
      </c>
      <c r="D117" s="30" t="n">
        <v>19540</v>
      </c>
      <c r="E117" s="30" t="n">
        <v>19960</v>
      </c>
      <c r="F117" s="30" t="n">
        <v>19114.35546875</v>
      </c>
      <c r="G117" s="30" t="n">
        <v>131436</v>
      </c>
      <c r="H117" s="35" t="n">
        <v>0.01577608142493636</v>
      </c>
      <c r="I117" s="35" t="n">
        <v>-0.251031894934334</v>
      </c>
      <c r="J117" s="30" t="n">
        <v>19615.5</v>
      </c>
      <c r="K117" s="30" t="n">
        <v>19482.83333333333</v>
      </c>
      <c r="L117" s="30" t="n">
        <v>20437</v>
      </c>
      <c r="M117" s="35" t="n">
        <v>0.4506448568495181</v>
      </c>
      <c r="N117" s="35" t="n">
        <v>0.3896551680480512</v>
      </c>
      <c r="O117" s="35" t="n">
        <v>0.09610104338275671</v>
      </c>
      <c r="P117" s="35" t="n">
        <v>0.1119777158774373</v>
      </c>
      <c r="Q117" s="35" t="n">
        <v>-0.06946386946386951</v>
      </c>
      <c r="R117" s="35" t="n">
        <v>0.01756264178838163</v>
      </c>
      <c r="S117" s="35" t="n">
        <v>0.02449164649221114</v>
      </c>
      <c r="T117" s="35" t="n">
        <v>-0.02334002055096152</v>
      </c>
      <c r="U117" s="30" t="n">
        <v>23350</v>
      </c>
      <c r="V117" s="30" t="n">
        <v>15050</v>
      </c>
      <c r="W117" s="35" t="n">
        <v>-0.1451820128479657</v>
      </c>
      <c r="X117" s="35" t="n">
        <v>0.3262458471760796</v>
      </c>
      <c r="Y117" s="30" t="n">
        <v>28966714</v>
      </c>
      <c r="Z117" s="30" t="n">
        <v>578175611440</v>
      </c>
      <c r="AA117" s="30" t="n">
        <v>2623462560</v>
      </c>
      <c r="AB117" s="30" t="n">
        <v>3886331206.5</v>
      </c>
      <c r="AC117" s="35" t="n">
        <v>0.00453748395485936</v>
      </c>
      <c r="AD117" s="24" t="inlineStr">
        <is>
          <t>yfinance_download</t>
        </is>
      </c>
      <c r="AE117" s="24" t="inlineStr">
        <is>
          <t>319660.KQ</t>
        </is>
      </c>
    </row>
    <row r="118" ht="24" customHeight="1">
      <c r="A118" s="29" t="inlineStr">
        <is>
          <t>2023-11-28</t>
        </is>
      </c>
      <c r="B118" s="31" t="n">
        <v>19950</v>
      </c>
      <c r="C118" s="31" t="n">
        <v>20300</v>
      </c>
      <c r="D118" s="31" t="n">
        <v>19790</v>
      </c>
      <c r="E118" s="31" t="n">
        <v>20250</v>
      </c>
      <c r="F118" s="31" t="n">
        <v>19392.0703125</v>
      </c>
      <c r="G118" s="31" t="n">
        <v>117832</v>
      </c>
      <c r="H118" s="36" t="n">
        <v>0.01452905811623251</v>
      </c>
      <c r="I118" s="36" t="n">
        <v>-0.2401500938086304</v>
      </c>
      <c r="J118" s="31" t="n">
        <v>19770</v>
      </c>
      <c r="K118" s="31" t="n">
        <v>19514.16666666667</v>
      </c>
      <c r="L118" s="31" t="n">
        <v>20423.25</v>
      </c>
      <c r="M118" s="36" t="n">
        <v>0.3857333292181309</v>
      </c>
      <c r="N118" s="36" t="n">
        <v>0.3880015482098639</v>
      </c>
      <c r="O118" s="36" t="n">
        <v>0.18006993006993</v>
      </c>
      <c r="P118" s="36" t="n">
        <v>0.1023407729994557</v>
      </c>
      <c r="Q118" s="36" t="n">
        <v>-0.07534246575342463</v>
      </c>
      <c r="R118" s="36" t="n">
        <v>0.02427921092564489</v>
      </c>
      <c r="S118" s="36" t="n">
        <v>0.03770764828970408</v>
      </c>
      <c r="T118" s="36" t="n">
        <v>-0.008482978957805476</v>
      </c>
      <c r="U118" s="31" t="n">
        <v>23350</v>
      </c>
      <c r="V118" s="31" t="n">
        <v>15050</v>
      </c>
      <c r="W118" s="36" t="n">
        <v>-0.132762312633833</v>
      </c>
      <c r="X118" s="36" t="n">
        <v>0.345514950166113</v>
      </c>
      <c r="Y118" s="31" t="n">
        <v>28966714</v>
      </c>
      <c r="Z118" s="31" t="n">
        <v>586575958500</v>
      </c>
      <c r="AA118" s="31" t="n">
        <v>2386098000</v>
      </c>
      <c r="AB118" s="31" t="n">
        <v>3786139114.5</v>
      </c>
      <c r="AC118" s="36" t="n">
        <v>0.00406784145416011</v>
      </c>
      <c r="AD118" s="29" t="inlineStr">
        <is>
          <t>yfinance_download</t>
        </is>
      </c>
      <c r="AE118" s="29" t="inlineStr">
        <is>
          <t>319660.KQ</t>
        </is>
      </c>
    </row>
    <row r="119" ht="24" customHeight="1">
      <c r="A119" s="24" t="inlineStr">
        <is>
          <t>2023-11-29</t>
        </is>
      </c>
      <c r="B119" s="30" t="n">
        <v>20200</v>
      </c>
      <c r="C119" s="30" t="n">
        <v>20200</v>
      </c>
      <c r="D119" s="30" t="n">
        <v>19770</v>
      </c>
      <c r="E119" s="30" t="n">
        <v>20150</v>
      </c>
      <c r="F119" s="30" t="n">
        <v>19296.306640625</v>
      </c>
      <c r="G119" s="30" t="n">
        <v>125981</v>
      </c>
      <c r="H119" s="35" t="n">
        <v>-0.004938271604938316</v>
      </c>
      <c r="I119" s="35" t="n">
        <v>-0.2439024390243902</v>
      </c>
      <c r="J119" s="30" t="n">
        <v>19892</v>
      </c>
      <c r="K119" s="30" t="n">
        <v>19542.83333333333</v>
      </c>
      <c r="L119" s="30" t="n">
        <v>20413.66666666667</v>
      </c>
      <c r="M119" s="35" t="n">
        <v>0.3781665668002969</v>
      </c>
      <c r="N119" s="35" t="n">
        <v>0.3882439268296323</v>
      </c>
      <c r="O119" s="35" t="n">
        <v>0.1377752682100508</v>
      </c>
      <c r="P119" s="35" t="n">
        <v>0.09332609875203479</v>
      </c>
      <c r="Q119" s="35" t="n">
        <v>-0.0539906103286385</v>
      </c>
      <c r="R119" s="35" t="n">
        <v>0.01297003820631404</v>
      </c>
      <c r="S119" s="35" t="n">
        <v>0.0310685076370707</v>
      </c>
      <c r="T119" s="35" t="n">
        <v>-0.01291618360248858</v>
      </c>
      <c r="U119" s="30" t="n">
        <v>23350</v>
      </c>
      <c r="V119" s="30" t="n">
        <v>15050</v>
      </c>
      <c r="W119" s="35" t="n">
        <v>-0.1370449678800857</v>
      </c>
      <c r="X119" s="35" t="n">
        <v>0.3388704318936877</v>
      </c>
      <c r="Y119" s="30" t="n">
        <v>28966714</v>
      </c>
      <c r="Z119" s="30" t="n">
        <v>583679287100</v>
      </c>
      <c r="AA119" s="30" t="n">
        <v>2538517150</v>
      </c>
      <c r="AB119" s="30" t="n">
        <v>3793828855</v>
      </c>
      <c r="AC119" s="35" t="n">
        <v>0.004349164354645128</v>
      </c>
      <c r="AD119" s="24" t="inlineStr">
        <is>
          <t>yfinance_download</t>
        </is>
      </c>
      <c r="AE119" s="24" t="inlineStr">
        <is>
          <t>319660.KQ</t>
        </is>
      </c>
    </row>
    <row r="120" ht="24" customHeight="1">
      <c r="A120" s="29" t="inlineStr">
        <is>
          <t>2023-11-30</t>
        </is>
      </c>
      <c r="B120" s="31" t="n">
        <v>20100</v>
      </c>
      <c r="C120" s="31" t="n">
        <v>20200</v>
      </c>
      <c r="D120" s="31" t="n">
        <v>19730</v>
      </c>
      <c r="E120" s="31" t="n">
        <v>19840</v>
      </c>
      <c r="F120" s="31" t="n">
        <v>18999.439453125</v>
      </c>
      <c r="G120" s="31" t="n">
        <v>183846</v>
      </c>
      <c r="H120" s="36" t="n">
        <v>-0.01538461538461533</v>
      </c>
      <c r="I120" s="36" t="n">
        <v>-0.2555347091932457</v>
      </c>
      <c r="J120" s="31" t="n">
        <v>19939</v>
      </c>
      <c r="K120" s="31" t="n">
        <v>19561</v>
      </c>
      <c r="L120" s="31" t="n">
        <v>20401.91666666667</v>
      </c>
      <c r="M120" s="36" t="n">
        <v>0.3106598385221121</v>
      </c>
      <c r="N120" s="36" t="n">
        <v>0.3884305039536021</v>
      </c>
      <c r="O120" s="36" t="n">
        <v>0.04973544973544963</v>
      </c>
      <c r="P120" s="36" t="n">
        <v>0.05813333333333337</v>
      </c>
      <c r="Q120" s="36" t="n">
        <v>-0.06635294117647061</v>
      </c>
      <c r="R120" s="36" t="n">
        <v>-0.004965143688249185</v>
      </c>
      <c r="S120" s="36" t="n">
        <v>0.01426307448494457</v>
      </c>
      <c r="T120" s="36" t="n">
        <v>-0.02754234692001978</v>
      </c>
      <c r="U120" s="31" t="n">
        <v>23350</v>
      </c>
      <c r="V120" s="31" t="n">
        <v>15050</v>
      </c>
      <c r="W120" s="36" t="n">
        <v>-0.150321199143469</v>
      </c>
      <c r="X120" s="36" t="n">
        <v>0.3182724252491695</v>
      </c>
      <c r="Y120" s="31" t="n">
        <v>28966714</v>
      </c>
      <c r="Z120" s="31" t="n">
        <v>574699605760</v>
      </c>
      <c r="AA120" s="31" t="n">
        <v>3647504640</v>
      </c>
      <c r="AB120" s="31" t="n">
        <v>3757189942</v>
      </c>
      <c r="AC120" s="36" t="n">
        <v>0.006346802057009297</v>
      </c>
      <c r="AD120" s="29" t="inlineStr">
        <is>
          <t>yfinance_download</t>
        </is>
      </c>
      <c r="AE120" s="29" t="inlineStr">
        <is>
          <t>319660.KQ</t>
        </is>
      </c>
    </row>
    <row r="121" ht="24" customHeight="1">
      <c r="A121" s="24" t="inlineStr">
        <is>
          <t>2023-12-01</t>
        </is>
      </c>
      <c r="B121" s="30" t="n">
        <v>19790</v>
      </c>
      <c r="C121" s="30" t="n">
        <v>19880</v>
      </c>
      <c r="D121" s="30" t="n">
        <v>19430</v>
      </c>
      <c r="E121" s="30" t="n">
        <v>19580</v>
      </c>
      <c r="F121" s="30" t="n">
        <v>18750.455078125</v>
      </c>
      <c r="G121" s="30" t="n">
        <v>155889</v>
      </c>
      <c r="H121" s="35" t="n">
        <v>-0.01310483870967738</v>
      </c>
      <c r="I121" s="35" t="n">
        <v>-0.2652908067542213</v>
      </c>
      <c r="J121" s="30" t="n">
        <v>19973</v>
      </c>
      <c r="K121" s="30" t="n">
        <v>19552.33333333333</v>
      </c>
      <c r="L121" s="30" t="n">
        <v>20389.25</v>
      </c>
      <c r="M121" s="35" t="n">
        <v>0.3155651309110951</v>
      </c>
      <c r="N121" s="35" t="n">
        <v>0.3603494001506923</v>
      </c>
      <c r="O121" s="35" t="n">
        <v>0.035978835978836</v>
      </c>
      <c r="P121" s="35" t="n">
        <v>-0.02587064676616913</v>
      </c>
      <c r="Q121" s="35" t="n">
        <v>-0.07203791469194309</v>
      </c>
      <c r="R121" s="35" t="n">
        <v>-0.01967656336053669</v>
      </c>
      <c r="S121" s="35" t="n">
        <v>0.00141500588165111</v>
      </c>
      <c r="T121" s="35" t="n">
        <v>-0.03969003273783978</v>
      </c>
      <c r="U121" s="30" t="n">
        <v>23350</v>
      </c>
      <c r="V121" s="30" t="n">
        <v>15050</v>
      </c>
      <c r="W121" s="35" t="n">
        <v>-0.1614561027837259</v>
      </c>
      <c r="X121" s="35" t="n">
        <v>0.3009966777408637</v>
      </c>
      <c r="Y121" s="30" t="n">
        <v>28966714</v>
      </c>
      <c r="Z121" s="30" t="n">
        <v>567168260120</v>
      </c>
      <c r="AA121" s="30" t="n">
        <v>3052306620</v>
      </c>
      <c r="AB121" s="30" t="n">
        <v>3803198878</v>
      </c>
      <c r="AC121" s="35" t="n">
        <v>0.005381659790613461</v>
      </c>
      <c r="AD121" s="24" t="inlineStr">
        <is>
          <t>yfinance_download</t>
        </is>
      </c>
      <c r="AE121" s="24" t="inlineStr">
        <is>
          <t>319660.KQ</t>
        </is>
      </c>
    </row>
    <row r="122" ht="24" customHeight="1">
      <c r="A122" s="29" t="inlineStr">
        <is>
          <t>2023-12-04</t>
        </is>
      </c>
      <c r="B122" s="31" t="n">
        <v>19620</v>
      </c>
      <c r="C122" s="31" t="n">
        <v>19620</v>
      </c>
      <c r="D122" s="31" t="n">
        <v>19150</v>
      </c>
      <c r="E122" s="31" t="n">
        <v>19600</v>
      </c>
      <c r="F122" s="31" t="n">
        <v>18769.609375</v>
      </c>
      <c r="G122" s="31" t="n">
        <v>216322</v>
      </c>
      <c r="H122" s="36" t="n">
        <v>0.001021450459652629</v>
      </c>
      <c r="I122" s="36" t="n">
        <v>-0.2645403377110694</v>
      </c>
      <c r="J122" s="31" t="n">
        <v>19988.5</v>
      </c>
      <c r="K122" s="31" t="n">
        <v>19538.16666666667</v>
      </c>
      <c r="L122" s="31" t="n">
        <v>20371.33333333333</v>
      </c>
      <c r="M122" s="36" t="n">
        <v>0.3077508570761322</v>
      </c>
      <c r="N122" s="36" t="n">
        <v>0.3584915242233824</v>
      </c>
      <c r="O122" s="36" t="n">
        <v>0.01607050285121825</v>
      </c>
      <c r="P122" s="36" t="n">
        <v>-0.04156479217603914</v>
      </c>
      <c r="Q122" s="36" t="n">
        <v>-0.09885057471264369</v>
      </c>
      <c r="R122" s="36" t="n">
        <v>-0.01943617580108559</v>
      </c>
      <c r="S122" s="36" t="n">
        <v>0.003164745924643109</v>
      </c>
      <c r="T122" s="36" t="n">
        <v>-0.03786366462676305</v>
      </c>
      <c r="U122" s="31" t="n">
        <v>23350</v>
      </c>
      <c r="V122" s="31" t="n">
        <v>15050</v>
      </c>
      <c r="W122" s="36" t="n">
        <v>-0.1605995717344754</v>
      </c>
      <c r="X122" s="36" t="n">
        <v>0.3023255813953489</v>
      </c>
      <c r="Y122" s="31" t="n">
        <v>28966714</v>
      </c>
      <c r="Z122" s="31" t="n">
        <v>567747594400</v>
      </c>
      <c r="AA122" s="31" t="n">
        <v>4239911200</v>
      </c>
      <c r="AB122" s="31" t="n">
        <v>3741449083.5</v>
      </c>
      <c r="AC122" s="36" t="n">
        <v>0.007467950972968491</v>
      </c>
      <c r="AD122" s="29" t="inlineStr">
        <is>
          <t>yfinance_download</t>
        </is>
      </c>
      <c r="AE122" s="29" t="inlineStr">
        <is>
          <t>319660.KQ</t>
        </is>
      </c>
    </row>
    <row r="123" ht="24" customHeight="1">
      <c r="A123" s="24" t="inlineStr">
        <is>
          <t>2023-12-05</t>
        </is>
      </c>
      <c r="B123" s="30" t="n">
        <v>19390</v>
      </c>
      <c r="C123" s="30" t="n">
        <v>19460</v>
      </c>
      <c r="D123" s="30" t="n">
        <v>19060</v>
      </c>
      <c r="E123" s="30" t="n">
        <v>19330</v>
      </c>
      <c r="F123" s="30" t="n">
        <v>18511.046875</v>
      </c>
      <c r="G123" s="30" t="n">
        <v>189529</v>
      </c>
      <c r="H123" s="35" t="n">
        <v>-0.01377551020408163</v>
      </c>
      <c r="I123" s="35" t="n">
        <v>-0.274671669793621</v>
      </c>
      <c r="J123" s="30" t="n">
        <v>19966.5</v>
      </c>
      <c r="K123" s="30" t="n">
        <v>19529.33333333333</v>
      </c>
      <c r="L123" s="30" t="n">
        <v>20349.08333333333</v>
      </c>
      <c r="M123" s="35" t="n">
        <v>0.2983703252183407</v>
      </c>
      <c r="N123" s="35" t="n">
        <v>0.3547029607972954</v>
      </c>
      <c r="O123" s="35" t="n">
        <v>-0.02225594334850789</v>
      </c>
      <c r="P123" s="35" t="n">
        <v>-0.02668680765357501</v>
      </c>
      <c r="Q123" s="35" t="n">
        <v>-0.1213636363636363</v>
      </c>
      <c r="R123" s="35" t="n">
        <v>-0.03187839631382561</v>
      </c>
      <c r="S123" s="35" t="n">
        <v>-0.01020686830067585</v>
      </c>
      <c r="T123" s="35" t="n">
        <v>-0.05008006093640571</v>
      </c>
      <c r="U123" s="30" t="n">
        <v>23350</v>
      </c>
      <c r="V123" s="30" t="n">
        <v>15050</v>
      </c>
      <c r="W123" s="35" t="n">
        <v>-0.1721627408993576</v>
      </c>
      <c r="X123" s="35" t="n">
        <v>0.2843853820598006</v>
      </c>
      <c r="Y123" s="30" t="n">
        <v>28966714</v>
      </c>
      <c r="Z123" s="30" t="n">
        <v>559926581620</v>
      </c>
      <c r="AA123" s="30" t="n">
        <v>3663595570</v>
      </c>
      <c r="AB123" s="30" t="n">
        <v>3665621103.5</v>
      </c>
      <c r="AC123" s="35" t="n">
        <v>0.006542992760587204</v>
      </c>
      <c r="AD123" s="24" t="inlineStr">
        <is>
          <t>yfinance_download</t>
        </is>
      </c>
      <c r="AE123" s="24" t="inlineStr">
        <is>
          <t>319660.KQ</t>
        </is>
      </c>
    </row>
    <row r="124" ht="24" customHeight="1">
      <c r="A124" s="29" t="inlineStr">
        <is>
          <t>2023-12-06</t>
        </is>
      </c>
      <c r="B124" s="31" t="n">
        <v>19300</v>
      </c>
      <c r="C124" s="31" t="n">
        <v>19390</v>
      </c>
      <c r="D124" s="31" t="n">
        <v>19040</v>
      </c>
      <c r="E124" s="31" t="n">
        <v>19270</v>
      </c>
      <c r="F124" s="31" t="n">
        <v>18453.58984375</v>
      </c>
      <c r="G124" s="31" t="n">
        <v>140537</v>
      </c>
      <c r="H124" s="36" t="n">
        <v>-0.003103983445421621</v>
      </c>
      <c r="I124" s="36" t="n">
        <v>-0.2769230769230769</v>
      </c>
      <c r="J124" s="31" t="n">
        <v>19952.5</v>
      </c>
      <c r="K124" s="31" t="n">
        <v>19527.33333333333</v>
      </c>
      <c r="L124" s="31" t="n">
        <v>20326.75</v>
      </c>
      <c r="M124" s="36" t="n">
        <v>0.2960932975466642</v>
      </c>
      <c r="N124" s="36" t="n">
        <v>0.3513819875722025</v>
      </c>
      <c r="O124" s="36" t="n">
        <v>-0.01432225063938619</v>
      </c>
      <c r="P124" s="36" t="n">
        <v>-0.006188757091284192</v>
      </c>
      <c r="Q124" s="36" t="n">
        <v>-0.1220956719817767</v>
      </c>
      <c r="R124" s="36" t="n">
        <v>-0.03420623981957149</v>
      </c>
      <c r="S124" s="36" t="n">
        <v>-0.01317810931685492</v>
      </c>
      <c r="T124" s="36" t="n">
        <v>-0.05198814370226423</v>
      </c>
      <c r="U124" s="31" t="n">
        <v>23350</v>
      </c>
      <c r="V124" s="31" t="n">
        <v>15050</v>
      </c>
      <c r="W124" s="36" t="n">
        <v>-0.1747323340471092</v>
      </c>
      <c r="X124" s="36" t="n">
        <v>0.2803986710963455</v>
      </c>
      <c r="Y124" s="31" t="n">
        <v>28966714</v>
      </c>
      <c r="Z124" s="31" t="n">
        <v>558188578780</v>
      </c>
      <c r="AA124" s="31" t="n">
        <v>2708147990</v>
      </c>
      <c r="AB124" s="31" t="n">
        <v>3687935663</v>
      </c>
      <c r="AC124" s="36" t="n">
        <v>0.004851672164126038</v>
      </c>
      <c r="AD124" s="29" t="inlineStr">
        <is>
          <t>yfinance_download</t>
        </is>
      </c>
      <c r="AE124" s="29" t="inlineStr">
        <is>
          <t>319660.KQ</t>
        </is>
      </c>
    </row>
    <row r="125" ht="24" customHeight="1">
      <c r="A125" s="24" t="inlineStr">
        <is>
          <t>2023-12-07</t>
        </is>
      </c>
      <c r="B125" s="30" t="n">
        <v>19200</v>
      </c>
      <c r="C125" s="30" t="n">
        <v>19350</v>
      </c>
      <c r="D125" s="30" t="n">
        <v>19020</v>
      </c>
      <c r="E125" s="30" t="n">
        <v>19320</v>
      </c>
      <c r="F125" s="30" t="n">
        <v>18501.470703125</v>
      </c>
      <c r="G125" s="30" t="n">
        <v>69864</v>
      </c>
      <c r="H125" s="35" t="n">
        <v>0.002594706798131785</v>
      </c>
      <c r="I125" s="35" t="n">
        <v>-0.275046904315197</v>
      </c>
      <c r="J125" s="30" t="n">
        <v>19949</v>
      </c>
      <c r="K125" s="30" t="n">
        <v>19524</v>
      </c>
      <c r="L125" s="30" t="n">
        <v>20301.08333333333</v>
      </c>
      <c r="M125" s="35" t="n">
        <v>0.294879707978016</v>
      </c>
      <c r="N125" s="35" t="n">
        <v>0.3511547544184871</v>
      </c>
      <c r="O125" s="35" t="n">
        <v>-0.003610108303249149</v>
      </c>
      <c r="P125" s="35" t="n">
        <v>-0.01024590163934425</v>
      </c>
      <c r="Q125" s="35" t="n">
        <v>-0.1375</v>
      </c>
      <c r="R125" s="35" t="n">
        <v>-0.03153040252644246</v>
      </c>
      <c r="S125" s="35" t="n">
        <v>-0.01044867854947762</v>
      </c>
      <c r="T125" s="35" t="n">
        <v>-0.04832664923464669</v>
      </c>
      <c r="U125" s="30" t="n">
        <v>23350</v>
      </c>
      <c r="V125" s="30" t="n">
        <v>15050</v>
      </c>
      <c r="W125" s="35" t="n">
        <v>-0.1725910064239828</v>
      </c>
      <c r="X125" s="35" t="n">
        <v>0.2837209302325581</v>
      </c>
      <c r="Y125" s="30" t="n">
        <v>28966714</v>
      </c>
      <c r="Z125" s="30" t="n">
        <v>559636914480</v>
      </c>
      <c r="AA125" s="30" t="n">
        <v>1349772480</v>
      </c>
      <c r="AB125" s="30" t="n">
        <v>3666799383.5</v>
      </c>
      <c r="AC125" s="35" t="n">
        <v>0.002411871778069131</v>
      </c>
      <c r="AD125" s="24" t="inlineStr">
        <is>
          <t>yfinance_download</t>
        </is>
      </c>
      <c r="AE125" s="24" t="inlineStr">
        <is>
          <t>319660.KQ</t>
        </is>
      </c>
    </row>
    <row r="126" ht="24" customHeight="1">
      <c r="A126" s="29" t="inlineStr">
        <is>
          <t>2023-12-08</t>
        </is>
      </c>
      <c r="B126" s="31" t="n">
        <v>19480</v>
      </c>
      <c r="C126" s="31" t="n">
        <v>19670</v>
      </c>
      <c r="D126" s="31" t="n">
        <v>19440</v>
      </c>
      <c r="E126" s="31" t="n">
        <v>19650</v>
      </c>
      <c r="F126" s="31" t="n">
        <v>18817.490234375</v>
      </c>
      <c r="G126" s="31" t="n">
        <v>176310</v>
      </c>
      <c r="H126" s="36" t="n">
        <v>0.01708074534161486</v>
      </c>
      <c r="I126" s="36" t="n">
        <v>-0.2626641651031895</v>
      </c>
      <c r="J126" s="31" t="n">
        <v>19963.5</v>
      </c>
      <c r="K126" s="31" t="n">
        <v>19530.16666666667</v>
      </c>
      <c r="L126" s="31" t="n">
        <v>20284</v>
      </c>
      <c r="M126" s="36" t="n">
        <v>0.3009486198784418</v>
      </c>
      <c r="N126" s="36" t="n">
        <v>0.3518971229387514</v>
      </c>
      <c r="O126" s="36" t="n">
        <v>0.01497933884297531</v>
      </c>
      <c r="P126" s="36" t="n">
        <v>0.01919087136929454</v>
      </c>
      <c r="Q126" s="36" t="n">
        <v>-0.09447004608294929</v>
      </c>
      <c r="R126" s="36" t="n">
        <v>-0.01570365917799987</v>
      </c>
      <c r="S126" s="36" t="n">
        <v>0.006135806999428173</v>
      </c>
      <c r="T126" s="36" t="n">
        <v>-0.03125616249260499</v>
      </c>
      <c r="U126" s="31" t="n">
        <v>23350</v>
      </c>
      <c r="V126" s="31" t="n">
        <v>15050</v>
      </c>
      <c r="W126" s="36" t="n">
        <v>-0.158458244111349</v>
      </c>
      <c r="X126" s="36" t="n">
        <v>0.3056478405315615</v>
      </c>
      <c r="Y126" s="31" t="n">
        <v>28966714</v>
      </c>
      <c r="Z126" s="31" t="n">
        <v>569195930100</v>
      </c>
      <c r="AA126" s="31" t="n">
        <v>3464491500</v>
      </c>
      <c r="AB126" s="31" t="n">
        <v>3720143934.5</v>
      </c>
      <c r="AC126" s="36" t="n">
        <v>0.006086641377409947</v>
      </c>
      <c r="AD126" s="29" t="inlineStr">
        <is>
          <t>yfinance_download</t>
        </is>
      </c>
      <c r="AE126" s="29" t="inlineStr">
        <is>
          <t>319660.KQ</t>
        </is>
      </c>
    </row>
    <row r="127" ht="24" customHeight="1">
      <c r="A127" s="24" t="inlineStr">
        <is>
          <t>2023-12-11</t>
        </is>
      </c>
      <c r="B127" s="30" t="n">
        <v>19740</v>
      </c>
      <c r="C127" s="30" t="n">
        <v>20150</v>
      </c>
      <c r="D127" s="30" t="n">
        <v>19340</v>
      </c>
      <c r="E127" s="30" t="n">
        <v>20100</v>
      </c>
      <c r="F127" s="30" t="n">
        <v>19248.42578125</v>
      </c>
      <c r="G127" s="30" t="n">
        <v>199145</v>
      </c>
      <c r="H127" s="35" t="n">
        <v>0.02290076335877855</v>
      </c>
      <c r="I127" s="35" t="n">
        <v>-0.2457786116322702</v>
      </c>
      <c r="J127" s="30" t="n">
        <v>19999.5</v>
      </c>
      <c r="K127" s="30" t="n">
        <v>19548</v>
      </c>
      <c r="L127" s="30" t="n">
        <v>20265.25</v>
      </c>
      <c r="M127" s="35" t="n">
        <v>0.3109085292827131</v>
      </c>
      <c r="N127" s="35" t="n">
        <v>0.3536820139094171</v>
      </c>
      <c r="O127" s="35" t="n">
        <v>0.03715170278637769</v>
      </c>
      <c r="P127" s="35" t="n">
        <v>0.05622700998423547</v>
      </c>
      <c r="Q127" s="35" t="n">
        <v>-0.1006711409395973</v>
      </c>
      <c r="R127" s="35" t="n">
        <v>0.005025125628140614</v>
      </c>
      <c r="S127" s="35" t="n">
        <v>0.02823818293431546</v>
      </c>
      <c r="T127" s="35" t="n">
        <v>-0.008154352894733541</v>
      </c>
      <c r="U127" s="30" t="n">
        <v>23350</v>
      </c>
      <c r="V127" s="30" t="n">
        <v>15050</v>
      </c>
      <c r="W127" s="35" t="n">
        <v>-0.139186295503212</v>
      </c>
      <c r="X127" s="35" t="n">
        <v>0.3355481727574752</v>
      </c>
      <c r="Y127" s="30" t="n">
        <v>28966714</v>
      </c>
      <c r="Z127" s="30" t="n">
        <v>582230951400</v>
      </c>
      <c r="AA127" s="30" t="n">
        <v>4002814500</v>
      </c>
      <c r="AB127" s="30" t="n">
        <v>3760911291.5</v>
      </c>
      <c r="AC127" s="35" t="n">
        <v>0.006874959997188498</v>
      </c>
      <c r="AD127" s="24" t="inlineStr">
        <is>
          <t>yfinance_download</t>
        </is>
      </c>
      <c r="AE127" s="24" t="inlineStr">
        <is>
          <t>319660.KQ</t>
        </is>
      </c>
    </row>
    <row r="128" ht="24" customHeight="1">
      <c r="A128" s="29" t="inlineStr">
        <is>
          <t>2023-12-12</t>
        </is>
      </c>
      <c r="B128" s="31" t="n">
        <v>20400</v>
      </c>
      <c r="C128" s="31" t="n">
        <v>20700</v>
      </c>
      <c r="D128" s="31" t="n">
        <v>19990</v>
      </c>
      <c r="E128" s="31" t="n">
        <v>20300</v>
      </c>
      <c r="F128" s="31" t="n">
        <v>19439.951171875</v>
      </c>
      <c r="G128" s="31" t="n">
        <v>241189</v>
      </c>
      <c r="H128" s="36" t="n">
        <v>0.00995024875621886</v>
      </c>
      <c r="I128" s="36" t="n">
        <v>-0.2382739212007504</v>
      </c>
      <c r="J128" s="31" t="n">
        <v>20049.5</v>
      </c>
      <c r="K128" s="31" t="n">
        <v>19556.16666666667</v>
      </c>
      <c r="L128" s="31" t="n">
        <v>20250.66666666667</v>
      </c>
      <c r="M128" s="36" t="n">
        <v>0.3112394395252097</v>
      </c>
      <c r="N128" s="36" t="n">
        <v>0.3443486793736149</v>
      </c>
      <c r="O128" s="36" t="n">
        <v>0.05181347150259064</v>
      </c>
      <c r="P128" s="36" t="n">
        <v>0.02473498233215543</v>
      </c>
      <c r="Q128" s="36" t="n">
        <v>-0.07936507936507942</v>
      </c>
      <c r="R128" s="36" t="n">
        <v>0.01249407715903139</v>
      </c>
      <c r="S128" s="36" t="n">
        <v>0.03803574320120662</v>
      </c>
      <c r="T128" s="36" t="n">
        <v>0.002436133789833983</v>
      </c>
      <c r="U128" s="31" t="n">
        <v>23350</v>
      </c>
      <c r="V128" s="31" t="n">
        <v>15050</v>
      </c>
      <c r="W128" s="36" t="n">
        <v>-0.1306209850107066</v>
      </c>
      <c r="X128" s="36" t="n">
        <v>0.3488372093023255</v>
      </c>
      <c r="Y128" s="31" t="n">
        <v>28966714</v>
      </c>
      <c r="Z128" s="31" t="n">
        <v>588024294200</v>
      </c>
      <c r="AA128" s="31" t="n">
        <v>4896136700</v>
      </c>
      <c r="AB128" s="31" t="n">
        <v>3913505621.5</v>
      </c>
      <c r="AC128" s="36" t="n">
        <v>0.008326419075356632</v>
      </c>
      <c r="AD128" s="29" t="inlineStr">
        <is>
          <t>yfinance_download</t>
        </is>
      </c>
      <c r="AE128" s="29" t="inlineStr">
        <is>
          <t>319660.KQ</t>
        </is>
      </c>
    </row>
    <row r="129" ht="24" customHeight="1">
      <c r="A129" s="24" t="inlineStr">
        <is>
          <t>2023-12-13</t>
        </is>
      </c>
      <c r="B129" s="30" t="n">
        <v>20400</v>
      </c>
      <c r="C129" s="30" t="n">
        <v>21000</v>
      </c>
      <c r="D129" s="30" t="n">
        <v>20150</v>
      </c>
      <c r="E129" s="30" t="n">
        <v>20500</v>
      </c>
      <c r="F129" s="30" t="n">
        <v>19631.48046875</v>
      </c>
      <c r="G129" s="30" t="n">
        <v>408434</v>
      </c>
      <c r="H129" s="35" t="n">
        <v>0.009852216748768461</v>
      </c>
      <c r="I129" s="35" t="n">
        <v>-0.2307692307692307</v>
      </c>
      <c r="J129" s="30" t="n">
        <v>20064.5</v>
      </c>
      <c r="K129" s="30" t="n">
        <v>19564.5</v>
      </c>
      <c r="L129" s="30" t="n">
        <v>20239</v>
      </c>
      <c r="M129" s="35" t="n">
        <v>0.2665793819088316</v>
      </c>
      <c r="N129" s="35" t="n">
        <v>0.3443780887343524</v>
      </c>
      <c r="O129" s="35" t="n">
        <v>0.01485148514851486</v>
      </c>
      <c r="P129" s="35" t="n">
        <v>0.02499999999999991</v>
      </c>
      <c r="Q129" s="35" t="n">
        <v>-0.0639269406392694</v>
      </c>
      <c r="R129" s="35" t="n">
        <v>0.02170500137057996</v>
      </c>
      <c r="S129" s="35" t="n">
        <v>0.04781619770502687</v>
      </c>
      <c r="T129" s="35" t="n">
        <v>0.01289589406591229</v>
      </c>
      <c r="U129" s="30" t="n">
        <v>23350</v>
      </c>
      <c r="V129" s="30" t="n">
        <v>15050</v>
      </c>
      <c r="W129" s="35" t="n">
        <v>-0.1220556745182013</v>
      </c>
      <c r="X129" s="35" t="n">
        <v>0.3621262458471761</v>
      </c>
      <c r="Y129" s="30" t="n">
        <v>28966714</v>
      </c>
      <c r="Z129" s="30" t="n">
        <v>593817637000</v>
      </c>
      <c r="AA129" s="30" t="n">
        <v>8372897000</v>
      </c>
      <c r="AB129" s="30" t="n">
        <v>3925270961.5</v>
      </c>
      <c r="AC129" s="35" t="n">
        <v>0.01410011504929417</v>
      </c>
      <c r="AD129" s="24" t="inlineStr">
        <is>
          <t>yfinance_download</t>
        </is>
      </c>
      <c r="AE129" s="24" t="inlineStr">
        <is>
          <t>319660.KQ</t>
        </is>
      </c>
    </row>
    <row r="130" ht="24" customHeight="1">
      <c r="A130" s="29" t="inlineStr">
        <is>
          <t>2023-12-14</t>
        </is>
      </c>
      <c r="B130" s="31" t="n">
        <v>20950</v>
      </c>
      <c r="C130" s="31" t="n">
        <v>20950</v>
      </c>
      <c r="D130" s="31" t="n">
        <v>20350</v>
      </c>
      <c r="E130" s="31" t="n">
        <v>20750</v>
      </c>
      <c r="F130" s="31" t="n">
        <v>19870.888671875</v>
      </c>
      <c r="G130" s="31" t="n">
        <v>211234</v>
      </c>
      <c r="H130" s="36" t="n">
        <v>0.01219512195121952</v>
      </c>
      <c r="I130" s="36" t="n">
        <v>-0.2213883677298312</v>
      </c>
      <c r="J130" s="31" t="n">
        <v>20064.5</v>
      </c>
      <c r="K130" s="31" t="n">
        <v>19570.33333333333</v>
      </c>
      <c r="L130" s="31" t="n">
        <v>20228.58333333333</v>
      </c>
      <c r="M130" s="36" t="n">
        <v>0.2517987923622239</v>
      </c>
      <c r="N130" s="36" t="n">
        <v>0.342872448147389</v>
      </c>
      <c r="O130" s="36" t="n">
        <v>0</v>
      </c>
      <c r="P130" s="36" t="n">
        <v>0.01715686274509798</v>
      </c>
      <c r="Q130" s="36" t="n">
        <v>-0.05681818181818177</v>
      </c>
      <c r="R130" s="36" t="n">
        <v>0.03416481846046504</v>
      </c>
      <c r="S130" s="36" t="n">
        <v>0.0602783124116435</v>
      </c>
      <c r="T130" s="36" t="n">
        <v>0.02577623247632266</v>
      </c>
      <c r="U130" s="31" t="n">
        <v>23350</v>
      </c>
      <c r="V130" s="31" t="n">
        <v>15050</v>
      </c>
      <c r="W130" s="36" t="n">
        <v>-0.1113490364025695</v>
      </c>
      <c r="X130" s="36" t="n">
        <v>0.3787375415282392</v>
      </c>
      <c r="Y130" s="31" t="n">
        <v>28966714</v>
      </c>
      <c r="Z130" s="31" t="n">
        <v>601059315500</v>
      </c>
      <c r="AA130" s="31" t="n">
        <v>4383105500</v>
      </c>
      <c r="AB130" s="31" t="n">
        <v>3899102099</v>
      </c>
      <c r="AC130" s="36" t="n">
        <v>0.007292301087379121</v>
      </c>
      <c r="AD130" s="29" t="inlineStr">
        <is>
          <t>yfinance_download</t>
        </is>
      </c>
      <c r="AE130" s="29" t="inlineStr">
        <is>
          <t>319660.KQ</t>
        </is>
      </c>
    </row>
    <row r="131" ht="24" customHeight="1">
      <c r="A131" s="24" t="inlineStr">
        <is>
          <t>2023-12-15</t>
        </is>
      </c>
      <c r="B131" s="30" t="n">
        <v>20850</v>
      </c>
      <c r="C131" s="30" t="n">
        <v>20900</v>
      </c>
      <c r="D131" s="30" t="n">
        <v>20250</v>
      </c>
      <c r="E131" s="30" t="n">
        <v>20600</v>
      </c>
      <c r="F131" s="30" t="n">
        <v>19727.2421875</v>
      </c>
      <c r="G131" s="30" t="n">
        <v>139002</v>
      </c>
      <c r="H131" s="35" t="n">
        <v>-0.007228915662650603</v>
      </c>
      <c r="I131" s="35" t="n">
        <v>-0.2270168855534709</v>
      </c>
      <c r="J131" s="30" t="n">
        <v>20054.5</v>
      </c>
      <c r="K131" s="30" t="n">
        <v>19572</v>
      </c>
      <c r="L131" s="30" t="n">
        <v>20217.75</v>
      </c>
      <c r="M131" s="35" t="n">
        <v>0.2529586758097618</v>
      </c>
      <c r="N131" s="35" t="n">
        <v>0.3431103577928412</v>
      </c>
      <c r="O131" s="35" t="n">
        <v>-0.009615384615384581</v>
      </c>
      <c r="P131" s="35" t="n">
        <v>0.004878048780487809</v>
      </c>
      <c r="Q131" s="35" t="n">
        <v>-0.05936073059360736</v>
      </c>
      <c r="R131" s="35" t="n">
        <v>0.02720087760851686</v>
      </c>
      <c r="S131" s="35" t="n">
        <v>0.05252401389740435</v>
      </c>
      <c r="T131" s="35" t="n">
        <v>0.01890665380667977</v>
      </c>
      <c r="U131" s="30" t="n">
        <v>23350</v>
      </c>
      <c r="V131" s="30" t="n">
        <v>15050</v>
      </c>
      <c r="W131" s="35" t="n">
        <v>-0.1177730192719486</v>
      </c>
      <c r="X131" s="35" t="n">
        <v>0.3687707641196014</v>
      </c>
      <c r="Y131" s="30" t="n">
        <v>28966714</v>
      </c>
      <c r="Z131" s="30" t="n">
        <v>596714308400</v>
      </c>
      <c r="AA131" s="30" t="n">
        <v>2863441200</v>
      </c>
      <c r="AB131" s="30" t="n">
        <v>3812727439</v>
      </c>
      <c r="AC131" s="35" t="n">
        <v>0.00479868030595393</v>
      </c>
      <c r="AD131" s="24" t="inlineStr">
        <is>
          <t>yfinance_download</t>
        </is>
      </c>
      <c r="AE131" s="24" t="inlineStr">
        <is>
          <t>319660.KQ</t>
        </is>
      </c>
    </row>
    <row r="132" ht="24" customHeight="1">
      <c r="A132" s="29" t="inlineStr">
        <is>
          <t>2023-12-18</t>
        </is>
      </c>
      <c r="B132" s="31" t="n">
        <v>20650</v>
      </c>
      <c r="C132" s="31" t="n">
        <v>21200</v>
      </c>
      <c r="D132" s="31" t="n">
        <v>20500</v>
      </c>
      <c r="E132" s="31" t="n">
        <v>20950</v>
      </c>
      <c r="F132" s="31" t="n">
        <v>20062.4140625</v>
      </c>
      <c r="G132" s="31" t="n">
        <v>218049</v>
      </c>
      <c r="H132" s="36" t="n">
        <v>0.01699029126213603</v>
      </c>
      <c r="I132" s="36" t="n">
        <v>-0.2138836772983115</v>
      </c>
      <c r="J132" s="31" t="n">
        <v>20067</v>
      </c>
      <c r="K132" s="31" t="n">
        <v>19579.5</v>
      </c>
      <c r="L132" s="31" t="n">
        <v>20210.66666666667</v>
      </c>
      <c r="M132" s="36" t="n">
        <v>0.2596222134844503</v>
      </c>
      <c r="N132" s="36" t="n">
        <v>0.3448073230152336</v>
      </c>
      <c r="O132" s="36" t="n">
        <v>0.01207729468599039</v>
      </c>
      <c r="P132" s="36" t="n">
        <v>0.02195121951219514</v>
      </c>
      <c r="Q132" s="36" t="n">
        <v>-0.03899082568807344</v>
      </c>
      <c r="R132" s="36" t="n">
        <v>0.04400259131908113</v>
      </c>
      <c r="S132" s="36" t="n">
        <v>0.06999668020123084</v>
      </c>
      <c r="T132" s="36" t="n">
        <v>0.03658134318511674</v>
      </c>
      <c r="U132" s="31" t="n">
        <v>23350</v>
      </c>
      <c r="V132" s="31" t="n">
        <v>15050</v>
      </c>
      <c r="W132" s="36" t="n">
        <v>-0.1027837259100642</v>
      </c>
      <c r="X132" s="36" t="n">
        <v>0.3920265780730896</v>
      </c>
      <c r="Y132" s="31" t="n">
        <v>28966714</v>
      </c>
      <c r="Z132" s="31" t="n">
        <v>606852658300</v>
      </c>
      <c r="AA132" s="31" t="n">
        <v>4568126550</v>
      </c>
      <c r="AB132" s="31" t="n">
        <v>3726450296.5</v>
      </c>
      <c r="AC132" s="36" t="n">
        <v>0.007527571128710008</v>
      </c>
      <c r="AD132" s="29" t="inlineStr">
        <is>
          <t>yfinance_download</t>
        </is>
      </c>
      <c r="AE132" s="29" t="inlineStr">
        <is>
          <t>319660.KQ</t>
        </is>
      </c>
    </row>
    <row r="133" ht="24" customHeight="1">
      <c r="A133" s="24" t="inlineStr">
        <is>
          <t>2023-12-19</t>
        </is>
      </c>
      <c r="B133" s="30" t="n">
        <v>20900</v>
      </c>
      <c r="C133" s="30" t="n">
        <v>21000</v>
      </c>
      <c r="D133" s="30" t="n">
        <v>20150</v>
      </c>
      <c r="E133" s="30" t="n">
        <v>20350</v>
      </c>
      <c r="F133" s="30" t="n">
        <v>19487.833984375</v>
      </c>
      <c r="G133" s="30" t="n">
        <v>224462</v>
      </c>
      <c r="H133" s="35" t="n">
        <v>-0.02863961813842486</v>
      </c>
      <c r="I133" s="35" t="n">
        <v>-0.2363977485928705</v>
      </c>
      <c r="J133" s="30" t="n">
        <v>20042</v>
      </c>
      <c r="K133" s="30" t="n">
        <v>19582.83333333333</v>
      </c>
      <c r="L133" s="30" t="n">
        <v>20198.58333333333</v>
      </c>
      <c r="M133" s="35" t="n">
        <v>0.2782555222053915</v>
      </c>
      <c r="N133" s="35" t="n">
        <v>0.348137231608793</v>
      </c>
      <c r="O133" s="35" t="n">
        <v>-0.02398081534772178</v>
      </c>
      <c r="P133" s="35" t="n">
        <v>0.009925558312655181</v>
      </c>
      <c r="Q133" s="35" t="n">
        <v>-0.0665137614678899</v>
      </c>
      <c r="R133" s="35" t="n">
        <v>0.0153677277716795</v>
      </c>
      <c r="S133" s="35" t="n">
        <v>0.03917546830982932</v>
      </c>
      <c r="T133" s="35" t="n">
        <v>0.007496400325105457</v>
      </c>
      <c r="U133" s="30" t="n">
        <v>23350</v>
      </c>
      <c r="V133" s="30" t="n">
        <v>15050</v>
      </c>
      <c r="W133" s="35" t="n">
        <v>-0.1284796573875803</v>
      </c>
      <c r="X133" s="35" t="n">
        <v>0.3521594684385383</v>
      </c>
      <c r="Y133" s="30" t="n">
        <v>28966714</v>
      </c>
      <c r="Z133" s="30" t="n">
        <v>589472629900</v>
      </c>
      <c r="AA133" s="30" t="n">
        <v>4567801700</v>
      </c>
      <c r="AB133" s="30" t="n">
        <v>3738501824</v>
      </c>
      <c r="AC133" s="35" t="n">
        <v>0.007748963172004943</v>
      </c>
      <c r="AD133" s="24" t="inlineStr">
        <is>
          <t>yfinance_download</t>
        </is>
      </c>
      <c r="AE133" s="24" t="inlineStr">
        <is>
          <t>319660.KQ</t>
        </is>
      </c>
    </row>
    <row r="134" ht="24" customHeight="1">
      <c r="A134" s="29" t="inlineStr">
        <is>
          <t>2023-12-20</t>
        </is>
      </c>
      <c r="B134" s="31" t="n">
        <v>20400</v>
      </c>
      <c r="C134" s="31" t="n">
        <v>20700</v>
      </c>
      <c r="D134" s="31" t="n">
        <v>20250</v>
      </c>
      <c r="E134" s="31" t="n">
        <v>20300</v>
      </c>
      <c r="F134" s="31" t="n">
        <v>19439.951171875</v>
      </c>
      <c r="G134" s="31" t="n">
        <v>220294</v>
      </c>
      <c r="H134" s="36" t="n">
        <v>-0.002457002457002422</v>
      </c>
      <c r="I134" s="36" t="n">
        <v>-0.2382739212007504</v>
      </c>
      <c r="J134" s="31" t="n">
        <v>20014.5</v>
      </c>
      <c r="K134" s="31" t="n">
        <v>19585.33333333333</v>
      </c>
      <c r="L134" s="31" t="n">
        <v>20181.5</v>
      </c>
      <c r="M134" s="36" t="n">
        <v>0.2782674593450908</v>
      </c>
      <c r="N134" s="36" t="n">
        <v>0.3481857230414513</v>
      </c>
      <c r="O134" s="36" t="n">
        <v>-0.02637889688249395</v>
      </c>
      <c r="P134" s="36" t="n">
        <v>0.007444168734491274</v>
      </c>
      <c r="Q134" s="36" t="n">
        <v>-0.09172259507829983</v>
      </c>
      <c r="R134" s="36" t="n">
        <v>0.01426465812286093</v>
      </c>
      <c r="S134" s="36" t="n">
        <v>0.03648989039417261</v>
      </c>
      <c r="T134" s="36" t="n">
        <v>0.005871714193692146</v>
      </c>
      <c r="U134" s="31" t="n">
        <v>23350</v>
      </c>
      <c r="V134" s="31" t="n">
        <v>15050</v>
      </c>
      <c r="W134" s="36" t="n">
        <v>-0.1306209850107066</v>
      </c>
      <c r="X134" s="36" t="n">
        <v>0.3488372093023255</v>
      </c>
      <c r="Y134" s="31" t="n">
        <v>28966714</v>
      </c>
      <c r="Z134" s="31" t="n">
        <v>588024294200</v>
      </c>
      <c r="AA134" s="31" t="n">
        <v>4471968200</v>
      </c>
      <c r="AB134" s="31" t="n">
        <v>3839353156.5</v>
      </c>
      <c r="AC134" s="36" t="n">
        <v>0.007605073878935664</v>
      </c>
      <c r="AD134" s="29" t="inlineStr">
        <is>
          <t>yfinance_download</t>
        </is>
      </c>
      <c r="AE134" s="29" t="inlineStr">
        <is>
          <t>319660.KQ</t>
        </is>
      </c>
    </row>
    <row r="135" ht="24" customHeight="1">
      <c r="A135" s="24" t="inlineStr">
        <is>
          <t>2023-12-21</t>
        </is>
      </c>
      <c r="B135" s="30" t="n">
        <v>20150</v>
      </c>
      <c r="C135" s="30" t="n">
        <v>20350</v>
      </c>
      <c r="D135" s="30" t="n">
        <v>19990</v>
      </c>
      <c r="E135" s="30" t="n">
        <v>20200</v>
      </c>
      <c r="F135" s="30" t="n">
        <v>19344.189453125</v>
      </c>
      <c r="G135" s="30" t="n">
        <v>137521</v>
      </c>
      <c r="H135" s="35" t="n">
        <v>-0.00492610837438423</v>
      </c>
      <c r="I135" s="35" t="n">
        <v>-0.2420262664165104</v>
      </c>
      <c r="J135" s="30" t="n">
        <v>20032.5</v>
      </c>
      <c r="K135" s="30" t="n">
        <v>19600.33333333333</v>
      </c>
      <c r="L135" s="30" t="n">
        <v>20160.66666666667</v>
      </c>
      <c r="M135" s="35" t="n">
        <v>0.2162116421929449</v>
      </c>
      <c r="N135" s="35" t="n">
        <v>0.3369320765678602</v>
      </c>
      <c r="O135" s="35" t="n">
        <v>0.01814516129032251</v>
      </c>
      <c r="P135" s="35" t="n">
        <v>0.04663212435233155</v>
      </c>
      <c r="Q135" s="35" t="n">
        <v>-0.1101321585903083</v>
      </c>
      <c r="R135" s="35" t="n">
        <v>0.00836141270435542</v>
      </c>
      <c r="S135" s="35" t="n">
        <v>0.03059471777690859</v>
      </c>
      <c r="T135" s="35" t="n">
        <v>0.001950993684071145</v>
      </c>
      <c r="U135" s="30" t="n">
        <v>23350</v>
      </c>
      <c r="V135" s="30" t="n">
        <v>15050</v>
      </c>
      <c r="W135" s="35" t="n">
        <v>-0.1349036402569593</v>
      </c>
      <c r="X135" s="35" t="n">
        <v>0.3421926910299002</v>
      </c>
      <c r="Y135" s="30" t="n">
        <v>28966714</v>
      </c>
      <c r="Z135" s="30" t="n">
        <v>585127622800</v>
      </c>
      <c r="AA135" s="30" t="n">
        <v>2777924200</v>
      </c>
      <c r="AB135" s="30" t="n">
        <v>3687000150.5</v>
      </c>
      <c r="AC135" s="35" t="n">
        <v>0.00474755265647322</v>
      </c>
      <c r="AD135" s="24" t="inlineStr">
        <is>
          <t>yfinance_download</t>
        </is>
      </c>
      <c r="AE135" s="24" t="inlineStr">
        <is>
          <t>319660.KQ</t>
        </is>
      </c>
    </row>
    <row r="136" ht="24" customHeight="1">
      <c r="A136" s="29" t="inlineStr">
        <is>
          <t>2023-12-22</t>
        </is>
      </c>
      <c r="B136" s="31" t="n">
        <v>20650</v>
      </c>
      <c r="C136" s="31" t="n">
        <v>20750</v>
      </c>
      <c r="D136" s="31" t="n">
        <v>20200</v>
      </c>
      <c r="E136" s="31" t="n">
        <v>20400</v>
      </c>
      <c r="F136" s="31" t="n">
        <v>19535.71484375</v>
      </c>
      <c r="G136" s="31" t="n">
        <v>162902</v>
      </c>
      <c r="H136" s="36" t="n">
        <v>0.00990099009900991</v>
      </c>
      <c r="I136" s="36" t="n">
        <v>-0.2345215759849906</v>
      </c>
      <c r="J136" s="31" t="n">
        <v>20070</v>
      </c>
      <c r="K136" s="31" t="n">
        <v>19614.16666666667</v>
      </c>
      <c r="L136" s="31" t="n">
        <v>20141.5</v>
      </c>
      <c r="M136" s="36" t="n">
        <v>0.2146376946737298</v>
      </c>
      <c r="N136" s="36" t="n">
        <v>0.3363615278343247</v>
      </c>
      <c r="O136" s="36" t="n">
        <v>0.03816793893129766</v>
      </c>
      <c r="P136" s="36" t="n">
        <v>0.04241185487991816</v>
      </c>
      <c r="Q136" s="36" t="n">
        <v>-0.1013215859030837</v>
      </c>
      <c r="R136" s="36" t="n">
        <v>0.01644245142002987</v>
      </c>
      <c r="S136" s="36" t="n">
        <v>0.0400645791732166</v>
      </c>
      <c r="T136" s="36" t="n">
        <v>0.0128341980488047</v>
      </c>
      <c r="U136" s="31" t="n">
        <v>23350</v>
      </c>
      <c r="V136" s="31" t="n">
        <v>15050</v>
      </c>
      <c r="W136" s="36" t="n">
        <v>-0.1263383297644539</v>
      </c>
      <c r="X136" s="36" t="n">
        <v>0.3554817275747508</v>
      </c>
      <c r="Y136" s="31" t="n">
        <v>28966714</v>
      </c>
      <c r="Z136" s="31" t="n">
        <v>590920965600</v>
      </c>
      <c r="AA136" s="31" t="n">
        <v>3323200800</v>
      </c>
      <c r="AB136" s="31" t="n">
        <v>3695061203</v>
      </c>
      <c r="AC136" s="36" t="n">
        <v>0.005623765263812803</v>
      </c>
      <c r="AD136" s="29" t="inlineStr">
        <is>
          <t>yfinance_download</t>
        </is>
      </c>
      <c r="AE136" s="29" t="inlineStr">
        <is>
          <t>319660.KQ</t>
        </is>
      </c>
    </row>
    <row r="137" ht="24" customHeight="1">
      <c r="A137" s="24" t="inlineStr">
        <is>
          <t>2023-12-26</t>
        </is>
      </c>
      <c r="B137" s="30" t="n">
        <v>20200</v>
      </c>
      <c r="C137" s="30" t="n">
        <v>20500</v>
      </c>
      <c r="D137" s="30" t="n">
        <v>20100</v>
      </c>
      <c r="E137" s="30" t="n">
        <v>20350</v>
      </c>
      <c r="F137" s="30" t="n">
        <v>19487.833984375</v>
      </c>
      <c r="G137" s="30" t="n">
        <v>104051</v>
      </c>
      <c r="H137" s="35" t="n">
        <v>-0.002450980392156854</v>
      </c>
      <c r="I137" s="35" t="n">
        <v>-0.2363977485928705</v>
      </c>
      <c r="J137" s="30" t="n">
        <v>20089.5</v>
      </c>
      <c r="K137" s="30" t="n">
        <v>19629.66666666667</v>
      </c>
      <c r="L137" s="30" t="n">
        <v>20118.58333333333</v>
      </c>
      <c r="M137" s="35" t="n">
        <v>0.2087490045327025</v>
      </c>
      <c r="N137" s="35" t="n">
        <v>0.3359631330799155</v>
      </c>
      <c r="O137" s="35" t="n">
        <v>0.01953907815631273</v>
      </c>
      <c r="P137" s="35" t="n">
        <v>0.04788877445932038</v>
      </c>
      <c r="Q137" s="35" t="n">
        <v>-0.1190476190476191</v>
      </c>
      <c r="R137" s="35" t="n">
        <v>0.01296697279673453</v>
      </c>
      <c r="S137" s="35" t="n">
        <v>0.03669615717706187</v>
      </c>
      <c r="T137" s="35" t="n">
        <v>0.0115026323092664</v>
      </c>
      <c r="U137" s="30" t="n">
        <v>23350</v>
      </c>
      <c r="V137" s="30" t="n">
        <v>15050</v>
      </c>
      <c r="W137" s="35" t="n">
        <v>-0.1284796573875803</v>
      </c>
      <c r="X137" s="35" t="n">
        <v>0.3521594684385383</v>
      </c>
      <c r="Y137" s="30" t="n">
        <v>28966714</v>
      </c>
      <c r="Z137" s="30" t="n">
        <v>589472629900</v>
      </c>
      <c r="AA137" s="30" t="n">
        <v>2117437850</v>
      </c>
      <c r="AB137" s="30" t="n">
        <v>3669759967.5</v>
      </c>
      <c r="AC137" s="35" t="n">
        <v>0.003592088491639059</v>
      </c>
      <c r="AD137" s="24" t="inlineStr">
        <is>
          <t>yfinance_download</t>
        </is>
      </c>
      <c r="AE137" s="24" t="inlineStr">
        <is>
          <t>319660.KQ</t>
        </is>
      </c>
    </row>
    <row r="138" ht="24" customHeight="1">
      <c r="A138" s="29" t="inlineStr">
        <is>
          <t>2023-12-27</t>
        </is>
      </c>
      <c r="B138" s="31" t="n">
        <v>20500</v>
      </c>
      <c r="C138" s="31" t="n">
        <v>21200</v>
      </c>
      <c r="D138" s="31" t="n">
        <v>20050</v>
      </c>
      <c r="E138" s="31" t="n">
        <v>20900</v>
      </c>
      <c r="F138" s="31" t="n">
        <v>20415.82421875</v>
      </c>
      <c r="G138" s="31" t="n">
        <v>233992</v>
      </c>
      <c r="H138" s="36" t="n">
        <v>0.02702702702702697</v>
      </c>
      <c r="I138" s="36" t="n">
        <v>-0.2157598499061913</v>
      </c>
      <c r="J138" s="31" t="n">
        <v>20122</v>
      </c>
      <c r="K138" s="31" t="n">
        <v>19656.83333333333</v>
      </c>
      <c r="L138" s="31" t="n">
        <v>20103.58333333333</v>
      </c>
      <c r="M138" s="36" t="n">
        <v>0.2236354344678662</v>
      </c>
      <c r="N138" s="36" t="n">
        <v>0.3396375496790017</v>
      </c>
      <c r="O138" s="36" t="n">
        <v>0.03209876543209877</v>
      </c>
      <c r="P138" s="36" t="n">
        <v>0.08458744161909704</v>
      </c>
      <c r="Q138" s="36" t="n">
        <v>-0.07929515418502198</v>
      </c>
      <c r="R138" s="36" t="n">
        <v>0.03866414869297286</v>
      </c>
      <c r="S138" s="36" t="n">
        <v>0.06324348614985476</v>
      </c>
      <c r="T138" s="36" t="n">
        <v>0.03961565724186822</v>
      </c>
      <c r="U138" s="31" t="n">
        <v>23350</v>
      </c>
      <c r="V138" s="31" t="n">
        <v>15050</v>
      </c>
      <c r="W138" s="36" t="n">
        <v>-0.1049250535331906</v>
      </c>
      <c r="X138" s="36" t="n">
        <v>0.3887043189368771</v>
      </c>
      <c r="Y138" s="31" t="n">
        <v>28966714</v>
      </c>
      <c r="Z138" s="31" t="n">
        <v>605404322600</v>
      </c>
      <c r="AA138" s="31" t="n">
        <v>4890432800</v>
      </c>
      <c r="AB138" s="31" t="n">
        <v>3794976707.5</v>
      </c>
      <c r="AC138" s="36" t="n">
        <v>0.008077961483653272</v>
      </c>
      <c r="AD138" s="29" t="inlineStr">
        <is>
          <t>yfinance_download</t>
        </is>
      </c>
      <c r="AE138" s="29" t="inlineStr">
        <is>
          <t>319660.KQ</t>
        </is>
      </c>
    </row>
    <row r="139" ht="24" customHeight="1">
      <c r="A139" s="24" t="inlineStr">
        <is>
          <t>2023-12-28</t>
        </is>
      </c>
      <c r="B139" s="30" t="n">
        <v>20950</v>
      </c>
      <c r="C139" s="30" t="n">
        <v>21100</v>
      </c>
      <c r="D139" s="30" t="n">
        <v>20450</v>
      </c>
      <c r="E139" s="30" t="n">
        <v>21050</v>
      </c>
      <c r="F139" s="30" t="n">
        <v>20562.349609375</v>
      </c>
      <c r="G139" s="30" t="n">
        <v>185103</v>
      </c>
      <c r="H139" s="35" t="n">
        <v>0.007177033492822948</v>
      </c>
      <c r="I139" s="35" t="n">
        <v>-0.2101313320825516</v>
      </c>
      <c r="J139" s="30" t="n">
        <v>20167</v>
      </c>
      <c r="K139" s="30" t="n">
        <v>19686.5</v>
      </c>
      <c r="L139" s="30" t="n">
        <v>20089.83333333333</v>
      </c>
      <c r="M139" s="35" t="n">
        <v>0.2230175942481172</v>
      </c>
      <c r="N139" s="35" t="n">
        <v>0.3398135065270603</v>
      </c>
      <c r="O139" s="35" t="n">
        <v>0.04466501240694787</v>
      </c>
      <c r="P139" s="35" t="n">
        <v>0.09237156201349239</v>
      </c>
      <c r="Q139" s="35" t="n">
        <v>-0.07268722466960353</v>
      </c>
      <c r="R139" s="35" t="n">
        <v>0.04378440025784691</v>
      </c>
      <c r="S139" s="35" t="n">
        <v>0.06926066085896432</v>
      </c>
      <c r="T139" s="35" t="n">
        <v>0.04779366014319031</v>
      </c>
      <c r="U139" s="30" t="n">
        <v>23350</v>
      </c>
      <c r="V139" s="30" t="n">
        <v>15050</v>
      </c>
      <c r="W139" s="35" t="n">
        <v>-0.09850107066381153</v>
      </c>
      <c r="X139" s="35" t="n">
        <v>0.3986710963455149</v>
      </c>
      <c r="Y139" s="30" t="n">
        <v>28966714</v>
      </c>
      <c r="Z139" s="30" t="n">
        <v>609749329700</v>
      </c>
      <c r="AA139" s="30" t="n">
        <v>3896418150</v>
      </c>
      <c r="AB139" s="30" t="n">
        <v>3862871757.5</v>
      </c>
      <c r="AC139" s="35" t="n">
        <v>0.006390196692659029</v>
      </c>
      <c r="AD139" s="24" t="inlineStr">
        <is>
          <t>yfinance_download</t>
        </is>
      </c>
      <c r="AE139" s="24" t="inlineStr">
        <is>
          <t>319660.KQ</t>
        </is>
      </c>
    </row>
    <row r="140" ht="24" customHeight="1">
      <c r="A140" s="29" t="inlineStr">
        <is>
          <t>2024-01-02</t>
        </is>
      </c>
      <c r="B140" s="31" t="n">
        <v>21100</v>
      </c>
      <c r="C140" s="31" t="n">
        <v>21800</v>
      </c>
      <c r="D140" s="31" t="n">
        <v>20800</v>
      </c>
      <c r="E140" s="31" t="n">
        <v>21750</v>
      </c>
      <c r="F140" s="31" t="n">
        <v>21246.1328125</v>
      </c>
      <c r="G140" s="31" t="n">
        <v>359931</v>
      </c>
      <c r="H140" s="36" t="n">
        <v>0.03325415676959631</v>
      </c>
      <c r="I140" s="36" t="n">
        <v>-0.1838649155722326</v>
      </c>
      <c r="J140" s="31" t="n">
        <v>20262.5</v>
      </c>
      <c r="K140" s="31" t="n">
        <v>19729.33333333333</v>
      </c>
      <c r="L140" s="31" t="n">
        <v>20080.25</v>
      </c>
      <c r="M140" s="36" t="n">
        <v>0.2382284662978455</v>
      </c>
      <c r="N140" s="36" t="n">
        <v>0.3456164316151522</v>
      </c>
      <c r="O140" s="36" t="n">
        <v>0.09627016129032251</v>
      </c>
      <c r="P140" s="36" t="n">
        <v>0.1339937434827945</v>
      </c>
      <c r="Q140" s="36" t="n">
        <v>-0.05021834061135366</v>
      </c>
      <c r="R140" s="36" t="n">
        <v>0.07341147439851947</v>
      </c>
      <c r="S140" s="36" t="n">
        <v>0.102419409339731</v>
      </c>
      <c r="T140" s="36" t="n">
        <v>0.08315384519615043</v>
      </c>
      <c r="U140" s="31" t="n">
        <v>23350</v>
      </c>
      <c r="V140" s="31" t="n">
        <v>15050</v>
      </c>
      <c r="W140" s="36" t="n">
        <v>-0.06852248394004279</v>
      </c>
      <c r="X140" s="36" t="n">
        <v>0.4451827242524917</v>
      </c>
      <c r="Y140" s="31" t="n">
        <v>28966714</v>
      </c>
      <c r="Z140" s="31" t="n">
        <v>630026029500</v>
      </c>
      <c r="AA140" s="31" t="n">
        <v>7828499250</v>
      </c>
      <c r="AB140" s="31" t="n">
        <v>4071921488</v>
      </c>
      <c r="AC140" s="36" t="n">
        <v>0.01242567589820509</v>
      </c>
      <c r="AD140" s="29" t="inlineStr">
        <is>
          <t>yfinance_download</t>
        </is>
      </c>
      <c r="AE140" s="29" t="inlineStr">
        <is>
          <t>319660.KQ</t>
        </is>
      </c>
    </row>
    <row r="141" ht="24" customHeight="1">
      <c r="A141" s="24" t="inlineStr">
        <is>
          <t>2024-01-03</t>
        </is>
      </c>
      <c r="B141" s="30" t="n">
        <v>21200</v>
      </c>
      <c r="C141" s="30" t="n">
        <v>22000</v>
      </c>
      <c r="D141" s="30" t="n">
        <v>21050</v>
      </c>
      <c r="E141" s="30" t="n">
        <v>21950</v>
      </c>
      <c r="F141" s="30" t="n">
        <v>21441.5</v>
      </c>
      <c r="G141" s="30" t="n">
        <v>252373</v>
      </c>
      <c r="H141" s="35" t="n">
        <v>0.009195402298850519</v>
      </c>
      <c r="I141" s="35" t="n">
        <v>-0.1763602251407129</v>
      </c>
      <c r="J141" s="30" t="n">
        <v>20381</v>
      </c>
      <c r="K141" s="30" t="n">
        <v>19772.66666666667</v>
      </c>
      <c r="L141" s="30" t="n">
        <v>20079</v>
      </c>
      <c r="M141" s="35" t="n">
        <v>0.2290825939818558</v>
      </c>
      <c r="N141" s="35" t="n">
        <v>0.3456439049311849</v>
      </c>
      <c r="O141" s="35" t="n">
        <v>0.1210418794688457</v>
      </c>
      <c r="P141" s="35" t="n">
        <v>0.1343669250645996</v>
      </c>
      <c r="Q141" s="35" t="n">
        <v>-0.006787330316742057</v>
      </c>
      <c r="R141" s="35" t="n">
        <v>0.07698346499190412</v>
      </c>
      <c r="S141" s="35" t="n">
        <v>0.11011834519033</v>
      </c>
      <c r="T141" s="35" t="n">
        <v>0.09318193137108421</v>
      </c>
      <c r="U141" s="30" t="n">
        <v>23350</v>
      </c>
      <c r="V141" s="30" t="n">
        <v>15050</v>
      </c>
      <c r="W141" s="35" t="n">
        <v>-0.05995717344753748</v>
      </c>
      <c r="X141" s="35" t="n">
        <v>0.4584717607973421</v>
      </c>
      <c r="Y141" s="30" t="n">
        <v>28966714</v>
      </c>
      <c r="Z141" s="30" t="n">
        <v>635819372300</v>
      </c>
      <c r="AA141" s="30" t="n">
        <v>5539587350</v>
      </c>
      <c r="AB141" s="30" t="n">
        <v>4196285524.5</v>
      </c>
      <c r="AC141" s="35" t="n">
        <v>0.008712517408774776</v>
      </c>
      <c r="AD141" s="24" t="inlineStr">
        <is>
          <t>yfinance_download</t>
        </is>
      </c>
      <c r="AE141" s="24" t="inlineStr">
        <is>
          <t>319660.KQ</t>
        </is>
      </c>
    </row>
    <row r="142" ht="24" customHeight="1">
      <c r="A142" s="29" t="inlineStr">
        <is>
          <t>2024-01-04</t>
        </is>
      </c>
      <c r="B142" s="31" t="n">
        <v>21700</v>
      </c>
      <c r="C142" s="31" t="n">
        <v>22150</v>
      </c>
      <c r="D142" s="31" t="n">
        <v>21500</v>
      </c>
      <c r="E142" s="31" t="n">
        <v>21800</v>
      </c>
      <c r="F142" s="31" t="n">
        <v>21294.9765625</v>
      </c>
      <c r="G142" s="31" t="n">
        <v>179580</v>
      </c>
      <c r="H142" s="36" t="n">
        <v>-0.006833712984054663</v>
      </c>
      <c r="I142" s="36" t="n">
        <v>-0.1819887429643527</v>
      </c>
      <c r="J142" s="31" t="n">
        <v>20491</v>
      </c>
      <c r="K142" s="31" t="n">
        <v>19814</v>
      </c>
      <c r="L142" s="31" t="n">
        <v>20085.66666666667</v>
      </c>
      <c r="M142" s="36" t="n">
        <v>0.2329330663693062</v>
      </c>
      <c r="N142" s="36" t="n">
        <v>0.34606696265797</v>
      </c>
      <c r="O142" s="36" t="n">
        <v>0.1122448979591837</v>
      </c>
      <c r="P142" s="36" t="n">
        <v>0.1283643892339545</v>
      </c>
      <c r="Q142" s="36" t="n">
        <v>0.03809523809523818</v>
      </c>
      <c r="R142" s="36" t="n">
        <v>0.06388170416280325</v>
      </c>
      <c r="S142" s="36" t="n">
        <v>0.1002321590794388</v>
      </c>
      <c r="T142" s="36" t="n">
        <v>0.08535107954262577</v>
      </c>
      <c r="U142" s="31" t="n">
        <v>23350</v>
      </c>
      <c r="V142" s="31" t="n">
        <v>15050</v>
      </c>
      <c r="W142" s="36" t="n">
        <v>-0.06638115631691643</v>
      </c>
      <c r="X142" s="36" t="n">
        <v>0.4485049833887043</v>
      </c>
      <c r="Y142" s="31" t="n">
        <v>28966714</v>
      </c>
      <c r="Z142" s="31" t="n">
        <v>631474365200</v>
      </c>
      <c r="AA142" s="31" t="n">
        <v>3914844000</v>
      </c>
      <c r="AB142" s="31" t="n">
        <v>4180032164.5</v>
      </c>
      <c r="AC142" s="36" t="n">
        <v>0.006199529570388964</v>
      </c>
      <c r="AD142" s="29" t="inlineStr">
        <is>
          <t>yfinance_download</t>
        </is>
      </c>
      <c r="AE142" s="29" t="inlineStr">
        <is>
          <t>319660.KQ</t>
        </is>
      </c>
    </row>
    <row r="143" ht="24" customHeight="1">
      <c r="A143" s="24" t="inlineStr">
        <is>
          <t>2024-01-05</t>
        </is>
      </c>
      <c r="B143" s="30" t="n">
        <v>21900</v>
      </c>
      <c r="C143" s="30" t="n">
        <v>21900</v>
      </c>
      <c r="D143" s="30" t="n">
        <v>21100</v>
      </c>
      <c r="E143" s="30" t="n">
        <v>21600</v>
      </c>
      <c r="F143" s="30" t="n">
        <v>21099.607421875</v>
      </c>
      <c r="G143" s="30" t="n">
        <v>134586</v>
      </c>
      <c r="H143" s="35" t="n">
        <v>-0.00917431192660545</v>
      </c>
      <c r="I143" s="35" t="n">
        <v>-0.1894934333958724</v>
      </c>
      <c r="J143" s="30" t="n">
        <v>20604.5</v>
      </c>
      <c r="K143" s="30" t="n">
        <v>19852.33333333333</v>
      </c>
      <c r="L143" s="30" t="n">
        <v>20092.33333333333</v>
      </c>
      <c r="M143" s="35" t="n">
        <v>0.2284290995091092</v>
      </c>
      <c r="N143" s="35" t="n">
        <v>0.3467979731770706</v>
      </c>
      <c r="O143" s="35" t="n">
        <v>0.1174340403517848</v>
      </c>
      <c r="P143" s="35" t="n">
        <v>0.1191709844559585</v>
      </c>
      <c r="Q143" s="35" t="n">
        <v>0.03846153846153855</v>
      </c>
      <c r="R143" s="35" t="n">
        <v>0.04831468853891141</v>
      </c>
      <c r="S143" s="35" t="n">
        <v>0.08803331262488046</v>
      </c>
      <c r="T143" s="35" t="n">
        <v>0.07503691291869208</v>
      </c>
      <c r="U143" s="30" t="n">
        <v>23350</v>
      </c>
      <c r="V143" s="30" t="n">
        <v>15050</v>
      </c>
      <c r="W143" s="35" t="n">
        <v>-0.07494646680942185</v>
      </c>
      <c r="X143" s="35" t="n">
        <v>0.4352159468438539</v>
      </c>
      <c r="Y143" s="30" t="n">
        <v>28966714</v>
      </c>
      <c r="Z143" s="30" t="n">
        <v>625681022400</v>
      </c>
      <c r="AA143" s="30" t="n">
        <v>2907057600</v>
      </c>
      <c r="AB143" s="30" t="n">
        <v>4142205266</v>
      </c>
      <c r="AC143" s="35" t="n">
        <v>0.004646229461857496</v>
      </c>
      <c r="AD143" s="24" t="inlineStr">
        <is>
          <t>yfinance_download</t>
        </is>
      </c>
      <c r="AE143" s="24" t="inlineStr">
        <is>
          <t>319660.KQ</t>
        </is>
      </c>
    </row>
    <row r="144" ht="24" customHeight="1">
      <c r="A144" s="29" t="inlineStr">
        <is>
          <t>2024-01-08</t>
        </is>
      </c>
      <c r="B144" s="31" t="n">
        <v>21600</v>
      </c>
      <c r="C144" s="31" t="n">
        <v>21650</v>
      </c>
      <c r="D144" s="31" t="n">
        <v>20900</v>
      </c>
      <c r="E144" s="31" t="n">
        <v>21250</v>
      </c>
      <c r="F144" s="31" t="n">
        <v>20757.716796875</v>
      </c>
      <c r="G144" s="31" t="n">
        <v>172912</v>
      </c>
      <c r="H144" s="36" t="n">
        <v>-0.01620370370370372</v>
      </c>
      <c r="I144" s="36" t="n">
        <v>-0.2026266416510319</v>
      </c>
      <c r="J144" s="31" t="n">
        <v>20703.5</v>
      </c>
      <c r="K144" s="31" t="n">
        <v>19872.33333333333</v>
      </c>
      <c r="L144" s="31" t="n">
        <v>20099.83333333333</v>
      </c>
      <c r="M144" s="36" t="n">
        <v>0.239560490069427</v>
      </c>
      <c r="N144" s="36" t="n">
        <v>0.3401735060960374</v>
      </c>
      <c r="O144" s="36" t="n">
        <v>0.1027503892060198</v>
      </c>
      <c r="P144" s="36" t="n">
        <v>0.05985037406483795</v>
      </c>
      <c r="Q144" s="36" t="n">
        <v>0.04422604422604426</v>
      </c>
      <c r="R144" s="36" t="n">
        <v>0.0263965030067379</v>
      </c>
      <c r="S144" s="36" t="n">
        <v>0.06932586342821678</v>
      </c>
      <c r="T144" s="36" t="n">
        <v>0.05722269670561131</v>
      </c>
      <c r="U144" s="31" t="n">
        <v>23350</v>
      </c>
      <c r="V144" s="31" t="n">
        <v>15050</v>
      </c>
      <c r="W144" s="36" t="n">
        <v>-0.08993576017130622</v>
      </c>
      <c r="X144" s="36" t="n">
        <v>0.4119601328903655</v>
      </c>
      <c r="Y144" s="31" t="n">
        <v>28966714</v>
      </c>
      <c r="Z144" s="31" t="n">
        <v>615542672500</v>
      </c>
      <c r="AA144" s="31" t="n">
        <v>3674380000</v>
      </c>
      <c r="AB144" s="31" t="n">
        <v>4190516866.5</v>
      </c>
      <c r="AC144" s="36" t="n">
        <v>0.005969334319384656</v>
      </c>
      <c r="AD144" s="29" t="inlineStr">
        <is>
          <t>yfinance_download</t>
        </is>
      </c>
      <c r="AE144" s="29" t="inlineStr">
        <is>
          <t>319660.KQ</t>
        </is>
      </c>
    </row>
    <row r="145" ht="24" customHeight="1">
      <c r="A145" s="24" t="inlineStr">
        <is>
          <t>2024-01-09</t>
        </is>
      </c>
      <c r="B145" s="30" t="n">
        <v>21450</v>
      </c>
      <c r="C145" s="30" t="n">
        <v>21700</v>
      </c>
      <c r="D145" s="30" t="n">
        <v>20900</v>
      </c>
      <c r="E145" s="30" t="n">
        <v>21100</v>
      </c>
      <c r="F145" s="30" t="n">
        <v>20611.19140625</v>
      </c>
      <c r="G145" s="30" t="n">
        <v>152641</v>
      </c>
      <c r="H145" s="35" t="n">
        <v>-0.007058823529411784</v>
      </c>
      <c r="I145" s="35" t="n">
        <v>-0.2082551594746717</v>
      </c>
      <c r="J145" s="30" t="n">
        <v>20792.5</v>
      </c>
      <c r="K145" s="30" t="n">
        <v>19893.66666666667</v>
      </c>
      <c r="L145" s="30" t="n">
        <v>20098.58333333333</v>
      </c>
      <c r="M145" s="35" t="n">
        <v>0.2432734606547402</v>
      </c>
      <c r="N145" s="35" t="n">
        <v>0.339591481848884</v>
      </c>
      <c r="O145" s="35" t="n">
        <v>0.09213250517598337</v>
      </c>
      <c r="P145" s="35" t="n">
        <v>0.06458123107971736</v>
      </c>
      <c r="Q145" s="35" t="n">
        <v>-0.007058823529411784</v>
      </c>
      <c r="R145" s="35" t="n">
        <v>0.01478898641337012</v>
      </c>
      <c r="S145" s="35" t="n">
        <v>0.06063906435884103</v>
      </c>
      <c r="T145" s="35" t="n">
        <v>0.04982523643872083</v>
      </c>
      <c r="U145" s="30" t="n">
        <v>23350</v>
      </c>
      <c r="V145" s="30" t="n">
        <v>15050</v>
      </c>
      <c r="W145" s="35" t="n">
        <v>-0.09635974304068518</v>
      </c>
      <c r="X145" s="35" t="n">
        <v>0.4019933554817277</v>
      </c>
      <c r="Y145" s="30" t="n">
        <v>28966714</v>
      </c>
      <c r="Z145" s="30" t="n">
        <v>611197665400</v>
      </c>
      <c r="AA145" s="30" t="n">
        <v>3220725100</v>
      </c>
      <c r="AB145" s="30" t="n">
        <v>4284064497.5</v>
      </c>
      <c r="AC145" s="35" t="n">
        <v>0.005269531090064272</v>
      </c>
      <c r="AD145" s="24" t="inlineStr">
        <is>
          <t>yfinance_download</t>
        </is>
      </c>
      <c r="AE145" s="24" t="inlineStr">
        <is>
          <t>319660.KQ</t>
        </is>
      </c>
    </row>
    <row r="146" ht="24" customHeight="1">
      <c r="A146" s="29" t="inlineStr">
        <is>
          <t>2024-01-10</t>
        </is>
      </c>
      <c r="B146" s="31" t="n">
        <v>21050</v>
      </c>
      <c r="C146" s="31" t="n">
        <v>21050</v>
      </c>
      <c r="D146" s="31" t="n">
        <v>20350</v>
      </c>
      <c r="E146" s="31" t="n">
        <v>20600</v>
      </c>
      <c r="F146" s="31" t="n">
        <v>20122.7734375</v>
      </c>
      <c r="G146" s="31" t="n">
        <v>157172</v>
      </c>
      <c r="H146" s="36" t="n">
        <v>-0.023696682464455</v>
      </c>
      <c r="I146" s="36" t="n">
        <v>-0.2270168855534709</v>
      </c>
      <c r="J146" s="31" t="n">
        <v>20840</v>
      </c>
      <c r="K146" s="31" t="n">
        <v>19905.33333333333</v>
      </c>
      <c r="L146" s="31" t="n">
        <v>20089.83333333333</v>
      </c>
      <c r="M146" s="36" t="n">
        <v>0.2579820785592196</v>
      </c>
      <c r="N146" s="36" t="n">
        <v>0.3433611045922943</v>
      </c>
      <c r="O146" s="36" t="n">
        <v>0.04834605597964381</v>
      </c>
      <c r="P146" s="36" t="n">
        <v>0.03517587939698497</v>
      </c>
      <c r="Q146" s="36" t="n">
        <v>-0.0484988452655889</v>
      </c>
      <c r="R146" s="36" t="n">
        <v>-0.01151631477927062</v>
      </c>
      <c r="S146" s="36" t="n">
        <v>0.03489851965972268</v>
      </c>
      <c r="T146" s="36" t="n">
        <v>0.02539427073395339</v>
      </c>
      <c r="U146" s="31" t="n">
        <v>23350</v>
      </c>
      <c r="V146" s="31" t="n">
        <v>15050</v>
      </c>
      <c r="W146" s="36" t="n">
        <v>-0.1177730192719486</v>
      </c>
      <c r="X146" s="36" t="n">
        <v>0.3687707641196014</v>
      </c>
      <c r="Y146" s="31" t="n">
        <v>28966714</v>
      </c>
      <c r="Z146" s="31" t="n">
        <v>596714308400</v>
      </c>
      <c r="AA146" s="31" t="n">
        <v>3237743200</v>
      </c>
      <c r="AB146" s="31" t="n">
        <v>4272727082.5</v>
      </c>
      <c r="AC146" s="36" t="n">
        <v>0.005425952008225717</v>
      </c>
      <c r="AD146" s="29" t="inlineStr">
        <is>
          <t>yfinance_download</t>
        </is>
      </c>
      <c r="AE146" s="29" t="inlineStr">
        <is>
          <t>319660.KQ</t>
        </is>
      </c>
    </row>
    <row r="147" ht="24" customHeight="1">
      <c r="A147" s="24" t="inlineStr">
        <is>
          <t>2024-01-11</t>
        </is>
      </c>
      <c r="B147" s="30" t="n">
        <v>20500</v>
      </c>
      <c r="C147" s="30" t="n">
        <v>21050</v>
      </c>
      <c r="D147" s="30" t="n">
        <v>20500</v>
      </c>
      <c r="E147" s="30" t="n">
        <v>20950</v>
      </c>
      <c r="F147" s="30" t="n">
        <v>20464.666015625</v>
      </c>
      <c r="G147" s="30" t="n">
        <v>85008</v>
      </c>
      <c r="H147" s="35" t="n">
        <v>0.01699029126213603</v>
      </c>
      <c r="I147" s="35" t="n">
        <v>-0.2138836772983115</v>
      </c>
      <c r="J147" s="30" t="n">
        <v>20882.5</v>
      </c>
      <c r="K147" s="30" t="n">
        <v>19930.33333333333</v>
      </c>
      <c r="L147" s="30" t="n">
        <v>20084</v>
      </c>
      <c r="M147" s="35" t="n">
        <v>0.2525760220800165</v>
      </c>
      <c r="N147" s="35" t="n">
        <v>0.341411014358922</v>
      </c>
      <c r="O147" s="35" t="n">
        <v>0.04228855721393043</v>
      </c>
      <c r="P147" s="35" t="n">
        <v>0.07712082262210807</v>
      </c>
      <c r="Q147" s="35" t="n">
        <v>-0.0323325635103926</v>
      </c>
      <c r="R147" s="35" t="n">
        <v>0.003232371603016926</v>
      </c>
      <c r="S147" s="35" t="n">
        <v>0.05116154605208156</v>
      </c>
      <c r="T147" s="35" t="n">
        <v>0.04311890061740686</v>
      </c>
      <c r="U147" s="30" t="n">
        <v>23350</v>
      </c>
      <c r="V147" s="30" t="n">
        <v>15050</v>
      </c>
      <c r="W147" s="35" t="n">
        <v>-0.1027837259100642</v>
      </c>
      <c r="X147" s="35" t="n">
        <v>0.3920265780730896</v>
      </c>
      <c r="Y147" s="30" t="n">
        <v>28966714</v>
      </c>
      <c r="Z147" s="30" t="n">
        <v>606852658300</v>
      </c>
      <c r="AA147" s="30" t="n">
        <v>1780917600</v>
      </c>
      <c r="AB147" s="30" t="n">
        <v>4161632237.5</v>
      </c>
      <c r="AC147" s="35" t="n">
        <v>0.00293467874885636</v>
      </c>
      <c r="AD147" s="24" t="inlineStr">
        <is>
          <t>yfinance_download</t>
        </is>
      </c>
      <c r="AE147" s="24" t="inlineStr">
        <is>
          <t>319660.KQ</t>
        </is>
      </c>
    </row>
    <row r="148" ht="24" customHeight="1">
      <c r="A148" s="29" t="inlineStr">
        <is>
          <t>2024-01-12</t>
        </is>
      </c>
      <c r="B148" s="31" t="n">
        <v>20950</v>
      </c>
      <c r="C148" s="31" t="n">
        <v>21350</v>
      </c>
      <c r="D148" s="31" t="n">
        <v>20600</v>
      </c>
      <c r="E148" s="31" t="n">
        <v>21150</v>
      </c>
      <c r="F148" s="31" t="n">
        <v>20660.033203125</v>
      </c>
      <c r="G148" s="31" t="n">
        <v>161114</v>
      </c>
      <c r="H148" s="36" t="n">
        <v>0.009546539379474916</v>
      </c>
      <c r="I148" s="36" t="n">
        <v>-0.2063789868667918</v>
      </c>
      <c r="J148" s="31" t="n">
        <v>20925</v>
      </c>
      <c r="K148" s="31" t="n">
        <v>19955.16666666667</v>
      </c>
      <c r="L148" s="31" t="n">
        <v>20065.66666666667</v>
      </c>
      <c r="M148" s="36" t="n">
        <v>0.2524155904101242</v>
      </c>
      <c r="N148" s="36" t="n">
        <v>0.3412746407702625</v>
      </c>
      <c r="O148" s="36" t="n">
        <v>0.04187192118226601</v>
      </c>
      <c r="P148" s="36" t="n">
        <v>0.07578840284842325</v>
      </c>
      <c r="Q148" s="36" t="n">
        <v>-0.09421841541755893</v>
      </c>
      <c r="R148" s="36" t="n">
        <v>0.010752688172043</v>
      </c>
      <c r="S148" s="36" t="n">
        <v>0.05987588844994196</v>
      </c>
      <c r="T148" s="36" t="n">
        <v>0.05403923783577258</v>
      </c>
      <c r="U148" s="31" t="n">
        <v>23350</v>
      </c>
      <c r="V148" s="31" t="n">
        <v>15450</v>
      </c>
      <c r="W148" s="36" t="n">
        <v>-0.09421841541755893</v>
      </c>
      <c r="X148" s="36" t="n">
        <v>0.3689320388349515</v>
      </c>
      <c r="Y148" s="31" t="n">
        <v>28966714</v>
      </c>
      <c r="Z148" s="31" t="n">
        <v>612646001100</v>
      </c>
      <c r="AA148" s="31" t="n">
        <v>3407561100</v>
      </c>
      <c r="AB148" s="31" t="n">
        <v>4087203457.5</v>
      </c>
      <c r="AC148" s="36" t="n">
        <v>0.005562039242697671</v>
      </c>
      <c r="AD148" s="29" t="inlineStr">
        <is>
          <t>yfinance_download</t>
        </is>
      </c>
      <c r="AE148" s="29" t="inlineStr">
        <is>
          <t>319660.KQ</t>
        </is>
      </c>
    </row>
    <row r="149" ht="24" customHeight="1">
      <c r="A149" s="24" t="inlineStr">
        <is>
          <t>2024-01-15</t>
        </is>
      </c>
      <c r="B149" s="30" t="n">
        <v>21300</v>
      </c>
      <c r="C149" s="30" t="n">
        <v>21300</v>
      </c>
      <c r="D149" s="30" t="n">
        <v>20650</v>
      </c>
      <c r="E149" s="30" t="n">
        <v>20750</v>
      </c>
      <c r="F149" s="30" t="n">
        <v>20269.30078125</v>
      </c>
      <c r="G149" s="30" t="n">
        <v>92528</v>
      </c>
      <c r="H149" s="35" t="n">
        <v>-0.01891252955082745</v>
      </c>
      <c r="I149" s="35" t="n">
        <v>-0.2213883677298312</v>
      </c>
      <c r="J149" s="30" t="n">
        <v>20937.5</v>
      </c>
      <c r="K149" s="30" t="n">
        <v>19980.16666666667</v>
      </c>
      <c r="L149" s="30" t="n">
        <v>20049.41666666667</v>
      </c>
      <c r="M149" s="35" t="n">
        <v>0.2613035726253337</v>
      </c>
      <c r="N149" s="35" t="n">
        <v>0.3407554653172346</v>
      </c>
      <c r="O149" s="35" t="n">
        <v>0.01219512195121952</v>
      </c>
      <c r="P149" s="35" t="n">
        <v>0.07792207792207795</v>
      </c>
      <c r="Q149" s="35" t="n">
        <v>-0.08590308370044053</v>
      </c>
      <c r="R149" s="35" t="n">
        <v>-0.008955223880596996</v>
      </c>
      <c r="S149" s="35" t="n">
        <v>0.03852987545983089</v>
      </c>
      <c r="T149" s="35" t="n">
        <v>0.03494282876060395</v>
      </c>
      <c r="U149" s="30" t="n">
        <v>23350</v>
      </c>
      <c r="V149" s="30" t="n">
        <v>16960</v>
      </c>
      <c r="W149" s="35" t="n">
        <v>-0.1113490364025695</v>
      </c>
      <c r="X149" s="35" t="n">
        <v>0.2234669811320755</v>
      </c>
      <c r="Y149" s="30" t="n">
        <v>28966714</v>
      </c>
      <c r="Z149" s="30" t="n">
        <v>601059315500</v>
      </c>
      <c r="AA149" s="30" t="n">
        <v>1919956000</v>
      </c>
      <c r="AB149" s="30" t="n">
        <v>3764556407.5</v>
      </c>
      <c r="AC149" s="35" t="n">
        <v>0.003194287070324925</v>
      </c>
      <c r="AD149" s="24" t="inlineStr">
        <is>
          <t>yfinance_download</t>
        </is>
      </c>
      <c r="AE149" s="24" t="inlineStr">
        <is>
          <t>319660.KQ</t>
        </is>
      </c>
    </row>
    <row r="150" ht="24" customHeight="1">
      <c r="A150" s="29" t="inlineStr">
        <is>
          <t>2024-01-16</t>
        </is>
      </c>
      <c r="B150" s="31" t="n">
        <v>20600</v>
      </c>
      <c r="C150" s="31" t="n">
        <v>21150</v>
      </c>
      <c r="D150" s="31" t="n">
        <v>20250</v>
      </c>
      <c r="E150" s="31" t="n">
        <v>20800</v>
      </c>
      <c r="F150" s="31" t="n">
        <v>20318.140625</v>
      </c>
      <c r="G150" s="31" t="n">
        <v>126344</v>
      </c>
      <c r="H150" s="36" t="n">
        <v>0.002409638554216942</v>
      </c>
      <c r="I150" s="36" t="n">
        <v>-0.2195121951219512</v>
      </c>
      <c r="J150" s="31" t="n">
        <v>20940</v>
      </c>
      <c r="K150" s="31" t="n">
        <v>20018.16666666667</v>
      </c>
      <c r="L150" s="31" t="n">
        <v>20034</v>
      </c>
      <c r="M150" s="36" t="n">
        <v>0.2578977910970999</v>
      </c>
      <c r="N150" s="36" t="n">
        <v>0.3307143300683258</v>
      </c>
      <c r="O150" s="36" t="n">
        <v>0.002409638554216942</v>
      </c>
      <c r="P150" s="36" t="n">
        <v>0.1231101511879049</v>
      </c>
      <c r="Q150" s="36" t="n">
        <v>-0.08167770419426046</v>
      </c>
      <c r="R150" s="36" t="n">
        <v>-0.006685768863419317</v>
      </c>
      <c r="S150" s="36" t="n">
        <v>0.03905619062684718</v>
      </c>
      <c r="T150" s="36" t="n">
        <v>0.03823500049915141</v>
      </c>
      <c r="U150" s="31" t="n">
        <v>23350</v>
      </c>
      <c r="V150" s="31" t="n">
        <v>16960</v>
      </c>
      <c r="W150" s="36" t="n">
        <v>-0.1092077087794433</v>
      </c>
      <c r="X150" s="36" t="n">
        <v>0.2264150943396226</v>
      </c>
      <c r="Y150" s="31" t="n">
        <v>28966714</v>
      </c>
      <c r="Z150" s="31" t="n">
        <v>602507651200</v>
      </c>
      <c r="AA150" s="31" t="n">
        <v>2627955200</v>
      </c>
      <c r="AB150" s="31" t="n">
        <v>3676798892.5</v>
      </c>
      <c r="AC150" s="36" t="n">
        <v>0.004361695979737294</v>
      </c>
      <c r="AD150" s="29" t="inlineStr">
        <is>
          <t>yfinance_download</t>
        </is>
      </c>
      <c r="AE150" s="29" t="inlineStr">
        <is>
          <t>319660.KQ</t>
        </is>
      </c>
    </row>
    <row r="151" ht="24" customHeight="1">
      <c r="A151" s="24" t="inlineStr">
        <is>
          <t>2024-01-17</t>
        </is>
      </c>
      <c r="B151" s="30" t="n">
        <v>20700</v>
      </c>
      <c r="C151" s="30" t="n">
        <v>21250</v>
      </c>
      <c r="D151" s="30" t="n">
        <v>20650</v>
      </c>
      <c r="E151" s="30" t="n">
        <v>20900</v>
      </c>
      <c r="F151" s="30" t="n">
        <v>20415.82421875</v>
      </c>
      <c r="G151" s="30" t="n">
        <v>202496</v>
      </c>
      <c r="H151" s="35" t="n">
        <v>0.004807692307692291</v>
      </c>
      <c r="I151" s="35" t="n">
        <v>-0.2157598499061913</v>
      </c>
      <c r="J151" s="30" t="n">
        <v>20955</v>
      </c>
      <c r="K151" s="30" t="n">
        <v>20054.16666666667</v>
      </c>
      <c r="L151" s="30" t="n">
        <v>20016.91666666667</v>
      </c>
      <c r="M151" s="35" t="n">
        <v>0.2568078879620087</v>
      </c>
      <c r="N151" s="35" t="n">
        <v>0.3301427947162828</v>
      </c>
      <c r="O151" s="35" t="n">
        <v>0.0145631067961165</v>
      </c>
      <c r="P151" s="35" t="n">
        <v>0.1152614727854855</v>
      </c>
      <c r="Q151" s="35" t="n">
        <v>-0.08932461873638342</v>
      </c>
      <c r="R151" s="35" t="n">
        <v>-0.002624671916010457</v>
      </c>
      <c r="S151" s="35" t="n">
        <v>0.04217743611053382</v>
      </c>
      <c r="T151" s="35" t="n">
        <v>0.04411685116339092</v>
      </c>
      <c r="U151" s="30" t="n">
        <v>23350</v>
      </c>
      <c r="V151" s="30" t="n">
        <v>16960</v>
      </c>
      <c r="W151" s="35" t="n">
        <v>-0.1049250535331906</v>
      </c>
      <c r="X151" s="35" t="n">
        <v>0.2323113207547169</v>
      </c>
      <c r="Y151" s="30" t="n">
        <v>28966714</v>
      </c>
      <c r="Z151" s="30" t="n">
        <v>605404322600</v>
      </c>
      <c r="AA151" s="30" t="n">
        <v>4232166400</v>
      </c>
      <c r="AB151" s="30" t="n">
        <v>3745235152.5</v>
      </c>
      <c r="AC151" s="35" t="n">
        <v>0.006990644503204609</v>
      </c>
      <c r="AD151" s="24" t="inlineStr">
        <is>
          <t>yfinance_download</t>
        </is>
      </c>
      <c r="AE151" s="24" t="inlineStr">
        <is>
          <t>319660.KQ</t>
        </is>
      </c>
    </row>
    <row r="152" ht="24" customHeight="1">
      <c r="A152" s="29" t="inlineStr">
        <is>
          <t>2024-01-18</t>
        </is>
      </c>
      <c r="B152" s="31" t="n">
        <v>21000</v>
      </c>
      <c r="C152" s="31" t="n">
        <v>21150</v>
      </c>
      <c r="D152" s="31" t="n">
        <v>20450</v>
      </c>
      <c r="E152" s="31" t="n">
        <v>20800</v>
      </c>
      <c r="F152" s="31" t="n">
        <v>20318.140625</v>
      </c>
      <c r="G152" s="31" t="n">
        <v>136518</v>
      </c>
      <c r="H152" s="36" t="n">
        <v>-0.004784688995215336</v>
      </c>
      <c r="I152" s="36" t="n">
        <v>-0.2195121951219512</v>
      </c>
      <c r="J152" s="31" t="n">
        <v>20947.5</v>
      </c>
      <c r="K152" s="31" t="n">
        <v>20091.66666666667</v>
      </c>
      <c r="L152" s="31" t="n">
        <v>20005.66666666667</v>
      </c>
      <c r="M152" s="36" t="n">
        <v>0.250200346251008</v>
      </c>
      <c r="N152" s="36" t="n">
        <v>0.3294814558641669</v>
      </c>
      <c r="O152" s="36" t="n">
        <v>-0.007159904534606243</v>
      </c>
      <c r="P152" s="36" t="n">
        <v>0.1212938005390836</v>
      </c>
      <c r="Q152" s="36" t="n">
        <v>-0.06094808126410833</v>
      </c>
      <c r="R152" s="36" t="n">
        <v>-0.007041413056450674</v>
      </c>
      <c r="S152" s="36" t="n">
        <v>0.03525508087930307</v>
      </c>
      <c r="T152" s="36" t="n">
        <v>0.03970541679857376</v>
      </c>
      <c r="U152" s="31" t="n">
        <v>23350</v>
      </c>
      <c r="V152" s="31" t="n">
        <v>16960</v>
      </c>
      <c r="W152" s="36" t="n">
        <v>-0.1092077087794433</v>
      </c>
      <c r="X152" s="36" t="n">
        <v>0.2264150943396226</v>
      </c>
      <c r="Y152" s="31" t="n">
        <v>28966714</v>
      </c>
      <c r="Z152" s="31" t="n">
        <v>602507651200</v>
      </c>
      <c r="AA152" s="31" t="n">
        <v>2839574400</v>
      </c>
      <c r="AB152" s="31" t="n">
        <v>3658807545</v>
      </c>
      <c r="AC152" s="36" t="n">
        <v>0.004712926706149687</v>
      </c>
      <c r="AD152" s="29" t="inlineStr">
        <is>
          <t>yfinance_download</t>
        </is>
      </c>
      <c r="AE152" s="29" t="inlineStr">
        <is>
          <t>319660.KQ</t>
        </is>
      </c>
    </row>
    <row r="153" ht="24" customHeight="1">
      <c r="A153" s="24" t="inlineStr">
        <is>
          <t>2024-01-19</t>
        </is>
      </c>
      <c r="B153" s="30" t="n">
        <v>21100</v>
      </c>
      <c r="C153" s="30" t="n">
        <v>21500</v>
      </c>
      <c r="D153" s="30" t="n">
        <v>21000</v>
      </c>
      <c r="E153" s="30" t="n">
        <v>21200</v>
      </c>
      <c r="F153" s="30" t="n">
        <v>20708.875</v>
      </c>
      <c r="G153" s="30" t="n">
        <v>178101</v>
      </c>
      <c r="H153" s="35" t="n">
        <v>0.01923076923076916</v>
      </c>
      <c r="I153" s="35" t="n">
        <v>-0.2045028142589118</v>
      </c>
      <c r="J153" s="30" t="n">
        <v>20990</v>
      </c>
      <c r="K153" s="30" t="n">
        <v>20123.66666666667</v>
      </c>
      <c r="L153" s="30" t="n">
        <v>19994.83333333333</v>
      </c>
      <c r="M153" s="35" t="n">
        <v>0.2354004378464048</v>
      </c>
      <c r="N153" s="35" t="n">
        <v>0.3222711885588017</v>
      </c>
      <c r="O153" s="35" t="n">
        <v>0.04176904176904173</v>
      </c>
      <c r="P153" s="35" t="n">
        <v>0.09958506224066399</v>
      </c>
      <c r="Q153" s="35" t="n">
        <v>-0.05777777777777782</v>
      </c>
      <c r="R153" s="35" t="n">
        <v>0.010004764173416</v>
      </c>
      <c r="S153" s="35" t="n">
        <v>0.05348594523860783</v>
      </c>
      <c r="T153" s="35" t="n">
        <v>0.06027390409189048</v>
      </c>
      <c r="U153" s="30" t="n">
        <v>23350</v>
      </c>
      <c r="V153" s="30" t="n">
        <v>16960</v>
      </c>
      <c r="W153" s="35" t="n">
        <v>-0.09207708779443258</v>
      </c>
      <c r="X153" s="35" t="n">
        <v>0.25</v>
      </c>
      <c r="Y153" s="30" t="n">
        <v>28966714</v>
      </c>
      <c r="Z153" s="30" t="n">
        <v>614094336800</v>
      </c>
      <c r="AA153" s="30" t="n">
        <v>3775741200</v>
      </c>
      <c r="AB153" s="30" t="n">
        <v>3619204520</v>
      </c>
      <c r="AC153" s="35" t="n">
        <v>0.006148470965674602</v>
      </c>
      <c r="AD153" s="24" t="inlineStr">
        <is>
          <t>yfinance_download</t>
        </is>
      </c>
      <c r="AE153" s="24" t="inlineStr">
        <is>
          <t>319660.KQ</t>
        </is>
      </c>
    </row>
    <row r="154" ht="24" customHeight="1">
      <c r="A154" s="29" t="inlineStr">
        <is>
          <t>2024-01-22</t>
        </is>
      </c>
      <c r="B154" s="31" t="n">
        <v>21600</v>
      </c>
      <c r="C154" s="31" t="n">
        <v>21800</v>
      </c>
      <c r="D154" s="31" t="n">
        <v>21300</v>
      </c>
      <c r="E154" s="31" t="n">
        <v>21600</v>
      </c>
      <c r="F154" s="31" t="n">
        <v>21099.607421875</v>
      </c>
      <c r="G154" s="31" t="n">
        <v>219586</v>
      </c>
      <c r="H154" s="36" t="n">
        <v>0.01886792452830188</v>
      </c>
      <c r="I154" s="36" t="n">
        <v>-0.1894934333958724</v>
      </c>
      <c r="J154" s="31" t="n">
        <v>21055</v>
      </c>
      <c r="K154" s="31" t="n">
        <v>20161.66666666667</v>
      </c>
      <c r="L154" s="31" t="n">
        <v>19986.5</v>
      </c>
      <c r="M154" s="36" t="n">
        <v>0.2419422185784569</v>
      </c>
      <c r="N154" s="36" t="n">
        <v>0.3241676209928073</v>
      </c>
      <c r="O154" s="36" t="n">
        <v>0.06403940886699511</v>
      </c>
      <c r="P154" s="36" t="n">
        <v>0.1180124223602483</v>
      </c>
      <c r="Q154" s="36" t="n">
        <v>-0.04424778761061943</v>
      </c>
      <c r="R154" s="36" t="n">
        <v>0.02588458798385185</v>
      </c>
      <c r="S154" s="36" t="n">
        <v>0.07134000165330234</v>
      </c>
      <c r="T154" s="36" t="n">
        <v>0.08072949240737493</v>
      </c>
      <c r="U154" s="31" t="n">
        <v>23350</v>
      </c>
      <c r="V154" s="31" t="n">
        <v>16960</v>
      </c>
      <c r="W154" s="36" t="n">
        <v>-0.07494646680942185</v>
      </c>
      <c r="X154" s="36" t="n">
        <v>0.2735849056603774</v>
      </c>
      <c r="Y154" s="31" t="n">
        <v>28966714</v>
      </c>
      <c r="Z154" s="31" t="n">
        <v>625681022400</v>
      </c>
      <c r="AA154" s="31" t="n">
        <v>4743057600</v>
      </c>
      <c r="AB154" s="31" t="n">
        <v>3632758990</v>
      </c>
      <c r="AC154" s="36" t="n">
        <v>0.007580632031648464</v>
      </c>
      <c r="AD154" s="29" t="inlineStr">
        <is>
          <t>yfinance_download</t>
        </is>
      </c>
      <c r="AE154" s="29" t="inlineStr">
        <is>
          <t>319660.KQ</t>
        </is>
      </c>
    </row>
    <row r="155" ht="24" customHeight="1">
      <c r="A155" s="24" t="inlineStr">
        <is>
          <t>2024-01-23</t>
        </is>
      </c>
      <c r="B155" s="30" t="n">
        <v>21800</v>
      </c>
      <c r="C155" s="30" t="n">
        <v>21900</v>
      </c>
      <c r="D155" s="30" t="n">
        <v>21250</v>
      </c>
      <c r="E155" s="30" t="n">
        <v>21400</v>
      </c>
      <c r="F155" s="30" t="n">
        <v>20904.240234375</v>
      </c>
      <c r="G155" s="30" t="n">
        <v>194519</v>
      </c>
      <c r="H155" s="35" t="n">
        <v>-0.0092592592592593</v>
      </c>
      <c r="I155" s="35" t="n">
        <v>-0.1969981238273921</v>
      </c>
      <c r="J155" s="30" t="n">
        <v>21115</v>
      </c>
      <c r="K155" s="30" t="n">
        <v>20204.66666666667</v>
      </c>
      <c r="L155" s="30" t="n">
        <v>19986.5</v>
      </c>
      <c r="M155" s="35" t="n">
        <v>0.2443537510638202</v>
      </c>
      <c r="N155" s="35" t="n">
        <v>0.3198080661898147</v>
      </c>
      <c r="O155" s="35" t="n">
        <v>0.05940594059405946</v>
      </c>
      <c r="P155" s="35" t="n">
        <v>0.1370882040382573</v>
      </c>
      <c r="Q155" s="35" t="n">
        <v>0</v>
      </c>
      <c r="R155" s="35" t="n">
        <v>0.01349751361591278</v>
      </c>
      <c r="S155" s="35" t="n">
        <v>0.05916124987626614</v>
      </c>
      <c r="T155" s="35" t="n">
        <v>0.0707227378480475</v>
      </c>
      <c r="U155" s="30" t="n">
        <v>23350</v>
      </c>
      <c r="V155" s="30" t="n">
        <v>16960</v>
      </c>
      <c r="W155" s="35" t="n">
        <v>-0.08351177730192716</v>
      </c>
      <c r="X155" s="35" t="n">
        <v>0.2617924528301887</v>
      </c>
      <c r="Y155" s="30" t="n">
        <v>28966714</v>
      </c>
      <c r="Z155" s="30" t="n">
        <v>619887679600</v>
      </c>
      <c r="AA155" s="30" t="n">
        <v>4162706600</v>
      </c>
      <c r="AB155" s="30" t="n">
        <v>3701998110</v>
      </c>
      <c r="AC155" s="35" t="n">
        <v>0.006715259452625521</v>
      </c>
      <c r="AD155" s="24" t="inlineStr">
        <is>
          <t>yfinance_download</t>
        </is>
      </c>
      <c r="AE155" s="24" t="inlineStr">
        <is>
          <t>319660.KQ</t>
        </is>
      </c>
    </row>
    <row r="156" ht="24" customHeight="1">
      <c r="A156" s="29" t="inlineStr">
        <is>
          <t>2024-01-24</t>
        </is>
      </c>
      <c r="B156" s="31" t="n">
        <v>21350</v>
      </c>
      <c r="C156" s="31" t="n">
        <v>21700</v>
      </c>
      <c r="D156" s="31" t="n">
        <v>21250</v>
      </c>
      <c r="E156" s="31" t="n">
        <v>21650</v>
      </c>
      <c r="F156" s="31" t="n">
        <v>21148.451171875</v>
      </c>
      <c r="G156" s="31" t="n">
        <v>109561</v>
      </c>
      <c r="H156" s="36" t="n">
        <v>0.01168224299065423</v>
      </c>
      <c r="I156" s="36" t="n">
        <v>-0.1876172607879925</v>
      </c>
      <c r="J156" s="31" t="n">
        <v>21177.5</v>
      </c>
      <c r="K156" s="31" t="n">
        <v>20258.5</v>
      </c>
      <c r="L156" s="31" t="n">
        <v>19978.16666666667</v>
      </c>
      <c r="M156" s="36" t="n">
        <v>0.2451014659394058</v>
      </c>
      <c r="N156" s="36" t="n">
        <v>0.3165349748631469</v>
      </c>
      <c r="O156" s="36" t="n">
        <v>0.06127450980392157</v>
      </c>
      <c r="P156" s="36" t="n">
        <v>0.1753528773072748</v>
      </c>
      <c r="Q156" s="36" t="n">
        <v>-0.04415011037527594</v>
      </c>
      <c r="R156" s="36" t="n">
        <v>0.02231141541730608</v>
      </c>
      <c r="S156" s="36" t="n">
        <v>0.06868721771108421</v>
      </c>
      <c r="T156" s="36" t="n">
        <v>0.0836830206308552</v>
      </c>
      <c r="U156" s="31" t="n">
        <v>23350</v>
      </c>
      <c r="V156" s="31" t="n">
        <v>16960</v>
      </c>
      <c r="W156" s="36" t="n">
        <v>-0.0728051391862955</v>
      </c>
      <c r="X156" s="36" t="n">
        <v>0.2765330188679245</v>
      </c>
      <c r="Y156" s="31" t="n">
        <v>28966714</v>
      </c>
      <c r="Z156" s="31" t="n">
        <v>627129358100</v>
      </c>
      <c r="AA156" s="31" t="n">
        <v>2371995650</v>
      </c>
      <c r="AB156" s="31" t="n">
        <v>3654437852.5</v>
      </c>
      <c r="AC156" s="36" t="n">
        <v>0.003782306822927861</v>
      </c>
      <c r="AD156" s="29" t="inlineStr">
        <is>
          <t>yfinance_download</t>
        </is>
      </c>
      <c r="AE156" s="29" t="inlineStr">
        <is>
          <t>319660.KQ</t>
        </is>
      </c>
    </row>
    <row r="157" ht="24" customHeight="1">
      <c r="A157" s="24" t="inlineStr">
        <is>
          <t>2024-01-25</t>
        </is>
      </c>
      <c r="B157" s="30" t="n">
        <v>21750</v>
      </c>
      <c r="C157" s="30" t="n">
        <v>22100</v>
      </c>
      <c r="D157" s="30" t="n">
        <v>21350</v>
      </c>
      <c r="E157" s="30" t="n">
        <v>21650</v>
      </c>
      <c r="F157" s="30" t="n">
        <v>21148.451171875</v>
      </c>
      <c r="G157" s="30" t="n">
        <v>355980</v>
      </c>
      <c r="H157" s="35" t="n">
        <v>0</v>
      </c>
      <c r="I157" s="35" t="n">
        <v>-0.1876172607879925</v>
      </c>
      <c r="J157" s="30" t="n">
        <v>21242.5</v>
      </c>
      <c r="K157" s="30" t="n">
        <v>20315.83333333333</v>
      </c>
      <c r="L157" s="30" t="n">
        <v>19965.66666666667</v>
      </c>
      <c r="M157" s="35" t="n">
        <v>0.2445201945765746</v>
      </c>
      <c r="N157" s="35" t="n">
        <v>0.315195812373855</v>
      </c>
      <c r="O157" s="35" t="n">
        <v>0.06388206388206386</v>
      </c>
      <c r="P157" s="35" t="n">
        <v>0.1889071938495333</v>
      </c>
      <c r="Q157" s="35" t="n">
        <v>-0.06479481641468687</v>
      </c>
      <c r="R157" s="35" t="n">
        <v>0.01918324114393322</v>
      </c>
      <c r="S157" s="35" t="n">
        <v>0.06567127445752496</v>
      </c>
      <c r="T157" s="35" t="n">
        <v>0.08436148721972714</v>
      </c>
      <c r="U157" s="30" t="n">
        <v>23350</v>
      </c>
      <c r="V157" s="30" t="n">
        <v>16960</v>
      </c>
      <c r="W157" s="35" t="n">
        <v>-0.0728051391862955</v>
      </c>
      <c r="X157" s="35" t="n">
        <v>0.2765330188679245</v>
      </c>
      <c r="Y157" s="30" t="n">
        <v>28966714</v>
      </c>
      <c r="Z157" s="30" t="n">
        <v>627129358100</v>
      </c>
      <c r="AA157" s="30" t="n">
        <v>7706967000</v>
      </c>
      <c r="AB157" s="30" t="n">
        <v>3933914310</v>
      </c>
      <c r="AC157" s="35" t="n">
        <v>0.01228927796228457</v>
      </c>
      <c r="AD157" s="24" t="inlineStr">
        <is>
          <t>yfinance_download</t>
        </is>
      </c>
      <c r="AE157" s="24" t="inlineStr">
        <is>
          <t>319660.KQ</t>
        </is>
      </c>
    </row>
    <row r="158" ht="24" customHeight="1">
      <c r="A158" s="29" t="inlineStr">
        <is>
          <t>2024-01-26</t>
        </is>
      </c>
      <c r="B158" s="31" t="n">
        <v>21450</v>
      </c>
      <c r="C158" s="31" t="n">
        <v>21600</v>
      </c>
      <c r="D158" s="31" t="n">
        <v>21050</v>
      </c>
      <c r="E158" s="31" t="n">
        <v>21450</v>
      </c>
      <c r="F158" s="31" t="n">
        <v>20953.083984375</v>
      </c>
      <c r="G158" s="31" t="n">
        <v>177656</v>
      </c>
      <c r="H158" s="36" t="n">
        <v>-0.009237875288683584</v>
      </c>
      <c r="I158" s="36" t="n">
        <v>-0.1951219512195121</v>
      </c>
      <c r="J158" s="31" t="n">
        <v>21270</v>
      </c>
      <c r="K158" s="31" t="n">
        <v>20387.33333333333</v>
      </c>
      <c r="L158" s="31" t="n">
        <v>19956.91666666667</v>
      </c>
      <c r="M158" s="36" t="n">
        <v>0.2311983759972088</v>
      </c>
      <c r="N158" s="36" t="n">
        <v>0.2899495579257626</v>
      </c>
      <c r="O158" s="36" t="n">
        <v>0.02631578947368429</v>
      </c>
      <c r="P158" s="36" t="n">
        <v>0.25</v>
      </c>
      <c r="Q158" s="36" t="n">
        <v>-0.04666666666666663</v>
      </c>
      <c r="R158" s="36" t="n">
        <v>0.008462623413258097</v>
      </c>
      <c r="S158" s="36" t="n">
        <v>0.05212386776102806</v>
      </c>
      <c r="T158" s="36" t="n">
        <v>0.07481533135963714</v>
      </c>
      <c r="U158" s="31" t="n">
        <v>23350</v>
      </c>
      <c r="V158" s="31" t="n">
        <v>16960</v>
      </c>
      <c r="W158" s="36" t="n">
        <v>-0.0813704496788008</v>
      </c>
      <c r="X158" s="36" t="n">
        <v>0.2647405660377358</v>
      </c>
      <c r="Y158" s="31" t="n">
        <v>28966714</v>
      </c>
      <c r="Z158" s="31" t="n">
        <v>621336015300</v>
      </c>
      <c r="AA158" s="31" t="n">
        <v>3810721200</v>
      </c>
      <c r="AB158" s="31" t="n">
        <v>3879928730</v>
      </c>
      <c r="AC158" s="36" t="n">
        <v>0.006133108505162166</v>
      </c>
      <c r="AD158" s="29" t="inlineStr">
        <is>
          <t>yfinance_download</t>
        </is>
      </c>
      <c r="AE158" s="29" t="inlineStr">
        <is>
          <t>319660.KQ</t>
        </is>
      </c>
    </row>
    <row r="159" ht="24" customHeight="1">
      <c r="A159" s="24" t="inlineStr">
        <is>
          <t>2024-01-29</t>
        </is>
      </c>
      <c r="B159" s="30" t="n">
        <v>21400</v>
      </c>
      <c r="C159" s="30" t="n">
        <v>21750</v>
      </c>
      <c r="D159" s="30" t="n">
        <v>20850</v>
      </c>
      <c r="E159" s="30" t="n">
        <v>21300</v>
      </c>
      <c r="F159" s="30" t="n">
        <v>20806.55859375</v>
      </c>
      <c r="G159" s="30" t="n">
        <v>156927</v>
      </c>
      <c r="H159" s="35" t="n">
        <v>-0.006993006993006978</v>
      </c>
      <c r="I159" s="35" t="n">
        <v>-0.200750469043152</v>
      </c>
      <c r="J159" s="30" t="n">
        <v>21282.5</v>
      </c>
      <c r="K159" s="30" t="n">
        <v>20447.16666666667</v>
      </c>
      <c r="L159" s="30" t="n">
        <v>19945.66666666667</v>
      </c>
      <c r="M159" s="35" t="n">
        <v>0.2319723694908585</v>
      </c>
      <c r="N159" s="35" t="n">
        <v>0.2847460212659017</v>
      </c>
      <c r="O159" s="35" t="n">
        <v>0.01187648456057011</v>
      </c>
      <c r="P159" s="35" t="n">
        <v>0.2027103331451157</v>
      </c>
      <c r="Q159" s="35" t="n">
        <v>-0.05960264900662249</v>
      </c>
      <c r="R159" s="35" t="n">
        <v>0.000822271819570064</v>
      </c>
      <c r="S159" s="35" t="n">
        <v>0.04170912025300977</v>
      </c>
      <c r="T159" s="35" t="n">
        <v>0.06790113140698883</v>
      </c>
      <c r="U159" s="30" t="n">
        <v>23350</v>
      </c>
      <c r="V159" s="30" t="n">
        <v>16960</v>
      </c>
      <c r="W159" s="35" t="n">
        <v>-0.08779443254817987</v>
      </c>
      <c r="X159" s="35" t="n">
        <v>0.2558962264150944</v>
      </c>
      <c r="Y159" s="30" t="n">
        <v>28966714</v>
      </c>
      <c r="Z159" s="30" t="n">
        <v>616991008200</v>
      </c>
      <c r="AA159" s="30" t="n">
        <v>3342545100</v>
      </c>
      <c r="AB159" s="30" t="n">
        <v>3852235077.5</v>
      </c>
      <c r="AC159" s="35" t="n">
        <v>0.005417494024348084</v>
      </c>
      <c r="AD159" s="24" t="inlineStr">
        <is>
          <t>yfinance_download</t>
        </is>
      </c>
      <c r="AE159" s="24" t="inlineStr">
        <is>
          <t>319660.KQ</t>
        </is>
      </c>
    </row>
    <row r="160" ht="24" customHeight="1">
      <c r="A160" s="29" t="inlineStr">
        <is>
          <t>2024-01-30</t>
        </is>
      </c>
      <c r="B160" s="31" t="n">
        <v>21350</v>
      </c>
      <c r="C160" s="31" t="n">
        <v>21350</v>
      </c>
      <c r="D160" s="31" t="n">
        <v>20100</v>
      </c>
      <c r="E160" s="31" t="n">
        <v>20650</v>
      </c>
      <c r="F160" s="31" t="n">
        <v>20171.6171875</v>
      </c>
      <c r="G160" s="31" t="n">
        <v>254151</v>
      </c>
      <c r="H160" s="36" t="n">
        <v>-0.03051643192488263</v>
      </c>
      <c r="I160" s="36" t="n">
        <v>-0.225140712945591</v>
      </c>
      <c r="J160" s="31" t="n">
        <v>21227.5</v>
      </c>
      <c r="K160" s="31" t="n">
        <v>20476.33333333333</v>
      </c>
      <c r="L160" s="31" t="n">
        <v>19941.08333333333</v>
      </c>
      <c r="M160" s="36" t="n">
        <v>0.22353635905617</v>
      </c>
      <c r="N160" s="36" t="n">
        <v>0.260377243442223</v>
      </c>
      <c r="O160" s="36" t="n">
        <v>-0.05057471264367819</v>
      </c>
      <c r="P160" s="36" t="n">
        <v>0.09259259259259256</v>
      </c>
      <c r="Q160" s="36" t="n">
        <v>-0.02594339622641506</v>
      </c>
      <c r="R160" s="36" t="n">
        <v>-0.02720527617477331</v>
      </c>
      <c r="S160" s="36" t="n">
        <v>0.008481336176724419</v>
      </c>
      <c r="T160" s="36" t="n">
        <v>0.03555055935610318</v>
      </c>
      <c r="U160" s="31" t="n">
        <v>23350</v>
      </c>
      <c r="V160" s="31" t="n">
        <v>16960</v>
      </c>
      <c r="W160" s="36" t="n">
        <v>-0.1156316916488223</v>
      </c>
      <c r="X160" s="36" t="n">
        <v>0.2175707547169812</v>
      </c>
      <c r="Y160" s="31" t="n">
        <v>28966714</v>
      </c>
      <c r="Z160" s="31" t="n">
        <v>598162644100</v>
      </c>
      <c r="AA160" s="31" t="n">
        <v>5248218150</v>
      </c>
      <c r="AB160" s="31" t="n">
        <v>3723221022.5</v>
      </c>
      <c r="AC160" s="36" t="n">
        <v>0.008773898206058168</v>
      </c>
      <c r="AD160" s="29" t="inlineStr">
        <is>
          <t>yfinance_download</t>
        </is>
      </c>
      <c r="AE160" s="29" t="inlineStr">
        <is>
          <t>319660.KQ</t>
        </is>
      </c>
    </row>
    <row r="161" ht="24" customHeight="1">
      <c r="A161" s="24" t="inlineStr">
        <is>
          <t>2024-01-31</t>
        </is>
      </c>
      <c r="B161" s="30" t="n">
        <v>20500</v>
      </c>
      <c r="C161" s="30" t="n">
        <v>20600</v>
      </c>
      <c r="D161" s="30" t="n">
        <v>20050</v>
      </c>
      <c r="E161" s="30" t="n">
        <v>20100</v>
      </c>
      <c r="F161" s="30" t="n">
        <v>19634.357421875</v>
      </c>
      <c r="G161" s="30" t="n">
        <v>129794</v>
      </c>
      <c r="H161" s="35" t="n">
        <v>-0.0266343825665859</v>
      </c>
      <c r="I161" s="35" t="n">
        <v>-0.2457786116322702</v>
      </c>
      <c r="J161" s="30" t="n">
        <v>21135</v>
      </c>
      <c r="K161" s="30" t="n">
        <v>20496.33333333333</v>
      </c>
      <c r="L161" s="30" t="n">
        <v>19929.83333333333</v>
      </c>
      <c r="M161" s="35" t="n">
        <v>0.234587274191612</v>
      </c>
      <c r="N161" s="35" t="n">
        <v>0.2667243558827558</v>
      </c>
      <c r="O161" s="35" t="n">
        <v>-0.08428246013667429</v>
      </c>
      <c r="P161" s="35" t="n">
        <v>0.06349206349206349</v>
      </c>
      <c r="Q161" s="35" t="n">
        <v>-0.06293706293706292</v>
      </c>
      <c r="R161" s="35" t="n">
        <v>-0.04897090134847415</v>
      </c>
      <c r="S161" s="35" t="n">
        <v>-0.01933679194652693</v>
      </c>
      <c r="T161" s="35" t="n">
        <v>0.008538288495471669</v>
      </c>
      <c r="U161" s="30" t="n">
        <v>23350</v>
      </c>
      <c r="V161" s="30" t="n">
        <v>16960</v>
      </c>
      <c r="W161" s="35" t="n">
        <v>-0.139186295503212</v>
      </c>
      <c r="X161" s="35" t="n">
        <v>0.1851415094339623</v>
      </c>
      <c r="Y161" s="30" t="n">
        <v>28966714</v>
      </c>
      <c r="Z161" s="30" t="n">
        <v>582230951400</v>
      </c>
      <c r="AA161" s="30" t="n">
        <v>2608859400</v>
      </c>
      <c r="AB161" s="30" t="n">
        <v>3576684625</v>
      </c>
      <c r="AC161" s="35" t="n">
        <v>0.004480798201687634</v>
      </c>
      <c r="AD161" s="24" t="inlineStr">
        <is>
          <t>yfinance_download</t>
        </is>
      </c>
      <c r="AE161" s="24" t="inlineStr">
        <is>
          <t>319660.KQ</t>
        </is>
      </c>
    </row>
    <row r="162" ht="24" customHeight="1">
      <c r="A162" s="29" t="inlineStr">
        <is>
          <t>2024-02-01</t>
        </is>
      </c>
      <c r="B162" s="31" t="n">
        <v>20100</v>
      </c>
      <c r="C162" s="31" t="n">
        <v>20450</v>
      </c>
      <c r="D162" s="31" t="n">
        <v>19530</v>
      </c>
      <c r="E162" s="31" t="n">
        <v>19760</v>
      </c>
      <c r="F162" s="31" t="n">
        <v>19302.236328125</v>
      </c>
      <c r="G162" s="31" t="n">
        <v>221456</v>
      </c>
      <c r="H162" s="36" t="n">
        <v>-0.01691542288557213</v>
      </c>
      <c r="I162" s="36" t="n">
        <v>-0.2585365853658537</v>
      </c>
      <c r="J162" s="31" t="n">
        <v>21033</v>
      </c>
      <c r="K162" s="31" t="n">
        <v>20504.16666666667</v>
      </c>
      <c r="L162" s="31" t="n">
        <v>19917.83333333333</v>
      </c>
      <c r="M162" s="36" t="n">
        <v>0.2387310787516445</v>
      </c>
      <c r="N162" s="36" t="n">
        <v>0.2661179391378362</v>
      </c>
      <c r="O162" s="36" t="n">
        <v>-0.0935779816513761</v>
      </c>
      <c r="P162" s="36" t="n">
        <v>0.02436495593571797</v>
      </c>
      <c r="Q162" s="36" t="n">
        <v>-0.06792452830188678</v>
      </c>
      <c r="R162" s="36" t="n">
        <v>-0.06052393857271909</v>
      </c>
      <c r="S162" s="36" t="n">
        <v>-0.0362934362934364</v>
      </c>
      <c r="T162" s="36" t="n">
        <v>-0.007924222012099635</v>
      </c>
      <c r="U162" s="31" t="n">
        <v>23350</v>
      </c>
      <c r="V162" s="31" t="n">
        <v>16960</v>
      </c>
      <c r="W162" s="36" t="n">
        <v>-0.1537473233404711</v>
      </c>
      <c r="X162" s="36" t="n">
        <v>0.1650943396226414</v>
      </c>
      <c r="Y162" s="31" t="n">
        <v>28966714</v>
      </c>
      <c r="Z162" s="31" t="n">
        <v>572382268640</v>
      </c>
      <c r="AA162" s="31" t="n">
        <v>4375970560</v>
      </c>
      <c r="AB162" s="31" t="n">
        <v>3599740953</v>
      </c>
      <c r="AC162" s="36" t="n">
        <v>0.007645188888183865</v>
      </c>
      <c r="AD162" s="29" t="inlineStr">
        <is>
          <t>yfinance_download</t>
        </is>
      </c>
      <c r="AE162" s="29" t="inlineStr">
        <is>
          <t>319660.KQ</t>
        </is>
      </c>
    </row>
    <row r="163" ht="24" customHeight="1">
      <c r="A163" s="24" t="inlineStr">
        <is>
          <t>2024-02-02</t>
        </is>
      </c>
      <c r="B163" s="30" t="n">
        <v>20050</v>
      </c>
      <c r="C163" s="30" t="n">
        <v>20200</v>
      </c>
      <c r="D163" s="30" t="n">
        <v>19760</v>
      </c>
      <c r="E163" s="30" t="n">
        <v>20150</v>
      </c>
      <c r="F163" s="30" t="n">
        <v>19683.201171875</v>
      </c>
      <c r="G163" s="30" t="n">
        <v>171059</v>
      </c>
      <c r="H163" s="35" t="n">
        <v>0.01973684210526305</v>
      </c>
      <c r="I163" s="35" t="n">
        <v>-0.2439024390243902</v>
      </c>
      <c r="J163" s="30" t="n">
        <v>20960.5</v>
      </c>
      <c r="K163" s="30" t="n">
        <v>20510.5</v>
      </c>
      <c r="L163" s="30" t="n">
        <v>19911.16666666667</v>
      </c>
      <c r="M163" s="35" t="n">
        <v>0.2533060138644738</v>
      </c>
      <c r="N163" s="35" t="n">
        <v>0.2643099701431182</v>
      </c>
      <c r="O163" s="35" t="n">
        <v>-0.06712962962962965</v>
      </c>
      <c r="P163" s="35" t="n">
        <v>0.01922104198280228</v>
      </c>
      <c r="Q163" s="35" t="n">
        <v>-0.03818615751789978</v>
      </c>
      <c r="R163" s="35" t="n">
        <v>-0.03866797070680561</v>
      </c>
      <c r="S163" s="35" t="n">
        <v>-0.01757636332610124</v>
      </c>
      <c r="T163" s="35" t="n">
        <v>0.01199494421053515</v>
      </c>
      <c r="U163" s="30" t="n">
        <v>23350</v>
      </c>
      <c r="V163" s="30" t="n">
        <v>16960</v>
      </c>
      <c r="W163" s="35" t="n">
        <v>-0.1370449678800857</v>
      </c>
      <c r="X163" s="35" t="n">
        <v>0.1880896226415094</v>
      </c>
      <c r="Y163" s="30" t="n">
        <v>28966714</v>
      </c>
      <c r="Z163" s="30" t="n">
        <v>583679287100</v>
      </c>
      <c r="AA163" s="30" t="n">
        <v>3446838850</v>
      </c>
      <c r="AB163" s="30" t="n">
        <v>3626730015.5</v>
      </c>
      <c r="AC163" s="35" t="n">
        <v>0.005905364343363213</v>
      </c>
      <c r="AD163" s="24" t="inlineStr">
        <is>
          <t>yfinance_download</t>
        </is>
      </c>
      <c r="AE163" s="24" t="inlineStr">
        <is>
          <t>319660.KQ</t>
        </is>
      </c>
    </row>
    <row r="164" ht="24" customHeight="1">
      <c r="A164" s="29" t="inlineStr">
        <is>
          <t>2024-02-05</t>
        </is>
      </c>
      <c r="B164" s="31" t="n">
        <v>19950</v>
      </c>
      <c r="C164" s="31" t="n">
        <v>20100</v>
      </c>
      <c r="D164" s="31" t="n">
        <v>19730</v>
      </c>
      <c r="E164" s="31" t="n">
        <v>19850</v>
      </c>
      <c r="F164" s="31" t="n">
        <v>19390.150390625</v>
      </c>
      <c r="G164" s="31" t="n">
        <v>153134</v>
      </c>
      <c r="H164" s="36" t="n">
        <v>-0.01488833746898266</v>
      </c>
      <c r="I164" s="36" t="n">
        <v>-0.2551594746716698</v>
      </c>
      <c r="J164" s="31" t="n">
        <v>20890.5</v>
      </c>
      <c r="K164" s="31" t="n">
        <v>20515.5</v>
      </c>
      <c r="L164" s="31" t="n">
        <v>19902</v>
      </c>
      <c r="M164" s="36" t="n">
        <v>0.252462164991357</v>
      </c>
      <c r="N164" s="36" t="n">
        <v>0.2651248418642136</v>
      </c>
      <c r="O164" s="36" t="n">
        <v>-0.0658823529411765</v>
      </c>
      <c r="P164" s="36" t="n">
        <v>0.01534526854219953</v>
      </c>
      <c r="Q164" s="36" t="n">
        <v>-0.05250596658711215</v>
      </c>
      <c r="R164" s="36" t="n">
        <v>-0.04980732869007443</v>
      </c>
      <c r="S164" s="36" t="n">
        <v>-0.03243888767029812</v>
      </c>
      <c r="T164" s="36" t="n">
        <v>-0.002612802733393593</v>
      </c>
      <c r="U164" s="31" t="n">
        <v>23350</v>
      </c>
      <c r="V164" s="31" t="n">
        <v>16960</v>
      </c>
      <c r="W164" s="36" t="n">
        <v>-0.1498929336188437</v>
      </c>
      <c r="X164" s="36" t="n">
        <v>0.1704009433962264</v>
      </c>
      <c r="Y164" s="31" t="n">
        <v>28966714</v>
      </c>
      <c r="Z164" s="31" t="n">
        <v>574989272900</v>
      </c>
      <c r="AA164" s="31" t="n">
        <v>3039709900</v>
      </c>
      <c r="AB164" s="31" t="n">
        <v>3594996510.5</v>
      </c>
      <c r="AC164" s="36" t="n">
        <v>0.005286550624969059</v>
      </c>
      <c r="AD164" s="29" t="inlineStr">
        <is>
          <t>yfinance_download</t>
        </is>
      </c>
      <c r="AE164" s="29" t="inlineStr">
        <is>
          <t>319660.KQ</t>
        </is>
      </c>
    </row>
    <row r="165" ht="24" customHeight="1">
      <c r="A165" s="24" t="inlineStr">
        <is>
          <t>2024-02-06</t>
        </is>
      </c>
      <c r="B165" s="30" t="n">
        <v>19880</v>
      </c>
      <c r="C165" s="30" t="n">
        <v>20650</v>
      </c>
      <c r="D165" s="30" t="n">
        <v>19760</v>
      </c>
      <c r="E165" s="30" t="n">
        <v>20400</v>
      </c>
      <c r="F165" s="30" t="n">
        <v>19927.408203125</v>
      </c>
      <c r="G165" s="30" t="n">
        <v>155664</v>
      </c>
      <c r="H165" s="35" t="n">
        <v>0.02770780856423172</v>
      </c>
      <c r="I165" s="35" t="n">
        <v>-0.2345215759849906</v>
      </c>
      <c r="J165" s="30" t="n">
        <v>20855.5</v>
      </c>
      <c r="K165" s="30" t="n">
        <v>20532.33333333333</v>
      </c>
      <c r="L165" s="30" t="n">
        <v>19897.83333333333</v>
      </c>
      <c r="M165" s="35" t="n">
        <v>0.274742114368676</v>
      </c>
      <c r="N165" s="35" t="n">
        <v>0.270319413901064</v>
      </c>
      <c r="O165" s="35" t="n">
        <v>-0.03317535545023698</v>
      </c>
      <c r="P165" s="35" t="n">
        <v>0.05208870551830835</v>
      </c>
      <c r="Q165" s="35" t="n">
        <v>-0.02392344497607657</v>
      </c>
      <c r="R165" s="35" t="n">
        <v>-0.02184076142983871</v>
      </c>
      <c r="S165" s="35" t="n">
        <v>-0.006445119080474626</v>
      </c>
      <c r="T165" s="35" t="n">
        <v>0.02523725363733087</v>
      </c>
      <c r="U165" s="30" t="n">
        <v>23350</v>
      </c>
      <c r="V165" s="30" t="n">
        <v>16960</v>
      </c>
      <c r="W165" s="35" t="n">
        <v>-0.1263383297644539</v>
      </c>
      <c r="X165" s="35" t="n">
        <v>0.2028301886792452</v>
      </c>
      <c r="Y165" s="30" t="n">
        <v>28966714</v>
      </c>
      <c r="Z165" s="30" t="n">
        <v>590920965600</v>
      </c>
      <c r="AA165" s="30" t="n">
        <v>3175545600</v>
      </c>
      <c r="AB165" s="30" t="n">
        <v>3592737535.5</v>
      </c>
      <c r="AC165" s="35" t="n">
        <v>0.005373892254399308</v>
      </c>
      <c r="AD165" s="24" t="inlineStr">
        <is>
          <t>yfinance_download</t>
        </is>
      </c>
      <c r="AE165" s="24" t="inlineStr">
        <is>
          <t>319660.KQ</t>
        </is>
      </c>
    </row>
    <row r="166" ht="24" customHeight="1">
      <c r="A166" s="29" t="inlineStr">
        <is>
          <t>2024-02-07</t>
        </is>
      </c>
      <c r="B166" s="31" t="n">
        <v>20250</v>
      </c>
      <c r="C166" s="31" t="n">
        <v>20500</v>
      </c>
      <c r="D166" s="31" t="n">
        <v>20100</v>
      </c>
      <c r="E166" s="31" t="n">
        <v>20400</v>
      </c>
      <c r="F166" s="31" t="n">
        <v>19927.408203125</v>
      </c>
      <c r="G166" s="31" t="n">
        <v>121595</v>
      </c>
      <c r="H166" s="36" t="n">
        <v>0</v>
      </c>
      <c r="I166" s="36" t="n">
        <v>-0.2345215759849906</v>
      </c>
      <c r="J166" s="31" t="n">
        <v>20845.5</v>
      </c>
      <c r="K166" s="31" t="n">
        <v>20549.66666666667</v>
      </c>
      <c r="L166" s="31" t="n">
        <v>19903.5</v>
      </c>
      <c r="M166" s="36" t="n">
        <v>0.2619790430797746</v>
      </c>
      <c r="N166" s="36" t="n">
        <v>0.2702760003433314</v>
      </c>
      <c r="O166" s="36" t="n">
        <v>-0.009708737864077666</v>
      </c>
      <c r="P166" s="36" t="n">
        <v>0.05371900826446274</v>
      </c>
      <c r="Q166" s="36" t="n">
        <v>0.03448275862068972</v>
      </c>
      <c r="R166" s="36" t="n">
        <v>-0.02137151903288481</v>
      </c>
      <c r="S166" s="36" t="n">
        <v>-0.007283167610180219</v>
      </c>
      <c r="T166" s="36" t="n">
        <v>0.02494536136860348</v>
      </c>
      <c r="U166" s="31" t="n">
        <v>23350</v>
      </c>
      <c r="V166" s="31" t="n">
        <v>16960</v>
      </c>
      <c r="W166" s="36" t="n">
        <v>-0.1263383297644539</v>
      </c>
      <c r="X166" s="36" t="n">
        <v>0.2028301886792452</v>
      </c>
      <c r="Y166" s="31" t="n">
        <v>28966714</v>
      </c>
      <c r="Z166" s="31" t="n">
        <v>590920965600</v>
      </c>
      <c r="AA166" s="31" t="n">
        <v>2480538000</v>
      </c>
      <c r="AB166" s="31" t="n">
        <v>3554877275.5</v>
      </c>
      <c r="AC166" s="36" t="n">
        <v>0.004197749182043914</v>
      </c>
      <c r="AD166" s="29" t="inlineStr">
        <is>
          <t>yfinance_download</t>
        </is>
      </c>
      <c r="AE166" s="29" t="inlineStr">
        <is>
          <t>319660.KQ</t>
        </is>
      </c>
    </row>
    <row r="167" ht="24" customHeight="1">
      <c r="A167" s="24" t="inlineStr">
        <is>
          <t>2024-02-08</t>
        </is>
      </c>
      <c r="B167" s="30" t="n">
        <v>20700</v>
      </c>
      <c r="C167" s="30" t="n">
        <v>21300</v>
      </c>
      <c r="D167" s="30" t="n">
        <v>20600</v>
      </c>
      <c r="E167" s="30" t="n">
        <v>21000</v>
      </c>
      <c r="F167" s="30" t="n">
        <v>20513.5078125</v>
      </c>
      <c r="G167" s="30" t="n">
        <v>225857</v>
      </c>
      <c r="H167" s="35" t="n">
        <v>0.02941176470588225</v>
      </c>
      <c r="I167" s="35" t="n">
        <v>-0.2120075046904315</v>
      </c>
      <c r="J167" s="30" t="n">
        <v>20848</v>
      </c>
      <c r="K167" s="30" t="n">
        <v>20576.66666666667</v>
      </c>
      <c r="L167" s="30" t="n">
        <v>19912.83333333333</v>
      </c>
      <c r="M167" s="35" t="n">
        <v>0.276212487357908</v>
      </c>
      <c r="N167" s="35" t="n">
        <v>0.2764705452782216</v>
      </c>
      <c r="O167" s="35" t="n">
        <v>0.002386634844868674</v>
      </c>
      <c r="P167" s="35" t="n">
        <v>0.08359133126934992</v>
      </c>
      <c r="Q167" s="35" t="n">
        <v>0.05633802816901401</v>
      </c>
      <c r="R167" s="35" t="n">
        <v>0.007290867229470477</v>
      </c>
      <c r="S167" s="35" t="n">
        <v>0.02057346508990765</v>
      </c>
      <c r="T167" s="35" t="n">
        <v>0.05459628212961487</v>
      </c>
      <c r="U167" s="30" t="n">
        <v>23350</v>
      </c>
      <c r="V167" s="30" t="n">
        <v>16960</v>
      </c>
      <c r="W167" s="35" t="n">
        <v>-0.1006423982869379</v>
      </c>
      <c r="X167" s="35" t="n">
        <v>0.2382075471698113</v>
      </c>
      <c r="Y167" s="30" t="n">
        <v>28966714</v>
      </c>
      <c r="Z167" s="30" t="n">
        <v>608300994000</v>
      </c>
      <c r="AA167" s="30" t="n">
        <v>4742997000</v>
      </c>
      <c r="AB167" s="30" t="n">
        <v>3702981245.5</v>
      </c>
      <c r="AC167" s="35" t="n">
        <v>0.007797121896532689</v>
      </c>
      <c r="AD167" s="24" t="inlineStr">
        <is>
          <t>yfinance_download</t>
        </is>
      </c>
      <c r="AE167" s="24" t="inlineStr">
        <is>
          <t>319660.KQ</t>
        </is>
      </c>
    </row>
    <row r="168" ht="24" customHeight="1">
      <c r="A168" s="29" t="inlineStr">
        <is>
          <t>2024-02-13</t>
        </is>
      </c>
      <c r="B168" s="31" t="n">
        <v>21050</v>
      </c>
      <c r="C168" s="31" t="n">
        <v>21750</v>
      </c>
      <c r="D168" s="31" t="n">
        <v>20950</v>
      </c>
      <c r="E168" s="31" t="n">
        <v>21600</v>
      </c>
      <c r="F168" s="31" t="n">
        <v>21099.607421875</v>
      </c>
      <c r="G168" s="31" t="n">
        <v>391286</v>
      </c>
      <c r="H168" s="36" t="n">
        <v>0.02857142857142847</v>
      </c>
      <c r="I168" s="36" t="n">
        <v>-0.1894934333958724</v>
      </c>
      <c r="J168" s="31" t="n">
        <v>20870.5</v>
      </c>
      <c r="K168" s="31" t="n">
        <v>20615</v>
      </c>
      <c r="L168" s="31" t="n">
        <v>19931.08333333333</v>
      </c>
      <c r="M168" s="36" t="n">
        <v>0.2924703641660156</v>
      </c>
      <c r="N168" s="36" t="n">
        <v>0.2817057032978991</v>
      </c>
      <c r="O168" s="36" t="n">
        <v>0.02127659574468077</v>
      </c>
      <c r="P168" s="36" t="n">
        <v>0.1191709844559585</v>
      </c>
      <c r="Q168" s="36" t="n">
        <v>0.1128284389489953</v>
      </c>
      <c r="R168" s="36" t="n">
        <v>0.03495364270142076</v>
      </c>
      <c r="S168" s="36" t="n">
        <v>0.04778074217802564</v>
      </c>
      <c r="T168" s="36" t="n">
        <v>0.08373436800976708</v>
      </c>
      <c r="U168" s="31" t="n">
        <v>23350</v>
      </c>
      <c r="V168" s="31" t="n">
        <v>16960</v>
      </c>
      <c r="W168" s="36" t="n">
        <v>-0.07494646680942185</v>
      </c>
      <c r="X168" s="36" t="n">
        <v>0.2735849056603774</v>
      </c>
      <c r="Y168" s="31" t="n">
        <v>28966714</v>
      </c>
      <c r="Z168" s="31" t="n">
        <v>625681022400</v>
      </c>
      <c r="AA168" s="31" t="n">
        <v>8451777600</v>
      </c>
      <c r="AB168" s="31" t="n">
        <v>3955192070.5</v>
      </c>
      <c r="AC168" s="36" t="n">
        <v>0.01350812522262622</v>
      </c>
      <c r="AD168" s="29" t="inlineStr">
        <is>
          <t>yfinance_download</t>
        </is>
      </c>
      <c r="AE168" s="29" t="inlineStr">
        <is>
          <t>319660.KQ</t>
        </is>
      </c>
    </row>
    <row r="169" ht="24" customHeight="1">
      <c r="A169" s="24" t="inlineStr">
        <is>
          <t>2024-02-14</t>
        </is>
      </c>
      <c r="B169" s="30" t="n">
        <v>21350</v>
      </c>
      <c r="C169" s="30" t="n">
        <v>22200</v>
      </c>
      <c r="D169" s="30" t="n">
        <v>21300</v>
      </c>
      <c r="E169" s="30" t="n">
        <v>22150</v>
      </c>
      <c r="F169" s="30" t="n">
        <v>21636.8671875</v>
      </c>
      <c r="G169" s="30" t="n">
        <v>455876</v>
      </c>
      <c r="H169" s="35" t="n">
        <v>0.02546296296296302</v>
      </c>
      <c r="I169" s="35" t="n">
        <v>-0.1688555347091932</v>
      </c>
      <c r="J169" s="30" t="n">
        <v>20940.5</v>
      </c>
      <c r="K169" s="30" t="n">
        <v>20647.5</v>
      </c>
      <c r="L169" s="30" t="n">
        <v>19952</v>
      </c>
      <c r="M169" s="35" t="n">
        <v>0.2943791499408951</v>
      </c>
      <c r="N169" s="35" t="n">
        <v>0.270509122311714</v>
      </c>
      <c r="O169" s="35" t="n">
        <v>0.06746987951807237</v>
      </c>
      <c r="P169" s="35" t="n">
        <v>0.09653465346534662</v>
      </c>
      <c r="Q169" s="35" t="n">
        <v>0.1278004073319756</v>
      </c>
      <c r="R169" s="35" t="n">
        <v>0.05775888827869435</v>
      </c>
      <c r="S169" s="35" t="n">
        <v>0.07276910037534812</v>
      </c>
      <c r="T169" s="35" t="n">
        <v>0.1101643945469126</v>
      </c>
      <c r="U169" s="30" t="n">
        <v>23350</v>
      </c>
      <c r="V169" s="30" t="n">
        <v>16960</v>
      </c>
      <c r="W169" s="35" t="n">
        <v>-0.05139186295503217</v>
      </c>
      <c r="X169" s="35" t="n">
        <v>0.3060141509433962</v>
      </c>
      <c r="Y169" s="30" t="n">
        <v>28966714</v>
      </c>
      <c r="Z169" s="30" t="n">
        <v>641612715100</v>
      </c>
      <c r="AA169" s="30" t="n">
        <v>10097653400</v>
      </c>
      <c r="AB169" s="30" t="n">
        <v>4364076940.5</v>
      </c>
      <c r="AC169" s="35" t="n">
        <v>0.01573792595183561</v>
      </c>
      <c r="AD169" s="24" t="inlineStr">
        <is>
          <t>yfinance_download</t>
        </is>
      </c>
      <c r="AE169" s="24" t="inlineStr">
        <is>
          <t>319660.KQ</t>
        </is>
      </c>
    </row>
    <row r="170" ht="24" customHeight="1">
      <c r="A170" s="29" t="inlineStr">
        <is>
          <t>2024-02-15</t>
        </is>
      </c>
      <c r="B170" s="31" t="n">
        <v>22200</v>
      </c>
      <c r="C170" s="31" t="n">
        <v>22500</v>
      </c>
      <c r="D170" s="31" t="n">
        <v>21800</v>
      </c>
      <c r="E170" s="31" t="n">
        <v>22100</v>
      </c>
      <c r="F170" s="31" t="n">
        <v>21588.02734375</v>
      </c>
      <c r="G170" s="31" t="n">
        <v>256037</v>
      </c>
      <c r="H170" s="36" t="n">
        <v>-0.002257336343115091</v>
      </c>
      <c r="I170" s="36" t="n">
        <v>-0.1707317073170732</v>
      </c>
      <c r="J170" s="31" t="n">
        <v>21005.5</v>
      </c>
      <c r="K170" s="31" t="n">
        <v>20670</v>
      </c>
      <c r="L170" s="31" t="n">
        <v>19972.41666666667</v>
      </c>
      <c r="M170" s="36" t="n">
        <v>0.2950596683097379</v>
      </c>
      <c r="N170" s="36" t="n">
        <v>0.2653145527660425</v>
      </c>
      <c r="O170" s="36" t="n">
        <v>0.0625</v>
      </c>
      <c r="P170" s="36" t="n">
        <v>0.06506024096385543</v>
      </c>
      <c r="Q170" s="36" t="n">
        <v>0.1246819338422391</v>
      </c>
      <c r="R170" s="36" t="n">
        <v>0.05210540096641347</v>
      </c>
      <c r="S170" s="36" t="n">
        <v>0.0691823899371069</v>
      </c>
      <c r="T170" s="36" t="n">
        <v>0.1065260838906992</v>
      </c>
      <c r="U170" s="31" t="n">
        <v>23350</v>
      </c>
      <c r="V170" s="31" t="n">
        <v>16960</v>
      </c>
      <c r="W170" s="36" t="n">
        <v>-0.05353319057815842</v>
      </c>
      <c r="X170" s="36" t="n">
        <v>0.3030660377358489</v>
      </c>
      <c r="Y170" s="31" t="n">
        <v>28966714</v>
      </c>
      <c r="Z170" s="31" t="n">
        <v>640164379400</v>
      </c>
      <c r="AA170" s="31" t="n">
        <v>5658417700</v>
      </c>
      <c r="AB170" s="31" t="n">
        <v>4515600065.5</v>
      </c>
      <c r="AC170" s="36" t="n">
        <v>0.008839007420724352</v>
      </c>
      <c r="AD170" s="29" t="inlineStr">
        <is>
          <t>yfinance_download</t>
        </is>
      </c>
      <c r="AE170" s="29" t="inlineStr">
        <is>
          <t>319660.KQ</t>
        </is>
      </c>
    </row>
    <row r="171" ht="24" customHeight="1">
      <c r="A171" s="24" t="inlineStr">
        <is>
          <t>2024-02-16</t>
        </is>
      </c>
      <c r="B171" s="30" t="n">
        <v>22150</v>
      </c>
      <c r="C171" s="30" t="n">
        <v>22350</v>
      </c>
      <c r="D171" s="30" t="n">
        <v>21850</v>
      </c>
      <c r="E171" s="30" t="n">
        <v>22150</v>
      </c>
      <c r="F171" s="30" t="n">
        <v>21636.8671875</v>
      </c>
      <c r="G171" s="30" t="n">
        <v>191588</v>
      </c>
      <c r="H171" s="35" t="n">
        <v>0.002262443438914019</v>
      </c>
      <c r="I171" s="35" t="n">
        <v>-0.1688555347091932</v>
      </c>
      <c r="J171" s="30" t="n">
        <v>21068</v>
      </c>
      <c r="K171" s="30" t="n">
        <v>20692.5</v>
      </c>
      <c r="L171" s="30" t="n">
        <v>19993.08333333333</v>
      </c>
      <c r="M171" s="35" t="n">
        <v>0.295014007467684</v>
      </c>
      <c r="N171" s="35" t="n">
        <v>0.2653118312006124</v>
      </c>
      <c r="O171" s="35" t="n">
        <v>0.05980861244019131</v>
      </c>
      <c r="P171" s="35" t="n">
        <v>0.06490384615384626</v>
      </c>
      <c r="Q171" s="35" t="n">
        <v>0.1260803253685816</v>
      </c>
      <c r="R171" s="35" t="n">
        <v>0.05135750901841662</v>
      </c>
      <c r="S171" s="35" t="n">
        <v>0.07043614836293344</v>
      </c>
      <c r="T171" s="35" t="n">
        <v>0.10788314292026</v>
      </c>
      <c r="U171" s="30" t="n">
        <v>23350</v>
      </c>
      <c r="V171" s="30" t="n">
        <v>16960</v>
      </c>
      <c r="W171" s="35" t="n">
        <v>-0.05139186295503217</v>
      </c>
      <c r="X171" s="35" t="n">
        <v>0.3060141509433962</v>
      </c>
      <c r="Y171" s="30" t="n">
        <v>28966714</v>
      </c>
      <c r="Z171" s="30" t="n">
        <v>641612715100</v>
      </c>
      <c r="AA171" s="30" t="n">
        <v>4243674200</v>
      </c>
      <c r="AB171" s="30" t="n">
        <v>4516175455.5</v>
      </c>
      <c r="AC171" s="35" t="n">
        <v>0.006614074347542493</v>
      </c>
      <c r="AD171" s="24" t="inlineStr">
        <is>
          <t>yfinance_download</t>
        </is>
      </c>
      <c r="AE171" s="24" t="inlineStr">
        <is>
          <t>319660.KQ</t>
        </is>
      </c>
    </row>
    <row r="172" ht="24" customHeight="1">
      <c r="A172" s="29" t="inlineStr">
        <is>
          <t>2024-02-19</t>
        </is>
      </c>
      <c r="B172" s="31" t="n">
        <v>21950</v>
      </c>
      <c r="C172" s="31" t="n">
        <v>22350</v>
      </c>
      <c r="D172" s="31" t="n">
        <v>21650</v>
      </c>
      <c r="E172" s="31" t="n">
        <v>22100</v>
      </c>
      <c r="F172" s="31" t="n">
        <v>21588.02734375</v>
      </c>
      <c r="G172" s="31" t="n">
        <v>224270</v>
      </c>
      <c r="H172" s="36" t="n">
        <v>-0.002257336343115091</v>
      </c>
      <c r="I172" s="36" t="n">
        <v>-0.1707317073170732</v>
      </c>
      <c r="J172" s="31" t="n">
        <v>21133</v>
      </c>
      <c r="K172" s="31" t="n">
        <v>20715.83333333333</v>
      </c>
      <c r="L172" s="31" t="n">
        <v>20016.5</v>
      </c>
      <c r="M172" s="36" t="n">
        <v>0.2942566893311655</v>
      </c>
      <c r="N172" s="36" t="n">
        <v>0.2651171442820053</v>
      </c>
      <c r="O172" s="36" t="n">
        <v>0.0625</v>
      </c>
      <c r="P172" s="36" t="n">
        <v>0.06763285024154597</v>
      </c>
      <c r="Q172" s="36" t="n">
        <v>0.1456713322965266</v>
      </c>
      <c r="R172" s="36" t="n">
        <v>0.04575781952396718</v>
      </c>
      <c r="S172" s="36" t="n">
        <v>0.06681684701717705</v>
      </c>
      <c r="T172" s="36" t="n">
        <v>0.1040891264706616</v>
      </c>
      <c r="U172" s="31" t="n">
        <v>23350</v>
      </c>
      <c r="V172" s="31" t="n">
        <v>16960</v>
      </c>
      <c r="W172" s="36" t="n">
        <v>-0.05353319057815842</v>
      </c>
      <c r="X172" s="36" t="n">
        <v>0.3030660377358489</v>
      </c>
      <c r="Y172" s="31" t="n">
        <v>28966714</v>
      </c>
      <c r="Z172" s="31" t="n">
        <v>640164379400</v>
      </c>
      <c r="AA172" s="31" t="n">
        <v>4956367000</v>
      </c>
      <c r="AB172" s="31" t="n">
        <v>4622015085.5</v>
      </c>
      <c r="AC172" s="36" t="n">
        <v>0.007742334874435534</v>
      </c>
      <c r="AD172" s="29" t="inlineStr">
        <is>
          <t>yfinance_download</t>
        </is>
      </c>
      <c r="AE172" s="29" t="inlineStr">
        <is>
          <t>319660.KQ</t>
        </is>
      </c>
    </row>
    <row r="173" ht="24" customHeight="1">
      <c r="A173" s="24" t="inlineStr">
        <is>
          <t>2024-02-20</t>
        </is>
      </c>
      <c r="B173" s="30" t="n">
        <v>22150</v>
      </c>
      <c r="C173" s="30" t="n">
        <v>22600</v>
      </c>
      <c r="D173" s="30" t="n">
        <v>21950</v>
      </c>
      <c r="E173" s="30" t="n">
        <v>22200</v>
      </c>
      <c r="F173" s="30" t="n">
        <v>21685.708984375</v>
      </c>
      <c r="G173" s="30" t="n">
        <v>217922</v>
      </c>
      <c r="H173" s="35" t="n">
        <v>0.004524886877828038</v>
      </c>
      <c r="I173" s="35" t="n">
        <v>-0.1669793621013134</v>
      </c>
      <c r="J173" s="30" t="n">
        <v>21183</v>
      </c>
      <c r="K173" s="30" t="n">
        <v>20738.33333333333</v>
      </c>
      <c r="L173" s="30" t="n">
        <v>20048.83333333333</v>
      </c>
      <c r="M173" s="35" t="n">
        <v>0.2881977311317137</v>
      </c>
      <c r="N173" s="35" t="n">
        <v>0.2649118932598837</v>
      </c>
      <c r="O173" s="35" t="n">
        <v>0.04716981132075482</v>
      </c>
      <c r="P173" s="35" t="n">
        <v>0.06474820143884896</v>
      </c>
      <c r="Q173" s="35" t="n">
        <v>0.2117903930131004</v>
      </c>
      <c r="R173" s="35" t="n">
        <v>0.04801019685596941</v>
      </c>
      <c r="S173" s="35" t="n">
        <v>0.07048139516193852</v>
      </c>
      <c r="T173" s="35" t="n">
        <v>0.107296351408644</v>
      </c>
      <c r="U173" s="30" t="n">
        <v>23350</v>
      </c>
      <c r="V173" s="30" t="n">
        <v>16960</v>
      </c>
      <c r="W173" s="35" t="n">
        <v>-0.04925053533190582</v>
      </c>
      <c r="X173" s="35" t="n">
        <v>0.3089622641509433</v>
      </c>
      <c r="Y173" s="30" t="n">
        <v>28966714</v>
      </c>
      <c r="Z173" s="30" t="n">
        <v>643061050800</v>
      </c>
      <c r="AA173" s="30" t="n">
        <v>4837868400</v>
      </c>
      <c r="AB173" s="30" t="n">
        <v>4675121445.5</v>
      </c>
      <c r="AC173" s="35" t="n">
        <v>0.007523186786046909</v>
      </c>
      <c r="AD173" s="24" t="inlineStr">
        <is>
          <t>yfinance_download</t>
        </is>
      </c>
      <c r="AE173" s="24" t="inlineStr">
        <is>
          <t>319660.KQ</t>
        </is>
      </c>
    </row>
    <row r="174" ht="24" customHeight="1">
      <c r="A174" s="29" t="inlineStr">
        <is>
          <t>2024-02-21</t>
        </is>
      </c>
      <c r="B174" s="31" t="n">
        <v>21900</v>
      </c>
      <c r="C174" s="31" t="n">
        <v>22750</v>
      </c>
      <c r="D174" s="31" t="n">
        <v>21850</v>
      </c>
      <c r="E174" s="31" t="n">
        <v>22300</v>
      </c>
      <c r="F174" s="31" t="n">
        <v>21783.392578125</v>
      </c>
      <c r="G174" s="31" t="n">
        <v>319375</v>
      </c>
      <c r="H174" s="36" t="n">
        <v>0.004504504504504458</v>
      </c>
      <c r="I174" s="36" t="n">
        <v>-0.1632270168855535</v>
      </c>
      <c r="J174" s="31" t="n">
        <v>21218</v>
      </c>
      <c r="K174" s="31" t="n">
        <v>20762.5</v>
      </c>
      <c r="L174" s="31" t="n">
        <v>20083</v>
      </c>
      <c r="M174" s="36" t="n">
        <v>0.2817927664354544</v>
      </c>
      <c r="N174" s="36" t="n">
        <v>0.2649867796674197</v>
      </c>
      <c r="O174" s="36" t="n">
        <v>0.03240740740740744</v>
      </c>
      <c r="P174" s="36" t="n">
        <v>0.0695443645083933</v>
      </c>
      <c r="Q174" s="36" t="n">
        <v>0.2252747252747254</v>
      </c>
      <c r="R174" s="36" t="n">
        <v>0.05099443868413611</v>
      </c>
      <c r="S174" s="36" t="n">
        <v>0.07405177603853108</v>
      </c>
      <c r="T174" s="36" t="n">
        <v>0.1103918737240452</v>
      </c>
      <c r="U174" s="31" t="n">
        <v>23350</v>
      </c>
      <c r="V174" s="31" t="n">
        <v>16960</v>
      </c>
      <c r="W174" s="36" t="n">
        <v>-0.04496788008565311</v>
      </c>
      <c r="X174" s="36" t="n">
        <v>0.3148584905660377</v>
      </c>
      <c r="Y174" s="31" t="n">
        <v>28966714</v>
      </c>
      <c r="Z174" s="31" t="n">
        <v>645957722200</v>
      </c>
      <c r="AA174" s="31" t="n">
        <v>7122062500</v>
      </c>
      <c r="AB174" s="31" t="n">
        <v>4794071690.5</v>
      </c>
      <c r="AC174" s="36" t="n">
        <v>0.01102558612619989</v>
      </c>
      <c r="AD174" s="29" t="inlineStr">
        <is>
          <t>yfinance_download</t>
        </is>
      </c>
      <c r="AE174" s="29" t="inlineStr">
        <is>
          <t>319660.KQ</t>
        </is>
      </c>
    </row>
    <row r="175" ht="24" customHeight="1">
      <c r="A175" s="24" t="inlineStr">
        <is>
          <t>2024-02-22</t>
        </is>
      </c>
      <c r="B175" s="30" t="n">
        <v>22700</v>
      </c>
      <c r="C175" s="30" t="n">
        <v>22750</v>
      </c>
      <c r="D175" s="30" t="n">
        <v>22150</v>
      </c>
      <c r="E175" s="30" t="n">
        <v>22500</v>
      </c>
      <c r="F175" s="30" t="n">
        <v>21978.759765625</v>
      </c>
      <c r="G175" s="30" t="n">
        <v>221839</v>
      </c>
      <c r="H175" s="35" t="n">
        <v>0.008968609865470878</v>
      </c>
      <c r="I175" s="35" t="n">
        <v>-0.1557223264540337</v>
      </c>
      <c r="J175" s="30" t="n">
        <v>21273</v>
      </c>
      <c r="K175" s="30" t="n">
        <v>20806.83333333333</v>
      </c>
      <c r="L175" s="30" t="n">
        <v>20115.25</v>
      </c>
      <c r="M175" s="35" t="n">
        <v>0.2797725616763789</v>
      </c>
      <c r="N175" s="35" t="n">
        <v>0.2443095475225541</v>
      </c>
      <c r="O175" s="35" t="n">
        <v>0.05140186915887845</v>
      </c>
      <c r="P175" s="35" t="n">
        <v>0.1340725806451613</v>
      </c>
      <c r="Q175" s="35" t="n">
        <v>0.2077294685990339</v>
      </c>
      <c r="R175" s="35" t="n">
        <v>0.05767874770836268</v>
      </c>
      <c r="S175" s="35" t="n">
        <v>0.08137550964827267</v>
      </c>
      <c r="T175" s="35" t="n">
        <v>0.1185543306695169</v>
      </c>
      <c r="U175" s="30" t="n">
        <v>23350</v>
      </c>
      <c r="V175" s="30" t="n">
        <v>16960</v>
      </c>
      <c r="W175" s="35" t="n">
        <v>-0.0364025695931478</v>
      </c>
      <c r="X175" s="35" t="n">
        <v>0.3266509433962264</v>
      </c>
      <c r="Y175" s="30" t="n">
        <v>28966714</v>
      </c>
      <c r="Z175" s="30" t="n">
        <v>651751065000</v>
      </c>
      <c r="AA175" s="30" t="n">
        <v>4991377500</v>
      </c>
      <c r="AB175" s="30" t="n">
        <v>4835505235.5</v>
      </c>
      <c r="AC175" s="35" t="n">
        <v>0.007658410960939511</v>
      </c>
      <c r="AD175" s="24" t="inlineStr">
        <is>
          <t>yfinance_download</t>
        </is>
      </c>
      <c r="AE175" s="24" t="inlineStr">
        <is>
          <t>319660.KQ</t>
        </is>
      </c>
    </row>
    <row r="176" ht="24" customHeight="1">
      <c r="A176" s="29" t="inlineStr">
        <is>
          <t>2024-02-23</t>
        </is>
      </c>
      <c r="B176" s="31" t="n">
        <v>22800</v>
      </c>
      <c r="C176" s="31" t="n">
        <v>22950</v>
      </c>
      <c r="D176" s="31" t="n">
        <v>22250</v>
      </c>
      <c r="E176" s="31" t="n">
        <v>22500</v>
      </c>
      <c r="F176" s="31" t="n">
        <v>21978.759765625</v>
      </c>
      <c r="G176" s="31" t="n">
        <v>307140</v>
      </c>
      <c r="H176" s="36" t="n">
        <v>0</v>
      </c>
      <c r="I176" s="36" t="n">
        <v>-0.1557223264540337</v>
      </c>
      <c r="J176" s="31" t="n">
        <v>21315.5</v>
      </c>
      <c r="K176" s="31" t="n">
        <v>20854.33333333333</v>
      </c>
      <c r="L176" s="31" t="n">
        <v>20151.83333333333</v>
      </c>
      <c r="M176" s="36" t="n">
        <v>0.2778405328298839</v>
      </c>
      <c r="N176" s="36" t="n">
        <v>0.2431207062616358</v>
      </c>
      <c r="O176" s="36" t="n">
        <v>0.03926096997690531</v>
      </c>
      <c r="P176" s="36" t="n">
        <v>0.1450381679389312</v>
      </c>
      <c r="Q176" s="36" t="n">
        <v>0.2424075096631695</v>
      </c>
      <c r="R176" s="36" t="n">
        <v>0.05556989045530258</v>
      </c>
      <c r="S176" s="36" t="n">
        <v>0.07891245624410592</v>
      </c>
      <c r="T176" s="36" t="n">
        <v>0.1165237240614998</v>
      </c>
      <c r="U176" s="31" t="n">
        <v>23350</v>
      </c>
      <c r="V176" s="31" t="n">
        <v>16960</v>
      </c>
      <c r="W176" s="36" t="n">
        <v>-0.0364025695931478</v>
      </c>
      <c r="X176" s="36" t="n">
        <v>0.3266509433962264</v>
      </c>
      <c r="Y176" s="31" t="n">
        <v>28966714</v>
      </c>
      <c r="Z176" s="31" t="n">
        <v>651751065000</v>
      </c>
      <c r="AA176" s="31" t="n">
        <v>6910650000</v>
      </c>
      <c r="AB176" s="31" t="n">
        <v>5062437953</v>
      </c>
      <c r="AC176" s="36" t="n">
        <v>0.01060320476806586</v>
      </c>
      <c r="AD176" s="29" t="inlineStr">
        <is>
          <t>yfinance_download</t>
        </is>
      </c>
      <c r="AE176" s="29" t="inlineStr">
        <is>
          <t>319660.KQ</t>
        </is>
      </c>
    </row>
    <row r="177" ht="24" customHeight="1">
      <c r="A177" s="24" t="inlineStr">
        <is>
          <t>2024-02-26</t>
        </is>
      </c>
      <c r="B177" s="30" t="n">
        <v>22350</v>
      </c>
      <c r="C177" s="30" t="n">
        <v>22600</v>
      </c>
      <c r="D177" s="30" t="n">
        <v>21750</v>
      </c>
      <c r="E177" s="30" t="n">
        <v>21850</v>
      </c>
      <c r="F177" s="30" t="n">
        <v>21343.81640625</v>
      </c>
      <c r="G177" s="30" t="n">
        <v>180708</v>
      </c>
      <c r="H177" s="35" t="n">
        <v>-0.02888888888888885</v>
      </c>
      <c r="I177" s="35" t="n">
        <v>-0.1801125703564728</v>
      </c>
      <c r="J177" s="30" t="n">
        <v>21325.5</v>
      </c>
      <c r="K177" s="30" t="n">
        <v>20885.83333333333</v>
      </c>
      <c r="L177" s="30" t="n">
        <v>20184.33333333333</v>
      </c>
      <c r="M177" s="35" t="n">
        <v>0.2988296332267221</v>
      </c>
      <c r="N177" s="35" t="n">
        <v>0.2497466349725724</v>
      </c>
      <c r="O177" s="35" t="n">
        <v>0.009237875288683695</v>
      </c>
      <c r="P177" s="35" t="n">
        <v>0.09468937875751493</v>
      </c>
      <c r="Q177" s="35" t="n">
        <v>0.2172701949860725</v>
      </c>
      <c r="R177" s="35" t="n">
        <v>0.02459496846498332</v>
      </c>
      <c r="S177" s="35" t="n">
        <v>0.04616366755775458</v>
      </c>
      <c r="T177" s="35" t="n">
        <v>0.08252274866645748</v>
      </c>
      <c r="U177" s="30" t="n">
        <v>23350</v>
      </c>
      <c r="V177" s="30" t="n">
        <v>16960</v>
      </c>
      <c r="W177" s="35" t="n">
        <v>-0.06423982869379019</v>
      </c>
      <c r="X177" s="35" t="n">
        <v>0.2883254716981132</v>
      </c>
      <c r="Y177" s="30" t="n">
        <v>28966714</v>
      </c>
      <c r="Z177" s="30" t="n">
        <v>632922700900</v>
      </c>
      <c r="AA177" s="30" t="n">
        <v>3948469800</v>
      </c>
      <c r="AB177" s="30" t="n">
        <v>4874513093</v>
      </c>
      <c r="AC177" s="35" t="n">
        <v>0.006238470818609249</v>
      </c>
      <c r="AD177" s="24" t="inlineStr">
        <is>
          <t>yfinance_download</t>
        </is>
      </c>
      <c r="AE177" s="24" t="inlineStr">
        <is>
          <t>319660.KQ</t>
        </is>
      </c>
    </row>
    <row r="178" ht="24" customHeight="1">
      <c r="A178" s="29" t="inlineStr">
        <is>
          <t>2024-02-27</t>
        </is>
      </c>
      <c r="B178" s="31" t="n">
        <v>21750</v>
      </c>
      <c r="C178" s="31" t="n">
        <v>22550</v>
      </c>
      <c r="D178" s="31" t="n">
        <v>21750</v>
      </c>
      <c r="E178" s="31" t="n">
        <v>22300</v>
      </c>
      <c r="F178" s="31" t="n">
        <v>21783.392578125</v>
      </c>
      <c r="G178" s="31" t="n">
        <v>344369</v>
      </c>
      <c r="H178" s="36" t="n">
        <v>0.02059496567505725</v>
      </c>
      <c r="I178" s="36" t="n">
        <v>-0.1632270168855535</v>
      </c>
      <c r="J178" s="31" t="n">
        <v>21368</v>
      </c>
      <c r="K178" s="31" t="n">
        <v>20920</v>
      </c>
      <c r="L178" s="31" t="n">
        <v>20217.08333333333</v>
      </c>
      <c r="M178" s="36" t="n">
        <v>0.3044759890198731</v>
      </c>
      <c r="N178" s="36" t="n">
        <v>0.2513887165759797</v>
      </c>
      <c r="O178" s="36" t="n">
        <v>0.03962703962703973</v>
      </c>
      <c r="P178" s="36" t="n">
        <v>0.1012345679012345</v>
      </c>
      <c r="Q178" s="36" t="n">
        <v>0.2139357648339684</v>
      </c>
      <c r="R178" s="36" t="n">
        <v>0.04361662298764513</v>
      </c>
      <c r="S178" s="36" t="n">
        <v>0.06596558317399626</v>
      </c>
      <c r="T178" s="36" t="n">
        <v>0.1030275550792441</v>
      </c>
      <c r="U178" s="31" t="n">
        <v>23350</v>
      </c>
      <c r="V178" s="31" t="n">
        <v>16960</v>
      </c>
      <c r="W178" s="36" t="n">
        <v>-0.04496788008565311</v>
      </c>
      <c r="X178" s="36" t="n">
        <v>0.3148584905660377</v>
      </c>
      <c r="Y178" s="31" t="n">
        <v>28966714</v>
      </c>
      <c r="Z178" s="31" t="n">
        <v>645957722200</v>
      </c>
      <c r="AA178" s="31" t="n">
        <v>7679428700</v>
      </c>
      <c r="AB178" s="31" t="n">
        <v>5067948468</v>
      </c>
      <c r="AC178" s="36" t="n">
        <v>0.01188843857125113</v>
      </c>
      <c r="AD178" s="29" t="inlineStr">
        <is>
          <t>yfinance_download</t>
        </is>
      </c>
      <c r="AE178" s="29" t="inlineStr">
        <is>
          <t>319660.KQ</t>
        </is>
      </c>
    </row>
    <row r="179" ht="24" customHeight="1">
      <c r="A179" s="24" t="inlineStr">
        <is>
          <t>2024-02-28</t>
        </is>
      </c>
      <c r="B179" s="30" t="n">
        <v>22400</v>
      </c>
      <c r="C179" s="30" t="n">
        <v>23100</v>
      </c>
      <c r="D179" s="30" t="n">
        <v>22050</v>
      </c>
      <c r="E179" s="30" t="n">
        <v>22950</v>
      </c>
      <c r="F179" s="30" t="n">
        <v>22418.333984375</v>
      </c>
      <c r="G179" s="30" t="n">
        <v>469121</v>
      </c>
      <c r="H179" s="35" t="n">
        <v>0.02914798206278024</v>
      </c>
      <c r="I179" s="35" t="n">
        <v>-0.1388367729831145</v>
      </c>
      <c r="J179" s="30" t="n">
        <v>21450.5</v>
      </c>
      <c r="K179" s="30" t="n">
        <v>20966.66666666667</v>
      </c>
      <c r="L179" s="30" t="n">
        <v>20254.75</v>
      </c>
      <c r="M179" s="35" t="n">
        <v>0.3169023442463104</v>
      </c>
      <c r="N179" s="35" t="n">
        <v>0.2571653584834914</v>
      </c>
      <c r="O179" s="35" t="n">
        <v>0.07746478873239426</v>
      </c>
      <c r="P179" s="35" t="n">
        <v>0.1389578163771712</v>
      </c>
      <c r="Q179" s="35" t="n">
        <v>0.2452523060227889</v>
      </c>
      <c r="R179" s="35" t="n">
        <v>0.06990513041654034</v>
      </c>
      <c r="S179" s="35" t="n">
        <v>0.09459459459459452</v>
      </c>
      <c r="T179" s="35" t="n">
        <v>0.1330675520556905</v>
      </c>
      <c r="U179" s="30" t="n">
        <v>23350</v>
      </c>
      <c r="V179" s="30" t="n">
        <v>16960</v>
      </c>
      <c r="W179" s="35" t="n">
        <v>-0.01713062098501072</v>
      </c>
      <c r="X179" s="35" t="n">
        <v>0.3531839622641511</v>
      </c>
      <c r="Y179" s="30" t="n">
        <v>28966714</v>
      </c>
      <c r="Z179" s="30" t="n">
        <v>664786086300</v>
      </c>
      <c r="AA179" s="30" t="n">
        <v>10766326950</v>
      </c>
      <c r="AB179" s="30" t="n">
        <v>5439137560.5</v>
      </c>
      <c r="AC179" s="35" t="n">
        <v>0.01619517491697539</v>
      </c>
      <c r="AD179" s="24" t="inlineStr">
        <is>
          <t>yfinance_download</t>
        </is>
      </c>
      <c r="AE179" s="24" t="inlineStr">
        <is>
          <t>319660.KQ</t>
        </is>
      </c>
    </row>
    <row r="180" ht="24" customHeight="1">
      <c r="A180" s="29" t="inlineStr">
        <is>
          <t>2024-02-29</t>
        </is>
      </c>
      <c r="B180" s="31" t="n">
        <v>22750</v>
      </c>
      <c r="C180" s="31" t="n">
        <v>26150</v>
      </c>
      <c r="D180" s="31" t="n">
        <v>22600</v>
      </c>
      <c r="E180" s="31" t="n">
        <v>25400</v>
      </c>
      <c r="F180" s="31" t="n">
        <v>24811.576171875</v>
      </c>
      <c r="G180" s="31" t="n">
        <v>1841557</v>
      </c>
      <c r="H180" s="36" t="n">
        <v>0.1067538126361656</v>
      </c>
      <c r="I180" s="36" t="n">
        <v>-0.04690431519699811</v>
      </c>
      <c r="J180" s="31" t="n">
        <v>21688</v>
      </c>
      <c r="K180" s="31" t="n">
        <v>21059.33333333333</v>
      </c>
      <c r="L180" s="31" t="n">
        <v>20310.16666666667</v>
      </c>
      <c r="M180" s="36" t="n">
        <v>0.4609047156920562</v>
      </c>
      <c r="N180" s="36" t="n">
        <v>0.3321712549830663</v>
      </c>
      <c r="O180" s="36" t="n">
        <v>0.2300242130750605</v>
      </c>
      <c r="P180" s="36" t="n">
        <v>0.280241935483871</v>
      </c>
      <c r="Q180" s="36" t="n">
        <v>0.3546666666666667</v>
      </c>
      <c r="R180" s="36" t="n">
        <v>0.1711545555145704</v>
      </c>
      <c r="S180" s="36" t="n">
        <v>0.2061160530564439</v>
      </c>
      <c r="T180" s="36" t="n">
        <v>0.250605197725277</v>
      </c>
      <c r="U180" s="31" t="n">
        <v>25400</v>
      </c>
      <c r="V180" s="31" t="n">
        <v>16960</v>
      </c>
      <c r="W180" s="36" t="n">
        <v>0</v>
      </c>
      <c r="X180" s="36" t="n">
        <v>0.4976415094339623</v>
      </c>
      <c r="Y180" s="31" t="n">
        <v>28966714</v>
      </c>
      <c r="Z180" s="31" t="n">
        <v>735754535600</v>
      </c>
      <c r="AA180" s="31" t="n">
        <v>46775547800</v>
      </c>
      <c r="AB180" s="31" t="n">
        <v>7515504043</v>
      </c>
      <c r="AC180" s="36" t="n">
        <v>0.06357493639078288</v>
      </c>
      <c r="AD180" s="29" t="inlineStr">
        <is>
          <t>yfinance_download</t>
        </is>
      </c>
      <c r="AE180" s="29" t="inlineStr">
        <is>
          <t>319660.KQ</t>
        </is>
      </c>
    </row>
    <row r="181" ht="24" customHeight="1">
      <c r="A181" s="24" t="inlineStr">
        <is>
          <t>2024-03-04</t>
        </is>
      </c>
      <c r="B181" s="30" t="n">
        <v>25850</v>
      </c>
      <c r="C181" s="30" t="n">
        <v>26500</v>
      </c>
      <c r="D181" s="30" t="n">
        <v>25300</v>
      </c>
      <c r="E181" s="30" t="n">
        <v>26300</v>
      </c>
      <c r="F181" s="30" t="n">
        <v>25690.7265625</v>
      </c>
      <c r="G181" s="30" t="n">
        <v>977588</v>
      </c>
      <c r="H181" s="35" t="n">
        <v>0.03543307086614167</v>
      </c>
      <c r="I181" s="35" t="n">
        <v>-0.01313320825515951</v>
      </c>
      <c r="J181" s="30" t="n">
        <v>21998</v>
      </c>
      <c r="K181" s="30" t="n">
        <v>21171.33333333333</v>
      </c>
      <c r="L181" s="30" t="n">
        <v>20361.83333333333</v>
      </c>
      <c r="M181" s="35" t="n">
        <v>0.4464932247834193</v>
      </c>
      <c r="N181" s="35" t="n">
        <v>0.3361568362828123</v>
      </c>
      <c r="O181" s="35" t="n">
        <v>0.308457711442786</v>
      </c>
      <c r="P181" s="35" t="n">
        <v>0.3432073544433094</v>
      </c>
      <c r="Q181" s="35" t="n">
        <v>0.308457711442786</v>
      </c>
      <c r="R181" s="35" t="n">
        <v>0.1955632330211838</v>
      </c>
      <c r="S181" s="35" t="n">
        <v>0.2422458040746922</v>
      </c>
      <c r="T181" s="35" t="n">
        <v>0.2916322204123729</v>
      </c>
      <c r="U181" s="30" t="n">
        <v>26300</v>
      </c>
      <c r="V181" s="30" t="n">
        <v>16960</v>
      </c>
      <c r="W181" s="35" t="n">
        <v>0</v>
      </c>
      <c r="X181" s="35" t="n">
        <v>0.5507075471698113</v>
      </c>
      <c r="Y181" s="30" t="n">
        <v>28966714</v>
      </c>
      <c r="Z181" s="30" t="n">
        <v>761824578200</v>
      </c>
      <c r="AA181" s="30" t="n">
        <v>25710564400</v>
      </c>
      <c r="AB181" s="30" t="n">
        <v>8670589293</v>
      </c>
      <c r="AC181" s="35" t="n">
        <v>0.03374866752231544</v>
      </c>
      <c r="AD181" s="24" t="inlineStr">
        <is>
          <t>yfinance_download</t>
        </is>
      </c>
      <c r="AE181" s="24" t="inlineStr">
        <is>
          <t>319660.KQ</t>
        </is>
      </c>
    </row>
    <row r="182" ht="24" customHeight="1">
      <c r="A182" s="29" t="inlineStr">
        <is>
          <t>2024-03-05</t>
        </is>
      </c>
      <c r="B182" s="31" t="n">
        <v>26250</v>
      </c>
      <c r="C182" s="31" t="n">
        <v>26750</v>
      </c>
      <c r="D182" s="31" t="n">
        <v>25250</v>
      </c>
      <c r="E182" s="31" t="n">
        <v>26550</v>
      </c>
      <c r="F182" s="31" t="n">
        <v>25934.935546875</v>
      </c>
      <c r="G182" s="31" t="n">
        <v>585338</v>
      </c>
      <c r="H182" s="36" t="n">
        <v>0.009505703422053147</v>
      </c>
      <c r="I182" s="36" t="n">
        <v>-0.003752345215759845</v>
      </c>
      <c r="J182" s="31" t="n">
        <v>22337.5</v>
      </c>
      <c r="K182" s="31" t="n">
        <v>21287.16666666667</v>
      </c>
      <c r="L182" s="31" t="n">
        <v>20412.66666666667</v>
      </c>
      <c r="M182" s="36" t="n">
        <v>0.4319250311777069</v>
      </c>
      <c r="N182" s="36" t="n">
        <v>0.3361620663637435</v>
      </c>
      <c r="O182" s="36" t="n">
        <v>0.3436234817813766</v>
      </c>
      <c r="P182" s="36" t="n">
        <v>0.3545918367346939</v>
      </c>
      <c r="Q182" s="36" t="n">
        <v>0.2982885085574571</v>
      </c>
      <c r="R182" s="36" t="n">
        <v>0.1885842193620593</v>
      </c>
      <c r="S182" s="36" t="n">
        <v>0.2472303343955278</v>
      </c>
      <c r="T182" s="36" t="n">
        <v>0.3006629870341944</v>
      </c>
      <c r="U182" s="31" t="n">
        <v>26550</v>
      </c>
      <c r="V182" s="31" t="n">
        <v>16960</v>
      </c>
      <c r="W182" s="36" t="n">
        <v>0</v>
      </c>
      <c r="X182" s="36" t="n">
        <v>0.5654481132075471</v>
      </c>
      <c r="Y182" s="31" t="n">
        <v>28966714</v>
      </c>
      <c r="Z182" s="31" t="n">
        <v>769066256700</v>
      </c>
      <c r="AA182" s="31" t="n">
        <v>15540723900</v>
      </c>
      <c r="AB182" s="31" t="n">
        <v>9228826960</v>
      </c>
      <c r="AC182" s="36" t="n">
        <v>0.02020726272230948</v>
      </c>
      <c r="AD182" s="29" t="inlineStr">
        <is>
          <t>yfinance_download</t>
        </is>
      </c>
      <c r="AE182" s="29" t="inlineStr">
        <is>
          <t>319660.KQ</t>
        </is>
      </c>
    </row>
    <row r="183" ht="24" customHeight="1">
      <c r="A183" s="24" t="inlineStr">
        <is>
          <t>2024-03-06</t>
        </is>
      </c>
      <c r="B183" s="30" t="n">
        <v>25950</v>
      </c>
      <c r="C183" s="30" t="n">
        <v>26750</v>
      </c>
      <c r="D183" s="30" t="n">
        <v>25800</v>
      </c>
      <c r="E183" s="30" t="n">
        <v>26250</v>
      </c>
      <c r="F183" s="30" t="n">
        <v>25641.88671875</v>
      </c>
      <c r="G183" s="30" t="n">
        <v>372171</v>
      </c>
      <c r="H183" s="35" t="n">
        <v>-0.01129943502824859</v>
      </c>
      <c r="I183" s="35" t="n">
        <v>-0.01500938086303938</v>
      </c>
      <c r="J183" s="30" t="n">
        <v>22642.5</v>
      </c>
      <c r="K183" s="30" t="n">
        <v>21402.5</v>
      </c>
      <c r="L183" s="30" t="n">
        <v>20465.91666666667</v>
      </c>
      <c r="M183" s="35" t="n">
        <v>0.4415577480363057</v>
      </c>
      <c r="N183" s="35" t="n">
        <v>0.3356002223544294</v>
      </c>
      <c r="O183" s="35" t="n">
        <v>0.3027295285359801</v>
      </c>
      <c r="P183" s="35" t="n">
        <v>0.3579927573719608</v>
      </c>
      <c r="Q183" s="35" t="n">
        <v>0.3217522658610272</v>
      </c>
      <c r="R183" s="35" t="n">
        <v>0.1593242795627692</v>
      </c>
      <c r="S183" s="35" t="n">
        <v>0.2264922322158627</v>
      </c>
      <c r="T183" s="35" t="n">
        <v>0.2826202914601919</v>
      </c>
      <c r="U183" s="30" t="n">
        <v>26550</v>
      </c>
      <c r="V183" s="30" t="n">
        <v>16960</v>
      </c>
      <c r="W183" s="35" t="n">
        <v>-0.01129943502824859</v>
      </c>
      <c r="X183" s="35" t="n">
        <v>0.5477594339622642</v>
      </c>
      <c r="Y183" s="30" t="n">
        <v>28966714</v>
      </c>
      <c r="Z183" s="30" t="n">
        <v>760376242500</v>
      </c>
      <c r="AA183" s="30" t="n">
        <v>9769488750</v>
      </c>
      <c r="AB183" s="30" t="n">
        <v>9544959455</v>
      </c>
      <c r="AC183" s="35" t="n">
        <v>0.01284822986825499</v>
      </c>
      <c r="AD183" s="24" t="inlineStr">
        <is>
          <t>yfinance_download</t>
        </is>
      </c>
      <c r="AE183" s="24" t="inlineStr">
        <is>
          <t>319660.KQ</t>
        </is>
      </c>
    </row>
    <row r="184" ht="24" customHeight="1">
      <c r="A184" s="29" t="inlineStr">
        <is>
          <t>2024-03-07</t>
        </is>
      </c>
      <c r="B184" s="31" t="n">
        <v>26250</v>
      </c>
      <c r="C184" s="31" t="n">
        <v>27000</v>
      </c>
      <c r="D184" s="31" t="n">
        <v>25350</v>
      </c>
      <c r="E184" s="31" t="n">
        <v>25900</v>
      </c>
      <c r="F184" s="31" t="n">
        <v>25299.994140625</v>
      </c>
      <c r="G184" s="31" t="n">
        <v>496736</v>
      </c>
      <c r="H184" s="36" t="n">
        <v>-0.01333333333333331</v>
      </c>
      <c r="I184" s="36" t="n">
        <v>-0.02814258911819889</v>
      </c>
      <c r="J184" s="31" t="n">
        <v>22945</v>
      </c>
      <c r="K184" s="31" t="n">
        <v>21513</v>
      </c>
      <c r="L184" s="31" t="n">
        <v>20520.16666666667</v>
      </c>
      <c r="M184" s="36" t="n">
        <v>0.440256759485689</v>
      </c>
      <c r="N184" s="36" t="n">
        <v>0.3373480727131564</v>
      </c>
      <c r="O184" s="36" t="n">
        <v>0.3047858942065491</v>
      </c>
      <c r="P184" s="36" t="n">
        <v>0.3440581214322782</v>
      </c>
      <c r="Q184" s="36" t="n">
        <v>0.3357400722021662</v>
      </c>
      <c r="R184" s="36" t="n">
        <v>0.1287862279363696</v>
      </c>
      <c r="S184" s="36" t="n">
        <v>0.2039232092223306</v>
      </c>
      <c r="T184" s="36" t="n">
        <v>0.2621729842999976</v>
      </c>
      <c r="U184" s="31" t="n">
        <v>26550</v>
      </c>
      <c r="V184" s="31" t="n">
        <v>16960</v>
      </c>
      <c r="W184" s="36" t="n">
        <v>-0.02448210922787197</v>
      </c>
      <c r="X184" s="36" t="n">
        <v>0.5271226415094339</v>
      </c>
      <c r="Y184" s="31" t="n">
        <v>28966714</v>
      </c>
      <c r="Z184" s="31" t="n">
        <v>750237892600</v>
      </c>
      <c r="AA184" s="31" t="n">
        <v>12865462400</v>
      </c>
      <c r="AB184" s="31" t="n">
        <v>10036247080</v>
      </c>
      <c r="AC184" s="36" t="n">
        <v>0.01714851052832572</v>
      </c>
      <c r="AD184" s="29" t="inlineStr">
        <is>
          <t>yfinance_download</t>
        </is>
      </c>
      <c r="AE184" s="29" t="inlineStr">
        <is>
          <t>319660.KQ</t>
        </is>
      </c>
    </row>
    <row r="185" ht="24" customHeight="1">
      <c r="A185" s="24" t="inlineStr">
        <is>
          <t>2024-03-08</t>
        </is>
      </c>
      <c r="B185" s="30" t="n">
        <v>26200</v>
      </c>
      <c r="C185" s="30" t="n">
        <v>27200</v>
      </c>
      <c r="D185" s="30" t="n">
        <v>25750</v>
      </c>
      <c r="E185" s="30" t="n">
        <v>25950</v>
      </c>
      <c r="F185" s="30" t="n">
        <v>25348.8359375</v>
      </c>
      <c r="G185" s="30" t="n">
        <v>421305</v>
      </c>
      <c r="H185" s="35" t="n">
        <v>0.001930501930502038</v>
      </c>
      <c r="I185" s="35" t="n">
        <v>-0.02626641651031891</v>
      </c>
      <c r="J185" s="30" t="n">
        <v>23222.5</v>
      </c>
      <c r="K185" s="30" t="n">
        <v>21623.5</v>
      </c>
      <c r="L185" s="30" t="n">
        <v>20573.75</v>
      </c>
      <c r="M185" s="35" t="n">
        <v>0.4389167688709629</v>
      </c>
      <c r="N185" s="35" t="n">
        <v>0.3373723619741398</v>
      </c>
      <c r="O185" s="35" t="n">
        <v>0.2720588235294117</v>
      </c>
      <c r="P185" s="35" t="n">
        <v>0.3431677018633541</v>
      </c>
      <c r="Q185" s="35" t="n">
        <v>0.329405737704918</v>
      </c>
      <c r="R185" s="35" t="n">
        <v>0.1174507481967919</v>
      </c>
      <c r="S185" s="35" t="n">
        <v>0.2000832427682846</v>
      </c>
      <c r="T185" s="35" t="n">
        <v>0.2613159973266905</v>
      </c>
      <c r="U185" s="30" t="n">
        <v>26550</v>
      </c>
      <c r="V185" s="30" t="n">
        <v>16960</v>
      </c>
      <c r="W185" s="35" t="n">
        <v>-0.02259887005649719</v>
      </c>
      <c r="X185" s="35" t="n">
        <v>0.5300707547169812</v>
      </c>
      <c r="Y185" s="30" t="n">
        <v>28966714</v>
      </c>
      <c r="Z185" s="30" t="n">
        <v>751686228300</v>
      </c>
      <c r="AA185" s="30" t="n">
        <v>10932864750</v>
      </c>
      <c r="AB185" s="30" t="n">
        <v>10424113037.5</v>
      </c>
      <c r="AC185" s="35" t="n">
        <v>0.01454445264312687</v>
      </c>
      <c r="AD185" s="24" t="inlineStr">
        <is>
          <t>yfinance_download</t>
        </is>
      </c>
      <c r="AE185" s="24" t="inlineStr">
        <is>
          <t>319660.KQ</t>
        </is>
      </c>
    </row>
    <row r="186" ht="24" customHeight="1">
      <c r="A186" s="29" t="inlineStr">
        <is>
          <t>2024-03-11</t>
        </is>
      </c>
      <c r="B186" s="31" t="n">
        <v>25200</v>
      </c>
      <c r="C186" s="31" t="n">
        <v>25800</v>
      </c>
      <c r="D186" s="31" t="n">
        <v>25200</v>
      </c>
      <c r="E186" s="31" t="n">
        <v>25400</v>
      </c>
      <c r="F186" s="31" t="n">
        <v>24811.576171875</v>
      </c>
      <c r="G186" s="31" t="n">
        <v>297810</v>
      </c>
      <c r="H186" s="36" t="n">
        <v>-0.02119460500963388</v>
      </c>
      <c r="I186" s="36" t="n">
        <v>-0.04690431519699811</v>
      </c>
      <c r="J186" s="31" t="n">
        <v>23472.5</v>
      </c>
      <c r="K186" s="31" t="n">
        <v>21719.33333333333</v>
      </c>
      <c r="L186" s="31" t="n">
        <v>20624.75</v>
      </c>
      <c r="M186" s="36" t="n">
        <v>0.4531099059344375</v>
      </c>
      <c r="N186" s="36" t="n">
        <v>0.3406915554551861</v>
      </c>
      <c r="O186" s="36" t="n">
        <v>0.2450980392156863</v>
      </c>
      <c r="P186" s="36" t="n">
        <v>0.2926208651399491</v>
      </c>
      <c r="Q186" s="36" t="n">
        <v>0.3174273858921162</v>
      </c>
      <c r="R186" s="36" t="n">
        <v>0.08211737139205444</v>
      </c>
      <c r="S186" s="36" t="n">
        <v>0.1694649927867646</v>
      </c>
      <c r="T186" s="36" t="n">
        <v>0.2315300791524746</v>
      </c>
      <c r="U186" s="31" t="n">
        <v>26550</v>
      </c>
      <c r="V186" s="31" t="n">
        <v>16960</v>
      </c>
      <c r="W186" s="36" t="n">
        <v>-0.04331450094161959</v>
      </c>
      <c r="X186" s="36" t="n">
        <v>0.4976415094339623</v>
      </c>
      <c r="Y186" s="31" t="n">
        <v>28966714</v>
      </c>
      <c r="Z186" s="31" t="n">
        <v>735754535600</v>
      </c>
      <c r="AA186" s="31" t="n">
        <v>7564374000</v>
      </c>
      <c r="AB186" s="31" t="n">
        <v>10678304837.5</v>
      </c>
      <c r="AC186" s="36" t="n">
        <v>0.01028111093305233</v>
      </c>
      <c r="AD186" s="29" t="inlineStr">
        <is>
          <t>yfinance_download</t>
        </is>
      </c>
      <c r="AE186" s="29" t="inlineStr">
        <is>
          <t>319660.KQ</t>
        </is>
      </c>
    </row>
    <row r="187" ht="24" customHeight="1">
      <c r="A187" s="24" t="inlineStr">
        <is>
          <t>2024-03-12</t>
        </is>
      </c>
      <c r="B187" s="30" t="n">
        <v>25700</v>
      </c>
      <c r="C187" s="30" t="n">
        <v>27000</v>
      </c>
      <c r="D187" s="30" t="n">
        <v>25600</v>
      </c>
      <c r="E187" s="30" t="n">
        <v>26500</v>
      </c>
      <c r="F187" s="30" t="n">
        <v>25886.09375</v>
      </c>
      <c r="G187" s="30" t="n">
        <v>694449</v>
      </c>
      <c r="H187" s="35" t="n">
        <v>0.04330708661417315</v>
      </c>
      <c r="I187" s="35" t="n">
        <v>-0.005628517823639823</v>
      </c>
      <c r="J187" s="30" t="n">
        <v>23747.5</v>
      </c>
      <c r="K187" s="30" t="n">
        <v>21826</v>
      </c>
      <c r="L187" s="30" t="n">
        <v>20687</v>
      </c>
      <c r="M187" s="35" t="n">
        <v>0.4630154411715656</v>
      </c>
      <c r="N187" s="35" t="n">
        <v>0.3478878668192005</v>
      </c>
      <c r="O187" s="35" t="n">
        <v>0.2619047619047619</v>
      </c>
      <c r="P187" s="35" t="n">
        <v>0.3184079601990051</v>
      </c>
      <c r="Q187" s="35" t="n">
        <v>0.3925380977404098</v>
      </c>
      <c r="R187" s="35" t="n">
        <v>0.115906937572376</v>
      </c>
      <c r="S187" s="35" t="n">
        <v>0.2141482635388985</v>
      </c>
      <c r="T187" s="35" t="n">
        <v>0.2809977280417653</v>
      </c>
      <c r="U187" s="30" t="n">
        <v>26550</v>
      </c>
      <c r="V187" s="30" t="n">
        <v>16960</v>
      </c>
      <c r="W187" s="35" t="n">
        <v>-0.001883239171374784</v>
      </c>
      <c r="X187" s="35" t="n">
        <v>0.5625</v>
      </c>
      <c r="Y187" s="30" t="n">
        <v>28966714</v>
      </c>
      <c r="Z187" s="30" t="n">
        <v>767617921000</v>
      </c>
      <c r="AA187" s="30" t="n">
        <v>18402898500</v>
      </c>
      <c r="AB187" s="30" t="n">
        <v>11361299912.5</v>
      </c>
      <c r="AC187" s="35" t="n">
        <v>0.02397403447280903</v>
      </c>
      <c r="AD187" s="24" t="inlineStr">
        <is>
          <t>yfinance_download</t>
        </is>
      </c>
      <c r="AE187" s="24" t="inlineStr">
        <is>
          <t>319660.KQ</t>
        </is>
      </c>
    </row>
    <row r="188" ht="24" customHeight="1">
      <c r="A188" s="29" t="inlineStr">
        <is>
          <t>2024-03-13</t>
        </is>
      </c>
      <c r="B188" s="31" t="n">
        <v>27000</v>
      </c>
      <c r="C188" s="31" t="n">
        <v>27300</v>
      </c>
      <c r="D188" s="31" t="n">
        <v>26150</v>
      </c>
      <c r="E188" s="31" t="n">
        <v>26500</v>
      </c>
      <c r="F188" s="31" t="n">
        <v>25886.09375</v>
      </c>
      <c r="G188" s="31" t="n">
        <v>457602</v>
      </c>
      <c r="H188" s="36" t="n">
        <v>0</v>
      </c>
      <c r="I188" s="36" t="n">
        <v>-0.005628517823639823</v>
      </c>
      <c r="J188" s="31" t="n">
        <v>23992.5</v>
      </c>
      <c r="K188" s="31" t="n">
        <v>21929.33333333333</v>
      </c>
      <c r="L188" s="31" t="n">
        <v>20742.75</v>
      </c>
      <c r="M188" s="36" t="n">
        <v>0.4606250521176563</v>
      </c>
      <c r="N188" s="36" t="n">
        <v>0.3478621638806308</v>
      </c>
      <c r="O188" s="36" t="n">
        <v>0.2268518518518519</v>
      </c>
      <c r="P188" s="36" t="n">
        <v>0.3054187192118227</v>
      </c>
      <c r="Q188" s="36" t="n">
        <v>0.3377082281675921</v>
      </c>
      <c r="R188" s="36" t="n">
        <v>0.1045118266124831</v>
      </c>
      <c r="S188" s="36" t="n">
        <v>0.2084270687663405</v>
      </c>
      <c r="T188" s="36" t="n">
        <v>0.2775548083065167</v>
      </c>
      <c r="U188" s="31" t="n">
        <v>26550</v>
      </c>
      <c r="V188" s="31" t="n">
        <v>16960</v>
      </c>
      <c r="W188" s="36" t="n">
        <v>-0.001883239171374784</v>
      </c>
      <c r="X188" s="36" t="n">
        <v>0.5625</v>
      </c>
      <c r="Y188" s="31" t="n">
        <v>28966714</v>
      </c>
      <c r="Z188" s="31" t="n">
        <v>767617921000</v>
      </c>
      <c r="AA188" s="31" t="n">
        <v>12126453000</v>
      </c>
      <c r="AB188" s="31" t="n">
        <v>11545033682.5</v>
      </c>
      <c r="AC188" s="36" t="n">
        <v>0.01579751158519396</v>
      </c>
      <c r="AD188" s="29" t="inlineStr">
        <is>
          <t>yfinance_download</t>
        </is>
      </c>
      <c r="AE188" s="29" t="inlineStr">
        <is>
          <t>319660.KQ</t>
        </is>
      </c>
    </row>
    <row r="189" ht="24" customHeight="1">
      <c r="A189" s="24" t="inlineStr">
        <is>
          <t>2024-03-14</t>
        </is>
      </c>
      <c r="B189" s="30" t="n">
        <v>26200</v>
      </c>
      <c r="C189" s="30" t="n">
        <v>26550</v>
      </c>
      <c r="D189" s="30" t="n">
        <v>25600</v>
      </c>
      <c r="E189" s="30" t="n">
        <v>26000</v>
      </c>
      <c r="F189" s="30" t="n">
        <v>25397.67578125</v>
      </c>
      <c r="G189" s="30" t="n">
        <v>350399</v>
      </c>
      <c r="H189" s="35" t="n">
        <v>-0.01886792452830188</v>
      </c>
      <c r="I189" s="35" t="n">
        <v>-0.02439024390243905</v>
      </c>
      <c r="J189" s="30" t="n">
        <v>24185</v>
      </c>
      <c r="K189" s="30" t="n">
        <v>22021</v>
      </c>
      <c r="L189" s="30" t="n">
        <v>20792.75</v>
      </c>
      <c r="M189" s="35" t="n">
        <v>0.4685381087273227</v>
      </c>
      <c r="N189" s="35" t="n">
        <v>0.3510041936102695</v>
      </c>
      <c r="O189" s="35" t="n">
        <v>0.1738148984198646</v>
      </c>
      <c r="P189" s="35" t="n">
        <v>0.2682926829268293</v>
      </c>
      <c r="Q189" s="35" t="n">
        <v>0.3</v>
      </c>
      <c r="R189" s="35" t="n">
        <v>0.0750465164358074</v>
      </c>
      <c r="S189" s="35" t="n">
        <v>0.1806911584396713</v>
      </c>
      <c r="T189" s="35" t="n">
        <v>0.250435849033918</v>
      </c>
      <c r="U189" s="30" t="n">
        <v>26550</v>
      </c>
      <c r="V189" s="30" t="n">
        <v>16960</v>
      </c>
      <c r="W189" s="35" t="n">
        <v>-0.0207156308851224</v>
      </c>
      <c r="X189" s="35" t="n">
        <v>0.5330188679245282</v>
      </c>
      <c r="Y189" s="30" t="n">
        <v>28966714</v>
      </c>
      <c r="Z189" s="30" t="n">
        <v>753134564000</v>
      </c>
      <c r="AA189" s="30" t="n">
        <v>9110374000</v>
      </c>
      <c r="AB189" s="30" t="n">
        <v>11495669712.5</v>
      </c>
      <c r="AC189" s="35" t="n">
        <v>0.01209660854179041</v>
      </c>
      <c r="AD189" s="24" t="inlineStr">
        <is>
          <t>yfinance_download</t>
        </is>
      </c>
      <c r="AE189" s="24" t="inlineStr">
        <is>
          <t>319660.KQ</t>
        </is>
      </c>
    </row>
    <row r="190" ht="24" customHeight="1">
      <c r="A190" s="29" t="inlineStr">
        <is>
          <t>2024-03-15</t>
        </is>
      </c>
      <c r="B190" s="31" t="n">
        <v>25650</v>
      </c>
      <c r="C190" s="31" t="n">
        <v>26800</v>
      </c>
      <c r="D190" s="31" t="n">
        <v>25650</v>
      </c>
      <c r="E190" s="31" t="n">
        <v>26500</v>
      </c>
      <c r="F190" s="31" t="n">
        <v>25886.09375</v>
      </c>
      <c r="G190" s="31" t="n">
        <v>431817</v>
      </c>
      <c r="H190" s="36" t="n">
        <v>0.01923076923076916</v>
      </c>
      <c r="I190" s="36" t="n">
        <v>-0.005628517823639823</v>
      </c>
      <c r="J190" s="31" t="n">
        <v>24405</v>
      </c>
      <c r="K190" s="31" t="n">
        <v>22116.83333333333</v>
      </c>
      <c r="L190" s="31" t="n">
        <v>20843.58333333333</v>
      </c>
      <c r="M190" s="36" t="n">
        <v>0.4682386067737657</v>
      </c>
      <c r="N190" s="36" t="n">
        <v>0.3519831984241408</v>
      </c>
      <c r="O190" s="36" t="n">
        <v>0.1990950226244343</v>
      </c>
      <c r="P190" s="36" t="n">
        <v>0.2771084337349397</v>
      </c>
      <c r="Q190" s="36" t="n">
        <v>0.2990196078431373</v>
      </c>
      <c r="R190" s="36" t="n">
        <v>0.08584306494570781</v>
      </c>
      <c r="S190" s="36" t="n">
        <v>0.1981823799368505</v>
      </c>
      <c r="T190" s="36" t="n">
        <v>0.2713744837539931</v>
      </c>
      <c r="U190" s="31" t="n">
        <v>26550</v>
      </c>
      <c r="V190" s="31" t="n">
        <v>16960</v>
      </c>
      <c r="W190" s="36" t="n">
        <v>-0.001883239171374784</v>
      </c>
      <c r="X190" s="36" t="n">
        <v>0.5625</v>
      </c>
      <c r="Y190" s="31" t="n">
        <v>28966714</v>
      </c>
      <c r="Z190" s="31" t="n">
        <v>767617921000</v>
      </c>
      <c r="AA190" s="31" t="n">
        <v>11443150500</v>
      </c>
      <c r="AB190" s="31" t="n">
        <v>11784906352.5</v>
      </c>
      <c r="AC190" s="36" t="n">
        <v>0.01490735193505207</v>
      </c>
      <c r="AD190" s="29" t="inlineStr">
        <is>
          <t>yfinance_download</t>
        </is>
      </c>
      <c r="AE190" s="29" t="inlineStr">
        <is>
          <t>319660.KQ</t>
        </is>
      </c>
    </row>
    <row r="191" ht="24" customHeight="1">
      <c r="A191" s="24" t="inlineStr">
        <is>
          <t>2024-03-18</t>
        </is>
      </c>
      <c r="B191" s="30" t="n">
        <v>26900</v>
      </c>
      <c r="C191" s="30" t="n">
        <v>27900</v>
      </c>
      <c r="D191" s="30" t="n">
        <v>26400</v>
      </c>
      <c r="E191" s="30" t="n">
        <v>27850</v>
      </c>
      <c r="F191" s="30" t="n">
        <v>27204.8203125</v>
      </c>
      <c r="G191" s="30" t="n">
        <v>524101</v>
      </c>
      <c r="H191" s="35" t="n">
        <v>0.05094339622641519</v>
      </c>
      <c r="I191" s="35" t="n">
        <v>0</v>
      </c>
      <c r="J191" s="30" t="n">
        <v>24690</v>
      </c>
      <c r="K191" s="30" t="n">
        <v>22237.66666666667</v>
      </c>
      <c r="L191" s="30" t="n">
        <v>20904.83333333333</v>
      </c>
      <c r="M191" s="35" t="n">
        <v>0.4896329499797069</v>
      </c>
      <c r="N191" s="35" t="n">
        <v>0.3638211736573341</v>
      </c>
      <c r="O191" s="35" t="n">
        <v>0.2573363431151241</v>
      </c>
      <c r="P191" s="35" t="n">
        <v>0.3519417475728155</v>
      </c>
      <c r="Q191" s="35" t="n">
        <v>0.3585365853658538</v>
      </c>
      <c r="R191" s="35" t="n">
        <v>0.1279870392871607</v>
      </c>
      <c r="S191" s="35" t="n">
        <v>0.2523795961806543</v>
      </c>
      <c r="T191" s="35" t="n">
        <v>0.3322277942102705</v>
      </c>
      <c r="U191" s="30" t="n">
        <v>27850</v>
      </c>
      <c r="V191" s="30" t="n">
        <v>16960</v>
      </c>
      <c r="W191" s="35" t="n">
        <v>0</v>
      </c>
      <c r="X191" s="35" t="n">
        <v>0.6420990566037736</v>
      </c>
      <c r="Y191" s="30" t="n">
        <v>28966714</v>
      </c>
      <c r="Z191" s="30" t="n">
        <v>806722984900</v>
      </c>
      <c r="AA191" s="30" t="n">
        <v>14596212850</v>
      </c>
      <c r="AB191" s="30" t="n">
        <v>12302533285</v>
      </c>
      <c r="AC191" s="35" t="n">
        <v>0.01809321554388254</v>
      </c>
      <c r="AD191" s="24" t="inlineStr">
        <is>
          <t>yfinance_download</t>
        </is>
      </c>
      <c r="AE191" s="24" t="inlineStr">
        <is>
          <t>319660.KQ</t>
        </is>
      </c>
    </row>
    <row r="192" ht="24" customHeight="1">
      <c r="A192" s="29" t="inlineStr">
        <is>
          <t>2024-03-19</t>
        </is>
      </c>
      <c r="B192" s="31" t="n">
        <v>27600</v>
      </c>
      <c r="C192" s="31" t="n">
        <v>27650</v>
      </c>
      <c r="D192" s="31" t="n">
        <v>26200</v>
      </c>
      <c r="E192" s="31" t="n">
        <v>26850</v>
      </c>
      <c r="F192" s="31" t="n">
        <v>26227.986328125</v>
      </c>
      <c r="G192" s="31" t="n">
        <v>585151</v>
      </c>
      <c r="H192" s="36" t="n">
        <v>-0.03590664272890487</v>
      </c>
      <c r="I192" s="36" t="n">
        <v>-0.03590664272890487</v>
      </c>
      <c r="J192" s="31" t="n">
        <v>24927.5</v>
      </c>
      <c r="K192" s="31" t="n">
        <v>22336</v>
      </c>
      <c r="L192" s="31" t="n">
        <v>20957.75</v>
      </c>
      <c r="M192" s="36" t="n">
        <v>0.5164190408189937</v>
      </c>
      <c r="N192" s="36" t="n">
        <v>0.3726000884510283</v>
      </c>
      <c r="O192" s="36" t="n">
        <v>0.2149321266968325</v>
      </c>
      <c r="P192" s="36" t="n">
        <v>0.2816229116945108</v>
      </c>
      <c r="Q192" s="36" t="n">
        <v>0.3097560975609757</v>
      </c>
      <c r="R192" s="36" t="n">
        <v>0.07712365860996884</v>
      </c>
      <c r="S192" s="36" t="n">
        <v>0.2020952722063036</v>
      </c>
      <c r="T192" s="36" t="n">
        <v>0.281148978301583</v>
      </c>
      <c r="U192" s="31" t="n">
        <v>27850</v>
      </c>
      <c r="V192" s="31" t="n">
        <v>16960</v>
      </c>
      <c r="W192" s="36" t="n">
        <v>-0.03590664272890487</v>
      </c>
      <c r="X192" s="36" t="n">
        <v>0.5831367924528301</v>
      </c>
      <c r="Y192" s="31" t="n">
        <v>28966714</v>
      </c>
      <c r="Z192" s="31" t="n">
        <v>777756270900</v>
      </c>
      <c r="AA192" s="31" t="n">
        <v>15711304350</v>
      </c>
      <c r="AB192" s="31" t="n">
        <v>12840280152.5</v>
      </c>
      <c r="AC192" s="36" t="n">
        <v>0.02020080703665594</v>
      </c>
      <c r="AD192" s="29" t="inlineStr">
        <is>
          <t>yfinance_download</t>
        </is>
      </c>
      <c r="AE192" s="29" t="inlineStr">
        <is>
          <t>319660.KQ</t>
        </is>
      </c>
    </row>
    <row r="193" ht="24" customHeight="1">
      <c r="A193" s="24" t="inlineStr">
        <is>
          <t>2024-03-20</t>
        </is>
      </c>
      <c r="B193" s="30" t="n">
        <v>27200</v>
      </c>
      <c r="C193" s="30" t="n">
        <v>27350</v>
      </c>
      <c r="D193" s="30" t="n">
        <v>26250</v>
      </c>
      <c r="E193" s="30" t="n">
        <v>26750</v>
      </c>
      <c r="F193" s="30" t="n">
        <v>26130.302734375</v>
      </c>
      <c r="G193" s="30" t="n">
        <v>453235</v>
      </c>
      <c r="H193" s="35" t="n">
        <v>-0.003724394785847296</v>
      </c>
      <c r="I193" s="35" t="n">
        <v>-0.03949730700179532</v>
      </c>
      <c r="J193" s="30" t="n">
        <v>25155</v>
      </c>
      <c r="K193" s="30" t="n">
        <v>22442.66666666667</v>
      </c>
      <c r="L193" s="30" t="n">
        <v>21012.75</v>
      </c>
      <c r="M193" s="35" t="n">
        <v>0.5184618875168906</v>
      </c>
      <c r="N193" s="35" t="n">
        <v>0.3666119044485568</v>
      </c>
      <c r="O193" s="35" t="n">
        <v>0.204954954954955</v>
      </c>
      <c r="P193" s="35" t="n">
        <v>0.3144963144963144</v>
      </c>
      <c r="Q193" s="35" t="n">
        <v>0.3275434243176178</v>
      </c>
      <c r="R193" s="35" t="n">
        <v>0.06340687736036577</v>
      </c>
      <c r="S193" s="35" t="n">
        <v>0.1919260931558935</v>
      </c>
      <c r="T193" s="35" t="n">
        <v>0.2730366087256546</v>
      </c>
      <c r="U193" s="30" t="n">
        <v>27850</v>
      </c>
      <c r="V193" s="30" t="n">
        <v>16960</v>
      </c>
      <c r="W193" s="35" t="n">
        <v>-0.03949730700179532</v>
      </c>
      <c r="X193" s="35" t="n">
        <v>0.5772405660377358</v>
      </c>
      <c r="Y193" s="30" t="n">
        <v>28966714</v>
      </c>
      <c r="Z193" s="30" t="n">
        <v>774859599500</v>
      </c>
      <c r="AA193" s="30" t="n">
        <v>12124036250</v>
      </c>
      <c r="AB193" s="30" t="n">
        <v>13204588545</v>
      </c>
      <c r="AC193" s="35" t="n">
        <v>0.01564675233787305</v>
      </c>
      <c r="AD193" s="24" t="inlineStr">
        <is>
          <t>yfinance_download</t>
        </is>
      </c>
      <c r="AE193" s="24" t="inlineStr">
        <is>
          <t>319660.KQ</t>
        </is>
      </c>
    </row>
    <row r="194" ht="24" customHeight="1">
      <c r="A194" s="29" t="inlineStr">
        <is>
          <t>2024-03-21</t>
        </is>
      </c>
      <c r="B194" s="31" t="n">
        <v>28000</v>
      </c>
      <c r="C194" s="31" t="n">
        <v>29650</v>
      </c>
      <c r="D194" s="31" t="n">
        <v>28000</v>
      </c>
      <c r="E194" s="31" t="n">
        <v>29300</v>
      </c>
      <c r="F194" s="31" t="n">
        <v>28621.228515625</v>
      </c>
      <c r="G194" s="31" t="n">
        <v>1837606</v>
      </c>
      <c r="H194" s="36" t="n">
        <v>0.09532710280373835</v>
      </c>
      <c r="I194" s="36" t="n">
        <v>0</v>
      </c>
      <c r="J194" s="31" t="n">
        <v>25505</v>
      </c>
      <c r="K194" s="31" t="n">
        <v>22592.66666666667</v>
      </c>
      <c r="L194" s="31" t="n">
        <v>21089</v>
      </c>
      <c r="M194" s="36" t="n">
        <v>0.5998715941412461</v>
      </c>
      <c r="N194" s="36" t="n">
        <v>0.4104656194855089</v>
      </c>
      <c r="O194" s="36" t="n">
        <v>0.3139013452914798</v>
      </c>
      <c r="P194" s="36" t="n">
        <v>0.4433497536945812</v>
      </c>
      <c r="Q194" s="36" t="n">
        <v>0.4540942928039702</v>
      </c>
      <c r="R194" s="36" t="n">
        <v>0.1487943540482259</v>
      </c>
      <c r="S194" s="36" t="n">
        <v>0.296880993832807</v>
      </c>
      <c r="T194" s="36" t="n">
        <v>0.3893498980511167</v>
      </c>
      <c r="U194" s="31" t="n">
        <v>29300</v>
      </c>
      <c r="V194" s="31" t="n">
        <v>16960</v>
      </c>
      <c r="W194" s="36" t="n">
        <v>0</v>
      </c>
      <c r="X194" s="36" t="n">
        <v>0.7275943396226414</v>
      </c>
      <c r="Y194" s="31" t="n">
        <v>28966714</v>
      </c>
      <c r="Z194" s="31" t="n">
        <v>848724720200</v>
      </c>
      <c r="AA194" s="31" t="n">
        <v>53841855800</v>
      </c>
      <c r="AB194" s="31" t="n">
        <v>15540578210</v>
      </c>
      <c r="AC194" s="36" t="n">
        <v>0.06343853845486236</v>
      </c>
      <c r="AD194" s="29" t="inlineStr">
        <is>
          <t>yfinance_download</t>
        </is>
      </c>
      <c r="AE194" s="29" t="inlineStr">
        <is>
          <t>319660.KQ</t>
        </is>
      </c>
    </row>
    <row r="195" ht="24" customHeight="1">
      <c r="A195" s="24" t="inlineStr">
        <is>
          <t>2024-03-22</t>
        </is>
      </c>
      <c r="B195" s="30" t="n">
        <v>29300</v>
      </c>
      <c r="C195" s="30" t="n">
        <v>29300</v>
      </c>
      <c r="D195" s="30" t="n">
        <v>28050</v>
      </c>
      <c r="E195" s="30" t="n">
        <v>28250</v>
      </c>
      <c r="F195" s="30" t="n">
        <v>27595.552734375</v>
      </c>
      <c r="G195" s="30" t="n">
        <v>524691</v>
      </c>
      <c r="H195" s="35" t="n">
        <v>-0.03583617747440271</v>
      </c>
      <c r="I195" s="35" t="n">
        <v>-0.03583617747440271</v>
      </c>
      <c r="J195" s="30" t="n">
        <v>25792.5</v>
      </c>
      <c r="K195" s="30" t="n">
        <v>22726.83333333333</v>
      </c>
      <c r="L195" s="30" t="n">
        <v>21163.58333333333</v>
      </c>
      <c r="M195" s="35" t="n">
        <v>0.6257723116404557</v>
      </c>
      <c r="N195" s="35" t="n">
        <v>0.4189266352372754</v>
      </c>
      <c r="O195" s="35" t="n">
        <v>0.2555555555555555</v>
      </c>
      <c r="P195" s="35" t="n">
        <v>0.3985148514851484</v>
      </c>
      <c r="Q195" s="35" t="n">
        <v>0.4637305699481866</v>
      </c>
      <c r="R195" s="35" t="n">
        <v>0.09527963555297081</v>
      </c>
      <c r="S195" s="35" t="n">
        <v>0.2430240317979482</v>
      </c>
      <c r="T195" s="35" t="n">
        <v>0.3348401145048689</v>
      </c>
      <c r="U195" s="30" t="n">
        <v>29300</v>
      </c>
      <c r="V195" s="30" t="n">
        <v>16960</v>
      </c>
      <c r="W195" s="35" t="n">
        <v>-0.03583617747440271</v>
      </c>
      <c r="X195" s="35" t="n">
        <v>0.6656839622641511</v>
      </c>
      <c r="Y195" s="30" t="n">
        <v>28966714</v>
      </c>
      <c r="Z195" s="30" t="n">
        <v>818309670500</v>
      </c>
      <c r="AA195" s="30" t="n">
        <v>14822520750</v>
      </c>
      <c r="AB195" s="30" t="n">
        <v>16032135372.5</v>
      </c>
      <c r="AC195" s="35" t="n">
        <v>0.01811358374995521</v>
      </c>
      <c r="AD195" s="24" t="inlineStr">
        <is>
          <t>yfinance_download</t>
        </is>
      </c>
      <c r="AE195" s="24" t="inlineStr">
        <is>
          <t>319660.KQ</t>
        </is>
      </c>
    </row>
    <row r="196" ht="24" customHeight="1">
      <c r="A196" s="29" t="inlineStr">
        <is>
          <t>2024-03-25</t>
        </is>
      </c>
      <c r="B196" s="31" t="n">
        <v>28250</v>
      </c>
      <c r="C196" s="31" t="n">
        <v>28700</v>
      </c>
      <c r="D196" s="31" t="n">
        <v>27750</v>
      </c>
      <c r="E196" s="31" t="n">
        <v>27850</v>
      </c>
      <c r="F196" s="31" t="n">
        <v>27204.8203125</v>
      </c>
      <c r="G196" s="31" t="n">
        <v>351410</v>
      </c>
      <c r="H196" s="36" t="n">
        <v>-0.01415929203539823</v>
      </c>
      <c r="I196" s="36" t="n">
        <v>-0.04948805460750849</v>
      </c>
      <c r="J196" s="31" t="n">
        <v>26060</v>
      </c>
      <c r="K196" s="31" t="n">
        <v>22851</v>
      </c>
      <c r="L196" s="31" t="n">
        <v>21232.58333333333</v>
      </c>
      <c r="M196" s="36" t="n">
        <v>0.6314133978359376</v>
      </c>
      <c r="N196" s="36" t="n">
        <v>0.4208519980044934</v>
      </c>
      <c r="O196" s="36" t="n">
        <v>0.2377777777777779</v>
      </c>
      <c r="P196" s="36" t="n">
        <v>0.3651960784313726</v>
      </c>
      <c r="Q196" s="36" t="n">
        <v>0.4230965763924375</v>
      </c>
      <c r="R196" s="36" t="n">
        <v>0.06868764389869542</v>
      </c>
      <c r="S196" s="36" t="n">
        <v>0.2187650431053345</v>
      </c>
      <c r="T196" s="36" t="n">
        <v>0.311663284809903</v>
      </c>
      <c r="U196" s="31" t="n">
        <v>29300</v>
      </c>
      <c r="V196" s="31" t="n">
        <v>16960</v>
      </c>
      <c r="W196" s="36" t="n">
        <v>-0.04948805460750849</v>
      </c>
      <c r="X196" s="36" t="n">
        <v>0.6420990566037736</v>
      </c>
      <c r="Y196" s="31" t="n">
        <v>28966714</v>
      </c>
      <c r="Z196" s="31" t="n">
        <v>806722984900</v>
      </c>
      <c r="AA196" s="31" t="n">
        <v>9786768500</v>
      </c>
      <c r="AB196" s="31" t="n">
        <v>16175941297.5</v>
      </c>
      <c r="AC196" s="36" t="n">
        <v>0.01213151067117934</v>
      </c>
      <c r="AD196" s="29" t="inlineStr">
        <is>
          <t>yfinance_download</t>
        </is>
      </c>
      <c r="AE196" s="29" t="inlineStr">
        <is>
          <t>319660.KQ</t>
        </is>
      </c>
    </row>
    <row r="197" ht="24" customHeight="1">
      <c r="A197" s="24" t="inlineStr">
        <is>
          <t>2024-03-26</t>
        </is>
      </c>
      <c r="B197" s="30" t="n">
        <v>27900</v>
      </c>
      <c r="C197" s="30" t="n">
        <v>29150</v>
      </c>
      <c r="D197" s="30" t="n">
        <v>27850</v>
      </c>
      <c r="E197" s="30" t="n">
        <v>27950</v>
      </c>
      <c r="F197" s="30" t="n">
        <v>27302.501953125</v>
      </c>
      <c r="G197" s="30" t="n">
        <v>365630</v>
      </c>
      <c r="H197" s="35" t="n">
        <v>0.003590664272890454</v>
      </c>
      <c r="I197" s="35" t="n">
        <v>-0.0460750853242321</v>
      </c>
      <c r="J197" s="30" t="n">
        <v>26365</v>
      </c>
      <c r="K197" s="30" t="n">
        <v>22977.66666666667</v>
      </c>
      <c r="L197" s="30" t="n">
        <v>21303.66666666667</v>
      </c>
      <c r="M197" s="35" t="n">
        <v>0.6141839811232187</v>
      </c>
      <c r="N197" s="35" t="n">
        <v>0.4205442227294501</v>
      </c>
      <c r="O197" s="35" t="n">
        <v>0.2791762013729977</v>
      </c>
      <c r="P197" s="35" t="n">
        <v>0.3734643734643734</v>
      </c>
      <c r="Q197" s="35" t="n">
        <v>0.4392378990731205</v>
      </c>
      <c r="R197" s="35" t="n">
        <v>0.06011758012516588</v>
      </c>
      <c r="S197" s="35" t="n">
        <v>0.2163985319077946</v>
      </c>
      <c r="T197" s="35" t="n">
        <v>0.3119807231931904</v>
      </c>
      <c r="U197" s="30" t="n">
        <v>29300</v>
      </c>
      <c r="V197" s="30" t="n">
        <v>17160</v>
      </c>
      <c r="W197" s="35" t="n">
        <v>-0.0460750853242321</v>
      </c>
      <c r="X197" s="35" t="n">
        <v>0.6287878787878789</v>
      </c>
      <c r="Y197" s="30" t="n">
        <v>28966714</v>
      </c>
      <c r="Z197" s="30" t="n">
        <v>809619656300</v>
      </c>
      <c r="AA197" s="30" t="n">
        <v>10219358500</v>
      </c>
      <c r="AB197" s="30" t="n">
        <v>16489485732.5</v>
      </c>
      <c r="AC197" s="35" t="n">
        <v>0.01262241895991378</v>
      </c>
      <c r="AD197" s="24" t="inlineStr">
        <is>
          <t>yfinance_download</t>
        </is>
      </c>
      <c r="AE197" s="24" t="inlineStr">
        <is>
          <t>319660.KQ</t>
        </is>
      </c>
    </row>
    <row r="198" ht="24" customHeight="1">
      <c r="A198" s="29" t="inlineStr">
        <is>
          <t>2024-03-27</t>
        </is>
      </c>
      <c r="B198" s="31" t="n">
        <v>28200</v>
      </c>
      <c r="C198" s="31" t="n">
        <v>28950</v>
      </c>
      <c r="D198" s="31" t="n">
        <v>27700</v>
      </c>
      <c r="E198" s="31" t="n">
        <v>28850</v>
      </c>
      <c r="F198" s="31" t="n">
        <v>28181.65234375</v>
      </c>
      <c r="G198" s="31" t="n">
        <v>390173</v>
      </c>
      <c r="H198" s="36" t="n">
        <v>0.03220035778175312</v>
      </c>
      <c r="I198" s="36" t="n">
        <v>-0.01535836177474403</v>
      </c>
      <c r="J198" s="31" t="n">
        <v>26692.5</v>
      </c>
      <c r="K198" s="31" t="n">
        <v>23110.16666666667</v>
      </c>
      <c r="L198" s="31" t="n">
        <v>21383.5</v>
      </c>
      <c r="M198" s="36" t="n">
        <v>0.6174422057006406</v>
      </c>
      <c r="N198" s="36" t="n">
        <v>0.4217998238061967</v>
      </c>
      <c r="O198" s="36" t="n">
        <v>0.2937219730941705</v>
      </c>
      <c r="P198" s="36" t="n">
        <v>0.3803827751196172</v>
      </c>
      <c r="Q198" s="36" t="n">
        <v>0.4971458225220551</v>
      </c>
      <c r="R198" s="36" t="n">
        <v>0.08082794792544723</v>
      </c>
      <c r="S198" s="36" t="n">
        <v>0.2483683227439581</v>
      </c>
      <c r="T198" s="36" t="n">
        <v>0.3491710898590035</v>
      </c>
      <c r="U198" s="31" t="n">
        <v>29300</v>
      </c>
      <c r="V198" s="31" t="n">
        <v>17160</v>
      </c>
      <c r="W198" s="36" t="n">
        <v>-0.01535836177474403</v>
      </c>
      <c r="X198" s="36" t="n">
        <v>0.6812354312354312</v>
      </c>
      <c r="Y198" s="31" t="n">
        <v>28966714</v>
      </c>
      <c r="Z198" s="31" t="n">
        <v>835689698900</v>
      </c>
      <c r="AA198" s="31" t="n">
        <v>11256491050</v>
      </c>
      <c r="AB198" s="31" t="n">
        <v>16668338850</v>
      </c>
      <c r="AC198" s="36" t="n">
        <v>0.01346970181015354</v>
      </c>
      <c r="AD198" s="29" t="inlineStr">
        <is>
          <t>yfinance_download</t>
        </is>
      </c>
      <c r="AE198" s="29" t="inlineStr">
        <is>
          <t>319660.KQ</t>
        </is>
      </c>
    </row>
    <row r="199" ht="24" customHeight="1">
      <c r="A199" s="24" t="inlineStr">
        <is>
          <t>2024-03-28</t>
        </is>
      </c>
      <c r="B199" s="30" t="n">
        <v>28700</v>
      </c>
      <c r="C199" s="30" t="n">
        <v>28950</v>
      </c>
      <c r="D199" s="30" t="n">
        <v>28150</v>
      </c>
      <c r="E199" s="30" t="n">
        <v>28650</v>
      </c>
      <c r="F199" s="30" t="n">
        <v>27986.287109375</v>
      </c>
      <c r="G199" s="30" t="n">
        <v>367143</v>
      </c>
      <c r="H199" s="35" t="n">
        <v>-0.006932409012131768</v>
      </c>
      <c r="I199" s="35" t="n">
        <v>-0.02218430034129693</v>
      </c>
      <c r="J199" s="30" t="n">
        <v>26977.5</v>
      </c>
      <c r="K199" s="30" t="n">
        <v>23236.83333333333</v>
      </c>
      <c r="L199" s="30" t="n">
        <v>21461.66666666667</v>
      </c>
      <c r="M199" s="35" t="n">
        <v>0.6187139977755888</v>
      </c>
      <c r="N199" s="35" t="n">
        <v>0.4225826408968299</v>
      </c>
      <c r="O199" s="35" t="n">
        <v>0.2483660130718954</v>
      </c>
      <c r="P199" s="35" t="n">
        <v>0.3610451306413303</v>
      </c>
      <c r="Q199" s="35" t="n">
        <v>0.4867669953295277</v>
      </c>
      <c r="R199" s="35" t="n">
        <v>0.0619961078676674</v>
      </c>
      <c r="S199" s="35" t="n">
        <v>0.232956297831747</v>
      </c>
      <c r="T199" s="35" t="n">
        <v>0.3349382620175505</v>
      </c>
      <c r="U199" s="30" t="n">
        <v>29300</v>
      </c>
      <c r="V199" s="30" t="n">
        <v>17160</v>
      </c>
      <c r="W199" s="35" t="n">
        <v>-0.02218430034129693</v>
      </c>
      <c r="X199" s="35" t="n">
        <v>0.6695804195804196</v>
      </c>
      <c r="Y199" s="30" t="n">
        <v>28966714</v>
      </c>
      <c r="Z199" s="30" t="n">
        <v>829896356100</v>
      </c>
      <c r="AA199" s="30" t="n">
        <v>10518646950</v>
      </c>
      <c r="AB199" s="30" t="n">
        <v>16655954850</v>
      </c>
      <c r="AC199" s="35" t="n">
        <v>0.01267465132565606</v>
      </c>
      <c r="AD199" s="24" t="inlineStr">
        <is>
          <t>yfinance_download</t>
        </is>
      </c>
      <c r="AE199" s="24" t="inlineStr">
        <is>
          <t>319660.KQ</t>
        </is>
      </c>
    </row>
    <row r="200" ht="24" customHeight="1">
      <c r="A200" s="29" t="inlineStr">
        <is>
          <t>2024-03-29</t>
        </is>
      </c>
      <c r="B200" s="31" t="n">
        <v>28850</v>
      </c>
      <c r="C200" s="31" t="n">
        <v>30800</v>
      </c>
      <c r="D200" s="31" t="n">
        <v>28450</v>
      </c>
      <c r="E200" s="31" t="n">
        <v>30200</v>
      </c>
      <c r="F200" s="31" t="n">
        <v>29500.37890625</v>
      </c>
      <c r="G200" s="31" t="n">
        <v>1044308</v>
      </c>
      <c r="H200" s="36" t="n">
        <v>0.05410122164048858</v>
      </c>
      <c r="I200" s="36" t="n">
        <v>0</v>
      </c>
      <c r="J200" s="31" t="n">
        <v>27217.5</v>
      </c>
      <c r="K200" s="31" t="n">
        <v>23377.66666666667</v>
      </c>
      <c r="L200" s="31" t="n">
        <v>21553.5</v>
      </c>
      <c r="M200" s="36" t="n">
        <v>0.5340276479702946</v>
      </c>
      <c r="N200" s="36" t="n">
        <v>0.4305182215853092</v>
      </c>
      <c r="O200" s="36" t="n">
        <v>0.188976377952756</v>
      </c>
      <c r="P200" s="36" t="n">
        <v>0.3885057471264368</v>
      </c>
      <c r="Q200" s="36" t="n">
        <v>0.5745568300312827</v>
      </c>
      <c r="R200" s="36" t="n">
        <v>0.1095802333057776</v>
      </c>
      <c r="S200" s="36" t="n">
        <v>0.2918312349393295</v>
      </c>
      <c r="T200" s="36" t="n">
        <v>0.401164544041571</v>
      </c>
      <c r="U200" s="31" t="n">
        <v>30200</v>
      </c>
      <c r="V200" s="31" t="n">
        <v>17160</v>
      </c>
      <c r="W200" s="36" t="n">
        <v>0</v>
      </c>
      <c r="X200" s="36" t="n">
        <v>0.7599067599067599</v>
      </c>
      <c r="Y200" s="31" t="n">
        <v>28966714</v>
      </c>
      <c r="Z200" s="31" t="n">
        <v>874794762800</v>
      </c>
      <c r="AA200" s="31" t="n">
        <v>31538101600</v>
      </c>
      <c r="AB200" s="31" t="n">
        <v>15894082540</v>
      </c>
      <c r="AC200" s="36" t="n">
        <v>0.03605200092768548</v>
      </c>
      <c r="AD200" s="29" t="inlineStr">
        <is>
          <t>yfinance_download</t>
        </is>
      </c>
      <c r="AE200" s="29" t="inlineStr">
        <is>
          <t>319660.KQ</t>
        </is>
      </c>
    </row>
    <row r="201" ht="24" customHeight="1">
      <c r="A201" s="24" t="inlineStr">
        <is>
          <t>2024-04-01</t>
        </is>
      </c>
      <c r="B201" s="30" t="n">
        <v>30800</v>
      </c>
      <c r="C201" s="30" t="n">
        <v>31200</v>
      </c>
      <c r="D201" s="30" t="n">
        <v>29750</v>
      </c>
      <c r="E201" s="30" t="n">
        <v>30000</v>
      </c>
      <c r="F201" s="30" t="n">
        <v>29305.01171875</v>
      </c>
      <c r="G201" s="30" t="n">
        <v>460956</v>
      </c>
      <c r="H201" s="35" t="n">
        <v>-0.006622516556291425</v>
      </c>
      <c r="I201" s="35" t="n">
        <v>-0.006622516556291425</v>
      </c>
      <c r="J201" s="30" t="n">
        <v>27402.5</v>
      </c>
      <c r="K201" s="30" t="n">
        <v>23511.83333333333</v>
      </c>
      <c r="L201" s="30" t="n">
        <v>21642.25</v>
      </c>
      <c r="M201" s="35" t="n">
        <v>0.5274687904922376</v>
      </c>
      <c r="N201" s="35" t="n">
        <v>0.4312109969638941</v>
      </c>
      <c r="O201" s="35" t="n">
        <v>0.1406844106463878</v>
      </c>
      <c r="P201" s="35" t="n">
        <v>0.3667425968109339</v>
      </c>
      <c r="Q201" s="35" t="n">
        <v>0.5503875968992249</v>
      </c>
      <c r="R201" s="35" t="n">
        <v>0.09479062129367755</v>
      </c>
      <c r="S201" s="35" t="n">
        <v>0.2759532434022585</v>
      </c>
      <c r="T201" s="35" t="n">
        <v>0.3861775000288787</v>
      </c>
      <c r="U201" s="30" t="n">
        <v>30200</v>
      </c>
      <c r="V201" s="30" t="n">
        <v>17160</v>
      </c>
      <c r="W201" s="35" t="n">
        <v>-0.006622516556291425</v>
      </c>
      <c r="X201" s="35" t="n">
        <v>0.7482517482517483</v>
      </c>
      <c r="Y201" s="30" t="n">
        <v>28966714</v>
      </c>
      <c r="Z201" s="30" t="n">
        <v>869001420000</v>
      </c>
      <c r="AA201" s="30" t="n">
        <v>13828680000</v>
      </c>
      <c r="AB201" s="30" t="n">
        <v>15299988320</v>
      </c>
      <c r="AC201" s="35" t="n">
        <v>0.01591329965835959</v>
      </c>
      <c r="AD201" s="24" t="inlineStr">
        <is>
          <t>yfinance_download</t>
        </is>
      </c>
      <c r="AE201" s="24" t="inlineStr">
        <is>
          <t>319660.KQ</t>
        </is>
      </c>
    </row>
    <row r="202" ht="24" customHeight="1">
      <c r="A202" s="29" t="inlineStr">
        <is>
          <t>2024-04-02</t>
        </is>
      </c>
      <c r="B202" s="31" t="n">
        <v>30600</v>
      </c>
      <c r="C202" s="31" t="n">
        <v>31600</v>
      </c>
      <c r="D202" s="31" t="n">
        <v>30400</v>
      </c>
      <c r="E202" s="31" t="n">
        <v>31100</v>
      </c>
      <c r="F202" s="31" t="n">
        <v>30379.529296875</v>
      </c>
      <c r="G202" s="31" t="n">
        <v>713290</v>
      </c>
      <c r="H202" s="36" t="n">
        <v>0.03666666666666663</v>
      </c>
      <c r="I202" s="36" t="n">
        <v>0</v>
      </c>
      <c r="J202" s="31" t="n">
        <v>27630</v>
      </c>
      <c r="K202" s="31" t="n">
        <v>23666.83333333333</v>
      </c>
      <c r="L202" s="31" t="n">
        <v>21740.41666666667</v>
      </c>
      <c r="M202" s="36" t="n">
        <v>0.5378126660801618</v>
      </c>
      <c r="N202" s="36" t="n">
        <v>0.4350635861614425</v>
      </c>
      <c r="O202" s="36" t="n">
        <v>0.1713747645951036</v>
      </c>
      <c r="P202" s="36" t="n">
        <v>0.426605504587156</v>
      </c>
      <c r="Q202" s="36" t="n">
        <v>0.6097308488612836</v>
      </c>
      <c r="R202" s="36" t="n">
        <v>0.1255881288454579</v>
      </c>
      <c r="S202" s="36" t="n">
        <v>0.3140752529911761</v>
      </c>
      <c r="T202" s="36" t="n">
        <v>0.4305153611744639</v>
      </c>
      <c r="U202" s="31" t="n">
        <v>31100</v>
      </c>
      <c r="V202" s="31" t="n">
        <v>17160</v>
      </c>
      <c r="W202" s="36" t="n">
        <v>0</v>
      </c>
      <c r="X202" s="36" t="n">
        <v>0.8123543123543124</v>
      </c>
      <c r="Y202" s="31" t="n">
        <v>28966714</v>
      </c>
      <c r="Z202" s="31" t="n">
        <v>900864805400</v>
      </c>
      <c r="AA202" s="31" t="n">
        <v>22183319000</v>
      </c>
      <c r="AB202" s="31" t="n">
        <v>15632118075</v>
      </c>
      <c r="AC202" s="36" t="n">
        <v>0.02462447069419058</v>
      </c>
      <c r="AD202" s="29" t="inlineStr">
        <is>
          <t>yfinance_download</t>
        </is>
      </c>
      <c r="AE202" s="29" t="inlineStr">
        <is>
          <t>319660.KQ</t>
        </is>
      </c>
    </row>
    <row r="203" ht="24" customHeight="1">
      <c r="A203" s="24" t="inlineStr">
        <is>
          <t>2024-04-03</t>
        </is>
      </c>
      <c r="B203" s="30" t="n">
        <v>30000</v>
      </c>
      <c r="C203" s="30" t="n">
        <v>31500</v>
      </c>
      <c r="D203" s="30" t="n">
        <v>29900</v>
      </c>
      <c r="E203" s="30" t="n">
        <v>31050</v>
      </c>
      <c r="F203" s="30" t="n">
        <v>30330.6875</v>
      </c>
      <c r="G203" s="30" t="n">
        <v>375270</v>
      </c>
      <c r="H203" s="35" t="n">
        <v>-0.001607717041800627</v>
      </c>
      <c r="I203" s="35" t="n">
        <v>-0.001607717041800627</v>
      </c>
      <c r="J203" s="30" t="n">
        <v>27870</v>
      </c>
      <c r="K203" s="30" t="n">
        <v>23824.33333333333</v>
      </c>
      <c r="L203" s="30" t="n">
        <v>21838.33333333333</v>
      </c>
      <c r="M203" s="35" t="n">
        <v>0.5341753151208185</v>
      </c>
      <c r="N203" s="35" t="n">
        <v>0.4341897357746672</v>
      </c>
      <c r="O203" s="35" t="n">
        <v>0.1828571428571428</v>
      </c>
      <c r="P203" s="35" t="n">
        <v>0.4375</v>
      </c>
      <c r="Q203" s="35" t="n">
        <v>0.6088082901554404</v>
      </c>
      <c r="R203" s="35" t="n">
        <v>0.1141011840688912</v>
      </c>
      <c r="S203" s="35" t="n">
        <v>0.3032893540217985</v>
      </c>
      <c r="T203" s="35" t="n">
        <v>0.4218117988246968</v>
      </c>
      <c r="U203" s="30" t="n">
        <v>31100</v>
      </c>
      <c r="V203" s="30" t="n">
        <v>17160</v>
      </c>
      <c r="W203" s="35" t="n">
        <v>-0.001607717041800627</v>
      </c>
      <c r="X203" s="35" t="n">
        <v>0.8094405594405594</v>
      </c>
      <c r="Y203" s="30" t="n">
        <v>28966714</v>
      </c>
      <c r="Z203" s="30" t="n">
        <v>899416469700</v>
      </c>
      <c r="AA203" s="30" t="n">
        <v>11652133500</v>
      </c>
      <c r="AB203" s="30" t="n">
        <v>15726250312.5</v>
      </c>
      <c r="AC203" s="35" t="n">
        <v>0.01295521473371125</v>
      </c>
      <c r="AD203" s="24" t="inlineStr">
        <is>
          <t>yfinance_download</t>
        </is>
      </c>
      <c r="AE203" s="24" t="inlineStr">
        <is>
          <t>319660.KQ</t>
        </is>
      </c>
    </row>
    <row r="204" ht="24" customHeight="1">
      <c r="A204" s="29" t="inlineStr">
        <is>
          <t>2024-04-04</t>
        </is>
      </c>
      <c r="B204" s="31" t="n">
        <v>31400</v>
      </c>
      <c r="C204" s="31" t="n">
        <v>31550</v>
      </c>
      <c r="D204" s="31" t="n">
        <v>30600</v>
      </c>
      <c r="E204" s="31" t="n">
        <v>31200</v>
      </c>
      <c r="F204" s="31" t="n">
        <v>30477.212890625</v>
      </c>
      <c r="G204" s="31" t="n">
        <v>411182</v>
      </c>
      <c r="H204" s="36" t="n">
        <v>0.004830917874396157</v>
      </c>
      <c r="I204" s="36" t="n">
        <v>0</v>
      </c>
      <c r="J204" s="31" t="n">
        <v>28135</v>
      </c>
      <c r="K204" s="31" t="n">
        <v>23990.16666666667</v>
      </c>
      <c r="L204" s="31" t="n">
        <v>21931.25</v>
      </c>
      <c r="M204" s="36" t="n">
        <v>0.5279782209907965</v>
      </c>
      <c r="N204" s="36" t="n">
        <v>0.4316401224444792</v>
      </c>
      <c r="O204" s="36" t="n">
        <v>0.2046332046332047</v>
      </c>
      <c r="P204" s="36" t="n">
        <v>0.4682352941176471</v>
      </c>
      <c r="Q204" s="36" t="n">
        <v>0.5561097256857854</v>
      </c>
      <c r="R204" s="36" t="n">
        <v>0.1089390438955038</v>
      </c>
      <c r="S204" s="36" t="n">
        <v>0.30053285721233</v>
      </c>
      <c r="T204" s="36" t="n">
        <v>0.4226275292106012</v>
      </c>
      <c r="U204" s="31" t="n">
        <v>31200</v>
      </c>
      <c r="V204" s="31" t="n">
        <v>17160</v>
      </c>
      <c r="W204" s="36" t="n">
        <v>0</v>
      </c>
      <c r="X204" s="36" t="n">
        <v>0.8181818181818181</v>
      </c>
      <c r="Y204" s="31" t="n">
        <v>28966714</v>
      </c>
      <c r="Z204" s="31" t="n">
        <v>903761476800</v>
      </c>
      <c r="AA204" s="31" t="n">
        <v>12828878400</v>
      </c>
      <c r="AB204" s="31" t="n">
        <v>15724421112.5</v>
      </c>
      <c r="AC204" s="36" t="n">
        <v>0.01419498255825635</v>
      </c>
      <c r="AD204" s="29" t="inlineStr">
        <is>
          <t>yfinance_download</t>
        </is>
      </c>
      <c r="AE204" s="29" t="inlineStr">
        <is>
          <t>319660.KQ</t>
        </is>
      </c>
    </row>
    <row r="205" ht="24" customHeight="1">
      <c r="A205" s="24" t="inlineStr">
        <is>
          <t>2024-04-05</t>
        </is>
      </c>
      <c r="B205" s="30" t="n">
        <v>30550</v>
      </c>
      <c r="C205" s="30" t="n">
        <v>31100</v>
      </c>
      <c r="D205" s="30" t="n">
        <v>29900</v>
      </c>
      <c r="E205" s="30" t="n">
        <v>30400</v>
      </c>
      <c r="F205" s="30" t="n">
        <v>29695.74609375</v>
      </c>
      <c r="G205" s="30" t="n">
        <v>342524</v>
      </c>
      <c r="H205" s="35" t="n">
        <v>-0.02564102564102566</v>
      </c>
      <c r="I205" s="35" t="n">
        <v>-0.02564102564102566</v>
      </c>
      <c r="J205" s="30" t="n">
        <v>28357.5</v>
      </c>
      <c r="K205" s="30" t="n">
        <v>24145.16666666667</v>
      </c>
      <c r="L205" s="30" t="n">
        <v>22019.41666666667</v>
      </c>
      <c r="M205" s="35" t="n">
        <v>0.542348233344052</v>
      </c>
      <c r="N205" s="35" t="n">
        <v>0.4358431860189154</v>
      </c>
      <c r="O205" s="35" t="n">
        <v>0.1714836223506744</v>
      </c>
      <c r="P205" s="35" t="n">
        <v>0.4407582938388626</v>
      </c>
      <c r="Q205" s="35" t="n">
        <v>0.5338042381432897</v>
      </c>
      <c r="R205" s="35" t="n">
        <v>0.07202680067001666</v>
      </c>
      <c r="S205" s="35" t="n">
        <v>0.2590511558558992</v>
      </c>
      <c r="T205" s="35" t="n">
        <v>0.380599697993816</v>
      </c>
      <c r="U205" s="30" t="n">
        <v>31200</v>
      </c>
      <c r="V205" s="30" t="n">
        <v>17160</v>
      </c>
      <c r="W205" s="35" t="n">
        <v>-0.02564102564102566</v>
      </c>
      <c r="X205" s="35" t="n">
        <v>0.7715617715617715</v>
      </c>
      <c r="Y205" s="30" t="n">
        <v>28966714</v>
      </c>
      <c r="Z205" s="30" t="n">
        <v>880588105600</v>
      </c>
      <c r="AA205" s="30" t="n">
        <v>10412729600</v>
      </c>
      <c r="AB205" s="30" t="n">
        <v>15698414355</v>
      </c>
      <c r="AC205" s="35" t="n">
        <v>0.01182474477429508</v>
      </c>
      <c r="AD205" s="24" t="inlineStr">
        <is>
          <t>yfinance_download</t>
        </is>
      </c>
      <c r="AE205" s="24" t="inlineStr">
        <is>
          <t>319660.KQ</t>
        </is>
      </c>
    </row>
    <row r="206" ht="24" customHeight="1">
      <c r="A206" s="29" t="inlineStr">
        <is>
          <t>2024-04-08</t>
        </is>
      </c>
      <c r="B206" s="31" t="n">
        <v>30600</v>
      </c>
      <c r="C206" s="31" t="n">
        <v>30900</v>
      </c>
      <c r="D206" s="31" t="n">
        <v>29900</v>
      </c>
      <c r="E206" s="31" t="n">
        <v>29950</v>
      </c>
      <c r="F206" s="31" t="n">
        <v>29256.169921875</v>
      </c>
      <c r="G206" s="31" t="n">
        <v>209136</v>
      </c>
      <c r="H206" s="36" t="n">
        <v>-0.01480263157894735</v>
      </c>
      <c r="I206" s="36" t="n">
        <v>-0.04006410256410253</v>
      </c>
      <c r="J206" s="31" t="n">
        <v>28585</v>
      </c>
      <c r="K206" s="31" t="n">
        <v>24301</v>
      </c>
      <c r="L206" s="31" t="n">
        <v>22103.16666666667</v>
      </c>
      <c r="M206" s="36" t="n">
        <v>0.5381672803290104</v>
      </c>
      <c r="N206" s="36" t="n">
        <v>0.4335896318123862</v>
      </c>
      <c r="O206" s="36" t="n">
        <v>0.1791338582677164</v>
      </c>
      <c r="P206" s="36" t="n">
        <v>0.453883495145631</v>
      </c>
      <c r="Q206" s="36" t="n">
        <v>0.5050251256281406</v>
      </c>
      <c r="R206" s="36" t="n">
        <v>0.04775231764911658</v>
      </c>
      <c r="S206" s="36" t="n">
        <v>0.2324595695650384</v>
      </c>
      <c r="T206" s="36" t="n">
        <v>0.355009463199089</v>
      </c>
      <c r="U206" s="31" t="n">
        <v>31200</v>
      </c>
      <c r="V206" s="31" t="n">
        <v>17160</v>
      </c>
      <c r="W206" s="36" t="n">
        <v>-0.04006410256410253</v>
      </c>
      <c r="X206" s="36" t="n">
        <v>0.7453379953379953</v>
      </c>
      <c r="Y206" s="31" t="n">
        <v>28966714</v>
      </c>
      <c r="Z206" s="31" t="n">
        <v>867553084300</v>
      </c>
      <c r="AA206" s="31" t="n">
        <v>6263623200</v>
      </c>
      <c r="AB206" s="31" t="n">
        <v>15633376815</v>
      </c>
      <c r="AC206" s="36" t="n">
        <v>0.007219873127480045</v>
      </c>
      <c r="AD206" s="29" t="inlineStr">
        <is>
          <t>yfinance_download</t>
        </is>
      </c>
      <c r="AE206" s="29" t="inlineStr">
        <is>
          <t>319660.KQ</t>
        </is>
      </c>
    </row>
    <row r="207" ht="24" customHeight="1">
      <c r="A207" s="24" t="inlineStr">
        <is>
          <t>2024-04-09</t>
        </is>
      </c>
      <c r="B207" s="30" t="n">
        <v>29950</v>
      </c>
      <c r="C207" s="30" t="n">
        <v>31450</v>
      </c>
      <c r="D207" s="30" t="n">
        <v>29450</v>
      </c>
      <c r="E207" s="30" t="n">
        <v>31050</v>
      </c>
      <c r="F207" s="30" t="n">
        <v>30330.6875</v>
      </c>
      <c r="G207" s="30" t="n">
        <v>496961</v>
      </c>
      <c r="H207" s="35" t="n">
        <v>0.03672787979966619</v>
      </c>
      <c r="I207" s="35" t="n">
        <v>-0.004807692307692291</v>
      </c>
      <c r="J207" s="30" t="n">
        <v>28812.5</v>
      </c>
      <c r="K207" s="30" t="n">
        <v>24469.33333333333</v>
      </c>
      <c r="L207" s="30" t="n">
        <v>22199.83333333333</v>
      </c>
      <c r="M207" s="35" t="n">
        <v>0.5330553679380684</v>
      </c>
      <c r="N207" s="35" t="n">
        <v>0.437476688911767</v>
      </c>
      <c r="O207" s="35" t="n">
        <v>0.1716981132075472</v>
      </c>
      <c r="P207" s="35" t="n">
        <v>0.4821002386634845</v>
      </c>
      <c r="Q207" s="35" t="n">
        <v>0.5964010282776349</v>
      </c>
      <c r="R207" s="35" t="n">
        <v>0.07765726681127982</v>
      </c>
      <c r="S207" s="35" t="n">
        <v>0.2689352659110724</v>
      </c>
      <c r="T207" s="35" t="n">
        <v>0.3986591490927109</v>
      </c>
      <c r="U207" s="30" t="n">
        <v>31200</v>
      </c>
      <c r="V207" s="30" t="n">
        <v>17160</v>
      </c>
      <c r="W207" s="35" t="n">
        <v>-0.004807692307692291</v>
      </c>
      <c r="X207" s="35" t="n">
        <v>0.8094405594405594</v>
      </c>
      <c r="Y207" s="30" t="n">
        <v>28966714</v>
      </c>
      <c r="Z207" s="30" t="n">
        <v>899416469700</v>
      </c>
      <c r="AA207" s="30" t="n">
        <v>15430639050</v>
      </c>
      <c r="AB207" s="30" t="n">
        <v>15484763842.5</v>
      </c>
      <c r="AC207" s="35" t="n">
        <v>0.01715627806453987</v>
      </c>
      <c r="AD207" s="24" t="inlineStr">
        <is>
          <t>yfinance_download</t>
        </is>
      </c>
      <c r="AE207" s="24" t="inlineStr">
        <is>
          <t>319660.KQ</t>
        </is>
      </c>
    </row>
    <row r="208" ht="24" customHeight="1">
      <c r="A208" s="29" t="inlineStr">
        <is>
          <t>2024-04-11</t>
        </is>
      </c>
      <c r="B208" s="31" t="n">
        <v>30400</v>
      </c>
      <c r="C208" s="31" t="n">
        <v>32250</v>
      </c>
      <c r="D208" s="31" t="n">
        <v>30000</v>
      </c>
      <c r="E208" s="31" t="n">
        <v>31450</v>
      </c>
      <c r="F208" s="31" t="n">
        <v>30721.421875</v>
      </c>
      <c r="G208" s="31" t="n">
        <v>542381</v>
      </c>
      <c r="H208" s="36" t="n">
        <v>0.01288244766505642</v>
      </c>
      <c r="I208" s="36" t="n">
        <v>0</v>
      </c>
      <c r="J208" s="31" t="n">
        <v>29060</v>
      </c>
      <c r="K208" s="31" t="n">
        <v>24641</v>
      </c>
      <c r="L208" s="31" t="n">
        <v>22298.08333333333</v>
      </c>
      <c r="M208" s="36" t="n">
        <v>0.532299415442533</v>
      </c>
      <c r="N208" s="36" t="n">
        <v>0.4376149165245199</v>
      </c>
      <c r="O208" s="36" t="n">
        <v>0.1867924528301887</v>
      </c>
      <c r="P208" s="36" t="n">
        <v>0.4869976359338062</v>
      </c>
      <c r="Q208" s="36" t="n">
        <v>0.5996948118006105</v>
      </c>
      <c r="R208" s="36" t="n">
        <v>0.08224363386097733</v>
      </c>
      <c r="S208" s="36" t="n">
        <v>0.2763280711010105</v>
      </c>
      <c r="T208" s="36" t="n">
        <v>0.410435127084914</v>
      </c>
      <c r="U208" s="31" t="n">
        <v>31450</v>
      </c>
      <c r="V208" s="31" t="n">
        <v>17160</v>
      </c>
      <c r="W208" s="36" t="n">
        <v>0</v>
      </c>
      <c r="X208" s="36" t="n">
        <v>0.8327505827505828</v>
      </c>
      <c r="Y208" s="31" t="n">
        <v>28966714</v>
      </c>
      <c r="Z208" s="31" t="n">
        <v>911003155300</v>
      </c>
      <c r="AA208" s="31" t="n">
        <v>17057882450</v>
      </c>
      <c r="AB208" s="31" t="n">
        <v>15731335315</v>
      </c>
      <c r="AC208" s="36" t="n">
        <v>0.01872428470830347</v>
      </c>
      <c r="AD208" s="29" t="inlineStr">
        <is>
          <t>yfinance_download</t>
        </is>
      </c>
      <c r="AE208" s="29" t="inlineStr">
        <is>
          <t>319660.KQ</t>
        </is>
      </c>
    </row>
    <row r="209" ht="24" customHeight="1">
      <c r="A209" s="24" t="inlineStr">
        <is>
          <t>2024-04-12</t>
        </is>
      </c>
      <c r="B209" s="30" t="n">
        <v>32350</v>
      </c>
      <c r="C209" s="30" t="n">
        <v>32550</v>
      </c>
      <c r="D209" s="30" t="n">
        <v>30950</v>
      </c>
      <c r="E209" s="30" t="n">
        <v>31200</v>
      </c>
      <c r="F209" s="30" t="n">
        <v>30477.212890625</v>
      </c>
      <c r="G209" s="30" t="n">
        <v>409451</v>
      </c>
      <c r="H209" s="35" t="n">
        <v>-0.007949125596184436</v>
      </c>
      <c r="I209" s="35" t="n">
        <v>-0.007949125596184436</v>
      </c>
      <c r="J209" s="30" t="n">
        <v>29320</v>
      </c>
      <c r="K209" s="30" t="n">
        <v>24815.16666666667</v>
      </c>
      <c r="L209" s="30" t="n">
        <v>22397.66666666667</v>
      </c>
      <c r="M209" s="35" t="n">
        <v>0.5260594405969411</v>
      </c>
      <c r="N209" s="35" t="n">
        <v>0.4354136814970639</v>
      </c>
      <c r="O209" s="35" t="n">
        <v>0.2</v>
      </c>
      <c r="P209" s="35" t="n">
        <v>0.5036144578313253</v>
      </c>
      <c r="Q209" s="35" t="n">
        <v>0.6207792207792209</v>
      </c>
      <c r="R209" s="35" t="n">
        <v>0.06412005457025916</v>
      </c>
      <c r="S209" s="35" t="n">
        <v>0.257295605510071</v>
      </c>
      <c r="T209" s="35" t="n">
        <v>0.3930022472578989</v>
      </c>
      <c r="U209" s="30" t="n">
        <v>31450</v>
      </c>
      <c r="V209" s="30" t="n">
        <v>17160</v>
      </c>
      <c r="W209" s="35" t="n">
        <v>-0.007949125596184436</v>
      </c>
      <c r="X209" s="35" t="n">
        <v>0.8181818181818181</v>
      </c>
      <c r="Y209" s="30" t="n">
        <v>28966714</v>
      </c>
      <c r="Z209" s="30" t="n">
        <v>903761476800</v>
      </c>
      <c r="AA209" s="30" t="n">
        <v>12774871200</v>
      </c>
      <c r="AB209" s="30" t="n">
        <v>15914560175</v>
      </c>
      <c r="AC209" s="35" t="n">
        <v>0.01413522431298214</v>
      </c>
      <c r="AD209" s="24" t="inlineStr">
        <is>
          <t>yfinance_download</t>
        </is>
      </c>
      <c r="AE209" s="24" t="inlineStr">
        <is>
          <t>319660.KQ</t>
        </is>
      </c>
    </row>
    <row r="210" ht="24" customHeight="1">
      <c r="A210" s="29" t="inlineStr">
        <is>
          <t>2024-04-15</t>
        </is>
      </c>
      <c r="B210" s="31" t="n">
        <v>30650</v>
      </c>
      <c r="C210" s="31" t="n">
        <v>32200</v>
      </c>
      <c r="D210" s="31" t="n">
        <v>30600</v>
      </c>
      <c r="E210" s="31" t="n">
        <v>32100</v>
      </c>
      <c r="F210" s="31" t="n">
        <v>31356.36328125</v>
      </c>
      <c r="G210" s="31" t="n">
        <v>273544</v>
      </c>
      <c r="H210" s="36" t="n">
        <v>0.02884615384615374</v>
      </c>
      <c r="I210" s="36" t="n">
        <v>0</v>
      </c>
      <c r="J210" s="31" t="n">
        <v>29600</v>
      </c>
      <c r="K210" s="31" t="n">
        <v>25003.5</v>
      </c>
      <c r="L210" s="31" t="n">
        <v>22510.83333333333</v>
      </c>
      <c r="M210" s="36" t="n">
        <v>0.5294743424988846</v>
      </c>
      <c r="N210" s="36" t="n">
        <v>0.4375420706794553</v>
      </c>
      <c r="O210" s="36" t="n">
        <v>0.2113207547169811</v>
      </c>
      <c r="P210" s="36" t="n">
        <v>0.5432692307692308</v>
      </c>
      <c r="Q210" s="36" t="n">
        <v>0.7332613390928726</v>
      </c>
      <c r="R210" s="36" t="n">
        <v>0.08445945945945943</v>
      </c>
      <c r="S210" s="36" t="n">
        <v>0.2838202651628772</v>
      </c>
      <c r="T210" s="36" t="n">
        <v>0.4259800836634213</v>
      </c>
      <c r="U210" s="31" t="n">
        <v>32100</v>
      </c>
      <c r="V210" s="31" t="n">
        <v>17160</v>
      </c>
      <c r="W210" s="36" t="n">
        <v>0</v>
      </c>
      <c r="X210" s="36" t="n">
        <v>0.8706293706293706</v>
      </c>
      <c r="Y210" s="31" t="n">
        <v>28966714</v>
      </c>
      <c r="Z210" s="31" t="n">
        <v>929831519400</v>
      </c>
      <c r="AA210" s="31" t="n">
        <v>8780762400</v>
      </c>
      <c r="AB210" s="31" t="n">
        <v>15781440770</v>
      </c>
      <c r="AC210" s="36" t="n">
        <v>0.009443390782951771</v>
      </c>
      <c r="AD210" s="29" t="inlineStr">
        <is>
          <t>yfinance_download</t>
        </is>
      </c>
      <c r="AE210" s="29" t="inlineStr">
        <is>
          <t>319660.KQ</t>
        </is>
      </c>
    </row>
    <row r="211" ht="24" customHeight="1">
      <c r="A211" s="24" t="inlineStr">
        <is>
          <t>2024-04-16</t>
        </is>
      </c>
      <c r="B211" s="30" t="n">
        <v>31500</v>
      </c>
      <c r="C211" s="30" t="n">
        <v>32400</v>
      </c>
      <c r="D211" s="30" t="n">
        <v>31000</v>
      </c>
      <c r="E211" s="30" t="n">
        <v>31200</v>
      </c>
      <c r="F211" s="30" t="n">
        <v>30477.212890625</v>
      </c>
      <c r="G211" s="30" t="n">
        <v>281361</v>
      </c>
      <c r="H211" s="35" t="n">
        <v>-0.0280373831775701</v>
      </c>
      <c r="I211" s="35" t="n">
        <v>-0.0280373831775701</v>
      </c>
      <c r="J211" s="30" t="n">
        <v>29767.5</v>
      </c>
      <c r="K211" s="30" t="n">
        <v>25175.16666666667</v>
      </c>
      <c r="L211" s="30" t="n">
        <v>22614.66666666667</v>
      </c>
      <c r="M211" s="35" t="n">
        <v>0.5229432225019627</v>
      </c>
      <c r="N211" s="35" t="n">
        <v>0.4435801143589755</v>
      </c>
      <c r="O211" s="35" t="n">
        <v>0.1202872531418313</v>
      </c>
      <c r="P211" s="35" t="n">
        <v>0.4928229665071771</v>
      </c>
      <c r="Q211" s="35" t="n">
        <v>0.6648879402347918</v>
      </c>
      <c r="R211" s="35" t="n">
        <v>0.04812295288485768</v>
      </c>
      <c r="S211" s="35" t="n">
        <v>0.2393165222342122</v>
      </c>
      <c r="T211" s="35" t="n">
        <v>0.3796356346913508</v>
      </c>
      <c r="U211" s="30" t="n">
        <v>32100</v>
      </c>
      <c r="V211" s="30" t="n">
        <v>17160</v>
      </c>
      <c r="W211" s="35" t="n">
        <v>-0.0280373831775701</v>
      </c>
      <c r="X211" s="35" t="n">
        <v>0.8181818181818181</v>
      </c>
      <c r="Y211" s="30" t="n">
        <v>28966714</v>
      </c>
      <c r="Z211" s="30" t="n">
        <v>903761476800</v>
      </c>
      <c r="AA211" s="30" t="n">
        <v>8778463200</v>
      </c>
      <c r="AB211" s="30" t="n">
        <v>15490553287.5</v>
      </c>
      <c r="AC211" s="35" t="n">
        <v>0.009713252252223017</v>
      </c>
      <c r="AD211" s="24" t="inlineStr">
        <is>
          <t>yfinance_download</t>
        </is>
      </c>
      <c r="AE211" s="24" t="inlineStr">
        <is>
          <t>319660.KQ</t>
        </is>
      </c>
    </row>
    <row r="212" ht="24" customHeight="1">
      <c r="A212" s="29" t="inlineStr">
        <is>
          <t>2024-04-17</t>
        </is>
      </c>
      <c r="B212" s="31" t="n">
        <v>31650</v>
      </c>
      <c r="C212" s="31" t="n">
        <v>33500</v>
      </c>
      <c r="D212" s="31" t="n">
        <v>31200</v>
      </c>
      <c r="E212" s="31" t="n">
        <v>32350</v>
      </c>
      <c r="F212" s="31" t="n">
        <v>31600.572265625</v>
      </c>
      <c r="G212" s="31" t="n">
        <v>646080</v>
      </c>
      <c r="H212" s="36" t="n">
        <v>0.03685897435897445</v>
      </c>
      <c r="I212" s="36" t="n">
        <v>0</v>
      </c>
      <c r="J212" s="31" t="n">
        <v>30042.5</v>
      </c>
      <c r="K212" s="31" t="n">
        <v>25367.66666666667</v>
      </c>
      <c r="L212" s="31" t="n">
        <v>22729.66666666667</v>
      </c>
      <c r="M212" s="36" t="n">
        <v>0.508836482876833</v>
      </c>
      <c r="N212" s="36" t="n">
        <v>0.4470219035223256</v>
      </c>
      <c r="O212" s="36" t="n">
        <v>0.2048417132216014</v>
      </c>
      <c r="P212" s="36" t="n">
        <v>0.5552884615384615</v>
      </c>
      <c r="Q212" s="36" t="n">
        <v>0.7439353099730459</v>
      </c>
      <c r="R212" s="36" t="n">
        <v>0.07680785553798786</v>
      </c>
      <c r="S212" s="36" t="n">
        <v>0.2752453911146735</v>
      </c>
      <c r="T212" s="36" t="n">
        <v>0.4232500843244511</v>
      </c>
      <c r="U212" s="31" t="n">
        <v>32350</v>
      </c>
      <c r="V212" s="31" t="n">
        <v>17160</v>
      </c>
      <c r="W212" s="36" t="n">
        <v>0</v>
      </c>
      <c r="X212" s="36" t="n">
        <v>0.8851981351981353</v>
      </c>
      <c r="Y212" s="31" t="n">
        <v>28966714</v>
      </c>
      <c r="Z212" s="31" t="n">
        <v>937073197900</v>
      </c>
      <c r="AA212" s="31" t="n">
        <v>20900688000</v>
      </c>
      <c r="AB212" s="31" t="n">
        <v>15750022470</v>
      </c>
      <c r="AC212" s="36" t="n">
        <v>0.02230422132106527</v>
      </c>
      <c r="AD212" s="29" t="inlineStr">
        <is>
          <t>yfinance_download</t>
        </is>
      </c>
      <c r="AE212" s="29" t="inlineStr">
        <is>
          <t>319660.KQ</t>
        </is>
      </c>
    </row>
    <row r="213" ht="24" customHeight="1">
      <c r="A213" s="24" t="inlineStr">
        <is>
          <t>2024-04-18</t>
        </is>
      </c>
      <c r="B213" s="30" t="n">
        <v>32050</v>
      </c>
      <c r="C213" s="30" t="n">
        <v>33400</v>
      </c>
      <c r="D213" s="30" t="n">
        <v>31550</v>
      </c>
      <c r="E213" s="30" t="n">
        <v>33300</v>
      </c>
      <c r="F213" s="30" t="n">
        <v>32528.5625</v>
      </c>
      <c r="G213" s="30" t="n">
        <v>439291</v>
      </c>
      <c r="H213" s="35" t="n">
        <v>0.02936630602782064</v>
      </c>
      <c r="I213" s="35" t="n">
        <v>0</v>
      </c>
      <c r="J213" s="30" t="n">
        <v>30370</v>
      </c>
      <c r="K213" s="30" t="n">
        <v>25569.33333333333</v>
      </c>
      <c r="L213" s="30" t="n">
        <v>22846.5</v>
      </c>
      <c r="M213" s="35" t="n">
        <v>0.5106941767835437</v>
      </c>
      <c r="N213" s="35" t="n">
        <v>0.4486118070226011</v>
      </c>
      <c r="O213" s="35" t="n">
        <v>0.2448598130841122</v>
      </c>
      <c r="P213" s="35" t="n">
        <v>0.570754716981132</v>
      </c>
      <c r="Q213" s="35" t="n">
        <v>0.7271784232365146</v>
      </c>
      <c r="R213" s="35" t="n">
        <v>0.09647678630227197</v>
      </c>
      <c r="S213" s="35" t="n">
        <v>0.3023413464045472</v>
      </c>
      <c r="T213" s="35" t="n">
        <v>0.4575536734291905</v>
      </c>
      <c r="U213" s="30" t="n">
        <v>33300</v>
      </c>
      <c r="V213" s="30" t="n">
        <v>17160</v>
      </c>
      <c r="W213" s="35" t="n">
        <v>0</v>
      </c>
      <c r="X213" s="35" t="n">
        <v>0.9405594405594406</v>
      </c>
      <c r="Y213" s="30" t="n">
        <v>28966714</v>
      </c>
      <c r="Z213" s="30" t="n">
        <v>964591576200</v>
      </c>
      <c r="AA213" s="30" t="n">
        <v>14628390300</v>
      </c>
      <c r="AB213" s="30" t="n">
        <v>15875240172.5</v>
      </c>
      <c r="AC213" s="35" t="n">
        <v>0.01516537222689463</v>
      </c>
      <c r="AD213" s="24" t="inlineStr">
        <is>
          <t>yfinance_download</t>
        </is>
      </c>
      <c r="AE213" s="24" t="inlineStr">
        <is>
          <t>319660.KQ</t>
        </is>
      </c>
    </row>
    <row r="214" ht="24" customHeight="1">
      <c r="A214" s="29" t="inlineStr">
        <is>
          <t>2024-04-19</t>
        </is>
      </c>
      <c r="B214" s="31" t="n">
        <v>33100</v>
      </c>
      <c r="C214" s="31" t="n">
        <v>33100</v>
      </c>
      <c r="D214" s="31" t="n">
        <v>30550</v>
      </c>
      <c r="E214" s="31" t="n">
        <v>31800</v>
      </c>
      <c r="F214" s="31" t="n">
        <v>31063.3125</v>
      </c>
      <c r="G214" s="31" t="n">
        <v>505687</v>
      </c>
      <c r="H214" s="36" t="n">
        <v>-0.04504504504504503</v>
      </c>
      <c r="I214" s="36" t="n">
        <v>-0.04504504504504503</v>
      </c>
      <c r="J214" s="31" t="n">
        <v>30495</v>
      </c>
      <c r="K214" s="31" t="n">
        <v>25739.33333333333</v>
      </c>
      <c r="L214" s="31" t="n">
        <v>22950.5</v>
      </c>
      <c r="M214" s="36" t="n">
        <v>0.4437488289439163</v>
      </c>
      <c r="N214" s="36" t="n">
        <v>0.4609129366084632</v>
      </c>
      <c r="O214" s="36" t="n">
        <v>0.0853242320819112</v>
      </c>
      <c r="P214" s="36" t="n">
        <v>0.4722222222222223</v>
      </c>
      <c r="Q214" s="36" t="n">
        <v>0.6459627329192548</v>
      </c>
      <c r="R214" s="36" t="n">
        <v>0.0427939006394491</v>
      </c>
      <c r="S214" s="36" t="n">
        <v>0.2354632339609937</v>
      </c>
      <c r="T214" s="36" t="n">
        <v>0.3855907278708526</v>
      </c>
      <c r="U214" s="31" t="n">
        <v>33300</v>
      </c>
      <c r="V214" s="31" t="n">
        <v>17160</v>
      </c>
      <c r="W214" s="36" t="n">
        <v>-0.04504504504504503</v>
      </c>
      <c r="X214" s="36" t="n">
        <v>0.8531468531468531</v>
      </c>
      <c r="Y214" s="31" t="n">
        <v>28966714</v>
      </c>
      <c r="Z214" s="31" t="n">
        <v>921141505200</v>
      </c>
      <c r="AA214" s="31" t="n">
        <v>16080846600</v>
      </c>
      <c r="AB214" s="31" t="n">
        <v>13987189712.5</v>
      </c>
      <c r="AC214" s="36" t="n">
        <v>0.01745752038011629</v>
      </c>
      <c r="AD214" s="29" t="inlineStr">
        <is>
          <t>yfinance_download</t>
        </is>
      </c>
      <c r="AE214" s="29" t="inlineStr">
        <is>
          <t>319660.KQ</t>
        </is>
      </c>
    </row>
    <row r="215" ht="24" customHeight="1">
      <c r="A215" s="24" t="inlineStr">
        <is>
          <t>2024-04-22</t>
        </is>
      </c>
      <c r="B215" s="30" t="n">
        <v>31000</v>
      </c>
      <c r="C215" s="30" t="n">
        <v>31950</v>
      </c>
      <c r="D215" s="30" t="n">
        <v>29850</v>
      </c>
      <c r="E215" s="30" t="n">
        <v>30700</v>
      </c>
      <c r="F215" s="30" t="n">
        <v>29988.794921875</v>
      </c>
      <c r="G215" s="30" t="n">
        <v>538845</v>
      </c>
      <c r="H215" s="35" t="n">
        <v>-0.03459119496855345</v>
      </c>
      <c r="I215" s="35" t="n">
        <v>-0.07807807807807809</v>
      </c>
      <c r="J215" s="30" t="n">
        <v>30617.5</v>
      </c>
      <c r="K215" s="30" t="n">
        <v>25894.33333333333</v>
      </c>
      <c r="L215" s="30" t="n">
        <v>23049.5</v>
      </c>
      <c r="M215" s="35" t="n">
        <v>0.4422684550744361</v>
      </c>
      <c r="N215" s="35" t="n">
        <v>0.4675750751411979</v>
      </c>
      <c r="O215" s="35" t="n">
        <v>0.08672566371681412</v>
      </c>
      <c r="P215" s="35" t="n">
        <v>0.4345794392523366</v>
      </c>
      <c r="Q215" s="35" t="n">
        <v>0.6312433581296493</v>
      </c>
      <c r="R215" s="35" t="n">
        <v>0.002694537437739841</v>
      </c>
      <c r="S215" s="35" t="n">
        <v>0.185587580294273</v>
      </c>
      <c r="T215" s="35" t="n">
        <v>0.3319160936245906</v>
      </c>
      <c r="U215" s="30" t="n">
        <v>33300</v>
      </c>
      <c r="V215" s="30" t="n">
        <v>17160</v>
      </c>
      <c r="W215" s="35" t="n">
        <v>-0.07807807807807809</v>
      </c>
      <c r="X215" s="35" t="n">
        <v>0.789044289044289</v>
      </c>
      <c r="Y215" s="30" t="n">
        <v>28966714</v>
      </c>
      <c r="Z215" s="30" t="n">
        <v>889278119800</v>
      </c>
      <c r="AA215" s="30" t="n">
        <v>16542541500</v>
      </c>
      <c r="AB215" s="30" t="n">
        <v>14073190750</v>
      </c>
      <c r="AC215" s="35" t="n">
        <v>0.01860221356140017</v>
      </c>
      <c r="AD215" s="24" t="inlineStr">
        <is>
          <t>yfinance_download</t>
        </is>
      </c>
      <c r="AE215" s="24" t="inlineStr">
        <is>
          <t>319660.KQ</t>
        </is>
      </c>
    </row>
    <row r="216" ht="24" customHeight="1">
      <c r="A216" s="29" t="inlineStr">
        <is>
          <t>2024-04-23</t>
        </is>
      </c>
      <c r="B216" s="31" t="n">
        <v>30800</v>
      </c>
      <c r="C216" s="31" t="n">
        <v>31250</v>
      </c>
      <c r="D216" s="31" t="n">
        <v>28800</v>
      </c>
      <c r="E216" s="31" t="n">
        <v>29050</v>
      </c>
      <c r="F216" s="31" t="n">
        <v>28377.01953125</v>
      </c>
      <c r="G216" s="31" t="n">
        <v>616306</v>
      </c>
      <c r="H216" s="36" t="n">
        <v>-0.05374592833876224</v>
      </c>
      <c r="I216" s="36" t="n">
        <v>-0.1276276276276276</v>
      </c>
      <c r="J216" s="31" t="n">
        <v>30677.5</v>
      </c>
      <c r="K216" s="31" t="n">
        <v>26017.66666666667</v>
      </c>
      <c r="L216" s="31" t="n">
        <v>23138.08333333333</v>
      </c>
      <c r="M216" s="36" t="n">
        <v>0.4847438847134959</v>
      </c>
      <c r="N216" s="36" t="n">
        <v>0.4834057067168285</v>
      </c>
      <c r="O216" s="36" t="n">
        <v>0.04308797127468589</v>
      </c>
      <c r="P216" s="36" t="n">
        <v>0.3418013856812934</v>
      </c>
      <c r="Q216" s="36" t="n">
        <v>0.5770901194353963</v>
      </c>
      <c r="R216" s="36" t="n">
        <v>-0.05305191100969764</v>
      </c>
      <c r="S216" s="36" t="n">
        <v>0.1165490115690619</v>
      </c>
      <c r="T216" s="36" t="n">
        <v>0.2555058939626951</v>
      </c>
      <c r="U216" s="31" t="n">
        <v>33300</v>
      </c>
      <c r="V216" s="31" t="n">
        <v>17160</v>
      </c>
      <c r="W216" s="36" t="n">
        <v>-0.1276276276276276</v>
      </c>
      <c r="X216" s="36" t="n">
        <v>0.692890442890443</v>
      </c>
      <c r="Y216" s="31" t="n">
        <v>28966714</v>
      </c>
      <c r="Z216" s="31" t="n">
        <v>841483041700</v>
      </c>
      <c r="AA216" s="31" t="n">
        <v>17903689300</v>
      </c>
      <c r="AB216" s="31" t="n">
        <v>14479036790</v>
      </c>
      <c r="AC216" s="36" t="n">
        <v>0.02127635188444226</v>
      </c>
      <c r="AD216" s="29" t="inlineStr">
        <is>
          <t>yfinance_download</t>
        </is>
      </c>
      <c r="AE216" s="29" t="inlineStr">
        <is>
          <t>319660.KQ</t>
        </is>
      </c>
    </row>
    <row r="217" ht="24" customHeight="1">
      <c r="A217" s="24" t="inlineStr">
        <is>
          <t>2024-04-24</t>
        </is>
      </c>
      <c r="B217" s="30" t="n">
        <v>29800</v>
      </c>
      <c r="C217" s="30" t="n">
        <v>31600</v>
      </c>
      <c r="D217" s="30" t="n">
        <v>29750</v>
      </c>
      <c r="E217" s="30" t="n">
        <v>30550</v>
      </c>
      <c r="F217" s="30" t="n">
        <v>29842.26953125</v>
      </c>
      <c r="G217" s="30" t="n">
        <v>569008</v>
      </c>
      <c r="H217" s="35" t="n">
        <v>0.05163511187607583</v>
      </c>
      <c r="I217" s="35" t="n">
        <v>-0.08258258258258255</v>
      </c>
      <c r="J217" s="30" t="n">
        <v>30807.5</v>
      </c>
      <c r="K217" s="30" t="n">
        <v>26166</v>
      </c>
      <c r="L217" s="30" t="n">
        <v>23240.91666666667</v>
      </c>
      <c r="M217" s="35" t="n">
        <v>0.5151513685817523</v>
      </c>
      <c r="N217" s="35" t="n">
        <v>0.4924586088814921</v>
      </c>
      <c r="O217" s="35" t="n">
        <v>0.09302325581395343</v>
      </c>
      <c r="P217" s="35" t="n">
        <v>0.4110854503464203</v>
      </c>
      <c r="Q217" s="35" t="n">
        <v>0.6776496430532675</v>
      </c>
      <c r="R217" s="35" t="n">
        <v>-0.008358354296843284</v>
      </c>
      <c r="S217" s="35" t="n">
        <v>0.1675456699533746</v>
      </c>
      <c r="T217" s="35" t="n">
        <v>0.3144920416937083</v>
      </c>
      <c r="U217" s="30" t="n">
        <v>33300</v>
      </c>
      <c r="V217" s="30" t="n">
        <v>17160</v>
      </c>
      <c r="W217" s="35" t="n">
        <v>-0.08258258258258255</v>
      </c>
      <c r="X217" s="35" t="n">
        <v>0.7803030303030303</v>
      </c>
      <c r="Y217" s="30" t="n">
        <v>28966714</v>
      </c>
      <c r="Z217" s="30" t="n">
        <v>884933112700</v>
      </c>
      <c r="AA217" s="30" t="n">
        <v>17383194400</v>
      </c>
      <c r="AB217" s="30" t="n">
        <v>14837228585</v>
      </c>
      <c r="AC217" s="35" t="n">
        <v>0.01964351220507787</v>
      </c>
      <c r="AD217" s="24" t="inlineStr">
        <is>
          <t>yfinance_download</t>
        </is>
      </c>
      <c r="AE217" s="24" t="inlineStr">
        <is>
          <t>319660.KQ</t>
        </is>
      </c>
    </row>
    <row r="218" ht="24" customHeight="1">
      <c r="A218" s="29" t="inlineStr">
        <is>
          <t>2024-04-25</t>
        </is>
      </c>
      <c r="B218" s="31" t="n">
        <v>29900</v>
      </c>
      <c r="C218" s="31" t="n">
        <v>30900</v>
      </c>
      <c r="D218" s="31" t="n">
        <v>29850</v>
      </c>
      <c r="E218" s="31" t="n">
        <v>30100</v>
      </c>
      <c r="F218" s="31" t="n">
        <v>29402.6953125</v>
      </c>
      <c r="G218" s="31" t="n">
        <v>242835</v>
      </c>
      <c r="H218" s="36" t="n">
        <v>-0.01472995090016371</v>
      </c>
      <c r="I218" s="36" t="n">
        <v>-0.09609609609609615</v>
      </c>
      <c r="J218" s="31" t="n">
        <v>30870</v>
      </c>
      <c r="K218" s="31" t="n">
        <v>26310.16666666667</v>
      </c>
      <c r="L218" s="31" t="n">
        <v>23348.75</v>
      </c>
      <c r="M218" s="36" t="n">
        <v>0.5091335611184696</v>
      </c>
      <c r="N218" s="36" t="n">
        <v>0.4933227499008412</v>
      </c>
      <c r="O218" s="36" t="n">
        <v>0.0433275563258233</v>
      </c>
      <c r="P218" s="36" t="n">
        <v>0.4032634032634033</v>
      </c>
      <c r="Q218" s="36" t="n">
        <v>0.754079254079254</v>
      </c>
      <c r="R218" s="36" t="n">
        <v>-0.02494331065759636</v>
      </c>
      <c r="S218" s="36" t="n">
        <v>0.1440444441629027</v>
      </c>
      <c r="T218" s="36" t="n">
        <v>0.2891482413405428</v>
      </c>
      <c r="U218" s="31" t="n">
        <v>33300</v>
      </c>
      <c r="V218" s="31" t="n">
        <v>17160</v>
      </c>
      <c r="W218" s="36" t="n">
        <v>-0.09609609609609615</v>
      </c>
      <c r="X218" s="36" t="n">
        <v>0.754079254079254</v>
      </c>
      <c r="Y218" s="31" t="n">
        <v>28966714</v>
      </c>
      <c r="Z218" s="31" t="n">
        <v>871898091400</v>
      </c>
      <c r="AA218" s="31" t="n">
        <v>7309333500</v>
      </c>
      <c r="AB218" s="31" t="n">
        <v>14639870707.5</v>
      </c>
      <c r="AC218" s="36" t="n">
        <v>0.008383242918061055</v>
      </c>
      <c r="AD218" s="29" t="inlineStr">
        <is>
          <t>yfinance_download</t>
        </is>
      </c>
      <c r="AE218" s="29" t="inlineStr">
        <is>
          <t>319660.KQ</t>
        </is>
      </c>
    </row>
    <row r="219" ht="24" customHeight="1">
      <c r="A219" s="24" t="inlineStr">
        <is>
          <t>2024-04-26</t>
        </is>
      </c>
      <c r="B219" s="30" t="n">
        <v>30700</v>
      </c>
      <c r="C219" s="30" t="n">
        <v>31000</v>
      </c>
      <c r="D219" s="30" t="n">
        <v>29800</v>
      </c>
      <c r="E219" s="30" t="n">
        <v>30050</v>
      </c>
      <c r="F219" s="30" t="n">
        <v>29353.853515625</v>
      </c>
      <c r="G219" s="30" t="n">
        <v>248785</v>
      </c>
      <c r="H219" s="35" t="n">
        <v>-0.001661129568106268</v>
      </c>
      <c r="I219" s="35" t="n">
        <v>-0.09759759759759756</v>
      </c>
      <c r="J219" s="30" t="n">
        <v>30940</v>
      </c>
      <c r="K219" s="30" t="n">
        <v>26456</v>
      </c>
      <c r="L219" s="30" t="n">
        <v>23451.58333333333</v>
      </c>
      <c r="M219" s="35" t="n">
        <v>0.5081660397854239</v>
      </c>
      <c r="N219" s="35" t="n">
        <v>0.4928378388512967</v>
      </c>
      <c r="O219" s="35" t="n">
        <v>0.0488656195462478</v>
      </c>
      <c r="P219" s="35" t="n">
        <v>0.4107981220657277</v>
      </c>
      <c r="Q219" s="35" t="n">
        <v>0.696781479390175</v>
      </c>
      <c r="R219" s="35" t="n">
        <v>-0.02876535229476407</v>
      </c>
      <c r="S219" s="35" t="n">
        <v>0.135848200786211</v>
      </c>
      <c r="T219" s="35" t="n">
        <v>0.2813633763178749</v>
      </c>
      <c r="U219" s="30" t="n">
        <v>33300</v>
      </c>
      <c r="V219" s="30" t="n">
        <v>17160</v>
      </c>
      <c r="W219" s="35" t="n">
        <v>-0.09759759759759756</v>
      </c>
      <c r="X219" s="35" t="n">
        <v>0.7511655011655012</v>
      </c>
      <c r="Y219" s="30" t="n">
        <v>28966714</v>
      </c>
      <c r="Z219" s="30" t="n">
        <v>870449755700</v>
      </c>
      <c r="AA219" s="30" t="n">
        <v>7475989250</v>
      </c>
      <c r="AB219" s="30" t="n">
        <v>14487737822.5</v>
      </c>
      <c r="AC219" s="35" t="n">
        <v>0.008588651097946423</v>
      </c>
      <c r="AD219" s="24" t="inlineStr">
        <is>
          <t>yfinance_download</t>
        </is>
      </c>
      <c r="AE219" s="24" t="inlineStr">
        <is>
          <t>319660.KQ</t>
        </is>
      </c>
    </row>
    <row r="220" ht="24" customHeight="1">
      <c r="A220" s="29" t="inlineStr">
        <is>
          <t>2024-04-29</t>
        </is>
      </c>
      <c r="B220" s="31" t="n">
        <v>30500</v>
      </c>
      <c r="C220" s="31" t="n">
        <v>30900</v>
      </c>
      <c r="D220" s="31" t="n">
        <v>29300</v>
      </c>
      <c r="E220" s="31" t="n">
        <v>29850</v>
      </c>
      <c r="F220" s="31" t="n">
        <v>29158.486328125</v>
      </c>
      <c r="G220" s="31" t="n">
        <v>304603</v>
      </c>
      <c r="H220" s="36" t="n">
        <v>-0.006655574043261225</v>
      </c>
      <c r="I220" s="36" t="n">
        <v>-0.1036036036036037</v>
      </c>
      <c r="J220" s="31" t="n">
        <v>30922.5</v>
      </c>
      <c r="K220" s="31" t="n">
        <v>26609.33333333333</v>
      </c>
      <c r="L220" s="31" t="n">
        <v>23542.83333333333</v>
      </c>
      <c r="M220" s="36" t="n">
        <v>0.4713637928823781</v>
      </c>
      <c r="N220" s="36" t="n">
        <v>0.4876404057781971</v>
      </c>
      <c r="O220" s="36" t="n">
        <v>-0.01158940397350994</v>
      </c>
      <c r="P220" s="36" t="n">
        <v>0.4455205811138014</v>
      </c>
      <c r="Q220" s="36" t="n">
        <v>0.5793650793650793</v>
      </c>
      <c r="R220" s="36" t="n">
        <v>-0.03468348290080037</v>
      </c>
      <c r="S220" s="36" t="n">
        <v>0.1217868417096759</v>
      </c>
      <c r="T220" s="36" t="n">
        <v>0.267901767700008</v>
      </c>
      <c r="U220" s="31" t="n">
        <v>33300</v>
      </c>
      <c r="V220" s="31" t="n">
        <v>17160</v>
      </c>
      <c r="W220" s="36" t="n">
        <v>-0.1036036036036037</v>
      </c>
      <c r="X220" s="36" t="n">
        <v>0.7395104895104896</v>
      </c>
      <c r="Y220" s="31" t="n">
        <v>28966714</v>
      </c>
      <c r="Z220" s="31" t="n">
        <v>864656412900</v>
      </c>
      <c r="AA220" s="31" t="n">
        <v>9092399550</v>
      </c>
      <c r="AB220" s="31" t="n">
        <v>13365452720</v>
      </c>
      <c r="AC220" s="36" t="n">
        <v>0.01051562148195339</v>
      </c>
      <c r="AD220" s="29" t="inlineStr">
        <is>
          <t>yfinance_download</t>
        </is>
      </c>
      <c r="AE220" s="29" t="inlineStr">
        <is>
          <t>319660.KQ</t>
        </is>
      </c>
    </row>
    <row r="221" ht="24" customHeight="1">
      <c r="A221" s="24" t="inlineStr">
        <is>
          <t>2024-04-30</t>
        </is>
      </c>
      <c r="B221" s="30" t="n">
        <v>29700</v>
      </c>
      <c r="C221" s="30" t="n">
        <v>30000</v>
      </c>
      <c r="D221" s="30" t="n">
        <v>28550</v>
      </c>
      <c r="E221" s="30" t="n">
        <v>29700</v>
      </c>
      <c r="F221" s="30" t="n">
        <v>29011.962890625</v>
      </c>
      <c r="G221" s="30" t="n">
        <v>324169</v>
      </c>
      <c r="H221" s="35" t="n">
        <v>-0.005025125628140725</v>
      </c>
      <c r="I221" s="35" t="n">
        <v>-0.1081081081081081</v>
      </c>
      <c r="J221" s="30" t="n">
        <v>30907.5</v>
      </c>
      <c r="K221" s="30" t="n">
        <v>26769.33333333333</v>
      </c>
      <c r="L221" s="30" t="n">
        <v>23632.83333333333</v>
      </c>
      <c r="M221" s="35" t="n">
        <v>0.4711075238035499</v>
      </c>
      <c r="N221" s="35" t="n">
        <v>0.4833393344267466</v>
      </c>
      <c r="O221" s="35" t="n">
        <v>-0.01000000000000001</v>
      </c>
      <c r="P221" s="35" t="n">
        <v>0.4776119402985075</v>
      </c>
      <c r="Q221" s="35" t="n">
        <v>0.5714285714285714</v>
      </c>
      <c r="R221" s="35" t="n">
        <v>-0.03906818733317152</v>
      </c>
      <c r="S221" s="35" t="n">
        <v>0.1094785077451812</v>
      </c>
      <c r="T221" s="35" t="n">
        <v>0.2567261648694965</v>
      </c>
      <c r="U221" s="30" t="n">
        <v>33300</v>
      </c>
      <c r="V221" s="30" t="n">
        <v>17160</v>
      </c>
      <c r="W221" s="35" t="n">
        <v>-0.1081081081081081</v>
      </c>
      <c r="X221" s="35" t="n">
        <v>0.7307692307692308</v>
      </c>
      <c r="Y221" s="30" t="n">
        <v>28966714</v>
      </c>
      <c r="Z221" s="30" t="n">
        <v>860311405800</v>
      </c>
      <c r="AA221" s="30" t="n">
        <v>9627819300</v>
      </c>
      <c r="AB221" s="30" t="n">
        <v>13155409685</v>
      </c>
      <c r="AC221" s="35" t="n">
        <v>0.0111910864311361</v>
      </c>
      <c r="AD221" s="24" t="inlineStr">
        <is>
          <t>yfinance_download</t>
        </is>
      </c>
      <c r="AE221" s="24" t="inlineStr">
        <is>
          <t>319660.KQ</t>
        </is>
      </c>
    </row>
    <row r="222" ht="24" customHeight="1">
      <c r="A222" s="29" t="inlineStr">
        <is>
          <t>2024-05-02</t>
        </is>
      </c>
      <c r="B222" s="31" t="n">
        <v>29150</v>
      </c>
      <c r="C222" s="31" t="n">
        <v>29900</v>
      </c>
      <c r="D222" s="31" t="n">
        <v>29050</v>
      </c>
      <c r="E222" s="31" t="n">
        <v>29900</v>
      </c>
      <c r="F222" s="31" t="n">
        <v>29207.328125</v>
      </c>
      <c r="G222" s="31" t="n">
        <v>155636</v>
      </c>
      <c r="H222" s="36" t="n">
        <v>0.006734006734006703</v>
      </c>
      <c r="I222" s="36" t="n">
        <v>-0.1021021021021021</v>
      </c>
      <c r="J222" s="31" t="n">
        <v>30847.5</v>
      </c>
      <c r="K222" s="31" t="n">
        <v>26938.33333333333</v>
      </c>
      <c r="L222" s="31" t="n">
        <v>23721.25</v>
      </c>
      <c r="M222" s="36" t="n">
        <v>0.4517204940513797</v>
      </c>
      <c r="N222" s="36" t="n">
        <v>0.4807699066043642</v>
      </c>
      <c r="O222" s="36" t="n">
        <v>-0.03858520900321538</v>
      </c>
      <c r="P222" s="36" t="n">
        <v>0.513157894736842</v>
      </c>
      <c r="Q222" s="36" t="n">
        <v>0.550025920165889</v>
      </c>
      <c r="R222" s="36" t="n">
        <v>-0.03071561714887749</v>
      </c>
      <c r="S222" s="36" t="n">
        <v>0.1099424611767619</v>
      </c>
      <c r="T222" s="36" t="n">
        <v>0.2604732044053328</v>
      </c>
      <c r="U222" s="31" t="n">
        <v>33300</v>
      </c>
      <c r="V222" s="31" t="n">
        <v>17160</v>
      </c>
      <c r="W222" s="36" t="n">
        <v>-0.1021021021021021</v>
      </c>
      <c r="X222" s="36" t="n">
        <v>0.7424242424242424</v>
      </c>
      <c r="Y222" s="31" t="n">
        <v>28966714</v>
      </c>
      <c r="Z222" s="31" t="n">
        <v>866104748600</v>
      </c>
      <c r="AA222" s="31" t="n">
        <v>4653516400</v>
      </c>
      <c r="AB222" s="31" t="n">
        <v>12278919555</v>
      </c>
      <c r="AC222" s="36" t="n">
        <v>0.005372925627670436</v>
      </c>
      <c r="AD222" s="29" t="inlineStr">
        <is>
          <t>yfinance_download</t>
        </is>
      </c>
      <c r="AE222" s="29" t="inlineStr">
        <is>
          <t>319660.KQ</t>
        </is>
      </c>
    </row>
    <row r="223" ht="24" customHeight="1">
      <c r="A223" s="24" t="inlineStr">
        <is>
          <t>2024-05-03</t>
        </is>
      </c>
      <c r="B223" s="30" t="n">
        <v>30250</v>
      </c>
      <c r="C223" s="30" t="n">
        <v>30450</v>
      </c>
      <c r="D223" s="30" t="n">
        <v>29150</v>
      </c>
      <c r="E223" s="30" t="n">
        <v>29550</v>
      </c>
      <c r="F223" s="30" t="n">
        <v>28865.435546875</v>
      </c>
      <c r="G223" s="30" t="n">
        <v>193851</v>
      </c>
      <c r="H223" s="35" t="n">
        <v>-0.01170568561872909</v>
      </c>
      <c r="I223" s="35" t="n">
        <v>-0.1126126126126126</v>
      </c>
      <c r="J223" s="30" t="n">
        <v>30772.5</v>
      </c>
      <c r="K223" s="30" t="n">
        <v>27095</v>
      </c>
      <c r="L223" s="30" t="n">
        <v>23802.75</v>
      </c>
      <c r="M223" s="35" t="n">
        <v>0.4531484345357923</v>
      </c>
      <c r="N223" s="35" t="n">
        <v>0.4816325170195813</v>
      </c>
      <c r="O223" s="35" t="n">
        <v>-0.04830917874396135</v>
      </c>
      <c r="P223" s="35" t="n">
        <v>0.466501240694789</v>
      </c>
      <c r="Q223" s="35" t="n">
        <v>0.4946889226100151</v>
      </c>
      <c r="R223" s="35" t="n">
        <v>-0.03972702900316838</v>
      </c>
      <c r="S223" s="35" t="n">
        <v>0.09060712308544017</v>
      </c>
      <c r="T223" s="35" t="n">
        <v>0.2414531934335318</v>
      </c>
      <c r="U223" s="30" t="n">
        <v>33300</v>
      </c>
      <c r="V223" s="30" t="n">
        <v>17160</v>
      </c>
      <c r="W223" s="35" t="n">
        <v>-0.1126126126126126</v>
      </c>
      <c r="X223" s="35" t="n">
        <v>0.7220279720279721</v>
      </c>
      <c r="Y223" s="30" t="n">
        <v>28966714</v>
      </c>
      <c r="Z223" s="30" t="n">
        <v>855966398700</v>
      </c>
      <c r="AA223" s="30" t="n">
        <v>5728297050</v>
      </c>
      <c r="AB223" s="30" t="n">
        <v>11982727732.5</v>
      </c>
      <c r="AC223" s="35" t="n">
        <v>0.006692198500665281</v>
      </c>
      <c r="AD223" s="24" t="inlineStr">
        <is>
          <t>yfinance_download</t>
        </is>
      </c>
      <c r="AE223" s="24" t="inlineStr">
        <is>
          <t>319660.KQ</t>
        </is>
      </c>
    </row>
    <row r="224" ht="24" customHeight="1">
      <c r="A224" s="29" t="inlineStr">
        <is>
          <t>2024-05-07</t>
        </is>
      </c>
      <c r="B224" s="31" t="n">
        <v>30200</v>
      </c>
      <c r="C224" s="31" t="n">
        <v>30650</v>
      </c>
      <c r="D224" s="31" t="n">
        <v>29900</v>
      </c>
      <c r="E224" s="31" t="n">
        <v>30100</v>
      </c>
      <c r="F224" s="31" t="n">
        <v>29402.6953125</v>
      </c>
      <c r="G224" s="31" t="n">
        <v>233744</v>
      </c>
      <c r="H224" s="36" t="n">
        <v>0.01861252115059231</v>
      </c>
      <c r="I224" s="36" t="n">
        <v>-0.09609609609609615</v>
      </c>
      <c r="J224" s="31" t="n">
        <v>30717.5</v>
      </c>
      <c r="K224" s="31" t="n">
        <v>27265.83333333333</v>
      </c>
      <c r="L224" s="31" t="n">
        <v>23890.66666666667</v>
      </c>
      <c r="M224" s="36" t="n">
        <v>0.4585467134269589</v>
      </c>
      <c r="N224" s="36" t="n">
        <v>0.4800668393832446</v>
      </c>
      <c r="O224" s="36" t="n">
        <v>-0.03525641025641024</v>
      </c>
      <c r="P224" s="36" t="n">
        <v>0.5163727959697733</v>
      </c>
      <c r="Q224" s="36" t="n">
        <v>0.5396419437340154</v>
      </c>
      <c r="R224" s="36" t="n">
        <v>-0.02010254740782946</v>
      </c>
      <c r="S224" s="36" t="n">
        <v>0.1039457196124576</v>
      </c>
      <c r="T224" s="36" t="n">
        <v>0.2599062395356624</v>
      </c>
      <c r="U224" s="31" t="n">
        <v>33300</v>
      </c>
      <c r="V224" s="31" t="n">
        <v>17160</v>
      </c>
      <c r="W224" s="36" t="n">
        <v>-0.09609609609609615</v>
      </c>
      <c r="X224" s="36" t="n">
        <v>0.754079254079254</v>
      </c>
      <c r="Y224" s="31" t="n">
        <v>28966714</v>
      </c>
      <c r="Z224" s="31" t="n">
        <v>871898091400</v>
      </c>
      <c r="AA224" s="31" t="n">
        <v>7035694400</v>
      </c>
      <c r="AB224" s="31" t="n">
        <v>11693068532.5</v>
      </c>
      <c r="AC224" s="36" t="n">
        <v>0.008069399932626117</v>
      </c>
      <c r="AD224" s="29" t="inlineStr">
        <is>
          <t>yfinance_download</t>
        </is>
      </c>
      <c r="AE224" s="29" t="inlineStr">
        <is>
          <t>319660.KQ</t>
        </is>
      </c>
    </row>
    <row r="225" ht="24" customHeight="1">
      <c r="A225" s="24" t="inlineStr">
        <is>
          <t>2024-05-08</t>
        </is>
      </c>
      <c r="B225" s="30" t="n">
        <v>30050</v>
      </c>
      <c r="C225" s="30" t="n">
        <v>30050</v>
      </c>
      <c r="D225" s="30" t="n">
        <v>29500</v>
      </c>
      <c r="E225" s="30" t="n">
        <v>29900</v>
      </c>
      <c r="F225" s="30" t="n">
        <v>29207.328125</v>
      </c>
      <c r="G225" s="30" t="n">
        <v>97998</v>
      </c>
      <c r="H225" s="35" t="n">
        <v>-0.006644518272425293</v>
      </c>
      <c r="I225" s="35" t="n">
        <v>-0.1021021021021021</v>
      </c>
      <c r="J225" s="30" t="n">
        <v>30692.5</v>
      </c>
      <c r="K225" s="30" t="n">
        <v>27424.16666666667</v>
      </c>
      <c r="L225" s="30" t="n">
        <v>23978.25</v>
      </c>
      <c r="M225" s="35" t="n">
        <v>0.4501054662963595</v>
      </c>
      <c r="N225" s="35" t="n">
        <v>0.4790219046338041</v>
      </c>
      <c r="O225" s="35" t="n">
        <v>-0.01644736842105265</v>
      </c>
      <c r="P225" s="35" t="n">
        <v>0.4656862745098038</v>
      </c>
      <c r="Q225" s="35" t="n">
        <v>0.5420319752449716</v>
      </c>
      <c r="R225" s="35" t="n">
        <v>-0.0258206402215525</v>
      </c>
      <c r="S225" s="35" t="n">
        <v>0.09027925491506883</v>
      </c>
      <c r="T225" s="35" t="n">
        <v>0.2469633939090634</v>
      </c>
      <c r="U225" s="30" t="n">
        <v>33300</v>
      </c>
      <c r="V225" s="30" t="n">
        <v>17160</v>
      </c>
      <c r="W225" s="35" t="n">
        <v>-0.1021021021021021</v>
      </c>
      <c r="X225" s="35" t="n">
        <v>0.7424242424242424</v>
      </c>
      <c r="Y225" s="30" t="n">
        <v>28966714</v>
      </c>
      <c r="Z225" s="30" t="n">
        <v>866104748600</v>
      </c>
      <c r="AA225" s="30" t="n">
        <v>2930140200</v>
      </c>
      <c r="AB225" s="30" t="n">
        <v>11318939062.5</v>
      </c>
      <c r="AC225" s="35" t="n">
        <v>0.003383124506286768</v>
      </c>
      <c r="AD225" s="24" t="inlineStr">
        <is>
          <t>yfinance_download</t>
        </is>
      </c>
      <c r="AE225" s="24" t="inlineStr">
        <is>
          <t>319660.KQ</t>
        </is>
      </c>
    </row>
    <row r="226" ht="24" customHeight="1">
      <c r="A226" s="29" t="inlineStr">
        <is>
          <t>2024-05-09</t>
        </is>
      </c>
      <c r="B226" s="31" t="n">
        <v>29900</v>
      </c>
      <c r="C226" s="31" t="n">
        <v>29950</v>
      </c>
      <c r="D226" s="31" t="n">
        <v>28950</v>
      </c>
      <c r="E226" s="31" t="n">
        <v>29200</v>
      </c>
      <c r="F226" s="31" t="n">
        <v>28523.544921875</v>
      </c>
      <c r="G226" s="31" t="n">
        <v>236553</v>
      </c>
      <c r="H226" s="36" t="n">
        <v>-0.02341137123745818</v>
      </c>
      <c r="I226" s="36" t="n">
        <v>-0.1231231231231231</v>
      </c>
      <c r="J226" s="31" t="n">
        <v>30655</v>
      </c>
      <c r="K226" s="31" t="n">
        <v>27570.83333333333</v>
      </c>
      <c r="L226" s="31" t="n">
        <v>24060.25</v>
      </c>
      <c r="M226" s="36" t="n">
        <v>0.4547604453490237</v>
      </c>
      <c r="N226" s="36" t="n">
        <v>0.4828353083668285</v>
      </c>
      <c r="O226" s="36" t="n">
        <v>-0.02504173622704509</v>
      </c>
      <c r="P226" s="36" t="n">
        <v>0.4313725490196079</v>
      </c>
      <c r="Q226" s="36" t="n">
        <v>0.5082644628099173</v>
      </c>
      <c r="R226" s="36" t="n">
        <v>-0.04746370901973573</v>
      </c>
      <c r="S226" s="36" t="n">
        <v>0.05909022215505511</v>
      </c>
      <c r="T226" s="36" t="n">
        <v>0.2136199748547916</v>
      </c>
      <c r="U226" s="31" t="n">
        <v>33300</v>
      </c>
      <c r="V226" s="31" t="n">
        <v>17160</v>
      </c>
      <c r="W226" s="36" t="n">
        <v>-0.1231231231231231</v>
      </c>
      <c r="X226" s="36" t="n">
        <v>0.7016317016317015</v>
      </c>
      <c r="Y226" s="31" t="n">
        <v>28966714</v>
      </c>
      <c r="Z226" s="31" t="n">
        <v>845828048800</v>
      </c>
      <c r="AA226" s="31" t="n">
        <v>6907347600</v>
      </c>
      <c r="AB226" s="31" t="n">
        <v>11351125282.5</v>
      </c>
      <c r="AC226" s="36" t="n">
        <v>0.008166373306961915</v>
      </c>
      <c r="AD226" s="29" t="inlineStr">
        <is>
          <t>yfinance_download</t>
        </is>
      </c>
      <c r="AE226" s="29" t="inlineStr">
        <is>
          <t>319660.KQ</t>
        </is>
      </c>
    </row>
    <row r="227" ht="24" customHeight="1">
      <c r="A227" s="24" t="inlineStr">
        <is>
          <t>2024-05-10</t>
        </is>
      </c>
      <c r="B227" s="30" t="n">
        <v>29150</v>
      </c>
      <c r="C227" s="30" t="n">
        <v>29150</v>
      </c>
      <c r="D227" s="30" t="n">
        <v>27500</v>
      </c>
      <c r="E227" s="30" t="n">
        <v>27850</v>
      </c>
      <c r="F227" s="30" t="n">
        <v>27204.8203125</v>
      </c>
      <c r="G227" s="30" t="n">
        <v>422064</v>
      </c>
      <c r="H227" s="35" t="n">
        <v>-0.04623287671232879</v>
      </c>
      <c r="I227" s="35" t="n">
        <v>-0.1636636636636637</v>
      </c>
      <c r="J227" s="30" t="n">
        <v>30495</v>
      </c>
      <c r="K227" s="30" t="n">
        <v>27685</v>
      </c>
      <c r="L227" s="30" t="n">
        <v>24130.83333333333</v>
      </c>
      <c r="M227" s="35" t="n">
        <v>0.4590987116603833</v>
      </c>
      <c r="N227" s="35" t="n">
        <v>0.4922588815294205</v>
      </c>
      <c r="O227" s="35" t="n">
        <v>-0.1030595813204509</v>
      </c>
      <c r="P227" s="35" t="n">
        <v>0.3261904761904761</v>
      </c>
      <c r="Q227" s="35" t="n">
        <v>0.4370485036119711</v>
      </c>
      <c r="R227" s="35" t="n">
        <v>-0.08673553041482207</v>
      </c>
      <c r="S227" s="35" t="n">
        <v>0.005959906086328237</v>
      </c>
      <c r="T227" s="35" t="n">
        <v>0.154125082018165</v>
      </c>
      <c r="U227" s="30" t="n">
        <v>33300</v>
      </c>
      <c r="V227" s="30" t="n">
        <v>17160</v>
      </c>
      <c r="W227" s="35" t="n">
        <v>-0.1636636636636637</v>
      </c>
      <c r="X227" s="35" t="n">
        <v>0.622960372960373</v>
      </c>
      <c r="Y227" s="30" t="n">
        <v>28966714</v>
      </c>
      <c r="Z227" s="30" t="n">
        <v>806722984900</v>
      </c>
      <c r="AA227" s="30" t="n">
        <v>11754482400</v>
      </c>
      <c r="AB227" s="30" t="n">
        <v>11167317450</v>
      </c>
      <c r="AC227" s="35" t="n">
        <v>0.01457065513195594</v>
      </c>
      <c r="AD227" s="24" t="inlineStr">
        <is>
          <t>yfinance_download</t>
        </is>
      </c>
      <c r="AE227" s="24" t="inlineStr">
        <is>
          <t>319660.KQ</t>
        </is>
      </c>
    </row>
    <row r="228" ht="24" customHeight="1">
      <c r="A228" s="29" t="inlineStr">
        <is>
          <t>2024-05-13</t>
        </is>
      </c>
      <c r="B228" s="31" t="n">
        <v>28200</v>
      </c>
      <c r="C228" s="31" t="n">
        <v>28700</v>
      </c>
      <c r="D228" s="31" t="n">
        <v>27950</v>
      </c>
      <c r="E228" s="31" t="n">
        <v>28450</v>
      </c>
      <c r="F228" s="31" t="n">
        <v>27790.919921875</v>
      </c>
      <c r="G228" s="31" t="n">
        <v>234282</v>
      </c>
      <c r="H228" s="36" t="n">
        <v>0.02154398563734294</v>
      </c>
      <c r="I228" s="36" t="n">
        <v>-0.1456456456456456</v>
      </c>
      <c r="J228" s="31" t="n">
        <v>30345</v>
      </c>
      <c r="K228" s="31" t="n">
        <v>27799.16666666667</v>
      </c>
      <c r="L228" s="31" t="n">
        <v>24207.08333333333</v>
      </c>
      <c r="M228" s="36" t="n">
        <v>0.4645764651583483</v>
      </c>
      <c r="N228" s="36" t="n">
        <v>0.4910417165324735</v>
      </c>
      <c r="O228" s="36" t="n">
        <v>-0.09538950715421302</v>
      </c>
      <c r="P228" s="36" t="n">
        <v>0.3171296296296295</v>
      </c>
      <c r="Q228" s="36" t="n">
        <v>0.4740932642487046</v>
      </c>
      <c r="R228" s="36" t="n">
        <v>-0.06244850881529085</v>
      </c>
      <c r="S228" s="36" t="n">
        <v>0.02341197278095852</v>
      </c>
      <c r="T228" s="36" t="n">
        <v>0.1752758317985439</v>
      </c>
      <c r="U228" s="31" t="n">
        <v>33300</v>
      </c>
      <c r="V228" s="31" t="n">
        <v>17160</v>
      </c>
      <c r="W228" s="36" t="n">
        <v>-0.1456456456456456</v>
      </c>
      <c r="X228" s="36" t="n">
        <v>0.657925407925408</v>
      </c>
      <c r="Y228" s="31" t="n">
        <v>28966714</v>
      </c>
      <c r="Z228" s="31" t="n">
        <v>824103013300</v>
      </c>
      <c r="AA228" s="31" t="n">
        <v>6665322900</v>
      </c>
      <c r="AB228" s="31" t="n">
        <v>10647689472.5</v>
      </c>
      <c r="AC228" s="36" t="n">
        <v>0.008087972974773735</v>
      </c>
      <c r="AD228" s="29" t="inlineStr">
        <is>
          <t>yfinance_download</t>
        </is>
      </c>
      <c r="AE228" s="29" t="inlineStr">
        <is>
          <t>319660.KQ</t>
        </is>
      </c>
    </row>
    <row r="229" ht="24" customHeight="1">
      <c r="A229" s="24" t="inlineStr">
        <is>
          <t>2024-05-14</t>
        </is>
      </c>
      <c r="B229" s="30" t="n">
        <v>28150</v>
      </c>
      <c r="C229" s="30" t="n">
        <v>28650</v>
      </c>
      <c r="D229" s="30" t="n">
        <v>27950</v>
      </c>
      <c r="E229" s="30" t="n">
        <v>28450</v>
      </c>
      <c r="F229" s="30" t="n">
        <v>27790.919921875</v>
      </c>
      <c r="G229" s="30" t="n">
        <v>176824</v>
      </c>
      <c r="H229" s="35" t="n">
        <v>0</v>
      </c>
      <c r="I229" s="35" t="n">
        <v>-0.1456456456456456</v>
      </c>
      <c r="J229" s="30" t="n">
        <v>30207.5</v>
      </c>
      <c r="K229" s="30" t="n">
        <v>27904.16666666667</v>
      </c>
      <c r="L229" s="30" t="n">
        <v>24275.83333333333</v>
      </c>
      <c r="M229" s="35" t="n">
        <v>0.4646714524522509</v>
      </c>
      <c r="N229" s="35" t="n">
        <v>0.4892929825808994</v>
      </c>
      <c r="O229" s="35" t="n">
        <v>-0.08814102564102566</v>
      </c>
      <c r="P229" s="35" t="n">
        <v>0.2844243792325056</v>
      </c>
      <c r="Q229" s="35" t="n">
        <v>0.4084158415841583</v>
      </c>
      <c r="R229" s="35" t="n">
        <v>-0.05818091533559544</v>
      </c>
      <c r="S229" s="35" t="n">
        <v>0.01956099746154982</v>
      </c>
      <c r="T229" s="35" t="n">
        <v>0.1719474099756273</v>
      </c>
      <c r="U229" s="30" t="n">
        <v>33300</v>
      </c>
      <c r="V229" s="30" t="n">
        <v>17160</v>
      </c>
      <c r="W229" s="35" t="n">
        <v>-0.1456456456456456</v>
      </c>
      <c r="X229" s="35" t="n">
        <v>0.657925407925408</v>
      </c>
      <c r="Y229" s="30" t="n">
        <v>28966714</v>
      </c>
      <c r="Z229" s="30" t="n">
        <v>824103013300</v>
      </c>
      <c r="AA229" s="30" t="n">
        <v>5030642800</v>
      </c>
      <c r="AB229" s="30" t="n">
        <v>10260478052.5</v>
      </c>
      <c r="AC229" s="35" t="n">
        <v>0.006104385882361389</v>
      </c>
      <c r="AD229" s="24" t="inlineStr">
        <is>
          <t>yfinance_download</t>
        </is>
      </c>
      <c r="AE229" s="24" t="inlineStr">
        <is>
          <t>319660.KQ</t>
        </is>
      </c>
    </row>
    <row r="230" ht="24" customHeight="1">
      <c r="A230" s="29" t="inlineStr">
        <is>
          <t>2024-05-16</t>
        </is>
      </c>
      <c r="B230" s="31" t="n">
        <v>29050</v>
      </c>
      <c r="C230" s="31" t="n">
        <v>32100</v>
      </c>
      <c r="D230" s="31" t="n">
        <v>28750</v>
      </c>
      <c r="E230" s="31" t="n">
        <v>31250</v>
      </c>
      <c r="F230" s="31" t="n">
        <v>30526.0546875</v>
      </c>
      <c r="G230" s="31" t="n">
        <v>877057</v>
      </c>
      <c r="H230" s="36" t="n">
        <v>0.09841827768014055</v>
      </c>
      <c r="I230" s="36" t="n">
        <v>-0.06156156156156156</v>
      </c>
      <c r="J230" s="31" t="n">
        <v>30165</v>
      </c>
      <c r="K230" s="31" t="n">
        <v>28056.66666666667</v>
      </c>
      <c r="L230" s="31" t="n">
        <v>24363.33333333333</v>
      </c>
      <c r="M230" s="36" t="n">
        <v>0.5812772494597906</v>
      </c>
      <c r="N230" s="36" t="n">
        <v>0.5254019557183044</v>
      </c>
      <c r="O230" s="36" t="n">
        <v>-0.02647975077881615</v>
      </c>
      <c r="P230" s="36" t="n">
        <v>0.4140271493212671</v>
      </c>
      <c r="Q230" s="36" t="n">
        <v>0.5060240963855422</v>
      </c>
      <c r="R230" s="36" t="n">
        <v>0.03596883805735129</v>
      </c>
      <c r="S230" s="36" t="n">
        <v>0.1138172745633836</v>
      </c>
      <c r="T230" s="36" t="n">
        <v>0.2826652072786975</v>
      </c>
      <c r="U230" s="31" t="n">
        <v>33300</v>
      </c>
      <c r="V230" s="31" t="n">
        <v>17160</v>
      </c>
      <c r="W230" s="36" t="n">
        <v>-0.06156156156156156</v>
      </c>
      <c r="X230" s="36" t="n">
        <v>0.8210955710955712</v>
      </c>
      <c r="Y230" s="31" t="n">
        <v>28966714</v>
      </c>
      <c r="Z230" s="31" t="n">
        <v>905209812500</v>
      </c>
      <c r="AA230" s="31" t="n">
        <v>27408031250</v>
      </c>
      <c r="AB230" s="31" t="n">
        <v>11191841495</v>
      </c>
      <c r="AC230" s="36" t="n">
        <v>0.0302780978194489</v>
      </c>
      <c r="AD230" s="29" t="inlineStr">
        <is>
          <t>yfinance_download</t>
        </is>
      </c>
      <c r="AE230" s="29" t="inlineStr">
        <is>
          <t>319660.KQ</t>
        </is>
      </c>
    </row>
    <row r="231" ht="24" customHeight="1">
      <c r="A231" s="24" t="inlineStr">
        <is>
          <t>2024-05-17</t>
        </is>
      </c>
      <c r="B231" s="30" t="n">
        <v>31600</v>
      </c>
      <c r="C231" s="30" t="n">
        <v>31650</v>
      </c>
      <c r="D231" s="30" t="n">
        <v>31000</v>
      </c>
      <c r="E231" s="30" t="n">
        <v>31100</v>
      </c>
      <c r="F231" s="30" t="n">
        <v>30379.529296875</v>
      </c>
      <c r="G231" s="30" t="n">
        <v>293999</v>
      </c>
      <c r="H231" s="35" t="n">
        <v>-0.004800000000000026</v>
      </c>
      <c r="I231" s="35" t="n">
        <v>-0.06606606606606602</v>
      </c>
      <c r="J231" s="30" t="n">
        <v>30160</v>
      </c>
      <c r="K231" s="30" t="n">
        <v>28205.83333333333</v>
      </c>
      <c r="L231" s="30" t="n">
        <v>24449.16666666667</v>
      </c>
      <c r="M231" s="35" t="n">
        <v>0.5725782684838876</v>
      </c>
      <c r="N231" s="35" t="n">
        <v>0.5258338475976775</v>
      </c>
      <c r="O231" s="35" t="n">
        <v>-0.003205128205128194</v>
      </c>
      <c r="P231" s="35" t="n">
        <v>0.4040632054176072</v>
      </c>
      <c r="Q231" s="35" t="n">
        <v>0.4951923076923077</v>
      </c>
      <c r="R231" s="35" t="n">
        <v>0.03116710875331563</v>
      </c>
      <c r="S231" s="35" t="n">
        <v>0.1026087984164032</v>
      </c>
      <c r="T231" s="35" t="n">
        <v>0.2720269947850982</v>
      </c>
      <c r="U231" s="30" t="n">
        <v>33300</v>
      </c>
      <c r="V231" s="30" t="n">
        <v>17160</v>
      </c>
      <c r="W231" s="35" t="n">
        <v>-0.06606606606606602</v>
      </c>
      <c r="X231" s="35" t="n">
        <v>0.8123543123543124</v>
      </c>
      <c r="Y231" s="30" t="n">
        <v>28966714</v>
      </c>
      <c r="Z231" s="30" t="n">
        <v>900864805400</v>
      </c>
      <c r="AA231" s="30" t="n">
        <v>9143368900</v>
      </c>
      <c r="AB231" s="30" t="n">
        <v>11210086780</v>
      </c>
      <c r="AC231" s="35" t="n">
        <v>0.01014954613077617</v>
      </c>
      <c r="AD231" s="24" t="inlineStr">
        <is>
          <t>yfinance_download</t>
        </is>
      </c>
      <c r="AE231" s="24" t="inlineStr">
        <is>
          <t>319660.KQ</t>
        </is>
      </c>
    </row>
    <row r="232" ht="24" customHeight="1">
      <c r="A232" s="29" t="inlineStr">
        <is>
          <t>2024-05-20</t>
        </is>
      </c>
      <c r="B232" s="31" t="n">
        <v>31500</v>
      </c>
      <c r="C232" s="31" t="n">
        <v>31750</v>
      </c>
      <c r="D232" s="31" t="n">
        <v>30850</v>
      </c>
      <c r="E232" s="31" t="n">
        <v>31750</v>
      </c>
      <c r="F232" s="31" t="n">
        <v>31014.47265625</v>
      </c>
      <c r="G232" s="31" t="n">
        <v>276400</v>
      </c>
      <c r="H232" s="36" t="n">
        <v>0.02090032154340826</v>
      </c>
      <c r="I232" s="36" t="n">
        <v>-0.04654654654654655</v>
      </c>
      <c r="J232" s="31" t="n">
        <v>30130</v>
      </c>
      <c r="K232" s="31" t="n">
        <v>28366.66666666667</v>
      </c>
      <c r="L232" s="31" t="n">
        <v>24541.25</v>
      </c>
      <c r="M232" s="36" t="n">
        <v>0.5618187829679702</v>
      </c>
      <c r="N232" s="36" t="n">
        <v>0.5263847999335136</v>
      </c>
      <c r="O232" s="36" t="n">
        <v>-0.01854714064914997</v>
      </c>
      <c r="P232" s="36" t="n">
        <v>0.4366515837104072</v>
      </c>
      <c r="Q232" s="36" t="n">
        <v>0.5338164251207729</v>
      </c>
      <c r="R232" s="36" t="n">
        <v>0.05376700962495851</v>
      </c>
      <c r="S232" s="36" t="n">
        <v>0.1192714453584018</v>
      </c>
      <c r="T232" s="36" t="n">
        <v>0.2937401314113992</v>
      </c>
      <c r="U232" s="31" t="n">
        <v>33300</v>
      </c>
      <c r="V232" s="31" t="n">
        <v>17160</v>
      </c>
      <c r="W232" s="36" t="n">
        <v>-0.04654654654654655</v>
      </c>
      <c r="X232" s="36" t="n">
        <v>0.8502331002331003</v>
      </c>
      <c r="Y232" s="31" t="n">
        <v>28966714</v>
      </c>
      <c r="Z232" s="31" t="n">
        <v>919693169500</v>
      </c>
      <c r="AA232" s="31" t="n">
        <v>8775700000</v>
      </c>
      <c r="AB232" s="31" t="n">
        <v>10603837380</v>
      </c>
      <c r="AC232" s="36" t="n">
        <v>0.009541986709296747</v>
      </c>
      <c r="AD232" s="29" t="inlineStr">
        <is>
          <t>yfinance_download</t>
        </is>
      </c>
      <c r="AE232" s="29" t="inlineStr">
        <is>
          <t>319660.KQ</t>
        </is>
      </c>
    </row>
    <row r="233" ht="24" customHeight="1">
      <c r="A233" s="24" t="inlineStr">
        <is>
          <t>2024-05-21</t>
        </is>
      </c>
      <c r="B233" s="30" t="n">
        <v>32250</v>
      </c>
      <c r="C233" s="30" t="n">
        <v>32650</v>
      </c>
      <c r="D233" s="30" t="n">
        <v>31200</v>
      </c>
      <c r="E233" s="30" t="n">
        <v>32000</v>
      </c>
      <c r="F233" s="30" t="n">
        <v>31258.6796875</v>
      </c>
      <c r="G233" s="30" t="n">
        <v>321531</v>
      </c>
      <c r="H233" s="35" t="n">
        <v>0.007874015748031482</v>
      </c>
      <c r="I233" s="35" t="n">
        <v>-0.03903903903903905</v>
      </c>
      <c r="J233" s="30" t="n">
        <v>30065</v>
      </c>
      <c r="K233" s="30" t="n">
        <v>28530</v>
      </c>
      <c r="L233" s="30" t="n">
        <v>24634.16666666667</v>
      </c>
      <c r="M233" s="35" t="n">
        <v>0.5518313490413146</v>
      </c>
      <c r="N233" s="35" t="n">
        <v>0.5263735927458206</v>
      </c>
      <c r="O233" s="35" t="n">
        <v>-0.03903903903903905</v>
      </c>
      <c r="P233" s="35" t="n">
        <v>0.4414414414414414</v>
      </c>
      <c r="Q233" s="35" t="n">
        <v>0.5347721822541966</v>
      </c>
      <c r="R233" s="35" t="n">
        <v>0.06436055213703651</v>
      </c>
      <c r="S233" s="35" t="n">
        <v>0.1216263582194181</v>
      </c>
      <c r="T233" s="35" t="n">
        <v>0.2990088292006359</v>
      </c>
      <c r="U233" s="30" t="n">
        <v>33300</v>
      </c>
      <c r="V233" s="30" t="n">
        <v>17160</v>
      </c>
      <c r="W233" s="35" t="n">
        <v>-0.03903903903903905</v>
      </c>
      <c r="X233" s="35" t="n">
        <v>0.8648018648018647</v>
      </c>
      <c r="Y233" s="30" t="n">
        <v>28966714</v>
      </c>
      <c r="Z233" s="30" t="n">
        <v>926934848000</v>
      </c>
      <c r="AA233" s="30" t="n">
        <v>10288992000</v>
      </c>
      <c r="AB233" s="30" t="n">
        <v>10386867465</v>
      </c>
      <c r="AC233" s="35" t="n">
        <v>0.01110001638432306</v>
      </c>
      <c r="AD233" s="24" t="inlineStr">
        <is>
          <t>yfinance_download</t>
        </is>
      </c>
      <c r="AE233" s="24" t="inlineStr">
        <is>
          <t>319660.KQ</t>
        </is>
      </c>
    </row>
    <row r="234" ht="24" customHeight="1">
      <c r="A234" s="29" t="inlineStr">
        <is>
          <t>2024-05-22</t>
        </is>
      </c>
      <c r="B234" s="31" t="n">
        <v>31650</v>
      </c>
      <c r="C234" s="31" t="n">
        <v>32400</v>
      </c>
      <c r="D234" s="31" t="n">
        <v>31300</v>
      </c>
      <c r="E234" s="31" t="n">
        <v>32050</v>
      </c>
      <c r="F234" s="31" t="n">
        <v>31307.521484375</v>
      </c>
      <c r="G234" s="31" t="n">
        <v>231222</v>
      </c>
      <c r="H234" s="36" t="n">
        <v>0.001562499999999911</v>
      </c>
      <c r="I234" s="36" t="n">
        <v>-0.03753753753753752</v>
      </c>
      <c r="J234" s="31" t="n">
        <v>30077.5</v>
      </c>
      <c r="K234" s="31" t="n">
        <v>28692.5</v>
      </c>
      <c r="L234" s="31" t="n">
        <v>24727.5</v>
      </c>
      <c r="M234" s="36" t="n">
        <v>0.5272206401379067</v>
      </c>
      <c r="N234" s="36" t="n">
        <v>0.5264590908227688</v>
      </c>
      <c r="O234" s="36" t="n">
        <v>0.007861635220125729</v>
      </c>
      <c r="P234" s="36" t="n">
        <v>0.4372197309417041</v>
      </c>
      <c r="Q234" s="36" t="n">
        <v>0.5371702637889688</v>
      </c>
      <c r="R234" s="36" t="n">
        <v>0.06558058349264395</v>
      </c>
      <c r="S234" s="36" t="n">
        <v>0.1170166419796115</v>
      </c>
      <c r="T234" s="36" t="n">
        <v>0.2961277929430797</v>
      </c>
      <c r="U234" s="31" t="n">
        <v>33300</v>
      </c>
      <c r="V234" s="31" t="n">
        <v>17160</v>
      </c>
      <c r="W234" s="36" t="n">
        <v>-0.03753753753753752</v>
      </c>
      <c r="X234" s="36" t="n">
        <v>0.8677156177156178</v>
      </c>
      <c r="Y234" s="31" t="n">
        <v>28966714</v>
      </c>
      <c r="Z234" s="31" t="n">
        <v>928383183700</v>
      </c>
      <c r="AA234" s="31" t="n">
        <v>7410665100</v>
      </c>
      <c r="AB234" s="31" t="n">
        <v>9953358390</v>
      </c>
      <c r="AC234" s="36" t="n">
        <v>0.007982334482261261</v>
      </c>
      <c r="AD234" s="29" t="inlineStr">
        <is>
          <t>yfinance_download</t>
        </is>
      </c>
      <c r="AE234" s="29" t="inlineStr">
        <is>
          <t>319660.KQ</t>
        </is>
      </c>
    </row>
    <row r="235" ht="24" customHeight="1">
      <c r="A235" s="24" t="inlineStr">
        <is>
          <t>2024-05-23</t>
        </is>
      </c>
      <c r="B235" s="30" t="n">
        <v>32350</v>
      </c>
      <c r="C235" s="30" t="n">
        <v>32950</v>
      </c>
      <c r="D235" s="30" t="n">
        <v>31000</v>
      </c>
      <c r="E235" s="30" t="n">
        <v>31150</v>
      </c>
      <c r="F235" s="30" t="n">
        <v>30428.37109375</v>
      </c>
      <c r="G235" s="30" t="n">
        <v>307564</v>
      </c>
      <c r="H235" s="35" t="n">
        <v>-0.02808112324492984</v>
      </c>
      <c r="I235" s="35" t="n">
        <v>-0.06456456456456461</v>
      </c>
      <c r="J235" s="30" t="n">
        <v>30100</v>
      </c>
      <c r="K235" s="30" t="n">
        <v>28836.66666666667</v>
      </c>
      <c r="L235" s="30" t="n">
        <v>24821.75</v>
      </c>
      <c r="M235" s="35" t="n">
        <v>0.5218869849047412</v>
      </c>
      <c r="N235" s="35" t="n">
        <v>0.5311985112234683</v>
      </c>
      <c r="O235" s="35" t="n">
        <v>0.01465798045602607</v>
      </c>
      <c r="P235" s="35" t="n">
        <v>0.3844444444444444</v>
      </c>
      <c r="Q235" s="35" t="n">
        <v>0.5700604838709677</v>
      </c>
      <c r="R235" s="35" t="n">
        <v>0.03488372093023262</v>
      </c>
      <c r="S235" s="35" t="n">
        <v>0.0802219396601549</v>
      </c>
      <c r="T235" s="35" t="n">
        <v>0.2549477776546778</v>
      </c>
      <c r="U235" s="30" t="n">
        <v>33300</v>
      </c>
      <c r="V235" s="30" t="n">
        <v>17160</v>
      </c>
      <c r="W235" s="35" t="n">
        <v>-0.06456456456456461</v>
      </c>
      <c r="X235" s="35" t="n">
        <v>0.8152680652680653</v>
      </c>
      <c r="Y235" s="30" t="n">
        <v>28966714</v>
      </c>
      <c r="Z235" s="30" t="n">
        <v>902313141100</v>
      </c>
      <c r="AA235" s="30" t="n">
        <v>9580618600</v>
      </c>
      <c r="AB235" s="30" t="n">
        <v>9605262245</v>
      </c>
      <c r="AC235" s="35" t="n">
        <v>0.01061784225853164</v>
      </c>
      <c r="AD235" s="24" t="inlineStr">
        <is>
          <t>yfinance_download</t>
        </is>
      </c>
      <c r="AE235" s="24" t="inlineStr">
        <is>
          <t>319660.KQ</t>
        </is>
      </c>
    </row>
    <row r="236" ht="24" customHeight="1">
      <c r="A236" s="29" t="inlineStr">
        <is>
          <t>2024-05-24</t>
        </is>
      </c>
      <c r="B236" s="31" t="n">
        <v>30700</v>
      </c>
      <c r="C236" s="31" t="n">
        <v>30750</v>
      </c>
      <c r="D236" s="31" t="n">
        <v>30250</v>
      </c>
      <c r="E236" s="31" t="n">
        <v>30400</v>
      </c>
      <c r="F236" s="31" t="n">
        <v>29695.74609375</v>
      </c>
      <c r="G236" s="31" t="n">
        <v>154513</v>
      </c>
      <c r="H236" s="36" t="n">
        <v>-0.0240770465489567</v>
      </c>
      <c r="I236" s="36" t="n">
        <v>-0.08708708708708712</v>
      </c>
      <c r="J236" s="31" t="n">
        <v>30167.5</v>
      </c>
      <c r="K236" s="31" t="n">
        <v>28968.33333333333</v>
      </c>
      <c r="L236" s="31" t="n">
        <v>24911.33333333333</v>
      </c>
      <c r="M236" s="36" t="n">
        <v>0.4900930342425414</v>
      </c>
      <c r="N236" s="36" t="n">
        <v>0.534635539614869</v>
      </c>
      <c r="O236" s="36" t="n">
        <v>0.04647160068846823</v>
      </c>
      <c r="P236" s="36" t="n">
        <v>0.3511111111111112</v>
      </c>
      <c r="Q236" s="36" t="n">
        <v>0.5470737913486006</v>
      </c>
      <c r="R236" s="36" t="n">
        <v>0.007706969420734344</v>
      </c>
      <c r="S236" s="36" t="n">
        <v>0.04942178240607564</v>
      </c>
      <c r="T236" s="36" t="n">
        <v>0.2203280969839698</v>
      </c>
      <c r="U236" s="31" t="n">
        <v>33300</v>
      </c>
      <c r="V236" s="31" t="n">
        <v>17160</v>
      </c>
      <c r="W236" s="36" t="n">
        <v>-0.08708708708708712</v>
      </c>
      <c r="X236" s="36" t="n">
        <v>0.7715617715617715</v>
      </c>
      <c r="Y236" s="31" t="n">
        <v>28966714</v>
      </c>
      <c r="Z236" s="31" t="n">
        <v>880588105600</v>
      </c>
      <c r="AA236" s="31" t="n">
        <v>4697195200</v>
      </c>
      <c r="AB236" s="31" t="n">
        <v>8944937540</v>
      </c>
      <c r="AC236" s="36" t="n">
        <v>0.005334156991366021</v>
      </c>
      <c r="AD236" s="29" t="inlineStr">
        <is>
          <t>yfinance_download</t>
        </is>
      </c>
      <c r="AE236" s="29" t="inlineStr">
        <is>
          <t>319660.KQ</t>
        </is>
      </c>
    </row>
    <row r="237" ht="24" customHeight="1">
      <c r="A237" s="24" t="inlineStr">
        <is>
          <t>2024-05-27</t>
        </is>
      </c>
      <c r="B237" s="30" t="n">
        <v>30500</v>
      </c>
      <c r="C237" s="30" t="n">
        <v>30950</v>
      </c>
      <c r="D237" s="30" t="n">
        <v>29800</v>
      </c>
      <c r="E237" s="30" t="n">
        <v>30550</v>
      </c>
      <c r="F237" s="30" t="n">
        <v>29842.26953125</v>
      </c>
      <c r="G237" s="30" t="n">
        <v>176486</v>
      </c>
      <c r="H237" s="35" t="n">
        <v>0.004934210526315708</v>
      </c>
      <c r="I237" s="35" t="n">
        <v>-0.08258258258258255</v>
      </c>
      <c r="J237" s="30" t="n">
        <v>30167.5</v>
      </c>
      <c r="K237" s="30" t="n">
        <v>29113.33333333333</v>
      </c>
      <c r="L237" s="30" t="n">
        <v>24999.58333333333</v>
      </c>
      <c r="M237" s="35" t="n">
        <v>0.455045468304274</v>
      </c>
      <c r="N237" s="35" t="n">
        <v>0.5297954479306947</v>
      </c>
      <c r="O237" s="35" t="n">
        <v>0</v>
      </c>
      <c r="P237" s="35" t="n">
        <v>0.3981693363844394</v>
      </c>
      <c r="Q237" s="35" t="n">
        <v>0.530561122244489</v>
      </c>
      <c r="R237" s="35" t="n">
        <v>0.01267920775669173</v>
      </c>
      <c r="S237" s="35" t="n">
        <v>0.04934737806274336</v>
      </c>
      <c r="T237" s="35" t="n">
        <v>0.2220203670061169</v>
      </c>
      <c r="U237" s="30" t="n">
        <v>33300</v>
      </c>
      <c r="V237" s="30" t="n">
        <v>17160</v>
      </c>
      <c r="W237" s="35" t="n">
        <v>-0.08258258258258255</v>
      </c>
      <c r="X237" s="35" t="n">
        <v>0.7803030303030303</v>
      </c>
      <c r="Y237" s="30" t="n">
        <v>28966714</v>
      </c>
      <c r="Z237" s="30" t="n">
        <v>884933112700</v>
      </c>
      <c r="AA237" s="30" t="n">
        <v>5391647300</v>
      </c>
      <c r="AB237" s="30" t="n">
        <v>8345360185</v>
      </c>
      <c r="AC237" s="35" t="n">
        <v>0.006092717316848574</v>
      </c>
      <c r="AD237" s="24" t="inlineStr">
        <is>
          <t>yfinance_download</t>
        </is>
      </c>
      <c r="AE237" s="24" t="inlineStr">
        <is>
          <t>319660.KQ</t>
        </is>
      </c>
    </row>
    <row r="238" ht="24" customHeight="1">
      <c r="A238" s="29" t="inlineStr">
        <is>
          <t>2024-05-28</t>
        </is>
      </c>
      <c r="B238" s="31" t="n">
        <v>30650</v>
      </c>
      <c r="C238" s="31" t="n">
        <v>32600</v>
      </c>
      <c r="D238" s="31" t="n">
        <v>30300</v>
      </c>
      <c r="E238" s="31" t="n">
        <v>31900</v>
      </c>
      <c r="F238" s="31" t="n">
        <v>31160.99609375</v>
      </c>
      <c r="G238" s="31" t="n">
        <v>413777</v>
      </c>
      <c r="H238" s="36" t="n">
        <v>0.04418985270049092</v>
      </c>
      <c r="I238" s="36" t="n">
        <v>-0.04204204204204209</v>
      </c>
      <c r="J238" s="31" t="n">
        <v>30257.5</v>
      </c>
      <c r="K238" s="31" t="n">
        <v>29273.33333333333</v>
      </c>
      <c r="L238" s="31" t="n">
        <v>25096.66666666667</v>
      </c>
      <c r="M238" s="36" t="n">
        <v>0.4766503759288273</v>
      </c>
      <c r="N238" s="36" t="n">
        <v>0.534729650522961</v>
      </c>
      <c r="O238" s="36" t="n">
        <v>0.05980066445182719</v>
      </c>
      <c r="P238" s="36" t="n">
        <v>0.4304932735426008</v>
      </c>
      <c r="Q238" s="36" t="n">
        <v>0.5753086419753086</v>
      </c>
      <c r="R238" s="36" t="n">
        <v>0.05428406180285883</v>
      </c>
      <c r="S238" s="36" t="n">
        <v>0.08972899111819643</v>
      </c>
      <c r="T238" s="36" t="n">
        <v>0.2710851374684553</v>
      </c>
      <c r="U238" s="31" t="n">
        <v>33300</v>
      </c>
      <c r="V238" s="31" t="n">
        <v>17160</v>
      </c>
      <c r="W238" s="36" t="n">
        <v>-0.04204204204204209</v>
      </c>
      <c r="X238" s="36" t="n">
        <v>0.858974358974359</v>
      </c>
      <c r="Y238" s="31" t="n">
        <v>28966714</v>
      </c>
      <c r="Z238" s="31" t="n">
        <v>924038176600</v>
      </c>
      <c r="AA238" s="31" t="n">
        <v>13199486300</v>
      </c>
      <c r="AB238" s="31" t="n">
        <v>8639867825</v>
      </c>
      <c r="AC238" s="36" t="n">
        <v>0.01428456814259291</v>
      </c>
      <c r="AD238" s="29" t="inlineStr">
        <is>
          <t>yfinance_download</t>
        </is>
      </c>
      <c r="AE238" s="29" t="inlineStr">
        <is>
          <t>319660.KQ</t>
        </is>
      </c>
    </row>
    <row r="239" ht="24" customHeight="1">
      <c r="A239" s="24" t="inlineStr">
        <is>
          <t>2024-05-29</t>
        </is>
      </c>
      <c r="B239" s="30" t="n">
        <v>31900</v>
      </c>
      <c r="C239" s="30" t="n">
        <v>32200</v>
      </c>
      <c r="D239" s="30" t="n">
        <v>31500</v>
      </c>
      <c r="E239" s="30" t="n">
        <v>31750</v>
      </c>
      <c r="F239" s="30" t="n">
        <v>31014.47265625</v>
      </c>
      <c r="G239" s="30" t="n">
        <v>146900</v>
      </c>
      <c r="H239" s="35" t="n">
        <v>-0.00470219435736674</v>
      </c>
      <c r="I239" s="35" t="n">
        <v>-0.04654654654654655</v>
      </c>
      <c r="J239" s="30" t="n">
        <v>30342.5</v>
      </c>
      <c r="K239" s="30" t="n">
        <v>29420</v>
      </c>
      <c r="L239" s="30" t="n">
        <v>25193.33333333333</v>
      </c>
      <c r="M239" s="35" t="n">
        <v>0.4771941209572495</v>
      </c>
      <c r="N239" s="35" t="n">
        <v>0.5331113901925502</v>
      </c>
      <c r="O239" s="35" t="n">
        <v>0.05657237936772042</v>
      </c>
      <c r="P239" s="35" t="n">
        <v>0.383442265795207</v>
      </c>
      <c r="Q239" s="35" t="n">
        <v>0.5756823821339951</v>
      </c>
      <c r="R239" s="35" t="n">
        <v>0.04638708082722265</v>
      </c>
      <c r="S239" s="35" t="n">
        <v>0.0791978246091094</v>
      </c>
      <c r="T239" s="35" t="n">
        <v>0.2602540354591163</v>
      </c>
      <c r="U239" s="30" t="n">
        <v>33300</v>
      </c>
      <c r="V239" s="30" t="n">
        <v>17160</v>
      </c>
      <c r="W239" s="35" t="n">
        <v>-0.04654654654654655</v>
      </c>
      <c r="X239" s="35" t="n">
        <v>0.8502331002331003</v>
      </c>
      <c r="Y239" s="30" t="n">
        <v>28966714</v>
      </c>
      <c r="Z239" s="30" t="n">
        <v>919693169500</v>
      </c>
      <c r="AA239" s="30" t="n">
        <v>4664075000</v>
      </c>
      <c r="AB239" s="30" t="n">
        <v>8499272112.5</v>
      </c>
      <c r="AC239" s="35" t="n">
        <v>0.005071338088262272</v>
      </c>
      <c r="AD239" s="24" t="inlineStr">
        <is>
          <t>yfinance_download</t>
        </is>
      </c>
      <c r="AE239" s="24" t="inlineStr">
        <is>
          <t>319660.KQ</t>
        </is>
      </c>
    </row>
    <row r="240" ht="24" customHeight="1">
      <c r="A240" s="29" t="inlineStr">
        <is>
          <t>2024-05-30</t>
        </is>
      </c>
      <c r="B240" s="31" t="n">
        <v>31700</v>
      </c>
      <c r="C240" s="31" t="n">
        <v>32550</v>
      </c>
      <c r="D240" s="31" t="n">
        <v>30900</v>
      </c>
      <c r="E240" s="31" t="n">
        <v>31250</v>
      </c>
      <c r="F240" s="31" t="n">
        <v>30526.0546875</v>
      </c>
      <c r="G240" s="31" t="n">
        <v>195152</v>
      </c>
      <c r="H240" s="36" t="n">
        <v>-0.01574803149606296</v>
      </c>
      <c r="I240" s="36" t="n">
        <v>-0.06156156156156156</v>
      </c>
      <c r="J240" s="31" t="n">
        <v>30412.5</v>
      </c>
      <c r="K240" s="31" t="n">
        <v>29517.5</v>
      </c>
      <c r="L240" s="31" t="n">
        <v>25288.41666666667</v>
      </c>
      <c r="M240" s="36" t="n">
        <v>0.4807558034664638</v>
      </c>
      <c r="N240" s="36" t="n">
        <v>0.4916955661329199</v>
      </c>
      <c r="O240" s="36" t="n">
        <v>0.04690117252931314</v>
      </c>
      <c r="P240" s="36" t="n">
        <v>0.2303149606299213</v>
      </c>
      <c r="Q240" s="36" t="n">
        <v>0.575100806451613</v>
      </c>
      <c r="R240" s="36" t="n">
        <v>0.0275380189066996</v>
      </c>
      <c r="S240" s="36" t="n">
        <v>0.05869399508765993</v>
      </c>
      <c r="T240" s="36" t="n">
        <v>0.2357436375679247</v>
      </c>
      <c r="U240" s="31" t="n">
        <v>33300</v>
      </c>
      <c r="V240" s="31" t="n">
        <v>17160</v>
      </c>
      <c r="W240" s="36" t="n">
        <v>-0.06156156156156156</v>
      </c>
      <c r="X240" s="36" t="n">
        <v>0.8210955710955712</v>
      </c>
      <c r="Y240" s="31" t="n">
        <v>28966714</v>
      </c>
      <c r="Z240" s="31" t="n">
        <v>905209812500</v>
      </c>
      <c r="AA240" s="31" t="n">
        <v>6098500000</v>
      </c>
      <c r="AB240" s="31" t="n">
        <v>8349577135</v>
      </c>
      <c r="AC240" s="36" t="n">
        <v>0.00673711212117467</v>
      </c>
      <c r="AD240" s="29" t="inlineStr">
        <is>
          <t>yfinance_download</t>
        </is>
      </c>
      <c r="AE240" s="29" t="inlineStr">
        <is>
          <t>319660.KQ</t>
        </is>
      </c>
    </row>
    <row r="241" ht="24" customHeight="1">
      <c r="A241" s="24" t="inlineStr">
        <is>
          <t>2024-05-31</t>
        </is>
      </c>
      <c r="B241" s="30" t="n">
        <v>31500</v>
      </c>
      <c r="C241" s="30" t="n">
        <v>31750</v>
      </c>
      <c r="D241" s="30" t="n">
        <v>31000</v>
      </c>
      <c r="E241" s="30" t="n">
        <v>31750</v>
      </c>
      <c r="F241" s="30" t="n">
        <v>31014.47265625</v>
      </c>
      <c r="G241" s="30" t="n">
        <v>161235</v>
      </c>
      <c r="H241" s="35" t="n">
        <v>0.01600000000000001</v>
      </c>
      <c r="I241" s="35" t="n">
        <v>-0.04654654654654655</v>
      </c>
      <c r="J241" s="30" t="n">
        <v>30515</v>
      </c>
      <c r="K241" s="30" t="n">
        <v>29608.33333333333</v>
      </c>
      <c r="L241" s="30" t="n">
        <v>25389.83333333333</v>
      </c>
      <c r="M241" s="35" t="n">
        <v>0.4820560834294753</v>
      </c>
      <c r="N241" s="35" t="n">
        <v>0.4879752330488242</v>
      </c>
      <c r="O241" s="35" t="n">
        <v>0.06902356902356899</v>
      </c>
      <c r="P241" s="35" t="n">
        <v>0.2072243346007605</v>
      </c>
      <c r="Q241" s="35" t="n">
        <v>0.6215526046986721</v>
      </c>
      <c r="R241" s="35" t="n">
        <v>0.0404718990660331</v>
      </c>
      <c r="S241" s="35" t="n">
        <v>0.0723332395159022</v>
      </c>
      <c r="T241" s="35" t="n">
        <v>0.2505005284267325</v>
      </c>
      <c r="U241" s="30" t="n">
        <v>33300</v>
      </c>
      <c r="V241" s="30" t="n">
        <v>17160</v>
      </c>
      <c r="W241" s="35" t="n">
        <v>-0.04654654654654655</v>
      </c>
      <c r="X241" s="35" t="n">
        <v>0.8502331002331003</v>
      </c>
      <c r="Y241" s="30" t="n">
        <v>28966714</v>
      </c>
      <c r="Z241" s="30" t="n">
        <v>919693169500</v>
      </c>
      <c r="AA241" s="30" t="n">
        <v>5119211250</v>
      </c>
      <c r="AB241" s="30" t="n">
        <v>8124146732.5</v>
      </c>
      <c r="AC241" s="35" t="n">
        <v>0.005566216451061726</v>
      </c>
      <c r="AD241" s="24" t="inlineStr">
        <is>
          <t>yfinance_download</t>
        </is>
      </c>
      <c r="AE241" s="24" t="inlineStr">
        <is>
          <t>319660.KQ</t>
        </is>
      </c>
    </row>
    <row r="242" ht="24" customHeight="1">
      <c r="A242" s="29" t="inlineStr">
        <is>
          <t>2024-06-03</t>
        </is>
      </c>
      <c r="B242" s="31" t="n">
        <v>32000</v>
      </c>
      <c r="C242" s="31" t="n">
        <v>32200</v>
      </c>
      <c r="D242" s="31" t="n">
        <v>30650</v>
      </c>
      <c r="E242" s="31" t="n">
        <v>31800</v>
      </c>
      <c r="F242" s="31" t="n">
        <v>31063.3125</v>
      </c>
      <c r="G242" s="31" t="n">
        <v>200170</v>
      </c>
      <c r="H242" s="36" t="n">
        <v>0.001574803149606341</v>
      </c>
      <c r="I242" s="36" t="n">
        <v>-0.04504504504504503</v>
      </c>
      <c r="J242" s="31" t="n">
        <v>30610</v>
      </c>
      <c r="K242" s="31" t="n">
        <v>29695.83333333333</v>
      </c>
      <c r="L242" s="31" t="n">
        <v>25491.5</v>
      </c>
      <c r="M242" s="36" t="n">
        <v>0.4819829681218731</v>
      </c>
      <c r="N242" s="36" t="n">
        <v>0.4878358780126149</v>
      </c>
      <c r="O242" s="36" t="n">
        <v>0.0635451505016722</v>
      </c>
      <c r="P242" s="36" t="n">
        <v>0.1977401129943503</v>
      </c>
      <c r="Q242" s="36" t="n">
        <v>0.6224489795918366</v>
      </c>
      <c r="R242" s="36" t="n">
        <v>0.03887618425351191</v>
      </c>
      <c r="S242" s="36" t="n">
        <v>0.07085730321313322</v>
      </c>
      <c r="T242" s="36" t="n">
        <v>0.2474746484122159</v>
      </c>
      <c r="U242" s="31" t="n">
        <v>33300</v>
      </c>
      <c r="V242" s="31" t="n">
        <v>17160</v>
      </c>
      <c r="W242" s="36" t="n">
        <v>-0.04504504504504503</v>
      </c>
      <c r="X242" s="36" t="n">
        <v>0.8531468531468531</v>
      </c>
      <c r="Y242" s="31" t="n">
        <v>28966714</v>
      </c>
      <c r="Z242" s="31" t="n">
        <v>921141505200</v>
      </c>
      <c r="AA242" s="31" t="n">
        <v>6365406000</v>
      </c>
      <c r="AB242" s="31" t="n">
        <v>8209741212.5</v>
      </c>
      <c r="AC242" s="36" t="n">
        <v>0.006910345439941859</v>
      </c>
      <c r="AD242" s="29" t="inlineStr">
        <is>
          <t>yfinance_download</t>
        </is>
      </c>
      <c r="AE242" s="29" t="inlineStr">
        <is>
          <t>319660.KQ</t>
        </is>
      </c>
    </row>
    <row r="243" ht="24" customHeight="1">
      <c r="A243" s="24" t="inlineStr">
        <is>
          <t>2024-06-04</t>
        </is>
      </c>
      <c r="B243" s="30" t="n">
        <v>31900</v>
      </c>
      <c r="C243" s="30" t="n">
        <v>32150</v>
      </c>
      <c r="D243" s="30" t="n">
        <v>30500</v>
      </c>
      <c r="E243" s="30" t="n">
        <v>30550</v>
      </c>
      <c r="F243" s="30" t="n">
        <v>29842.26953125</v>
      </c>
      <c r="G243" s="30" t="n">
        <v>212689</v>
      </c>
      <c r="H243" s="35" t="n">
        <v>-0.03930817610062898</v>
      </c>
      <c r="I243" s="35" t="n">
        <v>-0.08258258258258255</v>
      </c>
      <c r="J243" s="30" t="n">
        <v>30660</v>
      </c>
      <c r="K243" s="30" t="n">
        <v>29767.5</v>
      </c>
      <c r="L243" s="30" t="n">
        <v>25585</v>
      </c>
      <c r="M243" s="35" t="n">
        <v>0.5030393409979877</v>
      </c>
      <c r="N243" s="35" t="n">
        <v>0.4947845271714766</v>
      </c>
      <c r="O243" s="35" t="n">
        <v>0.03384094754653133</v>
      </c>
      <c r="P243" s="35" t="n">
        <v>0.1638095238095238</v>
      </c>
      <c r="Q243" s="35" t="n">
        <v>0.5804449042938438</v>
      </c>
      <c r="R243" s="35" t="n">
        <v>-0.003587736464448765</v>
      </c>
      <c r="S243" s="35" t="n">
        <v>0.02628705803308984</v>
      </c>
      <c r="T243" s="35" t="n">
        <v>0.1940590189564197</v>
      </c>
      <c r="U243" s="30" t="n">
        <v>33300</v>
      </c>
      <c r="V243" s="30" t="n">
        <v>17160</v>
      </c>
      <c r="W243" s="35" t="n">
        <v>-0.08258258258258255</v>
      </c>
      <c r="X243" s="35" t="n">
        <v>0.7803030303030303</v>
      </c>
      <c r="Y243" s="30" t="n">
        <v>28966714</v>
      </c>
      <c r="Z243" s="30" t="n">
        <v>884933112700</v>
      </c>
      <c r="AA243" s="30" t="n">
        <v>6497648950</v>
      </c>
      <c r="AB243" s="30" t="n">
        <v>8248208807.5</v>
      </c>
      <c r="AC243" s="35" t="n">
        <v>0.007342531154897307</v>
      </c>
      <c r="AD243" s="24" t="inlineStr">
        <is>
          <t>yfinance_download</t>
        </is>
      </c>
      <c r="AE243" s="24" t="inlineStr">
        <is>
          <t>319660.KQ</t>
        </is>
      </c>
    </row>
    <row r="244" ht="24" customHeight="1">
      <c r="A244" s="29" t="inlineStr">
        <is>
          <t>2024-06-05</t>
        </is>
      </c>
      <c r="B244" s="31" t="n">
        <v>31150</v>
      </c>
      <c r="C244" s="31" t="n">
        <v>32050</v>
      </c>
      <c r="D244" s="31" t="n">
        <v>30650</v>
      </c>
      <c r="E244" s="31" t="n">
        <v>30950</v>
      </c>
      <c r="F244" s="31" t="n">
        <v>30233.00390625</v>
      </c>
      <c r="G244" s="31" t="n">
        <v>265398</v>
      </c>
      <c r="H244" s="36" t="n">
        <v>0.01309328968903434</v>
      </c>
      <c r="I244" s="36" t="n">
        <v>-0.07057057057057059</v>
      </c>
      <c r="J244" s="31" t="n">
        <v>30702.5</v>
      </c>
      <c r="K244" s="31" t="n">
        <v>29851.66666666667</v>
      </c>
      <c r="L244" s="31" t="n">
        <v>25682.33333333333</v>
      </c>
      <c r="M244" s="36" t="n">
        <v>0.5010182780664371</v>
      </c>
      <c r="N244" s="36" t="n">
        <v>0.4940219065918965</v>
      </c>
      <c r="O244" s="36" t="n">
        <v>0.02823920265780733</v>
      </c>
      <c r="P244" s="36" t="n">
        <v>0.1949806949806949</v>
      </c>
      <c r="Q244" s="36" t="n">
        <v>0.6061235080435912</v>
      </c>
      <c r="R244" s="36" t="n">
        <v>0.008061232798632023</v>
      </c>
      <c r="S244" s="36" t="n">
        <v>0.03679303221483998</v>
      </c>
      <c r="T244" s="36" t="n">
        <v>0.2051085700935793</v>
      </c>
      <c r="U244" s="31" t="n">
        <v>33300</v>
      </c>
      <c r="V244" s="31" t="n">
        <v>17160</v>
      </c>
      <c r="W244" s="36" t="n">
        <v>-0.07057057057057059</v>
      </c>
      <c r="X244" s="36" t="n">
        <v>0.8036130536130537</v>
      </c>
      <c r="Y244" s="31" t="n">
        <v>28966714</v>
      </c>
      <c r="Z244" s="31" t="n">
        <v>896519798300</v>
      </c>
      <c r="AA244" s="31" t="n">
        <v>8214068100</v>
      </c>
      <c r="AB244" s="31" t="n">
        <v>8307127492.5</v>
      </c>
      <c r="AC244" s="36" t="n">
        <v>0.009162171449616273</v>
      </c>
      <c r="AD244" s="29" t="inlineStr">
        <is>
          <t>yfinance_download</t>
        </is>
      </c>
      <c r="AE244" s="29" t="inlineStr">
        <is>
          <t>319660.KQ</t>
        </is>
      </c>
    </row>
    <row r="245" ht="24" customHeight="1">
      <c r="A245" s="24" t="inlineStr">
        <is>
          <t>2024-06-07</t>
        </is>
      </c>
      <c r="B245" s="30" t="n">
        <v>30950</v>
      </c>
      <c r="C245" s="30" t="n">
        <v>34150</v>
      </c>
      <c r="D245" s="30" t="n">
        <v>30900</v>
      </c>
      <c r="E245" s="30" t="n">
        <v>33500</v>
      </c>
      <c r="F245" s="30" t="n">
        <v>32723.9296875</v>
      </c>
      <c r="G245" s="30" t="n">
        <v>952222</v>
      </c>
      <c r="H245" s="35" t="n">
        <v>0.08239095315024225</v>
      </c>
      <c r="I245" s="35" t="n">
        <v>0</v>
      </c>
      <c r="J245" s="30" t="n">
        <v>30882.5</v>
      </c>
      <c r="K245" s="30" t="n">
        <v>29977.5</v>
      </c>
      <c r="L245" s="30" t="n">
        <v>25800.5</v>
      </c>
      <c r="M245" s="35" t="n">
        <v>0.5751792163614795</v>
      </c>
      <c r="N245" s="35" t="n">
        <v>0.5198173010299307</v>
      </c>
      <c r="O245" s="35" t="n">
        <v>0.1204013377926421</v>
      </c>
      <c r="P245" s="35" t="n">
        <v>0.2909441233140655</v>
      </c>
      <c r="Q245" s="35" t="n">
        <v>0.7339544513457557</v>
      </c>
      <c r="R245" s="35" t="n">
        <v>0.08475673925362259</v>
      </c>
      <c r="S245" s="35" t="n">
        <v>0.1175047952631141</v>
      </c>
      <c r="T245" s="35" t="n">
        <v>0.2984244491385826</v>
      </c>
      <c r="U245" s="30" t="n">
        <v>33500</v>
      </c>
      <c r="V245" s="30" t="n">
        <v>17160</v>
      </c>
      <c r="W245" s="35" t="n">
        <v>0</v>
      </c>
      <c r="X245" s="35" t="n">
        <v>0.9522144522144522</v>
      </c>
      <c r="Y245" s="30" t="n">
        <v>28966714</v>
      </c>
      <c r="Z245" s="30" t="n">
        <v>970384919000</v>
      </c>
      <c r="AA245" s="30" t="n">
        <v>31899437000</v>
      </c>
      <c r="AB245" s="30" t="n">
        <v>9755592332.5</v>
      </c>
      <c r="AC245" s="35" t="n">
        <v>0.03287297275072347</v>
      </c>
      <c r="AD245" s="24" t="inlineStr">
        <is>
          <t>yfinance_download</t>
        </is>
      </c>
      <c r="AE245" s="24" t="inlineStr">
        <is>
          <t>319660.KQ</t>
        </is>
      </c>
    </row>
    <row r="246" ht="24" customHeight="1">
      <c r="A246" s="29" t="inlineStr">
        <is>
          <t>2024-06-10</t>
        </is>
      </c>
      <c r="B246" s="31" t="n">
        <v>33400</v>
      </c>
      <c r="C246" s="31" t="n">
        <v>34450</v>
      </c>
      <c r="D246" s="31" t="n">
        <v>32950</v>
      </c>
      <c r="E246" s="31" t="n">
        <v>33850</v>
      </c>
      <c r="F246" s="31" t="n">
        <v>33065.8203125</v>
      </c>
      <c r="G246" s="31" t="n">
        <v>330976</v>
      </c>
      <c r="H246" s="36" t="n">
        <v>0.0104477611940299</v>
      </c>
      <c r="I246" s="36" t="n">
        <v>0</v>
      </c>
      <c r="J246" s="31" t="n">
        <v>31115</v>
      </c>
      <c r="K246" s="31" t="n">
        <v>30118.33333333333</v>
      </c>
      <c r="L246" s="31" t="n">
        <v>25918.83333333333</v>
      </c>
      <c r="M246" s="36" t="n">
        <v>0.5644336341167371</v>
      </c>
      <c r="N246" s="36" t="n">
        <v>0.5171013787583382</v>
      </c>
      <c r="O246" s="36" t="n">
        <v>0.1592465753424657</v>
      </c>
      <c r="P246" s="36" t="n">
        <v>0.3326771653543308</v>
      </c>
      <c r="Q246" s="36" t="n">
        <v>0.72264631043257</v>
      </c>
      <c r="R246" s="36" t="n">
        <v>0.0878997268198618</v>
      </c>
      <c r="S246" s="36" t="n">
        <v>0.1239001715455703</v>
      </c>
      <c r="T246" s="36" t="n">
        <v>0.3060001414672728</v>
      </c>
      <c r="U246" s="31" t="n">
        <v>33850</v>
      </c>
      <c r="V246" s="31" t="n">
        <v>17160</v>
      </c>
      <c r="W246" s="36" t="n">
        <v>0</v>
      </c>
      <c r="X246" s="36" t="n">
        <v>0.9726107226107226</v>
      </c>
      <c r="Y246" s="31" t="n">
        <v>28966714</v>
      </c>
      <c r="Z246" s="31" t="n">
        <v>980523268900</v>
      </c>
      <c r="AA246" s="31" t="n">
        <v>11203537600</v>
      </c>
      <c r="AB246" s="31" t="n">
        <v>9970401832.5</v>
      </c>
      <c r="AC246" s="36" t="n">
        <v>0.01142608029340159</v>
      </c>
      <c r="AD246" s="29" t="inlineStr">
        <is>
          <t>yfinance_download</t>
        </is>
      </c>
      <c r="AE246" s="29" t="inlineStr">
        <is>
          <t>319660.KQ</t>
        </is>
      </c>
    </row>
    <row r="247" ht="24" customHeight="1">
      <c r="A247" s="24" t="inlineStr">
        <is>
          <t>2024-06-11</t>
        </is>
      </c>
      <c r="B247" s="30" t="n">
        <v>34200</v>
      </c>
      <c r="C247" s="30" t="n">
        <v>34300</v>
      </c>
      <c r="D247" s="30" t="n">
        <v>32700</v>
      </c>
      <c r="E247" s="30" t="n">
        <v>32850</v>
      </c>
      <c r="F247" s="30" t="n">
        <v>32088.98828125</v>
      </c>
      <c r="G247" s="30" t="n">
        <v>218974</v>
      </c>
      <c r="H247" s="35" t="n">
        <v>-0.02954209748892167</v>
      </c>
      <c r="I247" s="35" t="n">
        <v>-0.02954209748892167</v>
      </c>
      <c r="J247" s="30" t="n">
        <v>31365</v>
      </c>
      <c r="K247" s="30" t="n">
        <v>30224.16666666667</v>
      </c>
      <c r="L247" s="30" t="n">
        <v>26025.08333333333</v>
      </c>
      <c r="M247" s="35" t="n">
        <v>0.5459712122284248</v>
      </c>
      <c r="N247" s="35" t="n">
        <v>0.5157876007004782</v>
      </c>
      <c r="O247" s="35" t="n">
        <v>0.1795332136445242</v>
      </c>
      <c r="P247" s="35" t="n">
        <v>0.239622641509434</v>
      </c>
      <c r="Q247" s="35" t="n">
        <v>0.6343283582089552</v>
      </c>
      <c r="R247" s="35" t="n">
        <v>0.04734576757532283</v>
      </c>
      <c r="S247" s="35" t="n">
        <v>0.08687860156056137</v>
      </c>
      <c r="T247" s="35" t="n">
        <v>0.2622437968498341</v>
      </c>
      <c r="U247" s="30" t="n">
        <v>33850</v>
      </c>
      <c r="V247" s="30" t="n">
        <v>17160</v>
      </c>
      <c r="W247" s="35" t="n">
        <v>-0.02954209748892167</v>
      </c>
      <c r="X247" s="35" t="n">
        <v>0.9143356643356644</v>
      </c>
      <c r="Y247" s="30" t="n">
        <v>28966714</v>
      </c>
      <c r="Z247" s="30" t="n">
        <v>951556554900</v>
      </c>
      <c r="AA247" s="30" t="n">
        <v>7193295900</v>
      </c>
      <c r="AB247" s="30" t="n">
        <v>9742342507.5</v>
      </c>
      <c r="AC247" s="35" t="n">
        <v>0.007559504333145969</v>
      </c>
      <c r="AD247" s="24" t="inlineStr">
        <is>
          <t>yfinance_download</t>
        </is>
      </c>
      <c r="AE247" s="24" t="inlineStr">
        <is>
          <t>319660.KQ</t>
        </is>
      </c>
    </row>
    <row r="248" ht="24" customHeight="1">
      <c r="A248" s="29" t="inlineStr">
        <is>
          <t>2024-06-12</t>
        </is>
      </c>
      <c r="B248" s="31" t="n">
        <v>33050</v>
      </c>
      <c r="C248" s="31" t="n">
        <v>33600</v>
      </c>
      <c r="D248" s="31" t="n">
        <v>32450</v>
      </c>
      <c r="E248" s="31" t="n">
        <v>33400</v>
      </c>
      <c r="F248" s="31" t="n">
        <v>32626.248046875</v>
      </c>
      <c r="G248" s="31" t="n">
        <v>215995</v>
      </c>
      <c r="H248" s="36" t="n">
        <v>0.01674277016742765</v>
      </c>
      <c r="I248" s="36" t="n">
        <v>-0.01329394387001481</v>
      </c>
      <c r="J248" s="31" t="n">
        <v>31612.5</v>
      </c>
      <c r="K248" s="31" t="n">
        <v>30339.16666666667</v>
      </c>
      <c r="L248" s="31" t="n">
        <v>26134.25</v>
      </c>
      <c r="M248" s="36" t="n">
        <v>0.544753370613607</v>
      </c>
      <c r="N248" s="36" t="n">
        <v>0.5163608610739295</v>
      </c>
      <c r="O248" s="36" t="n">
        <v>0.1739894551845342</v>
      </c>
      <c r="P248" s="36" t="n">
        <v>0.260377358490566</v>
      </c>
      <c r="Q248" s="36" t="n">
        <v>0.645320197044335</v>
      </c>
      <c r="R248" s="36" t="n">
        <v>0.05654408857255833</v>
      </c>
      <c r="S248" s="36" t="n">
        <v>0.1008871920235119</v>
      </c>
      <c r="T248" s="36" t="n">
        <v>0.2780163961085549</v>
      </c>
      <c r="U248" s="31" t="n">
        <v>33850</v>
      </c>
      <c r="V248" s="31" t="n">
        <v>17160</v>
      </c>
      <c r="W248" s="36" t="n">
        <v>-0.01329394387001481</v>
      </c>
      <c r="X248" s="36" t="n">
        <v>0.9463869463869463</v>
      </c>
      <c r="Y248" s="31" t="n">
        <v>28966714</v>
      </c>
      <c r="Z248" s="31" t="n">
        <v>967488247600</v>
      </c>
      <c r="AA248" s="31" t="n">
        <v>7214233000</v>
      </c>
      <c r="AB248" s="31" t="n">
        <v>9769788012.5</v>
      </c>
      <c r="AC248" s="36" t="n">
        <v>0.007456662153670589</v>
      </c>
      <c r="AD248" s="29" t="inlineStr">
        <is>
          <t>yfinance_download</t>
        </is>
      </c>
      <c r="AE248" s="29" t="inlineStr">
        <is>
          <t>319660.KQ</t>
        </is>
      </c>
    </row>
    <row r="249" ht="24" customHeight="1">
      <c r="A249" s="24" t="inlineStr">
        <is>
          <t>2024-06-13</t>
        </is>
      </c>
      <c r="B249" s="30" t="n">
        <v>33900</v>
      </c>
      <c r="C249" s="30" t="n">
        <v>34050</v>
      </c>
      <c r="D249" s="30" t="n">
        <v>33200</v>
      </c>
      <c r="E249" s="30" t="n">
        <v>33300</v>
      </c>
      <c r="F249" s="30" t="n">
        <v>32528.5625</v>
      </c>
      <c r="G249" s="30" t="n">
        <v>315078</v>
      </c>
      <c r="H249" s="35" t="n">
        <v>-0.002994011976047872</v>
      </c>
      <c r="I249" s="35" t="n">
        <v>-0.01624815361890697</v>
      </c>
      <c r="J249" s="30" t="n">
        <v>31855</v>
      </c>
      <c r="K249" s="30" t="n">
        <v>30460.83333333333</v>
      </c>
      <c r="L249" s="30" t="n">
        <v>26240.91666666667</v>
      </c>
      <c r="M249" s="35" t="n">
        <v>0.5454829782730528</v>
      </c>
      <c r="N249" s="35" t="n">
        <v>0.514329903880786</v>
      </c>
      <c r="O249" s="35" t="n">
        <v>0.1704745166959578</v>
      </c>
      <c r="P249" s="35" t="n">
        <v>0.2807692307692307</v>
      </c>
      <c r="Q249" s="35" t="n">
        <v>0.6243902439024391</v>
      </c>
      <c r="R249" s="35" t="n">
        <v>0.0453617956364778</v>
      </c>
      <c r="S249" s="35" t="n">
        <v>0.09320712390227892</v>
      </c>
      <c r="T249" s="35" t="n">
        <v>0.2690105465065689</v>
      </c>
      <c r="U249" s="30" t="n">
        <v>33850</v>
      </c>
      <c r="V249" s="30" t="n">
        <v>17160</v>
      </c>
      <c r="W249" s="35" t="n">
        <v>-0.01624815361890697</v>
      </c>
      <c r="X249" s="35" t="n">
        <v>0.9405594405594406</v>
      </c>
      <c r="Y249" s="30" t="n">
        <v>28966714</v>
      </c>
      <c r="Z249" s="30" t="n">
        <v>964591576200</v>
      </c>
      <c r="AA249" s="30" t="n">
        <v>10492097400</v>
      </c>
      <c r="AB249" s="30" t="n">
        <v>10042860742.5</v>
      </c>
      <c r="AC249" s="35" t="n">
        <v>0.01087724344570116</v>
      </c>
      <c r="AD249" s="24" t="inlineStr">
        <is>
          <t>yfinance_download</t>
        </is>
      </c>
      <c r="AE249" s="24" t="inlineStr">
        <is>
          <t>319660.KQ</t>
        </is>
      </c>
    </row>
    <row r="250" ht="24" customHeight="1">
      <c r="A250" s="29" t="inlineStr">
        <is>
          <t>2024-06-14</t>
        </is>
      </c>
      <c r="B250" s="31" t="n">
        <v>33650</v>
      </c>
      <c r="C250" s="31" t="n">
        <v>34000</v>
      </c>
      <c r="D250" s="31" t="n">
        <v>32650</v>
      </c>
      <c r="E250" s="31" t="n">
        <v>33250</v>
      </c>
      <c r="F250" s="31" t="n">
        <v>32479.720703125</v>
      </c>
      <c r="G250" s="31" t="n">
        <v>271766</v>
      </c>
      <c r="H250" s="36" t="n">
        <v>-0.001501501501501523</v>
      </c>
      <c r="I250" s="36" t="n">
        <v>-0.01772525849335305</v>
      </c>
      <c r="J250" s="31" t="n">
        <v>31955</v>
      </c>
      <c r="K250" s="31" t="n">
        <v>30573.33333333333</v>
      </c>
      <c r="L250" s="31" t="n">
        <v>26345.08333333333</v>
      </c>
      <c r="M250" s="36" t="n">
        <v>0.4299673657439661</v>
      </c>
      <c r="N250" s="36" t="n">
        <v>0.5135719840098588</v>
      </c>
      <c r="O250" s="36" t="n">
        <v>0.06400000000000006</v>
      </c>
      <c r="P250" s="36" t="n">
        <v>0.2547169811320755</v>
      </c>
      <c r="Q250" s="36" t="n">
        <v>0.6024096385542168</v>
      </c>
      <c r="R250" s="36" t="n">
        <v>0.04052573932091996</v>
      </c>
      <c r="S250" s="36" t="n">
        <v>0.08754906236371562</v>
      </c>
      <c r="T250" s="36" t="n">
        <v>0.2620950778291966</v>
      </c>
      <c r="U250" s="31" t="n">
        <v>33850</v>
      </c>
      <c r="V250" s="31" t="n">
        <v>17160</v>
      </c>
      <c r="W250" s="36" t="n">
        <v>-0.01772525849335305</v>
      </c>
      <c r="X250" s="36" t="n">
        <v>0.9376456876456876</v>
      </c>
      <c r="Y250" s="31" t="n">
        <v>28966714</v>
      </c>
      <c r="Z250" s="31" t="n">
        <v>963143240500</v>
      </c>
      <c r="AA250" s="31" t="n">
        <v>9036219500</v>
      </c>
      <c r="AB250" s="31" t="n">
        <v>9124270155</v>
      </c>
      <c r="AC250" s="36" t="n">
        <v>0.009382009985668379</v>
      </c>
      <c r="AD250" s="29" t="inlineStr">
        <is>
          <t>yfinance_download</t>
        </is>
      </c>
      <c r="AE250" s="29" t="inlineStr">
        <is>
          <t>319660.KQ</t>
        </is>
      </c>
    </row>
    <row r="251" ht="24" customHeight="1">
      <c r="A251" s="24" t="inlineStr">
        <is>
          <t>2024-06-17</t>
        </is>
      </c>
      <c r="B251" s="30" t="n">
        <v>33650</v>
      </c>
      <c r="C251" s="30" t="n">
        <v>35900</v>
      </c>
      <c r="D251" s="30" t="n">
        <v>33100</v>
      </c>
      <c r="E251" s="30" t="n">
        <v>33350</v>
      </c>
      <c r="F251" s="30" t="n">
        <v>32577.40625</v>
      </c>
      <c r="G251" s="30" t="n">
        <v>752964</v>
      </c>
      <c r="H251" s="35" t="n">
        <v>0.003007518796992459</v>
      </c>
      <c r="I251" s="35" t="n">
        <v>-0.01477104874446089</v>
      </c>
      <c r="J251" s="30" t="n">
        <v>32067.5</v>
      </c>
      <c r="K251" s="30" t="n">
        <v>30665</v>
      </c>
      <c r="L251" s="30" t="n">
        <v>26451.33333333333</v>
      </c>
      <c r="M251" s="35" t="n">
        <v>0.428872751448962</v>
      </c>
      <c r="N251" s="35" t="n">
        <v>0.5042860478997561</v>
      </c>
      <c r="O251" s="35" t="n">
        <v>0.07234726688102899</v>
      </c>
      <c r="P251" s="35" t="n">
        <v>0.1974865350089767</v>
      </c>
      <c r="Q251" s="35" t="n">
        <v>0.6189320388349515</v>
      </c>
      <c r="R251" s="35" t="n">
        <v>0.03999376315584313</v>
      </c>
      <c r="S251" s="35" t="n">
        <v>0.08755910647317799</v>
      </c>
      <c r="T251" s="35" t="n">
        <v>0.2608060085187893</v>
      </c>
      <c r="U251" s="30" t="n">
        <v>33850</v>
      </c>
      <c r="V251" s="30" t="n">
        <v>17160</v>
      </c>
      <c r="W251" s="35" t="n">
        <v>-0.01477104874446089</v>
      </c>
      <c r="X251" s="35" t="n">
        <v>0.9434731934731935</v>
      </c>
      <c r="Y251" s="30" t="n">
        <v>28966714</v>
      </c>
      <c r="Z251" s="30" t="n">
        <v>966039911900</v>
      </c>
      <c r="AA251" s="30" t="n">
        <v>25111349400</v>
      </c>
      <c r="AB251" s="30" t="n">
        <v>9922669180</v>
      </c>
      <c r="AC251" s="35" t="n">
        <v>0.02599411172423631</v>
      </c>
      <c r="AD251" s="24" t="inlineStr">
        <is>
          <t>yfinance_download</t>
        </is>
      </c>
      <c r="AE251" s="24" t="inlineStr">
        <is>
          <t>319660.KQ</t>
        </is>
      </c>
    </row>
    <row r="252" ht="24" customHeight="1">
      <c r="A252" s="29" t="inlineStr">
        <is>
          <t>2024-06-18</t>
        </is>
      </c>
      <c r="B252" s="31" t="n">
        <v>33900</v>
      </c>
      <c r="C252" s="31" t="n">
        <v>36400</v>
      </c>
      <c r="D252" s="31" t="n">
        <v>33900</v>
      </c>
      <c r="E252" s="31" t="n">
        <v>36100</v>
      </c>
      <c r="F252" s="31" t="n">
        <v>35263.6953125</v>
      </c>
      <c r="G252" s="31" t="n">
        <v>762778</v>
      </c>
      <c r="H252" s="36" t="n">
        <v>0.08245877061469264</v>
      </c>
      <c r="I252" s="36" t="n">
        <v>0</v>
      </c>
      <c r="J252" s="31" t="n">
        <v>32285</v>
      </c>
      <c r="K252" s="31" t="n">
        <v>30819.16666666667</v>
      </c>
      <c r="L252" s="31" t="n">
        <v>26577.58333333333</v>
      </c>
      <c r="M252" s="36" t="n">
        <v>0.5094505762035315</v>
      </c>
      <c r="N252" s="36" t="n">
        <v>0.5227897873689936</v>
      </c>
      <c r="O252" s="36" t="n">
        <v>0.1370078740157481</v>
      </c>
      <c r="P252" s="36" t="n">
        <v>0.3445065176908753</v>
      </c>
      <c r="Q252" s="36" t="n">
        <v>0.7231503579952268</v>
      </c>
      <c r="R252" s="36" t="n">
        <v>0.1181663311135202</v>
      </c>
      <c r="S252" s="36" t="n">
        <v>0.1713489981883567</v>
      </c>
      <c r="T252" s="36" t="n">
        <v>0.3582875292774927</v>
      </c>
      <c r="U252" s="31" t="n">
        <v>36100</v>
      </c>
      <c r="V252" s="31" t="n">
        <v>17160</v>
      </c>
      <c r="W252" s="36" t="n">
        <v>0</v>
      </c>
      <c r="X252" s="36" t="n">
        <v>1.103729603729604</v>
      </c>
      <c r="Y252" s="31" t="n">
        <v>28966714</v>
      </c>
      <c r="Z252" s="31" t="n">
        <v>1045698375400</v>
      </c>
      <c r="AA252" s="31" t="n">
        <v>27536285800</v>
      </c>
      <c r="AB252" s="31" t="n">
        <v>10860698470</v>
      </c>
      <c r="AC252" s="36" t="n">
        <v>0.02633291439270605</v>
      </c>
      <c r="AD252" s="29" t="inlineStr">
        <is>
          <t>yfinance_download</t>
        </is>
      </c>
      <c r="AE252" s="29" t="inlineStr">
        <is>
          <t>319660.KQ</t>
        </is>
      </c>
    </row>
    <row r="253" ht="24" customHeight="1">
      <c r="A253" s="24" t="inlineStr">
        <is>
          <t>2024-06-19</t>
        </is>
      </c>
      <c r="B253" s="30" t="n">
        <v>36750</v>
      </c>
      <c r="C253" s="30" t="n">
        <v>37100</v>
      </c>
      <c r="D253" s="30" t="n">
        <v>35050</v>
      </c>
      <c r="E253" s="30" t="n">
        <v>35400</v>
      </c>
      <c r="F253" s="30" t="n">
        <v>34579.9140625</v>
      </c>
      <c r="G253" s="30" t="n">
        <v>444832</v>
      </c>
      <c r="H253" s="35" t="n">
        <v>-0.01939058171745156</v>
      </c>
      <c r="I253" s="35" t="n">
        <v>-0.01939058171745156</v>
      </c>
      <c r="J253" s="30" t="n">
        <v>32455</v>
      </c>
      <c r="K253" s="30" t="n">
        <v>30963.33333333333</v>
      </c>
      <c r="L253" s="30" t="n">
        <v>26703</v>
      </c>
      <c r="M253" s="35" t="n">
        <v>0.517893252140443</v>
      </c>
      <c r="N253" s="35" t="n">
        <v>0.5249475985605719</v>
      </c>
      <c r="O253" s="35" t="n">
        <v>0.10625</v>
      </c>
      <c r="P253" s="35" t="n">
        <v>0.3233644859813085</v>
      </c>
      <c r="Q253" s="35" t="n">
        <v>0.7395577395577395</v>
      </c>
      <c r="R253" s="35" t="n">
        <v>0.09074102603604994</v>
      </c>
      <c r="S253" s="35" t="n">
        <v>0.1432877597157929</v>
      </c>
      <c r="T253" s="35" t="n">
        <v>0.3256937422761488</v>
      </c>
      <c r="U253" s="30" t="n">
        <v>36100</v>
      </c>
      <c r="V253" s="30" t="n">
        <v>17160</v>
      </c>
      <c r="W253" s="35" t="n">
        <v>-0.01939058171745156</v>
      </c>
      <c r="X253" s="35" t="n">
        <v>1.062937062937063</v>
      </c>
      <c r="Y253" s="30" t="n">
        <v>28966714</v>
      </c>
      <c r="Z253" s="30" t="n">
        <v>1025421675600</v>
      </c>
      <c r="AA253" s="30" t="n">
        <v>15747052800</v>
      </c>
      <c r="AB253" s="30" t="n">
        <v>11133601510</v>
      </c>
      <c r="AC253" s="35" t="n">
        <v>0.01535666075206183</v>
      </c>
      <c r="AD253" s="24" t="inlineStr">
        <is>
          <t>yfinance_download</t>
        </is>
      </c>
      <c r="AE253" s="24" t="inlineStr">
        <is>
          <t>319660.KQ</t>
        </is>
      </c>
    </row>
    <row r="254" ht="24" customHeight="1">
      <c r="A254" s="29" t="inlineStr">
        <is>
          <t>2024-06-20</t>
        </is>
      </c>
      <c r="B254" s="31" t="n">
        <v>35200</v>
      </c>
      <c r="C254" s="31" t="n">
        <v>36600</v>
      </c>
      <c r="D254" s="31" t="n">
        <v>35000</v>
      </c>
      <c r="E254" s="31" t="n">
        <v>35700</v>
      </c>
      <c r="F254" s="31" t="n">
        <v>34872.9609375</v>
      </c>
      <c r="G254" s="31" t="n">
        <v>281250</v>
      </c>
      <c r="H254" s="36" t="n">
        <v>0.008474576271186418</v>
      </c>
      <c r="I254" s="36" t="n">
        <v>-0.0110803324099723</v>
      </c>
      <c r="J254" s="31" t="n">
        <v>32637.5</v>
      </c>
      <c r="K254" s="31" t="n">
        <v>31070</v>
      </c>
      <c r="L254" s="31" t="n">
        <v>26831.33333333333</v>
      </c>
      <c r="M254" s="36" t="n">
        <v>0.5177680598925595</v>
      </c>
      <c r="N254" s="36" t="n">
        <v>0.4902943773717687</v>
      </c>
      <c r="O254" s="36" t="n">
        <v>0.1138845553822152</v>
      </c>
      <c r="P254" s="36" t="n">
        <v>0.2184300341296928</v>
      </c>
      <c r="Q254" s="36" t="n">
        <v>0.7586206896551724</v>
      </c>
      <c r="R254" s="36" t="n">
        <v>0.09383378016085797</v>
      </c>
      <c r="S254" s="36" t="n">
        <v>0.1490183456710654</v>
      </c>
      <c r="T254" s="36" t="n">
        <v>0.3305339528412057</v>
      </c>
      <c r="U254" s="31" t="n">
        <v>36100</v>
      </c>
      <c r="V254" s="31" t="n">
        <v>17160</v>
      </c>
      <c r="W254" s="36" t="n">
        <v>-0.0110803324099723</v>
      </c>
      <c r="X254" s="36" t="n">
        <v>1.08041958041958</v>
      </c>
      <c r="Y254" s="31" t="n">
        <v>28966714</v>
      </c>
      <c r="Z254" s="31" t="n">
        <v>1034111689800</v>
      </c>
      <c r="AA254" s="31" t="n">
        <v>10040625000</v>
      </c>
      <c r="AB254" s="31" t="n">
        <v>11265099505</v>
      </c>
      <c r="AC254" s="36" t="n">
        <v>0.009709420267690701</v>
      </c>
      <c r="AD254" s="29" t="inlineStr">
        <is>
          <t>yfinance_download</t>
        </is>
      </c>
      <c r="AE254" s="29" t="inlineStr">
        <is>
          <t>319660.KQ</t>
        </is>
      </c>
    </row>
    <row r="255" ht="24" customHeight="1">
      <c r="A255" s="24" t="inlineStr">
        <is>
          <t>2024-06-21</t>
        </is>
      </c>
      <c r="B255" s="30" t="n">
        <v>34700</v>
      </c>
      <c r="C255" s="30" t="n">
        <v>35300</v>
      </c>
      <c r="D255" s="30" t="n">
        <v>34300</v>
      </c>
      <c r="E255" s="30" t="n">
        <v>35200</v>
      </c>
      <c r="F255" s="30" t="n">
        <v>34384.546875</v>
      </c>
      <c r="G255" s="30" t="n">
        <v>258211</v>
      </c>
      <c r="H255" s="35" t="n">
        <v>-0.01400560224089631</v>
      </c>
      <c r="I255" s="35" t="n">
        <v>-0.02493074792243766</v>
      </c>
      <c r="J255" s="30" t="n">
        <v>32840</v>
      </c>
      <c r="K255" s="30" t="n">
        <v>31185.83333333333</v>
      </c>
      <c r="L255" s="30" t="n">
        <v>26956.33333333333</v>
      </c>
      <c r="M255" s="35" t="n">
        <v>0.5078317183182719</v>
      </c>
      <c r="N255" s="35" t="n">
        <v>0.4847746422883813</v>
      </c>
      <c r="O255" s="35" t="n">
        <v>0.130016051364366</v>
      </c>
      <c r="P255" s="35" t="n">
        <v>0.2460176991150442</v>
      </c>
      <c r="Q255" s="35" t="n">
        <v>0.7425742574257426</v>
      </c>
      <c r="R255" s="35" t="n">
        <v>0.07186358099878198</v>
      </c>
      <c r="S255" s="35" t="n">
        <v>0.1287176335408706</v>
      </c>
      <c r="T255" s="35" t="n">
        <v>0.3058155782809235</v>
      </c>
      <c r="U255" s="30" t="n">
        <v>36100</v>
      </c>
      <c r="V255" s="30" t="n">
        <v>17160</v>
      </c>
      <c r="W255" s="35" t="n">
        <v>-0.02493074792243766</v>
      </c>
      <c r="X255" s="35" t="n">
        <v>1.051282051282051</v>
      </c>
      <c r="Y255" s="30" t="n">
        <v>28966714</v>
      </c>
      <c r="Z255" s="30" t="n">
        <v>1019628332800</v>
      </c>
      <c r="AA255" s="30" t="n">
        <v>9089027200</v>
      </c>
      <c r="AB255" s="30" t="n">
        <v>11240519935</v>
      </c>
      <c r="AC255" s="35" t="n">
        <v>0.008914059081744653</v>
      </c>
      <c r="AD255" s="24" t="inlineStr">
        <is>
          <t>yfinance_download</t>
        </is>
      </c>
      <c r="AE255" s="24" t="inlineStr">
        <is>
          <t>319660.KQ</t>
        </is>
      </c>
    </row>
    <row r="256" ht="24" customHeight="1">
      <c r="A256" s="29" t="inlineStr">
        <is>
          <t>2024-06-24</t>
        </is>
      </c>
      <c r="B256" s="31" t="n">
        <v>34550</v>
      </c>
      <c r="C256" s="31" t="n">
        <v>34800</v>
      </c>
      <c r="D256" s="31" t="n">
        <v>33300</v>
      </c>
      <c r="E256" s="31" t="n">
        <v>33800</v>
      </c>
      <c r="F256" s="31" t="n">
        <v>33016.98046875</v>
      </c>
      <c r="G256" s="31" t="n">
        <v>323755</v>
      </c>
      <c r="H256" s="36" t="n">
        <v>-0.03977272727272729</v>
      </c>
      <c r="I256" s="36" t="n">
        <v>-0.06371191135734067</v>
      </c>
      <c r="J256" s="31" t="n">
        <v>33010</v>
      </c>
      <c r="K256" s="31" t="n">
        <v>31285</v>
      </c>
      <c r="L256" s="31" t="n">
        <v>27068</v>
      </c>
      <c r="M256" s="36" t="n">
        <v>0.5232307393649163</v>
      </c>
      <c r="N256" s="36" t="n">
        <v>0.4916927687087345</v>
      </c>
      <c r="O256" s="36" t="n">
        <v>0.111842105263158</v>
      </c>
      <c r="P256" s="36" t="n">
        <v>0.2136445242369838</v>
      </c>
      <c r="Q256" s="36" t="n">
        <v>0.6568627450980393</v>
      </c>
      <c r="R256" s="36" t="n">
        <v>0.02393214177521963</v>
      </c>
      <c r="S256" s="36" t="n">
        <v>0.08038996324116998</v>
      </c>
      <c r="T256" s="36" t="n">
        <v>0.2487069602482637</v>
      </c>
      <c r="U256" s="31" t="n">
        <v>36100</v>
      </c>
      <c r="V256" s="31" t="n">
        <v>17160</v>
      </c>
      <c r="W256" s="36" t="n">
        <v>-0.06371191135734067</v>
      </c>
      <c r="X256" s="36" t="n">
        <v>0.9696969696969697</v>
      </c>
      <c r="Y256" s="31" t="n">
        <v>28966714</v>
      </c>
      <c r="Z256" s="31" t="n">
        <v>979074933200</v>
      </c>
      <c r="AA256" s="31" t="n">
        <v>10942919000</v>
      </c>
      <c r="AB256" s="31" t="n">
        <v>11552806125</v>
      </c>
      <c r="AC256" s="36" t="n">
        <v>0.01117679416450206</v>
      </c>
      <c r="AD256" s="29" t="inlineStr">
        <is>
          <t>yfinance_download</t>
        </is>
      </c>
      <c r="AE256" s="29" t="inlineStr">
        <is>
          <t>319660.KQ</t>
        </is>
      </c>
    </row>
    <row r="257" ht="24" customHeight="1">
      <c r="A257" s="24" t="inlineStr">
        <is>
          <t>2024-06-25</t>
        </is>
      </c>
      <c r="B257" s="30" t="n">
        <v>33250</v>
      </c>
      <c r="C257" s="30" t="n">
        <v>33550</v>
      </c>
      <c r="D257" s="30" t="n">
        <v>32300</v>
      </c>
      <c r="E257" s="30" t="n">
        <v>33450</v>
      </c>
      <c r="F257" s="30" t="n">
        <v>32675.0859375</v>
      </c>
      <c r="G257" s="30" t="n">
        <v>298815</v>
      </c>
      <c r="H257" s="35" t="n">
        <v>-0.01035502958579881</v>
      </c>
      <c r="I257" s="35" t="n">
        <v>-0.07340720221606645</v>
      </c>
      <c r="J257" s="30" t="n">
        <v>33155</v>
      </c>
      <c r="K257" s="30" t="n">
        <v>31376.66666666667</v>
      </c>
      <c r="L257" s="30" t="n">
        <v>27177.16666666667</v>
      </c>
      <c r="M257" s="35" t="n">
        <v>0.5263782083894543</v>
      </c>
      <c r="N257" s="35" t="n">
        <v>0.4925353177785422</v>
      </c>
      <c r="O257" s="35" t="n">
        <v>0.09492635024549911</v>
      </c>
      <c r="P257" s="35" t="n">
        <v>0.1967799642218246</v>
      </c>
      <c r="Q257" s="35" t="n">
        <v>0.6437346437346438</v>
      </c>
      <c r="R257" s="35" t="n">
        <v>0.008897602171618058</v>
      </c>
      <c r="S257" s="35" t="n">
        <v>0.06607882715393609</v>
      </c>
      <c r="T257" s="35" t="n">
        <v>0.2308126307010174</v>
      </c>
      <c r="U257" s="30" t="n">
        <v>36100</v>
      </c>
      <c r="V257" s="30" t="n">
        <v>17160</v>
      </c>
      <c r="W257" s="35" t="n">
        <v>-0.07340720221606645</v>
      </c>
      <c r="X257" s="35" t="n">
        <v>0.9493006993006994</v>
      </c>
      <c r="Y257" s="30" t="n">
        <v>28966714</v>
      </c>
      <c r="Z257" s="30" t="n">
        <v>968936583300</v>
      </c>
      <c r="AA257" s="30" t="n">
        <v>9995361750</v>
      </c>
      <c r="AB257" s="30" t="n">
        <v>11782991847.5</v>
      </c>
      <c r="AC257" s="35" t="n">
        <v>0.01031580592814221</v>
      </c>
      <c r="AD257" s="24" t="inlineStr">
        <is>
          <t>yfinance_download</t>
        </is>
      </c>
      <c r="AE257" s="24" t="inlineStr">
        <is>
          <t>319660.KQ</t>
        </is>
      </c>
    </row>
    <row r="258" ht="24" customHeight="1">
      <c r="A258" s="29" t="inlineStr">
        <is>
          <t>2024-06-26</t>
        </is>
      </c>
      <c r="B258" s="31" t="n">
        <v>34100</v>
      </c>
      <c r="C258" s="31" t="n">
        <v>34800</v>
      </c>
      <c r="D258" s="31" t="n">
        <v>33550</v>
      </c>
      <c r="E258" s="31" t="n">
        <v>34450</v>
      </c>
      <c r="F258" s="31" t="n">
        <v>33651.92578125</v>
      </c>
      <c r="G258" s="31" t="n">
        <v>239655</v>
      </c>
      <c r="H258" s="36" t="n">
        <v>0.02989536621823619</v>
      </c>
      <c r="I258" s="36" t="n">
        <v>-0.04570637119113574</v>
      </c>
      <c r="J258" s="31" t="n">
        <v>33282.5</v>
      </c>
      <c r="K258" s="31" t="n">
        <v>31470</v>
      </c>
      <c r="L258" s="31" t="n">
        <v>27290.08333333333</v>
      </c>
      <c r="M258" s="36" t="n">
        <v>0.5145956646055814</v>
      </c>
      <c r="N258" s="36" t="n">
        <v>0.4919832363261958</v>
      </c>
      <c r="O258" s="36" t="n">
        <v>0.07993730407523514</v>
      </c>
      <c r="P258" s="36" t="n">
        <v>0.194107452339688</v>
      </c>
      <c r="Q258" s="36" t="n">
        <v>0.6483253588516746</v>
      </c>
      <c r="R258" s="36" t="n">
        <v>0.03507849470442426</v>
      </c>
      <c r="S258" s="36" t="n">
        <v>0.09469335875436924</v>
      </c>
      <c r="T258" s="36" t="n">
        <v>0.2623633126807356</v>
      </c>
      <c r="U258" s="31" t="n">
        <v>36100</v>
      </c>
      <c r="V258" s="31" t="n">
        <v>17160</v>
      </c>
      <c r="W258" s="36" t="n">
        <v>-0.04570637119113574</v>
      </c>
      <c r="X258" s="36" t="n">
        <v>1.007575757575758</v>
      </c>
      <c r="Y258" s="31" t="n">
        <v>28966714</v>
      </c>
      <c r="Z258" s="31" t="n">
        <v>997903297300</v>
      </c>
      <c r="AA258" s="31" t="n">
        <v>8256114750</v>
      </c>
      <c r="AB258" s="31" t="n">
        <v>11535823270</v>
      </c>
      <c r="AC258" s="36" t="n">
        <v>0.008273461739567698</v>
      </c>
      <c r="AD258" s="29" t="inlineStr">
        <is>
          <t>yfinance_download</t>
        </is>
      </c>
      <c r="AE258" s="29" t="inlineStr">
        <is>
          <t>319660.KQ</t>
        </is>
      </c>
    </row>
    <row r="259" ht="24" customHeight="1">
      <c r="A259" s="24" t="inlineStr">
        <is>
          <t>2024-06-27</t>
        </is>
      </c>
      <c r="B259" s="30" t="n">
        <v>34000</v>
      </c>
      <c r="C259" s="30" t="n">
        <v>35000</v>
      </c>
      <c r="D259" s="30" t="n">
        <v>33700</v>
      </c>
      <c r="E259" s="30" t="n">
        <v>34450</v>
      </c>
      <c r="F259" s="30" t="n">
        <v>33651.92578125</v>
      </c>
      <c r="G259" s="30" t="n">
        <v>197963</v>
      </c>
      <c r="H259" s="35" t="n">
        <v>0</v>
      </c>
      <c r="I259" s="35" t="n">
        <v>-0.04570637119113574</v>
      </c>
      <c r="J259" s="30" t="n">
        <v>33417.5</v>
      </c>
      <c r="K259" s="30" t="n">
        <v>31566.66666666667</v>
      </c>
      <c r="L259" s="30" t="n">
        <v>27401.75</v>
      </c>
      <c r="M259" s="35" t="n">
        <v>0.5137700408963611</v>
      </c>
      <c r="N259" s="35" t="n">
        <v>0.4915648883693301</v>
      </c>
      <c r="O259" s="35" t="n">
        <v>0.08503937007874018</v>
      </c>
      <c r="P259" s="35" t="n">
        <v>0.2024432809773125</v>
      </c>
      <c r="Q259" s="35" t="n">
        <v>0.6365795724465557</v>
      </c>
      <c r="R259" s="35" t="n">
        <v>0.03089698511259065</v>
      </c>
      <c r="S259" s="35" t="n">
        <v>0.09134107708553318</v>
      </c>
      <c r="T259" s="35" t="n">
        <v>0.2572189732407602</v>
      </c>
      <c r="U259" s="30" t="n">
        <v>36100</v>
      </c>
      <c r="V259" s="30" t="n">
        <v>17160</v>
      </c>
      <c r="W259" s="35" t="n">
        <v>-0.04570637119113574</v>
      </c>
      <c r="X259" s="35" t="n">
        <v>1.007575757575758</v>
      </c>
      <c r="Y259" s="30" t="n">
        <v>28966714</v>
      </c>
      <c r="Z259" s="30" t="n">
        <v>997903297300</v>
      </c>
      <c r="AA259" s="30" t="n">
        <v>6819825350</v>
      </c>
      <c r="AB259" s="30" t="n">
        <v>11643610787.5</v>
      </c>
      <c r="AC259" s="35" t="n">
        <v>0.006834154540276816</v>
      </c>
      <c r="AD259" s="24" t="inlineStr">
        <is>
          <t>yfinance_download</t>
        </is>
      </c>
      <c r="AE259" s="24" t="inlineStr">
        <is>
          <t>319660.KQ</t>
        </is>
      </c>
    </row>
    <row r="260" ht="24" customHeight="1">
      <c r="A260" s="29" t="inlineStr">
        <is>
          <t>2024-06-28</t>
        </is>
      </c>
      <c r="B260" s="31" t="n">
        <v>34300</v>
      </c>
      <c r="C260" s="31" t="n">
        <v>36600</v>
      </c>
      <c r="D260" s="31" t="n">
        <v>33900</v>
      </c>
      <c r="E260" s="31" t="n">
        <v>36450</v>
      </c>
      <c r="F260" s="31" t="n">
        <v>35605.58984375</v>
      </c>
      <c r="G260" s="31" t="n">
        <v>390485</v>
      </c>
      <c r="H260" s="36" t="n">
        <v>0.05805515239477499</v>
      </c>
      <c r="I260" s="36" t="n">
        <v>0</v>
      </c>
      <c r="J260" s="31" t="n">
        <v>33677.5</v>
      </c>
      <c r="K260" s="31" t="n">
        <v>31670.83333333333</v>
      </c>
      <c r="L260" s="31" t="n">
        <v>27524.25</v>
      </c>
      <c r="M260" s="36" t="n">
        <v>0.5411163546046052</v>
      </c>
      <c r="N260" s="36" t="n">
        <v>0.4933654453485982</v>
      </c>
      <c r="O260" s="36" t="n">
        <v>0.1664000000000001</v>
      </c>
      <c r="P260" s="36" t="n">
        <v>0.2069536423841059</v>
      </c>
      <c r="Q260" s="36" t="n">
        <v>0.6758620689655173</v>
      </c>
      <c r="R260" s="36" t="n">
        <v>0.08232499443248464</v>
      </c>
      <c r="S260" s="36" t="n">
        <v>0.1509011972108933</v>
      </c>
      <c r="T260" s="36" t="n">
        <v>0.3242867653069565</v>
      </c>
      <c r="U260" s="31" t="n">
        <v>36450</v>
      </c>
      <c r="V260" s="31" t="n">
        <v>17160</v>
      </c>
      <c r="W260" s="36" t="n">
        <v>0</v>
      </c>
      <c r="X260" s="36" t="n">
        <v>1.124125874125874</v>
      </c>
      <c r="Y260" s="31" t="n">
        <v>28966714</v>
      </c>
      <c r="Z260" s="31" t="n">
        <v>1055836725300</v>
      </c>
      <c r="AA260" s="31" t="n">
        <v>14233178250</v>
      </c>
      <c r="AB260" s="31" t="n">
        <v>12050344700</v>
      </c>
      <c r="AC260" s="36" t="n">
        <v>0.01348047279370384</v>
      </c>
      <c r="AD260" s="29" t="inlineStr">
        <is>
          <t>yfinance_download</t>
        </is>
      </c>
      <c r="AE260" s="29" t="inlineStr">
        <is>
          <t>319660.KQ</t>
        </is>
      </c>
    </row>
    <row r="261" ht="24" customHeight="1">
      <c r="A261" s="24" t="inlineStr">
        <is>
          <t>2024-07-01</t>
        </is>
      </c>
      <c r="B261" s="30" t="n">
        <v>36700</v>
      </c>
      <c r="C261" s="30" t="n">
        <v>37400</v>
      </c>
      <c r="D261" s="30" t="n">
        <v>35750</v>
      </c>
      <c r="E261" s="30" t="n">
        <v>36150</v>
      </c>
      <c r="F261" s="30" t="n">
        <v>35312.5390625</v>
      </c>
      <c r="G261" s="30" t="n">
        <v>284877</v>
      </c>
      <c r="H261" s="35" t="n">
        <v>-0.008230452674897082</v>
      </c>
      <c r="I261" s="35" t="n">
        <v>-0.008230452674897082</v>
      </c>
      <c r="J261" s="30" t="n">
        <v>33897.5</v>
      </c>
      <c r="K261" s="30" t="n">
        <v>31773.33333333333</v>
      </c>
      <c r="L261" s="30" t="n">
        <v>27642.58333333333</v>
      </c>
      <c r="M261" s="35" t="n">
        <v>0.5433525576564535</v>
      </c>
      <c r="N261" s="35" t="n">
        <v>0.4935188054221304</v>
      </c>
      <c r="O261" s="35" t="n">
        <v>0.1385826771653544</v>
      </c>
      <c r="P261" s="35" t="n">
        <v>0.2050000000000001</v>
      </c>
      <c r="Q261" s="35" t="n">
        <v>0.6469248291571754</v>
      </c>
      <c r="R261" s="35" t="n">
        <v>0.06645032819529462</v>
      </c>
      <c r="S261" s="35" t="n">
        <v>0.1377465379773395</v>
      </c>
      <c r="T261" s="35" t="n">
        <v>0.3077648917280404</v>
      </c>
      <c r="U261" s="30" t="n">
        <v>36450</v>
      </c>
      <c r="V261" s="30" t="n">
        <v>17160</v>
      </c>
      <c r="W261" s="35" t="n">
        <v>-0.008230452674897082</v>
      </c>
      <c r="X261" s="35" t="n">
        <v>1.106643356643357</v>
      </c>
      <c r="Y261" s="30" t="n">
        <v>28966714</v>
      </c>
      <c r="Z261" s="30" t="n">
        <v>1047146711100</v>
      </c>
      <c r="AA261" s="30" t="n">
        <v>10298303550</v>
      </c>
      <c r="AB261" s="30" t="n">
        <v>12309299315</v>
      </c>
      <c r="AC261" s="35" t="n">
        <v>0.009834632951462842</v>
      </c>
      <c r="AD261" s="24" t="inlineStr">
        <is>
          <t>yfinance_download</t>
        </is>
      </c>
      <c r="AE261" s="24" t="inlineStr">
        <is>
          <t>319660.KQ</t>
        </is>
      </c>
    </row>
    <row r="262" ht="24" customHeight="1">
      <c r="A262" s="29" t="inlineStr">
        <is>
          <t>2024-07-02</t>
        </is>
      </c>
      <c r="B262" s="31" t="n">
        <v>36100</v>
      </c>
      <c r="C262" s="31" t="n">
        <v>36900</v>
      </c>
      <c r="D262" s="31" t="n">
        <v>35750</v>
      </c>
      <c r="E262" s="31" t="n">
        <v>35750</v>
      </c>
      <c r="F262" s="31" t="n">
        <v>34921.8046875</v>
      </c>
      <c r="G262" s="31" t="n">
        <v>184630</v>
      </c>
      <c r="H262" s="36" t="n">
        <v>-0.01106500691562928</v>
      </c>
      <c r="I262" s="36" t="n">
        <v>-0.01920438957475989</v>
      </c>
      <c r="J262" s="31" t="n">
        <v>34095</v>
      </c>
      <c r="K262" s="31" t="n">
        <v>31850.83333333333</v>
      </c>
      <c r="L262" s="31" t="n">
        <v>27758.83333333333</v>
      </c>
      <c r="M262" s="36" t="n">
        <v>0.5468834314707466</v>
      </c>
      <c r="N262" s="36" t="n">
        <v>0.4895287887372189</v>
      </c>
      <c r="O262" s="36" t="n">
        <v>0.1242138364779874</v>
      </c>
      <c r="P262" s="36" t="n">
        <v>0.1495176848874598</v>
      </c>
      <c r="Q262" s="36" t="n">
        <v>0.6399082568807339</v>
      </c>
      <c r="R262" s="36" t="n">
        <v>0.04854084176565476</v>
      </c>
      <c r="S262" s="36" t="n">
        <v>0.1224196122550432</v>
      </c>
      <c r="T262" s="36" t="n">
        <v>0.2878783330231218</v>
      </c>
      <c r="U262" s="31" t="n">
        <v>36450</v>
      </c>
      <c r="V262" s="31" t="n">
        <v>17160</v>
      </c>
      <c r="W262" s="36" t="n">
        <v>-0.01920438957475989</v>
      </c>
      <c r="X262" s="36" t="n">
        <v>1.083333333333333</v>
      </c>
      <c r="Y262" s="31" t="n">
        <v>28966714</v>
      </c>
      <c r="Z262" s="31" t="n">
        <v>1035560025500</v>
      </c>
      <c r="AA262" s="31" t="n">
        <v>6600522500</v>
      </c>
      <c r="AB262" s="31" t="n">
        <v>12321055140</v>
      </c>
      <c r="AC262" s="36" t="n">
        <v>0.006373867605417722</v>
      </c>
      <c r="AD262" s="29" t="inlineStr">
        <is>
          <t>yfinance_download</t>
        </is>
      </c>
      <c r="AE262" s="29" t="inlineStr">
        <is>
          <t>319660.KQ</t>
        </is>
      </c>
    </row>
    <row r="263" ht="24" customHeight="1">
      <c r="A263" s="24" t="inlineStr">
        <is>
          <t>2024-07-03</t>
        </is>
      </c>
      <c r="B263" s="30" t="n">
        <v>35900</v>
      </c>
      <c r="C263" s="30" t="n">
        <v>36150</v>
      </c>
      <c r="D263" s="30" t="n">
        <v>34550</v>
      </c>
      <c r="E263" s="30" t="n">
        <v>35500</v>
      </c>
      <c r="F263" s="30" t="n">
        <v>34677.59765625</v>
      </c>
      <c r="G263" s="30" t="n">
        <v>240220</v>
      </c>
      <c r="H263" s="35" t="n">
        <v>-0.006993006993006978</v>
      </c>
      <c r="I263" s="35" t="n">
        <v>-0.02606310013717417</v>
      </c>
      <c r="J263" s="30" t="n">
        <v>34342.5</v>
      </c>
      <c r="K263" s="30" t="n">
        <v>31925</v>
      </c>
      <c r="L263" s="30" t="n">
        <v>27874.66666666667</v>
      </c>
      <c r="M263" s="35" t="n">
        <v>0.5225332032838214</v>
      </c>
      <c r="N263" s="35" t="n">
        <v>0.4898594101819571</v>
      </c>
      <c r="O263" s="35" t="n">
        <v>0.1620294599018004</v>
      </c>
      <c r="P263" s="35" t="n">
        <v>0.143317230273752</v>
      </c>
      <c r="Q263" s="35" t="n">
        <v>0.6435185185185186</v>
      </c>
      <c r="R263" s="35" t="n">
        <v>0.03370459343379184</v>
      </c>
      <c r="S263" s="35" t="n">
        <v>0.1119812059514487</v>
      </c>
      <c r="T263" s="35" t="n">
        <v>0.2735578302879556</v>
      </c>
      <c r="U263" s="30" t="n">
        <v>36450</v>
      </c>
      <c r="V263" s="30" t="n">
        <v>17160</v>
      </c>
      <c r="W263" s="35" t="n">
        <v>-0.02606310013717417</v>
      </c>
      <c r="X263" s="35" t="n">
        <v>1.068764568764569</v>
      </c>
      <c r="Y263" s="30" t="n">
        <v>28966714</v>
      </c>
      <c r="Z263" s="30" t="n">
        <v>1028318347000</v>
      </c>
      <c r="AA263" s="30" t="n">
        <v>8527810000</v>
      </c>
      <c r="AB263" s="30" t="n">
        <v>12422563192.5</v>
      </c>
      <c r="AC263" s="35" t="n">
        <v>0.008292966886061015</v>
      </c>
      <c r="AD263" s="24" t="inlineStr">
        <is>
          <t>yfinance_download</t>
        </is>
      </c>
      <c r="AE263" s="24" t="inlineStr">
        <is>
          <t>319660.KQ</t>
        </is>
      </c>
    </row>
    <row r="264" ht="24" customHeight="1">
      <c r="A264" s="29" t="inlineStr">
        <is>
          <t>2024-07-04</t>
        </is>
      </c>
      <c r="B264" s="31" t="n">
        <v>35950</v>
      </c>
      <c r="C264" s="31" t="n">
        <v>38300</v>
      </c>
      <c r="D264" s="31" t="n">
        <v>35600</v>
      </c>
      <c r="E264" s="31" t="n">
        <v>37800</v>
      </c>
      <c r="F264" s="31" t="n">
        <v>36924.31640625</v>
      </c>
      <c r="G264" s="31" t="n">
        <v>563173</v>
      </c>
      <c r="H264" s="36" t="n">
        <v>0.06478873239436611</v>
      </c>
      <c r="I264" s="36" t="n">
        <v>0</v>
      </c>
      <c r="J264" s="31" t="n">
        <v>34685</v>
      </c>
      <c r="K264" s="31" t="n">
        <v>32035</v>
      </c>
      <c r="L264" s="31" t="n">
        <v>28012.58333333333</v>
      </c>
      <c r="M264" s="36" t="n">
        <v>0.5600434795328769</v>
      </c>
      <c r="N264" s="36" t="n">
        <v>0.5061182733768996</v>
      </c>
      <c r="O264" s="36" t="n">
        <v>0.2213247172859452</v>
      </c>
      <c r="P264" s="36" t="n">
        <v>0.2115384615384615</v>
      </c>
      <c r="Q264" s="36" t="n">
        <v>0.7788235294117647</v>
      </c>
      <c r="R264" s="36" t="n">
        <v>0.08980827447023199</v>
      </c>
      <c r="S264" s="36" t="n">
        <v>0.1799594193850476</v>
      </c>
      <c r="T264" s="36" t="n">
        <v>0.3493935761012166</v>
      </c>
      <c r="U264" s="31" t="n">
        <v>37800</v>
      </c>
      <c r="V264" s="31" t="n">
        <v>17160</v>
      </c>
      <c r="W264" s="36" t="n">
        <v>0</v>
      </c>
      <c r="X264" s="36" t="n">
        <v>1.202797202797203</v>
      </c>
      <c r="Y264" s="31" t="n">
        <v>28966714</v>
      </c>
      <c r="Z264" s="31" t="n">
        <v>1094941789200</v>
      </c>
      <c r="AA264" s="31" t="n">
        <v>21287939400</v>
      </c>
      <c r="AB264" s="31" t="n">
        <v>13076256757.5</v>
      </c>
      <c r="AC264" s="36" t="n">
        <v>0.01944207409925751</v>
      </c>
      <c r="AD264" s="29" t="inlineStr">
        <is>
          <t>yfinance_download</t>
        </is>
      </c>
      <c r="AE264" s="29" t="inlineStr">
        <is>
          <t>319660.KQ</t>
        </is>
      </c>
    </row>
    <row r="265" ht="24" customHeight="1">
      <c r="A265" s="24" t="inlineStr">
        <is>
          <t>2024-07-05</t>
        </is>
      </c>
      <c r="B265" s="30" t="n">
        <v>37850</v>
      </c>
      <c r="C265" s="30" t="n">
        <v>38150</v>
      </c>
      <c r="D265" s="30" t="n">
        <v>36550</v>
      </c>
      <c r="E265" s="30" t="n">
        <v>37150</v>
      </c>
      <c r="F265" s="30" t="n">
        <v>36289.37109375</v>
      </c>
      <c r="G265" s="30" t="n">
        <v>282238</v>
      </c>
      <c r="H265" s="35" t="n">
        <v>-0.01719576719576721</v>
      </c>
      <c r="I265" s="35" t="n">
        <v>-0.01719576719576721</v>
      </c>
      <c r="J265" s="30" t="n">
        <v>34867.5</v>
      </c>
      <c r="K265" s="30" t="n">
        <v>32147.5</v>
      </c>
      <c r="L265" s="30" t="n">
        <v>28146.33333333333</v>
      </c>
      <c r="M265" s="35" t="n">
        <v>0.4990148585840131</v>
      </c>
      <c r="N265" s="35" t="n">
        <v>0.5043203744320583</v>
      </c>
      <c r="O265" s="35" t="n">
        <v>0.1089552238805971</v>
      </c>
      <c r="P265" s="35" t="n">
        <v>0.2220394736842106</v>
      </c>
      <c r="Q265" s="35" t="n">
        <v>0.7606635071090047</v>
      </c>
      <c r="R265" s="35" t="n">
        <v>0.06546210654621065</v>
      </c>
      <c r="S265" s="35" t="n">
        <v>0.1556108562096585</v>
      </c>
      <c r="T265" s="35" t="n">
        <v>0.3198877296036193</v>
      </c>
      <c r="U265" s="30" t="n">
        <v>37800</v>
      </c>
      <c r="V265" s="30" t="n">
        <v>17160</v>
      </c>
      <c r="W265" s="35" t="n">
        <v>-0.01719576719576721</v>
      </c>
      <c r="X265" s="35" t="n">
        <v>1.164918414918415</v>
      </c>
      <c r="Y265" s="30" t="n">
        <v>28966714</v>
      </c>
      <c r="Z265" s="30" t="n">
        <v>1076113425100</v>
      </c>
      <c r="AA265" s="30" t="n">
        <v>10485141700</v>
      </c>
      <c r="AB265" s="30" t="n">
        <v>12005541992.5</v>
      </c>
      <c r="AC265" s="35" t="n">
        <v>0.009743528382266626</v>
      </c>
      <c r="AD265" s="24" t="inlineStr">
        <is>
          <t>yfinance_download</t>
        </is>
      </c>
      <c r="AE265" s="24" t="inlineStr">
        <is>
          <t>319660.KQ</t>
        </is>
      </c>
    </row>
    <row r="266" ht="24" customHeight="1">
      <c r="A266" s="29" t="inlineStr">
        <is>
          <t>2024-07-08</t>
        </is>
      </c>
      <c r="B266" s="31" t="n">
        <v>36750</v>
      </c>
      <c r="C266" s="31" t="n">
        <v>37000</v>
      </c>
      <c r="D266" s="31" t="n">
        <v>36100</v>
      </c>
      <c r="E266" s="31" t="n">
        <v>36850</v>
      </c>
      <c r="F266" s="31" t="n">
        <v>35996.32421875</v>
      </c>
      <c r="G266" s="31" t="n">
        <v>206810</v>
      </c>
      <c r="H266" s="36" t="n">
        <v>-0.008075370121130576</v>
      </c>
      <c r="I266" s="36" t="n">
        <v>-0.02513227513227512</v>
      </c>
      <c r="J266" s="31" t="n">
        <v>35017.5</v>
      </c>
      <c r="K266" s="31" t="n">
        <v>32262.5</v>
      </c>
      <c r="L266" s="31" t="n">
        <v>28281.75</v>
      </c>
      <c r="M266" s="36" t="n">
        <v>0.500976331701349</v>
      </c>
      <c r="N266" s="36" t="n">
        <v>0.5034462741690857</v>
      </c>
      <c r="O266" s="36" t="n">
        <v>0.08862629246676512</v>
      </c>
      <c r="P266" s="36" t="n">
        <v>0.2303839732888147</v>
      </c>
      <c r="Q266" s="36" t="n">
        <v>0.7888349514563107</v>
      </c>
      <c r="R266" s="36" t="n">
        <v>0.0523309773684586</v>
      </c>
      <c r="S266" s="36" t="n">
        <v>0.1421929484695854</v>
      </c>
      <c r="T266" s="36" t="n">
        <v>0.3029603896505697</v>
      </c>
      <c r="U266" s="31" t="n">
        <v>37800</v>
      </c>
      <c r="V266" s="31" t="n">
        <v>17160</v>
      </c>
      <c r="W266" s="36" t="n">
        <v>-0.02513227513227512</v>
      </c>
      <c r="X266" s="36" t="n">
        <v>1.147435897435897</v>
      </c>
      <c r="Y266" s="31" t="n">
        <v>28966714</v>
      </c>
      <c r="Z266" s="31" t="n">
        <v>1067423410900</v>
      </c>
      <c r="AA266" s="31" t="n">
        <v>7620948500</v>
      </c>
      <c r="AB266" s="31" t="n">
        <v>11826412537.5</v>
      </c>
      <c r="AC266" s="36" t="n">
        <v>0.007139574064217295</v>
      </c>
      <c r="AD266" s="29" t="inlineStr">
        <is>
          <t>yfinance_download</t>
        </is>
      </c>
      <c r="AE266" s="29" t="inlineStr">
        <is>
          <t>319660.KQ</t>
        </is>
      </c>
    </row>
    <row r="267" ht="24" customHeight="1">
      <c r="A267" s="24" t="inlineStr">
        <is>
          <t>2024-07-09</t>
        </is>
      </c>
      <c r="B267" s="30" t="n">
        <v>37300</v>
      </c>
      <c r="C267" s="30" t="n">
        <v>39000</v>
      </c>
      <c r="D267" s="30" t="n">
        <v>36850</v>
      </c>
      <c r="E267" s="30" t="n">
        <v>38300</v>
      </c>
      <c r="F267" s="30" t="n">
        <v>37412.734375</v>
      </c>
      <c r="G267" s="30" t="n">
        <v>470705</v>
      </c>
      <c r="H267" s="35" t="n">
        <v>0.03934871099050197</v>
      </c>
      <c r="I267" s="35" t="n">
        <v>0</v>
      </c>
      <c r="J267" s="30" t="n">
        <v>35290</v>
      </c>
      <c r="K267" s="30" t="n">
        <v>32383.33333333333</v>
      </c>
      <c r="L267" s="30" t="n">
        <v>28426.33333333333</v>
      </c>
      <c r="M267" s="35" t="n">
        <v>0.4981705854915206</v>
      </c>
      <c r="N267" s="35" t="n">
        <v>0.5042032630114344</v>
      </c>
      <c r="O267" s="35" t="n">
        <v>0.1659056316590564</v>
      </c>
      <c r="P267" s="35" t="n">
        <v>0.2334943639291465</v>
      </c>
      <c r="Q267" s="35" t="n">
        <v>0.8281622911694511</v>
      </c>
      <c r="R267" s="35" t="n">
        <v>0.08529328421649196</v>
      </c>
      <c r="S267" s="35" t="n">
        <v>0.1827071538857437</v>
      </c>
      <c r="T267" s="35" t="n">
        <v>0.3473422530752004</v>
      </c>
      <c r="U267" s="30" t="n">
        <v>38300</v>
      </c>
      <c r="V267" s="30" t="n">
        <v>17160</v>
      </c>
      <c r="W267" s="35" t="n">
        <v>0</v>
      </c>
      <c r="X267" s="35" t="n">
        <v>1.231934731934732</v>
      </c>
      <c r="Y267" s="30" t="n">
        <v>28966714</v>
      </c>
      <c r="Z267" s="30" t="n">
        <v>1109425146200</v>
      </c>
      <c r="AA267" s="30" t="n">
        <v>18028001500</v>
      </c>
      <c r="AB267" s="30" t="n">
        <v>12368147817.5</v>
      </c>
      <c r="AC267" s="35" t="n">
        <v>0.01624985837192303</v>
      </c>
      <c r="AD267" s="24" t="inlineStr">
        <is>
          <t>yfinance_download</t>
        </is>
      </c>
      <c r="AE267" s="24" t="inlineStr">
        <is>
          <t>319660.KQ</t>
        </is>
      </c>
    </row>
    <row r="268" ht="24" customHeight="1">
      <c r="A268" s="29" t="inlineStr">
        <is>
          <t>2024-07-10</t>
        </is>
      </c>
      <c r="B268" s="31" t="n">
        <v>37950</v>
      </c>
      <c r="C268" s="31" t="n">
        <v>38950</v>
      </c>
      <c r="D268" s="31" t="n">
        <v>37600</v>
      </c>
      <c r="E268" s="31" t="n">
        <v>38550</v>
      </c>
      <c r="F268" s="31" t="n">
        <v>37656.9375</v>
      </c>
      <c r="G268" s="31" t="n">
        <v>267307</v>
      </c>
      <c r="H268" s="36" t="n">
        <v>0.006527415143603221</v>
      </c>
      <c r="I268" s="36" t="n">
        <v>0</v>
      </c>
      <c r="J268" s="31" t="n">
        <v>35547.5</v>
      </c>
      <c r="K268" s="31" t="n">
        <v>32501.66666666667</v>
      </c>
      <c r="L268" s="31" t="n">
        <v>28571.33333333333</v>
      </c>
      <c r="M268" s="36" t="n">
        <v>0.4971548677795267</v>
      </c>
      <c r="N268" s="36" t="n">
        <v>0.5038926239721254</v>
      </c>
      <c r="O268" s="36" t="n">
        <v>0.154191616766467</v>
      </c>
      <c r="P268" s="36" t="n">
        <v>0.2257551669316376</v>
      </c>
      <c r="Q268" s="36" t="n">
        <v>0.822695035460993</v>
      </c>
      <c r="R268" s="36" t="n">
        <v>0.08446444897672123</v>
      </c>
      <c r="S268" s="36" t="n">
        <v>0.1860930208707245</v>
      </c>
      <c r="T268" s="36" t="n">
        <v>0.3492544975149918</v>
      </c>
      <c r="U268" s="31" t="n">
        <v>38550</v>
      </c>
      <c r="V268" s="31" t="n">
        <v>17160</v>
      </c>
      <c r="W268" s="36" t="n">
        <v>0</v>
      </c>
      <c r="X268" s="36" t="n">
        <v>1.246503496503497</v>
      </c>
      <c r="Y268" s="31" t="n">
        <v>28966714</v>
      </c>
      <c r="Z268" s="31" t="n">
        <v>1116666824700</v>
      </c>
      <c r="AA268" s="31" t="n">
        <v>10304684850</v>
      </c>
      <c r="AB268" s="31" t="n">
        <v>12522670410</v>
      </c>
      <c r="AC268" s="36" t="n">
        <v>0.009228074679095461</v>
      </c>
      <c r="AD268" s="29" t="inlineStr">
        <is>
          <t>yfinance_download</t>
        </is>
      </c>
      <c r="AE268" s="29" t="inlineStr">
        <is>
          <t>319660.KQ</t>
        </is>
      </c>
    </row>
    <row r="269" ht="24" customHeight="1">
      <c r="A269" s="24" t="inlineStr">
        <is>
          <t>2024-07-11</t>
        </is>
      </c>
      <c r="B269" s="30" t="n">
        <v>38550</v>
      </c>
      <c r="C269" s="30" t="n">
        <v>39100</v>
      </c>
      <c r="D269" s="30" t="n">
        <v>38100</v>
      </c>
      <c r="E269" s="30" t="n">
        <v>38600</v>
      </c>
      <c r="F269" s="30" t="n">
        <v>37705.78125</v>
      </c>
      <c r="G269" s="30" t="n">
        <v>214271</v>
      </c>
      <c r="H269" s="35" t="n">
        <v>0.001297016861219191</v>
      </c>
      <c r="I269" s="35" t="n">
        <v>0</v>
      </c>
      <c r="J269" s="30" t="n">
        <v>35812.5</v>
      </c>
      <c r="K269" s="30" t="n">
        <v>32625</v>
      </c>
      <c r="L269" s="30" t="n">
        <v>28720.08333333333</v>
      </c>
      <c r="M269" s="35" t="n">
        <v>0.4961688610352271</v>
      </c>
      <c r="N269" s="35" t="n">
        <v>0.5033212215145031</v>
      </c>
      <c r="O269" s="35" t="n">
        <v>0.1591591591591592</v>
      </c>
      <c r="P269" s="35" t="n">
        <v>0.2371794871794872</v>
      </c>
      <c r="Q269" s="35" t="n">
        <v>0.8602409638554216</v>
      </c>
      <c r="R269" s="35" t="n">
        <v>0.07783595113438047</v>
      </c>
      <c r="S269" s="35" t="n">
        <v>0.1831417624521072</v>
      </c>
      <c r="T269" s="35" t="n">
        <v>0.3440072423188187</v>
      </c>
      <c r="U269" s="30" t="n">
        <v>38600</v>
      </c>
      <c r="V269" s="30" t="n">
        <v>17160</v>
      </c>
      <c r="W269" s="35" t="n">
        <v>0</v>
      </c>
      <c r="X269" s="35" t="n">
        <v>1.249417249417249</v>
      </c>
      <c r="Y269" s="30" t="n">
        <v>28966714</v>
      </c>
      <c r="Z269" s="30" t="n">
        <v>1118115160400</v>
      </c>
      <c r="AA269" s="30" t="n">
        <v>8270860600</v>
      </c>
      <c r="AB269" s="30" t="n">
        <v>12411608570</v>
      </c>
      <c r="AC269" s="35" t="n">
        <v>0.007397145565078593</v>
      </c>
      <c r="AD269" s="24" t="inlineStr">
        <is>
          <t>yfinance_download</t>
        </is>
      </c>
      <c r="AE269" s="24" t="inlineStr">
        <is>
          <t>319660.KQ</t>
        </is>
      </c>
    </row>
    <row r="270" ht="24" customHeight="1">
      <c r="A270" s="29" t="inlineStr">
        <is>
          <t>2024-07-12</t>
        </is>
      </c>
      <c r="B270" s="31" t="n">
        <v>37100</v>
      </c>
      <c r="C270" s="31" t="n">
        <v>37950</v>
      </c>
      <c r="D270" s="31" t="n">
        <v>35550</v>
      </c>
      <c r="E270" s="31" t="n">
        <v>35750</v>
      </c>
      <c r="F270" s="31" t="n">
        <v>34921.8046875</v>
      </c>
      <c r="G270" s="31" t="n">
        <v>489055</v>
      </c>
      <c r="H270" s="36" t="n">
        <v>-0.07383419689119175</v>
      </c>
      <c r="I270" s="36" t="n">
        <v>-0.07383419689119175</v>
      </c>
      <c r="J270" s="31" t="n">
        <v>35937.5</v>
      </c>
      <c r="K270" s="31" t="n">
        <v>32685.83333333333</v>
      </c>
      <c r="L270" s="31" t="n">
        <v>28844.66666666667</v>
      </c>
      <c r="M270" s="36" t="n">
        <v>0.5745220790879955</v>
      </c>
      <c r="N270" s="36" t="n">
        <v>0.5252175664033575</v>
      </c>
      <c r="O270" s="36" t="n">
        <v>0.07518796992481214</v>
      </c>
      <c r="P270" s="36" t="n">
        <v>0.1137071651090342</v>
      </c>
      <c r="Q270" s="36" t="n">
        <v>0.71875</v>
      </c>
      <c r="R270" s="36" t="n">
        <v>-0.00521739130434784</v>
      </c>
      <c r="S270" s="36" t="n">
        <v>0.09374601636794733</v>
      </c>
      <c r="T270" s="36" t="n">
        <v>0.239397231146139</v>
      </c>
      <c r="U270" s="31" t="n">
        <v>38600</v>
      </c>
      <c r="V270" s="31" t="n">
        <v>17160</v>
      </c>
      <c r="W270" s="36" t="n">
        <v>-0.07383419689119175</v>
      </c>
      <c r="X270" s="36" t="n">
        <v>1.083333333333333</v>
      </c>
      <c r="Y270" s="31" t="n">
        <v>28966714</v>
      </c>
      <c r="Z270" s="31" t="n">
        <v>1035560025500</v>
      </c>
      <c r="AA270" s="31" t="n">
        <v>17483716250</v>
      </c>
      <c r="AB270" s="31" t="n">
        <v>12833983407.5</v>
      </c>
      <c r="AC270" s="36" t="n">
        <v>0.01688334410316614</v>
      </c>
      <c r="AD270" s="29" t="inlineStr">
        <is>
          <t>yfinance_download</t>
        </is>
      </c>
      <c r="AE270" s="29" t="inlineStr">
        <is>
          <t>319660.KQ</t>
        </is>
      </c>
    </row>
    <row r="271" ht="24" customHeight="1">
      <c r="A271" s="24" t="inlineStr">
        <is>
          <t>2024-07-15</t>
        </is>
      </c>
      <c r="B271" s="30" t="n">
        <v>36000</v>
      </c>
      <c r="C271" s="30" t="n">
        <v>36100</v>
      </c>
      <c r="D271" s="30" t="n">
        <v>34850</v>
      </c>
      <c r="E271" s="30" t="n">
        <v>35700</v>
      </c>
      <c r="F271" s="30" t="n">
        <v>34872.9609375</v>
      </c>
      <c r="G271" s="30" t="n">
        <v>239328</v>
      </c>
      <c r="H271" s="35" t="n">
        <v>-0.001398601398601373</v>
      </c>
      <c r="I271" s="35" t="n">
        <v>-0.07512953367875652</v>
      </c>
      <c r="J271" s="30" t="n">
        <v>36055</v>
      </c>
      <c r="K271" s="30" t="n">
        <v>32760.83333333333</v>
      </c>
      <c r="L271" s="30" t="n">
        <v>28968</v>
      </c>
      <c r="M271" s="35" t="n">
        <v>0.5748609192658318</v>
      </c>
      <c r="N271" s="35" t="n">
        <v>0.5214637235410142</v>
      </c>
      <c r="O271" s="35" t="n">
        <v>0.0704647676161918</v>
      </c>
      <c r="P271" s="35" t="n">
        <v>0.1442307692307692</v>
      </c>
      <c r="Q271" s="35" t="n">
        <v>0.7081339712918659</v>
      </c>
      <c r="R271" s="35" t="n">
        <v>-0.009846068506448535</v>
      </c>
      <c r="S271" s="35" t="n">
        <v>0.0897158700684253</v>
      </c>
      <c r="T271" s="35" t="n">
        <v>0.232394366197183</v>
      </c>
      <c r="U271" s="30" t="n">
        <v>38600</v>
      </c>
      <c r="V271" s="30" t="n">
        <v>17160</v>
      </c>
      <c r="W271" s="35" t="n">
        <v>-0.07512953367875652</v>
      </c>
      <c r="X271" s="35" t="n">
        <v>1.08041958041958</v>
      </c>
      <c r="Y271" s="30" t="n">
        <v>28966714</v>
      </c>
      <c r="Z271" s="30" t="n">
        <v>1034111689800</v>
      </c>
      <c r="AA271" s="30" t="n">
        <v>8544009600</v>
      </c>
      <c r="AB271" s="30" t="n">
        <v>12005616417.5</v>
      </c>
      <c r="AC271" s="35" t="n">
        <v>0.008262172920269796</v>
      </c>
      <c r="AD271" s="24" t="inlineStr">
        <is>
          <t>yfinance_download</t>
        </is>
      </c>
      <c r="AE271" s="24" t="inlineStr">
        <is>
          <t>319660.KQ</t>
        </is>
      </c>
    </row>
    <row r="272" ht="24" customHeight="1">
      <c r="A272" s="29" t="inlineStr">
        <is>
          <t>2024-07-16</t>
        </is>
      </c>
      <c r="B272" s="31" t="n">
        <v>35650</v>
      </c>
      <c r="C272" s="31" t="n">
        <v>36350</v>
      </c>
      <c r="D272" s="31" t="n">
        <v>35400</v>
      </c>
      <c r="E272" s="31" t="n">
        <v>36200</v>
      </c>
      <c r="F272" s="31" t="n">
        <v>35361.3828125</v>
      </c>
      <c r="G272" s="31" t="n">
        <v>159312</v>
      </c>
      <c r="H272" s="36" t="n">
        <v>0.01400560224089631</v>
      </c>
      <c r="I272" s="36" t="n">
        <v>-0.06217616580310881</v>
      </c>
      <c r="J272" s="31" t="n">
        <v>36060</v>
      </c>
      <c r="K272" s="31" t="n">
        <v>32825</v>
      </c>
      <c r="L272" s="31" t="n">
        <v>29096.33333333333</v>
      </c>
      <c r="M272" s="36" t="n">
        <v>0.497079902117377</v>
      </c>
      <c r="N272" s="36" t="n">
        <v>0.5171683513618724</v>
      </c>
      <c r="O272" s="36" t="n">
        <v>0.002770083102493048</v>
      </c>
      <c r="P272" s="36" t="n">
        <v>0.1190108191653787</v>
      </c>
      <c r="Q272" s="36" t="n">
        <v>0.7403846153846154</v>
      </c>
      <c r="R272" s="36" t="n">
        <v>0.003882418191902381</v>
      </c>
      <c r="S272" s="36" t="n">
        <v>0.1028179741051027</v>
      </c>
      <c r="T272" s="36" t="n">
        <v>0.2441430191662179</v>
      </c>
      <c r="U272" s="31" t="n">
        <v>38600</v>
      </c>
      <c r="V272" s="31" t="n">
        <v>17160</v>
      </c>
      <c r="W272" s="36" t="n">
        <v>-0.06217616580310881</v>
      </c>
      <c r="X272" s="36" t="n">
        <v>1.10955710955711</v>
      </c>
      <c r="Y272" s="31" t="n">
        <v>28966714</v>
      </c>
      <c r="Z272" s="31" t="n">
        <v>1048595046800</v>
      </c>
      <c r="AA272" s="31" t="n">
        <v>5767094400</v>
      </c>
      <c r="AB272" s="31" t="n">
        <v>10917156847.5</v>
      </c>
      <c r="AC272" s="36" t="n">
        <v>0.005499829908218102</v>
      </c>
      <c r="AD272" s="29" t="inlineStr">
        <is>
          <t>yfinance_download</t>
        </is>
      </c>
      <c r="AE272" s="29" t="inlineStr">
        <is>
          <t>319660.KQ</t>
        </is>
      </c>
    </row>
    <row r="273" ht="24" customHeight="1">
      <c r="A273" s="24" t="inlineStr">
        <is>
          <t>2024-07-17</t>
        </is>
      </c>
      <c r="B273" s="30" t="n">
        <v>36300</v>
      </c>
      <c r="C273" s="30" t="n">
        <v>36350</v>
      </c>
      <c r="D273" s="30" t="n">
        <v>32850</v>
      </c>
      <c r="E273" s="30" t="n">
        <v>32900</v>
      </c>
      <c r="F273" s="30" t="n">
        <v>32137.830078125</v>
      </c>
      <c r="G273" s="30" t="n">
        <v>733802</v>
      </c>
      <c r="H273" s="35" t="n">
        <v>-0.09116022099447518</v>
      </c>
      <c r="I273" s="35" t="n">
        <v>-0.1476683937823834</v>
      </c>
      <c r="J273" s="30" t="n">
        <v>35935</v>
      </c>
      <c r="K273" s="30" t="n">
        <v>32818.33333333334</v>
      </c>
      <c r="L273" s="30" t="n">
        <v>29193.83333333333</v>
      </c>
      <c r="M273" s="35" t="n">
        <v>0.5916540707088926</v>
      </c>
      <c r="N273" s="35" t="n">
        <v>0.548361192999143</v>
      </c>
      <c r="O273" s="35" t="n">
        <v>-0.07062146892655363</v>
      </c>
      <c r="P273" s="35" t="n">
        <v>-0.01201201201201196</v>
      </c>
      <c r="Q273" s="35" t="n">
        <v>0.5518867924528301</v>
      </c>
      <c r="R273" s="35" t="n">
        <v>-0.08445804925560041</v>
      </c>
      <c r="S273" s="35" t="n">
        <v>0.002488446498400299</v>
      </c>
      <c r="T273" s="35" t="n">
        <v>0.1269503262675338</v>
      </c>
      <c r="U273" s="30" t="n">
        <v>38600</v>
      </c>
      <c r="V273" s="30" t="n">
        <v>17160</v>
      </c>
      <c r="W273" s="35" t="n">
        <v>-0.1476683937823834</v>
      </c>
      <c r="X273" s="35" t="n">
        <v>0.9172494172494172</v>
      </c>
      <c r="Y273" s="30" t="n">
        <v>28966714</v>
      </c>
      <c r="Z273" s="30" t="n">
        <v>953004890600</v>
      </c>
      <c r="AA273" s="30" t="n">
        <v>24142085800</v>
      </c>
      <c r="AB273" s="30" t="n">
        <v>11336908497.5</v>
      </c>
      <c r="AC273" s="35" t="n">
        <v>0.0253325938178559</v>
      </c>
      <c r="AD273" s="24" t="inlineStr">
        <is>
          <t>yfinance_download</t>
        </is>
      </c>
      <c r="AE273" s="24" t="inlineStr">
        <is>
          <t>319660.KQ</t>
        </is>
      </c>
    </row>
    <row r="274" ht="24" customHeight="1">
      <c r="A274" s="29" t="inlineStr">
        <is>
          <t>2024-07-18</t>
        </is>
      </c>
      <c r="B274" s="31" t="n">
        <v>31350</v>
      </c>
      <c r="C274" s="31" t="n">
        <v>32750</v>
      </c>
      <c r="D274" s="31" t="n">
        <v>31300</v>
      </c>
      <c r="E274" s="31" t="n">
        <v>32700</v>
      </c>
      <c r="F274" s="31" t="n">
        <v>31942.462890625</v>
      </c>
      <c r="G274" s="31" t="n">
        <v>508931</v>
      </c>
      <c r="H274" s="36" t="n">
        <v>-0.006079027355623046</v>
      </c>
      <c r="I274" s="36" t="n">
        <v>-0.1528497409326425</v>
      </c>
      <c r="J274" s="31" t="n">
        <v>35785</v>
      </c>
      <c r="K274" s="31" t="n">
        <v>32833.33333333334</v>
      </c>
      <c r="L274" s="31" t="n">
        <v>29286.33333333333</v>
      </c>
      <c r="M274" s="36" t="n">
        <v>0.59016898444514</v>
      </c>
      <c r="N274" s="36" t="n">
        <v>0.5403300826824816</v>
      </c>
      <c r="O274" s="36" t="n">
        <v>-0.08403361344537819</v>
      </c>
      <c r="P274" s="36" t="n">
        <v>0.02830188679245293</v>
      </c>
      <c r="Q274" s="36" t="n">
        <v>0.5138888888888888</v>
      </c>
      <c r="R274" s="36" t="n">
        <v>-0.08620930557496154</v>
      </c>
      <c r="S274" s="36" t="n">
        <v>-0.004060913705583813</v>
      </c>
      <c r="T274" s="36" t="n">
        <v>0.1165617637350755</v>
      </c>
      <c r="U274" s="31" t="n">
        <v>38600</v>
      </c>
      <c r="V274" s="31" t="n">
        <v>17160</v>
      </c>
      <c r="W274" s="36" t="n">
        <v>-0.1528497409326425</v>
      </c>
      <c r="X274" s="36" t="n">
        <v>0.9055944055944056</v>
      </c>
      <c r="Y274" s="31" t="n">
        <v>28966714</v>
      </c>
      <c r="Z274" s="31" t="n">
        <v>947211547800</v>
      </c>
      <c r="AA274" s="31" t="n">
        <v>16642043700</v>
      </c>
      <c r="AB274" s="31" t="n">
        <v>11666979432.5</v>
      </c>
      <c r="AC274" s="36" t="n">
        <v>0.01756951099113279</v>
      </c>
      <c r="AD274" s="29" t="inlineStr">
        <is>
          <t>yfinance_download</t>
        </is>
      </c>
      <c r="AE274" s="29" t="inlineStr">
        <is>
          <t>319660.KQ</t>
        </is>
      </c>
    </row>
    <row r="275" ht="24" customHeight="1">
      <c r="A275" s="24" t="inlineStr">
        <is>
          <t>2024-07-19</t>
        </is>
      </c>
      <c r="B275" s="30" t="n">
        <v>32550</v>
      </c>
      <c r="C275" s="30" t="n">
        <v>33150</v>
      </c>
      <c r="D275" s="30" t="n">
        <v>32050</v>
      </c>
      <c r="E275" s="30" t="n">
        <v>32300</v>
      </c>
      <c r="F275" s="30" t="n">
        <v>31551.728515625</v>
      </c>
      <c r="G275" s="30" t="n">
        <v>233950</v>
      </c>
      <c r="H275" s="35" t="n">
        <v>-0.01223241590214064</v>
      </c>
      <c r="I275" s="35" t="n">
        <v>-0.1632124352331606</v>
      </c>
      <c r="J275" s="30" t="n">
        <v>35640</v>
      </c>
      <c r="K275" s="30" t="n">
        <v>32860</v>
      </c>
      <c r="L275" s="30" t="n">
        <v>29377.16666666667</v>
      </c>
      <c r="M275" s="35" t="n">
        <v>0.5897922452645356</v>
      </c>
      <c r="N275" s="35" t="n">
        <v>0.5359596053105737</v>
      </c>
      <c r="O275" s="35" t="n">
        <v>-0.08238636363636365</v>
      </c>
      <c r="P275" s="35" t="n">
        <v>0.05211726384364823</v>
      </c>
      <c r="Q275" s="35" t="n">
        <v>0.5093457943925233</v>
      </c>
      <c r="R275" s="35" t="n">
        <v>-0.09371492704826034</v>
      </c>
      <c r="S275" s="35" t="n">
        <v>-0.01704199634814363</v>
      </c>
      <c r="T275" s="35" t="n">
        <v>0.09949337070173536</v>
      </c>
      <c r="U275" s="30" t="n">
        <v>38600</v>
      </c>
      <c r="V275" s="30" t="n">
        <v>17160</v>
      </c>
      <c r="W275" s="35" t="n">
        <v>-0.1632124352331606</v>
      </c>
      <c r="X275" s="35" t="n">
        <v>0.8822843822843822</v>
      </c>
      <c r="Y275" s="30" t="n">
        <v>28966714</v>
      </c>
      <c r="Z275" s="30" t="n">
        <v>935624862200</v>
      </c>
      <c r="AA275" s="30" t="n">
        <v>7556585000</v>
      </c>
      <c r="AB275" s="30" t="n">
        <v>11590357322.5</v>
      </c>
      <c r="AC275" s="35" t="n">
        <v>0.008076511543559964</v>
      </c>
      <c r="AD275" s="24" t="inlineStr">
        <is>
          <t>yfinance_download</t>
        </is>
      </c>
      <c r="AE275" s="24" t="inlineStr">
        <is>
          <t>319660.KQ</t>
        </is>
      </c>
    </row>
    <row r="276" ht="24" customHeight="1">
      <c r="A276" s="29" t="inlineStr">
        <is>
          <t>2024-07-22</t>
        </is>
      </c>
      <c r="B276" s="31" t="n">
        <v>31900</v>
      </c>
      <c r="C276" s="31" t="n">
        <v>32100</v>
      </c>
      <c r="D276" s="31" t="n">
        <v>30750</v>
      </c>
      <c r="E276" s="31" t="n">
        <v>31250</v>
      </c>
      <c r="F276" s="31" t="n">
        <v>30526.0546875</v>
      </c>
      <c r="G276" s="31" t="n">
        <v>294028</v>
      </c>
      <c r="H276" s="36" t="n">
        <v>-0.03250773993808054</v>
      </c>
      <c r="I276" s="36" t="n">
        <v>-0.1904145077720207</v>
      </c>
      <c r="J276" s="31" t="n">
        <v>35512.5</v>
      </c>
      <c r="K276" s="31" t="n">
        <v>32896.66666666666</v>
      </c>
      <c r="L276" s="31" t="n">
        <v>29457.16666666667</v>
      </c>
      <c r="M276" s="36" t="n">
        <v>0.5844258031114633</v>
      </c>
      <c r="N276" s="36" t="n">
        <v>0.5283387634416981</v>
      </c>
      <c r="O276" s="36" t="n">
        <v>-0.07544378698224852</v>
      </c>
      <c r="P276" s="36" t="n">
        <v>0.07573149741824436</v>
      </c>
      <c r="Q276" s="36" t="n">
        <v>0.4434180138568129</v>
      </c>
      <c r="R276" s="36" t="n">
        <v>-0.1200281590989088</v>
      </c>
      <c r="S276" s="36" t="n">
        <v>-0.05005573006383623</v>
      </c>
      <c r="T276" s="36" t="n">
        <v>0.06086238210282713</v>
      </c>
      <c r="U276" s="31" t="n">
        <v>38600</v>
      </c>
      <c r="V276" s="31" t="n">
        <v>17160</v>
      </c>
      <c r="W276" s="36" t="n">
        <v>-0.1904145077720207</v>
      </c>
      <c r="X276" s="36" t="n">
        <v>0.8210955710955712</v>
      </c>
      <c r="Y276" s="31" t="n">
        <v>28966714</v>
      </c>
      <c r="Z276" s="31" t="n">
        <v>905209812500</v>
      </c>
      <c r="AA276" s="31" t="n">
        <v>9188375000</v>
      </c>
      <c r="AB276" s="31" t="n">
        <v>11502630122.5</v>
      </c>
      <c r="AC276" s="36" t="n">
        <v>0.01015054727988822</v>
      </c>
      <c r="AD276" s="29" t="inlineStr">
        <is>
          <t>yfinance_download</t>
        </is>
      </c>
      <c r="AE276" s="29" t="inlineStr">
        <is>
          <t>319660.KQ</t>
        </is>
      </c>
    </row>
    <row r="277" ht="24" customHeight="1">
      <c r="A277" s="24" t="inlineStr">
        <is>
          <t>2024-07-23</t>
        </is>
      </c>
      <c r="B277" s="30" t="n">
        <v>31500</v>
      </c>
      <c r="C277" s="30" t="n">
        <v>32000</v>
      </c>
      <c r="D277" s="30" t="n">
        <v>29300</v>
      </c>
      <c r="E277" s="30" t="n">
        <v>30500</v>
      </c>
      <c r="F277" s="30" t="n">
        <v>29793.4296875</v>
      </c>
      <c r="G277" s="30" t="n">
        <v>444152</v>
      </c>
      <c r="H277" s="35" t="n">
        <v>-0.02400000000000002</v>
      </c>
      <c r="I277" s="35" t="n">
        <v>-0.2098445595854922</v>
      </c>
      <c r="J277" s="30" t="n">
        <v>35365</v>
      </c>
      <c r="K277" s="30" t="n">
        <v>32895.83333333334</v>
      </c>
      <c r="L277" s="30" t="n">
        <v>29530.91666666667</v>
      </c>
      <c r="M277" s="35" t="n">
        <v>0.5886147676537892</v>
      </c>
      <c r="N277" s="35" t="n">
        <v>0.520520895519166</v>
      </c>
      <c r="O277" s="35" t="n">
        <v>-0.08819133034379667</v>
      </c>
      <c r="P277" s="35" t="n">
        <v>-0.001636661211129264</v>
      </c>
      <c r="Q277" s="35" t="n">
        <v>0.4087759815242493</v>
      </c>
      <c r="R277" s="35" t="n">
        <v>-0.137565389509402</v>
      </c>
      <c r="S277" s="35" t="n">
        <v>-0.07283090563647887</v>
      </c>
      <c r="T277" s="35" t="n">
        <v>0.03281589069082957</v>
      </c>
      <c r="U277" s="30" t="n">
        <v>38600</v>
      </c>
      <c r="V277" s="30" t="n">
        <v>17160</v>
      </c>
      <c r="W277" s="35" t="n">
        <v>-0.2098445595854922</v>
      </c>
      <c r="X277" s="35" t="n">
        <v>0.7773892773892774</v>
      </c>
      <c r="Y277" s="30" t="n">
        <v>28966714</v>
      </c>
      <c r="Z277" s="30" t="n">
        <v>883484777000</v>
      </c>
      <c r="AA277" s="30" t="n">
        <v>13546636000</v>
      </c>
      <c r="AB277" s="30" t="n">
        <v>11680193835</v>
      </c>
      <c r="AC277" s="35" t="n">
        <v>0.0153331855315035</v>
      </c>
      <c r="AD277" s="24" t="inlineStr">
        <is>
          <t>yfinance_download</t>
        </is>
      </c>
      <c r="AE277" s="24" t="inlineStr">
        <is>
          <t>319660.KQ</t>
        </is>
      </c>
    </row>
    <row r="278" ht="24" customHeight="1">
      <c r="A278" s="29" t="inlineStr">
        <is>
          <t>2024-07-24</t>
        </is>
      </c>
      <c r="B278" s="31" t="n">
        <v>30200</v>
      </c>
      <c r="C278" s="31" t="n">
        <v>31850</v>
      </c>
      <c r="D278" s="31" t="n">
        <v>30050</v>
      </c>
      <c r="E278" s="31" t="n">
        <v>31550</v>
      </c>
      <c r="F278" s="31" t="n">
        <v>30819.10546875</v>
      </c>
      <c r="G278" s="31" t="n">
        <v>291711</v>
      </c>
      <c r="H278" s="36" t="n">
        <v>0.03442622950819674</v>
      </c>
      <c r="I278" s="36" t="n">
        <v>-0.1826424870466321</v>
      </c>
      <c r="J278" s="31" t="n">
        <v>35220</v>
      </c>
      <c r="K278" s="31" t="n">
        <v>32920</v>
      </c>
      <c r="L278" s="31" t="n">
        <v>29615.08333333333</v>
      </c>
      <c r="M278" s="36" t="n">
        <v>0.5922777261214068</v>
      </c>
      <c r="N278" s="36" t="n">
        <v>0.5241154831905748</v>
      </c>
      <c r="O278" s="36" t="n">
        <v>-0.0841799709724238</v>
      </c>
      <c r="P278" s="36" t="n">
        <v>0.04817275747508298</v>
      </c>
      <c r="Q278" s="36" t="n">
        <v>0.4708624708624709</v>
      </c>
      <c r="R278" s="36" t="n">
        <v>-0.1042021578648495</v>
      </c>
      <c r="S278" s="36" t="n">
        <v>-0.0416160388821385</v>
      </c>
      <c r="T278" s="36" t="n">
        <v>0.06533551315348873</v>
      </c>
      <c r="U278" s="31" t="n">
        <v>38600</v>
      </c>
      <c r="V278" s="31" t="n">
        <v>17160</v>
      </c>
      <c r="W278" s="36" t="n">
        <v>-0.1826424870466321</v>
      </c>
      <c r="X278" s="36" t="n">
        <v>0.8385780885780887</v>
      </c>
      <c r="Y278" s="31" t="n">
        <v>28966714</v>
      </c>
      <c r="Z278" s="31" t="n">
        <v>913899826700</v>
      </c>
      <c r="AA278" s="31" t="n">
        <v>9203482050</v>
      </c>
      <c r="AB278" s="31" t="n">
        <v>11727562200</v>
      </c>
      <c r="AC278" s="36" t="n">
        <v>0.01007055891807404</v>
      </c>
      <c r="AD278" s="29" t="inlineStr">
        <is>
          <t>yfinance_download</t>
        </is>
      </c>
      <c r="AE278" s="29" t="inlineStr">
        <is>
          <t>319660.KQ</t>
        </is>
      </c>
    </row>
    <row r="279" ht="24" customHeight="1">
      <c r="A279" s="24" t="inlineStr">
        <is>
          <t>2024-07-25</t>
        </is>
      </c>
      <c r="B279" s="30" t="n">
        <v>30150</v>
      </c>
      <c r="C279" s="30" t="n">
        <v>30800</v>
      </c>
      <c r="D279" s="30" t="n">
        <v>29650</v>
      </c>
      <c r="E279" s="30" t="n">
        <v>29900</v>
      </c>
      <c r="F279" s="30" t="n">
        <v>29207.328125</v>
      </c>
      <c r="G279" s="30" t="n">
        <v>334078</v>
      </c>
      <c r="H279" s="35" t="n">
        <v>-0.05229793977812991</v>
      </c>
      <c r="I279" s="35" t="n">
        <v>-0.2253886010362695</v>
      </c>
      <c r="J279" s="30" t="n">
        <v>34992.5</v>
      </c>
      <c r="K279" s="30" t="n">
        <v>32917.5</v>
      </c>
      <c r="L279" s="30" t="n">
        <v>29686.75</v>
      </c>
      <c r="M279" s="35" t="n">
        <v>0.6165221307539785</v>
      </c>
      <c r="N279" s="35" t="n">
        <v>0.5354938694818229</v>
      </c>
      <c r="O279" s="35" t="n">
        <v>-0.1320754716981132</v>
      </c>
      <c r="P279" s="35" t="n">
        <v>-0.004991680532445919</v>
      </c>
      <c r="Q279" s="35" t="n">
        <v>0.403755868544601</v>
      </c>
      <c r="R279" s="35" t="n">
        <v>-0.145531185253983</v>
      </c>
      <c r="S279" s="35" t="n">
        <v>-0.0916685653527759</v>
      </c>
      <c r="T279" s="35" t="n">
        <v>0.007183339368573627</v>
      </c>
      <c r="U279" s="30" t="n">
        <v>38600</v>
      </c>
      <c r="V279" s="30" t="n">
        <v>17160</v>
      </c>
      <c r="W279" s="35" t="n">
        <v>-0.2253886010362695</v>
      </c>
      <c r="X279" s="35" t="n">
        <v>0.7424242424242424</v>
      </c>
      <c r="Y279" s="30" t="n">
        <v>28966714</v>
      </c>
      <c r="Z279" s="30" t="n">
        <v>866104748600</v>
      </c>
      <c r="AA279" s="30" t="n">
        <v>9988932200</v>
      </c>
      <c r="AB279" s="30" t="n">
        <v>11886017542.5</v>
      </c>
      <c r="AC279" s="35" t="n">
        <v>0.01153316872600738</v>
      </c>
      <c r="AD279" s="24" t="inlineStr">
        <is>
          <t>yfinance_download</t>
        </is>
      </c>
      <c r="AE279" s="24" t="inlineStr">
        <is>
          <t>319660.KQ</t>
        </is>
      </c>
    </row>
    <row r="280" ht="24" customHeight="1">
      <c r="A280" s="29" t="inlineStr">
        <is>
          <t>2024-07-26</t>
        </is>
      </c>
      <c r="B280" s="31" t="n">
        <v>30000</v>
      </c>
      <c r="C280" s="31" t="n">
        <v>30250</v>
      </c>
      <c r="D280" s="31" t="n">
        <v>28950</v>
      </c>
      <c r="E280" s="31" t="n">
        <v>29250</v>
      </c>
      <c r="F280" s="31" t="n">
        <v>28572.38671875</v>
      </c>
      <c r="G280" s="31" t="n">
        <v>254594</v>
      </c>
      <c r="H280" s="36" t="n">
        <v>-0.02173913043478259</v>
      </c>
      <c r="I280" s="36" t="n">
        <v>-0.2422279792746114</v>
      </c>
      <c r="J280" s="31" t="n">
        <v>34632.5</v>
      </c>
      <c r="K280" s="31" t="n">
        <v>32907.5</v>
      </c>
      <c r="L280" s="31" t="n">
        <v>29758.41666666667</v>
      </c>
      <c r="M280" s="36" t="n">
        <v>0.5692472296018397</v>
      </c>
      <c r="N280" s="36" t="n">
        <v>0.5372406742171143</v>
      </c>
      <c r="O280" s="36" t="n">
        <v>-0.1975308641975309</v>
      </c>
      <c r="P280" s="36" t="n">
        <v>-0.02010050251256279</v>
      </c>
      <c r="Q280" s="36" t="n">
        <v>0.4164648910411621</v>
      </c>
      <c r="R280" s="36" t="n">
        <v>-0.1554175990760124</v>
      </c>
      <c r="S280" s="36" t="n">
        <v>-0.1111448757881942</v>
      </c>
      <c r="T280" s="36" t="n">
        <v>-0.01708480233883414</v>
      </c>
      <c r="U280" s="31" t="n">
        <v>38600</v>
      </c>
      <c r="V280" s="31" t="n">
        <v>17160</v>
      </c>
      <c r="W280" s="36" t="n">
        <v>-0.2422279792746114</v>
      </c>
      <c r="X280" s="36" t="n">
        <v>0.7045454545454546</v>
      </c>
      <c r="Y280" s="31" t="n">
        <v>28966714</v>
      </c>
      <c r="Z280" s="31" t="n">
        <v>847276384500</v>
      </c>
      <c r="AA280" s="31" t="n">
        <v>7446874500</v>
      </c>
      <c r="AB280" s="31" t="n">
        <v>11546702355</v>
      </c>
      <c r="AC280" s="36" t="n">
        <v>0.008789191621804254</v>
      </c>
      <c r="AD280" s="29" t="inlineStr">
        <is>
          <t>yfinance_download</t>
        </is>
      </c>
      <c r="AE280" s="29" t="inlineStr">
        <is>
          <t>319660.KQ</t>
        </is>
      </c>
    </row>
    <row r="281" ht="24" customHeight="1">
      <c r="A281" s="24" t="inlineStr">
        <is>
          <t>2024-07-29</t>
        </is>
      </c>
      <c r="B281" s="30" t="n">
        <v>29250</v>
      </c>
      <c r="C281" s="30" t="n">
        <v>29600</v>
      </c>
      <c r="D281" s="30" t="n">
        <v>28400</v>
      </c>
      <c r="E281" s="30" t="n">
        <v>29350</v>
      </c>
      <c r="F281" s="30" t="n">
        <v>28670.0703125</v>
      </c>
      <c r="G281" s="30" t="n">
        <v>233195</v>
      </c>
      <c r="H281" s="35" t="n">
        <v>0.003418803418803407</v>
      </c>
      <c r="I281" s="35" t="n">
        <v>-0.2396373056994818</v>
      </c>
      <c r="J281" s="30" t="n">
        <v>34292.5</v>
      </c>
      <c r="K281" s="30" t="n">
        <v>32901.66666666666</v>
      </c>
      <c r="L281" s="30" t="n">
        <v>29835.5</v>
      </c>
      <c r="M281" s="35" t="n">
        <v>0.5713127188968574</v>
      </c>
      <c r="N281" s="35" t="n">
        <v>0.5371672619224561</v>
      </c>
      <c r="O281" s="35" t="n">
        <v>-0.1881051175656985</v>
      </c>
      <c r="P281" s="35" t="n">
        <v>-0.01178451178451179</v>
      </c>
      <c r="Q281" s="35" t="n">
        <v>0.4601990049751243</v>
      </c>
      <c r="R281" s="35" t="n">
        <v>-0.144127724721149</v>
      </c>
      <c r="S281" s="35" t="n">
        <v>-0.1079479256369991</v>
      </c>
      <c r="T281" s="35" t="n">
        <v>-0.01627256121063836</v>
      </c>
      <c r="U281" s="30" t="n">
        <v>38600</v>
      </c>
      <c r="V281" s="30" t="n">
        <v>17160</v>
      </c>
      <c r="W281" s="35" t="n">
        <v>-0.2396373056994818</v>
      </c>
      <c r="X281" s="35" t="n">
        <v>0.7103729603729603</v>
      </c>
      <c r="Y281" s="30" t="n">
        <v>28966714</v>
      </c>
      <c r="Z281" s="30" t="n">
        <v>850173055900</v>
      </c>
      <c r="AA281" s="30" t="n">
        <v>6844273250</v>
      </c>
      <c r="AB281" s="30" t="n">
        <v>11374000840</v>
      </c>
      <c r="AC281" s="35" t="n">
        <v>0.008050447144263584</v>
      </c>
      <c r="AD281" s="24" t="inlineStr">
        <is>
          <t>yfinance_download</t>
        </is>
      </c>
      <c r="AE281" s="24" t="inlineStr">
        <is>
          <t>319660.KQ</t>
        </is>
      </c>
    </row>
    <row r="282" ht="24" customHeight="1">
      <c r="A282" s="29" t="inlineStr">
        <is>
          <t>2024-07-30</t>
        </is>
      </c>
      <c r="B282" s="31" t="n">
        <v>28550</v>
      </c>
      <c r="C282" s="31" t="n">
        <v>29350</v>
      </c>
      <c r="D282" s="31" t="n">
        <v>28400</v>
      </c>
      <c r="E282" s="31" t="n">
        <v>29050</v>
      </c>
      <c r="F282" s="31" t="n">
        <v>28377.01953125</v>
      </c>
      <c r="G282" s="31" t="n">
        <v>228609</v>
      </c>
      <c r="H282" s="36" t="n">
        <v>-0.010221465076661</v>
      </c>
      <c r="I282" s="36" t="n">
        <v>-0.2474093264248705</v>
      </c>
      <c r="J282" s="31" t="n">
        <v>33957.5</v>
      </c>
      <c r="K282" s="31" t="n">
        <v>32887.5</v>
      </c>
      <c r="L282" s="31" t="n">
        <v>29912.91666666667</v>
      </c>
      <c r="M282" s="36" t="n">
        <v>0.5712945841667524</v>
      </c>
      <c r="N282" s="36" t="n">
        <v>0.5374318624525229</v>
      </c>
      <c r="O282" s="36" t="n">
        <v>-0.1874125874125874</v>
      </c>
      <c r="P282" s="36" t="n">
        <v>-0.02842809364548493</v>
      </c>
      <c r="Q282" s="36" t="n">
        <v>0.4701417004048583</v>
      </c>
      <c r="R282" s="36" t="n">
        <v>-0.1445188838989914</v>
      </c>
      <c r="S282" s="36" t="n">
        <v>-0.1166856708475865</v>
      </c>
      <c r="T282" s="36" t="n">
        <v>-0.0288476271398922</v>
      </c>
      <c r="U282" s="31" t="n">
        <v>38600</v>
      </c>
      <c r="V282" s="31" t="n">
        <v>17160</v>
      </c>
      <c r="W282" s="36" t="n">
        <v>-0.2474093264248705</v>
      </c>
      <c r="X282" s="36" t="n">
        <v>0.692890442890443</v>
      </c>
      <c r="Y282" s="31" t="n">
        <v>28966714</v>
      </c>
      <c r="Z282" s="31" t="n">
        <v>841483041700</v>
      </c>
      <c r="AA282" s="31" t="n">
        <v>6641091450</v>
      </c>
      <c r="AB282" s="31" t="n">
        <v>11376029287.5</v>
      </c>
      <c r="AC282" s="36" t="n">
        <v>0.007892127495027568</v>
      </c>
      <c r="AD282" s="29" t="inlineStr">
        <is>
          <t>yfinance_download</t>
        </is>
      </c>
      <c r="AE282" s="29" t="inlineStr">
        <is>
          <t>319660.KQ</t>
        </is>
      </c>
    </row>
    <row r="283" ht="24" customHeight="1">
      <c r="A283" s="24" t="inlineStr">
        <is>
          <t>2024-07-31</t>
        </is>
      </c>
      <c r="B283" s="30" t="n">
        <v>28900</v>
      </c>
      <c r="C283" s="30" t="n">
        <v>32300</v>
      </c>
      <c r="D283" s="30" t="n">
        <v>28350</v>
      </c>
      <c r="E283" s="30" t="n">
        <v>31350</v>
      </c>
      <c r="F283" s="30" t="n">
        <v>30623.73828125</v>
      </c>
      <c r="G283" s="30" t="n">
        <v>550951</v>
      </c>
      <c r="H283" s="35" t="n">
        <v>0.07917383820998269</v>
      </c>
      <c r="I283" s="35" t="n">
        <v>-0.1878238341968912</v>
      </c>
      <c r="J283" s="30" t="n">
        <v>33750</v>
      </c>
      <c r="K283" s="30" t="n">
        <v>32917.5</v>
      </c>
      <c r="L283" s="30" t="n">
        <v>30006.25</v>
      </c>
      <c r="M283" s="35" t="n">
        <v>0.652769110665401</v>
      </c>
      <c r="N283" s="35" t="n">
        <v>0.5606898467994879</v>
      </c>
      <c r="O283" s="35" t="n">
        <v>-0.1169014084507042</v>
      </c>
      <c r="P283" s="35" t="n">
        <v>0.06091370558375631</v>
      </c>
      <c r="Q283" s="35" t="n">
        <v>0.5558312655086848</v>
      </c>
      <c r="R283" s="35" t="n">
        <v>-0.07111111111111112</v>
      </c>
      <c r="S283" s="35" t="n">
        <v>-0.04761904761904767</v>
      </c>
      <c r="T283" s="35" t="n">
        <v>0.04478233701312218</v>
      </c>
      <c r="U283" s="30" t="n">
        <v>38600</v>
      </c>
      <c r="V283" s="30" t="n">
        <v>17160</v>
      </c>
      <c r="W283" s="35" t="n">
        <v>-0.1878238341968912</v>
      </c>
      <c r="X283" s="35" t="n">
        <v>0.8269230769230769</v>
      </c>
      <c r="Y283" s="30" t="n">
        <v>28966714</v>
      </c>
      <c r="Z283" s="30" t="n">
        <v>908106483900</v>
      </c>
      <c r="AA283" s="30" t="n">
        <v>17272313850</v>
      </c>
      <c r="AB283" s="30" t="n">
        <v>11813254480</v>
      </c>
      <c r="AC283" s="35" t="n">
        <v>0.01902014153210475</v>
      </c>
      <c r="AD283" s="24" t="inlineStr">
        <is>
          <t>yfinance_download</t>
        </is>
      </c>
      <c r="AE283" s="24" t="inlineStr">
        <is>
          <t>319660.KQ</t>
        </is>
      </c>
    </row>
    <row r="284" ht="24" customHeight="1">
      <c r="A284" s="29" t="inlineStr">
        <is>
          <t>2024-08-01</t>
        </is>
      </c>
      <c r="B284" s="31" t="n">
        <v>32650</v>
      </c>
      <c r="C284" s="31" t="n">
        <v>32900</v>
      </c>
      <c r="D284" s="31" t="n">
        <v>31500</v>
      </c>
      <c r="E284" s="31" t="n">
        <v>31650</v>
      </c>
      <c r="F284" s="31" t="n">
        <v>30916.7890625</v>
      </c>
      <c r="G284" s="31" t="n">
        <v>390467</v>
      </c>
      <c r="H284" s="36" t="n">
        <v>0.009569377990430672</v>
      </c>
      <c r="I284" s="36" t="n">
        <v>-0.1800518134715026</v>
      </c>
      <c r="J284" s="31" t="n">
        <v>33442.5</v>
      </c>
      <c r="K284" s="31" t="n">
        <v>32943.33333333334</v>
      </c>
      <c r="L284" s="31" t="n">
        <v>30104.58333333333</v>
      </c>
      <c r="M284" s="36" t="n">
        <v>0.6014440764217505</v>
      </c>
      <c r="N284" s="36" t="n">
        <v>0.5598230069348175</v>
      </c>
      <c r="O284" s="36" t="n">
        <v>-0.1626984126984127</v>
      </c>
      <c r="P284" s="36" t="n">
        <v>0.05149501661129574</v>
      </c>
      <c r="Q284" s="36" t="n">
        <v>0.5944584382871536</v>
      </c>
      <c r="R284" s="36" t="n">
        <v>-0.05359946176272712</v>
      </c>
      <c r="S284" s="36" t="n">
        <v>-0.03925933421026007</v>
      </c>
      <c r="T284" s="36" t="n">
        <v>0.05133492962035135</v>
      </c>
      <c r="U284" s="31" t="n">
        <v>38600</v>
      </c>
      <c r="V284" s="31" t="n">
        <v>17160</v>
      </c>
      <c r="W284" s="36" t="n">
        <v>-0.1800518134715026</v>
      </c>
      <c r="X284" s="36" t="n">
        <v>0.8444055944055944</v>
      </c>
      <c r="Y284" s="31" t="n">
        <v>28966714</v>
      </c>
      <c r="Z284" s="31" t="n">
        <v>916796498100</v>
      </c>
      <c r="AA284" s="31" t="n">
        <v>12358280550</v>
      </c>
      <c r="AB284" s="31" t="n">
        <v>11366771537.5</v>
      </c>
      <c r="AC284" s="36" t="n">
        <v>0.0134798513908067</v>
      </c>
      <c r="AD284" s="29" t="inlineStr">
        <is>
          <t>yfinance_download</t>
        </is>
      </c>
      <c r="AE284" s="29" t="inlineStr">
        <is>
          <t>319660.KQ</t>
        </is>
      </c>
    </row>
    <row r="285" ht="24" customHeight="1">
      <c r="A285" s="24" t="inlineStr">
        <is>
          <t>2024-08-02</t>
        </is>
      </c>
      <c r="B285" s="30" t="n">
        <v>30600</v>
      </c>
      <c r="C285" s="30" t="n">
        <v>30650</v>
      </c>
      <c r="D285" s="30" t="n">
        <v>27600</v>
      </c>
      <c r="E285" s="30" t="n">
        <v>27950</v>
      </c>
      <c r="F285" s="30" t="n">
        <v>27302.501953125</v>
      </c>
      <c r="G285" s="30" t="n">
        <v>646142</v>
      </c>
      <c r="H285" s="35" t="n">
        <v>-0.1169036334913112</v>
      </c>
      <c r="I285" s="35" t="n">
        <v>-0.2759067357512953</v>
      </c>
      <c r="J285" s="30" t="n">
        <v>32982.5</v>
      </c>
      <c r="K285" s="30" t="n">
        <v>32910.83333333334</v>
      </c>
      <c r="L285" s="30" t="n">
        <v>30167.5</v>
      </c>
      <c r="M285" s="35" t="n">
        <v>0.7147924085322528</v>
      </c>
      <c r="N285" s="35" t="n">
        <v>0.6099819914117797</v>
      </c>
      <c r="O285" s="35" t="n">
        <v>-0.2476446837146703</v>
      </c>
      <c r="P285" s="35" t="n">
        <v>-0.06521739130434778</v>
      </c>
      <c r="Q285" s="35" t="n">
        <v>0.3700980392156863</v>
      </c>
      <c r="R285" s="35" t="n">
        <v>-0.1525809141211248</v>
      </c>
      <c r="S285" s="35" t="n">
        <v>-0.1507355733927532</v>
      </c>
      <c r="T285" s="35" t="n">
        <v>-0.07350625673323941</v>
      </c>
      <c r="U285" s="30" t="n">
        <v>38600</v>
      </c>
      <c r="V285" s="30" t="n">
        <v>17160</v>
      </c>
      <c r="W285" s="35" t="n">
        <v>-0.2759067357512953</v>
      </c>
      <c r="X285" s="35" t="n">
        <v>0.6287878787878789</v>
      </c>
      <c r="Y285" s="30" t="n">
        <v>28966714</v>
      </c>
      <c r="Z285" s="30" t="n">
        <v>809619656300</v>
      </c>
      <c r="AA285" s="30" t="n">
        <v>18059668900</v>
      </c>
      <c r="AB285" s="30" t="n">
        <v>11745497897.5</v>
      </c>
      <c r="AC285" s="35" t="n">
        <v>0.02230636170882206</v>
      </c>
      <c r="AD285" s="24" t="inlineStr">
        <is>
          <t>yfinance_download</t>
        </is>
      </c>
      <c r="AE285" s="24" t="inlineStr">
        <is>
          <t>319660.KQ</t>
        </is>
      </c>
    </row>
    <row r="286" ht="24" customHeight="1">
      <c r="A286" s="29" t="inlineStr">
        <is>
          <t>2024-08-05</t>
        </is>
      </c>
      <c r="B286" s="31" t="n">
        <v>27050</v>
      </c>
      <c r="C286" s="31" t="n">
        <v>27900</v>
      </c>
      <c r="D286" s="31" t="n">
        <v>24000</v>
      </c>
      <c r="E286" s="31" t="n">
        <v>25900</v>
      </c>
      <c r="F286" s="31" t="n">
        <v>25299.994140625</v>
      </c>
      <c r="G286" s="31" t="n">
        <v>492071</v>
      </c>
      <c r="H286" s="36" t="n">
        <v>-0.07334525939177106</v>
      </c>
      <c r="I286" s="36" t="n">
        <v>-0.3290155440414507</v>
      </c>
      <c r="J286" s="31" t="n">
        <v>32435</v>
      </c>
      <c r="K286" s="31" t="n">
        <v>32855.83333333334</v>
      </c>
      <c r="L286" s="31" t="n">
        <v>30213.33333333333</v>
      </c>
      <c r="M286" s="36" t="n">
        <v>0.7455518677027303</v>
      </c>
      <c r="N286" s="36" t="n">
        <v>0.6263926440447245</v>
      </c>
      <c r="O286" s="36" t="n">
        <v>-0.2971506105834464</v>
      </c>
      <c r="P286" s="36" t="n">
        <v>-0.113013698630137</v>
      </c>
      <c r="Q286" s="36" t="n">
        <v>0.2696078431372548</v>
      </c>
      <c r="R286" s="36" t="n">
        <v>-0.2014798828426083</v>
      </c>
      <c r="S286" s="36" t="n">
        <v>-0.2117077129885612</v>
      </c>
      <c r="T286" s="36" t="n">
        <v>-0.1427625772285966</v>
      </c>
      <c r="U286" s="31" t="n">
        <v>38600</v>
      </c>
      <c r="V286" s="31" t="n">
        <v>17160</v>
      </c>
      <c r="W286" s="36" t="n">
        <v>-0.3290155440414507</v>
      </c>
      <c r="X286" s="36" t="n">
        <v>0.5093240093240092</v>
      </c>
      <c r="Y286" s="31" t="n">
        <v>28966714</v>
      </c>
      <c r="Z286" s="31" t="n">
        <v>750237892600</v>
      </c>
      <c r="AA286" s="31" t="n">
        <v>12744638900</v>
      </c>
      <c r="AB286" s="31" t="n">
        <v>12001682417.5</v>
      </c>
      <c r="AC286" s="36" t="n">
        <v>0.01698746361081896</v>
      </c>
      <c r="AD286" s="29" t="inlineStr">
        <is>
          <t>yfinance_download</t>
        </is>
      </c>
      <c r="AE286" s="29" t="inlineStr">
        <is>
          <t>319660.KQ</t>
        </is>
      </c>
    </row>
    <row r="287" ht="24" customHeight="1">
      <c r="A287" s="24" t="inlineStr">
        <is>
          <t>2024-08-06</t>
        </is>
      </c>
      <c r="B287" s="30" t="n">
        <v>27700</v>
      </c>
      <c r="C287" s="30" t="n">
        <v>28200</v>
      </c>
      <c r="D287" s="30" t="n">
        <v>26350</v>
      </c>
      <c r="E287" s="30" t="n">
        <v>26750</v>
      </c>
      <c r="F287" s="30" t="n">
        <v>26130.302734375</v>
      </c>
      <c r="G287" s="30" t="n">
        <v>542247</v>
      </c>
      <c r="H287" s="35" t="n">
        <v>0.03281853281853286</v>
      </c>
      <c r="I287" s="35" t="n">
        <v>-0.3069948186528497</v>
      </c>
      <c r="J287" s="30" t="n">
        <v>31857.5</v>
      </c>
      <c r="K287" s="30" t="n">
        <v>32837.5</v>
      </c>
      <c r="L287" s="30" t="n">
        <v>30261.25</v>
      </c>
      <c r="M287" s="35" t="n">
        <v>0.7394108622167911</v>
      </c>
      <c r="N287" s="35" t="n">
        <v>0.623075253715149</v>
      </c>
      <c r="O287" s="35" t="n">
        <v>-0.3015665796344648</v>
      </c>
      <c r="P287" s="35" t="n">
        <v>-0.03949730700179532</v>
      </c>
      <c r="Q287" s="35" t="n">
        <v>0.2738095238095237</v>
      </c>
      <c r="R287" s="35" t="n">
        <v>-0.1603233147610453</v>
      </c>
      <c r="S287" s="35" t="n">
        <v>-0.1853825656642558</v>
      </c>
      <c r="T287" s="35" t="n">
        <v>-0.1160312280556818</v>
      </c>
      <c r="U287" s="30" t="n">
        <v>38600</v>
      </c>
      <c r="V287" s="30" t="n">
        <v>17160</v>
      </c>
      <c r="W287" s="35" t="n">
        <v>-0.3069948186528497</v>
      </c>
      <c r="X287" s="35" t="n">
        <v>0.5588578088578089</v>
      </c>
      <c r="Y287" s="30" t="n">
        <v>28966714</v>
      </c>
      <c r="Z287" s="30" t="n">
        <v>774859599500</v>
      </c>
      <c r="AA287" s="30" t="n">
        <v>14505107250</v>
      </c>
      <c r="AB287" s="30" t="n">
        <v>11825537705</v>
      </c>
      <c r="AC287" s="35" t="n">
        <v>0.01871965870895815</v>
      </c>
      <c r="AD287" s="24" t="inlineStr">
        <is>
          <t>yfinance_download</t>
        </is>
      </c>
      <c r="AE287" s="24" t="inlineStr">
        <is>
          <t>319660.KQ</t>
        </is>
      </c>
    </row>
    <row r="288" ht="24" customHeight="1">
      <c r="A288" s="29" t="inlineStr">
        <is>
          <t>2024-08-07</t>
        </is>
      </c>
      <c r="B288" s="31" t="n">
        <v>26400</v>
      </c>
      <c r="C288" s="31" t="n">
        <v>28300</v>
      </c>
      <c r="D288" s="31" t="n">
        <v>25550</v>
      </c>
      <c r="E288" s="31" t="n">
        <v>27250</v>
      </c>
      <c r="F288" s="31" t="n">
        <v>26618.71875</v>
      </c>
      <c r="G288" s="31" t="n">
        <v>391231</v>
      </c>
      <c r="H288" s="36" t="n">
        <v>0.01869158878504673</v>
      </c>
      <c r="I288" s="36" t="n">
        <v>-0.2940414507772021</v>
      </c>
      <c r="J288" s="31" t="n">
        <v>31292.5</v>
      </c>
      <c r="K288" s="31" t="n">
        <v>32817.5</v>
      </c>
      <c r="L288" s="31" t="n">
        <v>30308.33333333333</v>
      </c>
      <c r="M288" s="36" t="n">
        <v>0.7457180465511087</v>
      </c>
      <c r="N288" s="36" t="n">
        <v>0.6226830518668414</v>
      </c>
      <c r="O288" s="36" t="n">
        <v>-0.2931258106355382</v>
      </c>
      <c r="P288" s="36" t="n">
        <v>-0.04217926186291743</v>
      </c>
      <c r="Q288" s="36" t="n">
        <v>0.2615740740740742</v>
      </c>
      <c r="R288" s="36" t="n">
        <v>-0.1291843093392986</v>
      </c>
      <c r="S288" s="36" t="n">
        <v>-0.1696503389959625</v>
      </c>
      <c r="T288" s="36" t="n">
        <v>-0.1009073412152873</v>
      </c>
      <c r="U288" s="31" t="n">
        <v>38600</v>
      </c>
      <c r="V288" s="31" t="n">
        <v>17160</v>
      </c>
      <c r="W288" s="36" t="n">
        <v>-0.2940414507772021</v>
      </c>
      <c r="X288" s="36" t="n">
        <v>0.587995337995338</v>
      </c>
      <c r="Y288" s="31" t="n">
        <v>28966714</v>
      </c>
      <c r="Z288" s="31" t="n">
        <v>789342956500</v>
      </c>
      <c r="AA288" s="31" t="n">
        <v>10661044750</v>
      </c>
      <c r="AB288" s="31" t="n">
        <v>11843355700</v>
      </c>
      <c r="AC288" s="36" t="n">
        <v>0.01350622649155165</v>
      </c>
      <c r="AD288" s="29" t="inlineStr">
        <is>
          <t>yfinance_download</t>
        </is>
      </c>
      <c r="AE288" s="29" t="inlineStr">
        <is>
          <t>319660.KQ</t>
        </is>
      </c>
    </row>
    <row r="289" ht="24" customHeight="1">
      <c r="A289" s="24" t="inlineStr">
        <is>
          <t>2024-08-08</t>
        </is>
      </c>
      <c r="B289" s="30" t="n">
        <v>26500</v>
      </c>
      <c r="C289" s="30" t="n">
        <v>26800</v>
      </c>
      <c r="D289" s="30" t="n">
        <v>26200</v>
      </c>
      <c r="E289" s="30" t="n">
        <v>26600</v>
      </c>
      <c r="F289" s="30" t="n">
        <v>25983.77734375</v>
      </c>
      <c r="G289" s="30" t="n">
        <v>303578</v>
      </c>
      <c r="H289" s="35" t="n">
        <v>-0.02385321100917426</v>
      </c>
      <c r="I289" s="35" t="n">
        <v>-0.310880829015544</v>
      </c>
      <c r="J289" s="30" t="n">
        <v>30692.5</v>
      </c>
      <c r="K289" s="30" t="n">
        <v>32786.66666666666</v>
      </c>
      <c r="L289" s="30" t="n">
        <v>30345.41666666667</v>
      </c>
      <c r="M289" s="35" t="n">
        <v>0.7432687319377488</v>
      </c>
      <c r="N289" s="35" t="n">
        <v>0.6246058503363333</v>
      </c>
      <c r="O289" s="35" t="n">
        <v>-0.310880829015544</v>
      </c>
      <c r="P289" s="35" t="n">
        <v>-0.0650263620386643</v>
      </c>
      <c r="Q289" s="35" t="n">
        <v>0.2009029345372459</v>
      </c>
      <c r="R289" s="35" t="n">
        <v>-0.1333387635415818</v>
      </c>
      <c r="S289" s="35" t="n">
        <v>-0.1886945912972753</v>
      </c>
      <c r="T289" s="35" t="n">
        <v>-0.1234261077318102</v>
      </c>
      <c r="U289" s="30" t="n">
        <v>38600</v>
      </c>
      <c r="V289" s="30" t="n">
        <v>17160</v>
      </c>
      <c r="W289" s="35" t="n">
        <v>-0.310880829015544</v>
      </c>
      <c r="X289" s="35" t="n">
        <v>0.5501165501165501</v>
      </c>
      <c r="Y289" s="30" t="n">
        <v>28966714</v>
      </c>
      <c r="Z289" s="30" t="n">
        <v>770514592400</v>
      </c>
      <c r="AA289" s="30" t="n">
        <v>8075174800</v>
      </c>
      <c r="AB289" s="30" t="n">
        <v>11833571410</v>
      </c>
      <c r="AC289" s="35" t="n">
        <v>0.01048023603920003</v>
      </c>
      <c r="AD289" s="24" t="inlineStr">
        <is>
          <t>yfinance_download</t>
        </is>
      </c>
      <c r="AE289" s="24" t="inlineStr">
        <is>
          <t>319660.KQ</t>
        </is>
      </c>
    </row>
    <row r="290" ht="24" customHeight="1">
      <c r="A290" s="29" t="inlineStr">
        <is>
          <t>2024-08-09</t>
        </is>
      </c>
      <c r="B290" s="31" t="n">
        <v>28100</v>
      </c>
      <c r="C290" s="31" t="n">
        <v>29350</v>
      </c>
      <c r="D290" s="31" t="n">
        <v>27900</v>
      </c>
      <c r="E290" s="31" t="n">
        <v>28600</v>
      </c>
      <c r="F290" s="31" t="n">
        <v>27937.4453125</v>
      </c>
      <c r="G290" s="31" t="n">
        <v>583577</v>
      </c>
      <c r="H290" s="36" t="n">
        <v>0.07518796992481214</v>
      </c>
      <c r="I290" s="36" t="n">
        <v>-0.2590673575129534</v>
      </c>
      <c r="J290" s="31" t="n">
        <v>30335</v>
      </c>
      <c r="K290" s="31" t="n">
        <v>32742.5</v>
      </c>
      <c r="L290" s="31" t="n">
        <v>30399.58333333333</v>
      </c>
      <c r="M290" s="36" t="n">
        <v>0.7804321727555573</v>
      </c>
      <c r="N290" s="36" t="n">
        <v>0.6105719804254953</v>
      </c>
      <c r="O290" s="36" t="n">
        <v>-0.2</v>
      </c>
      <c r="P290" s="36" t="n">
        <v>-0.08479999999999999</v>
      </c>
      <c r="Q290" s="36" t="n">
        <v>0.2941176470588236</v>
      </c>
      <c r="R290" s="36" t="n">
        <v>-0.05719465963408599</v>
      </c>
      <c r="S290" s="36" t="n">
        <v>-0.1265175230968925</v>
      </c>
      <c r="T290" s="36" t="n">
        <v>-0.05919763154648494</v>
      </c>
      <c r="U290" s="31" t="n">
        <v>38600</v>
      </c>
      <c r="V290" s="31" t="n">
        <v>17160</v>
      </c>
      <c r="W290" s="36" t="n">
        <v>-0.2590673575129534</v>
      </c>
      <c r="X290" s="36" t="n">
        <v>0.6666666666666667</v>
      </c>
      <c r="Y290" s="31" t="n">
        <v>28966714</v>
      </c>
      <c r="Z290" s="31" t="n">
        <v>828448020400</v>
      </c>
      <c r="AA290" s="31" t="n">
        <v>16690302200</v>
      </c>
      <c r="AB290" s="31" t="n">
        <v>11793900707.5</v>
      </c>
      <c r="AC290" s="36" t="n">
        <v>0.02014646880554004</v>
      </c>
      <c r="AD290" s="29" t="inlineStr">
        <is>
          <t>yfinance_download</t>
        </is>
      </c>
      <c r="AE290" s="29" t="inlineStr">
        <is>
          <t>319660.KQ</t>
        </is>
      </c>
    </row>
    <row r="291" ht="24" customHeight="1">
      <c r="A291" s="24" t="inlineStr">
        <is>
          <t>2024-08-12</t>
        </is>
      </c>
      <c r="B291" s="30" t="n">
        <v>28400</v>
      </c>
      <c r="C291" s="30" t="n">
        <v>29800</v>
      </c>
      <c r="D291" s="30" t="n">
        <v>28400</v>
      </c>
      <c r="E291" s="30" t="n">
        <v>28950</v>
      </c>
      <c r="F291" s="30" t="n">
        <v>28279.3359375</v>
      </c>
      <c r="G291" s="30" t="n">
        <v>226581</v>
      </c>
      <c r="H291" s="35" t="n">
        <v>0.0122377622377623</v>
      </c>
      <c r="I291" s="35" t="n">
        <v>-0.25</v>
      </c>
      <c r="J291" s="30" t="n">
        <v>29997.5</v>
      </c>
      <c r="K291" s="30" t="n">
        <v>32706.66666666667</v>
      </c>
      <c r="L291" s="30" t="n">
        <v>30456.25</v>
      </c>
      <c r="M291" s="35" t="n">
        <v>0.7839008723289824</v>
      </c>
      <c r="N291" s="35" t="n">
        <v>0.6110865840334552</v>
      </c>
      <c r="O291" s="35" t="n">
        <v>-0.1890756302521008</v>
      </c>
      <c r="P291" s="35" t="n">
        <v>-0.06913183279742763</v>
      </c>
      <c r="Q291" s="35" t="n">
        <v>0.306997742663657</v>
      </c>
      <c r="R291" s="35" t="n">
        <v>-0.0349195766313859</v>
      </c>
      <c r="S291" s="35" t="n">
        <v>-0.114859355890746</v>
      </c>
      <c r="T291" s="35" t="n">
        <v>-0.04945618715370403</v>
      </c>
      <c r="U291" s="30" t="n">
        <v>38600</v>
      </c>
      <c r="V291" s="30" t="n">
        <v>17160</v>
      </c>
      <c r="W291" s="35" t="n">
        <v>-0.25</v>
      </c>
      <c r="X291" s="35" t="n">
        <v>0.6870629370629371</v>
      </c>
      <c r="Y291" s="30" t="n">
        <v>28966714</v>
      </c>
      <c r="Z291" s="30" t="n">
        <v>838586370300</v>
      </c>
      <c r="AA291" s="30" t="n">
        <v>6559519950</v>
      </c>
      <c r="AB291" s="30" t="n">
        <v>11694676225</v>
      </c>
      <c r="AC291" s="35" t="n">
        <v>0.007822116101950674</v>
      </c>
      <c r="AD291" s="24" t="inlineStr">
        <is>
          <t>yfinance_download</t>
        </is>
      </c>
      <c r="AE291" s="24" t="inlineStr">
        <is>
          <t>319660.KQ</t>
        </is>
      </c>
    </row>
    <row r="292" ht="24" customHeight="1">
      <c r="A292" s="29" t="inlineStr">
        <is>
          <t>2024-08-13</t>
        </is>
      </c>
      <c r="B292" s="31" t="n">
        <v>29200</v>
      </c>
      <c r="C292" s="31" t="n">
        <v>29800</v>
      </c>
      <c r="D292" s="31" t="n">
        <v>28750</v>
      </c>
      <c r="E292" s="31" t="n">
        <v>29700</v>
      </c>
      <c r="F292" s="31" t="n">
        <v>29011.962890625</v>
      </c>
      <c r="G292" s="31" t="n">
        <v>214154</v>
      </c>
      <c r="H292" s="36" t="n">
        <v>0.02590673575129543</v>
      </c>
      <c r="I292" s="36" t="n">
        <v>-0.2305699481865285</v>
      </c>
      <c r="J292" s="31" t="n">
        <v>29672.5</v>
      </c>
      <c r="K292" s="31" t="n">
        <v>32672.5</v>
      </c>
      <c r="L292" s="31" t="n">
        <v>30519.58333333333</v>
      </c>
      <c r="M292" s="36" t="n">
        <v>0.7896985791508849</v>
      </c>
      <c r="N292" s="36" t="n">
        <v>0.611919548003504</v>
      </c>
      <c r="O292" s="36" t="n">
        <v>-0.1795580110497238</v>
      </c>
      <c r="P292" s="36" t="n">
        <v>-0.06456692913385831</v>
      </c>
      <c r="Q292" s="36" t="n">
        <v>0.3438914027149322</v>
      </c>
      <c r="R292" s="36" t="n">
        <v>0.000926784059314123</v>
      </c>
      <c r="S292" s="36" t="n">
        <v>-0.09097865177136732</v>
      </c>
      <c r="T292" s="36" t="n">
        <v>-0.02685434215735794</v>
      </c>
      <c r="U292" s="31" t="n">
        <v>38600</v>
      </c>
      <c r="V292" s="31" t="n">
        <v>17160</v>
      </c>
      <c r="W292" s="36" t="n">
        <v>-0.2305699481865285</v>
      </c>
      <c r="X292" s="36" t="n">
        <v>0.7307692307692308</v>
      </c>
      <c r="Y292" s="31" t="n">
        <v>28966714</v>
      </c>
      <c r="Z292" s="31" t="n">
        <v>860311405800</v>
      </c>
      <c r="AA292" s="31" t="n">
        <v>6360373800</v>
      </c>
      <c r="AB292" s="31" t="n">
        <v>11724340195</v>
      </c>
      <c r="AC292" s="36" t="n">
        <v>0.007393106446247234</v>
      </c>
      <c r="AD292" s="29" t="inlineStr">
        <is>
          <t>yfinance_download</t>
        </is>
      </c>
      <c r="AE292" s="29" t="inlineStr">
        <is>
          <t>319660.KQ</t>
        </is>
      </c>
    </row>
    <row r="293" ht="24" customHeight="1">
      <c r="A293" s="24" t="inlineStr">
        <is>
          <t>2024-08-14</t>
        </is>
      </c>
      <c r="B293" s="30" t="n">
        <v>30600</v>
      </c>
      <c r="C293" s="30" t="n">
        <v>31600</v>
      </c>
      <c r="D293" s="30" t="n">
        <v>29900</v>
      </c>
      <c r="E293" s="30" t="n">
        <v>30450</v>
      </c>
      <c r="F293" s="30" t="n">
        <v>29744.5859375</v>
      </c>
      <c r="G293" s="30" t="n">
        <v>498509</v>
      </c>
      <c r="H293" s="35" t="n">
        <v>0.0252525252525253</v>
      </c>
      <c r="I293" s="35" t="n">
        <v>-0.211139896373057</v>
      </c>
      <c r="J293" s="30" t="n">
        <v>29550</v>
      </c>
      <c r="K293" s="30" t="n">
        <v>32646.66666666667</v>
      </c>
      <c r="L293" s="30" t="n">
        <v>30588.33333333333</v>
      </c>
      <c r="M293" s="35" t="n">
        <v>0.734555951817178</v>
      </c>
      <c r="N293" s="35" t="n">
        <v>0.613953263367698</v>
      </c>
      <c r="O293" s="35" t="n">
        <v>-0.07446808510638303</v>
      </c>
      <c r="P293" s="35" t="n">
        <v>-0.04843750000000002</v>
      </c>
      <c r="Q293" s="35" t="n">
        <v>0.3716216216216217</v>
      </c>
      <c r="R293" s="35" t="n">
        <v>0.03045685279187826</v>
      </c>
      <c r="S293" s="35" t="n">
        <v>-0.06728609352664905</v>
      </c>
      <c r="T293" s="35" t="n">
        <v>-0.00452242140249548</v>
      </c>
      <c r="U293" s="30" t="n">
        <v>38600</v>
      </c>
      <c r="V293" s="30" t="n">
        <v>17160</v>
      </c>
      <c r="W293" s="35" t="n">
        <v>-0.211139896373057</v>
      </c>
      <c r="X293" s="35" t="n">
        <v>0.7744755244755244</v>
      </c>
      <c r="Y293" s="30" t="n">
        <v>28966714</v>
      </c>
      <c r="Z293" s="30" t="n">
        <v>882036441300</v>
      </c>
      <c r="AA293" s="30" t="n">
        <v>15179599050</v>
      </c>
      <c r="AB293" s="30" t="n">
        <v>11276215857.5</v>
      </c>
      <c r="AC293" s="35" t="n">
        <v>0.01720971871369324</v>
      </c>
      <c r="AD293" s="24" t="inlineStr">
        <is>
          <t>yfinance_download</t>
        </is>
      </c>
      <c r="AE293" s="24" t="inlineStr">
        <is>
          <t>319660.KQ</t>
        </is>
      </c>
    </row>
    <row r="294" ht="24" customHeight="1">
      <c r="A294" s="29" t="inlineStr">
        <is>
          <t>2024-08-16</t>
        </is>
      </c>
      <c r="B294" s="31" t="n">
        <v>31450</v>
      </c>
      <c r="C294" s="31" t="n">
        <v>32000</v>
      </c>
      <c r="D294" s="31" t="n">
        <v>29700</v>
      </c>
      <c r="E294" s="31" t="n">
        <v>29950</v>
      </c>
      <c r="F294" s="31" t="n">
        <v>29256.169921875</v>
      </c>
      <c r="G294" s="31" t="n">
        <v>493011</v>
      </c>
      <c r="H294" s="36" t="n">
        <v>-0.01642036124794743</v>
      </c>
      <c r="I294" s="36" t="n">
        <v>-0.2240932642487047</v>
      </c>
      <c r="J294" s="31" t="n">
        <v>29412.5</v>
      </c>
      <c r="K294" s="31" t="n">
        <v>32611.66666666667</v>
      </c>
      <c r="L294" s="31" t="n">
        <v>30652.08333333333</v>
      </c>
      <c r="M294" s="36" t="n">
        <v>0.7360792183514614</v>
      </c>
      <c r="N294" s="36" t="n">
        <v>0.6148525466662982</v>
      </c>
      <c r="O294" s="36" t="n">
        <v>-0.08409785932721714</v>
      </c>
      <c r="P294" s="36" t="n">
        <v>-0.06552262090483618</v>
      </c>
      <c r="Q294" s="36" t="n">
        <v>0.3430493273542601</v>
      </c>
      <c r="R294" s="36" t="n">
        <v>0.01827454313642152</v>
      </c>
      <c r="S294" s="36" t="n">
        <v>-0.08161700822813922</v>
      </c>
      <c r="T294" s="36" t="n">
        <v>-0.02290491402161354</v>
      </c>
      <c r="U294" s="31" t="n">
        <v>38600</v>
      </c>
      <c r="V294" s="31" t="n">
        <v>17160</v>
      </c>
      <c r="W294" s="36" t="n">
        <v>-0.2240932642487047</v>
      </c>
      <c r="X294" s="36" t="n">
        <v>0.7453379953379953</v>
      </c>
      <c r="Y294" s="31" t="n">
        <v>28966714</v>
      </c>
      <c r="Z294" s="31" t="n">
        <v>867553084300</v>
      </c>
      <c r="AA294" s="31" t="n">
        <v>14765679450</v>
      </c>
      <c r="AB294" s="31" t="n">
        <v>11182397645</v>
      </c>
      <c r="AC294" s="36" t="n">
        <v>0.01701991465100253</v>
      </c>
      <c r="AD294" s="29" t="inlineStr">
        <is>
          <t>yfinance_download</t>
        </is>
      </c>
      <c r="AE294" s="29" t="inlineStr">
        <is>
          <t>319660.KQ</t>
        </is>
      </c>
    </row>
    <row r="295" ht="24" customHeight="1">
      <c r="A295" s="24" t="inlineStr">
        <is>
          <t>2024-08-19</t>
        </is>
      </c>
      <c r="B295" s="30" t="n">
        <v>29850</v>
      </c>
      <c r="C295" s="30" t="n">
        <v>30200</v>
      </c>
      <c r="D295" s="30" t="n">
        <v>29450</v>
      </c>
      <c r="E295" s="30" t="n">
        <v>30100</v>
      </c>
      <c r="F295" s="30" t="n">
        <v>29402.6953125</v>
      </c>
      <c r="G295" s="30" t="n">
        <v>271465</v>
      </c>
      <c r="H295" s="35" t="n">
        <v>0.005008347245408995</v>
      </c>
      <c r="I295" s="35" t="n">
        <v>-0.2202072538860104</v>
      </c>
      <c r="J295" s="30" t="n">
        <v>29302.5</v>
      </c>
      <c r="K295" s="30" t="n">
        <v>32594.16666666667</v>
      </c>
      <c r="L295" s="30" t="n">
        <v>30715.41666666667</v>
      </c>
      <c r="M295" s="35" t="n">
        <v>0.735861365815311</v>
      </c>
      <c r="N295" s="35" t="n">
        <v>0.6122203050140186</v>
      </c>
      <c r="O295" s="35" t="n">
        <v>-0.06811145510835914</v>
      </c>
      <c r="P295" s="35" t="n">
        <v>-0.0337078651685393</v>
      </c>
      <c r="Q295" s="35" t="n">
        <v>0.3377777777777777</v>
      </c>
      <c r="R295" s="35" t="n">
        <v>0.02721610784062789</v>
      </c>
      <c r="S295" s="35" t="n">
        <v>-0.07652187252320208</v>
      </c>
      <c r="T295" s="35" t="n">
        <v>-0.02003608394264556</v>
      </c>
      <c r="U295" s="30" t="n">
        <v>38600</v>
      </c>
      <c r="V295" s="30" t="n">
        <v>17160</v>
      </c>
      <c r="W295" s="35" t="n">
        <v>-0.2202072538860104</v>
      </c>
      <c r="X295" s="35" t="n">
        <v>0.754079254079254</v>
      </c>
      <c r="Y295" s="30" t="n">
        <v>28966714</v>
      </c>
      <c r="Z295" s="30" t="n">
        <v>871898091400</v>
      </c>
      <c r="AA295" s="30" t="n">
        <v>8171096500</v>
      </c>
      <c r="AB295" s="30" t="n">
        <v>11213123220</v>
      </c>
      <c r="AC295" s="35" t="n">
        <v>0.009371618748333</v>
      </c>
      <c r="AD295" s="24" t="inlineStr">
        <is>
          <t>yfinance_download</t>
        </is>
      </c>
      <c r="AE295" s="24" t="inlineStr">
        <is>
          <t>319660.KQ</t>
        </is>
      </c>
    </row>
    <row r="296" ht="24" customHeight="1">
      <c r="A296" s="29" t="inlineStr">
        <is>
          <t>2024-08-20</t>
        </is>
      </c>
      <c r="B296" s="31" t="n">
        <v>30550</v>
      </c>
      <c r="C296" s="31" t="n">
        <v>30800</v>
      </c>
      <c r="D296" s="31" t="n">
        <v>28800</v>
      </c>
      <c r="E296" s="31" t="n">
        <v>28950</v>
      </c>
      <c r="F296" s="31" t="n">
        <v>28279.3359375</v>
      </c>
      <c r="G296" s="31" t="n">
        <v>323282</v>
      </c>
      <c r="H296" s="36" t="n">
        <v>-0.03820598006644516</v>
      </c>
      <c r="I296" s="36" t="n">
        <v>-0.25</v>
      </c>
      <c r="J296" s="31" t="n">
        <v>29187.5</v>
      </c>
      <c r="K296" s="31" t="n">
        <v>32570</v>
      </c>
      <c r="L296" s="31" t="n">
        <v>30769.16666666667</v>
      </c>
      <c r="M296" s="36" t="n">
        <v>0.7392157235199316</v>
      </c>
      <c r="N296" s="36" t="n">
        <v>0.6152870618729281</v>
      </c>
      <c r="O296" s="36" t="n">
        <v>-0.0736</v>
      </c>
      <c r="P296" s="36" t="n">
        <v>-0.04769736842105265</v>
      </c>
      <c r="Q296" s="36" t="n">
        <v>0.2866666666666666</v>
      </c>
      <c r="R296" s="36" t="n">
        <v>-0.008137044967880036</v>
      </c>
      <c r="S296" s="36" t="n">
        <v>-0.1111452256677925</v>
      </c>
      <c r="T296" s="36" t="n">
        <v>-0.05912303983966638</v>
      </c>
      <c r="U296" s="31" t="n">
        <v>38600</v>
      </c>
      <c r="V296" s="31" t="n">
        <v>17160</v>
      </c>
      <c r="W296" s="36" t="n">
        <v>-0.25</v>
      </c>
      <c r="X296" s="36" t="n">
        <v>0.6870629370629371</v>
      </c>
      <c r="Y296" s="31" t="n">
        <v>28966714</v>
      </c>
      <c r="Z296" s="31" t="n">
        <v>838586370300</v>
      </c>
      <c r="AA296" s="31" t="n">
        <v>9359013900</v>
      </c>
      <c r="AB296" s="31" t="n">
        <v>11221655165</v>
      </c>
      <c r="AC296" s="36" t="n">
        <v>0.01116046507726075</v>
      </c>
      <c r="AD296" s="29" t="inlineStr">
        <is>
          <t>yfinance_download</t>
        </is>
      </c>
      <c r="AE296" s="29" t="inlineStr">
        <is>
          <t>319660.KQ</t>
        </is>
      </c>
    </row>
    <row r="297" ht="24" customHeight="1">
      <c r="A297" s="24" t="inlineStr">
        <is>
          <t>2024-08-21</t>
        </is>
      </c>
      <c r="B297" s="30" t="n">
        <v>28550</v>
      </c>
      <c r="C297" s="30" t="n">
        <v>28550</v>
      </c>
      <c r="D297" s="30" t="n">
        <v>27700</v>
      </c>
      <c r="E297" s="30" t="n">
        <v>28150</v>
      </c>
      <c r="F297" s="30" t="n">
        <v>27497.869140625</v>
      </c>
      <c r="G297" s="30" t="n">
        <v>339712</v>
      </c>
      <c r="H297" s="35" t="n">
        <v>-0.02763385146804831</v>
      </c>
      <c r="I297" s="35" t="n">
        <v>-0.2707253886010362</v>
      </c>
      <c r="J297" s="30" t="n">
        <v>29070</v>
      </c>
      <c r="K297" s="30" t="n">
        <v>32530</v>
      </c>
      <c r="L297" s="30" t="n">
        <v>30821.66666666667</v>
      </c>
      <c r="M297" s="35" t="n">
        <v>0.7407112723244085</v>
      </c>
      <c r="N297" s="35" t="n">
        <v>0.6177710058641767</v>
      </c>
      <c r="O297" s="35" t="n">
        <v>-0.07704918032786889</v>
      </c>
      <c r="P297" s="35" t="n">
        <v>-0.07855973813420625</v>
      </c>
      <c r="Q297" s="35" t="n">
        <v>0.2883295194508009</v>
      </c>
      <c r="R297" s="35" t="n">
        <v>-0.0316477468180254</v>
      </c>
      <c r="S297" s="35" t="n">
        <v>-0.134644943129419</v>
      </c>
      <c r="T297" s="35" t="n">
        <v>-0.08668144703401293</v>
      </c>
      <c r="U297" s="30" t="n">
        <v>38600</v>
      </c>
      <c r="V297" s="30" t="n">
        <v>17160</v>
      </c>
      <c r="W297" s="35" t="n">
        <v>-0.2707253886010362</v>
      </c>
      <c r="X297" s="35" t="n">
        <v>0.6404428904428905</v>
      </c>
      <c r="Y297" s="30" t="n">
        <v>28966714</v>
      </c>
      <c r="Z297" s="30" t="n">
        <v>815412999100</v>
      </c>
      <c r="AA297" s="30" t="n">
        <v>9562892800</v>
      </c>
      <c r="AB297" s="30" t="n">
        <v>11022468005</v>
      </c>
      <c r="AC297" s="35" t="n">
        <v>0.01172766783280976</v>
      </c>
      <c r="AD297" s="24" t="inlineStr">
        <is>
          <t>yfinance_download</t>
        </is>
      </c>
      <c r="AE297" s="24" t="inlineStr">
        <is>
          <t>319660.KQ</t>
        </is>
      </c>
    </row>
    <row r="298" ht="24" customHeight="1">
      <c r="A298" s="29" t="inlineStr">
        <is>
          <t>2024-08-22</t>
        </is>
      </c>
      <c r="B298" s="31" t="n">
        <v>28300</v>
      </c>
      <c r="C298" s="31" t="n">
        <v>28300</v>
      </c>
      <c r="D298" s="31" t="n">
        <v>27300</v>
      </c>
      <c r="E298" s="31" t="n">
        <v>27600</v>
      </c>
      <c r="F298" s="31" t="n">
        <v>26960.609375</v>
      </c>
      <c r="G298" s="31" t="n">
        <v>258348</v>
      </c>
      <c r="H298" s="36" t="n">
        <v>-0.01953818827708709</v>
      </c>
      <c r="I298" s="36" t="n">
        <v>-0.2849740932642487</v>
      </c>
      <c r="J298" s="31" t="n">
        <v>28872.5</v>
      </c>
      <c r="K298" s="31" t="n">
        <v>32458.33333333333</v>
      </c>
      <c r="L298" s="31" t="n">
        <v>30865.83333333333</v>
      </c>
      <c r="M298" s="36" t="n">
        <v>0.7292792591466779</v>
      </c>
      <c r="N298" s="36" t="n">
        <v>0.6118077114645205</v>
      </c>
      <c r="O298" s="36" t="n">
        <v>-0.1251980982567353</v>
      </c>
      <c r="P298" s="36" t="n">
        <v>-0.1347962382445141</v>
      </c>
      <c r="Q298" s="36" t="n">
        <v>0.2376681614349776</v>
      </c>
      <c r="R298" s="36" t="n">
        <v>-0.04407307992033938</v>
      </c>
      <c r="S298" s="36" t="n">
        <v>-0.1496790757381258</v>
      </c>
      <c r="T298" s="36" t="n">
        <v>-0.1058073922082129</v>
      </c>
      <c r="U298" s="31" t="n">
        <v>38600</v>
      </c>
      <c r="V298" s="31" t="n">
        <v>17160</v>
      </c>
      <c r="W298" s="36" t="n">
        <v>-0.2849740932642487</v>
      </c>
      <c r="X298" s="36" t="n">
        <v>0.6083916083916083</v>
      </c>
      <c r="Y298" s="31" t="n">
        <v>28966714</v>
      </c>
      <c r="Z298" s="31" t="n">
        <v>799481306400</v>
      </c>
      <c r="AA298" s="31" t="n">
        <v>7130404800</v>
      </c>
      <c r="AB298" s="31" t="n">
        <v>10918814142.5</v>
      </c>
      <c r="AC298" s="36" t="n">
        <v>0.008918788648239494</v>
      </c>
      <c r="AD298" s="29" t="inlineStr">
        <is>
          <t>yfinance_download</t>
        </is>
      </c>
      <c r="AE298" s="29" t="inlineStr">
        <is>
          <t>319660.KQ</t>
        </is>
      </c>
    </row>
    <row r="299" ht="24" customHeight="1">
      <c r="A299" s="24" t="inlineStr">
        <is>
          <t>2024-08-23</t>
        </is>
      </c>
      <c r="B299" s="30" t="n">
        <v>27200</v>
      </c>
      <c r="C299" s="30" t="n">
        <v>27750</v>
      </c>
      <c r="D299" s="30" t="n">
        <v>26850</v>
      </c>
      <c r="E299" s="30" t="n">
        <v>27400</v>
      </c>
      <c r="F299" s="30" t="n">
        <v>26765.244140625</v>
      </c>
      <c r="G299" s="30" t="n">
        <v>210991</v>
      </c>
      <c r="H299" s="35" t="n">
        <v>-0.007246376811594235</v>
      </c>
      <c r="I299" s="35" t="n">
        <v>-0.2901554404145078</v>
      </c>
      <c r="J299" s="30" t="n">
        <v>28747.5</v>
      </c>
      <c r="K299" s="30" t="n">
        <v>32385.83333333333</v>
      </c>
      <c r="L299" s="30" t="n">
        <v>30902.91666666667</v>
      </c>
      <c r="M299" s="35" t="n">
        <v>0.7082857257514642</v>
      </c>
      <c r="N299" s="35" t="n">
        <v>0.6118837069337223</v>
      </c>
      <c r="O299" s="35" t="n">
        <v>-0.08361204013377932</v>
      </c>
      <c r="P299" s="35" t="n">
        <v>-0.137007874015748</v>
      </c>
      <c r="Q299" s="35" t="n">
        <v>0.1938997821350763</v>
      </c>
      <c r="R299" s="35" t="n">
        <v>-0.04687364118619008</v>
      </c>
      <c r="S299" s="35" t="n">
        <v>-0.1539510588477472</v>
      </c>
      <c r="T299" s="35" t="n">
        <v>-0.1133522995402269</v>
      </c>
      <c r="U299" s="30" t="n">
        <v>38600</v>
      </c>
      <c r="V299" s="30" t="n">
        <v>17160</v>
      </c>
      <c r="W299" s="35" t="n">
        <v>-0.2901554404145078</v>
      </c>
      <c r="X299" s="35" t="n">
        <v>0.5967365967365967</v>
      </c>
      <c r="Y299" s="30" t="n">
        <v>28966714</v>
      </c>
      <c r="Z299" s="30" t="n">
        <v>793687963600</v>
      </c>
      <c r="AA299" s="30" t="n">
        <v>5781153400</v>
      </c>
      <c r="AB299" s="30" t="n">
        <v>10708425202.5</v>
      </c>
      <c r="AC299" s="35" t="n">
        <v>0.007283912148267836</v>
      </c>
      <c r="AD299" s="24" t="inlineStr">
        <is>
          <t>yfinance_download</t>
        </is>
      </c>
      <c r="AE299" s="24" t="inlineStr">
        <is>
          <t>319660.KQ</t>
        </is>
      </c>
    </row>
    <row r="300" ht="24" customHeight="1">
      <c r="A300" s="29" t="inlineStr">
        <is>
          <t>2024-08-26</t>
        </is>
      </c>
      <c r="B300" s="31" t="n">
        <v>27750</v>
      </c>
      <c r="C300" s="31" t="n">
        <v>27750</v>
      </c>
      <c r="D300" s="31" t="n">
        <v>26050</v>
      </c>
      <c r="E300" s="31" t="n">
        <v>26250</v>
      </c>
      <c r="F300" s="31" t="n">
        <v>25641.88671875</v>
      </c>
      <c r="G300" s="31" t="n">
        <v>309688</v>
      </c>
      <c r="H300" s="36" t="n">
        <v>-0.04197080291970801</v>
      </c>
      <c r="I300" s="36" t="n">
        <v>-0.3199481865284974</v>
      </c>
      <c r="J300" s="31" t="n">
        <v>28597.5</v>
      </c>
      <c r="K300" s="31" t="n">
        <v>32302.5</v>
      </c>
      <c r="L300" s="31" t="n">
        <v>30910</v>
      </c>
      <c r="M300" s="36" t="n">
        <v>0.7187993056356995</v>
      </c>
      <c r="N300" s="36" t="n">
        <v>0.6167923827682174</v>
      </c>
      <c r="O300" s="36" t="n">
        <v>-0.1025641025641025</v>
      </c>
      <c r="P300" s="36" t="n">
        <v>-0.16</v>
      </c>
      <c r="Q300" s="36" t="n">
        <v>0.0334645669291338</v>
      </c>
      <c r="R300" s="36" t="n">
        <v>-0.08208759506949903</v>
      </c>
      <c r="S300" s="36" t="n">
        <v>-0.187369398653355</v>
      </c>
      <c r="T300" s="36" t="n">
        <v>-0.150760271756713</v>
      </c>
      <c r="U300" s="31" t="n">
        <v>38600</v>
      </c>
      <c r="V300" s="31" t="n">
        <v>17160</v>
      </c>
      <c r="W300" s="36" t="n">
        <v>-0.3199481865284974</v>
      </c>
      <c r="X300" s="36" t="n">
        <v>0.5297202797202798</v>
      </c>
      <c r="Y300" s="31" t="n">
        <v>28966714</v>
      </c>
      <c r="Z300" s="31" t="n">
        <v>760376242500</v>
      </c>
      <c r="AA300" s="31" t="n">
        <v>8129310000</v>
      </c>
      <c r="AB300" s="31" t="n">
        <v>10742546977.5</v>
      </c>
      <c r="AC300" s="36" t="n">
        <v>0.01069116780039324</v>
      </c>
      <c r="AD300" s="29" t="inlineStr">
        <is>
          <t>yfinance_download</t>
        </is>
      </c>
      <c r="AE300" s="29" t="inlineStr">
        <is>
          <t>319660.KQ</t>
        </is>
      </c>
    </row>
    <row r="301" ht="24" customHeight="1">
      <c r="A301" s="24" t="inlineStr">
        <is>
          <t>2024-08-27</t>
        </is>
      </c>
      <c r="B301" s="30" t="n">
        <v>25850</v>
      </c>
      <c r="C301" s="30" t="n">
        <v>26000</v>
      </c>
      <c r="D301" s="30" t="n">
        <v>25200</v>
      </c>
      <c r="E301" s="30" t="n">
        <v>25400</v>
      </c>
      <c r="F301" s="30" t="n">
        <v>24811.576171875</v>
      </c>
      <c r="G301" s="30" t="n">
        <v>316015</v>
      </c>
      <c r="H301" s="35" t="n">
        <v>-0.0323809523809524</v>
      </c>
      <c r="I301" s="35" t="n">
        <v>-0.3419689119170984</v>
      </c>
      <c r="J301" s="30" t="n">
        <v>28400</v>
      </c>
      <c r="K301" s="30" t="n">
        <v>32196.66666666667</v>
      </c>
      <c r="L301" s="30" t="n">
        <v>30902.5</v>
      </c>
      <c r="M301" s="35" t="n">
        <v>0.7248395506869737</v>
      </c>
      <c r="N301" s="35" t="n">
        <v>0.6186769549262759</v>
      </c>
      <c r="O301" s="35" t="n">
        <v>-0.1345826235093697</v>
      </c>
      <c r="P301" s="35" t="n">
        <v>-0.2</v>
      </c>
      <c r="Q301" s="35" t="n">
        <v>-0.03422053231939159</v>
      </c>
      <c r="R301" s="35" t="n">
        <v>-0.1056338028169014</v>
      </c>
      <c r="S301" s="35" t="n">
        <v>-0.2110984573972461</v>
      </c>
      <c r="T301" s="35" t="n">
        <v>-0.1780600275058652</v>
      </c>
      <c r="U301" s="30" t="n">
        <v>38600</v>
      </c>
      <c r="V301" s="30" t="n">
        <v>17160</v>
      </c>
      <c r="W301" s="35" t="n">
        <v>-0.3419689119170984</v>
      </c>
      <c r="X301" s="35" t="n">
        <v>0.4801864801864801</v>
      </c>
      <c r="Y301" s="30" t="n">
        <v>28966714</v>
      </c>
      <c r="Z301" s="30" t="n">
        <v>735754535600</v>
      </c>
      <c r="AA301" s="30" t="n">
        <v>8026781000</v>
      </c>
      <c r="AB301" s="30" t="n">
        <v>10801672365</v>
      </c>
      <c r="AC301" s="35" t="n">
        <v>0.01090959091873521</v>
      </c>
      <c r="AD301" s="24" t="inlineStr">
        <is>
          <t>yfinance_download</t>
        </is>
      </c>
      <c r="AE301" s="24" t="inlineStr">
        <is>
          <t>319660.KQ</t>
        </is>
      </c>
    </row>
    <row r="302" ht="24" customHeight="1">
      <c r="A302" s="29" t="inlineStr">
        <is>
          <t>2024-08-28</t>
        </is>
      </c>
      <c r="B302" s="31" t="n">
        <v>25550</v>
      </c>
      <c r="C302" s="31" t="n">
        <v>27250</v>
      </c>
      <c r="D302" s="31" t="n">
        <v>25150</v>
      </c>
      <c r="E302" s="31" t="n">
        <v>27050</v>
      </c>
      <c r="F302" s="31" t="n">
        <v>26423.353515625</v>
      </c>
      <c r="G302" s="31" t="n">
        <v>411039</v>
      </c>
      <c r="H302" s="36" t="n">
        <v>0.06496062992125995</v>
      </c>
      <c r="I302" s="36" t="n">
        <v>-0.2992227979274611</v>
      </c>
      <c r="J302" s="31" t="n">
        <v>28300</v>
      </c>
      <c r="K302" s="31" t="n">
        <v>32117.5</v>
      </c>
      <c r="L302" s="31" t="n">
        <v>30906.66666666667</v>
      </c>
      <c r="M302" s="36" t="n">
        <v>0.7671892231834625</v>
      </c>
      <c r="N302" s="36" t="n">
        <v>0.6341066195450397</v>
      </c>
      <c r="O302" s="36" t="n">
        <v>-0.06884681583476759</v>
      </c>
      <c r="P302" s="36" t="n">
        <v>-0.14937106918239</v>
      </c>
      <c r="Q302" s="36" t="n">
        <v>0.01883239171374762</v>
      </c>
      <c r="R302" s="36" t="n">
        <v>-0.04416961130742048</v>
      </c>
      <c r="S302" s="36" t="n">
        <v>-0.1577800264653226</v>
      </c>
      <c r="T302" s="36" t="n">
        <v>-0.1247842968075927</v>
      </c>
      <c r="U302" s="31" t="n">
        <v>38600</v>
      </c>
      <c r="V302" s="31" t="n">
        <v>17160</v>
      </c>
      <c r="W302" s="36" t="n">
        <v>-0.2992227979274611</v>
      </c>
      <c r="X302" s="36" t="n">
        <v>0.5763403263403264</v>
      </c>
      <c r="Y302" s="31" t="n">
        <v>28966714</v>
      </c>
      <c r="Z302" s="31" t="n">
        <v>783549613700</v>
      </c>
      <c r="AA302" s="31" t="n">
        <v>11118604950</v>
      </c>
      <c r="AB302" s="31" t="n">
        <v>11025548040</v>
      </c>
      <c r="AC302" s="36" t="n">
        <v>0.01419004585746247</v>
      </c>
      <c r="AD302" s="29" t="inlineStr">
        <is>
          <t>yfinance_download</t>
        </is>
      </c>
      <c r="AE302" s="29" t="inlineStr">
        <is>
          <t>319660.KQ</t>
        </is>
      </c>
    </row>
    <row r="303" ht="24" customHeight="1">
      <c r="A303" s="24" t="inlineStr">
        <is>
          <t>2024-08-29</t>
        </is>
      </c>
      <c r="B303" s="30" t="n">
        <v>25600</v>
      </c>
      <c r="C303" s="30" t="n">
        <v>26300</v>
      </c>
      <c r="D303" s="30" t="n">
        <v>25200</v>
      </c>
      <c r="E303" s="30" t="n">
        <v>26000</v>
      </c>
      <c r="F303" s="30" t="n">
        <v>25397.67578125</v>
      </c>
      <c r="G303" s="30" t="n">
        <v>287177</v>
      </c>
      <c r="H303" s="35" t="n">
        <v>-0.03881700554528655</v>
      </c>
      <c r="I303" s="35" t="n">
        <v>-0.3264248704663213</v>
      </c>
      <c r="J303" s="30" t="n">
        <v>28032.5</v>
      </c>
      <c r="K303" s="30" t="n">
        <v>32041.66666666667</v>
      </c>
      <c r="L303" s="30" t="n">
        <v>30904.58333333333</v>
      </c>
      <c r="M303" s="35" t="n">
        <v>0.7131419252713921</v>
      </c>
      <c r="N303" s="35" t="n">
        <v>0.633983656937828</v>
      </c>
      <c r="O303" s="35" t="n">
        <v>-0.1706539074960127</v>
      </c>
      <c r="P303" s="35" t="n">
        <v>-0.148936170212766</v>
      </c>
      <c r="Q303" s="35" t="n">
        <v>-0.00952380952380949</v>
      </c>
      <c r="R303" s="35" t="n">
        <v>-0.07250512797645592</v>
      </c>
      <c r="S303" s="35" t="n">
        <v>-0.188556566970091</v>
      </c>
      <c r="T303" s="35" t="n">
        <v>-0.1587008399509242</v>
      </c>
      <c r="U303" s="30" t="n">
        <v>38600</v>
      </c>
      <c r="V303" s="30" t="n">
        <v>17160</v>
      </c>
      <c r="W303" s="35" t="n">
        <v>-0.3264248704663213</v>
      </c>
      <c r="X303" s="35" t="n">
        <v>0.5151515151515151</v>
      </c>
      <c r="Y303" s="30" t="n">
        <v>28966714</v>
      </c>
      <c r="Z303" s="30" t="n">
        <v>753134564000</v>
      </c>
      <c r="AA303" s="30" t="n">
        <v>7466602000</v>
      </c>
      <c r="AB303" s="30" t="n">
        <v>10535262447.5</v>
      </c>
      <c r="AC303" s="35" t="n">
        <v>0.009914034432763067</v>
      </c>
      <c r="AD303" s="24" t="inlineStr">
        <is>
          <t>yfinance_download</t>
        </is>
      </c>
      <c r="AE303" s="24" t="inlineStr">
        <is>
          <t>319660.KQ</t>
        </is>
      </c>
    </row>
    <row r="304" ht="24" customHeight="1">
      <c r="A304" s="29" t="inlineStr">
        <is>
          <t>2024-08-30</t>
        </is>
      </c>
      <c r="B304" s="31" t="n">
        <v>26400</v>
      </c>
      <c r="C304" s="31" t="n">
        <v>26700</v>
      </c>
      <c r="D304" s="31" t="n">
        <v>25700</v>
      </c>
      <c r="E304" s="31" t="n">
        <v>25800</v>
      </c>
      <c r="F304" s="31" t="n">
        <v>25202.310546875</v>
      </c>
      <c r="G304" s="31" t="n">
        <v>273362</v>
      </c>
      <c r="H304" s="36" t="n">
        <v>-0.007692307692307665</v>
      </c>
      <c r="I304" s="36" t="n">
        <v>-0.3316062176165803</v>
      </c>
      <c r="J304" s="31" t="n">
        <v>27740</v>
      </c>
      <c r="K304" s="31" t="n">
        <v>31955.83333333333</v>
      </c>
      <c r="L304" s="31" t="n">
        <v>30903.75</v>
      </c>
      <c r="M304" s="36" t="n">
        <v>0.7100196946365076</v>
      </c>
      <c r="N304" s="36" t="n">
        <v>0.6333154746113062</v>
      </c>
      <c r="O304" s="36" t="n">
        <v>-0.1848341232227488</v>
      </c>
      <c r="P304" s="36" t="n">
        <v>-0.1663974151857835</v>
      </c>
      <c r="Q304" s="36" t="n">
        <v>-0.003861003861003853</v>
      </c>
      <c r="R304" s="36" t="n">
        <v>-0.06993511175198275</v>
      </c>
      <c r="S304" s="36" t="n">
        <v>-0.1926356690223485</v>
      </c>
      <c r="T304" s="36" t="n">
        <v>-0.1651498604538284</v>
      </c>
      <c r="U304" s="31" t="n">
        <v>38600</v>
      </c>
      <c r="V304" s="31" t="n">
        <v>17160</v>
      </c>
      <c r="W304" s="36" t="n">
        <v>-0.3316062176165803</v>
      </c>
      <c r="X304" s="36" t="n">
        <v>0.5034965034965035</v>
      </c>
      <c r="Y304" s="31" t="n">
        <v>28966714</v>
      </c>
      <c r="Z304" s="31" t="n">
        <v>747341221200</v>
      </c>
      <c r="AA304" s="31" t="n">
        <v>7052739600</v>
      </c>
      <c r="AB304" s="31" t="n">
        <v>10269985400</v>
      </c>
      <c r="AC304" s="36" t="n">
        <v>0.009437107709214101</v>
      </c>
      <c r="AD304" s="29" t="inlineStr">
        <is>
          <t>yfinance_download</t>
        </is>
      </c>
      <c r="AE304" s="29" t="inlineStr">
        <is>
          <t>319660.KQ</t>
        </is>
      </c>
    </row>
    <row r="305" ht="24" customHeight="1">
      <c r="A305" s="24" t="inlineStr">
        <is>
          <t>2024-09-02</t>
        </is>
      </c>
      <c r="B305" s="30" t="n">
        <v>25800</v>
      </c>
      <c r="C305" s="30" t="n">
        <v>25800</v>
      </c>
      <c r="D305" s="30" t="n">
        <v>24950</v>
      </c>
      <c r="E305" s="30" t="n">
        <v>25100</v>
      </c>
      <c r="F305" s="30" t="n">
        <v>24518.52734375</v>
      </c>
      <c r="G305" s="30" t="n">
        <v>224142</v>
      </c>
      <c r="H305" s="35" t="n">
        <v>-0.02713178294573648</v>
      </c>
      <c r="I305" s="35" t="n">
        <v>-0.3497409326424871</v>
      </c>
      <c r="J305" s="30" t="n">
        <v>27597.5</v>
      </c>
      <c r="K305" s="30" t="n">
        <v>31815.83333333333</v>
      </c>
      <c r="L305" s="30" t="n">
        <v>30896.66666666667</v>
      </c>
      <c r="M305" s="35" t="n">
        <v>0.5909213635240742</v>
      </c>
      <c r="N305" s="35" t="n">
        <v>0.6101535992412586</v>
      </c>
      <c r="O305" s="35" t="n">
        <v>-0.1019677996422182</v>
      </c>
      <c r="P305" s="35" t="n">
        <v>-0.2507462686567165</v>
      </c>
      <c r="Q305" s="35" t="n">
        <v>-0.03275529865125237</v>
      </c>
      <c r="R305" s="35" t="n">
        <v>-0.09049732765649066</v>
      </c>
      <c r="S305" s="35" t="n">
        <v>-0.2110846276748998</v>
      </c>
      <c r="T305" s="35" t="n">
        <v>-0.1876146294098608</v>
      </c>
      <c r="U305" s="30" t="n">
        <v>38600</v>
      </c>
      <c r="V305" s="30" t="n">
        <v>17160</v>
      </c>
      <c r="W305" s="35" t="n">
        <v>-0.3497409326424871</v>
      </c>
      <c r="X305" s="35" t="n">
        <v>0.4627039627039626</v>
      </c>
      <c r="Y305" s="30" t="n">
        <v>28966714</v>
      </c>
      <c r="Z305" s="30" t="n">
        <v>727064521400</v>
      </c>
      <c r="AA305" s="30" t="n">
        <v>5625964200</v>
      </c>
      <c r="AB305" s="30" t="n">
        <v>9648300165</v>
      </c>
      <c r="AC305" s="35" t="n">
        <v>0.007737916009389259</v>
      </c>
      <c r="AD305" s="24" t="inlineStr">
        <is>
          <t>yfinance_download</t>
        </is>
      </c>
      <c r="AE305" s="24" t="inlineStr">
        <is>
          <t>319660.KQ</t>
        </is>
      </c>
    </row>
    <row r="306" ht="24" customHeight="1">
      <c r="A306" s="29" t="inlineStr">
        <is>
          <t>2024-09-03</t>
        </is>
      </c>
      <c r="B306" s="31" t="n">
        <v>25150</v>
      </c>
      <c r="C306" s="31" t="n">
        <v>25150</v>
      </c>
      <c r="D306" s="31" t="n">
        <v>24200</v>
      </c>
      <c r="E306" s="31" t="n">
        <v>24350</v>
      </c>
      <c r="F306" s="31" t="n">
        <v>23785.900390625</v>
      </c>
      <c r="G306" s="31" t="n">
        <v>246434</v>
      </c>
      <c r="H306" s="36" t="n">
        <v>-0.02988047808764938</v>
      </c>
      <c r="I306" s="36" t="n">
        <v>-0.3691709844559585</v>
      </c>
      <c r="J306" s="31" t="n">
        <v>27520</v>
      </c>
      <c r="K306" s="31" t="n">
        <v>31657.5</v>
      </c>
      <c r="L306" s="31" t="n">
        <v>30887.91666666667</v>
      </c>
      <c r="M306" s="36" t="n">
        <v>0.5420852865820256</v>
      </c>
      <c r="N306" s="36" t="n">
        <v>0.6116516821238165</v>
      </c>
      <c r="O306" s="36" t="n">
        <v>-0.05984555984555984</v>
      </c>
      <c r="P306" s="36" t="n">
        <v>-0.2806499261447563</v>
      </c>
      <c r="Q306" s="36" t="n">
        <v>-0.04133858267716539</v>
      </c>
      <c r="R306" s="36" t="n">
        <v>-0.1151889534883721</v>
      </c>
      <c r="S306" s="36" t="n">
        <v>-0.2308299770986338</v>
      </c>
      <c r="T306" s="36" t="n">
        <v>-0.2116658348059517</v>
      </c>
      <c r="U306" s="31" t="n">
        <v>38600</v>
      </c>
      <c r="V306" s="31" t="n">
        <v>17160</v>
      </c>
      <c r="W306" s="36" t="n">
        <v>-0.3691709844559585</v>
      </c>
      <c r="X306" s="36" t="n">
        <v>0.4189976689976691</v>
      </c>
      <c r="Y306" s="31" t="n">
        <v>28966714</v>
      </c>
      <c r="Z306" s="31" t="n">
        <v>705339485900</v>
      </c>
      <c r="AA306" s="31" t="n">
        <v>6000667900</v>
      </c>
      <c r="AB306" s="31" t="n">
        <v>9311101615</v>
      </c>
      <c r="AC306" s="36" t="n">
        <v>0.008507488975104321</v>
      </c>
      <c r="AD306" s="29" t="inlineStr">
        <is>
          <t>yfinance_download</t>
        </is>
      </c>
      <c r="AE306" s="29" t="inlineStr">
        <is>
          <t>319660.KQ</t>
        </is>
      </c>
    </row>
    <row r="307" ht="24" customHeight="1">
      <c r="A307" s="24" t="inlineStr">
        <is>
          <t>2024-09-04</t>
        </is>
      </c>
      <c r="B307" s="30" t="n">
        <v>23300</v>
      </c>
      <c r="C307" s="30" t="n">
        <v>23550</v>
      </c>
      <c r="D307" s="30" t="n">
        <v>22700</v>
      </c>
      <c r="E307" s="30" t="n">
        <v>23200</v>
      </c>
      <c r="F307" s="30" t="n">
        <v>22662.54296875</v>
      </c>
      <c r="G307" s="30" t="n">
        <v>319026</v>
      </c>
      <c r="H307" s="35" t="n">
        <v>-0.04722792607802873</v>
      </c>
      <c r="I307" s="35" t="n">
        <v>-0.3989637305699482</v>
      </c>
      <c r="J307" s="30" t="n">
        <v>27342.5</v>
      </c>
      <c r="K307" s="30" t="n">
        <v>31496.66666666667</v>
      </c>
      <c r="L307" s="30" t="n">
        <v>30860.41666666667</v>
      </c>
      <c r="M307" s="35" t="n">
        <v>0.5472859344036561</v>
      </c>
      <c r="N307" s="35" t="n">
        <v>0.6157748551363403</v>
      </c>
      <c r="O307" s="35" t="n">
        <v>-0.1327102803738318</v>
      </c>
      <c r="P307" s="35" t="n">
        <v>-0.2937595129375952</v>
      </c>
      <c r="Q307" s="35" t="n">
        <v>-0.1245283018867924</v>
      </c>
      <c r="R307" s="35" t="n">
        <v>-0.1515040687574289</v>
      </c>
      <c r="S307" s="35" t="n">
        <v>-0.2634141178960737</v>
      </c>
      <c r="T307" s="35" t="n">
        <v>-0.2482279079187201</v>
      </c>
      <c r="U307" s="30" t="n">
        <v>38600</v>
      </c>
      <c r="V307" s="30" t="n">
        <v>17160</v>
      </c>
      <c r="W307" s="35" t="n">
        <v>-0.3989637305699482</v>
      </c>
      <c r="X307" s="35" t="n">
        <v>0.3519813519813519</v>
      </c>
      <c r="Y307" s="30" t="n">
        <v>28966714</v>
      </c>
      <c r="Z307" s="30" t="n">
        <v>672027764800</v>
      </c>
      <c r="AA307" s="30" t="n">
        <v>7401403200</v>
      </c>
      <c r="AB307" s="30" t="n">
        <v>8955916412.5</v>
      </c>
      <c r="AC307" s="35" t="n">
        <v>0.01101353781447216</v>
      </c>
      <c r="AD307" s="24" t="inlineStr">
        <is>
          <t>yfinance_download</t>
        </is>
      </c>
      <c r="AE307" s="24" t="inlineStr">
        <is>
          <t>319660.KQ</t>
        </is>
      </c>
    </row>
    <row r="308" ht="24" customHeight="1">
      <c r="A308" s="29" t="inlineStr">
        <is>
          <t>2024-09-05</t>
        </is>
      </c>
      <c r="B308" s="31" t="n">
        <v>23200</v>
      </c>
      <c r="C308" s="31" t="n">
        <v>23500</v>
      </c>
      <c r="D308" s="31" t="n">
        <v>22250</v>
      </c>
      <c r="E308" s="31" t="n">
        <v>22250</v>
      </c>
      <c r="F308" s="31" t="n">
        <v>21734.55078125</v>
      </c>
      <c r="G308" s="31" t="n">
        <v>440127</v>
      </c>
      <c r="H308" s="36" t="n">
        <v>-0.04094827586206895</v>
      </c>
      <c r="I308" s="36" t="n">
        <v>-0.4235751295336787</v>
      </c>
      <c r="J308" s="31" t="n">
        <v>27092.5</v>
      </c>
      <c r="K308" s="31" t="n">
        <v>31310.83333333333</v>
      </c>
      <c r="L308" s="31" t="n">
        <v>30825</v>
      </c>
      <c r="M308" s="36" t="n">
        <v>0.5517478066314087</v>
      </c>
      <c r="N308" s="36" t="n">
        <v>0.6184054695422102</v>
      </c>
      <c r="O308" s="36" t="n">
        <v>-0.1834862385321101</v>
      </c>
      <c r="P308" s="36" t="n">
        <v>-0.3338323353293413</v>
      </c>
      <c r="Q308" s="36" t="n">
        <v>-0.160377358490566</v>
      </c>
      <c r="R308" s="36" t="n">
        <v>-0.1787395035526437</v>
      </c>
      <c r="S308" s="36" t="n">
        <v>-0.2893833337769143</v>
      </c>
      <c r="T308" s="36" t="n">
        <v>-0.278183292781833</v>
      </c>
      <c r="U308" s="31" t="n">
        <v>38600</v>
      </c>
      <c r="V308" s="31" t="n">
        <v>17160</v>
      </c>
      <c r="W308" s="36" t="n">
        <v>-0.4235751295336787</v>
      </c>
      <c r="X308" s="36" t="n">
        <v>0.2966200466200466</v>
      </c>
      <c r="Y308" s="31" t="n">
        <v>28966714</v>
      </c>
      <c r="Z308" s="31" t="n">
        <v>644509386500</v>
      </c>
      <c r="AA308" s="31" t="n">
        <v>9792825750</v>
      </c>
      <c r="AB308" s="31" t="n">
        <v>8912505462.5</v>
      </c>
      <c r="AC308" s="36" t="n">
        <v>0.01519423293922811</v>
      </c>
      <c r="AD308" s="29" t="inlineStr">
        <is>
          <t>yfinance_download</t>
        </is>
      </c>
      <c r="AE308" s="29" t="inlineStr">
        <is>
          <t>319660.KQ</t>
        </is>
      </c>
    </row>
    <row r="309" ht="24" customHeight="1">
      <c r="A309" s="24" t="inlineStr">
        <is>
          <t>2024-09-06</t>
        </is>
      </c>
      <c r="B309" s="30" t="n">
        <v>22300</v>
      </c>
      <c r="C309" s="30" t="n">
        <v>22500</v>
      </c>
      <c r="D309" s="30" t="n">
        <v>21500</v>
      </c>
      <c r="E309" s="30" t="n">
        <v>21700</v>
      </c>
      <c r="F309" s="30" t="n">
        <v>21197.291015625</v>
      </c>
      <c r="G309" s="30" t="n">
        <v>303695</v>
      </c>
      <c r="H309" s="35" t="n">
        <v>-0.02471910112359554</v>
      </c>
      <c r="I309" s="35" t="n">
        <v>-0.4378238341968912</v>
      </c>
      <c r="J309" s="30" t="n">
        <v>26847.5</v>
      </c>
      <c r="K309" s="30" t="n">
        <v>31117.5</v>
      </c>
      <c r="L309" s="30" t="n">
        <v>30789.16666666667</v>
      </c>
      <c r="M309" s="35" t="n">
        <v>0.5520546298394011</v>
      </c>
      <c r="N309" s="35" t="n">
        <v>0.6195567735407389</v>
      </c>
      <c r="O309" s="35" t="n">
        <v>-0.1842105263157895</v>
      </c>
      <c r="P309" s="35" t="n">
        <v>-0.3483483483483484</v>
      </c>
      <c r="Q309" s="35" t="n">
        <v>-0.1653846153846154</v>
      </c>
      <c r="R309" s="35" t="n">
        <v>-0.1917310736567651</v>
      </c>
      <c r="S309" s="35" t="n">
        <v>-0.3026432071985218</v>
      </c>
      <c r="T309" s="35" t="n">
        <v>-0.2952066473597316</v>
      </c>
      <c r="U309" s="30" t="n">
        <v>38600</v>
      </c>
      <c r="V309" s="30" t="n">
        <v>17160</v>
      </c>
      <c r="W309" s="35" t="n">
        <v>-0.4378238341968912</v>
      </c>
      <c r="X309" s="35" t="n">
        <v>0.2645687645687647</v>
      </c>
      <c r="Y309" s="30" t="n">
        <v>28966714</v>
      </c>
      <c r="Z309" s="30" t="n">
        <v>628577693800</v>
      </c>
      <c r="AA309" s="30" t="n">
        <v>6590181500</v>
      </c>
      <c r="AB309" s="30" t="n">
        <v>8838255797.5</v>
      </c>
      <c r="AC309" s="35" t="n">
        <v>0.01048427515803139</v>
      </c>
      <c r="AD309" s="24" t="inlineStr">
        <is>
          <t>yfinance_download</t>
        </is>
      </c>
      <c r="AE309" s="24" t="inlineStr">
        <is>
          <t>319660.KQ</t>
        </is>
      </c>
    </row>
    <row r="310" ht="24" customHeight="1">
      <c r="A310" s="29" t="inlineStr">
        <is>
          <t>2024-09-09</t>
        </is>
      </c>
      <c r="B310" s="31" t="n">
        <v>21400</v>
      </c>
      <c r="C310" s="31" t="n">
        <v>22200</v>
      </c>
      <c r="D310" s="31" t="n">
        <v>21050</v>
      </c>
      <c r="E310" s="31" t="n">
        <v>22050</v>
      </c>
      <c r="F310" s="31" t="n">
        <v>21539.18359375</v>
      </c>
      <c r="G310" s="31" t="n">
        <v>223975</v>
      </c>
      <c r="H310" s="36" t="n">
        <v>0.0161290322580645</v>
      </c>
      <c r="I310" s="36" t="n">
        <v>-0.4287564766839378</v>
      </c>
      <c r="J310" s="31" t="n">
        <v>26520</v>
      </c>
      <c r="K310" s="31" t="n">
        <v>30930.83333333333</v>
      </c>
      <c r="L310" s="31" t="n">
        <v>30752.08333333333</v>
      </c>
      <c r="M310" s="36" t="n">
        <v>0.464693881960377</v>
      </c>
      <c r="N310" s="36" t="n">
        <v>0.6211984194675993</v>
      </c>
      <c r="O310" s="36" t="n">
        <v>-0.2290209790209791</v>
      </c>
      <c r="P310" s="36" t="n">
        <v>-0.3368421052631579</v>
      </c>
      <c r="Q310" s="36" t="n">
        <v>-0.1679245283018868</v>
      </c>
      <c r="R310" s="36" t="n">
        <v>-0.168552036199095</v>
      </c>
      <c r="S310" s="36" t="n">
        <v>-0.2871191098418514</v>
      </c>
      <c r="T310" s="36" t="n">
        <v>-0.2829754081701782</v>
      </c>
      <c r="U310" s="31" t="n">
        <v>38600</v>
      </c>
      <c r="V310" s="31" t="n">
        <v>17160</v>
      </c>
      <c r="W310" s="36" t="n">
        <v>-0.4287564766839378</v>
      </c>
      <c r="X310" s="36" t="n">
        <v>0.284965034965035</v>
      </c>
      <c r="Y310" s="31" t="n">
        <v>28966714</v>
      </c>
      <c r="Z310" s="31" t="n">
        <v>638716043700</v>
      </c>
      <c r="AA310" s="31" t="n">
        <v>4938648750</v>
      </c>
      <c r="AB310" s="31" t="n">
        <v>8250673125</v>
      </c>
      <c r="AC310" s="36" t="n">
        <v>0.0077321507713992</v>
      </c>
      <c r="AD310" s="29" t="inlineStr">
        <is>
          <t>yfinance_download</t>
        </is>
      </c>
      <c r="AE310" s="29" t="inlineStr">
        <is>
          <t>319660.KQ</t>
        </is>
      </c>
    </row>
    <row r="311" ht="24" customHeight="1">
      <c r="A311" s="24" t="inlineStr">
        <is>
          <t>2024-09-10</t>
        </is>
      </c>
      <c r="B311" s="30" t="n">
        <v>22500</v>
      </c>
      <c r="C311" s="30" t="n">
        <v>22500</v>
      </c>
      <c r="D311" s="30" t="n">
        <v>21550</v>
      </c>
      <c r="E311" s="30" t="n">
        <v>21900</v>
      </c>
      <c r="F311" s="30" t="n">
        <v>21392.66015625</v>
      </c>
      <c r="G311" s="30" t="n">
        <v>207384</v>
      </c>
      <c r="H311" s="35" t="n">
        <v>-0.006802721088435382</v>
      </c>
      <c r="I311" s="35" t="n">
        <v>-0.4326424870466321</v>
      </c>
      <c r="J311" s="30" t="n">
        <v>26167.5</v>
      </c>
      <c r="K311" s="30" t="n">
        <v>30740</v>
      </c>
      <c r="L311" s="30" t="n">
        <v>30702.5</v>
      </c>
      <c r="M311" s="35" t="n">
        <v>0.456076716015768</v>
      </c>
      <c r="N311" s="35" t="n">
        <v>0.6209118168705465</v>
      </c>
      <c r="O311" s="35" t="n">
        <v>-0.2435233160621761</v>
      </c>
      <c r="P311" s="35" t="n">
        <v>-0.343328335832084</v>
      </c>
      <c r="Q311" s="35" t="n">
        <v>-0.2136445242369839</v>
      </c>
      <c r="R311" s="35" t="n">
        <v>-0.1630839782172542</v>
      </c>
      <c r="S311" s="35" t="n">
        <v>-0.2875731945348081</v>
      </c>
      <c r="T311" s="35" t="n">
        <v>-0.2867030372119534</v>
      </c>
      <c r="U311" s="30" t="n">
        <v>38600</v>
      </c>
      <c r="V311" s="30" t="n">
        <v>17160</v>
      </c>
      <c r="W311" s="35" t="n">
        <v>-0.4326424870466321</v>
      </c>
      <c r="X311" s="35" t="n">
        <v>0.2762237762237763</v>
      </c>
      <c r="Y311" s="30" t="n">
        <v>28966714</v>
      </c>
      <c r="Z311" s="30" t="n">
        <v>634371036600</v>
      </c>
      <c r="AA311" s="30" t="n">
        <v>4541709600</v>
      </c>
      <c r="AB311" s="30" t="n">
        <v>8149782607.5</v>
      </c>
      <c r="AC311" s="35" t="n">
        <v>0.007159389912159177</v>
      </c>
      <c r="AD311" s="24" t="inlineStr">
        <is>
          <t>yfinance_download</t>
        </is>
      </c>
      <c r="AE311" s="24" t="inlineStr">
        <is>
          <t>319660.KQ</t>
        </is>
      </c>
    </row>
    <row r="312" ht="24" customHeight="1">
      <c r="A312" s="29" t="inlineStr">
        <is>
          <t>2024-09-11</t>
        </is>
      </c>
      <c r="B312" s="31" t="n">
        <v>22000</v>
      </c>
      <c r="C312" s="31" t="n">
        <v>22500</v>
      </c>
      <c r="D312" s="31" t="n">
        <v>21700</v>
      </c>
      <c r="E312" s="31" t="n">
        <v>21900</v>
      </c>
      <c r="F312" s="31" t="n">
        <v>21392.66015625</v>
      </c>
      <c r="G312" s="31" t="n">
        <v>173558</v>
      </c>
      <c r="H312" s="36" t="n">
        <v>0</v>
      </c>
      <c r="I312" s="36" t="n">
        <v>-0.4326424870466321</v>
      </c>
      <c r="J312" s="31" t="n">
        <v>25777.5</v>
      </c>
      <c r="K312" s="31" t="n">
        <v>30503.33333333333</v>
      </c>
      <c r="L312" s="31" t="n">
        <v>30661.25</v>
      </c>
      <c r="M312" s="36" t="n">
        <v>0.4352055737580383</v>
      </c>
      <c r="N312" s="36" t="n">
        <v>0.5929749160474642</v>
      </c>
      <c r="O312" s="36" t="n">
        <v>-0.2626262626262627</v>
      </c>
      <c r="P312" s="36" t="n">
        <v>-0.3933518005540166</v>
      </c>
      <c r="Q312" s="36" t="n">
        <v>-0.1843575418994413</v>
      </c>
      <c r="R312" s="36" t="n">
        <v>-0.1504218795461157</v>
      </c>
      <c r="S312" s="36" t="n">
        <v>-0.2820456780679707</v>
      </c>
      <c r="T312" s="36" t="n">
        <v>-0.2857434057646051</v>
      </c>
      <c r="U312" s="31" t="n">
        <v>38600</v>
      </c>
      <c r="V312" s="31" t="n">
        <v>17160</v>
      </c>
      <c r="W312" s="36" t="n">
        <v>-0.4326424870466321</v>
      </c>
      <c r="X312" s="36" t="n">
        <v>0.2762237762237763</v>
      </c>
      <c r="Y312" s="31" t="n">
        <v>28966714</v>
      </c>
      <c r="Z312" s="31" t="n">
        <v>634371036600</v>
      </c>
      <c r="AA312" s="31" t="n">
        <v>3800920200</v>
      </c>
      <c r="AB312" s="31" t="n">
        <v>8021809927.5</v>
      </c>
      <c r="AC312" s="36" t="n">
        <v>0.005991635778915068</v>
      </c>
      <c r="AD312" s="29" t="inlineStr">
        <is>
          <t>yfinance_download</t>
        </is>
      </c>
      <c r="AE312" s="29" t="inlineStr">
        <is>
          <t>319660.KQ</t>
        </is>
      </c>
    </row>
    <row r="313" ht="24" customHeight="1">
      <c r="A313" s="24" t="inlineStr">
        <is>
          <t>2024-09-12</t>
        </is>
      </c>
      <c r="B313" s="30" t="n">
        <v>22850</v>
      </c>
      <c r="C313" s="30" t="n">
        <v>23450</v>
      </c>
      <c r="D313" s="30" t="n">
        <v>22700</v>
      </c>
      <c r="E313" s="30" t="n">
        <v>22750</v>
      </c>
      <c r="F313" s="30" t="n">
        <v>22222.966796875</v>
      </c>
      <c r="G313" s="30" t="n">
        <v>448499</v>
      </c>
      <c r="H313" s="35" t="n">
        <v>0.03881278538812793</v>
      </c>
      <c r="I313" s="35" t="n">
        <v>-0.4106217616580311</v>
      </c>
      <c r="J313" s="30" t="n">
        <v>25392.5</v>
      </c>
      <c r="K313" s="30" t="n">
        <v>30292.5</v>
      </c>
      <c r="L313" s="30" t="n">
        <v>30627.91666666667</v>
      </c>
      <c r="M313" s="35" t="n">
        <v>0.4539984825717965</v>
      </c>
      <c r="N313" s="35" t="n">
        <v>0.5999882542162317</v>
      </c>
      <c r="O313" s="35" t="n">
        <v>-0.2528735632183908</v>
      </c>
      <c r="P313" s="35" t="n">
        <v>-0.3573446327683616</v>
      </c>
      <c r="Q313" s="35" t="n">
        <v>-0.1495327102803738</v>
      </c>
      <c r="R313" s="35" t="n">
        <v>-0.104066161268091</v>
      </c>
      <c r="S313" s="35" t="n">
        <v>-0.2489890236857308</v>
      </c>
      <c r="T313" s="35" t="n">
        <v>-0.2572135987048852</v>
      </c>
      <c r="U313" s="30" t="n">
        <v>38600</v>
      </c>
      <c r="V313" s="30" t="n">
        <v>17160</v>
      </c>
      <c r="W313" s="35" t="n">
        <v>-0.4106217616580311</v>
      </c>
      <c r="X313" s="35" t="n">
        <v>0.3257575757575757</v>
      </c>
      <c r="Y313" s="30" t="n">
        <v>28966714</v>
      </c>
      <c r="Z313" s="30" t="n">
        <v>658992743500</v>
      </c>
      <c r="AA313" s="30" t="n">
        <v>10203352250</v>
      </c>
      <c r="AB313" s="30" t="n">
        <v>7772997587.5</v>
      </c>
      <c r="AC313" s="35" t="n">
        <v>0.01548325433116093</v>
      </c>
      <c r="AD313" s="24" t="inlineStr">
        <is>
          <t>yfinance_download</t>
        </is>
      </c>
      <c r="AE313" s="24" t="inlineStr">
        <is>
          <t>319660.KQ</t>
        </is>
      </c>
    </row>
    <row r="314" ht="24" customHeight="1">
      <c r="A314" s="29" t="inlineStr">
        <is>
          <t>2024-09-13</t>
        </is>
      </c>
      <c r="B314" s="31" t="n">
        <v>22650</v>
      </c>
      <c r="C314" s="31" t="n">
        <v>22650</v>
      </c>
      <c r="D314" s="31" t="n">
        <v>21550</v>
      </c>
      <c r="E314" s="31" t="n">
        <v>21700</v>
      </c>
      <c r="F314" s="31" t="n">
        <v>21197.291015625</v>
      </c>
      <c r="G314" s="31" t="n">
        <v>275476</v>
      </c>
      <c r="H314" s="36" t="n">
        <v>-0.0461538461538461</v>
      </c>
      <c r="I314" s="36" t="n">
        <v>-0.4378238341968912</v>
      </c>
      <c r="J314" s="31" t="n">
        <v>24980</v>
      </c>
      <c r="K314" s="31" t="n">
        <v>30059.16666666667</v>
      </c>
      <c r="L314" s="31" t="n">
        <v>30564.58333333333</v>
      </c>
      <c r="M314" s="36" t="n">
        <v>0.4680766686725455</v>
      </c>
      <c r="N314" s="36" t="n">
        <v>0.6045415034917947</v>
      </c>
      <c r="O314" s="36" t="n">
        <v>-0.2754590984974958</v>
      </c>
      <c r="P314" s="36" t="n">
        <v>-0.3921568627450981</v>
      </c>
      <c r="Q314" s="36" t="n">
        <v>-0.2593856655290102</v>
      </c>
      <c r="R314" s="36" t="n">
        <v>-0.1313050440352281</v>
      </c>
      <c r="S314" s="36" t="n">
        <v>-0.2780904327576169</v>
      </c>
      <c r="T314" s="36" t="n">
        <v>-0.2900279462885965</v>
      </c>
      <c r="U314" s="31" t="n">
        <v>38600</v>
      </c>
      <c r="V314" s="31" t="n">
        <v>17160</v>
      </c>
      <c r="W314" s="36" t="n">
        <v>-0.4378238341968912</v>
      </c>
      <c r="X314" s="36" t="n">
        <v>0.2645687645687647</v>
      </c>
      <c r="Y314" s="31" t="n">
        <v>28966714</v>
      </c>
      <c r="Z314" s="31" t="n">
        <v>628577693800</v>
      </c>
      <c r="AA314" s="31" t="n">
        <v>5977829200</v>
      </c>
      <c r="AB314" s="31" t="n">
        <v>7333605075</v>
      </c>
      <c r="AC314" s="36" t="n">
        <v>0.00951008802724396</v>
      </c>
      <c r="AD314" s="29" t="inlineStr">
        <is>
          <t>yfinance_download</t>
        </is>
      </c>
      <c r="AE314" s="29" t="inlineStr">
        <is>
          <t>319660.KQ</t>
        </is>
      </c>
    </row>
    <row r="315" ht="24" customHeight="1">
      <c r="A315" s="24" t="inlineStr">
        <is>
          <t>2024-09-19</t>
        </is>
      </c>
      <c r="B315" s="30" t="n">
        <v>21700</v>
      </c>
      <c r="C315" s="30" t="n">
        <v>21700</v>
      </c>
      <c r="D315" s="30" t="n">
        <v>20500</v>
      </c>
      <c r="E315" s="30" t="n">
        <v>21250</v>
      </c>
      <c r="F315" s="30" t="n">
        <v>20757.716796875</v>
      </c>
      <c r="G315" s="30" t="n">
        <v>253781</v>
      </c>
      <c r="H315" s="35" t="n">
        <v>-0.02073732718894006</v>
      </c>
      <c r="I315" s="35" t="n">
        <v>-0.4494818652849741</v>
      </c>
      <c r="J315" s="30" t="n">
        <v>24537.5</v>
      </c>
      <c r="K315" s="30" t="n">
        <v>29826.66666666667</v>
      </c>
      <c r="L315" s="30" t="n">
        <v>30506.25</v>
      </c>
      <c r="M315" s="35" t="n">
        <v>0.461944250556123</v>
      </c>
      <c r="N315" s="35" t="n">
        <v>0.6050061508153763</v>
      </c>
      <c r="O315" s="35" t="n">
        <v>-0.2940199335548173</v>
      </c>
      <c r="P315" s="35" t="n">
        <v>-0.3963068181818182</v>
      </c>
      <c r="Q315" s="35" t="n">
        <v>-0.2477876106194691</v>
      </c>
      <c r="R315" s="35" t="n">
        <v>-0.1339786041772797</v>
      </c>
      <c r="S315" s="35" t="n">
        <v>-0.2875502905677246</v>
      </c>
      <c r="T315" s="35" t="n">
        <v>-0.3034214300348289</v>
      </c>
      <c r="U315" s="30" t="n">
        <v>38600</v>
      </c>
      <c r="V315" s="30" t="n">
        <v>17160</v>
      </c>
      <c r="W315" s="35" t="n">
        <v>-0.4494818652849741</v>
      </c>
      <c r="X315" s="35" t="n">
        <v>0.2383449883449884</v>
      </c>
      <c r="Y315" s="30" t="n">
        <v>28966714</v>
      </c>
      <c r="Z315" s="30" t="n">
        <v>615542672500</v>
      </c>
      <c r="AA315" s="30" t="n">
        <v>5392846250</v>
      </c>
      <c r="AB315" s="30" t="n">
        <v>7194692562.5</v>
      </c>
      <c r="AC315" s="35" t="n">
        <v>0.008761124924283784</v>
      </c>
      <c r="AD315" s="24" t="inlineStr">
        <is>
          <t>yfinance_download</t>
        </is>
      </c>
      <c r="AE315" s="24" t="inlineStr">
        <is>
          <t>319660.KQ</t>
        </is>
      </c>
    </row>
    <row r="316" ht="24" customHeight="1">
      <c r="A316" s="29" t="inlineStr">
        <is>
          <t>2024-09-20</t>
        </is>
      </c>
      <c r="B316" s="31" t="n">
        <v>21900</v>
      </c>
      <c r="C316" s="31" t="n">
        <v>22050</v>
      </c>
      <c r="D316" s="31" t="n">
        <v>21350</v>
      </c>
      <c r="E316" s="31" t="n">
        <v>21600</v>
      </c>
      <c r="F316" s="31" t="n">
        <v>21099.607421875</v>
      </c>
      <c r="G316" s="31" t="n">
        <v>759908</v>
      </c>
      <c r="H316" s="36" t="n">
        <v>0.01647058823529401</v>
      </c>
      <c r="I316" s="36" t="n">
        <v>-0.4404145077720207</v>
      </c>
      <c r="J316" s="31" t="n">
        <v>24170</v>
      </c>
      <c r="K316" s="31" t="n">
        <v>29623.33333333333</v>
      </c>
      <c r="L316" s="31" t="n">
        <v>30454.16666666667</v>
      </c>
      <c r="M316" s="36" t="n">
        <v>0.4691480384020113</v>
      </c>
      <c r="N316" s="36" t="n">
        <v>0.6032304559139143</v>
      </c>
      <c r="O316" s="36" t="n">
        <v>-0.2538860103626943</v>
      </c>
      <c r="P316" s="36" t="n">
        <v>-0.3609467455621301</v>
      </c>
      <c r="Q316" s="36" t="n">
        <v>-0.2244165170556554</v>
      </c>
      <c r="R316" s="36" t="n">
        <v>-0.1063301613570542</v>
      </c>
      <c r="S316" s="36" t="n">
        <v>-0.2708450545740969</v>
      </c>
      <c r="T316" s="36" t="n">
        <v>-0.2907374469831715</v>
      </c>
      <c r="U316" s="31" t="n">
        <v>38600</v>
      </c>
      <c r="V316" s="31" t="n">
        <v>17160</v>
      </c>
      <c r="W316" s="36" t="n">
        <v>-0.4404145077720207</v>
      </c>
      <c r="X316" s="36" t="n">
        <v>0.2587412587412588</v>
      </c>
      <c r="Y316" s="31" t="n">
        <v>28966714</v>
      </c>
      <c r="Z316" s="31" t="n">
        <v>625681022400</v>
      </c>
      <c r="AA316" s="31" t="n">
        <v>16414012800</v>
      </c>
      <c r="AB316" s="31" t="n">
        <v>7547442507.5</v>
      </c>
      <c r="AC316" s="36" t="n">
        <v>0.02623383515299664</v>
      </c>
      <c r="AD316" s="29" t="inlineStr">
        <is>
          <t>yfinance_download</t>
        </is>
      </c>
      <c r="AE316" s="29" t="inlineStr">
        <is>
          <t>319660.KQ</t>
        </is>
      </c>
    </row>
    <row r="317" ht="24" customHeight="1">
      <c r="A317" s="24" t="inlineStr">
        <is>
          <t>2024-09-23</t>
        </is>
      </c>
      <c r="B317" s="30" t="n">
        <v>21850</v>
      </c>
      <c r="C317" s="30" t="n">
        <v>22700</v>
      </c>
      <c r="D317" s="30" t="n">
        <v>21500</v>
      </c>
      <c r="E317" s="30" t="n">
        <v>22200</v>
      </c>
      <c r="F317" s="30" t="n">
        <v>21685.708984375</v>
      </c>
      <c r="G317" s="30" t="n">
        <v>240142</v>
      </c>
      <c r="H317" s="35" t="n">
        <v>0.02777777777777768</v>
      </c>
      <c r="I317" s="35" t="n">
        <v>-0.4248704663212435</v>
      </c>
      <c r="J317" s="30" t="n">
        <v>23872.5</v>
      </c>
      <c r="K317" s="30" t="n">
        <v>29435.83333333333</v>
      </c>
      <c r="L317" s="30" t="n">
        <v>30406.25</v>
      </c>
      <c r="M317" s="35" t="n">
        <v>0.4888066178169182</v>
      </c>
      <c r="N317" s="35" t="n">
        <v>0.6072965808249661</v>
      </c>
      <c r="O317" s="35" t="n">
        <v>-0.2113676731793961</v>
      </c>
      <c r="P317" s="35" t="n">
        <v>-0.3363228699551569</v>
      </c>
      <c r="Q317" s="35" t="n">
        <v>-0.2057245080500895</v>
      </c>
      <c r="R317" s="35" t="n">
        <v>-0.07005969211435747</v>
      </c>
      <c r="S317" s="35" t="n">
        <v>-0.2458171729468052</v>
      </c>
      <c r="T317" s="35" t="n">
        <v>-0.2698869475847893</v>
      </c>
      <c r="U317" s="30" t="n">
        <v>38600</v>
      </c>
      <c r="V317" s="30" t="n">
        <v>17160</v>
      </c>
      <c r="W317" s="35" t="n">
        <v>-0.4248704663212435</v>
      </c>
      <c r="X317" s="35" t="n">
        <v>0.2937062937062938</v>
      </c>
      <c r="Y317" s="30" t="n">
        <v>28966714</v>
      </c>
      <c r="Z317" s="30" t="n">
        <v>643061050800</v>
      </c>
      <c r="AA317" s="30" t="n">
        <v>5331152400</v>
      </c>
      <c r="AB317" s="30" t="n">
        <v>7335855487.5</v>
      </c>
      <c r="AC317" s="35" t="n">
        <v>0.008290274140173443</v>
      </c>
      <c r="AD317" s="24" t="inlineStr">
        <is>
          <t>yfinance_download</t>
        </is>
      </c>
      <c r="AE317" s="24" t="inlineStr">
        <is>
          <t>319660.KQ</t>
        </is>
      </c>
    </row>
    <row r="318" ht="24" customHeight="1">
      <c r="A318" s="29" t="inlineStr">
        <is>
          <t>2024-09-24</t>
        </is>
      </c>
      <c r="B318" s="31" t="n">
        <v>22250</v>
      </c>
      <c r="C318" s="31" t="n">
        <v>23000</v>
      </c>
      <c r="D318" s="31" t="n">
        <v>22150</v>
      </c>
      <c r="E318" s="31" t="n">
        <v>22850</v>
      </c>
      <c r="F318" s="31" t="n">
        <v>22320.650390625</v>
      </c>
      <c r="G318" s="31" t="n">
        <v>214959</v>
      </c>
      <c r="H318" s="36" t="n">
        <v>0.02927927927927931</v>
      </c>
      <c r="I318" s="36" t="n">
        <v>-0.4080310880829016</v>
      </c>
      <c r="J318" s="31" t="n">
        <v>23635</v>
      </c>
      <c r="K318" s="31" t="n">
        <v>29242.5</v>
      </c>
      <c r="L318" s="31" t="n">
        <v>30356.25</v>
      </c>
      <c r="M318" s="36" t="n">
        <v>0.5082937120598695</v>
      </c>
      <c r="N318" s="36" t="n">
        <v>0.6071419863144003</v>
      </c>
      <c r="O318" s="36" t="n">
        <v>-0.1721014492753623</v>
      </c>
      <c r="P318" s="36" t="n">
        <v>-0.3367198838896952</v>
      </c>
      <c r="Q318" s="36" t="n">
        <v>-0.2079722703639515</v>
      </c>
      <c r="R318" s="36" t="n">
        <v>-0.03321345462238201</v>
      </c>
      <c r="S318" s="36" t="n">
        <v>-0.2186030606138326</v>
      </c>
      <c r="T318" s="36" t="n">
        <v>-0.2472719785876055</v>
      </c>
      <c r="U318" s="31" t="n">
        <v>38600</v>
      </c>
      <c r="V318" s="31" t="n">
        <v>17160</v>
      </c>
      <c r="W318" s="36" t="n">
        <v>-0.4080310880829016</v>
      </c>
      <c r="X318" s="36" t="n">
        <v>0.3315850815850816</v>
      </c>
      <c r="Y318" s="31" t="n">
        <v>28966714</v>
      </c>
      <c r="Z318" s="31" t="n">
        <v>661889414900</v>
      </c>
      <c r="AA318" s="31" t="n">
        <v>4911813150</v>
      </c>
      <c r="AB318" s="31" t="n">
        <v>7224925905</v>
      </c>
      <c r="AC318" s="36" t="n">
        <v>0.007420896964702313</v>
      </c>
      <c r="AD318" s="29" t="inlineStr">
        <is>
          <t>yfinance_download</t>
        </is>
      </c>
      <c r="AE318" s="29" t="inlineStr">
        <is>
          <t>319660.KQ</t>
        </is>
      </c>
    </row>
    <row r="319" ht="24" customHeight="1">
      <c r="A319" s="24" t="inlineStr">
        <is>
          <t>2024-09-25</t>
        </is>
      </c>
      <c r="B319" s="30" t="n">
        <v>23300</v>
      </c>
      <c r="C319" s="30" t="n">
        <v>23400</v>
      </c>
      <c r="D319" s="30" t="n">
        <v>22500</v>
      </c>
      <c r="E319" s="30" t="n">
        <v>22600</v>
      </c>
      <c r="F319" s="30" t="n">
        <v>22076.443359375</v>
      </c>
      <c r="G319" s="30" t="n">
        <v>214136</v>
      </c>
      <c r="H319" s="35" t="n">
        <v>-0.01094091903719907</v>
      </c>
      <c r="I319" s="35" t="n">
        <v>-0.4145077720207254</v>
      </c>
      <c r="J319" s="30" t="n">
        <v>23395</v>
      </c>
      <c r="K319" s="30" t="n">
        <v>29045</v>
      </c>
      <c r="L319" s="30" t="n">
        <v>30305.83333333333</v>
      </c>
      <c r="M319" s="35" t="n">
        <v>0.5083021322405602</v>
      </c>
      <c r="N319" s="35" t="n">
        <v>0.6070871590598976</v>
      </c>
      <c r="O319" s="35" t="n">
        <v>-0.1751824817518248</v>
      </c>
      <c r="P319" s="35" t="n">
        <v>-0.3439767779390421</v>
      </c>
      <c r="Q319" s="35" t="n">
        <v>-0.2111692844677138</v>
      </c>
      <c r="R319" s="35" t="n">
        <v>-0.0339816200042744</v>
      </c>
      <c r="S319" s="35" t="n">
        <v>-0.2218970562919608</v>
      </c>
      <c r="T319" s="35" t="n">
        <v>-0.254268980119339</v>
      </c>
      <c r="U319" s="30" t="n">
        <v>38600</v>
      </c>
      <c r="V319" s="30" t="n">
        <v>17160</v>
      </c>
      <c r="W319" s="35" t="n">
        <v>-0.4145077720207254</v>
      </c>
      <c r="X319" s="35" t="n">
        <v>0.3170163170163169</v>
      </c>
      <c r="Y319" s="30" t="n">
        <v>28966714</v>
      </c>
      <c r="Z319" s="30" t="n">
        <v>654647736400</v>
      </c>
      <c r="AA319" s="30" t="n">
        <v>4839473600</v>
      </c>
      <c r="AB319" s="30" t="n">
        <v>7177841915</v>
      </c>
      <c r="AC319" s="35" t="n">
        <v>0.007392485043350102</v>
      </c>
      <c r="AD319" s="24" t="inlineStr">
        <is>
          <t>yfinance_download</t>
        </is>
      </c>
      <c r="AE319" s="24" t="inlineStr">
        <is>
          <t>319660.KQ</t>
        </is>
      </c>
    </row>
    <row r="320" ht="24" customHeight="1">
      <c r="A320" s="29" t="inlineStr">
        <is>
          <t>2024-09-26</t>
        </is>
      </c>
      <c r="B320" s="31" t="n">
        <v>23800</v>
      </c>
      <c r="C320" s="31" t="n">
        <v>24050</v>
      </c>
      <c r="D320" s="31" t="n">
        <v>23150</v>
      </c>
      <c r="E320" s="31" t="n">
        <v>23900</v>
      </c>
      <c r="F320" s="31" t="n">
        <v>23346.326171875</v>
      </c>
      <c r="G320" s="31" t="n">
        <v>566996</v>
      </c>
      <c r="H320" s="36" t="n">
        <v>0.05752212389380529</v>
      </c>
      <c r="I320" s="36" t="n">
        <v>-0.3808290155440415</v>
      </c>
      <c r="J320" s="31" t="n">
        <v>23277.5</v>
      </c>
      <c r="K320" s="31" t="n">
        <v>28835.83333333333</v>
      </c>
      <c r="L320" s="31" t="n">
        <v>30253.33333333333</v>
      </c>
      <c r="M320" s="36" t="n">
        <v>0.5443720831242427</v>
      </c>
      <c r="N320" s="36" t="n">
        <v>0.6068468509760875</v>
      </c>
      <c r="O320" s="36" t="n">
        <v>-0.08952380952380956</v>
      </c>
      <c r="P320" s="36" t="n">
        <v>-0.3443072702331962</v>
      </c>
      <c r="Q320" s="36" t="n">
        <v>-0.2086092715231788</v>
      </c>
      <c r="R320" s="36" t="n">
        <v>0.02674256256041252</v>
      </c>
      <c r="S320" s="36" t="n">
        <v>-0.1711701297575354</v>
      </c>
      <c r="T320" s="36" t="n">
        <v>-0.2100044072278536</v>
      </c>
      <c r="U320" s="31" t="n">
        <v>38600</v>
      </c>
      <c r="V320" s="31" t="n">
        <v>17160</v>
      </c>
      <c r="W320" s="36" t="n">
        <v>-0.3808290155440415</v>
      </c>
      <c r="X320" s="36" t="n">
        <v>0.3927738927738929</v>
      </c>
      <c r="Y320" s="31" t="n">
        <v>28966714</v>
      </c>
      <c r="Z320" s="31" t="n">
        <v>692304464600</v>
      </c>
      <c r="AA320" s="31" t="n">
        <v>13551204400</v>
      </c>
      <c r="AB320" s="31" t="n">
        <v>7448936635</v>
      </c>
      <c r="AC320" s="36" t="n">
        <v>0.01957405317013176</v>
      </c>
      <c r="AD320" s="29" t="inlineStr">
        <is>
          <t>yfinance_download</t>
        </is>
      </c>
      <c r="AE320" s="29" t="inlineStr">
        <is>
          <t>319660.KQ</t>
        </is>
      </c>
    </row>
    <row r="321" ht="24" customHeight="1">
      <c r="A321" s="24" t="inlineStr">
        <is>
          <t>2024-09-27</t>
        </is>
      </c>
      <c r="B321" s="30" t="n">
        <v>23600</v>
      </c>
      <c r="C321" s="30" t="n">
        <v>24100</v>
      </c>
      <c r="D321" s="30" t="n">
        <v>23100</v>
      </c>
      <c r="E321" s="30" t="n">
        <v>23100</v>
      </c>
      <c r="F321" s="30" t="n">
        <v>22564.859375</v>
      </c>
      <c r="G321" s="30" t="n">
        <v>251409</v>
      </c>
      <c r="H321" s="35" t="n">
        <v>-0.03347280334728031</v>
      </c>
      <c r="I321" s="35" t="n">
        <v>-0.4015544041450777</v>
      </c>
      <c r="J321" s="30" t="n">
        <v>23162.5</v>
      </c>
      <c r="K321" s="30" t="n">
        <v>28618.33333333333</v>
      </c>
      <c r="L321" s="30" t="n">
        <v>30195.83333333333</v>
      </c>
      <c r="M321" s="35" t="n">
        <v>0.5451370334218496</v>
      </c>
      <c r="N321" s="35" t="n">
        <v>0.6093924908501849</v>
      </c>
      <c r="O321" s="35" t="n">
        <v>-0.09055118110236215</v>
      </c>
      <c r="P321" s="35" t="n">
        <v>-0.3609958506224067</v>
      </c>
      <c r="Q321" s="35" t="n">
        <v>-0.23</v>
      </c>
      <c r="R321" s="35" t="n">
        <v>-0.002698327037236936</v>
      </c>
      <c r="S321" s="35" t="n">
        <v>-0.1928251121076233</v>
      </c>
      <c r="T321" s="35" t="n">
        <v>-0.234993790534014</v>
      </c>
      <c r="U321" s="30" t="n">
        <v>38600</v>
      </c>
      <c r="V321" s="30" t="n">
        <v>17160</v>
      </c>
      <c r="W321" s="35" t="n">
        <v>-0.4015544041450777</v>
      </c>
      <c r="X321" s="35" t="n">
        <v>0.3461538461538463</v>
      </c>
      <c r="Y321" s="30" t="n">
        <v>28966714</v>
      </c>
      <c r="Z321" s="30" t="n">
        <v>669131093400</v>
      </c>
      <c r="AA321" s="30" t="n">
        <v>5807547900</v>
      </c>
      <c r="AB321" s="30" t="n">
        <v>7337974980</v>
      </c>
      <c r="AC321" s="35" t="n">
        <v>0.008679237831395029</v>
      </c>
      <c r="AD321" s="24" t="inlineStr">
        <is>
          <t>yfinance_download</t>
        </is>
      </c>
      <c r="AE321" s="24" t="inlineStr">
        <is>
          <t>319660.KQ</t>
        </is>
      </c>
    </row>
    <row r="322" ht="24" customHeight="1">
      <c r="A322" s="29" t="inlineStr">
        <is>
          <t>2024-09-30</t>
        </is>
      </c>
      <c r="B322" s="31" t="n">
        <v>23350</v>
      </c>
      <c r="C322" s="31" t="n">
        <v>23450</v>
      </c>
      <c r="D322" s="31" t="n">
        <v>22700</v>
      </c>
      <c r="E322" s="31" t="n">
        <v>22850</v>
      </c>
      <c r="F322" s="31" t="n">
        <v>22320.650390625</v>
      </c>
      <c r="G322" s="31" t="n">
        <v>103481</v>
      </c>
      <c r="H322" s="36" t="n">
        <v>-0.01082251082251084</v>
      </c>
      <c r="I322" s="36" t="n">
        <v>-0.4080310880829016</v>
      </c>
      <c r="J322" s="31" t="n">
        <v>22952.5</v>
      </c>
      <c r="K322" s="31" t="n">
        <v>28403.33333333333</v>
      </c>
      <c r="L322" s="31" t="n">
        <v>30127.08333333333</v>
      </c>
      <c r="M322" s="36" t="n">
        <v>0.4801564904768946</v>
      </c>
      <c r="N322" s="36" t="n">
        <v>0.6093852805172112</v>
      </c>
      <c r="O322" s="36" t="n">
        <v>-0.155268022181146</v>
      </c>
      <c r="P322" s="36" t="n">
        <v>-0.3608391608391608</v>
      </c>
      <c r="Q322" s="36" t="n">
        <v>-0.2652733118971061</v>
      </c>
      <c r="R322" s="36" t="n">
        <v>-0.004465744472279654</v>
      </c>
      <c r="S322" s="36" t="n">
        <v>-0.195516958103509</v>
      </c>
      <c r="T322" s="36" t="n">
        <v>-0.2415462277850771</v>
      </c>
      <c r="U322" s="31" t="n">
        <v>38600</v>
      </c>
      <c r="V322" s="31" t="n">
        <v>17160</v>
      </c>
      <c r="W322" s="36" t="n">
        <v>-0.4080310880829016</v>
      </c>
      <c r="X322" s="36" t="n">
        <v>0.3315850815850816</v>
      </c>
      <c r="Y322" s="31" t="n">
        <v>28966714</v>
      </c>
      <c r="Z322" s="31" t="n">
        <v>661889414900</v>
      </c>
      <c r="AA322" s="31" t="n">
        <v>2364540850</v>
      </c>
      <c r="AB322" s="31" t="n">
        <v>6900271775</v>
      </c>
      <c r="AC322" s="36" t="n">
        <v>0.003572410733229872</v>
      </c>
      <c r="AD322" s="29" t="inlineStr">
        <is>
          <t>yfinance_download</t>
        </is>
      </c>
      <c r="AE322" s="29" t="inlineStr">
        <is>
          <t>319660.KQ</t>
        </is>
      </c>
    </row>
    <row r="323" ht="24" customHeight="1">
      <c r="A323" s="24" t="inlineStr">
        <is>
          <t>2024-10-02</t>
        </is>
      </c>
      <c r="B323" s="30" t="n">
        <v>22200</v>
      </c>
      <c r="C323" s="30" t="n">
        <v>23100</v>
      </c>
      <c r="D323" s="30" t="n">
        <v>21700</v>
      </c>
      <c r="E323" s="30" t="n">
        <v>22700</v>
      </c>
      <c r="F323" s="30" t="n">
        <v>22174.126953125</v>
      </c>
      <c r="G323" s="30" t="n">
        <v>227691</v>
      </c>
      <c r="H323" s="35" t="n">
        <v>-0.006564551422319487</v>
      </c>
      <c r="I323" s="35" t="n">
        <v>-0.4119170984455959</v>
      </c>
      <c r="J323" s="30" t="n">
        <v>22787.5</v>
      </c>
      <c r="K323" s="30" t="n">
        <v>28190</v>
      </c>
      <c r="L323" s="30" t="n">
        <v>30057.5</v>
      </c>
      <c r="M323" s="35" t="n">
        <v>0.4661162094673685</v>
      </c>
      <c r="N323" s="35" t="n">
        <v>0.6093850316704549</v>
      </c>
      <c r="O323" s="35" t="n">
        <v>-0.1269230769230769</v>
      </c>
      <c r="P323" s="35" t="n">
        <v>-0.3605633802816901</v>
      </c>
      <c r="Q323" s="35" t="n">
        <v>-0.2689210950080515</v>
      </c>
      <c r="R323" s="35" t="n">
        <v>-0.003839824465167285</v>
      </c>
      <c r="S323" s="35" t="n">
        <v>-0.1947499113160696</v>
      </c>
      <c r="T323" s="35" t="n">
        <v>-0.2447808367296016</v>
      </c>
      <c r="U323" s="30" t="n">
        <v>38600</v>
      </c>
      <c r="V323" s="30" t="n">
        <v>17160</v>
      </c>
      <c r="W323" s="35" t="n">
        <v>-0.4119170984455959</v>
      </c>
      <c r="X323" s="35" t="n">
        <v>0.3228438228438228</v>
      </c>
      <c r="Y323" s="30" t="n">
        <v>28966714</v>
      </c>
      <c r="Z323" s="30" t="n">
        <v>657544407800</v>
      </c>
      <c r="AA323" s="30" t="n">
        <v>5168585700</v>
      </c>
      <c r="AB323" s="30" t="n">
        <v>6785370960</v>
      </c>
      <c r="AC323" s="35" t="n">
        <v>0.007860435947273826</v>
      </c>
      <c r="AD323" s="24" t="inlineStr">
        <is>
          <t>yfinance_download</t>
        </is>
      </c>
      <c r="AE323" s="24" t="inlineStr">
        <is>
          <t>319660.KQ</t>
        </is>
      </c>
    </row>
    <row r="324" ht="24" customHeight="1">
      <c r="A324" s="29" t="inlineStr">
        <is>
          <t>2024-10-04</t>
        </is>
      </c>
      <c r="B324" s="31" t="n">
        <v>22800</v>
      </c>
      <c r="C324" s="31" t="n">
        <v>23250</v>
      </c>
      <c r="D324" s="31" t="n">
        <v>22550</v>
      </c>
      <c r="E324" s="31" t="n">
        <v>22850</v>
      </c>
      <c r="F324" s="31" t="n">
        <v>22320.650390625</v>
      </c>
      <c r="G324" s="31" t="n">
        <v>97793</v>
      </c>
      <c r="H324" s="36" t="n">
        <v>0.006607929515418443</v>
      </c>
      <c r="I324" s="36" t="n">
        <v>-0.4080310880829016</v>
      </c>
      <c r="J324" s="31" t="n">
        <v>22640</v>
      </c>
      <c r="K324" s="31" t="n">
        <v>27940.83333333333</v>
      </c>
      <c r="L324" s="31" t="n">
        <v>29987.91666666667</v>
      </c>
      <c r="M324" s="36" t="n">
        <v>0.4683308147152697</v>
      </c>
      <c r="N324" s="36" t="n">
        <v>0.5916425401119849</v>
      </c>
      <c r="O324" s="36" t="n">
        <v>-0.1143410852713178</v>
      </c>
      <c r="P324" s="36" t="n">
        <v>-0.3955026455026455</v>
      </c>
      <c r="Q324" s="36" t="n">
        <v>-0.2676282051282052</v>
      </c>
      <c r="R324" s="36" t="n">
        <v>0.00927561837455837</v>
      </c>
      <c r="S324" s="36" t="n">
        <v>-0.1822004831638283</v>
      </c>
      <c r="T324" s="36" t="n">
        <v>-0.2380264273110003</v>
      </c>
      <c r="U324" s="31" t="n">
        <v>38600</v>
      </c>
      <c r="V324" s="31" t="n">
        <v>17160</v>
      </c>
      <c r="W324" s="36" t="n">
        <v>-0.4080310880829016</v>
      </c>
      <c r="X324" s="36" t="n">
        <v>0.3315850815850816</v>
      </c>
      <c r="Y324" s="31" t="n">
        <v>28966714</v>
      </c>
      <c r="Z324" s="31" t="n">
        <v>661889414900</v>
      </c>
      <c r="AA324" s="31" t="n">
        <v>2234570050</v>
      </c>
      <c r="AB324" s="31" t="n">
        <v>6544462482.5</v>
      </c>
      <c r="AC324" s="36" t="n">
        <v>0.003376047417736095</v>
      </c>
      <c r="AD324" s="29" t="inlineStr">
        <is>
          <t>yfinance_download</t>
        </is>
      </c>
      <c r="AE324" s="29" t="inlineStr">
        <is>
          <t>319660.KQ</t>
        </is>
      </c>
    </row>
    <row r="325" ht="24" customHeight="1">
      <c r="A325" s="24" t="inlineStr">
        <is>
          <t>2024-10-07</t>
        </is>
      </c>
      <c r="B325" s="30" t="n">
        <v>23050</v>
      </c>
      <c r="C325" s="30" t="n">
        <v>23450</v>
      </c>
      <c r="D325" s="30" t="n">
        <v>22550</v>
      </c>
      <c r="E325" s="30" t="n">
        <v>23150</v>
      </c>
      <c r="F325" s="30" t="n">
        <v>22613.701171875</v>
      </c>
      <c r="G325" s="30" t="n">
        <v>130721</v>
      </c>
      <c r="H325" s="35" t="n">
        <v>0.01312910284463897</v>
      </c>
      <c r="I325" s="35" t="n">
        <v>-0.4002590673575129</v>
      </c>
      <c r="J325" s="30" t="n">
        <v>22542.5</v>
      </c>
      <c r="K325" s="30" t="n">
        <v>27707.5</v>
      </c>
      <c r="L325" s="30" t="n">
        <v>29927.5</v>
      </c>
      <c r="M325" s="35" t="n">
        <v>0.4656233293097697</v>
      </c>
      <c r="N325" s="35" t="n">
        <v>0.592818289582539</v>
      </c>
      <c r="O325" s="35" t="n">
        <v>-0.07768924302788849</v>
      </c>
      <c r="P325" s="35" t="n">
        <v>-0.3768506056527591</v>
      </c>
      <c r="Q325" s="35" t="n">
        <v>-0.2384868421052632</v>
      </c>
      <c r="R325" s="35" t="n">
        <v>0.02694909615171337</v>
      </c>
      <c r="S325" s="35" t="n">
        <v>-0.1644861499593973</v>
      </c>
      <c r="T325" s="35" t="n">
        <v>-0.2264639545568458</v>
      </c>
      <c r="U325" s="30" t="n">
        <v>38600</v>
      </c>
      <c r="V325" s="30" t="n">
        <v>17160</v>
      </c>
      <c r="W325" s="35" t="n">
        <v>-0.4002590673575129</v>
      </c>
      <c r="X325" s="35" t="n">
        <v>0.3490675990675991</v>
      </c>
      <c r="Y325" s="30" t="n">
        <v>28966714</v>
      </c>
      <c r="Z325" s="30" t="n">
        <v>670579429100</v>
      </c>
      <c r="AA325" s="30" t="n">
        <v>3026191150</v>
      </c>
      <c r="AB325" s="30" t="n">
        <v>6414473830</v>
      </c>
      <c r="AC325" s="35" t="n">
        <v>0.004512800450889943</v>
      </c>
      <c r="AD325" s="24" t="inlineStr">
        <is>
          <t>yfinance_download</t>
        </is>
      </c>
      <c r="AE325" s="24" t="inlineStr">
        <is>
          <t>319660.KQ</t>
        </is>
      </c>
    </row>
    <row r="326" ht="24" customHeight="1">
      <c r="A326" s="29" t="inlineStr">
        <is>
          <t>2024-10-08</t>
        </is>
      </c>
      <c r="B326" s="31" t="n">
        <v>22700</v>
      </c>
      <c r="C326" s="31" t="n">
        <v>23450</v>
      </c>
      <c r="D326" s="31" t="n">
        <v>22700</v>
      </c>
      <c r="E326" s="31" t="n">
        <v>23000</v>
      </c>
      <c r="F326" s="31" t="n">
        <v>22467.17578125</v>
      </c>
      <c r="G326" s="31" t="n">
        <v>106380</v>
      </c>
      <c r="H326" s="36" t="n">
        <v>-0.006479481641468721</v>
      </c>
      <c r="I326" s="36" t="n">
        <v>-0.4041450777202072</v>
      </c>
      <c r="J326" s="31" t="n">
        <v>22475</v>
      </c>
      <c r="K326" s="31" t="n">
        <v>27476.66666666667</v>
      </c>
      <c r="L326" s="31" t="n">
        <v>29869.58333333333</v>
      </c>
      <c r="M326" s="36" t="n">
        <v>0.4554210614624527</v>
      </c>
      <c r="N326" s="36" t="n">
        <v>0.5928167474967285</v>
      </c>
      <c r="O326" s="36" t="n">
        <v>-0.05544147843942504</v>
      </c>
      <c r="P326" s="36" t="n">
        <v>-0.3758480325644504</v>
      </c>
      <c r="Q326" s="36" t="n">
        <v>-0.2320534223706177</v>
      </c>
      <c r="R326" s="36" t="n">
        <v>0.02335928809788657</v>
      </c>
      <c r="S326" s="36" t="n">
        <v>-0.1629261191313842</v>
      </c>
      <c r="T326" s="36" t="n">
        <v>-0.2299859109740957</v>
      </c>
      <c r="U326" s="31" t="n">
        <v>38600</v>
      </c>
      <c r="V326" s="31" t="n">
        <v>17160</v>
      </c>
      <c r="W326" s="36" t="n">
        <v>-0.4041450777202072</v>
      </c>
      <c r="X326" s="36" t="n">
        <v>0.3403263403263403</v>
      </c>
      <c r="Y326" s="31" t="n">
        <v>28966714</v>
      </c>
      <c r="Z326" s="31" t="n">
        <v>666234422000</v>
      </c>
      <c r="AA326" s="31" t="n">
        <v>2446740000</v>
      </c>
      <c r="AB326" s="31" t="n">
        <v>6236777435</v>
      </c>
      <c r="AC326" s="36" t="n">
        <v>0.003672491122051331</v>
      </c>
      <c r="AD326" s="29" t="inlineStr">
        <is>
          <t>yfinance_download</t>
        </is>
      </c>
      <c r="AE326" s="29" t="inlineStr">
        <is>
          <t>319660.KQ</t>
        </is>
      </c>
    </row>
    <row r="327" ht="24" customHeight="1">
      <c r="A327" s="24" t="inlineStr">
        <is>
          <t>2024-10-10</t>
        </is>
      </c>
      <c r="B327" s="30" t="n">
        <v>23450</v>
      </c>
      <c r="C327" s="30" t="n">
        <v>23500</v>
      </c>
      <c r="D327" s="30" t="n">
        <v>22400</v>
      </c>
      <c r="E327" s="30" t="n">
        <v>22450</v>
      </c>
      <c r="F327" s="30" t="n">
        <v>21929.91796875</v>
      </c>
      <c r="G327" s="30" t="n">
        <v>169631</v>
      </c>
      <c r="H327" s="35" t="n">
        <v>-0.02391304347826084</v>
      </c>
      <c r="I327" s="35" t="n">
        <v>-0.4183937823834197</v>
      </c>
      <c r="J327" s="30" t="n">
        <v>22437.5</v>
      </c>
      <c r="K327" s="30" t="n">
        <v>27212.5</v>
      </c>
      <c r="L327" s="30" t="n">
        <v>29797.91666666667</v>
      </c>
      <c r="M327" s="35" t="n">
        <v>0.4319358632415581</v>
      </c>
      <c r="N327" s="35" t="n">
        <v>0.5857669735433202</v>
      </c>
      <c r="O327" s="35" t="n">
        <v>-0.03232758620689657</v>
      </c>
      <c r="P327" s="35" t="n">
        <v>-0.4138381201044387</v>
      </c>
      <c r="Q327" s="35" t="n">
        <v>-0.2769726247987118</v>
      </c>
      <c r="R327" s="35" t="n">
        <v>0.0005571030640667551</v>
      </c>
      <c r="S327" s="35" t="n">
        <v>-0.1750114836931557</v>
      </c>
      <c r="T327" s="35" t="n">
        <v>-0.246591624134797</v>
      </c>
      <c r="U327" s="30" t="n">
        <v>38600</v>
      </c>
      <c r="V327" s="30" t="n">
        <v>17160</v>
      </c>
      <c r="W327" s="35" t="n">
        <v>-0.4183937823834197</v>
      </c>
      <c r="X327" s="35" t="n">
        <v>0.3082750582750582</v>
      </c>
      <c r="Y327" s="30" t="n">
        <v>28966714</v>
      </c>
      <c r="Z327" s="30" t="n">
        <v>650302729300</v>
      </c>
      <c r="AA327" s="30" t="n">
        <v>3808215950</v>
      </c>
      <c r="AB327" s="30" t="n">
        <v>6057118072.5</v>
      </c>
      <c r="AC327" s="35" t="n">
        <v>0.005856066380190725</v>
      </c>
      <c r="AD327" s="24" t="inlineStr">
        <is>
          <t>yfinance_download</t>
        </is>
      </c>
      <c r="AE327" s="24" t="inlineStr">
        <is>
          <t>319660.KQ</t>
        </is>
      </c>
    </row>
    <row r="328" ht="24" customHeight="1">
      <c r="A328" s="29" t="inlineStr">
        <is>
          <t>2024-10-11</t>
        </is>
      </c>
      <c r="B328" s="31" t="n">
        <v>22650</v>
      </c>
      <c r="C328" s="31" t="n">
        <v>23300</v>
      </c>
      <c r="D328" s="31" t="n">
        <v>22450</v>
      </c>
      <c r="E328" s="31" t="n">
        <v>22700</v>
      </c>
      <c r="F328" s="31" t="n">
        <v>22174.126953125</v>
      </c>
      <c r="G328" s="31" t="n">
        <v>163032</v>
      </c>
      <c r="H328" s="36" t="n">
        <v>0.01113585746102452</v>
      </c>
      <c r="I328" s="36" t="n">
        <v>-0.4119170984455959</v>
      </c>
      <c r="J328" s="31" t="n">
        <v>22460</v>
      </c>
      <c r="K328" s="31" t="n">
        <v>26948.33333333333</v>
      </c>
      <c r="L328" s="31" t="n">
        <v>29725</v>
      </c>
      <c r="M328" s="36" t="n">
        <v>0.4073809523071154</v>
      </c>
      <c r="N328" s="36" t="n">
        <v>0.5863371941892869</v>
      </c>
      <c r="O328" s="36" t="n">
        <v>0.02022471910112356</v>
      </c>
      <c r="P328" s="36" t="n">
        <v>-0.4111543450064851</v>
      </c>
      <c r="Q328" s="36" t="n">
        <v>-0.2782193958664547</v>
      </c>
      <c r="R328" s="36" t="n">
        <v>0.01068566340160282</v>
      </c>
      <c r="S328" s="36" t="n">
        <v>-0.1576473498670294</v>
      </c>
      <c r="T328" s="36" t="n">
        <v>-0.2363330529857023</v>
      </c>
      <c r="U328" s="31" t="n">
        <v>38600</v>
      </c>
      <c r="V328" s="31" t="n">
        <v>17160</v>
      </c>
      <c r="W328" s="36" t="n">
        <v>-0.4119170984455959</v>
      </c>
      <c r="X328" s="36" t="n">
        <v>0.3228438228438228</v>
      </c>
      <c r="Y328" s="31" t="n">
        <v>28966714</v>
      </c>
      <c r="Z328" s="31" t="n">
        <v>657544407800</v>
      </c>
      <c r="AA328" s="31" t="n">
        <v>3700826400</v>
      </c>
      <c r="AB328" s="31" t="n">
        <v>5752518105</v>
      </c>
      <c r="AC328" s="36" t="n">
        <v>0.005628253173625424</v>
      </c>
      <c r="AD328" s="29" t="inlineStr">
        <is>
          <t>yfinance_download</t>
        </is>
      </c>
      <c r="AE328" s="29" t="inlineStr">
        <is>
          <t>319660.KQ</t>
        </is>
      </c>
    </row>
    <row r="329" ht="24" customHeight="1">
      <c r="A329" s="24" t="inlineStr">
        <is>
          <t>2024-10-14</t>
        </is>
      </c>
      <c r="B329" s="30" t="n">
        <v>23000</v>
      </c>
      <c r="C329" s="30" t="n">
        <v>24200</v>
      </c>
      <c r="D329" s="30" t="n">
        <v>22950</v>
      </c>
      <c r="E329" s="30" t="n">
        <v>23950</v>
      </c>
      <c r="F329" s="30" t="n">
        <v>23395.16796875</v>
      </c>
      <c r="G329" s="30" t="n">
        <v>375734</v>
      </c>
      <c r="H329" s="35" t="n">
        <v>0.05506607929515428</v>
      </c>
      <c r="I329" s="35" t="n">
        <v>-0.3795336787564767</v>
      </c>
      <c r="J329" s="30" t="n">
        <v>22572.5</v>
      </c>
      <c r="K329" s="30" t="n">
        <v>26704.16666666667</v>
      </c>
      <c r="L329" s="30" t="n">
        <v>29664.58333333333</v>
      </c>
      <c r="M329" s="35" t="n">
        <v>0.437118314401463</v>
      </c>
      <c r="N329" s="35" t="n">
        <v>0.6002113343361319</v>
      </c>
      <c r="O329" s="35" t="n">
        <v>0.1036866359447004</v>
      </c>
      <c r="P329" s="35" t="n">
        <v>-0.3795336787564767</v>
      </c>
      <c r="Q329" s="35" t="n">
        <v>-0.2323717948717948</v>
      </c>
      <c r="R329" s="35" t="n">
        <v>0.06102558422859672</v>
      </c>
      <c r="S329" s="35" t="n">
        <v>-0.1031362146980809</v>
      </c>
      <c r="T329" s="35" t="n">
        <v>-0.192639932579535</v>
      </c>
      <c r="U329" s="30" t="n">
        <v>38600</v>
      </c>
      <c r="V329" s="30" t="n">
        <v>17160</v>
      </c>
      <c r="W329" s="35" t="n">
        <v>-0.3795336787564767</v>
      </c>
      <c r="X329" s="35" t="n">
        <v>0.3956876456876457</v>
      </c>
      <c r="Y329" s="30" t="n">
        <v>28966714</v>
      </c>
      <c r="Z329" s="30" t="n">
        <v>693752800300</v>
      </c>
      <c r="AA329" s="30" t="n">
        <v>8998829300</v>
      </c>
      <c r="AB329" s="30" t="n">
        <v>5872950495</v>
      </c>
      <c r="AC329" s="35" t="n">
        <v>0.01297123311950399</v>
      </c>
      <c r="AD329" s="24" t="inlineStr">
        <is>
          <t>yfinance_download</t>
        </is>
      </c>
      <c r="AE329" s="24" t="inlineStr">
        <is>
          <t>319660.KQ</t>
        </is>
      </c>
    </row>
    <row r="330" ht="24" customHeight="1">
      <c r="A330" s="29" t="inlineStr">
        <is>
          <t>2024-10-15</t>
        </is>
      </c>
      <c r="B330" s="31" t="n">
        <v>24700</v>
      </c>
      <c r="C330" s="31" t="n">
        <v>24750</v>
      </c>
      <c r="D330" s="31" t="n">
        <v>23600</v>
      </c>
      <c r="E330" s="31" t="n">
        <v>24250</v>
      </c>
      <c r="F330" s="31" t="n">
        <v>23688.216796875</v>
      </c>
      <c r="G330" s="31" t="n">
        <v>279914</v>
      </c>
      <c r="H330" s="36" t="n">
        <v>0.01252609603340282</v>
      </c>
      <c r="I330" s="36" t="n">
        <v>-0.3717616580310881</v>
      </c>
      <c r="J330" s="31" t="n">
        <v>22682.5</v>
      </c>
      <c r="K330" s="31" t="n">
        <v>26512.5</v>
      </c>
      <c r="L330" s="31" t="n">
        <v>29599.16666666667</v>
      </c>
      <c r="M330" s="36" t="n">
        <v>0.4361206615160941</v>
      </c>
      <c r="N330" s="36" t="n">
        <v>0.5851739800602079</v>
      </c>
      <c r="O330" s="36" t="n">
        <v>0.09977324263038545</v>
      </c>
      <c r="P330" s="36" t="n">
        <v>-0.3216783216783217</v>
      </c>
      <c r="Q330" s="36" t="n">
        <v>-0.2445482866043613</v>
      </c>
      <c r="R330" s="36" t="n">
        <v>0.06910613909401531</v>
      </c>
      <c r="S330" s="36" t="n">
        <v>-0.08533710513908532</v>
      </c>
      <c r="T330" s="36" t="n">
        <v>-0.1807201779329374</v>
      </c>
      <c r="U330" s="31" t="n">
        <v>38600</v>
      </c>
      <c r="V330" s="31" t="n">
        <v>17160</v>
      </c>
      <c r="W330" s="36" t="n">
        <v>-0.3717616580310881</v>
      </c>
      <c r="X330" s="36" t="n">
        <v>0.4131701631701632</v>
      </c>
      <c r="Y330" s="31" t="n">
        <v>28966714</v>
      </c>
      <c r="Z330" s="31" t="n">
        <v>702442814500</v>
      </c>
      <c r="AA330" s="31" t="n">
        <v>6787914500</v>
      </c>
      <c r="AB330" s="31" t="n">
        <v>5965413782.5</v>
      </c>
      <c r="AC330" s="36" t="n">
        <v>0.009663298363770223</v>
      </c>
      <c r="AD330" s="29" t="inlineStr">
        <is>
          <t>yfinance_download</t>
        </is>
      </c>
      <c r="AE330" s="29" t="inlineStr">
        <is>
          <t>319660.KQ</t>
        </is>
      </c>
    </row>
    <row r="331" ht="24" customHeight="1">
      <c r="A331" s="24" t="inlineStr">
        <is>
          <t>2024-10-16</t>
        </is>
      </c>
      <c r="B331" s="30" t="n">
        <v>23400</v>
      </c>
      <c r="C331" s="30" t="n">
        <v>23800</v>
      </c>
      <c r="D331" s="30" t="n">
        <v>22850</v>
      </c>
      <c r="E331" s="30" t="n">
        <v>22850</v>
      </c>
      <c r="F331" s="30" t="n">
        <v>22320.650390625</v>
      </c>
      <c r="G331" s="30" t="n">
        <v>387441</v>
      </c>
      <c r="H331" s="35" t="n">
        <v>-0.05773195876288661</v>
      </c>
      <c r="I331" s="35" t="n">
        <v>-0.4080310880829016</v>
      </c>
      <c r="J331" s="30" t="n">
        <v>22730</v>
      </c>
      <c r="K331" s="30" t="n">
        <v>26298.33333333333</v>
      </c>
      <c r="L331" s="30" t="n">
        <v>29529.58333333333</v>
      </c>
      <c r="M331" s="35" t="n">
        <v>0.4888689600920733</v>
      </c>
      <c r="N331" s="35" t="n">
        <v>0.594686857492691</v>
      </c>
      <c r="O331" s="35" t="n">
        <v>0.04337899543378998</v>
      </c>
      <c r="P331" s="35" t="n">
        <v>-0.3599439775910365</v>
      </c>
      <c r="Q331" s="35" t="n">
        <v>-0.2676282051282052</v>
      </c>
      <c r="R331" s="35" t="n">
        <v>0.005279366476022895</v>
      </c>
      <c r="S331" s="35" t="n">
        <v>-0.1311236453514164</v>
      </c>
      <c r="T331" s="35" t="n">
        <v>-0.2261997149750956</v>
      </c>
      <c r="U331" s="30" t="n">
        <v>38600</v>
      </c>
      <c r="V331" s="30" t="n">
        <v>17160</v>
      </c>
      <c r="W331" s="35" t="n">
        <v>-0.4080310880829016</v>
      </c>
      <c r="X331" s="35" t="n">
        <v>0.3315850815850816</v>
      </c>
      <c r="Y331" s="30" t="n">
        <v>28966714</v>
      </c>
      <c r="Z331" s="30" t="n">
        <v>661889414900</v>
      </c>
      <c r="AA331" s="30" t="n">
        <v>8853026850</v>
      </c>
      <c r="AB331" s="30" t="n">
        <v>6180979645</v>
      </c>
      <c r="AC331" s="35" t="n">
        <v>0.01337538665932215</v>
      </c>
      <c r="AD331" s="24" t="inlineStr">
        <is>
          <t>yfinance_download</t>
        </is>
      </c>
      <c r="AE331" s="24" t="inlineStr">
        <is>
          <t>319660.KQ</t>
        </is>
      </c>
    </row>
    <row r="332" ht="24" customHeight="1">
      <c r="A332" s="29" t="inlineStr">
        <is>
          <t>2024-10-17</t>
        </is>
      </c>
      <c r="B332" s="31" t="n">
        <v>23050</v>
      </c>
      <c r="C332" s="31" t="n">
        <v>23050</v>
      </c>
      <c r="D332" s="31" t="n">
        <v>21700</v>
      </c>
      <c r="E332" s="31" t="n">
        <v>22250</v>
      </c>
      <c r="F332" s="31" t="n">
        <v>21734.55078125</v>
      </c>
      <c r="G332" s="31" t="n">
        <v>380968</v>
      </c>
      <c r="H332" s="36" t="n">
        <v>-0.02625820568927795</v>
      </c>
      <c r="I332" s="36" t="n">
        <v>-0.4235751295336787</v>
      </c>
      <c r="J332" s="31" t="n">
        <v>22747.5</v>
      </c>
      <c r="K332" s="31" t="n">
        <v>26065.83333333333</v>
      </c>
      <c r="L332" s="31" t="n">
        <v>29445.41666666667</v>
      </c>
      <c r="M332" s="36" t="n">
        <v>0.4994741629864517</v>
      </c>
      <c r="N332" s="36" t="n">
        <v>0.594420691291535</v>
      </c>
      <c r="O332" s="36" t="n">
        <v>0.01598173515981727</v>
      </c>
      <c r="P332" s="36" t="n">
        <v>-0.3853591160220995</v>
      </c>
      <c r="Q332" s="36" t="n">
        <v>-0.3122102009273571</v>
      </c>
      <c r="R332" s="36" t="n">
        <v>-0.0218705352236509</v>
      </c>
      <c r="S332" s="36" t="n">
        <v>-0.1463921480865756</v>
      </c>
      <c r="T332" s="36" t="n">
        <v>-0.2443645728678771</v>
      </c>
      <c r="U332" s="31" t="n">
        <v>38600</v>
      </c>
      <c r="V332" s="31" t="n">
        <v>17160</v>
      </c>
      <c r="W332" s="36" t="n">
        <v>-0.4235751295336787</v>
      </c>
      <c r="X332" s="36" t="n">
        <v>0.2966200466200466</v>
      </c>
      <c r="Y332" s="31" t="n">
        <v>28966714</v>
      </c>
      <c r="Z332" s="31" t="n">
        <v>644509386500</v>
      </c>
      <c r="AA332" s="31" t="n">
        <v>8476538000</v>
      </c>
      <c r="AB332" s="31" t="n">
        <v>6414760535</v>
      </c>
      <c r="AC332" s="36" t="n">
        <v>0.01315192327303677</v>
      </c>
      <c r="AD332" s="29" t="inlineStr">
        <is>
          <t>yfinance_download</t>
        </is>
      </c>
      <c r="AE332" s="29" t="inlineStr">
        <is>
          <t>319660.KQ</t>
        </is>
      </c>
    </row>
    <row r="333" ht="24" customHeight="1">
      <c r="A333" s="24" t="inlineStr">
        <is>
          <t>2024-10-18</t>
        </is>
      </c>
      <c r="B333" s="30" t="n">
        <v>22250</v>
      </c>
      <c r="C333" s="30" t="n">
        <v>22350</v>
      </c>
      <c r="D333" s="30" t="n">
        <v>21150</v>
      </c>
      <c r="E333" s="30" t="n">
        <v>21200</v>
      </c>
      <c r="F333" s="30" t="n">
        <v>20708.875</v>
      </c>
      <c r="G333" s="30" t="n">
        <v>298738</v>
      </c>
      <c r="H333" s="35" t="n">
        <v>-0.04719101123595504</v>
      </c>
      <c r="I333" s="35" t="n">
        <v>-0.4507772020725389</v>
      </c>
      <c r="J333" s="30" t="n">
        <v>22670</v>
      </c>
      <c r="K333" s="30" t="n">
        <v>25870.83333333333</v>
      </c>
      <c r="L333" s="30" t="n">
        <v>29344.58333333333</v>
      </c>
      <c r="M333" s="35" t="n">
        <v>0.5069583241421934</v>
      </c>
      <c r="N333" s="35" t="n">
        <v>0.5744463226692926</v>
      </c>
      <c r="O333" s="35" t="n">
        <v>-0.06813186813186811</v>
      </c>
      <c r="P333" s="35" t="n">
        <v>-0.3556231003039514</v>
      </c>
      <c r="Q333" s="35" t="n">
        <v>-0.3633633633633634</v>
      </c>
      <c r="R333" s="35" t="n">
        <v>-0.06484340538156153</v>
      </c>
      <c r="S333" s="35" t="n">
        <v>-0.180544371074247</v>
      </c>
      <c r="T333" s="35" t="n">
        <v>-0.277549803342468</v>
      </c>
      <c r="U333" s="30" t="n">
        <v>38600</v>
      </c>
      <c r="V333" s="30" t="n">
        <v>17160</v>
      </c>
      <c r="W333" s="35" t="n">
        <v>-0.4507772020725389</v>
      </c>
      <c r="X333" s="35" t="n">
        <v>0.2354312354312353</v>
      </c>
      <c r="Y333" s="30" t="n">
        <v>28966714</v>
      </c>
      <c r="Z333" s="30" t="n">
        <v>614094336800</v>
      </c>
      <c r="AA333" s="30" t="n">
        <v>6333245600</v>
      </c>
      <c r="AB333" s="30" t="n">
        <v>6221255202.5</v>
      </c>
      <c r="AC333" s="35" t="n">
        <v>0.01031314770463781</v>
      </c>
      <c r="AD333" s="24" t="inlineStr">
        <is>
          <t>yfinance_download</t>
        </is>
      </c>
      <c r="AE333" s="24" t="inlineStr">
        <is>
          <t>319660.KQ</t>
        </is>
      </c>
    </row>
    <row r="334" ht="24" customHeight="1">
      <c r="A334" s="29" t="inlineStr">
        <is>
          <t>2024-10-21</t>
        </is>
      </c>
      <c r="B334" s="31" t="n">
        <v>21450</v>
      </c>
      <c r="C334" s="31" t="n">
        <v>21500</v>
      </c>
      <c r="D334" s="31" t="n">
        <v>20900</v>
      </c>
      <c r="E334" s="31" t="n">
        <v>21200</v>
      </c>
      <c r="F334" s="31" t="n">
        <v>20708.875</v>
      </c>
      <c r="G334" s="31" t="n">
        <v>144138</v>
      </c>
      <c r="H334" s="36" t="n">
        <v>0</v>
      </c>
      <c r="I334" s="36" t="n">
        <v>-0.4507772020725389</v>
      </c>
      <c r="J334" s="31" t="n">
        <v>22645</v>
      </c>
      <c r="K334" s="31" t="n">
        <v>25679.16666666667</v>
      </c>
      <c r="L334" s="31" t="n">
        <v>29256.25</v>
      </c>
      <c r="M334" s="36" t="n">
        <v>0.4806870640567712</v>
      </c>
      <c r="N334" s="36" t="n">
        <v>0.5746071667088748</v>
      </c>
      <c r="O334" s="36" t="n">
        <v>-0.02304147465437789</v>
      </c>
      <c r="P334" s="36" t="n">
        <v>-0.3516819571865444</v>
      </c>
      <c r="Q334" s="36" t="n">
        <v>-0.3333333333333334</v>
      </c>
      <c r="R334" s="36" t="n">
        <v>-0.06381099580481342</v>
      </c>
      <c r="S334" s="36" t="n">
        <v>-0.1744280382930391</v>
      </c>
      <c r="T334" s="36" t="n">
        <v>-0.2753685110019226</v>
      </c>
      <c r="U334" s="31" t="n">
        <v>38600</v>
      </c>
      <c r="V334" s="31" t="n">
        <v>17160</v>
      </c>
      <c r="W334" s="36" t="n">
        <v>-0.4507772020725389</v>
      </c>
      <c r="X334" s="36" t="n">
        <v>0.2354312354312353</v>
      </c>
      <c r="Y334" s="31" t="n">
        <v>28966714</v>
      </c>
      <c r="Z334" s="31" t="n">
        <v>614094336800</v>
      </c>
      <c r="AA334" s="31" t="n">
        <v>3055725600</v>
      </c>
      <c r="AB334" s="31" t="n">
        <v>6075150022.5</v>
      </c>
      <c r="AC334" s="36" t="n">
        <v>0.004975987265935653</v>
      </c>
      <c r="AD334" s="29" t="inlineStr">
        <is>
          <t>yfinance_download</t>
        </is>
      </c>
      <c r="AE334" s="29" t="inlineStr">
        <is>
          <t>319660.KQ</t>
        </is>
      </c>
    </row>
    <row r="335" ht="24" customHeight="1">
      <c r="A335" s="24" t="inlineStr">
        <is>
          <t>2024-10-22</t>
        </is>
      </c>
      <c r="B335" s="30" t="n">
        <v>21200</v>
      </c>
      <c r="C335" s="30" t="n">
        <v>21350</v>
      </c>
      <c r="D335" s="30" t="n">
        <v>20400</v>
      </c>
      <c r="E335" s="30" t="n">
        <v>20600</v>
      </c>
      <c r="F335" s="30" t="n">
        <v>20122.7734375</v>
      </c>
      <c r="G335" s="30" t="n">
        <v>190171</v>
      </c>
      <c r="H335" s="35" t="n">
        <v>-0.02830188679245282</v>
      </c>
      <c r="I335" s="35" t="n">
        <v>-0.4663212435233161</v>
      </c>
      <c r="J335" s="30" t="n">
        <v>22612.5</v>
      </c>
      <c r="K335" s="30" t="n">
        <v>25484.16666666667</v>
      </c>
      <c r="L335" s="30" t="n">
        <v>29172.08333333333</v>
      </c>
      <c r="M335" s="35" t="n">
        <v>0.4855880521176905</v>
      </c>
      <c r="N335" s="35" t="n">
        <v>0.5762276248981276</v>
      </c>
      <c r="O335" s="35" t="n">
        <v>-0.03058823529411769</v>
      </c>
      <c r="P335" s="35" t="n">
        <v>-0.3622291021671826</v>
      </c>
      <c r="Q335" s="35" t="n">
        <v>-0.3289902280130294</v>
      </c>
      <c r="R335" s="35" t="n">
        <v>-0.08899944720840247</v>
      </c>
      <c r="S335" s="35" t="n">
        <v>-0.1916549491514339</v>
      </c>
      <c r="T335" s="35" t="n">
        <v>-0.2938454287060974</v>
      </c>
      <c r="U335" s="30" t="n">
        <v>38600</v>
      </c>
      <c r="V335" s="30" t="n">
        <v>17160</v>
      </c>
      <c r="W335" s="35" t="n">
        <v>-0.4663212435233161</v>
      </c>
      <c r="X335" s="35" t="n">
        <v>0.2004662004662006</v>
      </c>
      <c r="Y335" s="30" t="n">
        <v>28966714</v>
      </c>
      <c r="Z335" s="30" t="n">
        <v>596714308400</v>
      </c>
      <c r="AA335" s="30" t="n">
        <v>3917522600</v>
      </c>
      <c r="AB335" s="30" t="n">
        <v>6001383840</v>
      </c>
      <c r="AC335" s="35" t="n">
        <v>0.006565156130584919</v>
      </c>
      <c r="AD335" s="24" t="inlineStr">
        <is>
          <t>yfinance_download</t>
        </is>
      </c>
      <c r="AE335" s="24" t="inlineStr">
        <is>
          <t>319660.KQ</t>
        </is>
      </c>
    </row>
    <row r="336" ht="24" customHeight="1">
      <c r="A336" s="29" t="inlineStr">
        <is>
          <t>2024-10-23</t>
        </is>
      </c>
      <c r="B336" s="31" t="n">
        <v>20750</v>
      </c>
      <c r="C336" s="31" t="n">
        <v>21300</v>
      </c>
      <c r="D336" s="31" t="n">
        <v>20050</v>
      </c>
      <c r="E336" s="31" t="n">
        <v>21100</v>
      </c>
      <c r="F336" s="31" t="n">
        <v>20611.19140625</v>
      </c>
      <c r="G336" s="31" t="n">
        <v>217687</v>
      </c>
      <c r="H336" s="36" t="n">
        <v>0.02427184466019416</v>
      </c>
      <c r="I336" s="36" t="n">
        <v>-0.4533678756476683</v>
      </c>
      <c r="J336" s="31" t="n">
        <v>22587.5</v>
      </c>
      <c r="K336" s="31" t="n">
        <v>25315</v>
      </c>
      <c r="L336" s="31" t="n">
        <v>29105.83333333333</v>
      </c>
      <c r="M336" s="36" t="n">
        <v>0.4901023276259222</v>
      </c>
      <c r="N336" s="36" t="n">
        <v>0.5771631328404992</v>
      </c>
      <c r="O336" s="36" t="n">
        <v>-0.02314814814814814</v>
      </c>
      <c r="P336" s="36" t="n">
        <v>-0.3248</v>
      </c>
      <c r="Q336" s="36" t="n">
        <v>-0.2736660929432013</v>
      </c>
      <c r="R336" s="36" t="n">
        <v>-0.06585500830105151</v>
      </c>
      <c r="S336" s="36" t="n">
        <v>-0.1665020738692475</v>
      </c>
      <c r="T336" s="36" t="n">
        <v>-0.2750594096257909</v>
      </c>
      <c r="U336" s="31" t="n">
        <v>38600</v>
      </c>
      <c r="V336" s="31" t="n">
        <v>17160</v>
      </c>
      <c r="W336" s="36" t="n">
        <v>-0.4533678756476683</v>
      </c>
      <c r="X336" s="36" t="n">
        <v>0.2296037296037297</v>
      </c>
      <c r="Y336" s="31" t="n">
        <v>28966714</v>
      </c>
      <c r="Z336" s="31" t="n">
        <v>611197665400</v>
      </c>
      <c r="AA336" s="31" t="n">
        <v>4593195700</v>
      </c>
      <c r="AB336" s="31" t="n">
        <v>5410342985</v>
      </c>
      <c r="AC336" s="36" t="n">
        <v>0.007515074026001017</v>
      </c>
      <c r="AD336" s="29" t="inlineStr">
        <is>
          <t>yfinance_download</t>
        </is>
      </c>
      <c r="AE336" s="29" t="inlineStr">
        <is>
          <t>319660.KQ</t>
        </is>
      </c>
    </row>
    <row r="337" ht="24" customHeight="1">
      <c r="A337" s="24" t="inlineStr">
        <is>
          <t>2024-10-24</t>
        </is>
      </c>
      <c r="B337" s="30" t="n">
        <v>21100</v>
      </c>
      <c r="C337" s="30" t="n">
        <v>21100</v>
      </c>
      <c r="D337" s="30" t="n">
        <v>20300</v>
      </c>
      <c r="E337" s="30" t="n">
        <v>20500</v>
      </c>
      <c r="F337" s="30" t="n">
        <v>20025.091796875</v>
      </c>
      <c r="G337" s="30" t="n">
        <v>177169</v>
      </c>
      <c r="H337" s="35" t="n">
        <v>-0.02843601895734593</v>
      </c>
      <c r="I337" s="35" t="n">
        <v>-0.4689119170984456</v>
      </c>
      <c r="J337" s="30" t="n">
        <v>22502.5</v>
      </c>
      <c r="K337" s="30" t="n">
        <v>25148.33333333333</v>
      </c>
      <c r="L337" s="30" t="n">
        <v>29022.08333333333</v>
      </c>
      <c r="M337" s="35" t="n">
        <v>0.4873651834700964</v>
      </c>
      <c r="N337" s="35" t="n">
        <v>0.5778295373547873</v>
      </c>
      <c r="O337" s="35" t="n">
        <v>-0.07657657657657657</v>
      </c>
      <c r="P337" s="35" t="n">
        <v>-0.3278688524590164</v>
      </c>
      <c r="Q337" s="35" t="n">
        <v>-0.3289689034369886</v>
      </c>
      <c r="R337" s="35" t="n">
        <v>-0.0889901122097545</v>
      </c>
      <c r="S337" s="35" t="n">
        <v>-0.1848366359599708</v>
      </c>
      <c r="T337" s="35" t="n">
        <v>-0.2936413363387076</v>
      </c>
      <c r="U337" s="30" t="n">
        <v>38600</v>
      </c>
      <c r="V337" s="30" t="n">
        <v>17160</v>
      </c>
      <c r="W337" s="35" t="n">
        <v>-0.4689119170984456</v>
      </c>
      <c r="X337" s="35" t="n">
        <v>0.1946386946386947</v>
      </c>
      <c r="Y337" s="30" t="n">
        <v>28966714</v>
      </c>
      <c r="Z337" s="30" t="n">
        <v>593817637000</v>
      </c>
      <c r="AA337" s="30" t="n">
        <v>3631964500</v>
      </c>
      <c r="AB337" s="30" t="n">
        <v>5325383590</v>
      </c>
      <c r="AC337" s="35" t="n">
        <v>0.006116296104556423</v>
      </c>
      <c r="AD337" s="24" t="inlineStr">
        <is>
          <t>yfinance_download</t>
        </is>
      </c>
      <c r="AE337" s="24" t="inlineStr">
        <is>
          <t>319660.KQ</t>
        </is>
      </c>
    </row>
    <row r="338" ht="24" customHeight="1">
      <c r="A338" s="29" t="inlineStr">
        <is>
          <t>2024-10-25</t>
        </is>
      </c>
      <c r="B338" s="31" t="n">
        <v>20500</v>
      </c>
      <c r="C338" s="31" t="n">
        <v>20600</v>
      </c>
      <c r="D338" s="31" t="n">
        <v>19990</v>
      </c>
      <c r="E338" s="31" t="n">
        <v>20250</v>
      </c>
      <c r="F338" s="31" t="n">
        <v>19780.8828125</v>
      </c>
      <c r="G338" s="31" t="n">
        <v>191551</v>
      </c>
      <c r="H338" s="36" t="n">
        <v>-0.01219512195121952</v>
      </c>
      <c r="I338" s="36" t="n">
        <v>-0.4753886010362695</v>
      </c>
      <c r="J338" s="31" t="n">
        <v>22372.5</v>
      </c>
      <c r="K338" s="31" t="n">
        <v>24960</v>
      </c>
      <c r="L338" s="31" t="n">
        <v>28940</v>
      </c>
      <c r="M338" s="36" t="n">
        <v>0.4723391554866433</v>
      </c>
      <c r="N338" s="36" t="n">
        <v>0.5717853003744175</v>
      </c>
      <c r="O338" s="36" t="n">
        <v>-0.1137855579868708</v>
      </c>
      <c r="P338" s="36" t="n">
        <v>-0.3581616481774961</v>
      </c>
      <c r="Q338" s="36" t="n">
        <v>-0.3272425249169435</v>
      </c>
      <c r="R338" s="36" t="n">
        <v>-0.09487093530003354</v>
      </c>
      <c r="S338" s="36" t="n">
        <v>-0.1887019230769231</v>
      </c>
      <c r="T338" s="36" t="n">
        <v>-0.3002764340013822</v>
      </c>
      <c r="U338" s="31" t="n">
        <v>38600</v>
      </c>
      <c r="V338" s="31" t="n">
        <v>17160</v>
      </c>
      <c r="W338" s="36" t="n">
        <v>-0.4753886010362695</v>
      </c>
      <c r="X338" s="36" t="n">
        <v>0.18006993006993</v>
      </c>
      <c r="Y338" s="31" t="n">
        <v>28966714</v>
      </c>
      <c r="Z338" s="31" t="n">
        <v>586575958500</v>
      </c>
      <c r="AA338" s="31" t="n">
        <v>3878907750</v>
      </c>
      <c r="AB338" s="31" t="n">
        <v>5273738320</v>
      </c>
      <c r="AC338" s="36" t="n">
        <v>0.006612797019365055</v>
      </c>
      <c r="AD338" s="29" t="inlineStr">
        <is>
          <t>yfinance_download</t>
        </is>
      </c>
      <c r="AE338" s="29" t="inlineStr">
        <is>
          <t>319660.KQ</t>
        </is>
      </c>
    </row>
    <row r="339" ht="24" customHeight="1">
      <c r="A339" s="24" t="inlineStr">
        <is>
          <t>2024-10-28</t>
        </is>
      </c>
      <c r="B339" s="30" t="n">
        <v>20050</v>
      </c>
      <c r="C339" s="30" t="n">
        <v>20750</v>
      </c>
      <c r="D339" s="30" t="n">
        <v>20050</v>
      </c>
      <c r="E339" s="30" t="n">
        <v>20600</v>
      </c>
      <c r="F339" s="30" t="n">
        <v>20122.7734375</v>
      </c>
      <c r="G339" s="30" t="n">
        <v>98610</v>
      </c>
      <c r="H339" s="35" t="n">
        <v>0.01728395061728394</v>
      </c>
      <c r="I339" s="35" t="n">
        <v>-0.4663212435233161</v>
      </c>
      <c r="J339" s="30" t="n">
        <v>22272.5</v>
      </c>
      <c r="K339" s="30" t="n">
        <v>24805</v>
      </c>
      <c r="L339" s="30" t="n">
        <v>28861.25</v>
      </c>
      <c r="M339" s="35" t="n">
        <v>0.4786909671966246</v>
      </c>
      <c r="N339" s="35" t="n">
        <v>0.5658464873433907</v>
      </c>
      <c r="O339" s="35" t="n">
        <v>-0.08849557522123896</v>
      </c>
      <c r="P339" s="35" t="n">
        <v>-0.3110367892976589</v>
      </c>
      <c r="Q339" s="35" t="n">
        <v>-0.3144758735440932</v>
      </c>
      <c r="R339" s="35" t="n">
        <v>-0.07509260298574472</v>
      </c>
      <c r="S339" s="35" t="n">
        <v>-0.1695222737351341</v>
      </c>
      <c r="T339" s="35" t="n">
        <v>-0.2862402009614968</v>
      </c>
      <c r="U339" s="30" t="n">
        <v>38600</v>
      </c>
      <c r="V339" s="30" t="n">
        <v>17160</v>
      </c>
      <c r="W339" s="35" t="n">
        <v>-0.4663212435233161</v>
      </c>
      <c r="X339" s="35" t="n">
        <v>0.2004662004662006</v>
      </c>
      <c r="Y339" s="30" t="n">
        <v>28966714</v>
      </c>
      <c r="Z339" s="30" t="n">
        <v>596714308400</v>
      </c>
      <c r="AA339" s="30" t="n">
        <v>2031366000</v>
      </c>
      <c r="AB339" s="30" t="n">
        <v>5133332940</v>
      </c>
      <c r="AC339" s="35" t="n">
        <v>0.003404252204789263</v>
      </c>
      <c r="AD339" s="24" t="inlineStr">
        <is>
          <t>yfinance_download</t>
        </is>
      </c>
      <c r="AE339" s="24" t="inlineStr">
        <is>
          <t>319660.KQ</t>
        </is>
      </c>
    </row>
    <row r="340" ht="24" customHeight="1">
      <c r="A340" s="29" t="inlineStr">
        <is>
          <t>2024-10-29</t>
        </is>
      </c>
      <c r="B340" s="31" t="n">
        <v>20550</v>
      </c>
      <c r="C340" s="31" t="n">
        <v>20650</v>
      </c>
      <c r="D340" s="31" t="n">
        <v>20000</v>
      </c>
      <c r="E340" s="31" t="n">
        <v>20600</v>
      </c>
      <c r="F340" s="31" t="n">
        <v>20122.7734375</v>
      </c>
      <c r="G340" s="31" t="n">
        <v>114329</v>
      </c>
      <c r="H340" s="36" t="n">
        <v>0</v>
      </c>
      <c r="I340" s="36" t="n">
        <v>-0.4663212435233161</v>
      </c>
      <c r="J340" s="31" t="n">
        <v>22107.5</v>
      </c>
      <c r="K340" s="31" t="n">
        <v>24660.83333333333</v>
      </c>
      <c r="L340" s="31" t="n">
        <v>28784.16666666667</v>
      </c>
      <c r="M340" s="36" t="n">
        <v>0.4203220299191296</v>
      </c>
      <c r="N340" s="36" t="n">
        <v>0.5649448818738905</v>
      </c>
      <c r="O340" s="36" t="n">
        <v>-0.1380753138075314</v>
      </c>
      <c r="P340" s="36" t="n">
        <v>-0.2957264957264957</v>
      </c>
      <c r="Q340" s="36" t="n">
        <v>-0.3098827470686767</v>
      </c>
      <c r="R340" s="36" t="n">
        <v>-0.06818952844057447</v>
      </c>
      <c r="S340" s="36" t="n">
        <v>-0.1646673199743182</v>
      </c>
      <c r="T340" s="36" t="n">
        <v>-0.2843287687096494</v>
      </c>
      <c r="U340" s="31" t="n">
        <v>38600</v>
      </c>
      <c r="V340" s="31" t="n">
        <v>17160</v>
      </c>
      <c r="W340" s="36" t="n">
        <v>-0.4663212435233161</v>
      </c>
      <c r="X340" s="36" t="n">
        <v>0.2004662004662006</v>
      </c>
      <c r="Y340" s="31" t="n">
        <v>28966714</v>
      </c>
      <c r="Z340" s="31" t="n">
        <v>596714308400</v>
      </c>
      <c r="AA340" s="31" t="n">
        <v>2355177400</v>
      </c>
      <c r="AB340" s="31" t="n">
        <v>4573531590</v>
      </c>
      <c r="AC340" s="36" t="n">
        <v>0.003946909545901547</v>
      </c>
      <c r="AD340" s="29" t="inlineStr">
        <is>
          <t>yfinance_download</t>
        </is>
      </c>
      <c r="AE340" s="29" t="inlineStr">
        <is>
          <t>319660.KQ</t>
        </is>
      </c>
    </row>
    <row r="341" ht="24" customHeight="1">
      <c r="A341" s="24" t="inlineStr">
        <is>
          <t>2024-10-30</t>
        </is>
      </c>
      <c r="B341" s="30" t="n">
        <v>20650</v>
      </c>
      <c r="C341" s="30" t="n">
        <v>20900</v>
      </c>
      <c r="D341" s="30" t="n">
        <v>20150</v>
      </c>
      <c r="E341" s="30" t="n">
        <v>20300</v>
      </c>
      <c r="F341" s="30" t="n">
        <v>19829.724609375</v>
      </c>
      <c r="G341" s="30" t="n">
        <v>114296</v>
      </c>
      <c r="H341" s="35" t="n">
        <v>-0.0145631067961165</v>
      </c>
      <c r="I341" s="35" t="n">
        <v>-0.4740932642487047</v>
      </c>
      <c r="J341" s="30" t="n">
        <v>21967.5</v>
      </c>
      <c r="K341" s="30" t="n">
        <v>24510</v>
      </c>
      <c r="L341" s="30" t="n">
        <v>28705.83333333333</v>
      </c>
      <c r="M341" s="35" t="n">
        <v>0.4097937848962841</v>
      </c>
      <c r="N341" s="35" t="n">
        <v>0.5649753300218689</v>
      </c>
      <c r="O341" s="35" t="n">
        <v>-0.1212121212121212</v>
      </c>
      <c r="P341" s="35" t="n">
        <v>-0.3083475298126065</v>
      </c>
      <c r="Q341" s="35" t="n">
        <v>-0.3164983164983165</v>
      </c>
      <c r="R341" s="35" t="n">
        <v>-0.07590759075907594</v>
      </c>
      <c r="S341" s="35" t="n">
        <v>-0.1717666258669931</v>
      </c>
      <c r="T341" s="35" t="n">
        <v>-0.2928266612477138</v>
      </c>
      <c r="U341" s="30" t="n">
        <v>38600</v>
      </c>
      <c r="V341" s="30" t="n">
        <v>17160</v>
      </c>
      <c r="W341" s="35" t="n">
        <v>-0.4740932642487047</v>
      </c>
      <c r="X341" s="35" t="n">
        <v>0.1829836829836831</v>
      </c>
      <c r="Y341" s="30" t="n">
        <v>28966714</v>
      </c>
      <c r="Z341" s="30" t="n">
        <v>588024294200</v>
      </c>
      <c r="AA341" s="30" t="n">
        <v>2320208800</v>
      </c>
      <c r="AB341" s="30" t="n">
        <v>4399164635</v>
      </c>
      <c r="AC341" s="35" t="n">
        <v>0.003945770307256805</v>
      </c>
      <c r="AD341" s="24" t="inlineStr">
        <is>
          <t>yfinance_download</t>
        </is>
      </c>
      <c r="AE341" s="24" t="inlineStr">
        <is>
          <t>319660.KQ</t>
        </is>
      </c>
    </row>
    <row r="342" ht="24" customHeight="1">
      <c r="A342" s="29" t="inlineStr">
        <is>
          <t>2024-10-31</t>
        </is>
      </c>
      <c r="B342" s="31" t="n">
        <v>20050</v>
      </c>
      <c r="C342" s="31" t="n">
        <v>21100</v>
      </c>
      <c r="D342" s="31" t="n">
        <v>19940</v>
      </c>
      <c r="E342" s="31" t="n">
        <v>20800</v>
      </c>
      <c r="F342" s="31" t="n">
        <v>20318.140625</v>
      </c>
      <c r="G342" s="31" t="n">
        <v>167090</v>
      </c>
      <c r="H342" s="36" t="n">
        <v>0.02463054187192126</v>
      </c>
      <c r="I342" s="36" t="n">
        <v>-0.461139896373057</v>
      </c>
      <c r="J342" s="31" t="n">
        <v>21865</v>
      </c>
      <c r="K342" s="31" t="n">
        <v>24372.5</v>
      </c>
      <c r="L342" s="31" t="n">
        <v>28630</v>
      </c>
      <c r="M342" s="36" t="n">
        <v>0.423494268456636</v>
      </c>
      <c r="N342" s="36" t="n">
        <v>0.5682362620886535</v>
      </c>
      <c r="O342" s="36" t="n">
        <v>-0.0897155361050328</v>
      </c>
      <c r="P342" s="36" t="n">
        <v>-0.2839931153184165</v>
      </c>
      <c r="Q342" s="36" t="n">
        <v>-0.3043478260869565</v>
      </c>
      <c r="R342" s="36" t="n">
        <v>-0.04870798079121885</v>
      </c>
      <c r="S342" s="36" t="n">
        <v>-0.146579136321674</v>
      </c>
      <c r="T342" s="36" t="n">
        <v>-0.2734893468389801</v>
      </c>
      <c r="U342" s="31" t="n">
        <v>38600</v>
      </c>
      <c r="V342" s="31" t="n">
        <v>17160</v>
      </c>
      <c r="W342" s="36" t="n">
        <v>-0.461139896373057</v>
      </c>
      <c r="X342" s="36" t="n">
        <v>0.2121212121212122</v>
      </c>
      <c r="Y342" s="31" t="n">
        <v>28966714</v>
      </c>
      <c r="Z342" s="31" t="n">
        <v>602507651200</v>
      </c>
      <c r="AA342" s="31" t="n">
        <v>3475472000</v>
      </c>
      <c r="AB342" s="31" t="n">
        <v>4454711192.5</v>
      </c>
      <c r="AC342" s="36" t="n">
        <v>0.005768345004545562</v>
      </c>
      <c r="AD342" s="29" t="inlineStr">
        <is>
          <t>yfinance_download</t>
        </is>
      </c>
      <c r="AE342" s="29" t="inlineStr">
        <is>
          <t>319660.KQ</t>
        </is>
      </c>
    </row>
    <row r="343" ht="24" customHeight="1">
      <c r="A343" s="24" t="inlineStr">
        <is>
          <t>2024-11-01</t>
        </is>
      </c>
      <c r="B343" s="30" t="n">
        <v>20600</v>
      </c>
      <c r="C343" s="30" t="n">
        <v>20950</v>
      </c>
      <c r="D343" s="30" t="n">
        <v>20200</v>
      </c>
      <c r="E343" s="30" t="n">
        <v>20750</v>
      </c>
      <c r="F343" s="30" t="n">
        <v>20269.30078125</v>
      </c>
      <c r="G343" s="30" t="n">
        <v>137475</v>
      </c>
      <c r="H343" s="35" t="n">
        <v>-0.002403846153846145</v>
      </c>
      <c r="I343" s="35" t="n">
        <v>-0.4624352331606217</v>
      </c>
      <c r="J343" s="30" t="n">
        <v>21767.5</v>
      </c>
      <c r="K343" s="30" t="n">
        <v>24195.83333333333</v>
      </c>
      <c r="L343" s="30" t="n">
        <v>28556.66666666667</v>
      </c>
      <c r="M343" s="35" t="n">
        <v>0.4234631152811233</v>
      </c>
      <c r="N343" s="35" t="n">
        <v>0.5405949174610667</v>
      </c>
      <c r="O343" s="35" t="n">
        <v>-0.08590308370044053</v>
      </c>
      <c r="P343" s="35" t="n">
        <v>-0.3381180223285486</v>
      </c>
      <c r="Q343" s="35" t="n">
        <v>-0.2978003384094755</v>
      </c>
      <c r="R343" s="35" t="n">
        <v>-0.04674399908119908</v>
      </c>
      <c r="S343" s="35" t="n">
        <v>-0.1424143275357327</v>
      </c>
      <c r="T343" s="35" t="n">
        <v>-0.2733745768647134</v>
      </c>
      <c r="U343" s="30" t="n">
        <v>38600</v>
      </c>
      <c r="V343" s="30" t="n">
        <v>17160</v>
      </c>
      <c r="W343" s="35" t="n">
        <v>-0.4624352331606217</v>
      </c>
      <c r="X343" s="35" t="n">
        <v>0.2092074592074593</v>
      </c>
      <c r="Y343" s="30" t="n">
        <v>28966714</v>
      </c>
      <c r="Z343" s="30" t="n">
        <v>601059315500</v>
      </c>
      <c r="AA343" s="30" t="n">
        <v>2852606250</v>
      </c>
      <c r="AB343" s="30" t="n">
        <v>4338912220</v>
      </c>
      <c r="AC343" s="35" t="n">
        <v>0.004745964626847215</v>
      </c>
      <c r="AD343" s="24" t="inlineStr">
        <is>
          <t>yfinance_download</t>
        </is>
      </c>
      <c r="AE343" s="24" t="inlineStr">
        <is>
          <t>319660.KQ</t>
        </is>
      </c>
    </row>
    <row r="344" ht="24" customHeight="1">
      <c r="A344" s="29" t="inlineStr">
        <is>
          <t>2024-11-04</t>
        </is>
      </c>
      <c r="B344" s="31" t="n">
        <v>21000</v>
      </c>
      <c r="C344" s="31" t="n">
        <v>21250</v>
      </c>
      <c r="D344" s="31" t="n">
        <v>20450</v>
      </c>
      <c r="E344" s="31" t="n">
        <v>20950</v>
      </c>
      <c r="F344" s="31" t="n">
        <v>20464.666015625</v>
      </c>
      <c r="G344" s="31" t="n">
        <v>150605</v>
      </c>
      <c r="H344" s="36" t="n">
        <v>0.009638554216867545</v>
      </c>
      <c r="I344" s="36" t="n">
        <v>-0.4572538860103627</v>
      </c>
      <c r="J344" s="31" t="n">
        <v>21672.5</v>
      </c>
      <c r="K344" s="31" t="n">
        <v>24017.5</v>
      </c>
      <c r="L344" s="31" t="n">
        <v>28480.41666666667</v>
      </c>
      <c r="M344" s="36" t="n">
        <v>0.4246184954890612</v>
      </c>
      <c r="N344" s="36" t="n">
        <v>0.5406035967742777</v>
      </c>
      <c r="O344" s="36" t="n">
        <v>-0.08315098468271331</v>
      </c>
      <c r="P344" s="36" t="n">
        <v>-0.3380726698262243</v>
      </c>
      <c r="Q344" s="36" t="n">
        <v>-0.3039867109634552</v>
      </c>
      <c r="R344" s="36" t="n">
        <v>-0.03333717845195527</v>
      </c>
      <c r="S344" s="36" t="n">
        <v>-0.1277193712917665</v>
      </c>
      <c r="T344" s="36" t="n">
        <v>-0.2644068292540196</v>
      </c>
      <c r="U344" s="31" t="n">
        <v>38600</v>
      </c>
      <c r="V344" s="31" t="n">
        <v>17160</v>
      </c>
      <c r="W344" s="36" t="n">
        <v>-0.4572538860103627</v>
      </c>
      <c r="X344" s="36" t="n">
        <v>0.2208624708624709</v>
      </c>
      <c r="Y344" s="31" t="n">
        <v>28966714</v>
      </c>
      <c r="Z344" s="31" t="n">
        <v>606852658300</v>
      </c>
      <c r="AA344" s="31" t="n">
        <v>3155174750</v>
      </c>
      <c r="AB344" s="31" t="n">
        <v>4384942455</v>
      </c>
      <c r="AC344" s="36" t="n">
        <v>0.005199243517921985</v>
      </c>
      <c r="AD344" s="29" t="inlineStr">
        <is>
          <t>yfinance_download</t>
        </is>
      </c>
      <c r="AE344" s="29" t="inlineStr">
        <is>
          <t>319660.KQ</t>
        </is>
      </c>
    </row>
    <row r="345" ht="24" customHeight="1">
      <c r="A345" s="24" t="inlineStr">
        <is>
          <t>2024-11-05</t>
        </is>
      </c>
      <c r="B345" s="30" t="n">
        <v>20750</v>
      </c>
      <c r="C345" s="30" t="n">
        <v>20950</v>
      </c>
      <c r="D345" s="30" t="n">
        <v>19740</v>
      </c>
      <c r="E345" s="30" t="n">
        <v>19850</v>
      </c>
      <c r="F345" s="30" t="n">
        <v>19390.150390625</v>
      </c>
      <c r="G345" s="30" t="n">
        <v>283552</v>
      </c>
      <c r="H345" s="35" t="n">
        <v>-0.05250596658711215</v>
      </c>
      <c r="I345" s="35" t="n">
        <v>-0.4857512953367875</v>
      </c>
      <c r="J345" s="30" t="n">
        <v>21507.5</v>
      </c>
      <c r="K345" s="30" t="n">
        <v>23882.5</v>
      </c>
      <c r="L345" s="30" t="n">
        <v>28396.66666666667</v>
      </c>
      <c r="M345" s="35" t="n">
        <v>0.452522476858497</v>
      </c>
      <c r="N345" s="35" t="n">
        <v>0.498811041510032</v>
      </c>
      <c r="O345" s="35" t="n">
        <v>-0.142548596112311</v>
      </c>
      <c r="P345" s="35" t="n">
        <v>-0.2898032200357782</v>
      </c>
      <c r="Q345" s="35" t="n">
        <v>-0.3361204013377926</v>
      </c>
      <c r="R345" s="35" t="n">
        <v>-0.0770661397187028</v>
      </c>
      <c r="S345" s="35" t="n">
        <v>-0.1688474824662409</v>
      </c>
      <c r="T345" s="35" t="n">
        <v>-0.3009742927573659</v>
      </c>
      <c r="U345" s="30" t="n">
        <v>38600</v>
      </c>
      <c r="V345" s="30" t="n">
        <v>17160</v>
      </c>
      <c r="W345" s="35" t="n">
        <v>-0.4857512953367875</v>
      </c>
      <c r="X345" s="35" t="n">
        <v>0.1567599067599068</v>
      </c>
      <c r="Y345" s="30" t="n">
        <v>28966714</v>
      </c>
      <c r="Z345" s="30" t="n">
        <v>574989272900</v>
      </c>
      <c r="AA345" s="30" t="n">
        <v>5628507200</v>
      </c>
      <c r="AB345" s="30" t="n">
        <v>4515058257.5</v>
      </c>
      <c r="AC345" s="35" t="n">
        <v>0.009788890793757277</v>
      </c>
      <c r="AD345" s="24" t="inlineStr">
        <is>
          <t>yfinance_download</t>
        </is>
      </c>
      <c r="AE345" s="24" t="inlineStr">
        <is>
          <t>319660.KQ</t>
        </is>
      </c>
    </row>
    <row r="346" ht="24" customHeight="1">
      <c r="A346" s="29" t="inlineStr">
        <is>
          <t>2024-11-06</t>
        </is>
      </c>
      <c r="B346" s="31" t="n">
        <v>20050</v>
      </c>
      <c r="C346" s="31" t="n">
        <v>20400</v>
      </c>
      <c r="D346" s="31" t="n">
        <v>19730</v>
      </c>
      <c r="E346" s="31" t="n">
        <v>19980</v>
      </c>
      <c r="F346" s="31" t="n">
        <v>19517.13671875</v>
      </c>
      <c r="G346" s="31" t="n">
        <v>194774</v>
      </c>
      <c r="H346" s="36" t="n">
        <v>0.006549118387909392</v>
      </c>
      <c r="I346" s="36" t="n">
        <v>-0.4823834196891191</v>
      </c>
      <c r="J346" s="31" t="n">
        <v>21356.5</v>
      </c>
      <c r="K346" s="31" t="n">
        <v>23783.83333333333</v>
      </c>
      <c r="L346" s="31" t="n">
        <v>28319.83333333333</v>
      </c>
      <c r="M346" s="36" t="n">
        <v>0.455180225045398</v>
      </c>
      <c r="N346" s="36" t="n">
        <v>0.4786594095900461</v>
      </c>
      <c r="O346" s="36" t="n">
        <v>-0.1313043478260869</v>
      </c>
      <c r="P346" s="36" t="n">
        <v>-0.2285714285714285</v>
      </c>
      <c r="Q346" s="36" t="n">
        <v>-0.3157534246575342</v>
      </c>
      <c r="R346" s="36" t="n">
        <v>-0.06445344508697581</v>
      </c>
      <c r="S346" s="36" t="n">
        <v>-0.1599335683202174</v>
      </c>
      <c r="T346" s="36" t="n">
        <v>-0.2944873733955591</v>
      </c>
      <c r="U346" s="31" t="n">
        <v>38600</v>
      </c>
      <c r="V346" s="31" t="n">
        <v>17160</v>
      </c>
      <c r="W346" s="36" t="n">
        <v>-0.4823834196891191</v>
      </c>
      <c r="X346" s="36" t="n">
        <v>0.1643356643356644</v>
      </c>
      <c r="Y346" s="31" t="n">
        <v>28966714</v>
      </c>
      <c r="Z346" s="31" t="n">
        <v>578754945720</v>
      </c>
      <c r="AA346" s="31" t="n">
        <v>3891584520</v>
      </c>
      <c r="AB346" s="31" t="n">
        <v>4587300483.5</v>
      </c>
      <c r="AC346" s="36" t="n">
        <v>0.006724062660334893</v>
      </c>
      <c r="AD346" s="29" t="inlineStr">
        <is>
          <t>yfinance_download</t>
        </is>
      </c>
      <c r="AE346" s="29" t="inlineStr">
        <is>
          <t>319660.KQ</t>
        </is>
      </c>
    </row>
    <row r="347" ht="24" customHeight="1">
      <c r="A347" s="24" t="inlineStr">
        <is>
          <t>2024-11-07</t>
        </is>
      </c>
      <c r="B347" s="30" t="n">
        <v>19850</v>
      </c>
      <c r="C347" s="30" t="n">
        <v>20250</v>
      </c>
      <c r="D347" s="30" t="n">
        <v>19560</v>
      </c>
      <c r="E347" s="30" t="n">
        <v>20000</v>
      </c>
      <c r="F347" s="30" t="n">
        <v>19536.673828125</v>
      </c>
      <c r="G347" s="30" t="n">
        <v>173342</v>
      </c>
      <c r="H347" s="35" t="n">
        <v>0.001001001001001089</v>
      </c>
      <c r="I347" s="35" t="n">
        <v>-0.4818652849740933</v>
      </c>
      <c r="J347" s="30" t="n">
        <v>21234</v>
      </c>
      <c r="K347" s="30" t="n">
        <v>23671.33333333333</v>
      </c>
      <c r="L347" s="30" t="n">
        <v>28254.41666666667</v>
      </c>
      <c r="M347" s="35" t="n">
        <v>0.4511998755156981</v>
      </c>
      <c r="N347" s="35" t="n">
        <v>0.4726464559773394</v>
      </c>
      <c r="O347" s="35" t="n">
        <v>-0.10913140311804</v>
      </c>
      <c r="P347" s="35" t="n">
        <v>-0.2523364485981309</v>
      </c>
      <c r="Q347" s="35" t="n">
        <v>-0.2818671454219031</v>
      </c>
      <c r="R347" s="35" t="n">
        <v>-0.05811434491852685</v>
      </c>
      <c r="S347" s="35" t="n">
        <v>-0.1550961782183794</v>
      </c>
      <c r="T347" s="35" t="n">
        <v>-0.2921460656593512</v>
      </c>
      <c r="U347" s="30" t="n">
        <v>38600</v>
      </c>
      <c r="V347" s="30" t="n">
        <v>17160</v>
      </c>
      <c r="W347" s="35" t="n">
        <v>-0.4818652849740933</v>
      </c>
      <c r="X347" s="35" t="n">
        <v>0.1655011655011656</v>
      </c>
      <c r="Y347" s="30" t="n">
        <v>28966714</v>
      </c>
      <c r="Z347" s="30" t="n">
        <v>579334280000</v>
      </c>
      <c r="AA347" s="30" t="n">
        <v>3466840000</v>
      </c>
      <c r="AB347" s="30" t="n">
        <v>4570231686</v>
      </c>
      <c r="AC347" s="35" t="n">
        <v>0.005984178944149481</v>
      </c>
      <c r="AD347" s="24" t="inlineStr">
        <is>
          <t>yfinance_download</t>
        </is>
      </c>
      <c r="AE347" s="24" t="inlineStr">
        <is>
          <t>319660.KQ</t>
        </is>
      </c>
    </row>
    <row r="348" ht="24" customHeight="1">
      <c r="A348" s="29" t="inlineStr">
        <is>
          <t>2024-11-08</t>
        </is>
      </c>
      <c r="B348" s="31" t="n">
        <v>20300</v>
      </c>
      <c r="C348" s="31" t="n">
        <v>20700</v>
      </c>
      <c r="D348" s="31" t="n">
        <v>19860</v>
      </c>
      <c r="E348" s="31" t="n">
        <v>19910</v>
      </c>
      <c r="F348" s="31" t="n">
        <v>19448.759765625</v>
      </c>
      <c r="G348" s="31" t="n">
        <v>142731</v>
      </c>
      <c r="H348" s="36" t="n">
        <v>-0.004499999999999948</v>
      </c>
      <c r="I348" s="36" t="n">
        <v>-0.4841968911917098</v>
      </c>
      <c r="J348" s="31" t="n">
        <v>21094.5</v>
      </c>
      <c r="K348" s="31" t="n">
        <v>23549</v>
      </c>
      <c r="L348" s="31" t="n">
        <v>28183.25</v>
      </c>
      <c r="M348" s="36" t="n">
        <v>0.4470056320970642</v>
      </c>
      <c r="N348" s="36" t="n">
        <v>0.4701900985489643</v>
      </c>
      <c r="O348" s="36" t="n">
        <v>-0.1229074889867842</v>
      </c>
      <c r="P348" s="36" t="n">
        <v>-0.2693577981651376</v>
      </c>
      <c r="Q348" s="36" t="n">
        <v>-0.3001757469244288</v>
      </c>
      <c r="R348" s="36" t="n">
        <v>-0.05615207755576102</v>
      </c>
      <c r="S348" s="36" t="n">
        <v>-0.1545288547284386</v>
      </c>
      <c r="T348" s="36" t="n">
        <v>-0.2935520211473127</v>
      </c>
      <c r="U348" s="31" t="n">
        <v>38600</v>
      </c>
      <c r="V348" s="31" t="n">
        <v>17160</v>
      </c>
      <c r="W348" s="36" t="n">
        <v>-0.4841968911917098</v>
      </c>
      <c r="X348" s="36" t="n">
        <v>0.1602564102564104</v>
      </c>
      <c r="Y348" s="31" t="n">
        <v>28966714</v>
      </c>
      <c r="Z348" s="31" t="n">
        <v>576727275740</v>
      </c>
      <c r="AA348" s="31" t="n">
        <v>2841774210</v>
      </c>
      <c r="AB348" s="31" t="n">
        <v>4527279076.5</v>
      </c>
      <c r="AC348" s="36" t="n">
        <v>0.004927414272809819</v>
      </c>
      <c r="AD348" s="29" t="inlineStr">
        <is>
          <t>yfinance_download</t>
        </is>
      </c>
      <c r="AE348" s="29" t="inlineStr">
        <is>
          <t>319660.KQ</t>
        </is>
      </c>
    </row>
    <row r="349" ht="24" customHeight="1">
      <c r="A349" s="24" t="inlineStr">
        <is>
          <t>2024-11-11</t>
        </is>
      </c>
      <c r="B349" s="30" t="n">
        <v>19710</v>
      </c>
      <c r="C349" s="30" t="n">
        <v>19840</v>
      </c>
      <c r="D349" s="30" t="n">
        <v>18860</v>
      </c>
      <c r="E349" s="30" t="n">
        <v>18950</v>
      </c>
      <c r="F349" s="30" t="n">
        <v>18511</v>
      </c>
      <c r="G349" s="30" t="n">
        <v>219899</v>
      </c>
      <c r="H349" s="35" t="n">
        <v>-0.04821697639377198</v>
      </c>
      <c r="I349" s="35" t="n">
        <v>-0.5090673575129534</v>
      </c>
      <c r="J349" s="30" t="n">
        <v>20844.5</v>
      </c>
      <c r="K349" s="30" t="n">
        <v>23421.5</v>
      </c>
      <c r="L349" s="30" t="n">
        <v>28104.08333333333</v>
      </c>
      <c r="M349" s="35" t="n">
        <v>0.4080341429147033</v>
      </c>
      <c r="N349" s="35" t="n">
        <v>0.4770113629044654</v>
      </c>
      <c r="O349" s="35" t="n">
        <v>-0.208768267223382</v>
      </c>
      <c r="P349" s="35" t="n">
        <v>-0.2875939849624061</v>
      </c>
      <c r="Q349" s="35" t="n">
        <v>-0.3339191564147628</v>
      </c>
      <c r="R349" s="35" t="n">
        <v>-0.09088728441555327</v>
      </c>
      <c r="S349" s="35" t="n">
        <v>-0.1909143308498602</v>
      </c>
      <c r="T349" s="35" t="n">
        <v>-0.3257207582528043</v>
      </c>
      <c r="U349" s="30" t="n">
        <v>38600</v>
      </c>
      <c r="V349" s="30" t="n">
        <v>17160</v>
      </c>
      <c r="W349" s="35" t="n">
        <v>-0.5090673575129534</v>
      </c>
      <c r="X349" s="35" t="n">
        <v>0.1043123543123543</v>
      </c>
      <c r="Y349" s="30" t="n">
        <v>28966714</v>
      </c>
      <c r="Z349" s="30" t="n">
        <v>548919230300</v>
      </c>
      <c r="AA349" s="30" t="n">
        <v>4167086050</v>
      </c>
      <c r="AB349" s="30" t="n">
        <v>4285691914</v>
      </c>
      <c r="AC349" s="35" t="n">
        <v>0.007591437537581929</v>
      </c>
      <c r="AD349" s="24" t="inlineStr">
        <is>
          <t>yfinance_download</t>
        </is>
      </c>
      <c r="AE349" s="24" t="inlineStr">
        <is>
          <t>319660.KQ</t>
        </is>
      </c>
    </row>
    <row r="350" ht="24" customHeight="1">
      <c r="A350" s="29" t="inlineStr">
        <is>
          <t>2024-11-12</t>
        </is>
      </c>
      <c r="B350" s="31" t="n">
        <v>18920</v>
      </c>
      <c r="C350" s="31" t="n">
        <v>18920</v>
      </c>
      <c r="D350" s="31" t="n">
        <v>18010</v>
      </c>
      <c r="E350" s="31" t="n">
        <v>18020</v>
      </c>
      <c r="F350" s="31" t="n">
        <v>17602.544921875</v>
      </c>
      <c r="G350" s="31" t="n">
        <v>302416</v>
      </c>
      <c r="H350" s="36" t="n">
        <v>-0.04907651715039574</v>
      </c>
      <c r="I350" s="36" t="n">
        <v>-0.533160621761658</v>
      </c>
      <c r="J350" s="31" t="n">
        <v>20533</v>
      </c>
      <c r="K350" s="31" t="n">
        <v>23245.16666666667</v>
      </c>
      <c r="L350" s="31" t="n">
        <v>27993.83333333333</v>
      </c>
      <c r="M350" s="36" t="n">
        <v>0.4187367358563961</v>
      </c>
      <c r="N350" s="36" t="n">
        <v>0.4550479549551998</v>
      </c>
      <c r="O350" s="36" t="n">
        <v>-0.2569072164948454</v>
      </c>
      <c r="P350" s="36" t="n">
        <v>-0.3699300699300699</v>
      </c>
      <c r="Q350" s="36" t="n">
        <v>-0.42336</v>
      </c>
      <c r="R350" s="36" t="n">
        <v>-0.1223883504602348</v>
      </c>
      <c r="S350" s="36" t="n">
        <v>-0.224785080769479</v>
      </c>
      <c r="T350" s="36" t="n">
        <v>-0.3562868012598013</v>
      </c>
      <c r="U350" s="31" t="n">
        <v>38600</v>
      </c>
      <c r="V350" s="31" t="n">
        <v>17710</v>
      </c>
      <c r="W350" s="36" t="n">
        <v>-0.533160621761658</v>
      </c>
      <c r="X350" s="36" t="n">
        <v>0.01750423489553921</v>
      </c>
      <c r="Y350" s="31" t="n">
        <v>28966714</v>
      </c>
      <c r="Z350" s="31" t="n">
        <v>521980186280</v>
      </c>
      <c r="AA350" s="31" t="n">
        <v>5449536320</v>
      </c>
      <c r="AB350" s="31" t="n">
        <v>4218773005</v>
      </c>
      <c r="AC350" s="36" t="n">
        <v>0.01044012102995183</v>
      </c>
      <c r="AD350" s="29" t="inlineStr">
        <is>
          <t>yfinance_download</t>
        </is>
      </c>
      <c r="AE350" s="29" t="inlineStr">
        <is>
          <t>319660.KQ</t>
        </is>
      </c>
    </row>
    <row r="351" ht="24" customHeight="1">
      <c r="A351" s="24" t="inlineStr">
        <is>
          <t>2024-11-13</t>
        </is>
      </c>
      <c r="B351" s="30" t="n">
        <v>17760</v>
      </c>
      <c r="C351" s="30" t="n">
        <v>18100</v>
      </c>
      <c r="D351" s="30" t="n">
        <v>17600</v>
      </c>
      <c r="E351" s="30" t="n">
        <v>17600</v>
      </c>
      <c r="F351" s="30" t="n">
        <v>17192.2734375</v>
      </c>
      <c r="G351" s="30" t="n">
        <v>198486</v>
      </c>
      <c r="H351" s="35" t="n">
        <v>-0.02330743618202002</v>
      </c>
      <c r="I351" s="35" t="n">
        <v>-0.544041450777202</v>
      </c>
      <c r="J351" s="30" t="n">
        <v>20270.5</v>
      </c>
      <c r="K351" s="30" t="n">
        <v>23056</v>
      </c>
      <c r="L351" s="30" t="n">
        <v>27881.33333333333</v>
      </c>
      <c r="M351" s="35" t="n">
        <v>0.3882054662300928</v>
      </c>
      <c r="N351" s="35" t="n">
        <v>0.4543714735520027</v>
      </c>
      <c r="O351" s="35" t="n">
        <v>-0.2297592997811816</v>
      </c>
      <c r="P351" s="35" t="n">
        <v>-0.3920552677029361</v>
      </c>
      <c r="Q351" s="35" t="n">
        <v>-0.4340836012861736</v>
      </c>
      <c r="R351" s="35" t="n">
        <v>-0.1317431735773661</v>
      </c>
      <c r="S351" s="35" t="n">
        <v>-0.2366412213740458</v>
      </c>
      <c r="T351" s="35" t="n">
        <v>-0.368753287743293</v>
      </c>
      <c r="U351" s="30" t="n">
        <v>38600</v>
      </c>
      <c r="V351" s="30" t="n">
        <v>17600</v>
      </c>
      <c r="W351" s="35" t="n">
        <v>-0.544041450777202</v>
      </c>
      <c r="X351" s="35" t="n">
        <v>0</v>
      </c>
      <c r="Y351" s="30" t="n">
        <v>28966714</v>
      </c>
      <c r="Z351" s="30" t="n">
        <v>509814166400</v>
      </c>
      <c r="AA351" s="30" t="n">
        <v>3493353600</v>
      </c>
      <c r="AB351" s="30" t="n">
        <v>3950789342.5</v>
      </c>
      <c r="AC351" s="35" t="n">
        <v>0.006852209746676823</v>
      </c>
      <c r="AD351" s="24" t="inlineStr">
        <is>
          <t>yfinance_download</t>
        </is>
      </c>
      <c r="AE351" s="24" t="inlineStr">
        <is>
          <t>319660.KQ</t>
        </is>
      </c>
    </row>
    <row r="352" ht="24" customHeight="1">
      <c r="A352" s="29" t="inlineStr">
        <is>
          <t>2024-11-14</t>
        </is>
      </c>
      <c r="B352" s="31" t="n">
        <v>18140</v>
      </c>
      <c r="C352" s="31" t="n">
        <v>18200</v>
      </c>
      <c r="D352" s="31" t="n">
        <v>17390</v>
      </c>
      <c r="E352" s="31" t="n">
        <v>17390</v>
      </c>
      <c r="F352" s="31" t="n">
        <v>16987.138671875</v>
      </c>
      <c r="G352" s="31" t="n">
        <v>244375</v>
      </c>
      <c r="H352" s="36" t="n">
        <v>-0.01193181818181821</v>
      </c>
      <c r="I352" s="36" t="n">
        <v>-0.5494818652849741</v>
      </c>
      <c r="J352" s="31" t="n">
        <v>20027.5</v>
      </c>
      <c r="K352" s="31" t="n">
        <v>22850.83333333333</v>
      </c>
      <c r="L352" s="31" t="n">
        <v>27761.66666666667</v>
      </c>
      <c r="M352" s="36" t="n">
        <v>0.3848754881200284</v>
      </c>
      <c r="N352" s="36" t="n">
        <v>0.4489468536780842</v>
      </c>
      <c r="O352" s="36" t="n">
        <v>-0.2184269662921349</v>
      </c>
      <c r="P352" s="36" t="n">
        <v>-0.4144781144781144</v>
      </c>
      <c r="Q352" s="36" t="n">
        <v>-0.4522834645669291</v>
      </c>
      <c r="R352" s="36" t="n">
        <v>-0.1316939208588191</v>
      </c>
      <c r="S352" s="36" t="n">
        <v>-0.2389774260603187</v>
      </c>
      <c r="T352" s="36" t="n">
        <v>-0.3735966860779252</v>
      </c>
      <c r="U352" s="31" t="n">
        <v>38600</v>
      </c>
      <c r="V352" s="31" t="n">
        <v>17390</v>
      </c>
      <c r="W352" s="36" t="n">
        <v>-0.5494818652849741</v>
      </c>
      <c r="X352" s="36" t="n">
        <v>0</v>
      </c>
      <c r="Y352" s="31" t="n">
        <v>28966714</v>
      </c>
      <c r="Z352" s="31" t="n">
        <v>503731156460</v>
      </c>
      <c r="AA352" s="31" t="n">
        <v>4249681250</v>
      </c>
      <c r="AB352" s="31" t="n">
        <v>3739446505</v>
      </c>
      <c r="AC352" s="36" t="n">
        <v>0.008436407388149032</v>
      </c>
      <c r="AD352" s="29" t="inlineStr">
        <is>
          <t>yfinance_download</t>
        </is>
      </c>
      <c r="AE352" s="29" t="inlineStr">
        <is>
          <t>319660.KQ</t>
        </is>
      </c>
    </row>
    <row r="353" ht="24" customHeight="1">
      <c r="A353" s="24" t="inlineStr">
        <is>
          <t>2024-11-15</t>
        </is>
      </c>
      <c r="B353" s="30" t="n">
        <v>17180</v>
      </c>
      <c r="C353" s="30" t="n">
        <v>18310</v>
      </c>
      <c r="D353" s="30" t="n">
        <v>17180</v>
      </c>
      <c r="E353" s="30" t="n">
        <v>17950</v>
      </c>
      <c r="F353" s="30" t="n">
        <v>17534.1640625</v>
      </c>
      <c r="G353" s="30" t="n">
        <v>256630</v>
      </c>
      <c r="H353" s="35" t="n">
        <v>0.03220241518113864</v>
      </c>
      <c r="I353" s="35" t="n">
        <v>-0.5349740932642487</v>
      </c>
      <c r="J353" s="30" t="n">
        <v>19865</v>
      </c>
      <c r="K353" s="30" t="n">
        <v>22642.5</v>
      </c>
      <c r="L353" s="30" t="n">
        <v>27644.58333333333</v>
      </c>
      <c r="M353" s="35" t="n">
        <v>0.3916115968185738</v>
      </c>
      <c r="N353" s="35" t="n">
        <v>0.4513970037986111</v>
      </c>
      <c r="O353" s="35" t="n">
        <v>-0.1533018867924528</v>
      </c>
      <c r="P353" s="35" t="n">
        <v>-0.4105090311986864</v>
      </c>
      <c r="Q353" s="35" t="n">
        <v>-0.4390625</v>
      </c>
      <c r="R353" s="35" t="n">
        <v>-0.09640070475711049</v>
      </c>
      <c r="S353" s="35" t="n">
        <v>-0.2072430164513636</v>
      </c>
      <c r="T353" s="35" t="n">
        <v>-0.3506865419687401</v>
      </c>
      <c r="U353" s="30" t="n">
        <v>38600</v>
      </c>
      <c r="V353" s="30" t="n">
        <v>17390</v>
      </c>
      <c r="W353" s="35" t="n">
        <v>-0.5349740932642487</v>
      </c>
      <c r="X353" s="35" t="n">
        <v>0.03220241518113864</v>
      </c>
      <c r="Y353" s="30" t="n">
        <v>28966714</v>
      </c>
      <c r="Z353" s="30" t="n">
        <v>519952516300</v>
      </c>
      <c r="AA353" s="30" t="n">
        <v>4606508500</v>
      </c>
      <c r="AB353" s="30" t="n">
        <v>3653109650</v>
      </c>
      <c r="AC353" s="35" t="n">
        <v>0.008859479193946541</v>
      </c>
      <c r="AD353" s="24" t="inlineStr">
        <is>
          <t>yfinance_download</t>
        </is>
      </c>
      <c r="AE353" s="24" t="inlineStr">
        <is>
          <t>319660.KQ</t>
        </is>
      </c>
    </row>
    <row r="354" ht="24" customHeight="1">
      <c r="A354" s="29" t="inlineStr">
        <is>
          <t>2024-11-18</t>
        </is>
      </c>
      <c r="B354" s="31" t="n">
        <v>17900</v>
      </c>
      <c r="C354" s="31" t="n">
        <v>18220</v>
      </c>
      <c r="D354" s="31" t="n">
        <v>17350</v>
      </c>
      <c r="E354" s="31" t="n">
        <v>17470</v>
      </c>
      <c r="F354" s="31" t="n">
        <v>17065.28515625</v>
      </c>
      <c r="G354" s="31" t="n">
        <v>175486</v>
      </c>
      <c r="H354" s="36" t="n">
        <v>-0.02674094707520891</v>
      </c>
      <c r="I354" s="36" t="n">
        <v>-0.5474093264248705</v>
      </c>
      <c r="J354" s="31" t="n">
        <v>19678.5</v>
      </c>
      <c r="K354" s="31" t="n">
        <v>22434.5</v>
      </c>
      <c r="L354" s="31" t="n">
        <v>27523.08333333333</v>
      </c>
      <c r="M354" s="36" t="n">
        <v>0.3958533044228331</v>
      </c>
      <c r="N354" s="36" t="n">
        <v>0.4526766856018111</v>
      </c>
      <c r="O354" s="36" t="n">
        <v>-0.1759433962264151</v>
      </c>
      <c r="P354" s="36" t="n">
        <v>-0.41669449081803</v>
      </c>
      <c r="Q354" s="36" t="n">
        <v>-0.4549141965678627</v>
      </c>
      <c r="R354" s="36" t="n">
        <v>-0.1122290825012069</v>
      </c>
      <c r="S354" s="36" t="n">
        <v>-0.2212886402638793</v>
      </c>
      <c r="T354" s="36" t="n">
        <v>-0.3652600695779603</v>
      </c>
      <c r="U354" s="31" t="n">
        <v>38600</v>
      </c>
      <c r="V354" s="31" t="n">
        <v>17390</v>
      </c>
      <c r="W354" s="36" t="n">
        <v>-0.5474093264248705</v>
      </c>
      <c r="X354" s="36" t="n">
        <v>0.004600345025876917</v>
      </c>
      <c r="Y354" s="31" t="n">
        <v>28966714</v>
      </c>
      <c r="Z354" s="31" t="n">
        <v>506048493580</v>
      </c>
      <c r="AA354" s="31" t="n">
        <v>3065740420</v>
      </c>
      <c r="AB354" s="31" t="n">
        <v>3653610391</v>
      </c>
      <c r="AC354" s="36" t="n">
        <v>0.006058194933674562</v>
      </c>
      <c r="AD354" s="29" t="inlineStr">
        <is>
          <t>yfinance_download</t>
        </is>
      </c>
      <c r="AE354" s="29" t="inlineStr">
        <is>
          <t>319660.KQ</t>
        </is>
      </c>
    </row>
    <row r="355" ht="24" customHeight="1">
      <c r="A355" s="24" t="inlineStr">
        <is>
          <t>2024-11-19</t>
        </is>
      </c>
      <c r="B355" s="30" t="n">
        <v>17470</v>
      </c>
      <c r="C355" s="30" t="n">
        <v>17570</v>
      </c>
      <c r="D355" s="30" t="n">
        <v>17210</v>
      </c>
      <c r="E355" s="30" t="n">
        <v>17380</v>
      </c>
      <c r="F355" s="30" t="n">
        <v>16977.37109375</v>
      </c>
      <c r="G355" s="30" t="n">
        <v>133124</v>
      </c>
      <c r="H355" s="35" t="n">
        <v>-0.005151688609044025</v>
      </c>
      <c r="I355" s="35" t="n">
        <v>-0.549740932642487</v>
      </c>
      <c r="J355" s="30" t="n">
        <v>19517.5</v>
      </c>
      <c r="K355" s="30" t="n">
        <v>22222.5</v>
      </c>
      <c r="L355" s="30" t="n">
        <v>27408.33333333333</v>
      </c>
      <c r="M355" s="35" t="n">
        <v>0.3896180308061843</v>
      </c>
      <c r="N355" s="35" t="n">
        <v>0.4518556361345365</v>
      </c>
      <c r="O355" s="35" t="n">
        <v>-0.1563106796116505</v>
      </c>
      <c r="P355" s="35" t="n">
        <v>-0.4225913621262458</v>
      </c>
      <c r="Q355" s="35" t="n">
        <v>-0.4420545746388443</v>
      </c>
      <c r="R355" s="35" t="n">
        <v>-0.1095171000384271</v>
      </c>
      <c r="S355" s="35" t="n">
        <v>-0.2179097761277984</v>
      </c>
      <c r="T355" s="35" t="n">
        <v>-0.3658862876254181</v>
      </c>
      <c r="U355" s="30" t="n">
        <v>38600</v>
      </c>
      <c r="V355" s="30" t="n">
        <v>17380</v>
      </c>
      <c r="W355" s="35" t="n">
        <v>-0.549740932642487</v>
      </c>
      <c r="X355" s="35" t="n">
        <v>0</v>
      </c>
      <c r="Y355" s="30" t="n">
        <v>28966714</v>
      </c>
      <c r="Z355" s="30" t="n">
        <v>503441489320</v>
      </c>
      <c r="AA355" s="30" t="n">
        <v>2313695120</v>
      </c>
      <c r="AB355" s="30" t="n">
        <v>3573419017</v>
      </c>
      <c r="AC355" s="35" t="n">
        <v>0.004595757737657091</v>
      </c>
      <c r="AD355" s="24" t="inlineStr">
        <is>
          <t>yfinance_download</t>
        </is>
      </c>
      <c r="AE355" s="24" t="inlineStr">
        <is>
          <t>319660.KQ</t>
        </is>
      </c>
    </row>
    <row r="356" ht="24" customHeight="1">
      <c r="A356" s="29" t="inlineStr">
        <is>
          <t>2024-11-20</t>
        </is>
      </c>
      <c r="B356" s="31" t="n">
        <v>17510</v>
      </c>
      <c r="C356" s="31" t="n">
        <v>17770</v>
      </c>
      <c r="D356" s="31" t="n">
        <v>17200</v>
      </c>
      <c r="E356" s="31" t="n">
        <v>17590</v>
      </c>
      <c r="F356" s="31" t="n">
        <v>17182.505859375</v>
      </c>
      <c r="G356" s="31" t="n">
        <v>109775</v>
      </c>
      <c r="H356" s="36" t="n">
        <v>0.01208285385500574</v>
      </c>
      <c r="I356" s="36" t="n">
        <v>-0.544300518134715</v>
      </c>
      <c r="J356" s="31" t="n">
        <v>19342</v>
      </c>
      <c r="K356" s="31" t="n">
        <v>22033.16666666667</v>
      </c>
      <c r="L356" s="31" t="n">
        <v>27301.58333333333</v>
      </c>
      <c r="M356" s="36" t="n">
        <v>0.3783965909264314</v>
      </c>
      <c r="N356" s="36" t="n">
        <v>0.4495837354277997</v>
      </c>
      <c r="O356" s="36" t="n">
        <v>-0.1663507109004739</v>
      </c>
      <c r="P356" s="36" t="n">
        <v>-0.3924006908462867</v>
      </c>
      <c r="Q356" s="36" t="n">
        <v>-0.4213815789473684</v>
      </c>
      <c r="R356" s="36" t="n">
        <v>-0.09058008478957713</v>
      </c>
      <c r="S356" s="36" t="n">
        <v>-0.201658106339685</v>
      </c>
      <c r="T356" s="36" t="n">
        <v>-0.3557150226329975</v>
      </c>
      <c r="U356" s="31" t="n">
        <v>38600</v>
      </c>
      <c r="V356" s="31" t="n">
        <v>17380</v>
      </c>
      <c r="W356" s="36" t="n">
        <v>-0.544300518134715</v>
      </c>
      <c r="X356" s="36" t="n">
        <v>0.01208285385500574</v>
      </c>
      <c r="Y356" s="31" t="n">
        <v>28966714</v>
      </c>
      <c r="Z356" s="31" t="n">
        <v>509524499260</v>
      </c>
      <c r="AA356" s="31" t="n">
        <v>1930942250</v>
      </c>
      <c r="AB356" s="31" t="n">
        <v>3440306344.5</v>
      </c>
      <c r="AC356" s="36" t="n">
        <v>0.0037896946129271</v>
      </c>
      <c r="AD356" s="29" t="inlineStr">
        <is>
          <t>yfinance_download</t>
        </is>
      </c>
      <c r="AE356" s="29" t="inlineStr">
        <is>
          <t>319660.KQ</t>
        </is>
      </c>
    </row>
    <row r="357" ht="24" customHeight="1">
      <c r="A357" s="24" t="inlineStr">
        <is>
          <t>2024-11-21</t>
        </is>
      </c>
      <c r="B357" s="30" t="n">
        <v>17580</v>
      </c>
      <c r="C357" s="30" t="n">
        <v>17820</v>
      </c>
      <c r="D357" s="30" t="n">
        <v>17430</v>
      </c>
      <c r="E357" s="30" t="n">
        <v>17540</v>
      </c>
      <c r="F357" s="30" t="n">
        <v>17133.662109375</v>
      </c>
      <c r="G357" s="30" t="n">
        <v>111894</v>
      </c>
      <c r="H357" s="35" t="n">
        <v>-0.002842524161455362</v>
      </c>
      <c r="I357" s="35" t="n">
        <v>-0.5455958549222798</v>
      </c>
      <c r="J357" s="30" t="n">
        <v>19194</v>
      </c>
      <c r="K357" s="30" t="n">
        <v>21856.33333333333</v>
      </c>
      <c r="L357" s="30" t="n">
        <v>27193.16666666667</v>
      </c>
      <c r="M357" s="35" t="n">
        <v>0.3716103047346161</v>
      </c>
      <c r="N357" s="35" t="n">
        <v>0.4477973466440395</v>
      </c>
      <c r="O357" s="35" t="n">
        <v>-0.144390243902439</v>
      </c>
      <c r="P357" s="35" t="n">
        <v>-0.3769094138543517</v>
      </c>
      <c r="Q357" s="35" t="n">
        <v>-0.4258592471358429</v>
      </c>
      <c r="R357" s="35" t="n">
        <v>-0.08617276232155879</v>
      </c>
      <c r="S357" s="35" t="n">
        <v>-0.1974866171513977</v>
      </c>
      <c r="T357" s="35" t="n">
        <v>-0.354985014617643</v>
      </c>
      <c r="U357" s="30" t="n">
        <v>38600</v>
      </c>
      <c r="V357" s="30" t="n">
        <v>17380</v>
      </c>
      <c r="W357" s="35" t="n">
        <v>-0.5455958549222798</v>
      </c>
      <c r="X357" s="35" t="n">
        <v>0.009205983889528202</v>
      </c>
      <c r="Y357" s="30" t="n">
        <v>28966714</v>
      </c>
      <c r="Z357" s="30" t="n">
        <v>508076163560</v>
      </c>
      <c r="AA357" s="30" t="n">
        <v>1962620760</v>
      </c>
      <c r="AB357" s="30" t="n">
        <v>3356839157.5</v>
      </c>
      <c r="AC357" s="35" t="n">
        <v>0.00386284754287283</v>
      </c>
      <c r="AD357" s="24" t="inlineStr">
        <is>
          <t>yfinance_download</t>
        </is>
      </c>
      <c r="AE357" s="24" t="inlineStr">
        <is>
          <t>319660.KQ</t>
        </is>
      </c>
    </row>
    <row r="358" ht="24" customHeight="1">
      <c r="A358" s="29" t="inlineStr">
        <is>
          <t>2024-11-22</t>
        </is>
      </c>
      <c r="B358" s="31" t="n">
        <v>17570</v>
      </c>
      <c r="C358" s="31" t="n">
        <v>17980</v>
      </c>
      <c r="D358" s="31" t="n">
        <v>17550</v>
      </c>
      <c r="E358" s="31" t="n">
        <v>17610</v>
      </c>
      <c r="F358" s="31" t="n">
        <v>17202.04296875</v>
      </c>
      <c r="G358" s="31" t="n">
        <v>113846</v>
      </c>
      <c r="H358" s="36" t="n">
        <v>0.003990877993158559</v>
      </c>
      <c r="I358" s="36" t="n">
        <v>-0.5437823834196891</v>
      </c>
      <c r="J358" s="31" t="n">
        <v>19062</v>
      </c>
      <c r="K358" s="31" t="n">
        <v>21689.83333333333</v>
      </c>
      <c r="L358" s="31" t="n">
        <v>27074.08333333333</v>
      </c>
      <c r="M358" s="36" t="n">
        <v>0.373336839678949</v>
      </c>
      <c r="N358" s="36" t="n">
        <v>0.4476833765918935</v>
      </c>
      <c r="O358" s="36" t="n">
        <v>-0.1303703703703704</v>
      </c>
      <c r="P358" s="36" t="n">
        <v>-0.3619565217391304</v>
      </c>
      <c r="Q358" s="36" t="n">
        <v>-0.4479623824451411</v>
      </c>
      <c r="R358" s="36" t="n">
        <v>-0.07617248977022351</v>
      </c>
      <c r="S358" s="36" t="n">
        <v>-0.1880988788910318</v>
      </c>
      <c r="T358" s="36" t="n">
        <v>-0.349562465949909</v>
      </c>
      <c r="U358" s="31" t="n">
        <v>38600</v>
      </c>
      <c r="V358" s="31" t="n">
        <v>17380</v>
      </c>
      <c r="W358" s="36" t="n">
        <v>-0.5437823834196891</v>
      </c>
      <c r="X358" s="36" t="n">
        <v>0.01323360184119671</v>
      </c>
      <c r="Y358" s="31" t="n">
        <v>28966714</v>
      </c>
      <c r="Z358" s="31" t="n">
        <v>510103833540</v>
      </c>
      <c r="AA358" s="31" t="n">
        <v>2004828060</v>
      </c>
      <c r="AB358" s="31" t="n">
        <v>3263135173</v>
      </c>
      <c r="AC358" s="36" t="n">
        <v>0.0039302352348285</v>
      </c>
      <c r="AD358" s="29" t="inlineStr">
        <is>
          <t>yfinance_download</t>
        </is>
      </c>
      <c r="AE358" s="29" t="inlineStr">
        <is>
          <t>319660.KQ</t>
        </is>
      </c>
    </row>
    <row r="359" ht="24" customHeight="1">
      <c r="A359" s="24" t="inlineStr">
        <is>
          <t>2024-11-25</t>
        </is>
      </c>
      <c r="B359" s="30" t="n">
        <v>17620</v>
      </c>
      <c r="C359" s="30" t="n">
        <v>18240</v>
      </c>
      <c r="D359" s="30" t="n">
        <v>17620</v>
      </c>
      <c r="E359" s="30" t="n">
        <v>18200</v>
      </c>
      <c r="F359" s="30" t="n">
        <v>17778.375</v>
      </c>
      <c r="G359" s="30" t="n">
        <v>100897</v>
      </c>
      <c r="H359" s="35" t="n">
        <v>0.03350369108461093</v>
      </c>
      <c r="I359" s="35" t="n">
        <v>-0.5284974093264249</v>
      </c>
      <c r="J359" s="30" t="n">
        <v>18942</v>
      </c>
      <c r="K359" s="30" t="n">
        <v>21536.5</v>
      </c>
      <c r="L359" s="30" t="n">
        <v>26961.16666666667</v>
      </c>
      <c r="M359" s="35" t="n">
        <v>0.3911666117925814</v>
      </c>
      <c r="N359" s="35" t="n">
        <v>0.4553386973407391</v>
      </c>
      <c r="O359" s="35" t="n">
        <v>-0.116504854368932</v>
      </c>
      <c r="P359" s="35" t="n">
        <v>-0.3357664233576643</v>
      </c>
      <c r="Q359" s="35" t="n">
        <v>-0.426771653543307</v>
      </c>
      <c r="R359" s="35" t="n">
        <v>-0.03917220990391723</v>
      </c>
      <c r="S359" s="35" t="n">
        <v>-0.1549230376337845</v>
      </c>
      <c r="T359" s="35" t="n">
        <v>-0.3249550279105133</v>
      </c>
      <c r="U359" s="30" t="n">
        <v>38600</v>
      </c>
      <c r="V359" s="30" t="n">
        <v>17380</v>
      </c>
      <c r="W359" s="35" t="n">
        <v>-0.5284974093264249</v>
      </c>
      <c r="X359" s="35" t="n">
        <v>0.04718066743383198</v>
      </c>
      <c r="Y359" s="30" t="n">
        <v>28966714</v>
      </c>
      <c r="Z359" s="30" t="n">
        <v>527194194800</v>
      </c>
      <c r="AA359" s="30" t="n">
        <v>1836325400</v>
      </c>
      <c r="AB359" s="30" t="n">
        <v>3253383143</v>
      </c>
      <c r="AC359" s="35" t="n">
        <v>0.003483204895108227</v>
      </c>
      <c r="AD359" s="24" t="inlineStr">
        <is>
          <t>yfinance_download</t>
        </is>
      </c>
      <c r="AE359" s="24" t="inlineStr">
        <is>
          <t>319660.KQ</t>
        </is>
      </c>
    </row>
    <row r="360" ht="24" customHeight="1">
      <c r="A360" s="29" t="inlineStr">
        <is>
          <t>2024-11-26</t>
        </is>
      </c>
      <c r="B360" s="31" t="n">
        <v>18070</v>
      </c>
      <c r="C360" s="31" t="n">
        <v>18210</v>
      </c>
      <c r="D360" s="31" t="n">
        <v>17810</v>
      </c>
      <c r="E360" s="31" t="n">
        <v>18000</v>
      </c>
      <c r="F360" s="31" t="n">
        <v>17583.0078125</v>
      </c>
      <c r="G360" s="31" t="n">
        <v>111747</v>
      </c>
      <c r="H360" s="36" t="n">
        <v>-0.01098901098901095</v>
      </c>
      <c r="I360" s="36" t="n">
        <v>-0.5336787564766839</v>
      </c>
      <c r="J360" s="31" t="n">
        <v>18812</v>
      </c>
      <c r="K360" s="31" t="n">
        <v>21399</v>
      </c>
      <c r="L360" s="31" t="n">
        <v>26850.75</v>
      </c>
      <c r="M360" s="36" t="n">
        <v>0.3909197572448774</v>
      </c>
      <c r="N360" s="36" t="n">
        <v>0.4493864877264609</v>
      </c>
      <c r="O360" s="36" t="n">
        <v>-0.1262135922330098</v>
      </c>
      <c r="P360" s="36" t="n">
        <v>-0.3142857142857143</v>
      </c>
      <c r="Q360" s="36" t="n">
        <v>-0.424</v>
      </c>
      <c r="R360" s="36" t="n">
        <v>-0.04316393791197104</v>
      </c>
      <c r="S360" s="36" t="n">
        <v>-0.1588391980933689</v>
      </c>
      <c r="T360" s="36" t="n">
        <v>-0.3296276640317309</v>
      </c>
      <c r="U360" s="31" t="n">
        <v>38600</v>
      </c>
      <c r="V360" s="31" t="n">
        <v>17380</v>
      </c>
      <c r="W360" s="36" t="n">
        <v>-0.5336787564766839</v>
      </c>
      <c r="X360" s="36" t="n">
        <v>0.03567318757192184</v>
      </c>
      <c r="Y360" s="31" t="n">
        <v>28966714</v>
      </c>
      <c r="Z360" s="31" t="n">
        <v>521400852000</v>
      </c>
      <c r="AA360" s="31" t="n">
        <v>2011446000</v>
      </c>
      <c r="AB360" s="31" t="n">
        <v>3236196573</v>
      </c>
      <c r="AC360" s="36" t="n">
        <v>0.00385777275254625</v>
      </c>
      <c r="AD360" s="29" t="inlineStr">
        <is>
          <t>yfinance_download</t>
        </is>
      </c>
      <c r="AE360" s="29" t="inlineStr">
        <is>
          <t>319660.KQ</t>
        </is>
      </c>
    </row>
    <row r="361" ht="24" customHeight="1">
      <c r="A361" s="24" t="inlineStr">
        <is>
          <t>2024-11-27</t>
        </is>
      </c>
      <c r="B361" s="30" t="n">
        <v>18080</v>
      </c>
      <c r="C361" s="30" t="n">
        <v>18080</v>
      </c>
      <c r="D361" s="30" t="n">
        <v>17130</v>
      </c>
      <c r="E361" s="30" t="n">
        <v>17250</v>
      </c>
      <c r="F361" s="30" t="n">
        <v>16850.380859375</v>
      </c>
      <c r="G361" s="30" t="n">
        <v>151726</v>
      </c>
      <c r="H361" s="35" t="n">
        <v>-0.04166666666666663</v>
      </c>
      <c r="I361" s="35" t="n">
        <v>-0.5531088082901554</v>
      </c>
      <c r="J361" s="30" t="n">
        <v>18659.5</v>
      </c>
      <c r="K361" s="30" t="n">
        <v>21263.16666666667</v>
      </c>
      <c r="L361" s="30" t="n">
        <v>26729.91666666667</v>
      </c>
      <c r="M361" s="35" t="n">
        <v>0.4097810465027266</v>
      </c>
      <c r="N361" s="35" t="n">
        <v>0.4521204719784098</v>
      </c>
      <c r="O361" s="35" t="n">
        <v>-0.1502463054187192</v>
      </c>
      <c r="P361" s="35" t="n">
        <v>-0.3208661417322834</v>
      </c>
      <c r="Q361" s="35" t="n">
        <v>-0.4566929133858267</v>
      </c>
      <c r="R361" s="35" t="n">
        <v>-0.07553792974088269</v>
      </c>
      <c r="S361" s="35" t="n">
        <v>-0.1887379584414364</v>
      </c>
      <c r="T361" s="35" t="n">
        <v>-0.3546556760683255</v>
      </c>
      <c r="U361" s="30" t="n">
        <v>38600</v>
      </c>
      <c r="V361" s="30" t="n">
        <v>17250</v>
      </c>
      <c r="W361" s="35" t="n">
        <v>-0.5531088082901554</v>
      </c>
      <c r="X361" s="35" t="n">
        <v>0</v>
      </c>
      <c r="Y361" s="30" t="n">
        <v>28966714</v>
      </c>
      <c r="Z361" s="30" t="n">
        <v>499675816500</v>
      </c>
      <c r="AA361" s="30" t="n">
        <v>2617273500</v>
      </c>
      <c r="AB361" s="30" t="n">
        <v>3251049808</v>
      </c>
      <c r="AC361" s="35" t="n">
        <v>0.005237943109460051</v>
      </c>
      <c r="AD361" s="24" t="inlineStr">
        <is>
          <t>yfinance_download</t>
        </is>
      </c>
      <c r="AE361" s="24" t="inlineStr">
        <is>
          <t>319660.KQ</t>
        </is>
      </c>
    </row>
    <row r="362" ht="24" customHeight="1">
      <c r="A362" s="29" t="inlineStr">
        <is>
          <t>2024-11-28</t>
        </is>
      </c>
      <c r="B362" s="31" t="n">
        <v>17420</v>
      </c>
      <c r="C362" s="31" t="n">
        <v>17420</v>
      </c>
      <c r="D362" s="31" t="n">
        <v>17090</v>
      </c>
      <c r="E362" s="31" t="n">
        <v>17200</v>
      </c>
      <c r="F362" s="31" t="n">
        <v>16801.541015625</v>
      </c>
      <c r="G362" s="31" t="n">
        <v>78685</v>
      </c>
      <c r="H362" s="36" t="n">
        <v>-0.002898550724637627</v>
      </c>
      <c r="I362" s="36" t="n">
        <v>-0.5544041450777202</v>
      </c>
      <c r="J362" s="31" t="n">
        <v>18479.5</v>
      </c>
      <c r="K362" s="31" t="n">
        <v>21099</v>
      </c>
      <c r="L362" s="31" t="n">
        <v>26608.25</v>
      </c>
      <c r="M362" s="36" t="n">
        <v>0.3921694448210209</v>
      </c>
      <c r="N362" s="36" t="n">
        <v>0.4273197701189272</v>
      </c>
      <c r="O362" s="36" t="n">
        <v>-0.1730769230769231</v>
      </c>
      <c r="P362" s="36" t="n">
        <v>-0.3641404805914972</v>
      </c>
      <c r="Q362" s="36" t="n">
        <v>-0.4591194968553459</v>
      </c>
      <c r="R362" s="36" t="n">
        <v>-0.06923888633350472</v>
      </c>
      <c r="S362" s="36" t="n">
        <v>-0.184795487937817</v>
      </c>
      <c r="T362" s="36" t="n">
        <v>-0.3535839448291414</v>
      </c>
      <c r="U362" s="31" t="n">
        <v>38600</v>
      </c>
      <c r="V362" s="31" t="n">
        <v>17200</v>
      </c>
      <c r="W362" s="36" t="n">
        <v>-0.5544041450777202</v>
      </c>
      <c r="X362" s="36" t="n">
        <v>0</v>
      </c>
      <c r="Y362" s="31" t="n">
        <v>28966714</v>
      </c>
      <c r="Z362" s="31" t="n">
        <v>498227480800</v>
      </c>
      <c r="AA362" s="31" t="n">
        <v>1353382000</v>
      </c>
      <c r="AB362" s="31" t="n">
        <v>3144945308</v>
      </c>
      <c r="AC362" s="36" t="n">
        <v>0.002716393720047086</v>
      </c>
      <c r="AD362" s="29" t="inlineStr">
        <is>
          <t>yfinance_download</t>
        </is>
      </c>
      <c r="AE362" s="29" t="inlineStr">
        <is>
          <t>319660.KQ</t>
        </is>
      </c>
    </row>
    <row r="363" ht="24" customHeight="1">
      <c r="A363" s="24" t="inlineStr">
        <is>
          <t>2024-11-29</t>
        </is>
      </c>
      <c r="B363" s="30" t="n">
        <v>17220</v>
      </c>
      <c r="C363" s="30" t="n">
        <v>17240</v>
      </c>
      <c r="D363" s="30" t="n">
        <v>16620</v>
      </c>
      <c r="E363" s="30" t="n">
        <v>16800</v>
      </c>
      <c r="F363" s="30" t="n">
        <v>16410.806640625</v>
      </c>
      <c r="G363" s="30" t="n">
        <v>149479</v>
      </c>
      <c r="H363" s="35" t="n">
        <v>-0.02325581395348841</v>
      </c>
      <c r="I363" s="35" t="n">
        <v>-0.5647668393782384</v>
      </c>
      <c r="J363" s="30" t="n">
        <v>18282</v>
      </c>
      <c r="K363" s="30" t="n">
        <v>20945.66666666667</v>
      </c>
      <c r="L363" s="30" t="n">
        <v>26493.66666666667</v>
      </c>
      <c r="M363" s="35" t="n">
        <v>0.3943813546872733</v>
      </c>
      <c r="N363" s="35" t="n">
        <v>0.4235694428663646</v>
      </c>
      <c r="O363" s="35" t="n">
        <v>-0.1903614457831325</v>
      </c>
      <c r="P363" s="35" t="n">
        <v>-0.3538461538461538</v>
      </c>
      <c r="Q363" s="35" t="n">
        <v>-0.4500818330605565</v>
      </c>
      <c r="R363" s="35" t="n">
        <v>-0.08106334099113888</v>
      </c>
      <c r="S363" s="35" t="n">
        <v>-0.1979247895348283</v>
      </c>
      <c r="T363" s="35" t="n">
        <v>-0.3658861866357997</v>
      </c>
      <c r="U363" s="30" t="n">
        <v>38600</v>
      </c>
      <c r="V363" s="30" t="n">
        <v>16800</v>
      </c>
      <c r="W363" s="35" t="n">
        <v>-0.5647668393782384</v>
      </c>
      <c r="X363" s="35" t="n">
        <v>0</v>
      </c>
      <c r="Y363" s="30" t="n">
        <v>28966714</v>
      </c>
      <c r="Z363" s="30" t="n">
        <v>486640795200</v>
      </c>
      <c r="AA363" s="30" t="n">
        <v>2511247200</v>
      </c>
      <c r="AB363" s="30" t="n">
        <v>3127877355.5</v>
      </c>
      <c r="AC363" s="35" t="n">
        <v>0.005160371314468047</v>
      </c>
      <c r="AD363" s="24" t="inlineStr">
        <is>
          <t>yfinance_download</t>
        </is>
      </c>
      <c r="AE363" s="24" t="inlineStr">
        <is>
          <t>319660.KQ</t>
        </is>
      </c>
    </row>
    <row r="364" ht="24" customHeight="1">
      <c r="A364" s="29" t="inlineStr">
        <is>
          <t>2024-12-02</t>
        </is>
      </c>
      <c r="B364" s="31" t="n">
        <v>17000</v>
      </c>
      <c r="C364" s="31" t="n">
        <v>17010</v>
      </c>
      <c r="D364" s="31" t="n">
        <v>15550</v>
      </c>
      <c r="E364" s="31" t="n">
        <v>16660</v>
      </c>
      <c r="F364" s="31" t="n">
        <v>16274.0498046875</v>
      </c>
      <c r="G364" s="31" t="n">
        <v>174770</v>
      </c>
      <c r="H364" s="36" t="n">
        <v>-0.008333333333333304</v>
      </c>
      <c r="I364" s="36" t="n">
        <v>-0.5683937823834198</v>
      </c>
      <c r="J364" s="31" t="n">
        <v>18067.5</v>
      </c>
      <c r="K364" s="31" t="n">
        <v>20793.33333333333</v>
      </c>
      <c r="L364" s="31" t="n">
        <v>26374.58333333333</v>
      </c>
      <c r="M364" s="36" t="n">
        <v>0.3874867309559881</v>
      </c>
      <c r="N364" s="36" t="n">
        <v>0.4235765971350824</v>
      </c>
      <c r="O364" s="36" t="n">
        <v>-0.2047732696897375</v>
      </c>
      <c r="P364" s="36" t="n">
        <v>-0.3542635658914729</v>
      </c>
      <c r="Q364" s="36" t="n">
        <v>-0.4617124394184168</v>
      </c>
      <c r="R364" s="36" t="n">
        <v>-0.0779023107790231</v>
      </c>
      <c r="S364" s="36" t="n">
        <v>-0.1987816607887143</v>
      </c>
      <c r="T364" s="36" t="n">
        <v>-0.3683312532583453</v>
      </c>
      <c r="U364" s="31" t="n">
        <v>38600</v>
      </c>
      <c r="V364" s="31" t="n">
        <v>16660</v>
      </c>
      <c r="W364" s="36" t="n">
        <v>-0.5683937823834198</v>
      </c>
      <c r="X364" s="36" t="n">
        <v>0</v>
      </c>
      <c r="Y364" s="31" t="n">
        <v>28966714</v>
      </c>
      <c r="Z364" s="31" t="n">
        <v>482585455240</v>
      </c>
      <c r="AA364" s="31" t="n">
        <v>2911668200</v>
      </c>
      <c r="AB364" s="31" t="n">
        <v>3115702028</v>
      </c>
      <c r="AC364" s="36" t="n">
        <v>0.00603347690732197</v>
      </c>
      <c r="AD364" s="29" t="inlineStr">
        <is>
          <t>yfinance_download</t>
        </is>
      </c>
      <c r="AE364" s="29" t="inlineStr">
        <is>
          <t>319660.KQ</t>
        </is>
      </c>
    </row>
    <row r="365" ht="24" customHeight="1">
      <c r="A365" s="24" t="inlineStr">
        <is>
          <t>2024-12-03</t>
        </is>
      </c>
      <c r="B365" s="30" t="n">
        <v>16810</v>
      </c>
      <c r="C365" s="30" t="n">
        <v>17030</v>
      </c>
      <c r="D365" s="30" t="n">
        <v>16610</v>
      </c>
      <c r="E365" s="30" t="n">
        <v>16880</v>
      </c>
      <c r="F365" s="30" t="n">
        <v>16488.953125</v>
      </c>
      <c r="G365" s="30" t="n">
        <v>102368</v>
      </c>
      <c r="H365" s="35" t="n">
        <v>0.01320528211284522</v>
      </c>
      <c r="I365" s="35" t="n">
        <v>-0.5626943005181347</v>
      </c>
      <c r="J365" s="30" t="n">
        <v>17919</v>
      </c>
      <c r="K365" s="30" t="n">
        <v>20656.33333333333</v>
      </c>
      <c r="L365" s="30" t="n">
        <v>26236.08333333333</v>
      </c>
      <c r="M365" s="35" t="n">
        <v>0.3638491062109904</v>
      </c>
      <c r="N365" s="35" t="n">
        <v>0.4234187383821389</v>
      </c>
      <c r="O365" s="35" t="n">
        <v>-0.1496221662468514</v>
      </c>
      <c r="P365" s="35" t="n">
        <v>-0.3274900398406374</v>
      </c>
      <c r="Q365" s="35" t="n">
        <v>-0.4961194029850746</v>
      </c>
      <c r="R365" s="35" t="n">
        <v>-0.05798314638093649</v>
      </c>
      <c r="S365" s="35" t="n">
        <v>-0.1828172150591424</v>
      </c>
      <c r="T365" s="35" t="n">
        <v>-0.3566112828070754</v>
      </c>
      <c r="U365" s="30" t="n">
        <v>38600</v>
      </c>
      <c r="V365" s="30" t="n">
        <v>16660</v>
      </c>
      <c r="W365" s="35" t="n">
        <v>-0.5626943005181347</v>
      </c>
      <c r="X365" s="35" t="n">
        <v>0.01320528211284522</v>
      </c>
      <c r="Y365" s="30" t="n">
        <v>28966714</v>
      </c>
      <c r="Z365" s="30" t="n">
        <v>488958132320</v>
      </c>
      <c r="AA365" s="30" t="n">
        <v>1727971840</v>
      </c>
      <c r="AB365" s="30" t="n">
        <v>2920675260</v>
      </c>
      <c r="AC365" s="35" t="n">
        <v>0.003533987320757197</v>
      </c>
      <c r="AD365" s="24" t="inlineStr">
        <is>
          <t>yfinance_download</t>
        </is>
      </c>
      <c r="AE365" s="24" t="inlineStr">
        <is>
          <t>319660.KQ</t>
        </is>
      </c>
    </row>
    <row r="366" ht="24" customHeight="1">
      <c r="A366" s="29" t="inlineStr">
        <is>
          <t>2024-12-04</t>
        </is>
      </c>
      <c r="B366" s="31" t="n">
        <v>16510</v>
      </c>
      <c r="C366" s="31" t="n">
        <v>16940</v>
      </c>
      <c r="D366" s="31" t="n">
        <v>16310</v>
      </c>
      <c r="E366" s="31" t="n">
        <v>16600</v>
      </c>
      <c r="F366" s="31" t="n">
        <v>16215.4404296875</v>
      </c>
      <c r="G366" s="31" t="n">
        <v>102251</v>
      </c>
      <c r="H366" s="36" t="n">
        <v>-0.01658767772511849</v>
      </c>
      <c r="I366" s="36" t="n">
        <v>-0.5699481865284974</v>
      </c>
      <c r="J366" s="31" t="n">
        <v>17750</v>
      </c>
      <c r="K366" s="31" t="n">
        <v>20527.16666666667</v>
      </c>
      <c r="L366" s="31" t="n">
        <v>26092.33333333333</v>
      </c>
      <c r="M366" s="36" t="n">
        <v>0.3609889390404318</v>
      </c>
      <c r="N366" s="36" t="n">
        <v>0.4211187862518221</v>
      </c>
      <c r="O366" s="36" t="n">
        <v>-0.1691691691691691</v>
      </c>
      <c r="P366" s="36" t="n">
        <v>-0.3182751540041068</v>
      </c>
      <c r="Q366" s="36" t="n">
        <v>-0.5096011816838996</v>
      </c>
      <c r="R366" s="36" t="n">
        <v>-0.06478873239436622</v>
      </c>
      <c r="S366" s="36" t="n">
        <v>-0.1913155736706641</v>
      </c>
      <c r="T366" s="36" t="n">
        <v>-0.3637977950100285</v>
      </c>
      <c r="U366" s="31" t="n">
        <v>38600</v>
      </c>
      <c r="V366" s="31" t="n">
        <v>16600</v>
      </c>
      <c r="W366" s="36" t="n">
        <v>-0.5699481865284974</v>
      </c>
      <c r="X366" s="36" t="n">
        <v>0</v>
      </c>
      <c r="Y366" s="31" t="n">
        <v>28966714</v>
      </c>
      <c r="Z366" s="31" t="n">
        <v>480847452400</v>
      </c>
      <c r="AA366" s="31" t="n">
        <v>1697366600</v>
      </c>
      <c r="AB366" s="31" t="n">
        <v>2810964364</v>
      </c>
      <c r="AC366" s="36" t="n">
        <v>0.003529948201925838</v>
      </c>
      <c r="AD366" s="29" t="inlineStr">
        <is>
          <t>yfinance_download</t>
        </is>
      </c>
      <c r="AE366" s="29" t="inlineStr">
        <is>
          <t>319660.KQ</t>
        </is>
      </c>
    </row>
    <row r="367" ht="24" customHeight="1">
      <c r="A367" s="24" t="inlineStr">
        <is>
          <t>2024-12-05</t>
        </is>
      </c>
      <c r="B367" s="30" t="n">
        <v>16530</v>
      </c>
      <c r="C367" s="30" t="n">
        <v>17530</v>
      </c>
      <c r="D367" s="30" t="n">
        <v>16530</v>
      </c>
      <c r="E367" s="30" t="n">
        <v>17330</v>
      </c>
      <c r="F367" s="30" t="n">
        <v>16928.52734375</v>
      </c>
      <c r="G367" s="30" t="n">
        <v>223516</v>
      </c>
      <c r="H367" s="35" t="n">
        <v>0.0439759036144578</v>
      </c>
      <c r="I367" s="35" t="n">
        <v>-0.5510362694300518</v>
      </c>
      <c r="J367" s="30" t="n">
        <v>17616.5</v>
      </c>
      <c r="K367" s="30" t="n">
        <v>20429.33333333333</v>
      </c>
      <c r="L367" s="30" t="n">
        <v>25963</v>
      </c>
      <c r="M367" s="35" t="n">
        <v>0.4061480748567234</v>
      </c>
      <c r="N367" s="35" t="n">
        <v>0.4244647372836156</v>
      </c>
      <c r="O367" s="35" t="n">
        <v>-0.1335</v>
      </c>
      <c r="P367" s="35" t="n">
        <v>-0.2530172413793104</v>
      </c>
      <c r="Q367" s="35" t="n">
        <v>-0.4724505327245053</v>
      </c>
      <c r="R367" s="35" t="n">
        <v>-0.01626316237618142</v>
      </c>
      <c r="S367" s="35" t="n">
        <v>-0.1517099595353086</v>
      </c>
      <c r="T367" s="35" t="n">
        <v>-0.3325116511959326</v>
      </c>
      <c r="U367" s="30" t="n">
        <v>38600</v>
      </c>
      <c r="V367" s="30" t="n">
        <v>16600</v>
      </c>
      <c r="W367" s="35" t="n">
        <v>-0.5510362694300518</v>
      </c>
      <c r="X367" s="35" t="n">
        <v>0.0439759036144578</v>
      </c>
      <c r="Y367" s="30" t="n">
        <v>28966714</v>
      </c>
      <c r="Z367" s="30" t="n">
        <v>501993153620</v>
      </c>
      <c r="AA367" s="30" t="n">
        <v>3873532280</v>
      </c>
      <c r="AB367" s="30" t="n">
        <v>2831298978</v>
      </c>
      <c r="AC367" s="35" t="n">
        <v>0.007716304997522329</v>
      </c>
      <c r="AD367" s="24" t="inlineStr">
        <is>
          <t>yfinance_download</t>
        </is>
      </c>
      <c r="AE367" s="24" t="inlineStr">
        <is>
          <t>319660.KQ</t>
        </is>
      </c>
    </row>
    <row r="368" ht="24" customHeight="1">
      <c r="A368" s="29" t="inlineStr">
        <is>
          <t>2024-12-06</t>
        </is>
      </c>
      <c r="B368" s="31" t="n">
        <v>17400</v>
      </c>
      <c r="C368" s="31" t="n">
        <v>17400</v>
      </c>
      <c r="D368" s="31" t="n">
        <v>16540</v>
      </c>
      <c r="E368" s="31" t="n">
        <v>16820</v>
      </c>
      <c r="F368" s="31" t="n">
        <v>16430.34375</v>
      </c>
      <c r="G368" s="31" t="n">
        <v>171672</v>
      </c>
      <c r="H368" s="36" t="n">
        <v>-0.0294287362954414</v>
      </c>
      <c r="I368" s="36" t="n">
        <v>-0.5642487046632124</v>
      </c>
      <c r="J368" s="31" t="n">
        <v>17462</v>
      </c>
      <c r="K368" s="31" t="n">
        <v>20338.83333333333</v>
      </c>
      <c r="L368" s="31" t="n">
        <v>25824.83333333333</v>
      </c>
      <c r="M368" s="36" t="n">
        <v>0.4138208854320935</v>
      </c>
      <c r="N368" s="36" t="n">
        <v>0.4208809089068155</v>
      </c>
      <c r="O368" s="36" t="n">
        <v>-0.1551983927674535</v>
      </c>
      <c r="P368" s="36" t="n">
        <v>-0.2440449438202247</v>
      </c>
      <c r="Q368" s="36" t="n">
        <v>-0.4964071856287425</v>
      </c>
      <c r="R368" s="36" t="n">
        <v>-0.03676554804718823</v>
      </c>
      <c r="S368" s="36" t="n">
        <v>-0.1730105791056517</v>
      </c>
      <c r="T368" s="36" t="n">
        <v>-0.3486889234522327</v>
      </c>
      <c r="U368" s="31" t="n">
        <v>38600</v>
      </c>
      <c r="V368" s="31" t="n">
        <v>16600</v>
      </c>
      <c r="W368" s="36" t="n">
        <v>-0.5642487046632124</v>
      </c>
      <c r="X368" s="36" t="n">
        <v>0.01325301204819285</v>
      </c>
      <c r="Y368" s="31" t="n">
        <v>28966714</v>
      </c>
      <c r="Z368" s="31" t="n">
        <v>487220129480</v>
      </c>
      <c r="AA368" s="31" t="n">
        <v>2887523040</v>
      </c>
      <c r="AB368" s="31" t="n">
        <v>2833586419.5</v>
      </c>
      <c r="AC368" s="36" t="n">
        <v>0.005926526564248883</v>
      </c>
      <c r="AD368" s="29" t="inlineStr">
        <is>
          <t>yfinance_download</t>
        </is>
      </c>
      <c r="AE368" s="29" t="inlineStr">
        <is>
          <t>319660.KQ</t>
        </is>
      </c>
    </row>
    <row r="369" ht="24" customHeight="1">
      <c r="A369" s="24" t="inlineStr">
        <is>
          <t>2024-12-09</t>
        </is>
      </c>
      <c r="B369" s="30" t="n">
        <v>16800</v>
      </c>
      <c r="C369" s="30" t="n">
        <v>16800</v>
      </c>
      <c r="D369" s="30" t="n">
        <v>16260</v>
      </c>
      <c r="E369" s="30" t="n">
        <v>16380</v>
      </c>
      <c r="F369" s="30" t="n">
        <v>16000.537109375</v>
      </c>
      <c r="G369" s="30" t="n">
        <v>179387</v>
      </c>
      <c r="H369" s="35" t="n">
        <v>-0.02615933412604043</v>
      </c>
      <c r="I369" s="35" t="n">
        <v>-0.5756476683937823</v>
      </c>
      <c r="J369" s="30" t="n">
        <v>17333.5</v>
      </c>
      <c r="K369" s="30" t="n">
        <v>20250.16666666667</v>
      </c>
      <c r="L369" s="30" t="n">
        <v>25683.83333333333</v>
      </c>
      <c r="M369" s="35" t="n">
        <v>0.3922878510543775</v>
      </c>
      <c r="N369" s="35" t="n">
        <v>0.421189506547155</v>
      </c>
      <c r="O369" s="35" t="n">
        <v>-0.1356200527704485</v>
      </c>
      <c r="P369" s="35" t="n">
        <v>-0.2451612903225806</v>
      </c>
      <c r="Q369" s="35" t="n">
        <v>-0.508108108108108</v>
      </c>
      <c r="R369" s="35" t="n">
        <v>-0.05500908645109182</v>
      </c>
      <c r="S369" s="35" t="n">
        <v>-0.1911177685780364</v>
      </c>
      <c r="T369" s="35" t="n">
        <v>-0.3622447324192261</v>
      </c>
      <c r="U369" s="30" t="n">
        <v>38600</v>
      </c>
      <c r="V369" s="30" t="n">
        <v>16380</v>
      </c>
      <c r="W369" s="35" t="n">
        <v>-0.5756476683937823</v>
      </c>
      <c r="X369" s="35" t="n">
        <v>0</v>
      </c>
      <c r="Y369" s="30" t="n">
        <v>28966714</v>
      </c>
      <c r="Z369" s="30" t="n">
        <v>474474775320</v>
      </c>
      <c r="AA369" s="30" t="n">
        <v>2938359060</v>
      </c>
      <c r="AB369" s="30" t="n">
        <v>2772150070</v>
      </c>
      <c r="AC369" s="35" t="n">
        <v>0.006192866750436381</v>
      </c>
      <c r="AD369" s="24" t="inlineStr">
        <is>
          <t>yfinance_download</t>
        </is>
      </c>
      <c r="AE369" s="24" t="inlineStr">
        <is>
          <t>319660.KQ</t>
        </is>
      </c>
    </row>
    <row r="370" ht="24" customHeight="1">
      <c r="A370" s="29" t="inlineStr">
        <is>
          <t>2024-12-10</t>
        </is>
      </c>
      <c r="B370" s="31" t="n">
        <v>16380</v>
      </c>
      <c r="C370" s="31" t="n">
        <v>16890</v>
      </c>
      <c r="D370" s="31" t="n">
        <v>16380</v>
      </c>
      <c r="E370" s="31" t="n">
        <v>16650</v>
      </c>
      <c r="F370" s="31" t="n">
        <v>16264.28125</v>
      </c>
      <c r="G370" s="31" t="n">
        <v>152122</v>
      </c>
      <c r="H370" s="36" t="n">
        <v>0.01648351648351642</v>
      </c>
      <c r="I370" s="36" t="n">
        <v>-0.5686528497409327</v>
      </c>
      <c r="J370" s="31" t="n">
        <v>17265</v>
      </c>
      <c r="K370" s="31" t="n">
        <v>20160.16666666667</v>
      </c>
      <c r="L370" s="31" t="n">
        <v>25545.5</v>
      </c>
      <c r="M370" s="36" t="n">
        <v>0.3671795356777525</v>
      </c>
      <c r="N370" s="36" t="n">
        <v>0.4212636696339003</v>
      </c>
      <c r="O370" s="36" t="n">
        <v>-0.0760266370699223</v>
      </c>
      <c r="P370" s="36" t="n">
        <v>-0.2448979591836735</v>
      </c>
      <c r="Q370" s="36" t="n">
        <v>-0.4992481203007518</v>
      </c>
      <c r="R370" s="36" t="n">
        <v>-0.03562119895742832</v>
      </c>
      <c r="S370" s="36" t="n">
        <v>-0.1741139706186292</v>
      </c>
      <c r="T370" s="36" t="n">
        <v>-0.3482218003170813</v>
      </c>
      <c r="U370" s="31" t="n">
        <v>38600</v>
      </c>
      <c r="V370" s="31" t="n">
        <v>16380</v>
      </c>
      <c r="W370" s="36" t="n">
        <v>-0.5686528497409327</v>
      </c>
      <c r="X370" s="36" t="n">
        <v>0.01648351648351642</v>
      </c>
      <c r="Y370" s="31" t="n">
        <v>28966714</v>
      </c>
      <c r="Z370" s="31" t="n">
        <v>482295788100</v>
      </c>
      <c r="AA370" s="31" t="n">
        <v>2532831300</v>
      </c>
      <c r="AB370" s="31" t="n">
        <v>2626314819</v>
      </c>
      <c r="AC370" s="36" t="n">
        <v>0.00525161397319696</v>
      </c>
      <c r="AD370" s="29" t="inlineStr">
        <is>
          <t>yfinance_download</t>
        </is>
      </c>
      <c r="AE370" s="29" t="inlineStr">
        <is>
          <t>319660.KQ</t>
        </is>
      </c>
    </row>
    <row r="371" ht="24" customHeight="1">
      <c r="A371" s="24" t="inlineStr">
        <is>
          <t>2024-12-11</t>
        </is>
      </c>
      <c r="B371" s="30" t="n">
        <v>16490</v>
      </c>
      <c r="C371" s="30" t="n">
        <v>17560</v>
      </c>
      <c r="D371" s="30" t="n">
        <v>16400</v>
      </c>
      <c r="E371" s="30" t="n">
        <v>17370</v>
      </c>
      <c r="F371" s="30" t="n">
        <v>16967.6015625</v>
      </c>
      <c r="G371" s="30" t="n">
        <v>174767</v>
      </c>
      <c r="H371" s="35" t="n">
        <v>0.04324324324324325</v>
      </c>
      <c r="I371" s="35" t="n">
        <v>-0.55</v>
      </c>
      <c r="J371" s="30" t="n">
        <v>17253.5</v>
      </c>
      <c r="K371" s="30" t="n">
        <v>20084.66666666667</v>
      </c>
      <c r="L371" s="30" t="n">
        <v>25412.33333333333</v>
      </c>
      <c r="M371" s="35" t="n">
        <v>0.3949669826139346</v>
      </c>
      <c r="N371" s="35" t="n">
        <v>0.4323453805506044</v>
      </c>
      <c r="O371" s="35" t="n">
        <v>-0.01306818181818181</v>
      </c>
      <c r="P371" s="35" t="n">
        <v>-0.2068493150684931</v>
      </c>
      <c r="Q371" s="35" t="n">
        <v>-0.4791604197901049</v>
      </c>
      <c r="R371" s="35" t="n">
        <v>0.006752253166024236</v>
      </c>
      <c r="S371" s="35" t="n">
        <v>-0.1351611511268962</v>
      </c>
      <c r="T371" s="35" t="n">
        <v>-0.3164736282907249</v>
      </c>
      <c r="U371" s="30" t="n">
        <v>38600</v>
      </c>
      <c r="V371" s="30" t="n">
        <v>16380</v>
      </c>
      <c r="W371" s="35" t="n">
        <v>-0.55</v>
      </c>
      <c r="X371" s="35" t="n">
        <v>0.06043956043956045</v>
      </c>
      <c r="Y371" s="30" t="n">
        <v>28966714</v>
      </c>
      <c r="Z371" s="30" t="n">
        <v>503151822180</v>
      </c>
      <c r="AA371" s="30" t="n">
        <v>3035702790</v>
      </c>
      <c r="AB371" s="30" t="n">
        <v>2603432278.5</v>
      </c>
      <c r="AC371" s="35" t="n">
        <v>0.006033373340172447</v>
      </c>
      <c r="AD371" s="24" t="inlineStr">
        <is>
          <t>yfinance_download</t>
        </is>
      </c>
      <c r="AE371" s="24" t="inlineStr">
        <is>
          <t>319660.KQ</t>
        </is>
      </c>
    </row>
    <row r="372" ht="24" customHeight="1">
      <c r="A372" s="29" t="inlineStr">
        <is>
          <t>2024-12-12</t>
        </is>
      </c>
      <c r="B372" s="31" t="n">
        <v>17610</v>
      </c>
      <c r="C372" s="31" t="n">
        <v>17910</v>
      </c>
      <c r="D372" s="31" t="n">
        <v>17290</v>
      </c>
      <c r="E372" s="31" t="n">
        <v>17670</v>
      </c>
      <c r="F372" s="31" t="n">
        <v>17260.65234375</v>
      </c>
      <c r="G372" s="31" t="n">
        <v>264900</v>
      </c>
      <c r="H372" s="36" t="n">
        <v>0.01727115716753014</v>
      </c>
      <c r="I372" s="36" t="n">
        <v>-0.5422279792746114</v>
      </c>
      <c r="J372" s="31" t="n">
        <v>17267.5</v>
      </c>
      <c r="K372" s="31" t="n">
        <v>20014.16666666667</v>
      </c>
      <c r="L372" s="31" t="n">
        <v>25258.75</v>
      </c>
      <c r="M372" s="36" t="n">
        <v>0.3972204686355385</v>
      </c>
      <c r="N372" s="36" t="n">
        <v>0.4343848327923212</v>
      </c>
      <c r="O372" s="36" t="n">
        <v>0.01610120759056932</v>
      </c>
      <c r="P372" s="36" t="n">
        <v>-0.1931506849315069</v>
      </c>
      <c r="Q372" s="36" t="n">
        <v>-0.5105263157894737</v>
      </c>
      <c r="R372" s="36" t="n">
        <v>0.02330968582597359</v>
      </c>
      <c r="S372" s="36" t="n">
        <v>-0.1171253695299164</v>
      </c>
      <c r="T372" s="36" t="n">
        <v>-0.3004404414311872</v>
      </c>
      <c r="U372" s="31" t="n">
        <v>38600</v>
      </c>
      <c r="V372" s="31" t="n">
        <v>16380</v>
      </c>
      <c r="W372" s="36" t="n">
        <v>-0.5422279792746114</v>
      </c>
      <c r="X372" s="36" t="n">
        <v>0.0787545787545787</v>
      </c>
      <c r="Y372" s="31" t="n">
        <v>28966714</v>
      </c>
      <c r="Z372" s="31" t="n">
        <v>511841836380</v>
      </c>
      <c r="AA372" s="31" t="n">
        <v>4680783000</v>
      </c>
      <c r="AB372" s="31" t="n">
        <v>2624987366</v>
      </c>
      <c r="AC372" s="36" t="n">
        <v>0.009144979302795616</v>
      </c>
      <c r="AD372" s="29" t="inlineStr">
        <is>
          <t>yfinance_download</t>
        </is>
      </c>
      <c r="AE372" s="29" t="inlineStr">
        <is>
          <t>319660.KQ</t>
        </is>
      </c>
    </row>
    <row r="373" ht="24" customHeight="1">
      <c r="A373" s="24" t="inlineStr">
        <is>
          <t>2024-12-13</t>
        </is>
      </c>
      <c r="B373" s="30" t="n">
        <v>17670</v>
      </c>
      <c r="C373" s="30" t="n">
        <v>17910</v>
      </c>
      <c r="D373" s="30" t="n">
        <v>17420</v>
      </c>
      <c r="E373" s="30" t="n">
        <v>17770</v>
      </c>
      <c r="F373" s="30" t="n">
        <v>17358.3359375</v>
      </c>
      <c r="G373" s="30" t="n">
        <v>190318</v>
      </c>
      <c r="H373" s="35" t="n">
        <v>0.005659309564233217</v>
      </c>
      <c r="I373" s="35" t="n">
        <v>-0.5396373056994819</v>
      </c>
      <c r="J373" s="30" t="n">
        <v>17258.5</v>
      </c>
      <c r="K373" s="30" t="n">
        <v>19931.16666666667</v>
      </c>
      <c r="L373" s="30" t="n">
        <v>25111.83333333333</v>
      </c>
      <c r="M373" s="35" t="n">
        <v>0.3804720477311971</v>
      </c>
      <c r="N373" s="35" t="n">
        <v>0.4259198908963367</v>
      </c>
      <c r="O373" s="35" t="n">
        <v>-0.01002785515320337</v>
      </c>
      <c r="P373" s="35" t="n">
        <v>-0.2189010989010989</v>
      </c>
      <c r="Q373" s="35" t="n">
        <v>-0.4980225988700565</v>
      </c>
      <c r="R373" s="35" t="n">
        <v>0.02963756989309618</v>
      </c>
      <c r="S373" s="35" t="n">
        <v>-0.1084315184760886</v>
      </c>
      <c r="T373" s="35" t="n">
        <v>-0.2923654850634827</v>
      </c>
      <c r="U373" s="30" t="n">
        <v>38600</v>
      </c>
      <c r="V373" s="30" t="n">
        <v>16380</v>
      </c>
      <c r="W373" s="35" t="n">
        <v>-0.5396373056994819</v>
      </c>
      <c r="X373" s="35" t="n">
        <v>0.08485958485958478</v>
      </c>
      <c r="Y373" s="30" t="n">
        <v>28966714</v>
      </c>
      <c r="Z373" s="30" t="n">
        <v>514738507780</v>
      </c>
      <c r="AA373" s="30" t="n">
        <v>3381950860</v>
      </c>
      <c r="AB373" s="30" t="n">
        <v>2563759484</v>
      </c>
      <c r="AC373" s="35" t="n">
        <v>0.006570230920911499</v>
      </c>
      <c r="AD373" s="24" t="inlineStr">
        <is>
          <t>yfinance_download</t>
        </is>
      </c>
      <c r="AE373" s="24" t="inlineStr">
        <is>
          <t>319660.KQ</t>
        </is>
      </c>
    </row>
    <row r="374" ht="24" customHeight="1">
      <c r="A374" s="29" t="inlineStr">
        <is>
          <t>2024-12-16</t>
        </is>
      </c>
      <c r="B374" s="31" t="n">
        <v>17850</v>
      </c>
      <c r="C374" s="31" t="n">
        <v>18140</v>
      </c>
      <c r="D374" s="31" t="n">
        <v>17670</v>
      </c>
      <c r="E374" s="31" t="n">
        <v>17820</v>
      </c>
      <c r="F374" s="31" t="n">
        <v>17407.177734375</v>
      </c>
      <c r="G374" s="31" t="n">
        <v>172166</v>
      </c>
      <c r="H374" s="36" t="n">
        <v>0.002813731007315745</v>
      </c>
      <c r="I374" s="36" t="n">
        <v>-0.5383419689119171</v>
      </c>
      <c r="J374" s="31" t="n">
        <v>17276</v>
      </c>
      <c r="K374" s="31" t="n">
        <v>19866.5</v>
      </c>
      <c r="L374" s="31" t="n">
        <v>24962.83333333333</v>
      </c>
      <c r="M374" s="36" t="n">
        <v>0.3673994504142615</v>
      </c>
      <c r="N374" s="36" t="n">
        <v>0.4168247353866973</v>
      </c>
      <c r="O374" s="36" t="n">
        <v>0.02003434459072695</v>
      </c>
      <c r="P374" s="36" t="n">
        <v>-0.1788018433179723</v>
      </c>
      <c r="Q374" s="36" t="n">
        <v>-0.5008403361344538</v>
      </c>
      <c r="R374" s="36" t="n">
        <v>0.03148877054873811</v>
      </c>
      <c r="S374" s="36" t="n">
        <v>-0.1030126091661843</v>
      </c>
      <c r="T374" s="36" t="n">
        <v>-0.2861387262396763</v>
      </c>
      <c r="U374" s="31" t="n">
        <v>38600</v>
      </c>
      <c r="V374" s="31" t="n">
        <v>16380</v>
      </c>
      <c r="W374" s="36" t="n">
        <v>-0.5383419689119171</v>
      </c>
      <c r="X374" s="36" t="n">
        <v>0.08791208791208782</v>
      </c>
      <c r="Y374" s="31" t="n">
        <v>28966714</v>
      </c>
      <c r="Z374" s="31" t="n">
        <v>516186843480</v>
      </c>
      <c r="AA374" s="31" t="n">
        <v>3067998120</v>
      </c>
      <c r="AB374" s="31" t="n">
        <v>2563872369</v>
      </c>
      <c r="AC374" s="36" t="n">
        <v>0.005943580621536844</v>
      </c>
      <c r="AD374" s="29" t="inlineStr">
        <is>
          <t>yfinance_download</t>
        </is>
      </c>
      <c r="AE374" s="29" t="inlineStr">
        <is>
          <t>319660.KQ</t>
        </is>
      </c>
    </row>
    <row r="375" ht="24" customHeight="1">
      <c r="A375" s="24" t="inlineStr">
        <is>
          <t>2024-12-17</t>
        </is>
      </c>
      <c r="B375" s="30" t="n">
        <v>17960</v>
      </c>
      <c r="C375" s="30" t="n">
        <v>18240</v>
      </c>
      <c r="D375" s="30" t="n">
        <v>17870</v>
      </c>
      <c r="E375" s="30" t="n">
        <v>18000</v>
      </c>
      <c r="F375" s="30" t="n">
        <v>17583.0078125</v>
      </c>
      <c r="G375" s="30" t="n">
        <v>137709</v>
      </c>
      <c r="H375" s="35" t="n">
        <v>0.01010101010101017</v>
      </c>
      <c r="I375" s="35" t="n">
        <v>-0.5336787564766839</v>
      </c>
      <c r="J375" s="30" t="n">
        <v>17307</v>
      </c>
      <c r="K375" s="30" t="n">
        <v>19812.33333333333</v>
      </c>
      <c r="L375" s="30" t="n">
        <v>24819.5</v>
      </c>
      <c r="M375" s="35" t="n">
        <v>0.3678658257488094</v>
      </c>
      <c r="N375" s="35" t="n">
        <v>0.4159905806979137</v>
      </c>
      <c r="O375" s="35" t="n">
        <v>0.03567318757192184</v>
      </c>
      <c r="P375" s="35" t="n">
        <v>-0.1529411764705882</v>
      </c>
      <c r="Q375" s="35" t="n">
        <v>-0.4886363636363636</v>
      </c>
      <c r="R375" s="35" t="n">
        <v>0.04004160166406656</v>
      </c>
      <c r="S375" s="35" t="n">
        <v>-0.09147500715042811</v>
      </c>
      <c r="T375" s="35" t="n">
        <v>-0.2747637945969903</v>
      </c>
      <c r="U375" s="30" t="n">
        <v>38600</v>
      </c>
      <c r="V375" s="30" t="n">
        <v>16380</v>
      </c>
      <c r="W375" s="35" t="n">
        <v>-0.5336787564766839</v>
      </c>
      <c r="X375" s="35" t="n">
        <v>0.09890109890109899</v>
      </c>
      <c r="Y375" s="30" t="n">
        <v>28966714</v>
      </c>
      <c r="Z375" s="30" t="n">
        <v>521400852000</v>
      </c>
      <c r="AA375" s="30" t="n">
        <v>2478762000</v>
      </c>
      <c r="AB375" s="30" t="n">
        <v>2572125713</v>
      </c>
      <c r="AC375" s="35" t="n">
        <v>0.004754042864509934</v>
      </c>
      <c r="AD375" s="24" t="inlineStr">
        <is>
          <t>yfinance_download</t>
        </is>
      </c>
      <c r="AE375" s="24" t="inlineStr">
        <is>
          <t>319660.KQ</t>
        </is>
      </c>
    </row>
    <row r="376" ht="24" customHeight="1">
      <c r="A376" s="29" t="inlineStr">
        <is>
          <t>2024-12-18</t>
        </is>
      </c>
      <c r="B376" s="31" t="n">
        <v>18090</v>
      </c>
      <c r="C376" s="31" t="n">
        <v>18090</v>
      </c>
      <c r="D376" s="31" t="n">
        <v>17420</v>
      </c>
      <c r="E376" s="31" t="n">
        <v>17800</v>
      </c>
      <c r="F376" s="31" t="n">
        <v>17387.640625</v>
      </c>
      <c r="G376" s="31" t="n">
        <v>265242</v>
      </c>
      <c r="H376" s="36" t="n">
        <v>-0.01111111111111107</v>
      </c>
      <c r="I376" s="36" t="n">
        <v>-0.538860103626943</v>
      </c>
      <c r="J376" s="31" t="n">
        <v>17317.5</v>
      </c>
      <c r="K376" s="31" t="n">
        <v>19749</v>
      </c>
      <c r="L376" s="31" t="n">
        <v>24686.16666666667</v>
      </c>
      <c r="M376" s="36" t="n">
        <v>0.3686533307701474</v>
      </c>
      <c r="N376" s="36" t="n">
        <v>0.4144773600440226</v>
      </c>
      <c r="O376" s="36" t="n">
        <v>0.01193860147811265</v>
      </c>
      <c r="P376" s="36" t="n">
        <v>-0.1759259259259259</v>
      </c>
      <c r="Q376" s="36" t="n">
        <v>-0.4733727810650887</v>
      </c>
      <c r="R376" s="36" t="n">
        <v>0.02786198931716477</v>
      </c>
      <c r="S376" s="36" t="n">
        <v>-0.09868854119195913</v>
      </c>
      <c r="T376" s="36" t="n">
        <v>-0.278948398900869</v>
      </c>
      <c r="U376" s="31" t="n">
        <v>38600</v>
      </c>
      <c r="V376" s="31" t="n">
        <v>16380</v>
      </c>
      <c r="W376" s="36" t="n">
        <v>-0.538860103626943</v>
      </c>
      <c r="X376" s="36" t="n">
        <v>0.08669108669108661</v>
      </c>
      <c r="Y376" s="31" t="n">
        <v>28966714</v>
      </c>
      <c r="Z376" s="31" t="n">
        <v>515607509200</v>
      </c>
      <c r="AA376" s="31" t="n">
        <v>4721307600</v>
      </c>
      <c r="AB376" s="31" t="n">
        <v>2711643980.5</v>
      </c>
      <c r="AC376" s="36" t="n">
        <v>0.009156785957841128</v>
      </c>
      <c r="AD376" s="29" t="inlineStr">
        <is>
          <t>yfinance_download</t>
        </is>
      </c>
      <c r="AE376" s="29" t="inlineStr">
        <is>
          <t>319660.KQ</t>
        </is>
      </c>
    </row>
    <row r="377" ht="24" customHeight="1">
      <c r="A377" s="24" t="inlineStr">
        <is>
          <t>2024-12-19</t>
        </is>
      </c>
      <c r="B377" s="30" t="n">
        <v>17450</v>
      </c>
      <c r="C377" s="30" t="n">
        <v>17450</v>
      </c>
      <c r="D377" s="30" t="n">
        <v>16400</v>
      </c>
      <c r="E377" s="30" t="n">
        <v>16720</v>
      </c>
      <c r="F377" s="30" t="n">
        <v>16332.6591796875</v>
      </c>
      <c r="G377" s="30" t="n">
        <v>247934</v>
      </c>
      <c r="H377" s="35" t="n">
        <v>-0.06067415730337078</v>
      </c>
      <c r="I377" s="35" t="n">
        <v>-0.566839378238342</v>
      </c>
      <c r="J377" s="30" t="n">
        <v>17276.5</v>
      </c>
      <c r="K377" s="30" t="n">
        <v>19657.66666666667</v>
      </c>
      <c r="L377" s="30" t="n">
        <v>24546.75</v>
      </c>
      <c r="M377" s="35" t="n">
        <v>0.4286123940022472</v>
      </c>
      <c r="N377" s="35" t="n">
        <v>0.4260089996567902</v>
      </c>
      <c r="O377" s="35" t="n">
        <v>-0.04675028506271384</v>
      </c>
      <c r="P377" s="35" t="n">
        <v>-0.2468468468468469</v>
      </c>
      <c r="Q377" s="35" t="n">
        <v>-0.5001494768310912</v>
      </c>
      <c r="R377" s="35" t="n">
        <v>-0.03221138540792401</v>
      </c>
      <c r="S377" s="35" t="n">
        <v>-0.1494412697336069</v>
      </c>
      <c r="T377" s="35" t="n">
        <v>-0.318850764357807</v>
      </c>
      <c r="U377" s="30" t="n">
        <v>38600</v>
      </c>
      <c r="V377" s="30" t="n">
        <v>16380</v>
      </c>
      <c r="W377" s="35" t="n">
        <v>-0.566839378238342</v>
      </c>
      <c r="X377" s="35" t="n">
        <v>0.02075702075702068</v>
      </c>
      <c r="Y377" s="30" t="n">
        <v>28966714</v>
      </c>
      <c r="Z377" s="30" t="n">
        <v>484323458080</v>
      </c>
      <c r="AA377" s="30" t="n">
        <v>4145456480</v>
      </c>
      <c r="AB377" s="30" t="n">
        <v>2820785766.5</v>
      </c>
      <c r="AC377" s="35" t="n">
        <v>0.008559272549865339</v>
      </c>
      <c r="AD377" s="24" t="inlineStr">
        <is>
          <t>yfinance_download</t>
        </is>
      </c>
      <c r="AE377" s="24" t="inlineStr">
        <is>
          <t>319660.KQ</t>
        </is>
      </c>
    </row>
    <row r="378" ht="24" customHeight="1">
      <c r="A378" s="29" t="inlineStr">
        <is>
          <t>2024-12-20</t>
        </is>
      </c>
      <c r="B378" s="31" t="n">
        <v>16720</v>
      </c>
      <c r="C378" s="31" t="n">
        <v>16740</v>
      </c>
      <c r="D378" s="31" t="n">
        <v>16290</v>
      </c>
      <c r="E378" s="31" t="n">
        <v>16530</v>
      </c>
      <c r="F378" s="31" t="n">
        <v>16147.0615234375</v>
      </c>
      <c r="G378" s="31" t="n">
        <v>142670</v>
      </c>
      <c r="H378" s="36" t="n">
        <v>-0.01136363636363635</v>
      </c>
      <c r="I378" s="36" t="n">
        <v>-0.571761658031088</v>
      </c>
      <c r="J378" s="31" t="n">
        <v>17222.5</v>
      </c>
      <c r="K378" s="31" t="n">
        <v>19552.33333333333</v>
      </c>
      <c r="L378" s="31" t="n">
        <v>24397.41666666667</v>
      </c>
      <c r="M378" s="36" t="n">
        <v>0.4292104978545858</v>
      </c>
      <c r="N378" s="36" t="n">
        <v>0.4204081462746157</v>
      </c>
      <c r="O378" s="36" t="n">
        <v>-0.06132879045996598</v>
      </c>
      <c r="P378" s="36" t="n">
        <v>-0.2765864332603939</v>
      </c>
      <c r="Q378" s="36" t="n">
        <v>-0.5201741654571843</v>
      </c>
      <c r="R378" s="36" t="n">
        <v>-0.04020902888663092</v>
      </c>
      <c r="S378" s="36" t="n">
        <v>-0.1545766063726409</v>
      </c>
      <c r="T378" s="36" t="n">
        <v>-0.3224692505012484</v>
      </c>
      <c r="U378" s="31" t="n">
        <v>38600</v>
      </c>
      <c r="V378" s="31" t="n">
        <v>16380</v>
      </c>
      <c r="W378" s="36" t="n">
        <v>-0.571761658031088</v>
      </c>
      <c r="X378" s="36" t="n">
        <v>0.009157509157509125</v>
      </c>
      <c r="Y378" s="31" t="n">
        <v>28966714</v>
      </c>
      <c r="Z378" s="31" t="n">
        <v>478819782420</v>
      </c>
      <c r="AA378" s="31" t="n">
        <v>2358335100</v>
      </c>
      <c r="AB378" s="31" t="n">
        <v>2838461118.5</v>
      </c>
      <c r="AC378" s="36" t="n">
        <v>0.004925308407436204</v>
      </c>
      <c r="AD378" s="29" t="inlineStr">
        <is>
          <t>yfinance_download</t>
        </is>
      </c>
      <c r="AE378" s="29" t="inlineStr">
        <is>
          <t>319660.KQ</t>
        </is>
      </c>
    </row>
    <row r="379" ht="24" customHeight="1">
      <c r="A379" s="24" t="inlineStr">
        <is>
          <t>2024-12-23</t>
        </is>
      </c>
      <c r="B379" s="30" t="n">
        <v>16740</v>
      </c>
      <c r="C379" s="30" t="n">
        <v>17180</v>
      </c>
      <c r="D379" s="30" t="n">
        <v>16610</v>
      </c>
      <c r="E379" s="30" t="n">
        <v>17020</v>
      </c>
      <c r="F379" s="30" t="n">
        <v>16625.7109375</v>
      </c>
      <c r="G379" s="30" t="n">
        <v>186718</v>
      </c>
      <c r="H379" s="35" t="n">
        <v>0.02964307320024195</v>
      </c>
      <c r="I379" s="35" t="n">
        <v>-0.5590673575129534</v>
      </c>
      <c r="J379" s="30" t="n">
        <v>17163.5</v>
      </c>
      <c r="K379" s="30" t="n">
        <v>19459.33333333333</v>
      </c>
      <c r="L379" s="30" t="n">
        <v>24252.16666666667</v>
      </c>
      <c r="M379" s="35" t="n">
        <v>0.4250771434840291</v>
      </c>
      <c r="N379" s="35" t="n">
        <v>0.4261611201972531</v>
      </c>
      <c r="O379" s="35" t="n">
        <v>-0.06483516483516483</v>
      </c>
      <c r="P379" s="35" t="n">
        <v>-0.2469026548672566</v>
      </c>
      <c r="Q379" s="35" t="n">
        <v>-0.5059506531204645</v>
      </c>
      <c r="R379" s="35" t="n">
        <v>-0.00836076557811638</v>
      </c>
      <c r="S379" s="35" t="n">
        <v>-0.1253554421186063</v>
      </c>
      <c r="T379" s="35" t="n">
        <v>-0.2982070330485936</v>
      </c>
      <c r="U379" s="30" t="n">
        <v>38600</v>
      </c>
      <c r="V379" s="30" t="n">
        <v>16380</v>
      </c>
      <c r="W379" s="35" t="n">
        <v>-0.5590673575129534</v>
      </c>
      <c r="X379" s="35" t="n">
        <v>0.03907203907203916</v>
      </c>
      <c r="Y379" s="30" t="n">
        <v>28966714</v>
      </c>
      <c r="Z379" s="30" t="n">
        <v>493013472280</v>
      </c>
      <c r="AA379" s="30" t="n">
        <v>3177940360</v>
      </c>
      <c r="AB379" s="30" t="n">
        <v>2905541866.5</v>
      </c>
      <c r="AC379" s="35" t="n">
        <v>0.006445950341485058</v>
      </c>
      <c r="AD379" s="24" t="inlineStr">
        <is>
          <t>yfinance_download</t>
        </is>
      </c>
      <c r="AE379" s="24" t="inlineStr">
        <is>
          <t>319660.KQ</t>
        </is>
      </c>
    </row>
    <row r="380" ht="24" customHeight="1">
      <c r="A380" s="29" t="inlineStr">
        <is>
          <t>2024-12-24</t>
        </is>
      </c>
      <c r="B380" s="31" t="n">
        <v>17160</v>
      </c>
      <c r="C380" s="31" t="n">
        <v>17400</v>
      </c>
      <c r="D380" s="31" t="n">
        <v>16850</v>
      </c>
      <c r="E380" s="31" t="n">
        <v>17000</v>
      </c>
      <c r="F380" s="31" t="n">
        <v>16606.173828125</v>
      </c>
      <c r="G380" s="31" t="n">
        <v>122549</v>
      </c>
      <c r="H380" s="36" t="n">
        <v>-0.001175088131609825</v>
      </c>
      <c r="I380" s="36" t="n">
        <v>-0.5595854922279793</v>
      </c>
      <c r="J380" s="31" t="n">
        <v>17113.5</v>
      </c>
      <c r="K380" s="31" t="n">
        <v>19344.33333333333</v>
      </c>
      <c r="L380" s="31" t="n">
        <v>24090.08333333333</v>
      </c>
      <c r="M380" s="36" t="n">
        <v>0.4240581332196444</v>
      </c>
      <c r="N380" s="36" t="n">
        <v>0.4062706216667095</v>
      </c>
      <c r="O380" s="36" t="n">
        <v>-0.05555555555555558</v>
      </c>
      <c r="P380" s="36" t="n">
        <v>-0.2887029288702929</v>
      </c>
      <c r="Q380" s="36" t="n">
        <v>-0.53360768175583</v>
      </c>
      <c r="R380" s="36" t="n">
        <v>-0.006632190960352946</v>
      </c>
      <c r="S380" s="36" t="n">
        <v>-0.121189667947547</v>
      </c>
      <c r="T380" s="36" t="n">
        <v>-0.2943154340824889</v>
      </c>
      <c r="U380" s="31" t="n">
        <v>38600</v>
      </c>
      <c r="V380" s="31" t="n">
        <v>16380</v>
      </c>
      <c r="W380" s="36" t="n">
        <v>-0.5595854922279793</v>
      </c>
      <c r="X380" s="36" t="n">
        <v>0.03785103785103794</v>
      </c>
      <c r="Y380" s="31" t="n">
        <v>28966714</v>
      </c>
      <c r="Z380" s="31" t="n">
        <v>492434138000</v>
      </c>
      <c r="AA380" s="31" t="n">
        <v>2083333000</v>
      </c>
      <c r="AB380" s="31" t="n">
        <v>2909136216.5</v>
      </c>
      <c r="AC380" s="36" t="n">
        <v>0.004230683535591921</v>
      </c>
      <c r="AD380" s="29" t="inlineStr">
        <is>
          <t>yfinance_download</t>
        </is>
      </c>
      <c r="AE380" s="29" t="inlineStr">
        <is>
          <t>319660.KQ</t>
        </is>
      </c>
    </row>
    <row r="381" ht="24" customHeight="1">
      <c r="A381" s="24" t="inlineStr">
        <is>
          <t>2024-12-26</t>
        </is>
      </c>
      <c r="B381" s="30" t="n">
        <v>17240</v>
      </c>
      <c r="C381" s="30" t="n">
        <v>17280</v>
      </c>
      <c r="D381" s="30" t="n">
        <v>16420</v>
      </c>
      <c r="E381" s="30" t="n">
        <v>16490</v>
      </c>
      <c r="F381" s="30" t="n">
        <v>16107.98828125</v>
      </c>
      <c r="G381" s="30" t="n">
        <v>159259</v>
      </c>
      <c r="H381" s="35" t="n">
        <v>-0.03000000000000003</v>
      </c>
      <c r="I381" s="35" t="n">
        <v>-0.5727979274611399</v>
      </c>
      <c r="J381" s="30" t="n">
        <v>17075.5</v>
      </c>
      <c r="K381" s="30" t="n">
        <v>19234.16666666667</v>
      </c>
      <c r="L381" s="30" t="n">
        <v>23926.25</v>
      </c>
      <c r="M381" s="35" t="n">
        <v>0.4116105417261272</v>
      </c>
      <c r="N381" s="35" t="n">
        <v>0.4053045798676949</v>
      </c>
      <c r="O381" s="35" t="n">
        <v>-0.04405797101449271</v>
      </c>
      <c r="P381" s="35" t="n">
        <v>-0.2861471861471861</v>
      </c>
      <c r="Q381" s="35" t="n">
        <v>-0.5438450899031813</v>
      </c>
      <c r="R381" s="35" t="n">
        <v>-0.03428889344382302</v>
      </c>
      <c r="S381" s="35" t="n">
        <v>-0.1426714613751571</v>
      </c>
      <c r="T381" s="35" t="n">
        <v>-0.3107988088396636</v>
      </c>
      <c r="U381" s="30" t="n">
        <v>38600</v>
      </c>
      <c r="V381" s="30" t="n">
        <v>16380</v>
      </c>
      <c r="W381" s="35" t="n">
        <v>-0.5727979274611399</v>
      </c>
      <c r="X381" s="35" t="n">
        <v>0.006715506715506692</v>
      </c>
      <c r="Y381" s="30" t="n">
        <v>28966714</v>
      </c>
      <c r="Z381" s="30" t="n">
        <v>477661113860</v>
      </c>
      <c r="AA381" s="30" t="n">
        <v>2626180910</v>
      </c>
      <c r="AB381" s="30" t="n">
        <v>2909581587</v>
      </c>
      <c r="AC381" s="35" t="n">
        <v>0.005498000221909879</v>
      </c>
      <c r="AD381" s="24" t="inlineStr">
        <is>
          <t>yfinance_download</t>
        </is>
      </c>
      <c r="AE381" s="24" t="inlineStr">
        <is>
          <t>319660.KQ</t>
        </is>
      </c>
    </row>
    <row r="382" ht="24" customHeight="1">
      <c r="A382" s="29" t="inlineStr">
        <is>
          <t>2024-12-27</t>
        </is>
      </c>
      <c r="B382" s="31" t="n">
        <v>16470</v>
      </c>
      <c r="C382" s="31" t="n">
        <v>16950</v>
      </c>
      <c r="D382" s="31" t="n">
        <v>16220</v>
      </c>
      <c r="E382" s="31" t="n">
        <v>16500</v>
      </c>
      <c r="F382" s="31" t="n">
        <v>16315.642578125</v>
      </c>
      <c r="G382" s="31" t="n">
        <v>170804</v>
      </c>
      <c r="H382" s="36" t="n">
        <v>0.0006064281382656134</v>
      </c>
      <c r="I382" s="36" t="n">
        <v>-0.572538860103627</v>
      </c>
      <c r="J382" s="31" t="n">
        <v>17040.5</v>
      </c>
      <c r="K382" s="31" t="n">
        <v>19128.33333333333</v>
      </c>
      <c r="L382" s="31" t="n">
        <v>23765.83333333333</v>
      </c>
      <c r="M382" s="36" t="n">
        <v>0.4116891259825227</v>
      </c>
      <c r="N382" s="36" t="n">
        <v>0.4053137425727618</v>
      </c>
      <c r="O382" s="36" t="n">
        <v>-0.04069767441860461</v>
      </c>
      <c r="P382" s="36" t="n">
        <v>-0.2778993435448578</v>
      </c>
      <c r="Q382" s="36" t="n">
        <v>-0.5384615384615384</v>
      </c>
      <c r="R382" s="36" t="n">
        <v>-0.03171855285936442</v>
      </c>
      <c r="S382" s="36" t="n">
        <v>-0.1374052452731549</v>
      </c>
      <c r="T382" s="36" t="n">
        <v>-0.3057260072232546</v>
      </c>
      <c r="U382" s="31" t="n">
        <v>38600</v>
      </c>
      <c r="V382" s="31" t="n">
        <v>16380</v>
      </c>
      <c r="W382" s="36" t="n">
        <v>-0.572538860103627</v>
      </c>
      <c r="X382" s="36" t="n">
        <v>0.0073260073260073</v>
      </c>
      <c r="Y382" s="31" t="n">
        <v>28966714</v>
      </c>
      <c r="Z382" s="31" t="n">
        <v>477950781000</v>
      </c>
      <c r="AA382" s="31" t="n">
        <v>2818266000</v>
      </c>
      <c r="AB382" s="31" t="n">
        <v>2982825787</v>
      </c>
      <c r="AC382" s="36" t="n">
        <v>0.00589656113565384</v>
      </c>
      <c r="AD382" s="29" t="inlineStr">
        <is>
          <t>yfinance_download</t>
        </is>
      </c>
      <c r="AE382" s="29" t="inlineStr">
        <is>
          <t>319660.KQ</t>
        </is>
      </c>
    </row>
    <row r="383" ht="24" customHeight="1">
      <c r="A383" s="24" t="inlineStr">
        <is>
          <t>2024-12-30</t>
        </is>
      </c>
      <c r="B383" s="30" t="n">
        <v>16500</v>
      </c>
      <c r="C383" s="30" t="n">
        <v>16650</v>
      </c>
      <c r="D383" s="30" t="n">
        <v>16230</v>
      </c>
      <c r="E383" s="30" t="n">
        <v>16500</v>
      </c>
      <c r="F383" s="30" t="n">
        <v>16315.642578125</v>
      </c>
      <c r="G383" s="30" t="n">
        <v>101032</v>
      </c>
      <c r="H383" s="35" t="n">
        <v>0</v>
      </c>
      <c r="I383" s="35" t="n">
        <v>-0.572538860103627</v>
      </c>
      <c r="J383" s="30" t="n">
        <v>17025.5</v>
      </c>
      <c r="K383" s="30" t="n">
        <v>19025</v>
      </c>
      <c r="L383" s="30" t="n">
        <v>23607.5</v>
      </c>
      <c r="M383" s="35" t="n">
        <v>0.4037800715031481</v>
      </c>
      <c r="N383" s="35" t="n">
        <v>0.4054349156060784</v>
      </c>
      <c r="O383" s="35" t="n">
        <v>-0.0178571428571429</v>
      </c>
      <c r="P383" s="35" t="n">
        <v>-0.2731277533039648</v>
      </c>
      <c r="Q383" s="35" t="n">
        <v>-0.5352112676056338</v>
      </c>
      <c r="R383" s="35" t="n">
        <v>-0.03086546650612321</v>
      </c>
      <c r="S383" s="35" t="n">
        <v>-0.1327201051248358</v>
      </c>
      <c r="T383" s="35" t="n">
        <v>-0.3010695753468178</v>
      </c>
      <c r="U383" s="30" t="n">
        <v>38600</v>
      </c>
      <c r="V383" s="30" t="n">
        <v>16380</v>
      </c>
      <c r="W383" s="35" t="n">
        <v>-0.572538860103627</v>
      </c>
      <c r="X383" s="35" t="n">
        <v>0.0073260073260073</v>
      </c>
      <c r="Y383" s="30" t="n">
        <v>28966714</v>
      </c>
      <c r="Z383" s="30" t="n">
        <v>477950781000</v>
      </c>
      <c r="AA383" s="30" t="n">
        <v>1667028000</v>
      </c>
      <c r="AB383" s="30" t="n">
        <v>2940614827</v>
      </c>
      <c r="AC383" s="35" t="n">
        <v>0.003487865416836718</v>
      </c>
      <c r="AD383" s="24" t="inlineStr">
        <is>
          <t>yfinance_download</t>
        </is>
      </c>
      <c r="AE383" s="24" t="inlineStr">
        <is>
          <t>319660.KQ</t>
        </is>
      </c>
    </row>
    <row r="384" ht="24" customHeight="1">
      <c r="A384" s="29" t="inlineStr">
        <is>
          <t>2025-01-02</t>
        </is>
      </c>
      <c r="B384" s="31" t="n">
        <v>16340</v>
      </c>
      <c r="C384" s="31" t="n">
        <v>16500</v>
      </c>
      <c r="D384" s="31" t="n">
        <v>16210</v>
      </c>
      <c r="E384" s="31" t="n">
        <v>16360</v>
      </c>
      <c r="F384" s="31" t="n">
        <v>16177.20703125</v>
      </c>
      <c r="G384" s="31" t="n">
        <v>108544</v>
      </c>
      <c r="H384" s="36" t="n">
        <v>-0.008484848484848539</v>
      </c>
      <c r="I384" s="36" t="n">
        <v>-0.5761658031088083</v>
      </c>
      <c r="J384" s="31" t="n">
        <v>17010.5</v>
      </c>
      <c r="K384" s="31" t="n">
        <v>18916.83333333333</v>
      </c>
      <c r="L384" s="31" t="n">
        <v>23428.83333333333</v>
      </c>
      <c r="M384" s="36" t="n">
        <v>0.4038189579716696</v>
      </c>
      <c r="N384" s="36" t="n">
        <v>0.4047718559160993</v>
      </c>
      <c r="O384" s="36" t="n">
        <v>-0.01800720288115243</v>
      </c>
      <c r="P384" s="36" t="n">
        <v>-0.2840262582056893</v>
      </c>
      <c r="Q384" s="36" t="n">
        <v>-0.5671957671957673</v>
      </c>
      <c r="R384" s="36" t="n">
        <v>-0.03824108638781931</v>
      </c>
      <c r="S384" s="36" t="n">
        <v>-0.1351618047418084</v>
      </c>
      <c r="T384" s="36" t="n">
        <v>-0.3017151231032986</v>
      </c>
      <c r="U384" s="31" t="n">
        <v>38600</v>
      </c>
      <c r="V384" s="31" t="n">
        <v>16360</v>
      </c>
      <c r="W384" s="36" t="n">
        <v>-0.5761658031088083</v>
      </c>
      <c r="X384" s="36" t="n">
        <v>0</v>
      </c>
      <c r="Y384" s="31" t="n">
        <v>28966714</v>
      </c>
      <c r="Z384" s="31" t="n">
        <v>473895441040</v>
      </c>
      <c r="AA384" s="31" t="n">
        <v>1775779840</v>
      </c>
      <c r="AB384" s="31" t="n">
        <v>2883820409</v>
      </c>
      <c r="AC384" s="36" t="n">
        <v>0.003747197559239892</v>
      </c>
      <c r="AD384" s="29" t="inlineStr">
        <is>
          <t>yfinance_download</t>
        </is>
      </c>
      <c r="AE384" s="29" t="inlineStr">
        <is>
          <t>319660.KQ</t>
        </is>
      </c>
    </row>
    <row r="385" ht="24" customHeight="1">
      <c r="A385" s="24" t="inlineStr">
        <is>
          <t>2025-01-03</t>
        </is>
      </c>
      <c r="B385" s="30" t="n">
        <v>16330</v>
      </c>
      <c r="C385" s="30" t="n">
        <v>17670</v>
      </c>
      <c r="D385" s="30" t="n">
        <v>16330</v>
      </c>
      <c r="E385" s="30" t="n">
        <v>17410</v>
      </c>
      <c r="F385" s="30" t="n">
        <v>17215.474609375</v>
      </c>
      <c r="G385" s="30" t="n">
        <v>310967</v>
      </c>
      <c r="H385" s="35" t="n">
        <v>0.06418092909535456</v>
      </c>
      <c r="I385" s="35" t="n">
        <v>-0.5489637305699482</v>
      </c>
      <c r="J385" s="30" t="n">
        <v>17037</v>
      </c>
      <c r="K385" s="30" t="n">
        <v>18821.16666666667</v>
      </c>
      <c r="L385" s="30" t="n">
        <v>23264.33333333333</v>
      </c>
      <c r="M385" s="35" t="n">
        <v>0.4631169260318433</v>
      </c>
      <c r="N385" s="35" t="n">
        <v>0.4275436642546212</v>
      </c>
      <c r="O385" s="35" t="n">
        <v>0.03139810426540279</v>
      </c>
      <c r="P385" s="35" t="n">
        <v>-0.2479481641468683</v>
      </c>
      <c r="Q385" s="35" t="n">
        <v>-0.5313593539703902</v>
      </c>
      <c r="R385" s="35" t="n">
        <v>0.02189352585549109</v>
      </c>
      <c r="S385" s="35" t="n">
        <v>-0.07497764042257393</v>
      </c>
      <c r="T385" s="35" t="n">
        <v>-0.2516441476938948</v>
      </c>
      <c r="U385" s="30" t="n">
        <v>38600</v>
      </c>
      <c r="V385" s="30" t="n">
        <v>16360</v>
      </c>
      <c r="W385" s="35" t="n">
        <v>-0.5489637305699482</v>
      </c>
      <c r="X385" s="35" t="n">
        <v>0.06418092909535456</v>
      </c>
      <c r="Y385" s="30" t="n">
        <v>28966714</v>
      </c>
      <c r="Z385" s="30" t="n">
        <v>504310490740</v>
      </c>
      <c r="AA385" s="30" t="n">
        <v>5413935470</v>
      </c>
      <c r="AB385" s="30" t="n">
        <v>3068118590.5</v>
      </c>
      <c r="AC385" s="35" t="n">
        <v>0.0107353219284728</v>
      </c>
      <c r="AD385" s="24" t="inlineStr">
        <is>
          <t>yfinance_download</t>
        </is>
      </c>
      <c r="AE385" s="24" t="inlineStr">
        <is>
          <t>319660.KQ</t>
        </is>
      </c>
    </row>
    <row r="386" ht="24" customHeight="1">
      <c r="A386" s="29" t="inlineStr">
        <is>
          <t>2025-01-06</t>
        </is>
      </c>
      <c r="B386" s="31" t="n">
        <v>17730</v>
      </c>
      <c r="C386" s="31" t="n">
        <v>19210</v>
      </c>
      <c r="D386" s="31" t="n">
        <v>17730</v>
      </c>
      <c r="E386" s="31" t="n">
        <v>19070</v>
      </c>
      <c r="F386" s="31" t="n">
        <v>18856.927734375</v>
      </c>
      <c r="G386" s="31" t="n">
        <v>629231</v>
      </c>
      <c r="H386" s="36" t="n">
        <v>0.09534750143595638</v>
      </c>
      <c r="I386" s="36" t="n">
        <v>-0.5059585492227979</v>
      </c>
      <c r="J386" s="31" t="n">
        <v>17160.5</v>
      </c>
      <c r="K386" s="31" t="n">
        <v>18755.66666666667</v>
      </c>
      <c r="L386" s="31" t="n">
        <v>23116.16666666667</v>
      </c>
      <c r="M386" s="36" t="n">
        <v>0.5633002158730246</v>
      </c>
      <c r="N386" s="36" t="n">
        <v>0.4738313827955214</v>
      </c>
      <c r="O386" s="36" t="n">
        <v>0.1487951807228916</v>
      </c>
      <c r="P386" s="36" t="n">
        <v>-0.1708695652173913</v>
      </c>
      <c r="Q386" s="36" t="n">
        <v>-0.4824966078697422</v>
      </c>
      <c r="R386" s="36" t="n">
        <v>0.1112729815564815</v>
      </c>
      <c r="S386" s="36" t="n">
        <v>0.01675937938756289</v>
      </c>
      <c r="T386" s="36" t="n">
        <v>-0.1750362300554447</v>
      </c>
      <c r="U386" s="31" t="n">
        <v>38600</v>
      </c>
      <c r="V386" s="31" t="n">
        <v>16360</v>
      </c>
      <c r="W386" s="36" t="n">
        <v>-0.5059585492227979</v>
      </c>
      <c r="X386" s="36" t="n">
        <v>0.1656479217603912</v>
      </c>
      <c r="Y386" s="31" t="n">
        <v>28966714</v>
      </c>
      <c r="Z386" s="31" t="n">
        <v>552395235980</v>
      </c>
      <c r="AA386" s="31" t="n">
        <v>11999435170</v>
      </c>
      <c r="AB386" s="31" t="n">
        <v>3583222019</v>
      </c>
      <c r="AC386" s="36" t="n">
        <v>0.02172255368696636</v>
      </c>
      <c r="AD386" s="29" t="inlineStr">
        <is>
          <t>yfinance_download</t>
        </is>
      </c>
      <c r="AE386" s="29" t="inlineStr">
        <is>
          <t>319660.KQ</t>
        </is>
      </c>
    </row>
    <row r="387" ht="24" customHeight="1">
      <c r="A387" s="24" t="inlineStr">
        <is>
          <t>2025-01-07</t>
        </is>
      </c>
      <c r="B387" s="30" t="n">
        <v>19280</v>
      </c>
      <c r="C387" s="30" t="n">
        <v>19370</v>
      </c>
      <c r="D387" s="30" t="n">
        <v>18530</v>
      </c>
      <c r="E387" s="30" t="n">
        <v>18540</v>
      </c>
      <c r="F387" s="30" t="n">
        <v>18332.849609375</v>
      </c>
      <c r="G387" s="30" t="n">
        <v>268900</v>
      </c>
      <c r="H387" s="35" t="n">
        <v>-0.02779234399580488</v>
      </c>
      <c r="I387" s="35" t="n">
        <v>-0.5196891191709845</v>
      </c>
      <c r="J387" s="30" t="n">
        <v>17221</v>
      </c>
      <c r="K387" s="30" t="n">
        <v>18690.5</v>
      </c>
      <c r="L387" s="30" t="n">
        <v>22951.5</v>
      </c>
      <c r="M387" s="35" t="n">
        <v>0.5593328505832542</v>
      </c>
      <c r="N387" s="35" t="n">
        <v>0.4746397730954993</v>
      </c>
      <c r="O387" s="35" t="n">
        <v>0.06982111944604741</v>
      </c>
      <c r="P387" s="35" t="n">
        <v>-0.1741648106904231</v>
      </c>
      <c r="Q387" s="35" t="n">
        <v>-0.5159268929503916</v>
      </c>
      <c r="R387" s="35" t="n">
        <v>0.07659253237326524</v>
      </c>
      <c r="S387" s="35" t="n">
        <v>-0.008052219041759234</v>
      </c>
      <c r="T387" s="35" t="n">
        <v>-0.1922096594993791</v>
      </c>
      <c r="U387" s="30" t="n">
        <v>38600</v>
      </c>
      <c r="V387" s="30" t="n">
        <v>16360</v>
      </c>
      <c r="W387" s="35" t="n">
        <v>-0.5196891191709845</v>
      </c>
      <c r="X387" s="35" t="n">
        <v>0.1332518337408313</v>
      </c>
      <c r="Y387" s="30" t="n">
        <v>28966714</v>
      </c>
      <c r="Z387" s="30" t="n">
        <v>537042877560</v>
      </c>
      <c r="AA387" s="30" t="n">
        <v>4985406000</v>
      </c>
      <c r="AB387" s="30" t="n">
        <v>3638815705</v>
      </c>
      <c r="AC387" s="35" t="n">
        <v>0.00928306883549166</v>
      </c>
      <c r="AD387" s="24" t="inlineStr">
        <is>
          <t>yfinance_download</t>
        </is>
      </c>
      <c r="AE387" s="24" t="inlineStr">
        <is>
          <t>319660.KQ</t>
        </is>
      </c>
    </row>
    <row r="388" ht="24" customHeight="1">
      <c r="A388" s="29" t="inlineStr">
        <is>
          <t>2025-01-08</t>
        </is>
      </c>
      <c r="B388" s="31" t="n">
        <v>18230</v>
      </c>
      <c r="C388" s="31" t="n">
        <v>19500</v>
      </c>
      <c r="D388" s="31" t="n">
        <v>18010</v>
      </c>
      <c r="E388" s="31" t="n">
        <v>19500</v>
      </c>
      <c r="F388" s="31" t="n">
        <v>19282.123046875</v>
      </c>
      <c r="G388" s="31" t="n">
        <v>357686</v>
      </c>
      <c r="H388" s="36" t="n">
        <v>0.05177993527508096</v>
      </c>
      <c r="I388" s="36" t="n">
        <v>-0.4948186528497409</v>
      </c>
      <c r="J388" s="31" t="n">
        <v>17355</v>
      </c>
      <c r="K388" s="31" t="n">
        <v>18637.16666666667</v>
      </c>
      <c r="L388" s="31" t="n">
        <v>22792.75</v>
      </c>
      <c r="M388" s="36" t="n">
        <v>0.5692342719455832</v>
      </c>
      <c r="N388" s="36" t="n">
        <v>0.486868966666218</v>
      </c>
      <c r="O388" s="36" t="n">
        <v>0.159334126040428</v>
      </c>
      <c r="P388" s="36" t="n">
        <v>-0.1409691629955947</v>
      </c>
      <c r="Q388" s="36" t="n">
        <v>-0.4941634241245136</v>
      </c>
      <c r="R388" s="36" t="n">
        <v>0.1235955056179776</v>
      </c>
      <c r="S388" s="36" t="n">
        <v>0.046296379099112</v>
      </c>
      <c r="T388" s="36" t="n">
        <v>-0.1444647969200733</v>
      </c>
      <c r="U388" s="31" t="n">
        <v>38600</v>
      </c>
      <c r="V388" s="31" t="n">
        <v>16360</v>
      </c>
      <c r="W388" s="36" t="n">
        <v>-0.4948186528497409</v>
      </c>
      <c r="X388" s="36" t="n">
        <v>0.1919315403422983</v>
      </c>
      <c r="Y388" s="31" t="n">
        <v>28966714</v>
      </c>
      <c r="Z388" s="31" t="n">
        <v>564850923000</v>
      </c>
      <c r="AA388" s="31" t="n">
        <v>6974877000</v>
      </c>
      <c r="AB388" s="31" t="n">
        <v>3843183403</v>
      </c>
      <c r="AC388" s="36" t="n">
        <v>0.01234817314797944</v>
      </c>
      <c r="AD388" s="29" t="inlineStr">
        <is>
          <t>yfinance_download</t>
        </is>
      </c>
      <c r="AE388" s="29" t="inlineStr">
        <is>
          <t>319660.KQ</t>
        </is>
      </c>
    </row>
    <row r="389" ht="24" customHeight="1">
      <c r="A389" s="24" t="inlineStr">
        <is>
          <t>2025-01-09</t>
        </is>
      </c>
      <c r="B389" s="30" t="n">
        <v>19460</v>
      </c>
      <c r="C389" s="30" t="n">
        <v>19780</v>
      </c>
      <c r="D389" s="30" t="n">
        <v>19010</v>
      </c>
      <c r="E389" s="30" t="n">
        <v>19010</v>
      </c>
      <c r="F389" s="30" t="n">
        <v>18797.59765625</v>
      </c>
      <c r="G389" s="30" t="n">
        <v>245875</v>
      </c>
      <c r="H389" s="35" t="n">
        <v>-0.02512820512820513</v>
      </c>
      <c r="I389" s="35" t="n">
        <v>-0.5075129533678757</v>
      </c>
      <c r="J389" s="30" t="n">
        <v>17486.5</v>
      </c>
      <c r="K389" s="30" t="n">
        <v>18554.83333333333</v>
      </c>
      <c r="L389" s="30" t="n">
        <v>22629.5</v>
      </c>
      <c r="M389" s="35" t="n">
        <v>0.568424330944427</v>
      </c>
      <c r="N389" s="35" t="n">
        <v>0.474247687883661</v>
      </c>
      <c r="O389" s="35" t="n">
        <v>0.1605616605616607</v>
      </c>
      <c r="P389" s="35" t="n">
        <v>-0.2062630480167015</v>
      </c>
      <c r="Q389" s="35" t="n">
        <v>-0.5075129533678757</v>
      </c>
      <c r="R389" s="35" t="n">
        <v>0.08712435307237021</v>
      </c>
      <c r="S389" s="35" t="n">
        <v>0.02453089491507154</v>
      </c>
      <c r="T389" s="35" t="n">
        <v>-0.159946088070881</v>
      </c>
      <c r="U389" s="30" t="n">
        <v>38600</v>
      </c>
      <c r="V389" s="30" t="n">
        <v>16360</v>
      </c>
      <c r="W389" s="35" t="n">
        <v>-0.5075129533678757</v>
      </c>
      <c r="X389" s="35" t="n">
        <v>0.1619804400977995</v>
      </c>
      <c r="Y389" s="30" t="n">
        <v>28966714</v>
      </c>
      <c r="Z389" s="30" t="n">
        <v>550657233140</v>
      </c>
      <c r="AA389" s="30" t="n">
        <v>4674083750</v>
      </c>
      <c r="AB389" s="30" t="n">
        <v>3929969637.5</v>
      </c>
      <c r="AC389" s="35" t="n">
        <v>0.00848819096291005</v>
      </c>
      <c r="AD389" s="24" t="inlineStr">
        <is>
          <t>yfinance_download</t>
        </is>
      </c>
      <c r="AE389" s="24" t="inlineStr">
        <is>
          <t>319660.KQ</t>
        </is>
      </c>
    </row>
    <row r="390" ht="24" customHeight="1">
      <c r="A390" s="29" t="inlineStr">
        <is>
          <t>2025-01-10</t>
        </is>
      </c>
      <c r="B390" s="31" t="n">
        <v>19140</v>
      </c>
      <c r="C390" s="31" t="n">
        <v>19540</v>
      </c>
      <c r="D390" s="31" t="n">
        <v>18800</v>
      </c>
      <c r="E390" s="31" t="n">
        <v>18900</v>
      </c>
      <c r="F390" s="31" t="n">
        <v>18688.826171875</v>
      </c>
      <c r="G390" s="31" t="n">
        <v>238213</v>
      </c>
      <c r="H390" s="36" t="n">
        <v>-0.005786428195686533</v>
      </c>
      <c r="I390" s="36" t="n">
        <v>-0.5103626943005182</v>
      </c>
      <c r="J390" s="31" t="n">
        <v>17599</v>
      </c>
      <c r="K390" s="31" t="n">
        <v>18465.66666666667</v>
      </c>
      <c r="L390" s="31" t="n">
        <v>22489.08333333333</v>
      </c>
      <c r="M390" s="36" t="n">
        <v>0.5695480764485095</v>
      </c>
      <c r="N390" s="36" t="n">
        <v>0.4731034798886691</v>
      </c>
      <c r="O390" s="36" t="n">
        <v>0.1351351351351351</v>
      </c>
      <c r="P390" s="36" t="n">
        <v>-0.2206185567010309</v>
      </c>
      <c r="Q390" s="36" t="n">
        <v>-0.4713286713286713</v>
      </c>
      <c r="R390" s="36" t="n">
        <v>0.07392465480993238</v>
      </c>
      <c r="S390" s="36" t="n">
        <v>0.02352112930303085</v>
      </c>
      <c r="T390" s="36" t="n">
        <v>-0.1595922466085397</v>
      </c>
      <c r="U390" s="31" t="n">
        <v>38600</v>
      </c>
      <c r="V390" s="31" t="n">
        <v>16360</v>
      </c>
      <c r="W390" s="36" t="n">
        <v>-0.5103626943005182</v>
      </c>
      <c r="X390" s="36" t="n">
        <v>0.1552567237163813</v>
      </c>
      <c r="Y390" s="31" t="n">
        <v>28966714</v>
      </c>
      <c r="Z390" s="31" t="n">
        <v>547470894600</v>
      </c>
      <c r="AA390" s="31" t="n">
        <v>4502225700</v>
      </c>
      <c r="AB390" s="31" t="n">
        <v>4028439357.5</v>
      </c>
      <c r="AC390" s="36" t="n">
        <v>0.008223680463030774</v>
      </c>
      <c r="AD390" s="29" t="inlineStr">
        <is>
          <t>yfinance_download</t>
        </is>
      </c>
      <c r="AE390" s="29" t="inlineStr">
        <is>
          <t>319660.KQ</t>
        </is>
      </c>
    </row>
    <row r="391" ht="24" customHeight="1">
      <c r="A391" s="24" t="inlineStr">
        <is>
          <t>2025-01-13</t>
        </is>
      </c>
      <c r="B391" s="30" t="n">
        <v>18730</v>
      </c>
      <c r="C391" s="30" t="n">
        <v>18740</v>
      </c>
      <c r="D391" s="30" t="n">
        <v>18130</v>
      </c>
      <c r="E391" s="30" t="n">
        <v>18200</v>
      </c>
      <c r="F391" s="30" t="n">
        <v>17996.6484375</v>
      </c>
      <c r="G391" s="30" t="n">
        <v>148362</v>
      </c>
      <c r="H391" s="35" t="n">
        <v>-0.03703703703703709</v>
      </c>
      <c r="I391" s="35" t="n">
        <v>-0.5284974093264249</v>
      </c>
      <c r="J391" s="30" t="n">
        <v>17640.5</v>
      </c>
      <c r="K391" s="30" t="n">
        <v>18388.16666666667</v>
      </c>
      <c r="L391" s="30" t="n">
        <v>22343.25</v>
      </c>
      <c r="M391" s="35" t="n">
        <v>0.5729895512325073</v>
      </c>
      <c r="N391" s="35" t="n">
        <v>0.4648395848339601</v>
      </c>
      <c r="O391" s="35" t="n">
        <v>0.04778353483016695</v>
      </c>
      <c r="P391" s="35" t="n">
        <v>-0.2035010940919038</v>
      </c>
      <c r="Q391" s="35" t="n">
        <v>-0.4901960784313726</v>
      </c>
      <c r="R391" s="35" t="n">
        <v>0.03171678807290035</v>
      </c>
      <c r="S391" s="35" t="n">
        <v>-0.01023303030028377</v>
      </c>
      <c r="T391" s="35" t="n">
        <v>-0.1854363174560549</v>
      </c>
      <c r="U391" s="30" t="n">
        <v>38600</v>
      </c>
      <c r="V391" s="30" t="n">
        <v>16360</v>
      </c>
      <c r="W391" s="35" t="n">
        <v>-0.5284974093264249</v>
      </c>
      <c r="X391" s="35" t="n">
        <v>0.1124694376528117</v>
      </c>
      <c r="Y391" s="30" t="n">
        <v>28966714</v>
      </c>
      <c r="Z391" s="30" t="n">
        <v>527194194800</v>
      </c>
      <c r="AA391" s="30" t="n">
        <v>2700188400</v>
      </c>
      <c r="AB391" s="30" t="n">
        <v>4011663638</v>
      </c>
      <c r="AC391" s="35" t="n">
        <v>0.005121809812462677</v>
      </c>
      <c r="AD391" s="24" t="inlineStr">
        <is>
          <t>yfinance_download</t>
        </is>
      </c>
      <c r="AE391" s="24" t="inlineStr">
        <is>
          <t>319660.KQ</t>
        </is>
      </c>
    </row>
    <row r="392" ht="24" customHeight="1">
      <c r="A392" s="29" t="inlineStr">
        <is>
          <t>2025-01-14</t>
        </is>
      </c>
      <c r="B392" s="31" t="n">
        <v>18260</v>
      </c>
      <c r="C392" s="31" t="n">
        <v>18550</v>
      </c>
      <c r="D392" s="31" t="n">
        <v>18120</v>
      </c>
      <c r="E392" s="31" t="n">
        <v>18440</v>
      </c>
      <c r="F392" s="31" t="n">
        <v>18233.966796875</v>
      </c>
      <c r="G392" s="31" t="n">
        <v>152375</v>
      </c>
      <c r="H392" s="36" t="n">
        <v>0.01318681318681314</v>
      </c>
      <c r="I392" s="36" t="n">
        <v>-0.522279792746114</v>
      </c>
      <c r="J392" s="31" t="n">
        <v>17679</v>
      </c>
      <c r="K392" s="31" t="n">
        <v>18324.66666666667</v>
      </c>
      <c r="L392" s="31" t="n">
        <v>22195.25</v>
      </c>
      <c r="M392" s="36" t="n">
        <v>0.5718171163677446</v>
      </c>
      <c r="N392" s="36" t="n">
        <v>0.4635703036963443</v>
      </c>
      <c r="O392" s="36" t="n">
        <v>0.04357668364459544</v>
      </c>
      <c r="P392" s="36" t="n">
        <v>-0.1712359550561797</v>
      </c>
      <c r="Q392" s="36" t="n">
        <v>-0.4906077348066298</v>
      </c>
      <c r="R392" s="36" t="n">
        <v>0.04304542112110421</v>
      </c>
      <c r="S392" s="36" t="n">
        <v>0.006293884381707748</v>
      </c>
      <c r="T392" s="36" t="n">
        <v>-0.1691916063121613</v>
      </c>
      <c r="U392" s="31" t="n">
        <v>38600</v>
      </c>
      <c r="V392" s="31" t="n">
        <v>16360</v>
      </c>
      <c r="W392" s="36" t="n">
        <v>-0.522279792746114</v>
      </c>
      <c r="X392" s="36" t="n">
        <v>0.1271393643031784</v>
      </c>
      <c r="Y392" s="31" t="n">
        <v>28966714</v>
      </c>
      <c r="Z392" s="31" t="n">
        <v>534146206160</v>
      </c>
      <c r="AA392" s="31" t="n">
        <v>2809795000</v>
      </c>
      <c r="AB392" s="31" t="n">
        <v>3918114238</v>
      </c>
      <c r="AC392" s="36" t="n">
        <v>0.005260348136139984</v>
      </c>
      <c r="AD392" s="29" t="inlineStr">
        <is>
          <t>yfinance_download</t>
        </is>
      </c>
      <c r="AE392" s="29" t="inlineStr">
        <is>
          <t>319660.KQ</t>
        </is>
      </c>
    </row>
    <row r="393" ht="24" customHeight="1">
      <c r="A393" s="24" t="inlineStr">
        <is>
          <t>2025-01-15</t>
        </is>
      </c>
      <c r="B393" s="30" t="n">
        <v>18440</v>
      </c>
      <c r="C393" s="30" t="n">
        <v>18810</v>
      </c>
      <c r="D393" s="30" t="n">
        <v>18380</v>
      </c>
      <c r="E393" s="30" t="n">
        <v>18560</v>
      </c>
      <c r="F393" s="30" t="n">
        <v>18352.625</v>
      </c>
      <c r="G393" s="30" t="n">
        <v>137477</v>
      </c>
      <c r="H393" s="35" t="n">
        <v>0.006507592190889477</v>
      </c>
      <c r="I393" s="35" t="n">
        <v>-0.5191709844559586</v>
      </c>
      <c r="J393" s="30" t="n">
        <v>17718.5</v>
      </c>
      <c r="K393" s="30" t="n">
        <v>18280.66666666667</v>
      </c>
      <c r="L393" s="30" t="n">
        <v>22075.75</v>
      </c>
      <c r="M393" s="35" t="n">
        <v>0.5718825136975237</v>
      </c>
      <c r="N393" s="35" t="n">
        <v>0.4545372739055321</v>
      </c>
      <c r="O393" s="35" t="n">
        <v>0.04445694991558802</v>
      </c>
      <c r="P393" s="35" t="n">
        <v>-0.1245283018867924</v>
      </c>
      <c r="Q393" s="35" t="n">
        <v>-0.4358662613981763</v>
      </c>
      <c r="R393" s="35" t="n">
        <v>0.04749273358354267</v>
      </c>
      <c r="S393" s="35" t="n">
        <v>0.01528025965500879</v>
      </c>
      <c r="T393" s="35" t="n">
        <v>-0.1592584623398978</v>
      </c>
      <c r="U393" s="30" t="n">
        <v>38600</v>
      </c>
      <c r="V393" s="30" t="n">
        <v>16360</v>
      </c>
      <c r="W393" s="35" t="n">
        <v>-0.5191709844559586</v>
      </c>
      <c r="X393" s="35" t="n">
        <v>0.1344743276283618</v>
      </c>
      <c r="Y393" s="30" t="n">
        <v>28966714</v>
      </c>
      <c r="Z393" s="30" t="n">
        <v>537622211840</v>
      </c>
      <c r="AA393" s="30" t="n">
        <v>2551573120</v>
      </c>
      <c r="AB393" s="30" t="n">
        <v>3876595351</v>
      </c>
      <c r="AC393" s="35" t="n">
        <v>0.004746033671613563</v>
      </c>
      <c r="AD393" s="24" t="inlineStr">
        <is>
          <t>yfinance_download</t>
        </is>
      </c>
      <c r="AE393" s="24" t="inlineStr">
        <is>
          <t>319660.KQ</t>
        </is>
      </c>
    </row>
    <row r="394" ht="24" customHeight="1">
      <c r="A394" s="29" t="inlineStr">
        <is>
          <t>2025-01-16</t>
        </is>
      </c>
      <c r="B394" s="31" t="n">
        <v>18870</v>
      </c>
      <c r="C394" s="31" t="n">
        <v>19080</v>
      </c>
      <c r="D394" s="31" t="n">
        <v>18670</v>
      </c>
      <c r="E394" s="31" t="n">
        <v>18820</v>
      </c>
      <c r="F394" s="31" t="n">
        <v>18609.720703125</v>
      </c>
      <c r="G394" s="31" t="n">
        <v>173355</v>
      </c>
      <c r="H394" s="36" t="n">
        <v>0.01400862068965525</v>
      </c>
      <c r="I394" s="36" t="n">
        <v>-0.5124352331606218</v>
      </c>
      <c r="J394" s="31" t="n">
        <v>17768.5</v>
      </c>
      <c r="K394" s="31" t="n">
        <v>18241</v>
      </c>
      <c r="L394" s="31" t="n">
        <v>21960.08333333333</v>
      </c>
      <c r="M394" s="36" t="n">
        <v>0.5732700218767918</v>
      </c>
      <c r="N394" s="36" t="n">
        <v>0.4556813733610547</v>
      </c>
      <c r="O394" s="36" t="n">
        <v>0.05611672278338942</v>
      </c>
      <c r="P394" s="36" t="n">
        <v>-0.1122641509433963</v>
      </c>
      <c r="Q394" s="36" t="n">
        <v>-0.4244648318042813</v>
      </c>
      <c r="R394" s="36" t="n">
        <v>0.05917775839266115</v>
      </c>
      <c r="S394" s="36" t="n">
        <v>0.03174168082890194</v>
      </c>
      <c r="T394" s="36" t="n">
        <v>-0.1429905017057463</v>
      </c>
      <c r="U394" s="31" t="n">
        <v>38600</v>
      </c>
      <c r="V394" s="31" t="n">
        <v>16360</v>
      </c>
      <c r="W394" s="36" t="n">
        <v>-0.5124352331606218</v>
      </c>
      <c r="X394" s="36" t="n">
        <v>0.1503667481662592</v>
      </c>
      <c r="Y394" s="31" t="n">
        <v>28966714</v>
      </c>
      <c r="Z394" s="31" t="n">
        <v>545153557480</v>
      </c>
      <c r="AA394" s="31" t="n">
        <v>3262541100</v>
      </c>
      <c r="AB394" s="31" t="n">
        <v>3886322500</v>
      </c>
      <c r="AC394" s="36" t="n">
        <v>0.005984627735130744</v>
      </c>
      <c r="AD394" s="29" t="inlineStr">
        <is>
          <t>yfinance_download</t>
        </is>
      </c>
      <c r="AE394" s="29" t="inlineStr">
        <is>
          <t>319660.KQ</t>
        </is>
      </c>
    </row>
    <row r="395" ht="24" customHeight="1">
      <c r="A395" s="24" t="inlineStr">
        <is>
          <t>2025-01-17</t>
        </is>
      </c>
      <c r="B395" s="30" t="n">
        <v>18710</v>
      </c>
      <c r="C395" s="30" t="n">
        <v>19300</v>
      </c>
      <c r="D395" s="30" t="n">
        <v>18710</v>
      </c>
      <c r="E395" s="30" t="n">
        <v>19000</v>
      </c>
      <c r="F395" s="30" t="n">
        <v>18787.708984375</v>
      </c>
      <c r="G395" s="30" t="n">
        <v>237273</v>
      </c>
      <c r="H395" s="35" t="n">
        <v>0.009564293304994642</v>
      </c>
      <c r="I395" s="35" t="n">
        <v>-0.5077720207253886</v>
      </c>
      <c r="J395" s="30" t="n">
        <v>17818.5</v>
      </c>
      <c r="K395" s="30" t="n">
        <v>18214.33333333333</v>
      </c>
      <c r="L395" s="30" t="n">
        <v>21849.25</v>
      </c>
      <c r="M395" s="35" t="n">
        <v>0.5731892329190241</v>
      </c>
      <c r="N395" s="35" t="n">
        <v>0.4527962448604589</v>
      </c>
      <c r="O395" s="35" t="n">
        <v>0.05555555555555558</v>
      </c>
      <c r="P395" s="35" t="n">
        <v>-0.07766990291262132</v>
      </c>
      <c r="Q395" s="35" t="n">
        <v>-0.4117647058823529</v>
      </c>
      <c r="R395" s="35" t="n">
        <v>0.06630748940707698</v>
      </c>
      <c r="S395" s="35" t="n">
        <v>0.04313452775286875</v>
      </c>
      <c r="T395" s="35" t="n">
        <v>-0.1304049338077966</v>
      </c>
      <c r="U395" s="30" t="n">
        <v>38600</v>
      </c>
      <c r="V395" s="30" t="n">
        <v>16360</v>
      </c>
      <c r="W395" s="35" t="n">
        <v>-0.5077720207253886</v>
      </c>
      <c r="X395" s="35" t="n">
        <v>0.1613691931540342</v>
      </c>
      <c r="Y395" s="30" t="n">
        <v>28966714</v>
      </c>
      <c r="Z395" s="30" t="n">
        <v>550367566000</v>
      </c>
      <c r="AA395" s="30" t="n">
        <v>4508187000</v>
      </c>
      <c r="AB395" s="30" t="n">
        <v>3987793750</v>
      </c>
      <c r="AC395" s="35" t="n">
        <v>0.008191229422847203</v>
      </c>
      <c r="AD395" s="24" t="inlineStr">
        <is>
          <t>yfinance_download</t>
        </is>
      </c>
      <c r="AE395" s="24" t="inlineStr">
        <is>
          <t>319660.KQ</t>
        </is>
      </c>
    </row>
    <row r="396" ht="24" customHeight="1">
      <c r="A396" s="29" t="inlineStr">
        <is>
          <t>2025-01-20</t>
        </is>
      </c>
      <c r="B396" s="31" t="n">
        <v>19110</v>
      </c>
      <c r="C396" s="31" t="n">
        <v>19170</v>
      </c>
      <c r="D396" s="31" t="n">
        <v>18670</v>
      </c>
      <c r="E396" s="31" t="n">
        <v>19000</v>
      </c>
      <c r="F396" s="31" t="n">
        <v>18787.708984375</v>
      </c>
      <c r="G396" s="31" t="n">
        <v>145272</v>
      </c>
      <c r="H396" s="36" t="n">
        <v>0</v>
      </c>
      <c r="I396" s="36" t="n">
        <v>-0.5077720207253886</v>
      </c>
      <c r="J396" s="31" t="n">
        <v>17878.5</v>
      </c>
      <c r="K396" s="31" t="n">
        <v>18179.33333333333</v>
      </c>
      <c r="L396" s="31" t="n">
        <v>21747.16666666667</v>
      </c>
      <c r="M396" s="36" t="n">
        <v>0.5708326844305955</v>
      </c>
      <c r="N396" s="36" t="n">
        <v>0.4497435276562247</v>
      </c>
      <c r="O396" s="36" t="n">
        <v>0.06741573033707859</v>
      </c>
      <c r="P396" s="36" t="n">
        <v>-0.09952606635071093</v>
      </c>
      <c r="Q396" s="36" t="n">
        <v>-0.392</v>
      </c>
      <c r="R396" s="36" t="n">
        <v>0.0627289761445311</v>
      </c>
      <c r="S396" s="36" t="n">
        <v>0.04514283618761228</v>
      </c>
      <c r="T396" s="36" t="n">
        <v>-0.1263229692756911</v>
      </c>
      <c r="U396" s="31" t="n">
        <v>38600</v>
      </c>
      <c r="V396" s="31" t="n">
        <v>16360</v>
      </c>
      <c r="W396" s="36" t="n">
        <v>-0.5077720207253886</v>
      </c>
      <c r="X396" s="36" t="n">
        <v>0.1613691931540342</v>
      </c>
      <c r="Y396" s="31" t="n">
        <v>28966714</v>
      </c>
      <c r="Z396" s="31" t="n">
        <v>550367566000</v>
      </c>
      <c r="AA396" s="31" t="n">
        <v>2760168000</v>
      </c>
      <c r="AB396" s="31" t="n">
        <v>3889736770</v>
      </c>
      <c r="AC396" s="36" t="n">
        <v>0.005015135648454982</v>
      </c>
      <c r="AD396" s="29" t="inlineStr">
        <is>
          <t>yfinance_download</t>
        </is>
      </c>
      <c r="AE396" s="29" t="inlineStr">
        <is>
          <t>319660.KQ</t>
        </is>
      </c>
    </row>
    <row r="397" ht="24" customHeight="1">
      <c r="A397" s="24" t="inlineStr">
        <is>
          <t>2025-01-21</t>
        </is>
      </c>
      <c r="B397" s="30" t="n">
        <v>18920</v>
      </c>
      <c r="C397" s="30" t="n">
        <v>19170</v>
      </c>
      <c r="D397" s="30" t="n">
        <v>18390</v>
      </c>
      <c r="E397" s="30" t="n">
        <v>19100</v>
      </c>
      <c r="F397" s="30" t="n">
        <v>18886.591796875</v>
      </c>
      <c r="G397" s="30" t="n">
        <v>268082</v>
      </c>
      <c r="H397" s="35" t="n">
        <v>0.005263157894736858</v>
      </c>
      <c r="I397" s="35" t="n">
        <v>-0.5051813471502591</v>
      </c>
      <c r="J397" s="30" t="n">
        <v>17997.5</v>
      </c>
      <c r="K397" s="30" t="n">
        <v>18156</v>
      </c>
      <c r="L397" s="30" t="n">
        <v>21652.16666666667</v>
      </c>
      <c r="M397" s="35" t="n">
        <v>0.5174362603441548</v>
      </c>
      <c r="N397" s="35" t="n">
        <v>0.446366423419895</v>
      </c>
      <c r="O397" s="35" t="n">
        <v>0.1423444976076556</v>
      </c>
      <c r="P397" s="35" t="n">
        <v>-0.06829268292682922</v>
      </c>
      <c r="Q397" s="35" t="n">
        <v>-0.3737704918032787</v>
      </c>
      <c r="R397" s="35" t="n">
        <v>0.06125850812612854</v>
      </c>
      <c r="S397" s="35" t="n">
        <v>0.05199383124036139</v>
      </c>
      <c r="T397" s="35" t="n">
        <v>-0.1178711907199433</v>
      </c>
      <c r="U397" s="30" t="n">
        <v>38600</v>
      </c>
      <c r="V397" s="30" t="n">
        <v>16360</v>
      </c>
      <c r="W397" s="35" t="n">
        <v>-0.5051813471502591</v>
      </c>
      <c r="X397" s="35" t="n">
        <v>0.1674816625916871</v>
      </c>
      <c r="Y397" s="30" t="n">
        <v>28966714</v>
      </c>
      <c r="Z397" s="30" t="n">
        <v>553264237400</v>
      </c>
      <c r="AA397" s="30" t="n">
        <v>5120366200</v>
      </c>
      <c r="AB397" s="30" t="n">
        <v>3938482256</v>
      </c>
      <c r="AC397" s="35" t="n">
        <v>0.00925482952605532</v>
      </c>
      <c r="AD397" s="24" t="inlineStr">
        <is>
          <t>yfinance_download</t>
        </is>
      </c>
      <c r="AE397" s="24" t="inlineStr">
        <is>
          <t>319660.KQ</t>
        </is>
      </c>
    </row>
    <row r="398" ht="24" customHeight="1">
      <c r="A398" s="29" t="inlineStr">
        <is>
          <t>2025-01-22</t>
        </is>
      </c>
      <c r="B398" s="31" t="n">
        <v>19320</v>
      </c>
      <c r="C398" s="31" t="n">
        <v>20600</v>
      </c>
      <c r="D398" s="31" t="n">
        <v>18900</v>
      </c>
      <c r="E398" s="31" t="n">
        <v>20500</v>
      </c>
      <c r="F398" s="31" t="n">
        <v>20270.94921875</v>
      </c>
      <c r="G398" s="31" t="n">
        <v>538175</v>
      </c>
      <c r="H398" s="36" t="n">
        <v>0.07329842931937169</v>
      </c>
      <c r="I398" s="36" t="n">
        <v>-0.4689119170984456</v>
      </c>
      <c r="J398" s="31" t="n">
        <v>18196</v>
      </c>
      <c r="K398" s="31" t="n">
        <v>18160.16666666667</v>
      </c>
      <c r="L398" s="31" t="n">
        <v>21560.08333333333</v>
      </c>
      <c r="M398" s="36" t="n">
        <v>0.5625294932894984</v>
      </c>
      <c r="N398" s="36" t="n">
        <v>0.4707592503781798</v>
      </c>
      <c r="O398" s="36" t="n">
        <v>0.2401693889897156</v>
      </c>
      <c r="P398" s="36" t="n">
        <v>0.01234567901234573</v>
      </c>
      <c r="Q398" s="36" t="n">
        <v>-0.3502377179080824</v>
      </c>
      <c r="R398" s="36" t="n">
        <v>0.1266212354363596</v>
      </c>
      <c r="S398" s="36" t="n">
        <v>0.1288442653793558</v>
      </c>
      <c r="T398" s="36" t="n">
        <v>-0.04916879572976285</v>
      </c>
      <c r="U398" s="31" t="n">
        <v>38600</v>
      </c>
      <c r="V398" s="31" t="n">
        <v>16360</v>
      </c>
      <c r="W398" s="36" t="n">
        <v>-0.4689119170984456</v>
      </c>
      <c r="X398" s="36" t="n">
        <v>0.2530562347188263</v>
      </c>
      <c r="Y398" s="31" t="n">
        <v>28966714</v>
      </c>
      <c r="Z398" s="31" t="n">
        <v>593817637000</v>
      </c>
      <c r="AA398" s="31" t="n">
        <v>11032587500</v>
      </c>
      <c r="AB398" s="31" t="n">
        <v>4372194876</v>
      </c>
      <c r="AC398" s="36" t="n">
        <v>0.01857908356467358</v>
      </c>
      <c r="AD398" s="29" t="inlineStr">
        <is>
          <t>yfinance_download</t>
        </is>
      </c>
      <c r="AE398" s="29" t="inlineStr">
        <is>
          <t>319660.KQ</t>
        </is>
      </c>
    </row>
    <row r="399" ht="24" customHeight="1">
      <c r="A399" s="24" t="inlineStr">
        <is>
          <t>2025-01-23</t>
        </is>
      </c>
      <c r="B399" s="30" t="n">
        <v>20500</v>
      </c>
      <c r="C399" s="30" t="n">
        <v>20500</v>
      </c>
      <c r="D399" s="30" t="n">
        <v>19850</v>
      </c>
      <c r="E399" s="30" t="n">
        <v>19900</v>
      </c>
      <c r="F399" s="30" t="n">
        <v>19677.654296875</v>
      </c>
      <c r="G399" s="30" t="n">
        <v>261470</v>
      </c>
      <c r="H399" s="35" t="n">
        <v>-0.02926829268292686</v>
      </c>
      <c r="I399" s="35" t="n">
        <v>-0.4844559585492227</v>
      </c>
      <c r="J399" s="30" t="n">
        <v>18340</v>
      </c>
      <c r="K399" s="30" t="n">
        <v>18148.5</v>
      </c>
      <c r="L399" s="30" t="n">
        <v>21476.75</v>
      </c>
      <c r="M399" s="35" t="n">
        <v>0.5758980193512735</v>
      </c>
      <c r="N399" s="35" t="n">
        <v>0.4733858353700381</v>
      </c>
      <c r="O399" s="35" t="n">
        <v>0.1692126909518215</v>
      </c>
      <c r="P399" s="35" t="n">
        <v>-0.03398058252427183</v>
      </c>
      <c r="Q399" s="35" t="n">
        <v>-0.3344481605351171</v>
      </c>
      <c r="R399" s="35" t="n">
        <v>0.0850599781897492</v>
      </c>
      <c r="S399" s="35" t="n">
        <v>0.09650935339008737</v>
      </c>
      <c r="T399" s="35" t="n">
        <v>-0.07341660167390318</v>
      </c>
      <c r="U399" s="30" t="n">
        <v>38600</v>
      </c>
      <c r="V399" s="30" t="n">
        <v>16360</v>
      </c>
      <c r="W399" s="35" t="n">
        <v>-0.4844559585492227</v>
      </c>
      <c r="X399" s="35" t="n">
        <v>0.2163814180929096</v>
      </c>
      <c r="Y399" s="30" t="n">
        <v>28966714</v>
      </c>
      <c r="Z399" s="30" t="n">
        <v>576437608600</v>
      </c>
      <c r="AA399" s="30" t="n">
        <v>5203253000</v>
      </c>
      <c r="AB399" s="30" t="n">
        <v>4473460508</v>
      </c>
      <c r="AC399" s="35" t="n">
        <v>0.009026567528508757</v>
      </c>
      <c r="AD399" s="24" t="inlineStr">
        <is>
          <t>yfinance_download</t>
        </is>
      </c>
      <c r="AE399" s="24" t="inlineStr">
        <is>
          <t>319660.KQ</t>
        </is>
      </c>
    </row>
    <row r="400" ht="24" customHeight="1">
      <c r="A400" s="29" t="inlineStr">
        <is>
          <t>2025-01-24</t>
        </is>
      </c>
      <c r="B400" s="31" t="n">
        <v>20050</v>
      </c>
      <c r="C400" s="31" t="n">
        <v>21200</v>
      </c>
      <c r="D400" s="31" t="n">
        <v>20050</v>
      </c>
      <c r="E400" s="31" t="n">
        <v>20650</v>
      </c>
      <c r="F400" s="31" t="n">
        <v>20419.2734375</v>
      </c>
      <c r="G400" s="31" t="n">
        <v>412141</v>
      </c>
      <c r="H400" s="36" t="n">
        <v>0.03768844221105527</v>
      </c>
      <c r="I400" s="36" t="n">
        <v>-0.4650259067357513</v>
      </c>
      <c r="J400" s="31" t="n">
        <v>18522.5</v>
      </c>
      <c r="K400" s="31" t="n">
        <v>18149.33333333333</v>
      </c>
      <c r="L400" s="31" t="n">
        <v>21405.08333333333</v>
      </c>
      <c r="M400" s="36" t="n">
        <v>0.583749084728896</v>
      </c>
      <c r="N400" s="36" t="n">
        <v>0.4796939436305301</v>
      </c>
      <c r="O400" s="36" t="n">
        <v>0.2147058823529411</v>
      </c>
      <c r="P400" s="36" t="n">
        <v>0.002427184466019527</v>
      </c>
      <c r="Q400" s="36" t="n">
        <v>-0.294017094017094</v>
      </c>
      <c r="R400" s="36" t="n">
        <v>0.1148603050344177</v>
      </c>
      <c r="S400" s="36" t="n">
        <v>0.1377828386717603</v>
      </c>
      <c r="T400" s="36" t="n">
        <v>-0.03527588851557839</v>
      </c>
      <c r="U400" s="31" t="n">
        <v>38600</v>
      </c>
      <c r="V400" s="31" t="n">
        <v>16360</v>
      </c>
      <c r="W400" s="36" t="n">
        <v>-0.4650259067357513</v>
      </c>
      <c r="X400" s="36" t="n">
        <v>0.2622249388753055</v>
      </c>
      <c r="Y400" s="31" t="n">
        <v>28966714</v>
      </c>
      <c r="Z400" s="31" t="n">
        <v>598162644100</v>
      </c>
      <c r="AA400" s="31" t="n">
        <v>8510711650</v>
      </c>
      <c r="AB400" s="31" t="n">
        <v>4794829440.5</v>
      </c>
      <c r="AC400" s="36" t="n">
        <v>0.01422808952372023</v>
      </c>
      <c r="AD400" s="29" t="inlineStr">
        <is>
          <t>yfinance_download</t>
        </is>
      </c>
      <c r="AE400" s="29" t="inlineStr">
        <is>
          <t>319660.KQ</t>
        </is>
      </c>
    </row>
    <row r="401" ht="24" customHeight="1">
      <c r="A401" s="24" t="inlineStr">
        <is>
          <t>2025-01-31</t>
        </is>
      </c>
      <c r="B401" s="30" t="n">
        <v>19920</v>
      </c>
      <c r="C401" s="30" t="n">
        <v>20100</v>
      </c>
      <c r="D401" s="30" t="n">
        <v>18970</v>
      </c>
      <c r="E401" s="30" t="n">
        <v>19100</v>
      </c>
      <c r="F401" s="30" t="n">
        <v>18886.591796875</v>
      </c>
      <c r="G401" s="30" t="n">
        <v>353289</v>
      </c>
      <c r="H401" s="35" t="n">
        <v>-0.07506053268765134</v>
      </c>
      <c r="I401" s="35" t="n">
        <v>-0.5051813471502591</v>
      </c>
      <c r="J401" s="30" t="n">
        <v>18653</v>
      </c>
      <c r="K401" s="30" t="n">
        <v>18129.33333333333</v>
      </c>
      <c r="L401" s="30" t="n">
        <v>21319.66666666667</v>
      </c>
      <c r="M401" s="35" t="n">
        <v>0.6439196467408942</v>
      </c>
      <c r="N401" s="35" t="n">
        <v>0.5032437717801206</v>
      </c>
      <c r="O401" s="35" t="n">
        <v>0.1582777440873258</v>
      </c>
      <c r="P401" s="35" t="n">
        <v>-0.05911330049261088</v>
      </c>
      <c r="Q401" s="35" t="n">
        <v>-0.3492333901192505</v>
      </c>
      <c r="R401" s="35" t="n">
        <v>0.02396397362354574</v>
      </c>
      <c r="S401" s="35" t="n">
        <v>0.05354122232845482</v>
      </c>
      <c r="T401" s="35" t="n">
        <v>-0.1041135727575478</v>
      </c>
      <c r="U401" s="30" t="n">
        <v>38600</v>
      </c>
      <c r="V401" s="30" t="n">
        <v>16360</v>
      </c>
      <c r="W401" s="35" t="n">
        <v>-0.5051813471502591</v>
      </c>
      <c r="X401" s="35" t="n">
        <v>0.1674816625916871</v>
      </c>
      <c r="Y401" s="30" t="n">
        <v>28966714</v>
      </c>
      <c r="Z401" s="30" t="n">
        <v>553264237400</v>
      </c>
      <c r="AA401" s="30" t="n">
        <v>6747819900</v>
      </c>
      <c r="AB401" s="30" t="n">
        <v>5000911390</v>
      </c>
      <c r="AC401" s="35" t="n">
        <v>0.01219637822916331</v>
      </c>
      <c r="AD401" s="24" t="inlineStr">
        <is>
          <t>yfinance_download</t>
        </is>
      </c>
      <c r="AE401" s="24" t="inlineStr">
        <is>
          <t>319660.KQ</t>
        </is>
      </c>
    </row>
    <row r="402" ht="24" customHeight="1">
      <c r="A402" s="29" t="inlineStr">
        <is>
          <t>2025-02-03</t>
        </is>
      </c>
      <c r="B402" s="31" t="n">
        <v>18640</v>
      </c>
      <c r="C402" s="31" t="n">
        <v>18650</v>
      </c>
      <c r="D402" s="31" t="n">
        <v>17610</v>
      </c>
      <c r="E402" s="31" t="n">
        <v>17750</v>
      </c>
      <c r="F402" s="31" t="n">
        <v>17551.67578125</v>
      </c>
      <c r="G402" s="31" t="n">
        <v>281468</v>
      </c>
      <c r="H402" s="36" t="n">
        <v>-0.0706806282722513</v>
      </c>
      <c r="I402" s="36" t="n">
        <v>-0.5401554404145077</v>
      </c>
      <c r="J402" s="31" t="n">
        <v>18715.5</v>
      </c>
      <c r="K402" s="31" t="n">
        <v>18078.5</v>
      </c>
      <c r="L402" s="31" t="n">
        <v>21225.5</v>
      </c>
      <c r="M402" s="36" t="n">
        <v>0.7020802281453462</v>
      </c>
      <c r="N402" s="36" t="n">
        <v>0.5205069157034573</v>
      </c>
      <c r="O402" s="36" t="n">
        <v>0.07575757575757569</v>
      </c>
      <c r="P402" s="36" t="n">
        <v>-0.1466346153846154</v>
      </c>
      <c r="Q402" s="36" t="n">
        <v>-0.3889845094664371</v>
      </c>
      <c r="R402" s="36" t="n">
        <v>-0.05158825572386527</v>
      </c>
      <c r="S402" s="36" t="n">
        <v>-0.01817075531708934</v>
      </c>
      <c r="T402" s="36" t="n">
        <v>-0.1637417257543992</v>
      </c>
      <c r="U402" s="31" t="n">
        <v>38600</v>
      </c>
      <c r="V402" s="31" t="n">
        <v>16360</v>
      </c>
      <c r="W402" s="36" t="n">
        <v>-0.5401554404145077</v>
      </c>
      <c r="X402" s="36" t="n">
        <v>0.08496332518337413</v>
      </c>
      <c r="Y402" s="31" t="n">
        <v>28966714</v>
      </c>
      <c r="Z402" s="31" t="n">
        <v>514159173500</v>
      </c>
      <c r="AA402" s="31" t="n">
        <v>4996057000</v>
      </c>
      <c r="AB402" s="31" t="n">
        <v>5109800940</v>
      </c>
      <c r="AC402" s="36" t="n">
        <v>0.009716946147222636</v>
      </c>
      <c r="AD402" s="29" t="inlineStr">
        <is>
          <t>yfinance_download</t>
        </is>
      </c>
      <c r="AE402" s="29" t="inlineStr">
        <is>
          <t>319660.KQ</t>
        </is>
      </c>
    </row>
    <row r="403" ht="24" customHeight="1">
      <c r="A403" s="24" t="inlineStr">
        <is>
          <t>2025-02-04</t>
        </is>
      </c>
      <c r="B403" s="30" t="n">
        <v>18140</v>
      </c>
      <c r="C403" s="30" t="n">
        <v>18670</v>
      </c>
      <c r="D403" s="30" t="n">
        <v>17930</v>
      </c>
      <c r="E403" s="30" t="n">
        <v>18210</v>
      </c>
      <c r="F403" s="30" t="n">
        <v>18006.537109375</v>
      </c>
      <c r="G403" s="30" t="n">
        <v>150126</v>
      </c>
      <c r="H403" s="35" t="n">
        <v>0.02591549295774653</v>
      </c>
      <c r="I403" s="35" t="n">
        <v>-0.5282383419689118</v>
      </c>
      <c r="J403" s="30" t="n">
        <v>18801</v>
      </c>
      <c r="K403" s="30" t="n">
        <v>18036.16666666667</v>
      </c>
      <c r="L403" s="30" t="n">
        <v>21116</v>
      </c>
      <c r="M403" s="35" t="n">
        <v>0.7058547400102637</v>
      </c>
      <c r="N403" s="35" t="n">
        <v>0.5236653080216118</v>
      </c>
      <c r="O403" s="35" t="n">
        <v>0.1036363636363635</v>
      </c>
      <c r="P403" s="35" t="n">
        <v>-0.1224096385542168</v>
      </c>
      <c r="Q403" s="35" t="n">
        <v>-0.4191387559808613</v>
      </c>
      <c r="R403" s="35" t="n">
        <v>-0.03143449816499122</v>
      </c>
      <c r="S403" s="35" t="n">
        <v>0.009638042082112719</v>
      </c>
      <c r="T403" s="35" t="n">
        <v>-0.1376207615078613</v>
      </c>
      <c r="U403" s="30" t="n">
        <v>38600</v>
      </c>
      <c r="V403" s="30" t="n">
        <v>16360</v>
      </c>
      <c r="W403" s="35" t="n">
        <v>-0.5282383419689118</v>
      </c>
      <c r="X403" s="35" t="n">
        <v>0.1130806845965771</v>
      </c>
      <c r="Y403" s="30" t="n">
        <v>28966714</v>
      </c>
      <c r="Z403" s="30" t="n">
        <v>527483861940</v>
      </c>
      <c r="AA403" s="30" t="n">
        <v>2733794460</v>
      </c>
      <c r="AB403" s="30" t="n">
        <v>5163139263</v>
      </c>
      <c r="AC403" s="35" t="n">
        <v>0.005182707296381633</v>
      </c>
      <c r="AD403" s="24" t="inlineStr">
        <is>
          <t>yfinance_download</t>
        </is>
      </c>
      <c r="AE403" s="24" t="inlineStr">
        <is>
          <t>319660.KQ</t>
        </is>
      </c>
    </row>
    <row r="404" ht="24" customHeight="1">
      <c r="A404" s="29" t="inlineStr">
        <is>
          <t>2025-02-05</t>
        </is>
      </c>
      <c r="B404" s="31" t="n">
        <v>18300</v>
      </c>
      <c r="C404" s="31" t="n">
        <v>18710</v>
      </c>
      <c r="D404" s="31" t="n">
        <v>18240</v>
      </c>
      <c r="E404" s="31" t="n">
        <v>18410</v>
      </c>
      <c r="F404" s="31" t="n">
        <v>18204.30078125</v>
      </c>
      <c r="G404" s="31" t="n">
        <v>147196</v>
      </c>
      <c r="H404" s="36" t="n">
        <v>0.01098297638660073</v>
      </c>
      <c r="I404" s="36" t="n">
        <v>-0.5230569948186529</v>
      </c>
      <c r="J404" s="31" t="n">
        <v>18903.5</v>
      </c>
      <c r="K404" s="31" t="n">
        <v>17993.83333333333</v>
      </c>
      <c r="L404" s="31" t="n">
        <v>21005.66666666667</v>
      </c>
      <c r="M404" s="36" t="n">
        <v>0.7039819791092214</v>
      </c>
      <c r="N404" s="36" t="n">
        <v>0.523796223356967</v>
      </c>
      <c r="O404" s="36" t="n">
        <v>0.1253056234718826</v>
      </c>
      <c r="P404" s="36" t="n">
        <v>-0.1212410501193317</v>
      </c>
      <c r="Q404" s="36" t="n">
        <v>-0.4183254344391785</v>
      </c>
      <c r="R404" s="36" t="n">
        <v>-0.02610627661544163</v>
      </c>
      <c r="S404" s="36" t="n">
        <v>0.02312829395255789</v>
      </c>
      <c r="T404" s="36" t="n">
        <v>-0.1235698303632353</v>
      </c>
      <c r="U404" s="31" t="n">
        <v>38600</v>
      </c>
      <c r="V404" s="31" t="n">
        <v>16360</v>
      </c>
      <c r="W404" s="36" t="n">
        <v>-0.5230569948186529</v>
      </c>
      <c r="X404" s="36" t="n">
        <v>0.1253056234718826</v>
      </c>
      <c r="Y404" s="31" t="n">
        <v>28966714</v>
      </c>
      <c r="Z404" s="31" t="n">
        <v>533277204740</v>
      </c>
      <c r="AA404" s="31" t="n">
        <v>2709878360</v>
      </c>
      <c r="AB404" s="31" t="n">
        <v>5209844189</v>
      </c>
      <c r="AC404" s="36" t="n">
        <v>0.00508155671368178</v>
      </c>
      <c r="AD404" s="29" t="inlineStr">
        <is>
          <t>yfinance_download</t>
        </is>
      </c>
      <c r="AE404" s="29" t="inlineStr">
        <is>
          <t>319660.KQ</t>
        </is>
      </c>
    </row>
    <row r="405" ht="24" customHeight="1">
      <c r="A405" s="24" t="inlineStr">
        <is>
          <t>2025-02-06</t>
        </is>
      </c>
      <c r="B405" s="30" t="n">
        <v>18710</v>
      </c>
      <c r="C405" s="30" t="n">
        <v>19220</v>
      </c>
      <c r="D405" s="30" t="n">
        <v>18540</v>
      </c>
      <c r="E405" s="30" t="n">
        <v>19220</v>
      </c>
      <c r="F405" s="30" t="n">
        <v>19005.251953125</v>
      </c>
      <c r="G405" s="30" t="n">
        <v>153972</v>
      </c>
      <c r="H405" s="35" t="n">
        <v>0.04399782726778922</v>
      </c>
      <c r="I405" s="35" t="n">
        <v>-0.5020725388601036</v>
      </c>
      <c r="J405" s="30" t="n">
        <v>18994</v>
      </c>
      <c r="K405" s="30" t="n">
        <v>17983.33333333333</v>
      </c>
      <c r="L405" s="30" t="n">
        <v>20932.91666666667</v>
      </c>
      <c r="M405" s="35" t="n">
        <v>0.6855862636225037</v>
      </c>
      <c r="N405" s="35" t="n">
        <v>0.521082219492439</v>
      </c>
      <c r="O405" s="35" t="n">
        <v>0.1039632395175187</v>
      </c>
      <c r="P405" s="35" t="n">
        <v>-0.0317380352644836</v>
      </c>
      <c r="Q405" s="35" t="n">
        <v>-0.3123434704830054</v>
      </c>
      <c r="R405" s="35" t="n">
        <v>0.01189849426134559</v>
      </c>
      <c r="S405" s="35" t="n">
        <v>0.06876737720111215</v>
      </c>
      <c r="T405" s="35" t="n">
        <v>-0.0818288580584805</v>
      </c>
      <c r="U405" s="30" t="n">
        <v>38600</v>
      </c>
      <c r="V405" s="30" t="n">
        <v>16360</v>
      </c>
      <c r="W405" s="35" t="n">
        <v>-0.5020725388601036</v>
      </c>
      <c r="X405" s="35" t="n">
        <v>0.1748166259168704</v>
      </c>
      <c r="Y405" s="30" t="n">
        <v>28966714</v>
      </c>
      <c r="Z405" s="30" t="n">
        <v>556740243080</v>
      </c>
      <c r="AA405" s="30" t="n">
        <v>2959341840</v>
      </c>
      <c r="AB405" s="30" t="n">
        <v>5087114507.5</v>
      </c>
      <c r="AC405" s="35" t="n">
        <v>0.005315480382068881</v>
      </c>
      <c r="AD405" s="24" t="inlineStr">
        <is>
          <t>yfinance_download</t>
        </is>
      </c>
      <c r="AE405" s="24" t="inlineStr">
        <is>
          <t>319660.KQ</t>
        </is>
      </c>
    </row>
    <row r="406" ht="24" customHeight="1">
      <c r="A406" s="29" t="inlineStr">
        <is>
          <t>2025-02-07</t>
        </is>
      </c>
      <c r="B406" s="31" t="n">
        <v>19220</v>
      </c>
      <c r="C406" s="31" t="n">
        <v>19590</v>
      </c>
      <c r="D406" s="31" t="n">
        <v>18790</v>
      </c>
      <c r="E406" s="31" t="n">
        <v>19340</v>
      </c>
      <c r="F406" s="31" t="n">
        <v>19123.91015625</v>
      </c>
      <c r="G406" s="31" t="n">
        <v>267124</v>
      </c>
      <c r="H406" s="36" t="n">
        <v>0.00624349635796051</v>
      </c>
      <c r="I406" s="36" t="n">
        <v>-0.4989637305699481</v>
      </c>
      <c r="J406" s="31" t="n">
        <v>19007.5</v>
      </c>
      <c r="K406" s="31" t="n">
        <v>17972.66666666667</v>
      </c>
      <c r="L406" s="31" t="n">
        <v>20878.25</v>
      </c>
      <c r="M406" s="36" t="n">
        <v>0.5987529057653593</v>
      </c>
      <c r="N406" s="36" t="n">
        <v>0.5210661645760397</v>
      </c>
      <c r="O406" s="36" t="n">
        <v>0.01415836392239123</v>
      </c>
      <c r="P406" s="36" t="n">
        <v>-0.03203203203203209</v>
      </c>
      <c r="Q406" s="36" t="n">
        <v>-0.2532818532818533</v>
      </c>
      <c r="R406" s="36" t="n">
        <v>0.01749309483098771</v>
      </c>
      <c r="S406" s="36" t="n">
        <v>0.07607848955821805</v>
      </c>
      <c r="T406" s="36" t="n">
        <v>-0.07367715206015835</v>
      </c>
      <c r="U406" s="31" t="n">
        <v>38600</v>
      </c>
      <c r="V406" s="31" t="n">
        <v>16360</v>
      </c>
      <c r="W406" s="36" t="n">
        <v>-0.4989637305699481</v>
      </c>
      <c r="X406" s="36" t="n">
        <v>0.1821515892420538</v>
      </c>
      <c r="Y406" s="31" t="n">
        <v>28966714</v>
      </c>
      <c r="Z406" s="31" t="n">
        <v>560216248760</v>
      </c>
      <c r="AA406" s="31" t="n">
        <v>5166178160</v>
      </c>
      <c r="AB406" s="31" t="n">
        <v>4745451657</v>
      </c>
      <c r="AC406" s="36" t="n">
        <v>0.009221757082974617</v>
      </c>
      <c r="AD406" s="29" t="inlineStr">
        <is>
          <t>yfinance_download</t>
        </is>
      </c>
      <c r="AE406" s="29" t="inlineStr">
        <is>
          <t>319660.KQ</t>
        </is>
      </c>
    </row>
    <row r="407" ht="24" customHeight="1">
      <c r="A407" s="24" t="inlineStr">
        <is>
          <t>2025-02-10</t>
        </is>
      </c>
      <c r="B407" s="30" t="n">
        <v>19110</v>
      </c>
      <c r="C407" s="30" t="n">
        <v>19890</v>
      </c>
      <c r="D407" s="30" t="n">
        <v>18520</v>
      </c>
      <c r="E407" s="30" t="n">
        <v>19830</v>
      </c>
      <c r="F407" s="30" t="n">
        <v>19608.435546875</v>
      </c>
      <c r="G407" s="30" t="n">
        <v>292786</v>
      </c>
      <c r="H407" s="35" t="n">
        <v>0.02533609100310241</v>
      </c>
      <c r="I407" s="35" t="n">
        <v>-0.4862694300518134</v>
      </c>
      <c r="J407" s="30" t="n">
        <v>19072</v>
      </c>
      <c r="K407" s="30" t="n">
        <v>17969.83333333333</v>
      </c>
      <c r="L407" s="30" t="n">
        <v>20820.58333333333</v>
      </c>
      <c r="M407" s="35" t="n">
        <v>0.5940973522200746</v>
      </c>
      <c r="N407" s="35" t="n">
        <v>0.5236491005215586</v>
      </c>
      <c r="O407" s="35" t="n">
        <v>0.06957928802588986</v>
      </c>
      <c r="P407" s="35" t="n">
        <v>-0.008499999999999952</v>
      </c>
      <c r="Q407" s="35" t="n">
        <v>-0.2586915887850467</v>
      </c>
      <c r="R407" s="35" t="n">
        <v>0.03974412751677847</v>
      </c>
      <c r="S407" s="35" t="n">
        <v>0.1035160778712472</v>
      </c>
      <c r="T407" s="35" t="n">
        <v>-0.04757711719572377</v>
      </c>
      <c r="U407" s="30" t="n">
        <v>38600</v>
      </c>
      <c r="V407" s="30" t="n">
        <v>16360</v>
      </c>
      <c r="W407" s="35" t="n">
        <v>-0.4862694300518134</v>
      </c>
      <c r="X407" s="35" t="n">
        <v>0.2121026894865525</v>
      </c>
      <c r="Y407" s="30" t="n">
        <v>28966714</v>
      </c>
      <c r="Z407" s="30" t="n">
        <v>574409938620</v>
      </c>
      <c r="AA407" s="30" t="n">
        <v>5805946380</v>
      </c>
      <c r="AB407" s="30" t="n">
        <v>4786478676</v>
      </c>
      <c r="AC407" s="35" t="n">
        <v>0.0101076704799861</v>
      </c>
      <c r="AD407" s="24" t="inlineStr">
        <is>
          <t>yfinance_download</t>
        </is>
      </c>
      <c r="AE407" s="24" t="inlineStr">
        <is>
          <t>319660.KQ</t>
        </is>
      </c>
    </row>
    <row r="408" ht="24" customHeight="1">
      <c r="A408" s="29" t="inlineStr">
        <is>
          <t>2025-02-11</t>
        </is>
      </c>
      <c r="B408" s="31" t="n">
        <v>19950</v>
      </c>
      <c r="C408" s="31" t="n">
        <v>20300</v>
      </c>
      <c r="D408" s="31" t="n">
        <v>19510</v>
      </c>
      <c r="E408" s="31" t="n">
        <v>20000</v>
      </c>
      <c r="F408" s="31" t="n">
        <v>19776.537109375</v>
      </c>
      <c r="G408" s="31" t="n">
        <v>362401</v>
      </c>
      <c r="H408" s="36" t="n">
        <v>0.008572869389813498</v>
      </c>
      <c r="I408" s="36" t="n">
        <v>-0.4818652849740933</v>
      </c>
      <c r="J408" s="31" t="n">
        <v>19097</v>
      </c>
      <c r="K408" s="31" t="n">
        <v>17971.33333333333</v>
      </c>
      <c r="L408" s="31" t="n">
        <v>20760.16666666667</v>
      </c>
      <c r="M408" s="36" t="n">
        <v>0.5672378445496796</v>
      </c>
      <c r="N408" s="36" t="n">
        <v>0.5238129560052951</v>
      </c>
      <c r="O408" s="36" t="n">
        <v>0.02564102564102555</v>
      </c>
      <c r="P408" s="36" t="n">
        <v>0.004520341536916161</v>
      </c>
      <c r="Q408" s="36" t="n">
        <v>-0.2660550458715596</v>
      </c>
      <c r="R408" s="36" t="n">
        <v>0.04728491386081579</v>
      </c>
      <c r="S408" s="36" t="n">
        <v>0.1128834810995289</v>
      </c>
      <c r="T408" s="36" t="n">
        <v>-0.03661659749038626</v>
      </c>
      <c r="U408" s="31" t="n">
        <v>38600</v>
      </c>
      <c r="V408" s="31" t="n">
        <v>16360</v>
      </c>
      <c r="W408" s="36" t="n">
        <v>-0.4818652849740933</v>
      </c>
      <c r="X408" s="36" t="n">
        <v>0.2224938875305624</v>
      </c>
      <c r="Y408" s="31" t="n">
        <v>28966714</v>
      </c>
      <c r="Z408" s="31" t="n">
        <v>579334280000</v>
      </c>
      <c r="AA408" s="31" t="n">
        <v>7248020000</v>
      </c>
      <c r="AB408" s="31" t="n">
        <v>4800135826</v>
      </c>
      <c r="AC408" s="36" t="n">
        <v>0.0125109461846449</v>
      </c>
      <c r="AD408" s="29" t="inlineStr">
        <is>
          <t>yfinance_download</t>
        </is>
      </c>
      <c r="AE408" s="29" t="inlineStr">
        <is>
          <t>319660.KQ</t>
        </is>
      </c>
    </row>
    <row r="409" ht="24" customHeight="1">
      <c r="A409" s="24" t="inlineStr">
        <is>
          <t>2025-02-12</t>
        </is>
      </c>
      <c r="B409" s="30" t="n">
        <v>20700</v>
      </c>
      <c r="C409" s="30" t="n">
        <v>20700</v>
      </c>
      <c r="D409" s="30" t="n">
        <v>19270</v>
      </c>
      <c r="E409" s="30" t="n">
        <v>19300</v>
      </c>
      <c r="F409" s="30" t="n">
        <v>19084.357421875</v>
      </c>
      <c r="G409" s="30" t="n">
        <v>507767</v>
      </c>
      <c r="H409" s="35" t="n">
        <v>-0.03500000000000003</v>
      </c>
      <c r="I409" s="35" t="n">
        <v>-0.5</v>
      </c>
      <c r="J409" s="30" t="n">
        <v>19111.5</v>
      </c>
      <c r="K409" s="30" t="n">
        <v>17977.16666666667</v>
      </c>
      <c r="L409" s="30" t="n">
        <v>20699.33333333333</v>
      </c>
      <c r="M409" s="35" t="n">
        <v>0.5745077622558203</v>
      </c>
      <c r="N409" s="35" t="n">
        <v>0.519231259352151</v>
      </c>
      <c r="O409" s="35" t="n">
        <v>0.01525512887953706</v>
      </c>
      <c r="P409" s="35" t="n">
        <v>0.01846965699208436</v>
      </c>
      <c r="Q409" s="35" t="n">
        <v>-0.2744360902255639</v>
      </c>
      <c r="R409" s="35" t="n">
        <v>0.009863171388954317</v>
      </c>
      <c r="S409" s="35" t="n">
        <v>0.07358408351334567</v>
      </c>
      <c r="T409" s="35" t="n">
        <v>-0.06760282134690321</v>
      </c>
      <c r="U409" s="30" t="n">
        <v>38600</v>
      </c>
      <c r="V409" s="30" t="n">
        <v>16360</v>
      </c>
      <c r="W409" s="35" t="n">
        <v>-0.5</v>
      </c>
      <c r="X409" s="35" t="n">
        <v>0.1797066014669926</v>
      </c>
      <c r="Y409" s="30" t="n">
        <v>28966714</v>
      </c>
      <c r="Z409" s="30" t="n">
        <v>559057580200</v>
      </c>
      <c r="AA409" s="30" t="n">
        <v>9799903100</v>
      </c>
      <c r="AB409" s="30" t="n">
        <v>5056426793.5</v>
      </c>
      <c r="AC409" s="35" t="n">
        <v>0.01752932693711824</v>
      </c>
      <c r="AD409" s="24" t="inlineStr">
        <is>
          <t>yfinance_download</t>
        </is>
      </c>
      <c r="AE409" s="24" t="inlineStr">
        <is>
          <t>319660.KQ</t>
        </is>
      </c>
    </row>
    <row r="410" ht="24" customHeight="1">
      <c r="A410" s="29" t="inlineStr">
        <is>
          <t>2025-02-13</t>
        </is>
      </c>
      <c r="B410" s="31" t="n">
        <v>19470</v>
      </c>
      <c r="C410" s="31" t="n">
        <v>19630</v>
      </c>
      <c r="D410" s="31" t="n">
        <v>19140</v>
      </c>
      <c r="E410" s="31" t="n">
        <v>19330</v>
      </c>
      <c r="F410" s="31" t="n">
        <v>19114.021484375</v>
      </c>
      <c r="G410" s="31" t="n">
        <v>269402</v>
      </c>
      <c r="H410" s="36" t="n">
        <v>0.001554404145077681</v>
      </c>
      <c r="I410" s="36" t="n">
        <v>-0.4992227979274612</v>
      </c>
      <c r="J410" s="31" t="n">
        <v>19133</v>
      </c>
      <c r="K410" s="31" t="n">
        <v>17999</v>
      </c>
      <c r="L410" s="31" t="n">
        <v>20622.08333333333</v>
      </c>
      <c r="M410" s="36" t="n">
        <v>0.5738827182294041</v>
      </c>
      <c r="N410" s="36" t="n">
        <v>0.5087075040593021</v>
      </c>
      <c r="O410" s="36" t="n">
        <v>0.02275132275132274</v>
      </c>
      <c r="P410" s="36" t="n">
        <v>0.07269700332963369</v>
      </c>
      <c r="Q410" s="36" t="n">
        <v>-0.3241258741258741</v>
      </c>
      <c r="R410" s="36" t="n">
        <v>0.01029634662624779</v>
      </c>
      <c r="S410" s="36" t="n">
        <v>0.07394855269737199</v>
      </c>
      <c r="T410" s="36" t="n">
        <v>-0.0626553249954539</v>
      </c>
      <c r="U410" s="31" t="n">
        <v>38600</v>
      </c>
      <c r="V410" s="31" t="n">
        <v>16360</v>
      </c>
      <c r="W410" s="36" t="n">
        <v>-0.4992227979274612</v>
      </c>
      <c r="X410" s="36" t="n">
        <v>0.1815403422982884</v>
      </c>
      <c r="Y410" s="31" t="n">
        <v>28966714</v>
      </c>
      <c r="Z410" s="31" t="n">
        <v>559926581620</v>
      </c>
      <c r="AA410" s="31" t="n">
        <v>5207540660</v>
      </c>
      <c r="AB410" s="31" t="n">
        <v>5091692541.5</v>
      </c>
      <c r="AC410" s="36" t="n">
        <v>0.009300399071845015</v>
      </c>
      <c r="AD410" s="29" t="inlineStr">
        <is>
          <t>yfinance_download</t>
        </is>
      </c>
      <c r="AE410" s="29" t="inlineStr">
        <is>
          <t>319660.KQ</t>
        </is>
      </c>
    </row>
    <row r="411" ht="24" customHeight="1">
      <c r="A411" s="24" t="inlineStr">
        <is>
          <t>2025-02-14</t>
        </is>
      </c>
      <c r="B411" s="30" t="n">
        <v>19470</v>
      </c>
      <c r="C411" s="30" t="n">
        <v>19870</v>
      </c>
      <c r="D411" s="30" t="n">
        <v>19320</v>
      </c>
      <c r="E411" s="30" t="n">
        <v>19380</v>
      </c>
      <c r="F411" s="30" t="n">
        <v>19163.462890625</v>
      </c>
      <c r="G411" s="30" t="n">
        <v>277060</v>
      </c>
      <c r="H411" s="35" t="n">
        <v>0.002586652871184647</v>
      </c>
      <c r="I411" s="35" t="n">
        <v>-0.4979274611398964</v>
      </c>
      <c r="J411" s="30" t="n">
        <v>19192</v>
      </c>
      <c r="K411" s="30" t="n">
        <v>18028.66666666667</v>
      </c>
      <c r="L411" s="30" t="n">
        <v>20542.33333333333</v>
      </c>
      <c r="M411" s="35" t="n">
        <v>0.5552945500870617</v>
      </c>
      <c r="N411" s="35" t="n">
        <v>0.5060374832553965</v>
      </c>
      <c r="O411" s="35" t="n">
        <v>0.06483516483516483</v>
      </c>
      <c r="P411" s="35" t="n">
        <v>0.1011363636363636</v>
      </c>
      <c r="Q411" s="35" t="n">
        <v>-0.3305699481865285</v>
      </c>
      <c r="R411" s="35" t="n">
        <v>0.009795748228428547</v>
      </c>
      <c r="S411" s="35" t="n">
        <v>0.07495470177125307</v>
      </c>
      <c r="T411" s="35" t="n">
        <v>-0.05658234215522406</v>
      </c>
      <c r="U411" s="30" t="n">
        <v>38600</v>
      </c>
      <c r="V411" s="30" t="n">
        <v>16360</v>
      </c>
      <c r="W411" s="35" t="n">
        <v>-0.4979274611398964</v>
      </c>
      <c r="X411" s="35" t="n">
        <v>0.184596577017115</v>
      </c>
      <c r="Y411" s="30" t="n">
        <v>28966714</v>
      </c>
      <c r="Z411" s="30" t="n">
        <v>561374917320</v>
      </c>
      <c r="AA411" s="30" t="n">
        <v>5369422800</v>
      </c>
      <c r="AB411" s="30" t="n">
        <v>5225154261.5</v>
      </c>
      <c r="AC411" s="35" t="n">
        <v>0.009564771482191594</v>
      </c>
      <c r="AD411" s="24" t="inlineStr">
        <is>
          <t>yfinance_download</t>
        </is>
      </c>
      <c r="AE411" s="24" t="inlineStr">
        <is>
          <t>319660.KQ</t>
        </is>
      </c>
    </row>
    <row r="412" ht="24" customHeight="1">
      <c r="A412" s="29" t="inlineStr">
        <is>
          <t>2025-02-17</t>
        </is>
      </c>
      <c r="B412" s="31" t="n">
        <v>19500</v>
      </c>
      <c r="C412" s="31" t="n">
        <v>19790</v>
      </c>
      <c r="D412" s="31" t="n">
        <v>19320</v>
      </c>
      <c r="E412" s="31" t="n">
        <v>19370</v>
      </c>
      <c r="F412" s="31" t="n">
        <v>19153.576171875</v>
      </c>
      <c r="G412" s="31" t="n">
        <v>168260</v>
      </c>
      <c r="H412" s="36" t="n">
        <v>-0.0005159958720329927</v>
      </c>
      <c r="I412" s="36" t="n">
        <v>-0.4981865284974093</v>
      </c>
      <c r="J412" s="31" t="n">
        <v>19238.5</v>
      </c>
      <c r="K412" s="31" t="n">
        <v>18061.66666666667</v>
      </c>
      <c r="L412" s="31" t="n">
        <v>20456.25</v>
      </c>
      <c r="M412" s="36" t="n">
        <v>0.5543304671926237</v>
      </c>
      <c r="N412" s="36" t="n">
        <v>0.5052252162788085</v>
      </c>
      <c r="O412" s="36" t="n">
        <v>0.05043383947939262</v>
      </c>
      <c r="P412" s="36" t="n">
        <v>0.1138585393904543</v>
      </c>
      <c r="Q412" s="36" t="n">
        <v>-0.3478114478114478</v>
      </c>
      <c r="R412" s="36" t="n">
        <v>0.006835252228604149</v>
      </c>
      <c r="S412" s="36" t="n">
        <v>0.07243702131586227</v>
      </c>
      <c r="T412" s="36" t="n">
        <v>-0.05310113046135045</v>
      </c>
      <c r="U412" s="31" t="n">
        <v>38600</v>
      </c>
      <c r="V412" s="31" t="n">
        <v>16360</v>
      </c>
      <c r="W412" s="36" t="n">
        <v>-0.4981865284974093</v>
      </c>
      <c r="X412" s="36" t="n">
        <v>0.1839853300733496</v>
      </c>
      <c r="Y412" s="31" t="n">
        <v>28966714</v>
      </c>
      <c r="Z412" s="31" t="n">
        <v>561085250180</v>
      </c>
      <c r="AA412" s="31" t="n">
        <v>3259196200</v>
      </c>
      <c r="AB412" s="31" t="n">
        <v>5247624321.5</v>
      </c>
      <c r="AC412" s="36" t="n">
        <v>0.005808736192859156</v>
      </c>
      <c r="AD412" s="29" t="inlineStr">
        <is>
          <t>yfinance_download</t>
        </is>
      </c>
      <c r="AE412" s="29" t="inlineStr">
        <is>
          <t>319660.KQ</t>
        </is>
      </c>
    </row>
    <row r="413" ht="24" customHeight="1">
      <c r="A413" s="24" t="inlineStr">
        <is>
          <t>2025-02-18</t>
        </is>
      </c>
      <c r="B413" s="30" t="n">
        <v>19400</v>
      </c>
      <c r="C413" s="30" t="n">
        <v>19460</v>
      </c>
      <c r="D413" s="30" t="n">
        <v>19040</v>
      </c>
      <c r="E413" s="30" t="n">
        <v>19180</v>
      </c>
      <c r="F413" s="30" t="n">
        <v>18965.697265625</v>
      </c>
      <c r="G413" s="30" t="n">
        <v>207793</v>
      </c>
      <c r="H413" s="35" t="n">
        <v>-0.009808982963345425</v>
      </c>
      <c r="I413" s="35" t="n">
        <v>-0.5031088082901554</v>
      </c>
      <c r="J413" s="30" t="n">
        <v>19269.5</v>
      </c>
      <c r="K413" s="30" t="n">
        <v>18082.16666666667</v>
      </c>
      <c r="L413" s="30" t="n">
        <v>20362.33333333333</v>
      </c>
      <c r="M413" s="35" t="n">
        <v>0.5560037337883766</v>
      </c>
      <c r="N413" s="35" t="n">
        <v>0.5019283314508114</v>
      </c>
      <c r="O413" s="35" t="n">
        <v>0.03340517241379315</v>
      </c>
      <c r="P413" s="35" t="n">
        <v>0.06852367688022287</v>
      </c>
      <c r="Q413" s="35" t="n">
        <v>-0.3701149425287357</v>
      </c>
      <c r="R413" s="35" t="n">
        <v>-0.00464464568359324</v>
      </c>
      <c r="S413" s="35" t="n">
        <v>0.06071359442544666</v>
      </c>
      <c r="T413" s="35" t="n">
        <v>-0.05806472735606594</v>
      </c>
      <c r="U413" s="30" t="n">
        <v>38600</v>
      </c>
      <c r="V413" s="30" t="n">
        <v>16360</v>
      </c>
      <c r="W413" s="35" t="n">
        <v>-0.5031088082901554</v>
      </c>
      <c r="X413" s="35" t="n">
        <v>0.1723716381418092</v>
      </c>
      <c r="Y413" s="30" t="n">
        <v>28966714</v>
      </c>
      <c r="Z413" s="30" t="n">
        <v>555581574520</v>
      </c>
      <c r="AA413" s="30" t="n">
        <v>3985469740</v>
      </c>
      <c r="AB413" s="30" t="n">
        <v>5319319152.5</v>
      </c>
      <c r="AC413" s="35" t="n">
        <v>0.007173509566877348</v>
      </c>
      <c r="AD413" s="24" t="inlineStr">
        <is>
          <t>yfinance_download</t>
        </is>
      </c>
      <c r="AE413" s="24" t="inlineStr">
        <is>
          <t>319660.KQ</t>
        </is>
      </c>
    </row>
    <row r="414" ht="24" customHeight="1">
      <c r="A414" s="29" t="inlineStr">
        <is>
          <t>2025-02-19</t>
        </is>
      </c>
      <c r="B414" s="31" t="n">
        <v>19380</v>
      </c>
      <c r="C414" s="31" t="n">
        <v>21450</v>
      </c>
      <c r="D414" s="31" t="n">
        <v>19370</v>
      </c>
      <c r="E414" s="31" t="n">
        <v>21450</v>
      </c>
      <c r="F414" s="31" t="n">
        <v>21210.3359375</v>
      </c>
      <c r="G414" s="31" t="n">
        <v>1449281</v>
      </c>
      <c r="H414" s="36" t="n">
        <v>0.1183524504692388</v>
      </c>
      <c r="I414" s="36" t="n">
        <v>-0.4443005181347151</v>
      </c>
      <c r="J414" s="31" t="n">
        <v>19401</v>
      </c>
      <c r="K414" s="31" t="n">
        <v>18148.5</v>
      </c>
      <c r="L414" s="31" t="n">
        <v>20291.5</v>
      </c>
      <c r="M414" s="36" t="n">
        <v>0.6920368875386749</v>
      </c>
      <c r="N414" s="36" t="n">
        <v>0.5524771797616477</v>
      </c>
      <c r="O414" s="36" t="n">
        <v>0.1397449521785334</v>
      </c>
      <c r="P414" s="36" t="n">
        <v>0.2278191184888381</v>
      </c>
      <c r="Q414" s="36" t="n">
        <v>-0.2838063439065108</v>
      </c>
      <c r="R414" s="36" t="n">
        <v>0.1056131127261482</v>
      </c>
      <c r="S414" s="36" t="n">
        <v>0.1819158608149434</v>
      </c>
      <c r="T414" s="36" t="n">
        <v>0.05709287139935437</v>
      </c>
      <c r="U414" s="31" t="n">
        <v>38600</v>
      </c>
      <c r="V414" s="31" t="n">
        <v>16360</v>
      </c>
      <c r="W414" s="36" t="n">
        <v>-0.4443005181347151</v>
      </c>
      <c r="X414" s="36" t="n">
        <v>0.311124694376528</v>
      </c>
      <c r="Y414" s="31" t="n">
        <v>28966714</v>
      </c>
      <c r="Z414" s="31" t="n">
        <v>621336015300</v>
      </c>
      <c r="AA414" s="31" t="n">
        <v>31087077450</v>
      </c>
      <c r="AB414" s="31" t="n">
        <v>6710545970</v>
      </c>
      <c r="AC414" s="36" t="n">
        <v>0.05003263400881439</v>
      </c>
      <c r="AD414" s="29" t="inlineStr">
        <is>
          <t>yfinance_download</t>
        </is>
      </c>
      <c r="AE414" s="29" t="inlineStr">
        <is>
          <t>319660.KQ</t>
        </is>
      </c>
    </row>
    <row r="415" ht="24" customHeight="1">
      <c r="A415" s="24" t="inlineStr">
        <is>
          <t>2025-02-20</t>
        </is>
      </c>
      <c r="B415" s="30" t="n">
        <v>21850</v>
      </c>
      <c r="C415" s="30" t="n">
        <v>22350</v>
      </c>
      <c r="D415" s="30" t="n">
        <v>21150</v>
      </c>
      <c r="E415" s="30" t="n">
        <v>21700</v>
      </c>
      <c r="F415" s="30" t="n">
        <v>21457.541015625</v>
      </c>
      <c r="G415" s="30" t="n">
        <v>1008034</v>
      </c>
      <c r="H415" s="35" t="n">
        <v>0.01165501165501159</v>
      </c>
      <c r="I415" s="35" t="n">
        <v>-0.4378238341968912</v>
      </c>
      <c r="J415" s="30" t="n">
        <v>19536</v>
      </c>
      <c r="K415" s="30" t="n">
        <v>18220.5</v>
      </c>
      <c r="L415" s="30" t="n">
        <v>20221.5</v>
      </c>
      <c r="M415" s="35" t="n">
        <v>0.6921613431129258</v>
      </c>
      <c r="N415" s="35" t="n">
        <v>0.5523601177900803</v>
      </c>
      <c r="O415" s="35" t="n">
        <v>0.1421052631578947</v>
      </c>
      <c r="P415" s="35" t="n">
        <v>0.2485615650172612</v>
      </c>
      <c r="Q415" s="35" t="n">
        <v>-0.2790697674418605</v>
      </c>
      <c r="R415" s="35" t="n">
        <v>0.1107698607698608</v>
      </c>
      <c r="S415" s="35" t="n">
        <v>0.1909662193682939</v>
      </c>
      <c r="T415" s="35" t="n">
        <v>0.07311524862151675</v>
      </c>
      <c r="U415" s="30" t="n">
        <v>38600</v>
      </c>
      <c r="V415" s="30" t="n">
        <v>16360</v>
      </c>
      <c r="W415" s="35" t="n">
        <v>-0.4378238341968912</v>
      </c>
      <c r="X415" s="35" t="n">
        <v>0.3264058679706601</v>
      </c>
      <c r="Y415" s="30" t="n">
        <v>28966714</v>
      </c>
      <c r="Z415" s="30" t="n">
        <v>628577693800</v>
      </c>
      <c r="AA415" s="30" t="n">
        <v>21874337800</v>
      </c>
      <c r="AB415" s="30" t="n">
        <v>7578853510</v>
      </c>
      <c r="AC415" s="35" t="n">
        <v>0.03479973600043139</v>
      </c>
      <c r="AD415" s="24" t="inlineStr">
        <is>
          <t>yfinance_download</t>
        </is>
      </c>
      <c r="AE415" s="24" t="inlineStr">
        <is>
          <t>319660.KQ</t>
        </is>
      </c>
    </row>
    <row r="416" ht="24" customHeight="1">
      <c r="A416" s="29" t="inlineStr">
        <is>
          <t>2025-02-21</t>
        </is>
      </c>
      <c r="B416" s="31" t="n">
        <v>21450</v>
      </c>
      <c r="C416" s="31" t="n">
        <v>21450</v>
      </c>
      <c r="D416" s="31" t="n">
        <v>20650</v>
      </c>
      <c r="E416" s="31" t="n">
        <v>21100</v>
      </c>
      <c r="F416" s="31" t="n">
        <v>20864.24609375</v>
      </c>
      <c r="G416" s="31" t="n">
        <v>403414</v>
      </c>
      <c r="H416" s="36" t="n">
        <v>-0.02764976958525345</v>
      </c>
      <c r="I416" s="36" t="n">
        <v>-0.4533678756476683</v>
      </c>
      <c r="J416" s="31" t="n">
        <v>19641</v>
      </c>
      <c r="K416" s="31" t="n">
        <v>18279</v>
      </c>
      <c r="L416" s="31" t="n">
        <v>20156.08333333333</v>
      </c>
      <c r="M416" s="36" t="n">
        <v>0.7030375582142555</v>
      </c>
      <c r="N416" s="36" t="n">
        <v>0.5559568813476592</v>
      </c>
      <c r="O416" s="36" t="n">
        <v>0.1105263157894736</v>
      </c>
      <c r="P416" s="36" t="n">
        <v>0.1995451961341672</v>
      </c>
      <c r="Q416" s="36" t="n">
        <v>-0.2711571675302246</v>
      </c>
      <c r="R416" s="36" t="n">
        <v>0.07428338679293311</v>
      </c>
      <c r="S416" s="36" t="n">
        <v>0.1543301055856448</v>
      </c>
      <c r="T416" s="36" t="n">
        <v>0.04683036138800123</v>
      </c>
      <c r="U416" s="31" t="n">
        <v>38600</v>
      </c>
      <c r="V416" s="31" t="n">
        <v>16360</v>
      </c>
      <c r="W416" s="36" t="n">
        <v>-0.4533678756476683</v>
      </c>
      <c r="X416" s="36" t="n">
        <v>0.2897310513447433</v>
      </c>
      <c r="Y416" s="31" t="n">
        <v>28966714</v>
      </c>
      <c r="Z416" s="31" t="n">
        <v>611197665400</v>
      </c>
      <c r="AA416" s="31" t="n">
        <v>8512035400</v>
      </c>
      <c r="AB416" s="31" t="n">
        <v>7866446880</v>
      </c>
      <c r="AC416" s="36" t="n">
        <v>0.01392681268576063</v>
      </c>
      <c r="AD416" s="29" t="inlineStr">
        <is>
          <t>yfinance_download</t>
        </is>
      </c>
      <c r="AE416" s="29" t="inlineStr">
        <is>
          <t>319660.KQ</t>
        </is>
      </c>
    </row>
    <row r="417" ht="24" customHeight="1">
      <c r="A417" s="24" t="inlineStr">
        <is>
          <t>2025-02-24</t>
        </is>
      </c>
      <c r="B417" s="30" t="n">
        <v>20600</v>
      </c>
      <c r="C417" s="30" t="n">
        <v>21400</v>
      </c>
      <c r="D417" s="30" t="n">
        <v>20250</v>
      </c>
      <c r="E417" s="30" t="n">
        <v>21300</v>
      </c>
      <c r="F417" s="30" t="n">
        <v>21062.01171875</v>
      </c>
      <c r="G417" s="30" t="n">
        <v>347025</v>
      </c>
      <c r="H417" s="35" t="n">
        <v>0.009478672985782088</v>
      </c>
      <c r="I417" s="35" t="n">
        <v>-0.4481865284974094</v>
      </c>
      <c r="J417" s="30" t="n">
        <v>19751</v>
      </c>
      <c r="K417" s="30" t="n">
        <v>18341.66666666667</v>
      </c>
      <c r="L417" s="30" t="n">
        <v>20099</v>
      </c>
      <c r="M417" s="35" t="n">
        <v>0.7031244268532291</v>
      </c>
      <c r="N417" s="35" t="n">
        <v>0.5559176003434865</v>
      </c>
      <c r="O417" s="35" t="n">
        <v>0.1151832460732984</v>
      </c>
      <c r="P417" s="35" t="n">
        <v>0.2143671607753705</v>
      </c>
      <c r="Q417" s="35" t="n">
        <v>-0.2433392539964476</v>
      </c>
      <c r="R417" s="35" t="n">
        <v>0.07842640878942841</v>
      </c>
      <c r="S417" s="35" t="n">
        <v>0.161290322580645</v>
      </c>
      <c r="T417" s="35" t="n">
        <v>0.05975421662769298</v>
      </c>
      <c r="U417" s="30" t="n">
        <v>38600</v>
      </c>
      <c r="V417" s="30" t="n">
        <v>16360</v>
      </c>
      <c r="W417" s="35" t="n">
        <v>-0.4481865284974094</v>
      </c>
      <c r="X417" s="35" t="n">
        <v>0.3019559902200488</v>
      </c>
      <c r="Y417" s="30" t="n">
        <v>28966714</v>
      </c>
      <c r="Z417" s="30" t="n">
        <v>616991008200</v>
      </c>
      <c r="AA417" s="30" t="n">
        <v>7391632500</v>
      </c>
      <c r="AB417" s="30" t="n">
        <v>7980010195</v>
      </c>
      <c r="AC417" s="35" t="n">
        <v>0.0119801300209613</v>
      </c>
      <c r="AD417" s="24" t="inlineStr">
        <is>
          <t>yfinance_download</t>
        </is>
      </c>
      <c r="AE417" s="24" t="inlineStr">
        <is>
          <t>319660.KQ</t>
        </is>
      </c>
    </row>
    <row r="418" ht="24" customHeight="1">
      <c r="A418" s="29" t="inlineStr">
        <is>
          <t>2025-02-25</t>
        </is>
      </c>
      <c r="B418" s="31" t="n">
        <v>20800</v>
      </c>
      <c r="C418" s="31" t="n">
        <v>21450</v>
      </c>
      <c r="D418" s="31" t="n">
        <v>20600</v>
      </c>
      <c r="E418" s="31" t="n">
        <v>21250</v>
      </c>
      <c r="F418" s="31" t="n">
        <v>21012.5703125</v>
      </c>
      <c r="G418" s="31" t="n">
        <v>230745</v>
      </c>
      <c r="H418" s="36" t="n">
        <v>-0.002347417840375621</v>
      </c>
      <c r="I418" s="36" t="n">
        <v>-0.4494818652849741</v>
      </c>
      <c r="J418" s="31" t="n">
        <v>19788.5</v>
      </c>
      <c r="K418" s="31" t="n">
        <v>18402.33333333333</v>
      </c>
      <c r="L418" s="31" t="n">
        <v>20046.08333333333</v>
      </c>
      <c r="M418" s="36" t="n">
        <v>0.6574297353377808</v>
      </c>
      <c r="N418" s="36" t="n">
        <v>0.5560617841658758</v>
      </c>
      <c r="O418" s="36" t="n">
        <v>0.03658536585365857</v>
      </c>
      <c r="P418" s="36" t="n">
        <v>0.2067007382169221</v>
      </c>
      <c r="Q418" s="36" t="n">
        <v>-0.230072463768116</v>
      </c>
      <c r="R418" s="36" t="n">
        <v>0.07385602749071429</v>
      </c>
      <c r="S418" s="36" t="n">
        <v>0.1547448693100513</v>
      </c>
      <c r="T418" s="36" t="n">
        <v>0.06005745095675397</v>
      </c>
      <c r="U418" s="31" t="n">
        <v>38600</v>
      </c>
      <c r="V418" s="31" t="n">
        <v>16360</v>
      </c>
      <c r="W418" s="36" t="n">
        <v>-0.4494818652849741</v>
      </c>
      <c r="X418" s="36" t="n">
        <v>0.2988997555012225</v>
      </c>
      <c r="Y418" s="31" t="n">
        <v>28966714</v>
      </c>
      <c r="Z418" s="31" t="n">
        <v>615542672500</v>
      </c>
      <c r="AA418" s="31" t="n">
        <v>4903331250</v>
      </c>
      <c r="AB418" s="31" t="n">
        <v>7673547382.5</v>
      </c>
      <c r="AC418" s="36" t="n">
        <v>0.007965867305487257</v>
      </c>
      <c r="AD418" s="29" t="inlineStr">
        <is>
          <t>yfinance_download</t>
        </is>
      </c>
      <c r="AE418" s="29" t="inlineStr">
        <is>
          <t>319660.KQ</t>
        </is>
      </c>
    </row>
    <row r="419" ht="24" customHeight="1">
      <c r="A419" s="24" t="inlineStr">
        <is>
          <t>2025-02-26</t>
        </is>
      </c>
      <c r="B419" s="30" t="n">
        <v>21050</v>
      </c>
      <c r="C419" s="30" t="n">
        <v>21700</v>
      </c>
      <c r="D419" s="30" t="n">
        <v>20500</v>
      </c>
      <c r="E419" s="30" t="n">
        <v>20600</v>
      </c>
      <c r="F419" s="30" t="n">
        <v>20369.83203125</v>
      </c>
      <c r="G419" s="30" t="n">
        <v>252912</v>
      </c>
      <c r="H419" s="35" t="n">
        <v>-0.03058823529411769</v>
      </c>
      <c r="I419" s="35" t="n">
        <v>-0.4663212435233161</v>
      </c>
      <c r="J419" s="30" t="n">
        <v>19823.5</v>
      </c>
      <c r="K419" s="30" t="n">
        <v>18442.33333333333</v>
      </c>
      <c r="L419" s="30" t="n">
        <v>19989.41666666667</v>
      </c>
      <c r="M419" s="35" t="n">
        <v>0.6582945222094904</v>
      </c>
      <c r="N419" s="35" t="n">
        <v>0.5569168632737858</v>
      </c>
      <c r="O419" s="35" t="n">
        <v>0.03517587939698497</v>
      </c>
      <c r="P419" s="35" t="n">
        <v>0.1318681318681318</v>
      </c>
      <c r="Q419" s="35" t="n">
        <v>-0.2481751824817519</v>
      </c>
      <c r="R419" s="35" t="n">
        <v>0.03917068126213841</v>
      </c>
      <c r="S419" s="35" t="n">
        <v>0.1169953187413018</v>
      </c>
      <c r="T419" s="35" t="n">
        <v>0.03054533023725048</v>
      </c>
      <c r="U419" s="30" t="n">
        <v>38600</v>
      </c>
      <c r="V419" s="30" t="n">
        <v>16360</v>
      </c>
      <c r="W419" s="35" t="n">
        <v>-0.4663212435233161</v>
      </c>
      <c r="X419" s="35" t="n">
        <v>0.2591687041564792</v>
      </c>
      <c r="Y419" s="30" t="n">
        <v>28966714</v>
      </c>
      <c r="Z419" s="30" t="n">
        <v>596714308400</v>
      </c>
      <c r="AA419" s="30" t="n">
        <v>5209987200</v>
      </c>
      <c r="AB419" s="30" t="n">
        <v>7673884092.5</v>
      </c>
      <c r="AC419" s="35" t="n">
        <v>0.008731124973305568</v>
      </c>
      <c r="AD419" s="24" t="inlineStr">
        <is>
          <t>yfinance_download</t>
        </is>
      </c>
      <c r="AE419" s="24" t="inlineStr">
        <is>
          <t>319660.KQ</t>
        </is>
      </c>
    </row>
    <row r="420" ht="24" customHeight="1">
      <c r="A420" s="29" t="inlineStr">
        <is>
          <t>2025-02-27</t>
        </is>
      </c>
      <c r="B420" s="31" t="n">
        <v>20850</v>
      </c>
      <c r="C420" s="31" t="n">
        <v>21200</v>
      </c>
      <c r="D420" s="31" t="n">
        <v>19680</v>
      </c>
      <c r="E420" s="31" t="n">
        <v>19890</v>
      </c>
      <c r="F420" s="31" t="n">
        <v>19667.765625</v>
      </c>
      <c r="G420" s="31" t="n">
        <v>421515</v>
      </c>
      <c r="H420" s="36" t="n">
        <v>-0.03446601941747574</v>
      </c>
      <c r="I420" s="36" t="n">
        <v>-0.4847150259067358</v>
      </c>
      <c r="J420" s="31" t="n">
        <v>19785.5</v>
      </c>
      <c r="K420" s="31" t="n">
        <v>18473.83333333333</v>
      </c>
      <c r="L420" s="31" t="n">
        <v>19936.41666666667</v>
      </c>
      <c r="M420" s="36" t="n">
        <v>0.6570148040521961</v>
      </c>
      <c r="N420" s="36" t="n">
        <v>0.5614347537034532</v>
      </c>
      <c r="O420" s="36" t="n">
        <v>-0.03680387409200969</v>
      </c>
      <c r="P420" s="36" t="n">
        <v>0.105</v>
      </c>
      <c r="Q420" s="36" t="n">
        <v>-0.2422857142857143</v>
      </c>
      <c r="R420" s="36" t="n">
        <v>0.005281645649591882</v>
      </c>
      <c r="S420" s="36" t="n">
        <v>0.07665797569535293</v>
      </c>
      <c r="T420" s="36" t="n">
        <v>-0.002328235181012994</v>
      </c>
      <c r="U420" s="31" t="n">
        <v>38600</v>
      </c>
      <c r="V420" s="31" t="n">
        <v>16360</v>
      </c>
      <c r="W420" s="36" t="n">
        <v>-0.4847150259067358</v>
      </c>
      <c r="X420" s="36" t="n">
        <v>0.2157701711491442</v>
      </c>
      <c r="Y420" s="31" t="n">
        <v>28966714</v>
      </c>
      <c r="Z420" s="31" t="n">
        <v>576147941460</v>
      </c>
      <c r="AA420" s="31" t="n">
        <v>8383933350</v>
      </c>
      <c r="AB420" s="31" t="n">
        <v>7667545177.5</v>
      </c>
      <c r="AC420" s="36" t="n">
        <v>0.01455170234359341</v>
      </c>
      <c r="AD420" s="29" t="inlineStr">
        <is>
          <t>yfinance_download</t>
        </is>
      </c>
      <c r="AE420" s="29" t="inlineStr">
        <is>
          <t>319660.KQ</t>
        </is>
      </c>
    </row>
    <row r="421" ht="24" customHeight="1">
      <c r="A421" s="24" t="inlineStr">
        <is>
          <t>2025-02-28</t>
        </is>
      </c>
      <c r="B421" s="30" t="n">
        <v>19350</v>
      </c>
      <c r="C421" s="30" t="n">
        <v>19620</v>
      </c>
      <c r="D421" s="30" t="n">
        <v>18650</v>
      </c>
      <c r="E421" s="30" t="n">
        <v>18650</v>
      </c>
      <c r="F421" s="30" t="n">
        <v>18441.619140625</v>
      </c>
      <c r="G421" s="30" t="n">
        <v>824544</v>
      </c>
      <c r="H421" s="35" t="n">
        <v>-0.06234288587229764</v>
      </c>
      <c r="I421" s="35" t="n">
        <v>-0.516839378238342</v>
      </c>
      <c r="J421" s="30" t="n">
        <v>19763</v>
      </c>
      <c r="K421" s="30" t="n">
        <v>18497.16666666667</v>
      </c>
      <c r="L421" s="30" t="n">
        <v>19880.16666666667</v>
      </c>
      <c r="M421" s="35" t="n">
        <v>0.639332607593935</v>
      </c>
      <c r="N421" s="35" t="n">
        <v>0.5698814623556387</v>
      </c>
      <c r="O421" s="35" t="n">
        <v>-0.02356020942408377</v>
      </c>
      <c r="P421" s="35" t="n">
        <v>0.08115942028985512</v>
      </c>
      <c r="Q421" s="35" t="n">
        <v>-0.265748031496063</v>
      </c>
      <c r="R421" s="35" t="n">
        <v>-0.05631736072458637</v>
      </c>
      <c r="S421" s="35" t="n">
        <v>0.008262526693277206</v>
      </c>
      <c r="T421" s="35" t="n">
        <v>-0.06187909222759702</v>
      </c>
      <c r="U421" s="30" t="n">
        <v>38600</v>
      </c>
      <c r="V421" s="30" t="n">
        <v>16360</v>
      </c>
      <c r="W421" s="35" t="n">
        <v>-0.516839378238342</v>
      </c>
      <c r="X421" s="35" t="n">
        <v>0.1399755501222495</v>
      </c>
      <c r="Y421" s="30" t="n">
        <v>28966714</v>
      </c>
      <c r="Z421" s="30" t="n">
        <v>540229216100</v>
      </c>
      <c r="AA421" s="30" t="n">
        <v>15377745600</v>
      </c>
      <c r="AB421" s="30" t="n">
        <v>8099041462.5</v>
      </c>
      <c r="AC421" s="35" t="n">
        <v>0.02846522391183204</v>
      </c>
      <c r="AD421" s="24" t="inlineStr">
        <is>
          <t>yfinance_download</t>
        </is>
      </c>
      <c r="AE421" s="24" t="inlineStr">
        <is>
          <t>319660.KQ</t>
        </is>
      </c>
    </row>
    <row r="422" ht="24" customHeight="1">
      <c r="A422" s="29" t="inlineStr">
        <is>
          <t>2025-03-04</t>
        </is>
      </c>
      <c r="B422" s="31" t="n">
        <v>18400</v>
      </c>
      <c r="C422" s="31" t="n">
        <v>18440</v>
      </c>
      <c r="D422" s="31" t="n">
        <v>17880</v>
      </c>
      <c r="E422" s="31" t="n">
        <v>18150</v>
      </c>
      <c r="F422" s="31" t="n">
        <v>17947.20703125</v>
      </c>
      <c r="G422" s="31" t="n">
        <v>363575</v>
      </c>
      <c r="H422" s="36" t="n">
        <v>-0.02680965147453085</v>
      </c>
      <c r="I422" s="36" t="n">
        <v>-0.5297927461139896</v>
      </c>
      <c r="J422" s="31" t="n">
        <v>19783</v>
      </c>
      <c r="K422" s="31" t="n">
        <v>18513</v>
      </c>
      <c r="L422" s="31" t="n">
        <v>19806</v>
      </c>
      <c r="M422" s="36" t="n">
        <v>0.59266432709271</v>
      </c>
      <c r="N422" s="36" t="n">
        <v>0.5728452151771195</v>
      </c>
      <c r="O422" s="36" t="n">
        <v>0.0225352112676056</v>
      </c>
      <c r="P422" s="36" t="n">
        <v>0.05523255813953498</v>
      </c>
      <c r="Q422" s="36" t="n">
        <v>-0.3290203327171903</v>
      </c>
      <c r="R422" s="36" t="n">
        <v>-0.0825456199767477</v>
      </c>
      <c r="S422" s="36" t="n">
        <v>-0.01960784313725494</v>
      </c>
      <c r="T422" s="36" t="n">
        <v>-0.08361102696152678</v>
      </c>
      <c r="U422" s="31" t="n">
        <v>38600</v>
      </c>
      <c r="V422" s="31" t="n">
        <v>16360</v>
      </c>
      <c r="W422" s="36" t="n">
        <v>-0.5297927461139896</v>
      </c>
      <c r="X422" s="36" t="n">
        <v>0.1094132029339854</v>
      </c>
      <c r="Y422" s="31" t="n">
        <v>28966714</v>
      </c>
      <c r="Z422" s="31" t="n">
        <v>525745859100</v>
      </c>
      <c r="AA422" s="31" t="n">
        <v>6598886250</v>
      </c>
      <c r="AB422" s="31" t="n">
        <v>8179182925</v>
      </c>
      <c r="AC422" s="36" t="n">
        <v>0.01255147546249119</v>
      </c>
      <c r="AD422" s="29" t="inlineStr">
        <is>
          <t>yfinance_download</t>
        </is>
      </c>
      <c r="AE422" s="29" t="inlineStr">
        <is>
          <t>319660.KQ</t>
        </is>
      </c>
    </row>
    <row r="423" ht="24" customHeight="1">
      <c r="A423" s="24" t="inlineStr">
        <is>
          <t>2025-03-05</t>
        </is>
      </c>
      <c r="B423" s="30" t="n">
        <v>18340</v>
      </c>
      <c r="C423" s="30" t="n">
        <v>18450</v>
      </c>
      <c r="D423" s="30" t="n">
        <v>17900</v>
      </c>
      <c r="E423" s="30" t="n">
        <v>18120</v>
      </c>
      <c r="F423" s="30" t="n">
        <v>17917.541015625</v>
      </c>
      <c r="G423" s="30" t="n">
        <v>277897</v>
      </c>
      <c r="H423" s="35" t="n">
        <v>-0.001652892561983421</v>
      </c>
      <c r="I423" s="35" t="n">
        <v>-0.5305699481865285</v>
      </c>
      <c r="J423" s="30" t="n">
        <v>19778.5</v>
      </c>
      <c r="K423" s="30" t="n">
        <v>18535</v>
      </c>
      <c r="L423" s="30" t="n">
        <v>19740.33333333333</v>
      </c>
      <c r="M423" s="35" t="n">
        <v>0.5857991562189964</v>
      </c>
      <c r="N423" s="35" t="n">
        <v>0.5705595590047965</v>
      </c>
      <c r="O423" s="35" t="n">
        <v>-0.004942339373970372</v>
      </c>
      <c r="P423" s="35" t="n">
        <v>0.07857142857142851</v>
      </c>
      <c r="Q423" s="35" t="n">
        <v>-0.303076923076923</v>
      </c>
      <c r="R423" s="35" t="n">
        <v>-0.08385367950046763</v>
      </c>
      <c r="S423" s="35" t="n">
        <v>-0.02239007283517669</v>
      </c>
      <c r="T423" s="35" t="n">
        <v>-0.08208236942976299</v>
      </c>
      <c r="U423" s="30" t="n">
        <v>38600</v>
      </c>
      <c r="V423" s="30" t="n">
        <v>16360</v>
      </c>
      <c r="W423" s="35" t="n">
        <v>-0.5305699481865285</v>
      </c>
      <c r="X423" s="35" t="n">
        <v>0.1075794621026895</v>
      </c>
      <c r="Y423" s="30" t="n">
        <v>28966714</v>
      </c>
      <c r="Z423" s="30" t="n">
        <v>524876857680</v>
      </c>
      <c r="AA423" s="30" t="n">
        <v>5035493640</v>
      </c>
      <c r="AB423" s="30" t="n">
        <v>8294267884</v>
      </c>
      <c r="AC423" s="35" t="n">
        <v>0.009593666716908242</v>
      </c>
      <c r="AD423" s="24" t="inlineStr">
        <is>
          <t>yfinance_download</t>
        </is>
      </c>
      <c r="AE423" s="24" t="inlineStr">
        <is>
          <t>319660.KQ</t>
        </is>
      </c>
    </row>
    <row r="424" ht="24" customHeight="1">
      <c r="A424" s="29" t="inlineStr">
        <is>
          <t>2025-03-06</t>
        </is>
      </c>
      <c r="B424" s="31" t="n">
        <v>18220</v>
      </c>
      <c r="C424" s="31" t="n">
        <v>18240</v>
      </c>
      <c r="D424" s="31" t="n">
        <v>17080</v>
      </c>
      <c r="E424" s="31" t="n">
        <v>17110</v>
      </c>
      <c r="F424" s="31" t="n">
        <v>16918.826171875</v>
      </c>
      <c r="G424" s="31" t="n">
        <v>544425</v>
      </c>
      <c r="H424" s="36" t="n">
        <v>-0.05573951434878588</v>
      </c>
      <c r="I424" s="36" t="n">
        <v>-0.5567357512953368</v>
      </c>
      <c r="J424" s="31" t="n">
        <v>19713.5</v>
      </c>
      <c r="K424" s="31" t="n">
        <v>18542.5</v>
      </c>
      <c r="L424" s="31" t="n">
        <v>19667.91666666667</v>
      </c>
      <c r="M424" s="36" t="n">
        <v>0.6168357592229387</v>
      </c>
      <c r="N424" s="36" t="n">
        <v>0.5823367689804447</v>
      </c>
      <c r="O424" s="36" t="n">
        <v>-0.07061379684953828</v>
      </c>
      <c r="P424" s="36" t="n">
        <v>0.02701080432172875</v>
      </c>
      <c r="Q424" s="36" t="n">
        <v>-0.3368217054263566</v>
      </c>
      <c r="R424" s="36" t="n">
        <v>-0.1320668577370837</v>
      </c>
      <c r="S424" s="36" t="n">
        <v>-0.07725495483349065</v>
      </c>
      <c r="T424" s="36" t="n">
        <v>-0.1300552930957779</v>
      </c>
      <c r="U424" s="31" t="n">
        <v>38600</v>
      </c>
      <c r="V424" s="31" t="n">
        <v>16360</v>
      </c>
      <c r="W424" s="36" t="n">
        <v>-0.5567357512953368</v>
      </c>
      <c r="X424" s="36" t="n">
        <v>0.04584352078239617</v>
      </c>
      <c r="Y424" s="31" t="n">
        <v>28966714</v>
      </c>
      <c r="Z424" s="31" t="n">
        <v>495620476540</v>
      </c>
      <c r="AA424" s="31" t="n">
        <v>9315111750</v>
      </c>
      <c r="AB424" s="31" t="n">
        <v>8624529553.5</v>
      </c>
      <c r="AC424" s="36" t="n">
        <v>0.01879484845951115</v>
      </c>
      <c r="AD424" s="29" t="inlineStr">
        <is>
          <t>yfinance_download</t>
        </is>
      </c>
      <c r="AE424" s="29" t="inlineStr">
        <is>
          <t>319660.KQ</t>
        </is>
      </c>
    </row>
    <row r="425" ht="24" customHeight="1">
      <c r="A425" s="24" t="inlineStr">
        <is>
          <t>2025-03-07</t>
        </is>
      </c>
      <c r="B425" s="30" t="n">
        <v>17110</v>
      </c>
      <c r="C425" s="30" t="n">
        <v>17630</v>
      </c>
      <c r="D425" s="30" t="n">
        <v>16940</v>
      </c>
      <c r="E425" s="30" t="n">
        <v>17400</v>
      </c>
      <c r="F425" s="30" t="n">
        <v>17205.5859375</v>
      </c>
      <c r="G425" s="30" t="n">
        <v>274470</v>
      </c>
      <c r="H425" s="35" t="n">
        <v>0.01694915254237284</v>
      </c>
      <c r="I425" s="35" t="n">
        <v>-0.5492227979274611</v>
      </c>
      <c r="J425" s="30" t="n">
        <v>19622.5</v>
      </c>
      <c r="K425" s="30" t="n">
        <v>18551.16666666667</v>
      </c>
      <c r="L425" s="30" t="n">
        <v>19603.75</v>
      </c>
      <c r="M425" s="35" t="n">
        <v>0.5966695858443144</v>
      </c>
      <c r="N425" s="35" t="n">
        <v>0.5827196669840743</v>
      </c>
      <c r="O425" s="35" t="n">
        <v>-0.09469302809573366</v>
      </c>
      <c r="P425" s="35" t="n">
        <v>0.0308056872037914</v>
      </c>
      <c r="Q425" s="35" t="n">
        <v>-0.3067729083665338</v>
      </c>
      <c r="R425" s="35" t="n">
        <v>-0.1132628360300675</v>
      </c>
      <c r="S425" s="35" t="n">
        <v>-0.06205359950407441</v>
      </c>
      <c r="T425" s="35" t="n">
        <v>-0.1124147165720845</v>
      </c>
      <c r="U425" s="30" t="n">
        <v>38600</v>
      </c>
      <c r="V425" s="30" t="n">
        <v>16360</v>
      </c>
      <c r="W425" s="35" t="n">
        <v>-0.5492227979274611</v>
      </c>
      <c r="X425" s="35" t="n">
        <v>0.0635696821515892</v>
      </c>
      <c r="Y425" s="30" t="n">
        <v>28966714</v>
      </c>
      <c r="Z425" s="30" t="n">
        <v>504020823600</v>
      </c>
      <c r="AA425" s="30" t="n">
        <v>4775778000</v>
      </c>
      <c r="AB425" s="30" t="n">
        <v>8715351361.5</v>
      </c>
      <c r="AC425" s="35" t="n">
        <v>0.009475358509770904</v>
      </c>
      <c r="AD425" s="24" t="inlineStr">
        <is>
          <t>yfinance_download</t>
        </is>
      </c>
      <c r="AE425" s="24" t="inlineStr">
        <is>
          <t>319660.KQ</t>
        </is>
      </c>
    </row>
    <row r="426" ht="24" customHeight="1">
      <c r="A426" s="29" t="inlineStr">
        <is>
          <t>2025-03-10</t>
        </is>
      </c>
      <c r="B426" s="31" t="n">
        <v>17400</v>
      </c>
      <c r="C426" s="31" t="n">
        <v>17960</v>
      </c>
      <c r="D426" s="31" t="n">
        <v>17230</v>
      </c>
      <c r="E426" s="31" t="n">
        <v>17560</v>
      </c>
      <c r="F426" s="31" t="n">
        <v>17363.798828125</v>
      </c>
      <c r="G426" s="31" t="n">
        <v>213378</v>
      </c>
      <c r="H426" s="36" t="n">
        <v>0.009195402298850519</v>
      </c>
      <c r="I426" s="36" t="n">
        <v>-0.5450777202072539</v>
      </c>
      <c r="J426" s="31" t="n">
        <v>19533.5</v>
      </c>
      <c r="K426" s="31" t="n">
        <v>18567.16666666667</v>
      </c>
      <c r="L426" s="31" t="n">
        <v>19547.16666666667</v>
      </c>
      <c r="M426" s="36" t="n">
        <v>0.5974535389575374</v>
      </c>
      <c r="N426" s="36" t="n">
        <v>0.5817605789245033</v>
      </c>
      <c r="O426" s="36" t="n">
        <v>-0.09203722854188212</v>
      </c>
      <c r="P426" s="36" t="n">
        <v>0.05783132530120483</v>
      </c>
      <c r="Q426" s="36" t="n">
        <v>-0.2788501026694045</v>
      </c>
      <c r="R426" s="36" t="n">
        <v>-0.1010315611641539</v>
      </c>
      <c r="S426" s="36" t="n">
        <v>-0.05424449969929002</v>
      </c>
      <c r="T426" s="36" t="n">
        <v>-0.1016600871396537</v>
      </c>
      <c r="U426" s="31" t="n">
        <v>38600</v>
      </c>
      <c r="V426" s="31" t="n">
        <v>16360</v>
      </c>
      <c r="W426" s="36" t="n">
        <v>-0.5450777202072539</v>
      </c>
      <c r="X426" s="36" t="n">
        <v>0.07334963325183375</v>
      </c>
      <c r="Y426" s="31" t="n">
        <v>28966714</v>
      </c>
      <c r="Z426" s="31" t="n">
        <v>508655497840</v>
      </c>
      <c r="AA426" s="31" t="n">
        <v>3746917680</v>
      </c>
      <c r="AB426" s="31" t="n">
        <v>8644388337.5</v>
      </c>
      <c r="AC426" s="36" t="n">
        <v>0.007366317076904201</v>
      </c>
      <c r="AD426" s="29" t="inlineStr">
        <is>
          <t>yfinance_download</t>
        </is>
      </c>
      <c r="AE426" s="29" t="inlineStr">
        <is>
          <t>319660.KQ</t>
        </is>
      </c>
    </row>
    <row r="427" ht="24" customHeight="1">
      <c r="A427" s="24" t="inlineStr">
        <is>
          <t>2025-03-11</t>
        </is>
      </c>
      <c r="B427" s="30" t="n">
        <v>17030</v>
      </c>
      <c r="C427" s="30" t="n">
        <v>17630</v>
      </c>
      <c r="D427" s="30" t="n">
        <v>16950</v>
      </c>
      <c r="E427" s="30" t="n">
        <v>17470</v>
      </c>
      <c r="F427" s="30" t="n">
        <v>17274.8046875</v>
      </c>
      <c r="G427" s="30" t="n">
        <v>193335</v>
      </c>
      <c r="H427" s="35" t="n">
        <v>-0.005125284738040969</v>
      </c>
      <c r="I427" s="35" t="n">
        <v>-0.5474093264248705</v>
      </c>
      <c r="J427" s="30" t="n">
        <v>19415.5</v>
      </c>
      <c r="K427" s="30" t="n">
        <v>18569.5</v>
      </c>
      <c r="L427" s="30" t="n">
        <v>19499.41666666667</v>
      </c>
      <c r="M427" s="35" t="n">
        <v>0.5872026066156846</v>
      </c>
      <c r="N427" s="35" t="n">
        <v>0.5751458033408979</v>
      </c>
      <c r="O427" s="35" t="n">
        <v>-0.119011598587998</v>
      </c>
      <c r="P427" s="35" t="n">
        <v>0.008078476630121179</v>
      </c>
      <c r="Q427" s="35" t="n">
        <v>-0.2469827586206896</v>
      </c>
      <c r="R427" s="35" t="n">
        <v>-0.1002034457006</v>
      </c>
      <c r="S427" s="35" t="n">
        <v>-0.05920999488408407</v>
      </c>
      <c r="T427" s="35" t="n">
        <v>-0.1040757629501737</v>
      </c>
      <c r="U427" s="30" t="n">
        <v>38600</v>
      </c>
      <c r="V427" s="30" t="n">
        <v>16360</v>
      </c>
      <c r="W427" s="35" t="n">
        <v>-0.5474093264248705</v>
      </c>
      <c r="X427" s="35" t="n">
        <v>0.06784841075794623</v>
      </c>
      <c r="Y427" s="30" t="n">
        <v>28966714</v>
      </c>
      <c r="Z427" s="30" t="n">
        <v>506048493580</v>
      </c>
      <c r="AA427" s="30" t="n">
        <v>3377562450</v>
      </c>
      <c r="AB427" s="30" t="n">
        <v>8522969141</v>
      </c>
      <c r="AC427" s="35" t="n">
        <v>0.006674384950947491</v>
      </c>
      <c r="AD427" s="24" t="inlineStr">
        <is>
          <t>yfinance_download</t>
        </is>
      </c>
      <c r="AE427" s="24" t="inlineStr">
        <is>
          <t>319660.KQ</t>
        </is>
      </c>
    </row>
    <row r="428" ht="24" customHeight="1">
      <c r="A428" s="29" t="inlineStr">
        <is>
          <t>2025-03-12</t>
        </is>
      </c>
      <c r="B428" s="31" t="n">
        <v>17450</v>
      </c>
      <c r="C428" s="31" t="n">
        <v>18520</v>
      </c>
      <c r="D428" s="31" t="n">
        <v>17370</v>
      </c>
      <c r="E428" s="31" t="n">
        <v>18450</v>
      </c>
      <c r="F428" s="31" t="n">
        <v>18243.85546875</v>
      </c>
      <c r="G428" s="31" t="n">
        <v>333998</v>
      </c>
      <c r="H428" s="36" t="n">
        <v>0.05609616485403546</v>
      </c>
      <c r="I428" s="36" t="n">
        <v>-0.5220207253886011</v>
      </c>
      <c r="J428" s="31" t="n">
        <v>19338</v>
      </c>
      <c r="K428" s="31" t="n">
        <v>18596.66666666667</v>
      </c>
      <c r="L428" s="31" t="n">
        <v>19467.75</v>
      </c>
      <c r="M428" s="36" t="n">
        <v>0.6254897256426144</v>
      </c>
      <c r="N428" s="36" t="n">
        <v>0.5826233857594935</v>
      </c>
      <c r="O428" s="36" t="n">
        <v>-0.07750000000000001</v>
      </c>
      <c r="P428" s="36" t="n">
        <v>0.09690844233055884</v>
      </c>
      <c r="Q428" s="36" t="n">
        <v>-0.1707865168539325</v>
      </c>
      <c r="R428" s="36" t="n">
        <v>-0.0459199503568104</v>
      </c>
      <c r="S428" s="36" t="n">
        <v>-0.007886718049829766</v>
      </c>
      <c r="T428" s="36" t="n">
        <v>-0.05227876873290438</v>
      </c>
      <c r="U428" s="31" t="n">
        <v>38600</v>
      </c>
      <c r="V428" s="31" t="n">
        <v>16360</v>
      </c>
      <c r="W428" s="36" t="n">
        <v>-0.5220207253886011</v>
      </c>
      <c r="X428" s="36" t="n">
        <v>0.1277506112469438</v>
      </c>
      <c r="Y428" s="31" t="n">
        <v>28966714</v>
      </c>
      <c r="Z428" s="31" t="n">
        <v>534435873300</v>
      </c>
      <c r="AA428" s="31" t="n">
        <v>6162263100</v>
      </c>
      <c r="AB428" s="31" t="n">
        <v>8468681296</v>
      </c>
      <c r="AC428" s="36" t="n">
        <v>0.01153040693535345</v>
      </c>
      <c r="AD428" s="29" t="inlineStr">
        <is>
          <t>yfinance_download</t>
        </is>
      </c>
      <c r="AE428" s="29" t="inlineStr">
        <is>
          <t>319660.KQ</t>
        </is>
      </c>
    </row>
    <row r="429" ht="24" customHeight="1">
      <c r="A429" s="24" t="inlineStr">
        <is>
          <t>2025-03-13</t>
        </is>
      </c>
      <c r="B429" s="30" t="n">
        <v>18880</v>
      </c>
      <c r="C429" s="30" t="n">
        <v>18880</v>
      </c>
      <c r="D429" s="30" t="n">
        <v>18300</v>
      </c>
      <c r="E429" s="30" t="n">
        <v>18340</v>
      </c>
      <c r="F429" s="30" t="n">
        <v>18135.083984375</v>
      </c>
      <c r="G429" s="30" t="n">
        <v>261431</v>
      </c>
      <c r="H429" s="35" t="n">
        <v>-0.005962059620596261</v>
      </c>
      <c r="I429" s="35" t="n">
        <v>-0.5248704663212436</v>
      </c>
      <c r="J429" s="30" t="n">
        <v>19290</v>
      </c>
      <c r="K429" s="30" t="n">
        <v>18629.33333333333</v>
      </c>
      <c r="L429" s="30" t="n">
        <v>19439.75</v>
      </c>
      <c r="M429" s="35" t="n">
        <v>0.6143704746386132</v>
      </c>
      <c r="N429" s="35" t="n">
        <v>0.5798887755628798</v>
      </c>
      <c r="O429" s="35" t="n">
        <v>-0.04974093264248702</v>
      </c>
      <c r="P429" s="35" t="n">
        <v>0.1196581196581197</v>
      </c>
      <c r="Q429" s="35" t="n">
        <v>-0.1548387096774193</v>
      </c>
      <c r="R429" s="35" t="n">
        <v>-0.04924831518921724</v>
      </c>
      <c r="S429" s="35" t="n">
        <v>-0.01553106212424848</v>
      </c>
      <c r="T429" s="35" t="n">
        <v>-0.05657222958114172</v>
      </c>
      <c r="U429" s="30" t="n">
        <v>38600</v>
      </c>
      <c r="V429" s="30" t="n">
        <v>16360</v>
      </c>
      <c r="W429" s="35" t="n">
        <v>-0.5248704663212436</v>
      </c>
      <c r="X429" s="35" t="n">
        <v>0.1210268948655258</v>
      </c>
      <c r="Y429" s="30" t="n">
        <v>28966714</v>
      </c>
      <c r="Z429" s="30" t="n">
        <v>531249534760</v>
      </c>
      <c r="AA429" s="30" t="n">
        <v>4794644540</v>
      </c>
      <c r="AB429" s="30" t="n">
        <v>8218418368</v>
      </c>
      <c r="AC429" s="35" t="n">
        <v>0.009025221155564971</v>
      </c>
      <c r="AD429" s="24" t="inlineStr">
        <is>
          <t>yfinance_download</t>
        </is>
      </c>
      <c r="AE429" s="24" t="inlineStr">
        <is>
          <t>319660.KQ</t>
        </is>
      </c>
    </row>
    <row r="430" ht="24" customHeight="1">
      <c r="A430" s="29" t="inlineStr">
        <is>
          <t>2025-03-14</t>
        </is>
      </c>
      <c r="B430" s="31" t="n">
        <v>18300</v>
      </c>
      <c r="C430" s="31" t="n">
        <v>19320</v>
      </c>
      <c r="D430" s="31" t="n">
        <v>18300</v>
      </c>
      <c r="E430" s="31" t="n">
        <v>19210</v>
      </c>
      <c r="F430" s="31" t="n">
        <v>18995.36328125</v>
      </c>
      <c r="G430" s="31" t="n">
        <v>350774</v>
      </c>
      <c r="H430" s="36" t="n">
        <v>0.04743729552889864</v>
      </c>
      <c r="I430" s="36" t="n">
        <v>-0.5023316062176166</v>
      </c>
      <c r="J430" s="31" t="n">
        <v>19284</v>
      </c>
      <c r="K430" s="31" t="n">
        <v>18672</v>
      </c>
      <c r="L430" s="31" t="n">
        <v>19416.08333333333</v>
      </c>
      <c r="M430" s="36" t="n">
        <v>0.6388498908243193</v>
      </c>
      <c r="N430" s="36" t="n">
        <v>0.5865013949422698</v>
      </c>
      <c r="O430" s="36" t="n">
        <v>-0.006207966890843242</v>
      </c>
      <c r="P430" s="36" t="n">
        <v>0.1537537537537537</v>
      </c>
      <c r="Q430" s="36" t="n">
        <v>-0.1287981859410431</v>
      </c>
      <c r="R430" s="36" t="n">
        <v>-0.003837378137315883</v>
      </c>
      <c r="S430" s="36" t="n">
        <v>0.02881319622964873</v>
      </c>
      <c r="T430" s="36" t="n">
        <v>-0.01061405278270156</v>
      </c>
      <c r="U430" s="31" t="n">
        <v>38600</v>
      </c>
      <c r="V430" s="31" t="n">
        <v>16360</v>
      </c>
      <c r="W430" s="36" t="n">
        <v>-0.5023316062176166</v>
      </c>
      <c r="X430" s="36" t="n">
        <v>0.1742053789731051</v>
      </c>
      <c r="Y430" s="31" t="n">
        <v>28966714</v>
      </c>
      <c r="Z430" s="31" t="n">
        <v>556450575940</v>
      </c>
      <c r="AA430" s="31" t="n">
        <v>6738368540</v>
      </c>
      <c r="AB430" s="31" t="n">
        <v>8294959762</v>
      </c>
      <c r="AC430" s="36" t="n">
        <v>0.01210955443548067</v>
      </c>
      <c r="AD430" s="29" t="inlineStr">
        <is>
          <t>yfinance_download</t>
        </is>
      </c>
      <c r="AE430" s="29" t="inlineStr">
        <is>
          <t>319660.KQ</t>
        </is>
      </c>
    </row>
    <row r="431" ht="24" customHeight="1">
      <c r="A431" s="24" t="inlineStr">
        <is>
          <t>2025-03-17</t>
        </is>
      </c>
      <c r="B431" s="30" t="n">
        <v>19600</v>
      </c>
      <c r="C431" s="30" t="n">
        <v>19950</v>
      </c>
      <c r="D431" s="30" t="n">
        <v>19390</v>
      </c>
      <c r="E431" s="30" t="n">
        <v>19820</v>
      </c>
      <c r="F431" s="30" t="n">
        <v>19598.546875</v>
      </c>
      <c r="G431" s="30" t="n">
        <v>304430</v>
      </c>
      <c r="H431" s="35" t="n">
        <v>0.03175429463820922</v>
      </c>
      <c r="I431" s="35" t="n">
        <v>-0.4865284974093265</v>
      </c>
      <c r="J431" s="30" t="n">
        <v>19306</v>
      </c>
      <c r="K431" s="30" t="n">
        <v>18712.83333333333</v>
      </c>
      <c r="L431" s="30" t="n">
        <v>19398.75</v>
      </c>
      <c r="M431" s="35" t="n">
        <v>0.6484687940151477</v>
      </c>
      <c r="N431" s="35" t="n">
        <v>0.5836038905932879</v>
      </c>
      <c r="O431" s="35" t="n">
        <v>0.02270381836945301</v>
      </c>
      <c r="P431" s="35" t="n">
        <v>0.1410477835348303</v>
      </c>
      <c r="Q431" s="35" t="n">
        <v>-0.09497716894977171</v>
      </c>
      <c r="R431" s="35" t="n">
        <v>0.02662384750854652</v>
      </c>
      <c r="S431" s="35" t="n">
        <v>0.05916616938464703</v>
      </c>
      <c r="T431" s="35" t="n">
        <v>0.02171531670855087</v>
      </c>
      <c r="U431" s="30" t="n">
        <v>38600</v>
      </c>
      <c r="V431" s="30" t="n">
        <v>16360</v>
      </c>
      <c r="W431" s="35" t="n">
        <v>-0.4865284974093265</v>
      </c>
      <c r="X431" s="35" t="n">
        <v>0.2114914425427872</v>
      </c>
      <c r="Y431" s="30" t="n">
        <v>28966714</v>
      </c>
      <c r="Z431" s="30" t="n">
        <v>574120271480</v>
      </c>
      <c r="AA431" s="30" t="n">
        <v>6033802600</v>
      </c>
      <c r="AB431" s="30" t="n">
        <v>8328178752</v>
      </c>
      <c r="AC431" s="35" t="n">
        <v>0.01050964910966429</v>
      </c>
      <c r="AD431" s="24" t="inlineStr">
        <is>
          <t>yfinance_download</t>
        </is>
      </c>
      <c r="AE431" s="24" t="inlineStr">
        <is>
          <t>319660.KQ</t>
        </is>
      </c>
    </row>
    <row r="432" ht="24" customHeight="1">
      <c r="A432" s="29" t="inlineStr">
        <is>
          <t>2025-03-18</t>
        </is>
      </c>
      <c r="B432" s="31" t="n">
        <v>19950</v>
      </c>
      <c r="C432" s="31" t="n">
        <v>20400</v>
      </c>
      <c r="D432" s="31" t="n">
        <v>19750</v>
      </c>
      <c r="E432" s="31" t="n">
        <v>19860</v>
      </c>
      <c r="F432" s="31" t="n">
        <v>19638.099609375</v>
      </c>
      <c r="G432" s="31" t="n">
        <v>280278</v>
      </c>
      <c r="H432" s="36" t="n">
        <v>0.002018163471241063</v>
      </c>
      <c r="I432" s="36" t="n">
        <v>-0.4854922279792746</v>
      </c>
      <c r="J432" s="31" t="n">
        <v>19330.5</v>
      </c>
      <c r="K432" s="31" t="n">
        <v>18749.33333333333</v>
      </c>
      <c r="L432" s="31" t="n">
        <v>19381.75</v>
      </c>
      <c r="M432" s="36" t="n">
        <v>0.6484061914271367</v>
      </c>
      <c r="N432" s="36" t="n">
        <v>0.5828315459514265</v>
      </c>
      <c r="O432" s="36" t="n">
        <v>0.02529685080020649</v>
      </c>
      <c r="P432" s="36" t="n">
        <v>0.1239388794567062</v>
      </c>
      <c r="Q432" s="36" t="n">
        <v>-0.0931506849315068</v>
      </c>
      <c r="R432" s="36" t="n">
        <v>0.02739194537130452</v>
      </c>
      <c r="S432" s="36" t="n">
        <v>0.05923766178353018</v>
      </c>
      <c r="T432" s="36" t="n">
        <v>0.02467527442052453</v>
      </c>
      <c r="U432" s="31" t="n">
        <v>38600</v>
      </c>
      <c r="V432" s="31" t="n">
        <v>16360</v>
      </c>
      <c r="W432" s="36" t="n">
        <v>-0.4854922279792746</v>
      </c>
      <c r="X432" s="36" t="n">
        <v>0.2139364303178484</v>
      </c>
      <c r="Y432" s="31" t="n">
        <v>28966714</v>
      </c>
      <c r="Z432" s="31" t="n">
        <v>575278940040</v>
      </c>
      <c r="AA432" s="31" t="n">
        <v>5566321080</v>
      </c>
      <c r="AB432" s="31" t="n">
        <v>8443534996</v>
      </c>
      <c r="AC432" s="36" t="n">
        <v>0.009675864511245563</v>
      </c>
      <c r="AD432" s="29" t="inlineStr">
        <is>
          <t>yfinance_download</t>
        </is>
      </c>
      <c r="AE432" s="29" t="inlineStr">
        <is>
          <t>319660.KQ</t>
        </is>
      </c>
    </row>
    <row r="433" ht="24" customHeight="1">
      <c r="A433" s="24" t="inlineStr">
        <is>
          <t>2025-03-19</t>
        </is>
      </c>
      <c r="B433" s="30" t="n">
        <v>19660</v>
      </c>
      <c r="C433" s="30" t="n">
        <v>21250</v>
      </c>
      <c r="D433" s="30" t="n">
        <v>19520</v>
      </c>
      <c r="E433" s="30" t="n">
        <v>21200</v>
      </c>
      <c r="F433" s="30" t="n">
        <v>20963.12890625</v>
      </c>
      <c r="G433" s="30" t="n">
        <v>505403</v>
      </c>
      <c r="H433" s="35" t="n">
        <v>0.06747230614300093</v>
      </c>
      <c r="I433" s="35" t="n">
        <v>-0.4507772020725389</v>
      </c>
      <c r="J433" s="30" t="n">
        <v>19431.5</v>
      </c>
      <c r="K433" s="30" t="n">
        <v>18806.5</v>
      </c>
      <c r="L433" s="30" t="n">
        <v>19368.83333333333</v>
      </c>
      <c r="M433" s="35" t="n">
        <v>0.686606895199767</v>
      </c>
      <c r="N433" s="35" t="n">
        <v>0.597790742225048</v>
      </c>
      <c r="O433" s="35" t="n">
        <v>0.105318039624609</v>
      </c>
      <c r="P433" s="35" t="n">
        <v>0.193021947101857</v>
      </c>
      <c r="Q433" s="35" t="n">
        <v>-0.06813186813186811</v>
      </c>
      <c r="R433" s="35" t="n">
        <v>0.09101201657103153</v>
      </c>
      <c r="S433" s="35" t="n">
        <v>0.1272698269215431</v>
      </c>
      <c r="T433" s="35" t="n">
        <v>0.09454191871821571</v>
      </c>
      <c r="U433" s="30" t="n">
        <v>38600</v>
      </c>
      <c r="V433" s="30" t="n">
        <v>16360</v>
      </c>
      <c r="W433" s="35" t="n">
        <v>-0.4507772020725389</v>
      </c>
      <c r="X433" s="35" t="n">
        <v>0.2958435207823962</v>
      </c>
      <c r="Y433" s="30" t="n">
        <v>28966714</v>
      </c>
      <c r="Z433" s="30" t="n">
        <v>614094336800</v>
      </c>
      <c r="AA433" s="30" t="n">
        <v>10714543600</v>
      </c>
      <c r="AB433" s="30" t="n">
        <v>8779988689</v>
      </c>
      <c r="AC433" s="35" t="n">
        <v>0.01744771602329487</v>
      </c>
      <c r="AD433" s="24" t="inlineStr">
        <is>
          <t>yfinance_download</t>
        </is>
      </c>
      <c r="AE433" s="24" t="inlineStr">
        <is>
          <t>319660.KQ</t>
        </is>
      </c>
    </row>
    <row r="434" ht="24" customHeight="1">
      <c r="A434" s="29" t="inlineStr">
        <is>
          <t>2025-03-20</t>
        </is>
      </c>
      <c r="B434" s="31" t="n">
        <v>21400</v>
      </c>
      <c r="C434" s="31" t="n">
        <v>21550</v>
      </c>
      <c r="D434" s="31" t="n">
        <v>20950</v>
      </c>
      <c r="E434" s="31" t="n">
        <v>21350</v>
      </c>
      <c r="F434" s="31" t="n">
        <v>21111.453125</v>
      </c>
      <c r="G434" s="31" t="n">
        <v>358538</v>
      </c>
      <c r="H434" s="36" t="n">
        <v>0.007075471698113178</v>
      </c>
      <c r="I434" s="36" t="n">
        <v>-0.4468911917098446</v>
      </c>
      <c r="J434" s="31" t="n">
        <v>19426.5</v>
      </c>
      <c r="K434" s="31" t="n">
        <v>18865.33333333333</v>
      </c>
      <c r="L434" s="31" t="n">
        <v>19365.91666666667</v>
      </c>
      <c r="M434" s="36" t="n">
        <v>0.5435763279620054</v>
      </c>
      <c r="N434" s="36" t="n">
        <v>0.5978295786107011</v>
      </c>
      <c r="O434" s="36" t="n">
        <v>-0.004662004662004615</v>
      </c>
      <c r="P434" s="36" t="n">
        <v>0.1980920314253647</v>
      </c>
      <c r="Q434" s="36" t="n">
        <v>-0.0161290322580645</v>
      </c>
      <c r="R434" s="36" t="n">
        <v>0.09901423313515045</v>
      </c>
      <c r="S434" s="36" t="n">
        <v>0.1317054208778006</v>
      </c>
      <c r="T434" s="36" t="n">
        <v>0.1024523324913615</v>
      </c>
      <c r="U434" s="31" t="n">
        <v>38600</v>
      </c>
      <c r="V434" s="31" t="n">
        <v>16360</v>
      </c>
      <c r="W434" s="36" t="n">
        <v>-0.4468911917098446</v>
      </c>
      <c r="X434" s="36" t="n">
        <v>0.3050122249388754</v>
      </c>
      <c r="Y434" s="31" t="n">
        <v>28966714</v>
      </c>
      <c r="Z434" s="31" t="n">
        <v>618439343900</v>
      </c>
      <c r="AA434" s="31" t="n">
        <v>7654786300</v>
      </c>
      <c r="AB434" s="31" t="n">
        <v>7608374131.5</v>
      </c>
      <c r="AC434" s="36" t="n">
        <v>0.01237758621844369</v>
      </c>
      <c r="AD434" s="29" t="inlineStr">
        <is>
          <t>yfinance_download</t>
        </is>
      </c>
      <c r="AE434" s="29" t="inlineStr">
        <is>
          <t>319660.KQ</t>
        </is>
      </c>
    </row>
    <row r="435" ht="24" customHeight="1">
      <c r="A435" s="24" t="inlineStr">
        <is>
          <t>2025-03-21</t>
        </is>
      </c>
      <c r="B435" s="30" t="n">
        <v>21550</v>
      </c>
      <c r="C435" s="30" t="n">
        <v>22000</v>
      </c>
      <c r="D435" s="30" t="n">
        <v>21150</v>
      </c>
      <c r="E435" s="30" t="n">
        <v>21350</v>
      </c>
      <c r="F435" s="30" t="n">
        <v>21111.453125</v>
      </c>
      <c r="G435" s="30" t="n">
        <v>414906</v>
      </c>
      <c r="H435" s="35" t="n">
        <v>0</v>
      </c>
      <c r="I435" s="35" t="n">
        <v>-0.4468911917098446</v>
      </c>
      <c r="J435" s="30" t="n">
        <v>19409</v>
      </c>
      <c r="K435" s="30" t="n">
        <v>18921.16666666667</v>
      </c>
      <c r="L435" s="30" t="n">
        <v>19366.75</v>
      </c>
      <c r="M435" s="35" t="n">
        <v>0.5419254203204878</v>
      </c>
      <c r="N435" s="35" t="n">
        <v>0.5977263698480444</v>
      </c>
      <c r="O435" s="35" t="n">
        <v>-0.0161290322580645</v>
      </c>
      <c r="P435" s="35" t="n">
        <v>0.1861111111111111</v>
      </c>
      <c r="Q435" s="35" t="n">
        <v>0.004705882352941115</v>
      </c>
      <c r="R435" s="35" t="n">
        <v>0.1000051522489567</v>
      </c>
      <c r="S435" s="35" t="n">
        <v>0.1283659393800594</v>
      </c>
      <c r="T435" s="35" t="n">
        <v>0.1024048949875431</v>
      </c>
      <c r="U435" s="30" t="n">
        <v>38600</v>
      </c>
      <c r="V435" s="30" t="n">
        <v>16360</v>
      </c>
      <c r="W435" s="35" t="n">
        <v>-0.4468911917098446</v>
      </c>
      <c r="X435" s="35" t="n">
        <v>0.3050122249388754</v>
      </c>
      <c r="Y435" s="30" t="n">
        <v>28966714</v>
      </c>
      <c r="Z435" s="30" t="n">
        <v>618439343900</v>
      </c>
      <c r="AA435" s="30" t="n">
        <v>8858243100</v>
      </c>
      <c r="AB435" s="30" t="n">
        <v>6957569396.5</v>
      </c>
      <c r="AC435" s="35" t="n">
        <v>0.01432354391319637</v>
      </c>
      <c r="AD435" s="24" t="inlineStr">
        <is>
          <t>yfinance_download</t>
        </is>
      </c>
      <c r="AE435" s="24" t="inlineStr">
        <is>
          <t>319660.KQ</t>
        </is>
      </c>
    </row>
    <row r="436" ht="24" customHeight="1">
      <c r="A436" s="29" t="inlineStr">
        <is>
          <t>2025-03-24</t>
        </is>
      </c>
      <c r="B436" s="31" t="n">
        <v>21800</v>
      </c>
      <c r="C436" s="31" t="n">
        <v>22750</v>
      </c>
      <c r="D436" s="31" t="n">
        <v>21550</v>
      </c>
      <c r="E436" s="31" t="n">
        <v>22150</v>
      </c>
      <c r="F436" s="31" t="n">
        <v>21902.513671875</v>
      </c>
      <c r="G436" s="31" t="n">
        <v>598421</v>
      </c>
      <c r="H436" s="36" t="n">
        <v>0.0374707259953162</v>
      </c>
      <c r="I436" s="36" t="n">
        <v>-0.4261658031088082</v>
      </c>
      <c r="J436" s="31" t="n">
        <v>19461.5</v>
      </c>
      <c r="K436" s="31" t="n">
        <v>18993.66666666667</v>
      </c>
      <c r="L436" s="31" t="n">
        <v>19371.33333333333</v>
      </c>
      <c r="M436" s="36" t="n">
        <v>0.5475427186280055</v>
      </c>
      <c r="N436" s="36" t="n">
        <v>0.6009250305953745</v>
      </c>
      <c r="O436" s="36" t="n">
        <v>0.04976303317535535</v>
      </c>
      <c r="P436" s="36" t="n">
        <v>0.2443820224719102</v>
      </c>
      <c r="Q436" s="36" t="n">
        <v>0.02546296296296302</v>
      </c>
      <c r="R436" s="36" t="n">
        <v>0.1381445417876319</v>
      </c>
      <c r="S436" s="36" t="n">
        <v>0.1661781997507941</v>
      </c>
      <c r="T436" s="36" t="n">
        <v>0.1434421998141584</v>
      </c>
      <c r="U436" s="31" t="n">
        <v>38600</v>
      </c>
      <c r="V436" s="31" t="n">
        <v>16360</v>
      </c>
      <c r="W436" s="36" t="n">
        <v>-0.4261658031088082</v>
      </c>
      <c r="X436" s="36" t="n">
        <v>0.3539119804400979</v>
      </c>
      <c r="Y436" s="31" t="n">
        <v>28966714</v>
      </c>
      <c r="Z436" s="31" t="n">
        <v>641612715100</v>
      </c>
      <c r="AA436" s="31" t="n">
        <v>13255025150</v>
      </c>
      <c r="AB436" s="31" t="n">
        <v>7194718884</v>
      </c>
      <c r="AC436" s="36" t="n">
        <v>0.02065891906137507</v>
      </c>
      <c r="AD436" s="29" t="inlineStr">
        <is>
          <t>yfinance_download</t>
        </is>
      </c>
      <c r="AE436" s="29" t="inlineStr">
        <is>
          <t>319660.KQ</t>
        </is>
      </c>
    </row>
    <row r="437" ht="24" customHeight="1">
      <c r="A437" s="24" t="inlineStr">
        <is>
          <t>2025-03-25</t>
        </is>
      </c>
      <c r="B437" s="30" t="n">
        <v>22250</v>
      </c>
      <c r="C437" s="30" t="n">
        <v>22500</v>
      </c>
      <c r="D437" s="30" t="n">
        <v>21150</v>
      </c>
      <c r="E437" s="30" t="n">
        <v>21200</v>
      </c>
      <c r="F437" s="30" t="n">
        <v>20963.12890625</v>
      </c>
      <c r="G437" s="30" t="n">
        <v>367182</v>
      </c>
      <c r="H437" s="35" t="n">
        <v>-0.04288939051918739</v>
      </c>
      <c r="I437" s="35" t="n">
        <v>-0.4507772020725389</v>
      </c>
      <c r="J437" s="30" t="n">
        <v>19456.5</v>
      </c>
      <c r="K437" s="30" t="n">
        <v>19068.33333333333</v>
      </c>
      <c r="L437" s="30" t="n">
        <v>19363</v>
      </c>
      <c r="M437" s="35" t="n">
        <v>0.570396108508729</v>
      </c>
      <c r="N437" s="35" t="n">
        <v>0.5937686532813512</v>
      </c>
      <c r="O437" s="35" t="n">
        <v>-0.00469483568075113</v>
      </c>
      <c r="P437" s="35" t="n">
        <v>0.2679425837320575</v>
      </c>
      <c r="Q437" s="35" t="n">
        <v>-0.04504504504504503</v>
      </c>
      <c r="R437" s="35" t="n">
        <v>0.08961015598900102</v>
      </c>
      <c r="S437" s="35" t="n">
        <v>0.111790927366489</v>
      </c>
      <c r="T437" s="35" t="n">
        <v>0.09487166244900069</v>
      </c>
      <c r="U437" s="30" t="n">
        <v>38600</v>
      </c>
      <c r="V437" s="30" t="n">
        <v>16360</v>
      </c>
      <c r="W437" s="35" t="n">
        <v>-0.4507772020725389</v>
      </c>
      <c r="X437" s="35" t="n">
        <v>0.2958435207823962</v>
      </c>
      <c r="Y437" s="30" t="n">
        <v>28966714</v>
      </c>
      <c r="Z437" s="30" t="n">
        <v>614094336800</v>
      </c>
      <c r="AA437" s="30" t="n">
        <v>7784258400</v>
      </c>
      <c r="AB437" s="30" t="n">
        <v>7214350179</v>
      </c>
      <c r="AC437" s="35" t="n">
        <v>0.01267599769859985</v>
      </c>
      <c r="AD437" s="24" t="inlineStr">
        <is>
          <t>yfinance_download</t>
        </is>
      </c>
      <c r="AE437" s="24" t="inlineStr">
        <is>
          <t>319660.KQ</t>
        </is>
      </c>
    </row>
    <row r="438" ht="24" customHeight="1">
      <c r="A438" s="29" t="inlineStr">
        <is>
          <t>2025-03-26</t>
        </is>
      </c>
      <c r="B438" s="31" t="n">
        <v>21150</v>
      </c>
      <c r="C438" s="31" t="n">
        <v>22300</v>
      </c>
      <c r="D438" s="31" t="n">
        <v>20950</v>
      </c>
      <c r="E438" s="31" t="n">
        <v>22150</v>
      </c>
      <c r="F438" s="31" t="n">
        <v>21902.513671875</v>
      </c>
      <c r="G438" s="31" t="n">
        <v>298465</v>
      </c>
      <c r="H438" s="36" t="n">
        <v>0.04481132075471694</v>
      </c>
      <c r="I438" s="36" t="n">
        <v>-0.4261658031088082</v>
      </c>
      <c r="J438" s="31" t="n">
        <v>19501.5</v>
      </c>
      <c r="K438" s="31" t="n">
        <v>19162</v>
      </c>
      <c r="L438" s="31" t="n">
        <v>19357.16666666667</v>
      </c>
      <c r="M438" s="36" t="n">
        <v>0.5915783906560583</v>
      </c>
      <c r="N438" s="36" t="n">
        <v>0.5984430286109053</v>
      </c>
      <c r="O438" s="36" t="n">
        <v>0.04235294117647048</v>
      </c>
      <c r="P438" s="36" t="n">
        <v>0.3399879007864488</v>
      </c>
      <c r="Q438" s="36" t="n">
        <v>-0.03063457330415753</v>
      </c>
      <c r="R438" s="36" t="n">
        <v>0.1358100658923673</v>
      </c>
      <c r="S438" s="36" t="n">
        <v>0.1559336186201858</v>
      </c>
      <c r="T438" s="36" t="n">
        <v>0.1442790353271397</v>
      </c>
      <c r="U438" s="31" t="n">
        <v>38600</v>
      </c>
      <c r="V438" s="31" t="n">
        <v>16360</v>
      </c>
      <c r="W438" s="36" t="n">
        <v>-0.4261658031088082</v>
      </c>
      <c r="X438" s="36" t="n">
        <v>0.3539119804400979</v>
      </c>
      <c r="Y438" s="31" t="n">
        <v>28966714</v>
      </c>
      <c r="Z438" s="31" t="n">
        <v>641612715100</v>
      </c>
      <c r="AA438" s="31" t="n">
        <v>6610999750</v>
      </c>
      <c r="AB438" s="31" t="n">
        <v>7299733604</v>
      </c>
      <c r="AC438" s="36" t="n">
        <v>0.01030372309403131</v>
      </c>
      <c r="AD438" s="29" t="inlineStr">
        <is>
          <t>yfinance_download</t>
        </is>
      </c>
      <c r="AE438" s="29" t="inlineStr">
        <is>
          <t>319660.KQ</t>
        </is>
      </c>
    </row>
    <row r="439" ht="24" customHeight="1">
      <c r="A439" s="24" t="inlineStr">
        <is>
          <t>2025-03-27</t>
        </is>
      </c>
      <c r="B439" s="30" t="n">
        <v>21500</v>
      </c>
      <c r="C439" s="30" t="n">
        <v>22150</v>
      </c>
      <c r="D439" s="30" t="n">
        <v>21500</v>
      </c>
      <c r="E439" s="30" t="n">
        <v>21650</v>
      </c>
      <c r="F439" s="30" t="n">
        <v>21408.099609375</v>
      </c>
      <c r="G439" s="30" t="n">
        <v>148069</v>
      </c>
      <c r="H439" s="35" t="n">
        <v>-0.02257336343115124</v>
      </c>
      <c r="I439" s="35" t="n">
        <v>-0.439119170984456</v>
      </c>
      <c r="J439" s="30" t="n">
        <v>19554</v>
      </c>
      <c r="K439" s="30" t="n">
        <v>19239.16666666667</v>
      </c>
      <c r="L439" s="30" t="n">
        <v>19349.25</v>
      </c>
      <c r="M439" s="35" t="n">
        <v>0.586250509321619</v>
      </c>
      <c r="N439" s="35" t="n">
        <v>0.5990422449294412</v>
      </c>
      <c r="O439" s="35" t="n">
        <v>0.05097087378640786</v>
      </c>
      <c r="P439" s="35" t="n">
        <v>0.2720329024676851</v>
      </c>
      <c r="Q439" s="35" t="n">
        <v>-0.04203539823008851</v>
      </c>
      <c r="R439" s="35" t="n">
        <v>0.1071903446865092</v>
      </c>
      <c r="S439" s="35" t="n">
        <v>0.1253086152380127</v>
      </c>
      <c r="T439" s="35" t="n">
        <v>0.1189064175614043</v>
      </c>
      <c r="U439" s="30" t="n">
        <v>38600</v>
      </c>
      <c r="V439" s="30" t="n">
        <v>16360</v>
      </c>
      <c r="W439" s="35" t="n">
        <v>-0.439119170984456</v>
      </c>
      <c r="X439" s="35" t="n">
        <v>0.3233496332518337</v>
      </c>
      <c r="Y439" s="30" t="n">
        <v>28966714</v>
      </c>
      <c r="Z439" s="30" t="n">
        <v>627129358100</v>
      </c>
      <c r="AA439" s="30" t="n">
        <v>3205693850</v>
      </c>
      <c r="AB439" s="30" t="n">
        <v>7199518936.5</v>
      </c>
      <c r="AC439" s="35" t="n">
        <v>0.005111694754192692</v>
      </c>
      <c r="AD439" s="24" t="inlineStr">
        <is>
          <t>yfinance_download</t>
        </is>
      </c>
      <c r="AE439" s="24" t="inlineStr">
        <is>
          <t>319660.KQ</t>
        </is>
      </c>
    </row>
    <row r="440" ht="24" customHeight="1">
      <c r="A440" s="29" t="inlineStr">
        <is>
          <t>2025-03-28</t>
        </is>
      </c>
      <c r="B440" s="31" t="n">
        <v>21800</v>
      </c>
      <c r="C440" s="31" t="n">
        <v>21900</v>
      </c>
      <c r="D440" s="31" t="n">
        <v>20800</v>
      </c>
      <c r="E440" s="31" t="n">
        <v>21000</v>
      </c>
      <c r="F440" s="31" t="n">
        <v>20765.36328125</v>
      </c>
      <c r="G440" s="31" t="n">
        <v>206156</v>
      </c>
      <c r="H440" s="36" t="n">
        <v>-0.03002309468822173</v>
      </c>
      <c r="I440" s="36" t="n">
        <v>-0.4559585492227979</v>
      </c>
      <c r="J440" s="31" t="n">
        <v>19609.5</v>
      </c>
      <c r="K440" s="31" t="n">
        <v>19305.83333333333</v>
      </c>
      <c r="L440" s="31" t="n">
        <v>19325.08333333333</v>
      </c>
      <c r="M440" s="36" t="n">
        <v>0.5826721364004979</v>
      </c>
      <c r="N440" s="36" t="n">
        <v>0.6031556608038381</v>
      </c>
      <c r="O440" s="36" t="n">
        <v>0.05580693815987936</v>
      </c>
      <c r="P440" s="36" t="n">
        <v>0.2352941176470589</v>
      </c>
      <c r="Q440" s="36" t="n">
        <v>-0.1213389121338913</v>
      </c>
      <c r="R440" s="36" t="n">
        <v>0.07090950814656161</v>
      </c>
      <c r="S440" s="36" t="n">
        <v>0.08775413303405721</v>
      </c>
      <c r="T440" s="36" t="n">
        <v>0.08667060512891278</v>
      </c>
      <c r="U440" s="31" t="n">
        <v>38600</v>
      </c>
      <c r="V440" s="31" t="n">
        <v>16360</v>
      </c>
      <c r="W440" s="36" t="n">
        <v>-0.4559585492227979</v>
      </c>
      <c r="X440" s="36" t="n">
        <v>0.2836185819070904</v>
      </c>
      <c r="Y440" s="31" t="n">
        <v>28966714</v>
      </c>
      <c r="Z440" s="31" t="n">
        <v>608300994000</v>
      </c>
      <c r="AA440" s="31" t="n">
        <v>4329276000</v>
      </c>
      <c r="AB440" s="31" t="n">
        <v>6996786069</v>
      </c>
      <c r="AC440" s="36" t="n">
        <v>0.007116996425621491</v>
      </c>
      <c r="AD440" s="29" t="inlineStr">
        <is>
          <t>yfinance_download</t>
        </is>
      </c>
      <c r="AE440" s="29" t="inlineStr">
        <is>
          <t>319660.KQ</t>
        </is>
      </c>
    </row>
    <row r="441" ht="24" customHeight="1">
      <c r="A441" s="24" t="inlineStr">
        <is>
          <t>2025-03-31</t>
        </is>
      </c>
      <c r="B441" s="30" t="n">
        <v>20350</v>
      </c>
      <c r="C441" s="30" t="n">
        <v>20700</v>
      </c>
      <c r="D441" s="30" t="n">
        <v>19610</v>
      </c>
      <c r="E441" s="30" t="n">
        <v>20150</v>
      </c>
      <c r="F441" s="30" t="n">
        <v>19924.859375</v>
      </c>
      <c r="G441" s="30" t="n">
        <v>351868</v>
      </c>
      <c r="H441" s="35" t="n">
        <v>-0.04047619047619044</v>
      </c>
      <c r="I441" s="35" t="n">
        <v>-0.477979274611399</v>
      </c>
      <c r="J441" s="30" t="n">
        <v>19684.5</v>
      </c>
      <c r="K441" s="30" t="n">
        <v>19366.83333333333</v>
      </c>
      <c r="L441" s="30" t="n">
        <v>19300.5</v>
      </c>
      <c r="M441" s="35" t="n">
        <v>0.554456621816153</v>
      </c>
      <c r="N441" s="35" t="n">
        <v>0.6060699488900329</v>
      </c>
      <c r="O441" s="35" t="n">
        <v>0.08042895442359255</v>
      </c>
      <c r="P441" s="35" t="n">
        <v>0.2219526986052154</v>
      </c>
      <c r="Q441" s="35" t="n">
        <v>-0.1277056277056277</v>
      </c>
      <c r="R441" s="35" t="n">
        <v>0.02364804795651398</v>
      </c>
      <c r="S441" s="35" t="n">
        <v>0.04043855044276734</v>
      </c>
      <c r="T441" s="35" t="n">
        <v>0.04401440377192301</v>
      </c>
      <c r="U441" s="30" t="n">
        <v>38600</v>
      </c>
      <c r="V441" s="30" t="n">
        <v>16360</v>
      </c>
      <c r="W441" s="35" t="n">
        <v>-0.477979274611399</v>
      </c>
      <c r="X441" s="35" t="n">
        <v>0.2316625916870416</v>
      </c>
      <c r="Y441" s="30" t="n">
        <v>28966714</v>
      </c>
      <c r="Z441" s="30" t="n">
        <v>583679287100</v>
      </c>
      <c r="AA441" s="30" t="n">
        <v>7090140200</v>
      </c>
      <c r="AB441" s="30" t="n">
        <v>6582405799</v>
      </c>
      <c r="AC441" s="35" t="n">
        <v>0.01214732192267304</v>
      </c>
      <c r="AD441" s="24" t="inlineStr">
        <is>
          <t>yfinance_download</t>
        </is>
      </c>
      <c r="AE441" s="24" t="inlineStr">
        <is>
          <t>319660.KQ</t>
        </is>
      </c>
    </row>
    <row r="442" ht="24" customHeight="1">
      <c r="A442" s="29" t="inlineStr">
        <is>
          <t>2025-04-01</t>
        </is>
      </c>
      <c r="B442" s="31" t="n">
        <v>20400</v>
      </c>
      <c r="C442" s="31" t="n">
        <v>21000</v>
      </c>
      <c r="D442" s="31" t="n">
        <v>19750</v>
      </c>
      <c r="E442" s="31" t="n">
        <v>20400</v>
      </c>
      <c r="F442" s="31" t="n">
        <v>20172.06640625</v>
      </c>
      <c r="G442" s="31" t="n">
        <v>334281</v>
      </c>
      <c r="H442" s="36" t="n">
        <v>0.01240694789081886</v>
      </c>
      <c r="I442" s="36" t="n">
        <v>-0.4715025906735751</v>
      </c>
      <c r="J442" s="31" t="n">
        <v>19797</v>
      </c>
      <c r="K442" s="31" t="n">
        <v>19431.83333333333</v>
      </c>
      <c r="L442" s="31" t="n">
        <v>19280.08333333333</v>
      </c>
      <c r="M442" s="36" t="n">
        <v>0.542475964957747</v>
      </c>
      <c r="N442" s="36" t="n">
        <v>0.6062657947313471</v>
      </c>
      <c r="O442" s="36" t="n">
        <v>0.1239669421487604</v>
      </c>
      <c r="P442" s="36" t="n">
        <v>0.2363636363636363</v>
      </c>
      <c r="Q442" s="36" t="n">
        <v>-0.1072210065645515</v>
      </c>
      <c r="R442" s="36" t="n">
        <v>0.03045916047886044</v>
      </c>
      <c r="S442" s="36" t="n">
        <v>0.04982374282749102</v>
      </c>
      <c r="T442" s="36" t="n">
        <v>0.05808671297236789</v>
      </c>
      <c r="U442" s="31" t="n">
        <v>38600</v>
      </c>
      <c r="V442" s="31" t="n">
        <v>16360</v>
      </c>
      <c r="W442" s="36" t="n">
        <v>-0.4715025906735751</v>
      </c>
      <c r="X442" s="36" t="n">
        <v>0.2469437652811737</v>
      </c>
      <c r="Y442" s="31" t="n">
        <v>28966714</v>
      </c>
      <c r="Z442" s="31" t="n">
        <v>590920965600</v>
      </c>
      <c r="AA442" s="31" t="n">
        <v>6819332400</v>
      </c>
      <c r="AB442" s="31" t="n">
        <v>6593428106.5</v>
      </c>
      <c r="AC442" s="36" t="n">
        <v>0.0115401767697917</v>
      </c>
      <c r="AD442" s="29" t="inlineStr">
        <is>
          <t>yfinance_download</t>
        </is>
      </c>
      <c r="AE442" s="29" t="inlineStr">
        <is>
          <t>319660.KQ</t>
        </is>
      </c>
    </row>
    <row r="443" ht="24" customHeight="1">
      <c r="A443" s="24" t="inlineStr">
        <is>
          <t>2025-04-02</t>
        </is>
      </c>
      <c r="B443" s="30" t="n">
        <v>20650</v>
      </c>
      <c r="C443" s="30" t="n">
        <v>20650</v>
      </c>
      <c r="D443" s="30" t="n">
        <v>19470</v>
      </c>
      <c r="E443" s="30" t="n">
        <v>19570</v>
      </c>
      <c r="F443" s="30" t="n">
        <v>19351.33984375</v>
      </c>
      <c r="G443" s="30" t="n">
        <v>324422</v>
      </c>
      <c r="H443" s="35" t="n">
        <v>-0.04068627450980389</v>
      </c>
      <c r="I443" s="35" t="n">
        <v>-0.4930051813471502</v>
      </c>
      <c r="J443" s="30" t="n">
        <v>19869.5</v>
      </c>
      <c r="K443" s="30" t="n">
        <v>19483</v>
      </c>
      <c r="L443" s="30" t="n">
        <v>19254</v>
      </c>
      <c r="M443" s="35" t="n">
        <v>0.5672991819660967</v>
      </c>
      <c r="N443" s="35" t="n">
        <v>0.6131784259502765</v>
      </c>
      <c r="O443" s="35" t="n">
        <v>0.08002207505518766</v>
      </c>
      <c r="P443" s="35" t="n">
        <v>0.186060606060606</v>
      </c>
      <c r="Q443" s="35" t="n">
        <v>-0.1378854625550661</v>
      </c>
      <c r="R443" s="35" t="n">
        <v>-0.01507335363245177</v>
      </c>
      <c r="S443" s="35" t="n">
        <v>0.004465431401734943</v>
      </c>
      <c r="T443" s="35" t="n">
        <v>0.01641217409369489</v>
      </c>
      <c r="U443" s="30" t="n">
        <v>38600</v>
      </c>
      <c r="V443" s="30" t="n">
        <v>16360</v>
      </c>
      <c r="W443" s="35" t="n">
        <v>-0.4930051813471502</v>
      </c>
      <c r="X443" s="35" t="n">
        <v>0.1962102689486553</v>
      </c>
      <c r="Y443" s="30" t="n">
        <v>28966714</v>
      </c>
      <c r="Z443" s="30" t="n">
        <v>566878592980</v>
      </c>
      <c r="AA443" s="30" t="n">
        <v>6348938540</v>
      </c>
      <c r="AB443" s="30" t="n">
        <v>6659100351.5</v>
      </c>
      <c r="AC443" s="35" t="n">
        <v>0.01119982059407912</v>
      </c>
      <c r="AD443" s="24" t="inlineStr">
        <is>
          <t>yfinance_download</t>
        </is>
      </c>
      <c r="AE443" s="24" t="inlineStr">
        <is>
          <t>319660.KQ</t>
        </is>
      </c>
    </row>
    <row r="444" ht="24" customHeight="1">
      <c r="A444" s="29" t="inlineStr">
        <is>
          <t>2025-04-03</t>
        </is>
      </c>
      <c r="B444" s="31" t="n">
        <v>18900</v>
      </c>
      <c r="C444" s="31" t="n">
        <v>19110</v>
      </c>
      <c r="D444" s="31" t="n">
        <v>18690</v>
      </c>
      <c r="E444" s="31" t="n">
        <v>18810</v>
      </c>
      <c r="F444" s="31" t="n">
        <v>18599.83203125</v>
      </c>
      <c r="G444" s="31" t="n">
        <v>233835</v>
      </c>
      <c r="H444" s="36" t="n">
        <v>-0.03883495145631066</v>
      </c>
      <c r="I444" s="36" t="n">
        <v>-0.5126943005181347</v>
      </c>
      <c r="J444" s="31" t="n">
        <v>19954.5</v>
      </c>
      <c r="K444" s="31" t="n">
        <v>19523.83333333333</v>
      </c>
      <c r="L444" s="31" t="n">
        <v>19220.33333333333</v>
      </c>
      <c r="M444" s="36" t="n">
        <v>0.5462914138755793</v>
      </c>
      <c r="N444" s="36" t="n">
        <v>0.6188556293563516</v>
      </c>
      <c r="O444" s="36" t="n">
        <v>0.0993571011104617</v>
      </c>
      <c r="P444" s="36" t="n">
        <v>0.1497555012224938</v>
      </c>
      <c r="Q444" s="36" t="n">
        <v>-0.1768052516411378</v>
      </c>
      <c r="R444" s="36" t="n">
        <v>-0.0573554837254755</v>
      </c>
      <c r="S444" s="36" t="n">
        <v>-0.03656215053396272</v>
      </c>
      <c r="T444" s="36" t="n">
        <v>-0.02134891867987021</v>
      </c>
      <c r="U444" s="31" t="n">
        <v>38600</v>
      </c>
      <c r="V444" s="31" t="n">
        <v>16360</v>
      </c>
      <c r="W444" s="36" t="n">
        <v>-0.5126943005181347</v>
      </c>
      <c r="X444" s="36" t="n">
        <v>0.1497555012224938</v>
      </c>
      <c r="Y444" s="31" t="n">
        <v>28966714</v>
      </c>
      <c r="Z444" s="31" t="n">
        <v>544863890340</v>
      </c>
      <c r="AA444" s="31" t="n">
        <v>4398436350</v>
      </c>
      <c r="AB444" s="31" t="n">
        <v>6413266581.5</v>
      </c>
      <c r="AC444" s="36" t="n">
        <v>0.008072541469494952</v>
      </c>
      <c r="AD444" s="29" t="inlineStr">
        <is>
          <t>yfinance_download</t>
        </is>
      </c>
      <c r="AE444" s="29" t="inlineStr">
        <is>
          <t>319660.KQ</t>
        </is>
      </c>
    </row>
    <row r="445" ht="24" customHeight="1">
      <c r="A445" s="24" t="inlineStr">
        <is>
          <t>2025-04-04</t>
        </is>
      </c>
      <c r="B445" s="30" t="n">
        <v>18400</v>
      </c>
      <c r="C445" s="30" t="n">
        <v>18740</v>
      </c>
      <c r="D445" s="30" t="n">
        <v>17500</v>
      </c>
      <c r="E445" s="30" t="n">
        <v>17960</v>
      </c>
      <c r="F445" s="30" t="n">
        <v>17759.330078125</v>
      </c>
      <c r="G445" s="30" t="n">
        <v>376468</v>
      </c>
      <c r="H445" s="35" t="n">
        <v>-0.04518872939925567</v>
      </c>
      <c r="I445" s="35" t="n">
        <v>-0.5347150259067357</v>
      </c>
      <c r="J445" s="30" t="n">
        <v>19982.5</v>
      </c>
      <c r="K445" s="30" t="n">
        <v>19533</v>
      </c>
      <c r="L445" s="30" t="n">
        <v>19177.08333333333</v>
      </c>
      <c r="M445" s="35" t="n">
        <v>0.5726192598693521</v>
      </c>
      <c r="N445" s="35" t="n">
        <v>0.6132886999542335</v>
      </c>
      <c r="O445" s="35" t="n">
        <v>0.03218390804597693</v>
      </c>
      <c r="P445" s="35" t="n">
        <v>0.03159103963239507</v>
      </c>
      <c r="Q445" s="35" t="n">
        <v>-0.2241900647948164</v>
      </c>
      <c r="R445" s="35" t="n">
        <v>-0.1012135618666333</v>
      </c>
      <c r="S445" s="35" t="n">
        <v>-0.08053038447755079</v>
      </c>
      <c r="T445" s="35" t="n">
        <v>-0.06346550787615424</v>
      </c>
      <c r="U445" s="30" t="n">
        <v>38600</v>
      </c>
      <c r="V445" s="30" t="n">
        <v>16360</v>
      </c>
      <c r="W445" s="35" t="n">
        <v>-0.5347150259067357</v>
      </c>
      <c r="X445" s="35" t="n">
        <v>0.09779951100244499</v>
      </c>
      <c r="Y445" s="30" t="n">
        <v>28966714</v>
      </c>
      <c r="Z445" s="30" t="n">
        <v>520242183440</v>
      </c>
      <c r="AA445" s="30" t="n">
        <v>6761365280</v>
      </c>
      <c r="AB445" s="30" t="n">
        <v>6512545945.5</v>
      </c>
      <c r="AC445" s="35" t="n">
        <v>0.01299657254875372</v>
      </c>
      <c r="AD445" s="24" t="inlineStr">
        <is>
          <t>yfinance_download</t>
        </is>
      </c>
      <c r="AE445" s="24" t="inlineStr">
        <is>
          <t>319660.KQ</t>
        </is>
      </c>
    </row>
    <row r="446" ht="24" customHeight="1">
      <c r="A446" s="29" t="inlineStr">
        <is>
          <t>2025-04-07</t>
        </is>
      </c>
      <c r="B446" s="31" t="n">
        <v>16970</v>
      </c>
      <c r="C446" s="31" t="n">
        <v>17480</v>
      </c>
      <c r="D446" s="31" t="n">
        <v>16880</v>
      </c>
      <c r="E446" s="31" t="n">
        <v>16890</v>
      </c>
      <c r="F446" s="31" t="n">
        <v>16701.28515625</v>
      </c>
      <c r="G446" s="31" t="n">
        <v>238324</v>
      </c>
      <c r="H446" s="36" t="n">
        <v>-0.05957683741648112</v>
      </c>
      <c r="I446" s="36" t="n">
        <v>-0.5624352331606217</v>
      </c>
      <c r="J446" s="31" t="n">
        <v>19949</v>
      </c>
      <c r="K446" s="31" t="n">
        <v>19496.66666666667</v>
      </c>
      <c r="L446" s="31" t="n">
        <v>19126.16666666667</v>
      </c>
      <c r="M446" s="36" t="n">
        <v>0.6121458742448884</v>
      </c>
      <c r="N446" s="36" t="n">
        <v>0.5936240294711422</v>
      </c>
      <c r="O446" s="36" t="n">
        <v>-0.03815489749430523</v>
      </c>
      <c r="P446" s="36" t="n">
        <v>-0.1143156790770844</v>
      </c>
      <c r="Q446" s="36" t="n">
        <v>-0.2656521739130435</v>
      </c>
      <c r="R446" s="36" t="n">
        <v>-0.1533410195999799</v>
      </c>
      <c r="S446" s="36" t="n">
        <v>-0.1336980680458199</v>
      </c>
      <c r="T446" s="36" t="n">
        <v>-0.1169166151084466</v>
      </c>
      <c r="U446" s="31" t="n">
        <v>38600</v>
      </c>
      <c r="V446" s="31" t="n">
        <v>16360</v>
      </c>
      <c r="W446" s="36" t="n">
        <v>-0.5624352331606217</v>
      </c>
      <c r="X446" s="36" t="n">
        <v>0.03239608801955995</v>
      </c>
      <c r="Y446" s="31" t="n">
        <v>28966714</v>
      </c>
      <c r="Z446" s="31" t="n">
        <v>489247799460</v>
      </c>
      <c r="AA446" s="31" t="n">
        <v>4025292360</v>
      </c>
      <c r="AB446" s="31" t="n">
        <v>6526464679.5</v>
      </c>
      <c r="AC446" s="36" t="n">
        <v>0.008227512447563088</v>
      </c>
      <c r="AD446" s="29" t="inlineStr">
        <is>
          <t>yfinance_download</t>
        </is>
      </c>
      <c r="AE446" s="29" t="inlineStr">
        <is>
          <t>319660.KQ</t>
        </is>
      </c>
    </row>
    <row r="447" ht="24" customHeight="1">
      <c r="A447" s="24" t="inlineStr">
        <is>
          <t>2025-04-08</t>
        </is>
      </c>
      <c r="B447" s="30" t="n">
        <v>17480</v>
      </c>
      <c r="C447" s="30" t="n">
        <v>17670</v>
      </c>
      <c r="D447" s="30" t="n">
        <v>16570</v>
      </c>
      <c r="E447" s="30" t="n">
        <v>16570</v>
      </c>
      <c r="F447" s="30" t="n">
        <v>16384.859375</v>
      </c>
      <c r="G447" s="30" t="n">
        <v>249894</v>
      </c>
      <c r="H447" s="35" t="n">
        <v>-0.01894612196566015</v>
      </c>
      <c r="I447" s="35" t="n">
        <v>-0.5707253886010363</v>
      </c>
      <c r="J447" s="30" t="n">
        <v>19904</v>
      </c>
      <c r="K447" s="30" t="n">
        <v>19463.83333333333</v>
      </c>
      <c r="L447" s="30" t="n">
        <v>19077.16666666667</v>
      </c>
      <c r="M447" s="35" t="n">
        <v>0.6152673351747266</v>
      </c>
      <c r="N447" s="35" t="n">
        <v>0.5922154643849235</v>
      </c>
      <c r="O447" s="35" t="n">
        <v>-0.05151688609044081</v>
      </c>
      <c r="P447" s="35" t="n">
        <v>-0.1062567421790723</v>
      </c>
      <c r="Q447" s="35" t="n">
        <v>-0.2619153674832962</v>
      </c>
      <c r="R447" s="35" t="n">
        <v>-0.1675040192926045</v>
      </c>
      <c r="S447" s="35" t="n">
        <v>-0.1486774616168449</v>
      </c>
      <c r="T447" s="35" t="n">
        <v>-0.131422381031425</v>
      </c>
      <c r="U447" s="30" t="n">
        <v>38600</v>
      </c>
      <c r="V447" s="30" t="n">
        <v>16360</v>
      </c>
      <c r="W447" s="35" t="n">
        <v>-0.5707253886010363</v>
      </c>
      <c r="X447" s="35" t="n">
        <v>0.01283618581907087</v>
      </c>
      <c r="Y447" s="30" t="n">
        <v>28966714</v>
      </c>
      <c r="Z447" s="30" t="n">
        <v>479978450980</v>
      </c>
      <c r="AA447" s="30" t="n">
        <v>4140743580</v>
      </c>
      <c r="AB447" s="30" t="n">
        <v>6564623736</v>
      </c>
      <c r="AC447" s="35" t="n">
        <v>0.0086269364208864</v>
      </c>
      <c r="AD447" s="24" t="inlineStr">
        <is>
          <t>yfinance_download</t>
        </is>
      </c>
      <c r="AE447" s="24" t="inlineStr">
        <is>
          <t>319660.KQ</t>
        </is>
      </c>
    </row>
    <row r="448" ht="24" customHeight="1">
      <c r="A448" s="29" t="inlineStr">
        <is>
          <t>2025-04-09</t>
        </is>
      </c>
      <c r="B448" s="31" t="n">
        <v>16500</v>
      </c>
      <c r="C448" s="31" t="n">
        <v>17150</v>
      </c>
      <c r="D448" s="31" t="n">
        <v>16280</v>
      </c>
      <c r="E448" s="31" t="n">
        <v>16700</v>
      </c>
      <c r="F448" s="31" t="n">
        <v>16513.408203125</v>
      </c>
      <c r="G448" s="31" t="n">
        <v>186888</v>
      </c>
      <c r="H448" s="36" t="n">
        <v>0.007845503922751851</v>
      </c>
      <c r="I448" s="36" t="n">
        <v>-0.5673575129533679</v>
      </c>
      <c r="J448" s="31" t="n">
        <v>19816.5</v>
      </c>
      <c r="K448" s="31" t="n">
        <v>19417.16666666667</v>
      </c>
      <c r="L448" s="31" t="n">
        <v>19027.16666666667</v>
      </c>
      <c r="M448" s="36" t="n">
        <v>0.5775975830735739</v>
      </c>
      <c r="N448" s="36" t="n">
        <v>0.582190384195983</v>
      </c>
      <c r="O448" s="36" t="n">
        <v>-0.09485094850948506</v>
      </c>
      <c r="P448" s="36" t="n">
        <v>-0.1435897435897436</v>
      </c>
      <c r="Q448" s="36" t="n">
        <v>-0.26431718061674</v>
      </c>
      <c r="R448" s="36" t="n">
        <v>-0.1572679332879167</v>
      </c>
      <c r="S448" s="36" t="n">
        <v>-0.1399363106529447</v>
      </c>
      <c r="T448" s="36" t="n">
        <v>-0.1223075777616216</v>
      </c>
      <c r="U448" s="31" t="n">
        <v>38600</v>
      </c>
      <c r="V448" s="31" t="n">
        <v>16360</v>
      </c>
      <c r="W448" s="36" t="n">
        <v>-0.5673575129533679</v>
      </c>
      <c r="X448" s="36" t="n">
        <v>0.02078239608801957</v>
      </c>
      <c r="Y448" s="31" t="n">
        <v>28966714</v>
      </c>
      <c r="Z448" s="31" t="n">
        <v>483744123800</v>
      </c>
      <c r="AA448" s="31" t="n">
        <v>3121029600</v>
      </c>
      <c r="AB448" s="31" t="n">
        <v>6412562061</v>
      </c>
      <c r="AC448" s="36" t="n">
        <v>0.00645181914662464</v>
      </c>
      <c r="AD448" s="29" t="inlineStr">
        <is>
          <t>yfinance_download</t>
        </is>
      </c>
      <c r="AE448" s="29" t="inlineStr">
        <is>
          <t>319660.KQ</t>
        </is>
      </c>
    </row>
    <row r="449" ht="24" customHeight="1">
      <c r="A449" s="24" t="inlineStr">
        <is>
          <t>2025-04-10</t>
        </is>
      </c>
      <c r="B449" s="30" t="n">
        <v>18110</v>
      </c>
      <c r="C449" s="30" t="n">
        <v>18180</v>
      </c>
      <c r="D449" s="30" t="n">
        <v>17310</v>
      </c>
      <c r="E449" s="30" t="n">
        <v>17720</v>
      </c>
      <c r="F449" s="30" t="n">
        <v>17522.01171875</v>
      </c>
      <c r="G449" s="30" t="n">
        <v>298821</v>
      </c>
      <c r="H449" s="35" t="n">
        <v>0.06107784431137731</v>
      </c>
      <c r="I449" s="35" t="n">
        <v>-0.5409326424870466</v>
      </c>
      <c r="J449" s="30" t="n">
        <v>19785.5</v>
      </c>
      <c r="K449" s="30" t="n">
        <v>19395.66666666667</v>
      </c>
      <c r="L449" s="30" t="n">
        <v>18975.25</v>
      </c>
      <c r="M449" s="35" t="n">
        <v>0.6223897461773549</v>
      </c>
      <c r="N449" s="35" t="n">
        <v>0.5941970901192568</v>
      </c>
      <c r="O449" s="35" t="n">
        <v>-0.03380588876772084</v>
      </c>
      <c r="P449" s="35" t="n">
        <v>-0.06785902156759605</v>
      </c>
      <c r="Q449" s="35" t="n">
        <v>-0.2601252609603341</v>
      </c>
      <c r="R449" s="35" t="n">
        <v>-0.1043946324328422</v>
      </c>
      <c r="S449" s="35" t="n">
        <v>-0.08639386804612725</v>
      </c>
      <c r="T449" s="35" t="n">
        <v>-0.06615196110723176</v>
      </c>
      <c r="U449" s="30" t="n">
        <v>38600</v>
      </c>
      <c r="V449" s="30" t="n">
        <v>16360</v>
      </c>
      <c r="W449" s="35" t="n">
        <v>-0.5409326424870466</v>
      </c>
      <c r="X449" s="35" t="n">
        <v>0.08312958435207829</v>
      </c>
      <c r="Y449" s="30" t="n">
        <v>28966714</v>
      </c>
      <c r="Z449" s="30" t="n">
        <v>513290172080</v>
      </c>
      <c r="AA449" s="30" t="n">
        <v>5295108120</v>
      </c>
      <c r="AB449" s="30" t="n">
        <v>6437585240</v>
      </c>
      <c r="AC449" s="35" t="n">
        <v>0.01031601306244126</v>
      </c>
      <c r="AD449" s="24" t="inlineStr">
        <is>
          <t>yfinance_download</t>
        </is>
      </c>
      <c r="AE449" s="24" t="inlineStr">
        <is>
          <t>319660.KQ</t>
        </is>
      </c>
    </row>
    <row r="450" ht="24" customHeight="1">
      <c r="A450" s="29" t="inlineStr">
        <is>
          <t>2025-04-11</t>
        </is>
      </c>
      <c r="B450" s="31" t="n">
        <v>17310</v>
      </c>
      <c r="C450" s="31" t="n">
        <v>17900</v>
      </c>
      <c r="D450" s="31" t="n">
        <v>17050</v>
      </c>
      <c r="E450" s="31" t="n">
        <v>17690</v>
      </c>
      <c r="F450" s="31" t="n">
        <v>17492.345703125</v>
      </c>
      <c r="G450" s="31" t="n">
        <v>159616</v>
      </c>
      <c r="H450" s="36" t="n">
        <v>-0.001693002257336373</v>
      </c>
      <c r="I450" s="36" t="n">
        <v>-0.5417098445595855</v>
      </c>
      <c r="J450" s="31" t="n">
        <v>19709.5</v>
      </c>
      <c r="K450" s="31" t="n">
        <v>19375.5</v>
      </c>
      <c r="L450" s="31" t="n">
        <v>18920.58333333333</v>
      </c>
      <c r="M450" s="36" t="n">
        <v>0.59554042543161</v>
      </c>
      <c r="N450" s="36" t="n">
        <v>0.59410037615267</v>
      </c>
      <c r="O450" s="36" t="n">
        <v>-0.07912545549193128</v>
      </c>
      <c r="P450" s="36" t="n">
        <v>-0.06402116402116398</v>
      </c>
      <c r="Q450" s="36" t="n">
        <v>-0.2705154639175258</v>
      </c>
      <c r="R450" s="36" t="n">
        <v>-0.1024632791293538</v>
      </c>
      <c r="S450" s="36" t="n">
        <v>-0.08699130345023354</v>
      </c>
      <c r="T450" s="36" t="n">
        <v>-0.06503939712922868</v>
      </c>
      <c r="U450" s="31" t="n">
        <v>38600</v>
      </c>
      <c r="V450" s="31" t="n">
        <v>16360</v>
      </c>
      <c r="W450" s="36" t="n">
        <v>-0.5417098445595855</v>
      </c>
      <c r="X450" s="36" t="n">
        <v>0.08129584352078245</v>
      </c>
      <c r="Y450" s="31" t="n">
        <v>28966714</v>
      </c>
      <c r="Z450" s="31" t="n">
        <v>512421170660</v>
      </c>
      <c r="AA450" s="31" t="n">
        <v>2823607040</v>
      </c>
      <c r="AB450" s="31" t="n">
        <v>6241847165</v>
      </c>
      <c r="AC450" s="36" t="n">
        <v>0.005510324712703001</v>
      </c>
      <c r="AD450" s="29" t="inlineStr">
        <is>
          <t>yfinance_download</t>
        </is>
      </c>
      <c r="AE450" s="29" t="inlineStr">
        <is>
          <t>319660.KQ</t>
        </is>
      </c>
    </row>
    <row r="451" ht="24" customHeight="1">
      <c r="A451" s="24" t="inlineStr">
        <is>
          <t>2025-04-14</t>
        </is>
      </c>
      <c r="B451" s="30" t="n">
        <v>18050</v>
      </c>
      <c r="C451" s="30" t="n">
        <v>18450</v>
      </c>
      <c r="D451" s="30" t="n">
        <v>17800</v>
      </c>
      <c r="E451" s="30" t="n">
        <v>18040</v>
      </c>
      <c r="F451" s="30" t="n">
        <v>17838.435546875</v>
      </c>
      <c r="G451" s="30" t="n">
        <v>193408</v>
      </c>
      <c r="H451" s="35" t="n">
        <v>0.01978518937252693</v>
      </c>
      <c r="I451" s="35" t="n">
        <v>-0.5326424870466322</v>
      </c>
      <c r="J451" s="30" t="n">
        <v>19620.5</v>
      </c>
      <c r="K451" s="30" t="n">
        <v>19372.83333333333</v>
      </c>
      <c r="L451" s="30" t="n">
        <v>18880.5</v>
      </c>
      <c r="M451" s="35" t="n">
        <v>0.5876197274297554</v>
      </c>
      <c r="N451" s="35" t="n">
        <v>0.5905436422518243</v>
      </c>
      <c r="O451" s="35" t="n">
        <v>-0.0898082744702321</v>
      </c>
      <c r="P451" s="35" t="n">
        <v>-0.00879120879120876</v>
      </c>
      <c r="Q451" s="35" t="n">
        <v>-0.2105032822757111</v>
      </c>
      <c r="R451" s="35" t="n">
        <v>-0.08055350271399808</v>
      </c>
      <c r="S451" s="35" t="n">
        <v>-0.0687990915113087</v>
      </c>
      <c r="T451" s="35" t="n">
        <v>-0.0445168295331162</v>
      </c>
      <c r="U451" s="30" t="n">
        <v>38600</v>
      </c>
      <c r="V451" s="30" t="n">
        <v>16360</v>
      </c>
      <c r="W451" s="35" t="n">
        <v>-0.5326424870466322</v>
      </c>
      <c r="X451" s="35" t="n">
        <v>0.1026894865525672</v>
      </c>
      <c r="Y451" s="30" t="n">
        <v>28966714</v>
      </c>
      <c r="Z451" s="30" t="n">
        <v>522559520560</v>
      </c>
      <c r="AA451" s="30" t="n">
        <v>3489080320</v>
      </c>
      <c r="AB451" s="30" t="n">
        <v>6114611051</v>
      </c>
      <c r="AC451" s="35" t="n">
        <v>0.006676905084919194</v>
      </c>
      <c r="AD451" s="24" t="inlineStr">
        <is>
          <t>yfinance_download</t>
        </is>
      </c>
      <c r="AE451" s="24" t="inlineStr">
        <is>
          <t>319660.KQ</t>
        </is>
      </c>
    </row>
    <row r="452" ht="24" customHeight="1">
      <c r="A452" s="29" t="inlineStr">
        <is>
          <t>2025-04-15</t>
        </is>
      </c>
      <c r="B452" s="31" t="n">
        <v>18000</v>
      </c>
      <c r="C452" s="31" t="n">
        <v>18220</v>
      </c>
      <c r="D452" s="31" t="n">
        <v>17800</v>
      </c>
      <c r="E452" s="31" t="n">
        <v>17950</v>
      </c>
      <c r="F452" s="31" t="n">
        <v>17749.44140625</v>
      </c>
      <c r="G452" s="31" t="n">
        <v>242984</v>
      </c>
      <c r="H452" s="36" t="n">
        <v>-0.004988913525498906</v>
      </c>
      <c r="I452" s="36" t="n">
        <v>-0.5349740932642487</v>
      </c>
      <c r="J452" s="31" t="n">
        <v>19525</v>
      </c>
      <c r="K452" s="31" t="n">
        <v>19364.66666666667</v>
      </c>
      <c r="L452" s="31" t="n">
        <v>18844.66666666667</v>
      </c>
      <c r="M452" s="36" t="n">
        <v>0.5871868472701369</v>
      </c>
      <c r="N452" s="36" t="n">
        <v>0.5900541032416987</v>
      </c>
      <c r="O452" s="36" t="n">
        <v>-0.09617321248741184</v>
      </c>
      <c r="P452" s="36" t="n">
        <v>-0.02657266811279824</v>
      </c>
      <c r="Q452" s="36" t="n">
        <v>-0.1932584269662921</v>
      </c>
      <c r="R452" s="36" t="n">
        <v>-0.08066581306017928</v>
      </c>
      <c r="S452" s="36" t="n">
        <v>-0.07305401590525706</v>
      </c>
      <c r="T452" s="36" t="n">
        <v>-0.04747585523755626</v>
      </c>
      <c r="U452" s="31" t="n">
        <v>38600</v>
      </c>
      <c r="V452" s="31" t="n">
        <v>16360</v>
      </c>
      <c r="W452" s="36" t="n">
        <v>-0.5349740932642487</v>
      </c>
      <c r="X452" s="36" t="n">
        <v>0.09718826405867964</v>
      </c>
      <c r="Y452" s="31" t="n">
        <v>28966714</v>
      </c>
      <c r="Z452" s="31" t="n">
        <v>519952516300</v>
      </c>
      <c r="AA452" s="31" t="n">
        <v>4361562800</v>
      </c>
      <c r="AB452" s="31" t="n">
        <v>6054373137</v>
      </c>
      <c r="AC452" s="36" t="n">
        <v>0.008388386753153983</v>
      </c>
      <c r="AD452" s="29" t="inlineStr">
        <is>
          <t>yfinance_download</t>
        </is>
      </c>
      <c r="AE452" s="29" t="inlineStr">
        <is>
          <t>319660.KQ</t>
        </is>
      </c>
    </row>
    <row r="453" ht="24" customHeight="1">
      <c r="A453" s="24" t="inlineStr">
        <is>
          <t>2025-04-16</t>
        </is>
      </c>
      <c r="B453" s="30" t="n">
        <v>17770</v>
      </c>
      <c r="C453" s="30" t="n">
        <v>17780</v>
      </c>
      <c r="D453" s="30" t="n">
        <v>17230</v>
      </c>
      <c r="E453" s="30" t="n">
        <v>17240</v>
      </c>
      <c r="F453" s="30" t="n">
        <v>17047.375</v>
      </c>
      <c r="G453" s="30" t="n">
        <v>185179</v>
      </c>
      <c r="H453" s="35" t="n">
        <v>-0.0395543175487465</v>
      </c>
      <c r="I453" s="35" t="n">
        <v>-0.5533678756476683</v>
      </c>
      <c r="J453" s="30" t="n">
        <v>19327</v>
      </c>
      <c r="K453" s="30" t="n">
        <v>19342.66666666667</v>
      </c>
      <c r="L453" s="30" t="n">
        <v>18811.66666666667</v>
      </c>
      <c r="M453" s="35" t="n">
        <v>0.5339290647994775</v>
      </c>
      <c r="N453" s="35" t="n">
        <v>0.5954854896084493</v>
      </c>
      <c r="O453" s="35" t="n">
        <v>-0.1867924528301886</v>
      </c>
      <c r="P453" s="35" t="n">
        <v>-0.07112068965517238</v>
      </c>
      <c r="Q453" s="35" t="n">
        <v>-0.1867924528301886</v>
      </c>
      <c r="R453" s="35" t="n">
        <v>-0.1079836498163191</v>
      </c>
      <c r="S453" s="35" t="n">
        <v>-0.1087061418625491</v>
      </c>
      <c r="T453" s="35" t="n">
        <v>-0.08354744396208036</v>
      </c>
      <c r="U453" s="30" t="n">
        <v>38600</v>
      </c>
      <c r="V453" s="30" t="n">
        <v>16360</v>
      </c>
      <c r="W453" s="35" t="n">
        <v>-0.5533678756476683</v>
      </c>
      <c r="X453" s="35" t="n">
        <v>0.05378973105134466</v>
      </c>
      <c r="Y453" s="30" t="n">
        <v>28966714</v>
      </c>
      <c r="Z453" s="30" t="n">
        <v>499386149360</v>
      </c>
      <c r="AA453" s="30" t="n">
        <v>3192485960</v>
      </c>
      <c r="AB453" s="30" t="n">
        <v>5678270255</v>
      </c>
      <c r="AC453" s="35" t="n">
        <v>0.006392820393780255</v>
      </c>
      <c r="AD453" s="24" t="inlineStr">
        <is>
          <t>yfinance_download</t>
        </is>
      </c>
      <c r="AE453" s="24" t="inlineStr">
        <is>
          <t>319660.KQ</t>
        </is>
      </c>
    </row>
    <row r="454" ht="24" customHeight="1">
      <c r="A454" s="29" t="inlineStr">
        <is>
          <t>2025-04-17</t>
        </is>
      </c>
      <c r="B454" s="31" t="n">
        <v>17030</v>
      </c>
      <c r="C454" s="31" t="n">
        <v>17560</v>
      </c>
      <c r="D454" s="31" t="n">
        <v>17030</v>
      </c>
      <c r="E454" s="31" t="n">
        <v>17560</v>
      </c>
      <c r="F454" s="31" t="n">
        <v>17363.798828125</v>
      </c>
      <c r="G454" s="31" t="n">
        <v>201323</v>
      </c>
      <c r="H454" s="36" t="n">
        <v>0.01856148491879361</v>
      </c>
      <c r="I454" s="36" t="n">
        <v>-0.5450777202072539</v>
      </c>
      <c r="J454" s="31" t="n">
        <v>19137.5</v>
      </c>
      <c r="K454" s="31" t="n">
        <v>19321.66666666667</v>
      </c>
      <c r="L454" s="31" t="n">
        <v>18781.33333333333</v>
      </c>
      <c r="M454" s="36" t="n">
        <v>0.5402483874709838</v>
      </c>
      <c r="N454" s="36" t="n">
        <v>0.5960335203645127</v>
      </c>
      <c r="O454" s="36" t="n">
        <v>-0.1775175644028103</v>
      </c>
      <c r="P454" s="36" t="n">
        <v>-0.06695005313496283</v>
      </c>
      <c r="Q454" s="36" t="n">
        <v>-0.1716981132075471</v>
      </c>
      <c r="R454" s="36" t="n">
        <v>-0.0824297844546048</v>
      </c>
      <c r="S454" s="36" t="n">
        <v>-0.09117570947985865</v>
      </c>
      <c r="T454" s="36" t="n">
        <v>-0.06502910691466701</v>
      </c>
      <c r="U454" s="31" t="n">
        <v>38600</v>
      </c>
      <c r="V454" s="31" t="n">
        <v>16360</v>
      </c>
      <c r="W454" s="36" t="n">
        <v>-0.5450777202072539</v>
      </c>
      <c r="X454" s="36" t="n">
        <v>0.07334963325183375</v>
      </c>
      <c r="Y454" s="31" t="n">
        <v>28966714</v>
      </c>
      <c r="Z454" s="31" t="n">
        <v>508655497840</v>
      </c>
      <c r="AA454" s="31" t="n">
        <v>3535231880</v>
      </c>
      <c r="AB454" s="31" t="n">
        <v>5472292534</v>
      </c>
      <c r="AC454" s="36" t="n">
        <v>0.006950149747741494</v>
      </c>
      <c r="AD454" s="29" t="inlineStr">
        <is>
          <t>yfinance_download</t>
        </is>
      </c>
      <c r="AE454" s="29" t="inlineStr">
        <is>
          <t>319660.KQ</t>
        </is>
      </c>
    </row>
    <row r="455" ht="24" customHeight="1">
      <c r="A455" s="24" t="inlineStr">
        <is>
          <t>2025-04-18</t>
        </is>
      </c>
      <c r="B455" s="30" t="n">
        <v>17480</v>
      </c>
      <c r="C455" s="30" t="n">
        <v>17740</v>
      </c>
      <c r="D455" s="30" t="n">
        <v>17280</v>
      </c>
      <c r="E455" s="30" t="n">
        <v>17720</v>
      </c>
      <c r="F455" s="30" t="n">
        <v>17522.01171875</v>
      </c>
      <c r="G455" s="30" t="n">
        <v>96322</v>
      </c>
      <c r="H455" s="35" t="n">
        <v>0.009111617312072884</v>
      </c>
      <c r="I455" s="35" t="n">
        <v>-0.5409326424870466</v>
      </c>
      <c r="J455" s="30" t="n">
        <v>18956</v>
      </c>
      <c r="K455" s="30" t="n">
        <v>19300.33333333333</v>
      </c>
      <c r="L455" s="30" t="n">
        <v>18757.33333333333</v>
      </c>
      <c r="M455" s="35" t="n">
        <v>0.5432601876226794</v>
      </c>
      <c r="N455" s="35" t="n">
        <v>0.5960017021245223</v>
      </c>
      <c r="O455" s="35" t="n">
        <v>-0.1700234192037471</v>
      </c>
      <c r="P455" s="35" t="n">
        <v>-0.06736842105263163</v>
      </c>
      <c r="Q455" s="35" t="n">
        <v>-0.1398058252427185</v>
      </c>
      <c r="R455" s="35" t="n">
        <v>-0.06520362945769154</v>
      </c>
      <c r="S455" s="35" t="n">
        <v>-0.08188114194918905</v>
      </c>
      <c r="T455" s="35" t="n">
        <v>-0.05530281489906164</v>
      </c>
      <c r="U455" s="30" t="n">
        <v>38600</v>
      </c>
      <c r="V455" s="30" t="n">
        <v>16360</v>
      </c>
      <c r="W455" s="35" t="n">
        <v>-0.5409326424870466</v>
      </c>
      <c r="X455" s="35" t="n">
        <v>0.08312958435207829</v>
      </c>
      <c r="Y455" s="30" t="n">
        <v>28966714</v>
      </c>
      <c r="Z455" s="30" t="n">
        <v>513290172080</v>
      </c>
      <c r="AA455" s="30" t="n">
        <v>1706825840</v>
      </c>
      <c r="AB455" s="30" t="n">
        <v>5114721671</v>
      </c>
      <c r="AC455" s="35" t="n">
        <v>0.003325264992087124</v>
      </c>
      <c r="AD455" s="24" t="inlineStr">
        <is>
          <t>yfinance_download</t>
        </is>
      </c>
      <c r="AE455" s="24" t="inlineStr">
        <is>
          <t>319660.KQ</t>
        </is>
      </c>
    </row>
    <row r="456" ht="24" customHeight="1">
      <c r="A456" s="29" t="inlineStr">
        <is>
          <t>2025-04-21</t>
        </is>
      </c>
      <c r="B456" s="31" t="n">
        <v>17750</v>
      </c>
      <c r="C456" s="31" t="n">
        <v>18710</v>
      </c>
      <c r="D456" s="31" t="n">
        <v>17640</v>
      </c>
      <c r="E456" s="31" t="n">
        <v>18430</v>
      </c>
      <c r="F456" s="31" t="n">
        <v>18224.078125</v>
      </c>
      <c r="G456" s="31" t="n">
        <v>364184</v>
      </c>
      <c r="H456" s="36" t="n">
        <v>0.04006772009029347</v>
      </c>
      <c r="I456" s="36" t="n">
        <v>-0.5225388601036269</v>
      </c>
      <c r="J456" s="31" t="n">
        <v>18770</v>
      </c>
      <c r="K456" s="31" t="n">
        <v>19290.83333333333</v>
      </c>
      <c r="L456" s="31" t="n">
        <v>18735.08333333333</v>
      </c>
      <c r="M456" s="36" t="n">
        <v>0.5462586321000087</v>
      </c>
      <c r="N456" s="36" t="n">
        <v>0.6017666677370418</v>
      </c>
      <c r="O456" s="36" t="n">
        <v>-0.1679458239277652</v>
      </c>
      <c r="P456" s="36" t="n">
        <v>-0.03000000000000003</v>
      </c>
      <c r="Q456" s="36" t="n">
        <v>-0.1265402843601896</v>
      </c>
      <c r="R456" s="36" t="n">
        <v>-0.01811401172083116</v>
      </c>
      <c r="S456" s="36" t="n">
        <v>-0.04462395783835149</v>
      </c>
      <c r="T456" s="36" t="n">
        <v>-0.01628406599027665</v>
      </c>
      <c r="U456" s="31" t="n">
        <v>38600</v>
      </c>
      <c r="V456" s="31" t="n">
        <v>16360</v>
      </c>
      <c r="W456" s="36" t="n">
        <v>-0.5225388601036269</v>
      </c>
      <c r="X456" s="36" t="n">
        <v>0.1265281173594133</v>
      </c>
      <c r="Y456" s="31" t="n">
        <v>28966714</v>
      </c>
      <c r="Z456" s="31" t="n">
        <v>533856539020</v>
      </c>
      <c r="AA456" s="31" t="n">
        <v>6711911120</v>
      </c>
      <c r="AB456" s="31" t="n">
        <v>4787565969.5</v>
      </c>
      <c r="AC456" s="36" t="n">
        <v>0.01257249959384416</v>
      </c>
      <c r="AD456" s="29" t="inlineStr">
        <is>
          <t>yfinance_download</t>
        </is>
      </c>
      <c r="AE456" s="29" t="inlineStr">
        <is>
          <t>319660.KQ</t>
        </is>
      </c>
    </row>
    <row r="457" ht="24" customHeight="1">
      <c r="A457" s="24" t="inlineStr">
        <is>
          <t>2025-04-22</t>
        </is>
      </c>
      <c r="B457" s="30" t="n">
        <v>18280</v>
      </c>
      <c r="C457" s="30" t="n">
        <v>18400</v>
      </c>
      <c r="D457" s="30" t="n">
        <v>18000</v>
      </c>
      <c r="E457" s="30" t="n">
        <v>18020</v>
      </c>
      <c r="F457" s="30" t="n">
        <v>17818.658203125</v>
      </c>
      <c r="G457" s="30" t="n">
        <v>175780</v>
      </c>
      <c r="H457" s="35" t="n">
        <v>-0.02224633749321758</v>
      </c>
      <c r="I457" s="35" t="n">
        <v>-0.533160621761658</v>
      </c>
      <c r="J457" s="30" t="n">
        <v>18611</v>
      </c>
      <c r="K457" s="30" t="n">
        <v>19272.83333333333</v>
      </c>
      <c r="L457" s="30" t="n">
        <v>18714.41666666667</v>
      </c>
      <c r="M457" s="35" t="n">
        <v>0.5338398655701498</v>
      </c>
      <c r="N457" s="35" t="n">
        <v>0.6034154685414177</v>
      </c>
      <c r="O457" s="35" t="n">
        <v>-0.15</v>
      </c>
      <c r="P457" s="35" t="n">
        <v>-0.05654450261780108</v>
      </c>
      <c r="Q457" s="35" t="n">
        <v>-0.1209756097560976</v>
      </c>
      <c r="R457" s="35" t="n">
        <v>-0.03175541346515498</v>
      </c>
      <c r="S457" s="35" t="n">
        <v>-0.06500514541193558</v>
      </c>
      <c r="T457" s="35" t="n">
        <v>-0.03710597444928831</v>
      </c>
      <c r="U457" s="30" t="n">
        <v>38600</v>
      </c>
      <c r="V457" s="30" t="n">
        <v>16360</v>
      </c>
      <c r="W457" s="35" t="n">
        <v>-0.533160621761658</v>
      </c>
      <c r="X457" s="35" t="n">
        <v>0.1014669926650367</v>
      </c>
      <c r="Y457" s="30" t="n">
        <v>28966714</v>
      </c>
      <c r="Z457" s="30" t="n">
        <v>521980186280</v>
      </c>
      <c r="AA457" s="30" t="n">
        <v>3167555600</v>
      </c>
      <c r="AB457" s="30" t="n">
        <v>4556730829.5</v>
      </c>
      <c r="AC457" s="35" t="n">
        <v>0.006068344514327721</v>
      </c>
      <c r="AD457" s="24" t="inlineStr">
        <is>
          <t>yfinance_download</t>
        </is>
      </c>
      <c r="AE457" s="24" t="inlineStr">
        <is>
          <t>319660.KQ</t>
        </is>
      </c>
    </row>
    <row r="458" ht="24" customHeight="1">
      <c r="A458" s="29" t="inlineStr">
        <is>
          <t>2025-04-23</t>
        </is>
      </c>
      <c r="B458" s="31" t="n">
        <v>18490</v>
      </c>
      <c r="C458" s="31" t="n">
        <v>18800</v>
      </c>
      <c r="D458" s="31" t="n">
        <v>18200</v>
      </c>
      <c r="E458" s="31" t="n">
        <v>18700</v>
      </c>
      <c r="F458" s="31" t="n">
        <v>18491.060546875</v>
      </c>
      <c r="G458" s="31" t="n">
        <v>278378</v>
      </c>
      <c r="H458" s="36" t="n">
        <v>0.03773584905660377</v>
      </c>
      <c r="I458" s="36" t="n">
        <v>-0.5155440414507773</v>
      </c>
      <c r="J458" s="31" t="n">
        <v>18438.5</v>
      </c>
      <c r="K458" s="31" t="n">
        <v>19242.83333333333</v>
      </c>
      <c r="L458" s="31" t="n">
        <v>18701.5</v>
      </c>
      <c r="M458" s="36" t="n">
        <v>0.525154414476673</v>
      </c>
      <c r="N458" s="36" t="n">
        <v>0.5891300594855921</v>
      </c>
      <c r="O458" s="36" t="n">
        <v>-0.1557562076749436</v>
      </c>
      <c r="P458" s="36" t="n">
        <v>-0.08780487804878045</v>
      </c>
      <c r="Q458" s="36" t="n">
        <v>-0.07654320987654317</v>
      </c>
      <c r="R458" s="36" t="n">
        <v>0.01418228163896185</v>
      </c>
      <c r="S458" s="36" t="n">
        <v>-0.02820963648804309</v>
      </c>
      <c r="T458" s="36" t="n">
        <v>-8.020746998904649e-05</v>
      </c>
      <c r="U458" s="31" t="n">
        <v>38600</v>
      </c>
      <c r="V458" s="31" t="n">
        <v>16360</v>
      </c>
      <c r="W458" s="36" t="n">
        <v>-0.5155440414507773</v>
      </c>
      <c r="X458" s="36" t="n">
        <v>0.1430317848410758</v>
      </c>
      <c r="Y458" s="31" t="n">
        <v>28966714</v>
      </c>
      <c r="Z458" s="31" t="n">
        <v>541677551800</v>
      </c>
      <c r="AA458" s="31" t="n">
        <v>5205668600</v>
      </c>
      <c r="AB458" s="31" t="n">
        <v>4486464272</v>
      </c>
      <c r="AC458" s="36" t="n">
        <v>0.009610271983214942</v>
      </c>
      <c r="AD458" s="29" t="inlineStr">
        <is>
          <t>yfinance_download</t>
        </is>
      </c>
      <c r="AE458" s="29" t="inlineStr">
        <is>
          <t>319660.KQ</t>
        </is>
      </c>
    </row>
    <row r="459" ht="24" customHeight="1">
      <c r="A459" s="24" t="inlineStr">
        <is>
          <t>2025-04-24</t>
        </is>
      </c>
      <c r="B459" s="30" t="n">
        <v>18800</v>
      </c>
      <c r="C459" s="30" t="n">
        <v>19000</v>
      </c>
      <c r="D459" s="30" t="n">
        <v>18450</v>
      </c>
      <c r="E459" s="30" t="n">
        <v>18620</v>
      </c>
      <c r="F459" s="30" t="n">
        <v>18411.955078125</v>
      </c>
      <c r="G459" s="30" t="n">
        <v>170293</v>
      </c>
      <c r="H459" s="35" t="n">
        <v>-0.004278074866310155</v>
      </c>
      <c r="I459" s="35" t="n">
        <v>-0.5176165803108808</v>
      </c>
      <c r="J459" s="30" t="n">
        <v>18287</v>
      </c>
      <c r="K459" s="30" t="n">
        <v>19221.5</v>
      </c>
      <c r="L459" s="30" t="n">
        <v>18685</v>
      </c>
      <c r="M459" s="35" t="n">
        <v>0.522387093931907</v>
      </c>
      <c r="N459" s="35" t="n">
        <v>0.5862014918721802</v>
      </c>
      <c r="O459" s="35" t="n">
        <v>-0.1399538106235566</v>
      </c>
      <c r="P459" s="35" t="n">
        <v>-0.06432160804020104</v>
      </c>
      <c r="Q459" s="35" t="n">
        <v>-0.09611650485436896</v>
      </c>
      <c r="R459" s="35" t="n">
        <v>0.01820965713348288</v>
      </c>
      <c r="S459" s="35" t="n">
        <v>-0.03129308326613423</v>
      </c>
      <c r="T459" s="35" t="n">
        <v>-0.003478726251003428</v>
      </c>
      <c r="U459" s="30" t="n">
        <v>38600</v>
      </c>
      <c r="V459" s="30" t="n">
        <v>16360</v>
      </c>
      <c r="W459" s="35" t="n">
        <v>-0.5176165803108808</v>
      </c>
      <c r="X459" s="35" t="n">
        <v>0.1381418092909537</v>
      </c>
      <c r="Y459" s="30" t="n">
        <v>28966714</v>
      </c>
      <c r="Z459" s="30" t="n">
        <v>539360214680</v>
      </c>
      <c r="AA459" s="30" t="n">
        <v>3170855660</v>
      </c>
      <c r="AB459" s="30" t="n">
        <v>4484722362.5</v>
      </c>
      <c r="AC459" s="35" t="n">
        <v>0.005878920197851921</v>
      </c>
      <c r="AD459" s="24" t="inlineStr">
        <is>
          <t>yfinance_download</t>
        </is>
      </c>
      <c r="AE459" s="24" t="inlineStr">
        <is>
          <t>319660.KQ</t>
        </is>
      </c>
    </row>
    <row r="460" ht="24" customHeight="1">
      <c r="A460" s="29" t="inlineStr">
        <is>
          <t>2025-04-25</t>
        </is>
      </c>
      <c r="B460" s="31" t="n">
        <v>18960</v>
      </c>
      <c r="C460" s="31" t="n">
        <v>19130</v>
      </c>
      <c r="D460" s="31" t="n">
        <v>18560</v>
      </c>
      <c r="E460" s="31" t="n">
        <v>18710</v>
      </c>
      <c r="F460" s="31" t="n">
        <v>18500.94921875</v>
      </c>
      <c r="G460" s="31" t="n">
        <v>193666</v>
      </c>
      <c r="H460" s="36" t="n">
        <v>0.004833512352309333</v>
      </c>
      <c r="I460" s="36" t="n">
        <v>-0.5152849740932642</v>
      </c>
      <c r="J460" s="31" t="n">
        <v>18172.5</v>
      </c>
      <c r="K460" s="31" t="n">
        <v>19189.16666666667</v>
      </c>
      <c r="L460" s="31" t="n">
        <v>18669.25</v>
      </c>
      <c r="M460" s="36" t="n">
        <v>0.5166284138376454</v>
      </c>
      <c r="N460" s="36" t="n">
        <v>0.5809169047152604</v>
      </c>
      <c r="O460" s="36" t="n">
        <v>-0.1090476190476191</v>
      </c>
      <c r="P460" s="36" t="n">
        <v>-0.09394673123486685</v>
      </c>
      <c r="Q460" s="36" t="n">
        <v>-0.09174757281553403</v>
      </c>
      <c r="R460" s="36" t="n">
        <v>0.02957765855000694</v>
      </c>
      <c r="S460" s="36" t="n">
        <v>-0.02497068658531298</v>
      </c>
      <c r="T460" s="36" t="n">
        <v>0.002182733639541024</v>
      </c>
      <c r="U460" s="31" t="n">
        <v>38600</v>
      </c>
      <c r="V460" s="31" t="n">
        <v>16360</v>
      </c>
      <c r="W460" s="36" t="n">
        <v>-0.5152849740932642</v>
      </c>
      <c r="X460" s="36" t="n">
        <v>0.1436430317848412</v>
      </c>
      <c r="Y460" s="31" t="n">
        <v>28966714</v>
      </c>
      <c r="Z460" s="31" t="n">
        <v>541967218940</v>
      </c>
      <c r="AA460" s="31" t="n">
        <v>3623490860</v>
      </c>
      <c r="AB460" s="31" t="n">
        <v>4449433105.5</v>
      </c>
      <c r="AC460" s="36" t="n">
        <v>0.006685811859778089</v>
      </c>
      <c r="AD460" s="29" t="inlineStr">
        <is>
          <t>yfinance_download</t>
        </is>
      </c>
      <c r="AE460" s="29" t="inlineStr">
        <is>
          <t>319660.KQ</t>
        </is>
      </c>
    </row>
    <row r="461" ht="24" customHeight="1">
      <c r="A461" s="24" t="inlineStr">
        <is>
          <t>2025-04-28</t>
        </is>
      </c>
      <c r="B461" s="30" t="n">
        <v>18690</v>
      </c>
      <c r="C461" s="30" t="n">
        <v>18790</v>
      </c>
      <c r="D461" s="30" t="n">
        <v>18030</v>
      </c>
      <c r="E461" s="30" t="n">
        <v>18110</v>
      </c>
      <c r="F461" s="30" t="n">
        <v>17907.654296875</v>
      </c>
      <c r="G461" s="30" t="n">
        <v>217554</v>
      </c>
      <c r="H461" s="35" t="n">
        <v>-0.03206841261357563</v>
      </c>
      <c r="I461" s="35" t="n">
        <v>-0.5308290155440414</v>
      </c>
      <c r="J461" s="30" t="n">
        <v>18070.5</v>
      </c>
      <c r="K461" s="30" t="n">
        <v>19172.66666666667</v>
      </c>
      <c r="L461" s="30" t="n">
        <v>18651</v>
      </c>
      <c r="M461" s="35" t="n">
        <v>0.5098428268545727</v>
      </c>
      <c r="N461" s="35" t="n">
        <v>0.5639363293210713</v>
      </c>
      <c r="O461" s="35" t="n">
        <v>-0.1012406947890819</v>
      </c>
      <c r="P461" s="35" t="n">
        <v>-0.05183246073298431</v>
      </c>
      <c r="Q461" s="35" t="n">
        <v>-0.1078817733990147</v>
      </c>
      <c r="R461" s="35" t="n">
        <v>0.0021858830690904</v>
      </c>
      <c r="S461" s="35" t="n">
        <v>-0.05542612747313891</v>
      </c>
      <c r="T461" s="35" t="n">
        <v>-0.02900648758779689</v>
      </c>
      <c r="U461" s="30" t="n">
        <v>38600</v>
      </c>
      <c r="V461" s="30" t="n">
        <v>16360</v>
      </c>
      <c r="W461" s="35" t="n">
        <v>-0.5308290155440414</v>
      </c>
      <c r="X461" s="35" t="n">
        <v>0.1069682151589242</v>
      </c>
      <c r="Y461" s="30" t="n">
        <v>28966714</v>
      </c>
      <c r="Z461" s="30" t="n">
        <v>524587190540</v>
      </c>
      <c r="AA461" s="30" t="n">
        <v>3939902940</v>
      </c>
      <c r="AB461" s="30" t="n">
        <v>4291921242.5</v>
      </c>
      <c r="AC461" s="35" t="n">
        <v>0.007510482549038872</v>
      </c>
      <c r="AD461" s="24" t="inlineStr">
        <is>
          <t>yfinance_download</t>
        </is>
      </c>
      <c r="AE461" s="24" t="inlineStr">
        <is>
          <t>319660.KQ</t>
        </is>
      </c>
    </row>
    <row r="462" ht="24" customHeight="1">
      <c r="A462" s="29" t="inlineStr">
        <is>
          <t>2025-04-29</t>
        </is>
      </c>
      <c r="B462" s="31" t="n">
        <v>18150</v>
      </c>
      <c r="C462" s="31" t="n">
        <v>18400</v>
      </c>
      <c r="D462" s="31" t="n">
        <v>18130</v>
      </c>
      <c r="E462" s="31" t="n">
        <v>18190</v>
      </c>
      <c r="F462" s="31" t="n">
        <v>17986.759765625</v>
      </c>
      <c r="G462" s="31" t="n">
        <v>130792</v>
      </c>
      <c r="H462" s="36" t="n">
        <v>0.004417448923246914</v>
      </c>
      <c r="I462" s="36" t="n">
        <v>-0.5287564766839379</v>
      </c>
      <c r="J462" s="31" t="n">
        <v>17960</v>
      </c>
      <c r="K462" s="31" t="n">
        <v>19180</v>
      </c>
      <c r="L462" s="31" t="n">
        <v>18629.25</v>
      </c>
      <c r="M462" s="36" t="n">
        <v>0.5070409721225216</v>
      </c>
      <c r="N462" s="36" t="n">
        <v>0.5445575166132568</v>
      </c>
      <c r="O462" s="36" t="n">
        <v>-0.1083333333333333</v>
      </c>
      <c r="P462" s="36" t="n">
        <v>0.0247887323943663</v>
      </c>
      <c r="Q462" s="36" t="n">
        <v>-0.1254807692307692</v>
      </c>
      <c r="R462" s="36" t="n">
        <v>0.01280623608017817</v>
      </c>
      <c r="S462" s="36" t="n">
        <v>-0.05161626694473409</v>
      </c>
      <c r="T462" s="36" t="n">
        <v>-0.02357851228578711</v>
      </c>
      <c r="U462" s="31" t="n">
        <v>38600</v>
      </c>
      <c r="V462" s="31" t="n">
        <v>16360</v>
      </c>
      <c r="W462" s="36" t="n">
        <v>-0.5287564766839379</v>
      </c>
      <c r="X462" s="36" t="n">
        <v>0.1118581907090463</v>
      </c>
      <c r="Y462" s="31" t="n">
        <v>28966714</v>
      </c>
      <c r="Z462" s="31" t="n">
        <v>526904527660</v>
      </c>
      <c r="AA462" s="31" t="n">
        <v>2379106480</v>
      </c>
      <c r="AB462" s="31" t="n">
        <v>4069909946.5</v>
      </c>
      <c r="AC462" s="36" t="n">
        <v>0.004515251540095297</v>
      </c>
      <c r="AD462" s="29" t="inlineStr">
        <is>
          <t>yfinance_download</t>
        </is>
      </c>
      <c r="AE462" s="29" t="inlineStr">
        <is>
          <t>319660.KQ</t>
        </is>
      </c>
    </row>
    <row r="463" ht="24" customHeight="1">
      <c r="A463" s="24" t="inlineStr">
        <is>
          <t>2025-04-30</t>
        </is>
      </c>
      <c r="B463" s="30" t="n">
        <v>18130</v>
      </c>
      <c r="C463" s="30" t="n">
        <v>18230</v>
      </c>
      <c r="D463" s="30" t="n">
        <v>17700</v>
      </c>
      <c r="E463" s="30" t="n">
        <v>17800</v>
      </c>
      <c r="F463" s="30" t="n">
        <v>17601.1171875</v>
      </c>
      <c r="G463" s="30" t="n">
        <v>127577</v>
      </c>
      <c r="H463" s="35" t="n">
        <v>-0.02144035184167126</v>
      </c>
      <c r="I463" s="35" t="n">
        <v>-0.538860103626943</v>
      </c>
      <c r="J463" s="30" t="n">
        <v>17871.5</v>
      </c>
      <c r="K463" s="30" t="n">
        <v>19173.16666666667</v>
      </c>
      <c r="L463" s="30" t="n">
        <v>18604.66666666667</v>
      </c>
      <c r="M463" s="35" t="n">
        <v>0.4936163056935325</v>
      </c>
      <c r="N463" s="35" t="n">
        <v>0.5439432841209314</v>
      </c>
      <c r="O463" s="35" t="n">
        <v>-0.09044455799693407</v>
      </c>
      <c r="P463" s="35" t="n">
        <v>-0.02251510159253156</v>
      </c>
      <c r="Q463" s="35" t="n">
        <v>-0.1421686746987951</v>
      </c>
      <c r="R463" s="35" t="n">
        <v>-0.004000783370170402</v>
      </c>
      <c r="S463" s="35" t="n">
        <v>-0.07161919001382144</v>
      </c>
      <c r="T463" s="35" t="n">
        <v>-0.04325079729100234</v>
      </c>
      <c r="U463" s="30" t="n">
        <v>38600</v>
      </c>
      <c r="V463" s="30" t="n">
        <v>16360</v>
      </c>
      <c r="W463" s="35" t="n">
        <v>-0.538860103626943</v>
      </c>
      <c r="X463" s="35" t="n">
        <v>0.08801955990220045</v>
      </c>
      <c r="Y463" s="30" t="n">
        <v>28966714</v>
      </c>
      <c r="Z463" s="30" t="n">
        <v>515607509200</v>
      </c>
      <c r="AA463" s="30" t="n">
        <v>2270870600</v>
      </c>
      <c r="AB463" s="30" t="n">
        <v>3866006549.5</v>
      </c>
      <c r="AC463" s="35" t="n">
        <v>0.00440426207819085</v>
      </c>
      <c r="AD463" s="24" t="inlineStr">
        <is>
          <t>yfinance_download</t>
        </is>
      </c>
      <c r="AE463" s="24" t="inlineStr">
        <is>
          <t>319660.KQ</t>
        </is>
      </c>
    </row>
    <row r="464" ht="24" customHeight="1">
      <c r="A464" s="29" t="inlineStr">
        <is>
          <t>2025-05-02</t>
        </is>
      </c>
      <c r="B464" s="31" t="n">
        <v>17980</v>
      </c>
      <c r="C464" s="31" t="n">
        <v>18610</v>
      </c>
      <c r="D464" s="31" t="n">
        <v>17830</v>
      </c>
      <c r="E464" s="31" t="n">
        <v>18290</v>
      </c>
      <c r="F464" s="31" t="n">
        <v>18085.642578125</v>
      </c>
      <c r="G464" s="31" t="n">
        <v>163727</v>
      </c>
      <c r="H464" s="36" t="n">
        <v>0.02752808988764044</v>
      </c>
      <c r="I464" s="36" t="n">
        <v>-0.5261658031088083</v>
      </c>
      <c r="J464" s="31" t="n">
        <v>17845.5</v>
      </c>
      <c r="K464" s="31" t="n">
        <v>19171.16666666667</v>
      </c>
      <c r="L464" s="31" t="n">
        <v>18582.5</v>
      </c>
      <c r="M464" s="36" t="n">
        <v>0.4881591520751597</v>
      </c>
      <c r="N464" s="36" t="n">
        <v>0.546396744521716</v>
      </c>
      <c r="O464" s="36" t="n">
        <v>-0.02764486975013292</v>
      </c>
      <c r="P464" s="36" t="n">
        <v>-0.00651819663226505</v>
      </c>
      <c r="Q464" s="36" t="n">
        <v>-0.1269689737470167</v>
      </c>
      <c r="R464" s="36" t="n">
        <v>0.02490824017259263</v>
      </c>
      <c r="S464" s="36" t="n">
        <v>-0.04596312170186134</v>
      </c>
      <c r="T464" s="36" t="n">
        <v>-0.01574061617112876</v>
      </c>
      <c r="U464" s="31" t="n">
        <v>38600</v>
      </c>
      <c r="V464" s="31" t="n">
        <v>16360</v>
      </c>
      <c r="W464" s="36" t="n">
        <v>-0.5261658031088083</v>
      </c>
      <c r="X464" s="36" t="n">
        <v>0.1179706601466992</v>
      </c>
      <c r="Y464" s="31" t="n">
        <v>28966714</v>
      </c>
      <c r="Z464" s="31" t="n">
        <v>529801199060</v>
      </c>
      <c r="AA464" s="31" t="n">
        <v>2994566830</v>
      </c>
      <c r="AB464" s="31" t="n">
        <v>3795813073.5</v>
      </c>
      <c r="AC464" s="36" t="n">
        <v>0.005652246229931362</v>
      </c>
      <c r="AD464" s="29" t="inlineStr">
        <is>
          <t>yfinance_download</t>
        </is>
      </c>
      <c r="AE464" s="29" t="inlineStr">
        <is>
          <t>319660.KQ</t>
        </is>
      </c>
    </row>
    <row r="465" ht="24" customHeight="1">
      <c r="A465" s="24" t="inlineStr">
        <is>
          <t>2025-05-07</t>
        </is>
      </c>
      <c r="B465" s="30" t="n">
        <v>18590</v>
      </c>
      <c r="C465" s="30" t="n">
        <v>18660</v>
      </c>
      <c r="D465" s="30" t="n">
        <v>18400</v>
      </c>
      <c r="E465" s="30" t="n">
        <v>18560</v>
      </c>
      <c r="F465" s="30" t="n">
        <v>18352.625</v>
      </c>
      <c r="G465" s="30" t="n">
        <v>102515</v>
      </c>
      <c r="H465" s="35" t="n">
        <v>0.01476216511755046</v>
      </c>
      <c r="I465" s="35" t="n">
        <v>-0.5191709844559586</v>
      </c>
      <c r="J465" s="30" t="n">
        <v>17875.5</v>
      </c>
      <c r="K465" s="30" t="n">
        <v>19160.16666666667</v>
      </c>
      <c r="L465" s="30" t="n">
        <v>18571.75</v>
      </c>
      <c r="M465" s="35" t="n">
        <v>0.4617734011514573</v>
      </c>
      <c r="N465" s="35" t="n">
        <v>0.5396920450562754</v>
      </c>
      <c r="O465" s="35" t="n">
        <v>0.03340757238307357</v>
      </c>
      <c r="P465" s="35" t="n">
        <v>-0.03433922996878247</v>
      </c>
      <c r="Q465" s="35" t="n">
        <v>-0.06498740554156168</v>
      </c>
      <c r="R465" s="35" t="n">
        <v>0.0382926351710442</v>
      </c>
      <c r="S465" s="35" t="n">
        <v>-0.03132366628682781</v>
      </c>
      <c r="T465" s="35" t="n">
        <v>-0.0006326813574379919</v>
      </c>
      <c r="U465" s="30" t="n">
        <v>38600</v>
      </c>
      <c r="V465" s="30" t="n">
        <v>16360</v>
      </c>
      <c r="W465" s="35" t="n">
        <v>-0.5191709844559586</v>
      </c>
      <c r="X465" s="35" t="n">
        <v>0.1344743276283618</v>
      </c>
      <c r="Y465" s="30" t="n">
        <v>28966714</v>
      </c>
      <c r="Z465" s="30" t="n">
        <v>537622211840</v>
      </c>
      <c r="AA465" s="30" t="n">
        <v>1902678400</v>
      </c>
      <c r="AB465" s="30" t="n">
        <v>3552878729.5</v>
      </c>
      <c r="AC465" s="35" t="n">
        <v>0.003539062111083777</v>
      </c>
      <c r="AD465" s="24" t="inlineStr">
        <is>
          <t>yfinance_download</t>
        </is>
      </c>
      <c r="AE465" s="24" t="inlineStr">
        <is>
          <t>319660.KQ</t>
        </is>
      </c>
    </row>
    <row r="466" ht="24" customHeight="1">
      <c r="A466" s="29" t="inlineStr">
        <is>
          <t>2025-05-08</t>
        </is>
      </c>
      <c r="B466" s="31" t="n">
        <v>18760</v>
      </c>
      <c r="C466" s="31" t="n">
        <v>19010</v>
      </c>
      <c r="D466" s="31" t="n">
        <v>18720</v>
      </c>
      <c r="E466" s="31" t="n">
        <v>18730</v>
      </c>
      <c r="F466" s="31" t="n">
        <v>18520.7265625</v>
      </c>
      <c r="G466" s="31" t="n">
        <v>196265</v>
      </c>
      <c r="H466" s="36" t="n">
        <v>0.009159482758620774</v>
      </c>
      <c r="I466" s="36" t="n">
        <v>-0.5147668393782383</v>
      </c>
      <c r="J466" s="31" t="n">
        <v>17967.5</v>
      </c>
      <c r="K466" s="31" t="n">
        <v>19150</v>
      </c>
      <c r="L466" s="31" t="n">
        <v>18561.33333333333</v>
      </c>
      <c r="M466" s="36" t="n">
        <v>0.4005073631917442</v>
      </c>
      <c r="N466" s="36" t="n">
        <v>0.5398696780852653</v>
      </c>
      <c r="O466" s="36" t="n">
        <v>0.1089402013025458</v>
      </c>
      <c r="P466" s="36" t="n">
        <v>-0.03154084798345402</v>
      </c>
      <c r="Q466" s="36" t="n">
        <v>-0.06256256256256254</v>
      </c>
      <c r="R466" s="36" t="n">
        <v>0.04243773479894264</v>
      </c>
      <c r="S466" s="36" t="n">
        <v>-0.02193211488250657</v>
      </c>
      <c r="T466" s="36" t="n">
        <v>0.009086990877092305</v>
      </c>
      <c r="U466" s="31" t="n">
        <v>38600</v>
      </c>
      <c r="V466" s="31" t="n">
        <v>16360</v>
      </c>
      <c r="W466" s="36" t="n">
        <v>-0.5147668393782383</v>
      </c>
      <c r="X466" s="36" t="n">
        <v>0.1448655256723717</v>
      </c>
      <c r="Y466" s="31" t="n">
        <v>28966714</v>
      </c>
      <c r="Z466" s="31" t="n">
        <v>542546553220</v>
      </c>
      <c r="AA466" s="31" t="n">
        <v>3676043450</v>
      </c>
      <c r="AB466" s="31" t="n">
        <v>3535416284</v>
      </c>
      <c r="AC466" s="36" t="n">
        <v>0.006775535533647344</v>
      </c>
      <c r="AD466" s="29" t="inlineStr">
        <is>
          <t>yfinance_download</t>
        </is>
      </c>
      <c r="AE466" s="29" t="inlineStr">
        <is>
          <t>319660.KQ</t>
        </is>
      </c>
    </row>
    <row r="467" ht="24" customHeight="1">
      <c r="A467" s="24" t="inlineStr">
        <is>
          <t>2025-05-09</t>
        </is>
      </c>
      <c r="B467" s="30" t="n">
        <v>18800</v>
      </c>
      <c r="C467" s="30" t="n">
        <v>18860</v>
      </c>
      <c r="D467" s="30" t="n">
        <v>18200</v>
      </c>
      <c r="E467" s="30" t="n">
        <v>18480</v>
      </c>
      <c r="F467" s="30" t="n">
        <v>18273.51953125</v>
      </c>
      <c r="G467" s="30" t="n">
        <v>120538</v>
      </c>
      <c r="H467" s="35" t="n">
        <v>-0.01334757074212489</v>
      </c>
      <c r="I467" s="35" t="n">
        <v>-0.5212435233160622</v>
      </c>
      <c r="J467" s="30" t="n">
        <v>18063</v>
      </c>
      <c r="K467" s="30" t="n">
        <v>19127.5</v>
      </c>
      <c r="L467" s="30" t="n">
        <v>18548.66666666667</v>
      </c>
      <c r="M467" s="35" t="n">
        <v>0.3964505764248615</v>
      </c>
      <c r="N467" s="35" t="n">
        <v>0.5379414009163009</v>
      </c>
      <c r="O467" s="35" t="n">
        <v>0.1152685576342789</v>
      </c>
      <c r="P467" s="35" t="n">
        <v>-0.0680786686838124</v>
      </c>
      <c r="Q467" s="35" t="n">
        <v>-0.07599999999999996</v>
      </c>
      <c r="R467" s="35" t="n">
        <v>0.02308586613519359</v>
      </c>
      <c r="S467" s="35" t="n">
        <v>-0.03385178408051237</v>
      </c>
      <c r="T467" s="35" t="n">
        <v>-0.003701973187650531</v>
      </c>
      <c r="U467" s="30" t="n">
        <v>38600</v>
      </c>
      <c r="V467" s="30" t="n">
        <v>16360</v>
      </c>
      <c r="W467" s="35" t="n">
        <v>-0.5212435233160622</v>
      </c>
      <c r="X467" s="35" t="n">
        <v>0.1295843520782396</v>
      </c>
      <c r="Y467" s="30" t="n">
        <v>28966714</v>
      </c>
      <c r="Z467" s="30" t="n">
        <v>535304874720</v>
      </c>
      <c r="AA467" s="30" t="n">
        <v>2227542240</v>
      </c>
      <c r="AB467" s="30" t="n">
        <v>3439756217</v>
      </c>
      <c r="AC467" s="35" t="n">
        <v>0.004161259023028985</v>
      </c>
      <c r="AD467" s="24" t="inlineStr">
        <is>
          <t>yfinance_download</t>
        </is>
      </c>
      <c r="AE467" s="24" t="inlineStr">
        <is>
          <t>319660.KQ</t>
        </is>
      </c>
    </row>
    <row r="468" ht="24" customHeight="1">
      <c r="A468" s="29" t="inlineStr">
        <is>
          <t>2025-05-12</t>
        </is>
      </c>
      <c r="B468" s="31" t="n">
        <v>18810</v>
      </c>
      <c r="C468" s="31" t="n">
        <v>19240</v>
      </c>
      <c r="D468" s="31" t="n">
        <v>18480</v>
      </c>
      <c r="E468" s="31" t="n">
        <v>19240</v>
      </c>
      <c r="F468" s="31" t="n">
        <v>19025.02734375</v>
      </c>
      <c r="G468" s="31" t="n">
        <v>183150</v>
      </c>
      <c r="H468" s="36" t="n">
        <v>0.04112554112554112</v>
      </c>
      <c r="I468" s="36" t="n">
        <v>-0.5015544041450777</v>
      </c>
      <c r="J468" s="31" t="n">
        <v>18190</v>
      </c>
      <c r="K468" s="31" t="n">
        <v>19114.83333333333</v>
      </c>
      <c r="L468" s="31" t="n">
        <v>18543.08333333333</v>
      </c>
      <c r="M468" s="36" t="n">
        <v>0.4158922460149314</v>
      </c>
      <c r="N468" s="36" t="n">
        <v>0.5444145578900509</v>
      </c>
      <c r="O468" s="36" t="n">
        <v>0.1520958083832336</v>
      </c>
      <c r="P468" s="36" t="n">
        <v>-0.03800000000000003</v>
      </c>
      <c r="Q468" s="36" t="n">
        <v>-0.03365143144148675</v>
      </c>
      <c r="R468" s="36" t="n">
        <v>0.05772402418911482</v>
      </c>
      <c r="S468" s="36" t="n">
        <v>0.006548143239543558</v>
      </c>
      <c r="T468" s="36" t="n">
        <v>0.03758364529451685</v>
      </c>
      <c r="U468" s="31" t="n">
        <v>38600</v>
      </c>
      <c r="V468" s="31" t="n">
        <v>16360</v>
      </c>
      <c r="W468" s="36" t="n">
        <v>-0.5015544041450777</v>
      </c>
      <c r="X468" s="36" t="n">
        <v>0.1760391198044009</v>
      </c>
      <c r="Y468" s="31" t="n">
        <v>28966714</v>
      </c>
      <c r="Z468" s="31" t="n">
        <v>557319577360</v>
      </c>
      <c r="AA468" s="31" t="n">
        <v>3523806000</v>
      </c>
      <c r="AB468" s="31" t="n">
        <v>3459895037</v>
      </c>
      <c r="AC468" s="36" t="n">
        <v>0.006322774478320185</v>
      </c>
      <c r="AD468" s="29" t="inlineStr">
        <is>
          <t>yfinance_download</t>
        </is>
      </c>
      <c r="AE468" s="29" t="inlineStr">
        <is>
          <t>319660.KQ</t>
        </is>
      </c>
    </row>
    <row r="469" ht="24" customHeight="1">
      <c r="A469" s="24" t="inlineStr">
        <is>
          <t>2025-05-13</t>
        </is>
      </c>
      <c r="B469" s="30" t="n">
        <v>19620</v>
      </c>
      <c r="C469" s="30" t="n">
        <v>19700</v>
      </c>
      <c r="D469" s="30" t="n">
        <v>19190</v>
      </c>
      <c r="E469" s="30" t="n">
        <v>19420</v>
      </c>
      <c r="F469" s="30" t="n">
        <v>19203.017578125</v>
      </c>
      <c r="G469" s="30" t="n">
        <v>218309</v>
      </c>
      <c r="H469" s="35" t="n">
        <v>0.009355509355509328</v>
      </c>
      <c r="I469" s="35" t="n">
        <v>-0.4968911917098445</v>
      </c>
      <c r="J469" s="30" t="n">
        <v>18275</v>
      </c>
      <c r="K469" s="30" t="n">
        <v>19116.83333333333</v>
      </c>
      <c r="L469" s="30" t="n">
        <v>18547</v>
      </c>
      <c r="M469" s="35" t="n">
        <v>0.3647812708686605</v>
      </c>
      <c r="N469" s="35" t="n">
        <v>0.5398306928156545</v>
      </c>
      <c r="O469" s="35" t="n">
        <v>0.09593679458239279</v>
      </c>
      <c r="P469" s="35" t="n">
        <v>0.006217616580310947</v>
      </c>
      <c r="Q469" s="35" t="n">
        <v>0.02480211081794192</v>
      </c>
      <c r="R469" s="35" t="n">
        <v>0.06265389876880989</v>
      </c>
      <c r="S469" s="35" t="n">
        <v>0.01585862372603564</v>
      </c>
      <c r="T469" s="35" t="n">
        <v>0.04706960694451934</v>
      </c>
      <c r="U469" s="30" t="n">
        <v>38600</v>
      </c>
      <c r="V469" s="30" t="n">
        <v>16360</v>
      </c>
      <c r="W469" s="35" t="n">
        <v>-0.4968911917098445</v>
      </c>
      <c r="X469" s="35" t="n">
        <v>0.1870415647921759</v>
      </c>
      <c r="Y469" s="30" t="n">
        <v>28966714</v>
      </c>
      <c r="Z469" s="30" t="n">
        <v>562533585880</v>
      </c>
      <c r="AA469" s="30" t="n">
        <v>4239560780</v>
      </c>
      <c r="AB469" s="30" t="n">
        <v>3407117670</v>
      </c>
      <c r="AC469" s="35" t="n">
        <v>0.007536546948335251</v>
      </c>
      <c r="AD469" s="24" t="inlineStr">
        <is>
          <t>yfinance_download</t>
        </is>
      </c>
      <c r="AE469" s="24" t="inlineStr">
        <is>
          <t>319660.KQ</t>
        </is>
      </c>
    </row>
    <row r="470" ht="24" customHeight="1">
      <c r="A470" s="29" t="inlineStr">
        <is>
          <t>2025-05-14</t>
        </is>
      </c>
      <c r="B470" s="31" t="n">
        <v>19670</v>
      </c>
      <c r="C470" s="31" t="n">
        <v>19860</v>
      </c>
      <c r="D470" s="31" t="n">
        <v>19560</v>
      </c>
      <c r="E470" s="31" t="n">
        <v>19730</v>
      </c>
      <c r="F470" s="31" t="n">
        <v>19509.552734375</v>
      </c>
      <c r="G470" s="31" t="n">
        <v>139343</v>
      </c>
      <c r="H470" s="36" t="n">
        <v>0.01596292481977346</v>
      </c>
      <c r="I470" s="36" t="n">
        <v>-0.488860103626943</v>
      </c>
      <c r="J470" s="31" t="n">
        <v>18377</v>
      </c>
      <c r="K470" s="31" t="n">
        <v>19123.5</v>
      </c>
      <c r="L470" s="31" t="n">
        <v>18561.25</v>
      </c>
      <c r="M470" s="36" t="n">
        <v>0.3659683895438879</v>
      </c>
      <c r="N470" s="36" t="n">
        <v>0.5407390043963078</v>
      </c>
      <c r="O470" s="36" t="n">
        <v>0.1153193894855851</v>
      </c>
      <c r="P470" s="36" t="n">
        <v>0.0206932229694774</v>
      </c>
      <c r="Q470" s="36" t="n">
        <v>0.09489456159822418</v>
      </c>
      <c r="R470" s="36" t="n">
        <v>0.07362463949502085</v>
      </c>
      <c r="S470" s="36" t="n">
        <v>0.03171490574424141</v>
      </c>
      <c r="T470" s="36" t="n">
        <v>0.06296720317866522</v>
      </c>
      <c r="U470" s="31" t="n">
        <v>38600</v>
      </c>
      <c r="V470" s="31" t="n">
        <v>16360</v>
      </c>
      <c r="W470" s="36" t="n">
        <v>-0.488860103626943</v>
      </c>
      <c r="X470" s="36" t="n">
        <v>0.2059902200488997</v>
      </c>
      <c r="Y470" s="31" t="n">
        <v>28966714</v>
      </c>
      <c r="Z470" s="31" t="n">
        <v>571513267220</v>
      </c>
      <c r="AA470" s="31" t="n">
        <v>2749237390</v>
      </c>
      <c r="AB470" s="31" t="n">
        <v>3403399187.5</v>
      </c>
      <c r="AC470" s="36" t="n">
        <v>0.004810452438616268</v>
      </c>
      <c r="AD470" s="29" t="inlineStr">
        <is>
          <t>yfinance_download</t>
        </is>
      </c>
      <c r="AE470" s="29" t="inlineStr">
        <is>
          <t>319660.KQ</t>
        </is>
      </c>
    </row>
    <row r="471" ht="24" customHeight="1">
      <c r="A471" s="24" t="inlineStr">
        <is>
          <t>2025-05-15</t>
        </is>
      </c>
      <c r="B471" s="30" t="n">
        <v>19620</v>
      </c>
      <c r="C471" s="30" t="n">
        <v>19820</v>
      </c>
      <c r="D471" s="30" t="n">
        <v>18960</v>
      </c>
      <c r="E471" s="30" t="n">
        <v>19120</v>
      </c>
      <c r="F471" s="30" t="n">
        <v>18906.369140625</v>
      </c>
      <c r="G471" s="30" t="n">
        <v>270913</v>
      </c>
      <c r="H471" s="35" t="n">
        <v>-0.03091738469336036</v>
      </c>
      <c r="I471" s="35" t="n">
        <v>-0.5046632124352332</v>
      </c>
      <c r="J471" s="30" t="n">
        <v>18431</v>
      </c>
      <c r="K471" s="30" t="n">
        <v>19119.16666666667</v>
      </c>
      <c r="L471" s="30" t="n">
        <v>18573.91666666667</v>
      </c>
      <c r="M471" s="35" t="n">
        <v>0.3839438307891324</v>
      </c>
      <c r="N471" s="35" t="n">
        <v>0.5446391601747459</v>
      </c>
      <c r="O471" s="35" t="n">
        <v>0.05986696230598665</v>
      </c>
      <c r="P471" s="35" t="n">
        <v>-0.01341589267285859</v>
      </c>
      <c r="Q471" s="35" t="n">
        <v>0.08636363636363642</v>
      </c>
      <c r="R471" s="35" t="n">
        <v>0.0373826705007867</v>
      </c>
      <c r="S471" s="35" t="n">
        <v>4.358627903933154e-05</v>
      </c>
      <c r="T471" s="35" t="n">
        <v>0.02940054825988048</v>
      </c>
      <c r="U471" s="30" t="n">
        <v>38600</v>
      </c>
      <c r="V471" s="30" t="n">
        <v>16360</v>
      </c>
      <c r="W471" s="35" t="n">
        <v>-0.5046632124352332</v>
      </c>
      <c r="X471" s="35" t="n">
        <v>0.1687041564792175</v>
      </c>
      <c r="Y471" s="30" t="n">
        <v>28966714</v>
      </c>
      <c r="Z471" s="30" t="n">
        <v>553843571680</v>
      </c>
      <c r="AA471" s="30" t="n">
        <v>5179856560</v>
      </c>
      <c r="AB471" s="30" t="n">
        <v>3487937999.5</v>
      </c>
      <c r="AC471" s="35" t="n">
        <v>0.009352562392820946</v>
      </c>
      <c r="AD471" s="24" t="inlineStr">
        <is>
          <t>yfinance_download</t>
        </is>
      </c>
      <c r="AE471" s="24" t="inlineStr">
        <is>
          <t>319660.KQ</t>
        </is>
      </c>
    </row>
    <row r="472" ht="24" customHeight="1">
      <c r="A472" s="29" t="inlineStr">
        <is>
          <t>2025-05-16</t>
        </is>
      </c>
      <c r="B472" s="31" t="n">
        <v>19200</v>
      </c>
      <c r="C472" s="31" t="n">
        <v>19200</v>
      </c>
      <c r="D472" s="31" t="n">
        <v>18880</v>
      </c>
      <c r="E472" s="31" t="n">
        <v>19000</v>
      </c>
      <c r="F472" s="31" t="n">
        <v>18787.708984375</v>
      </c>
      <c r="G472" s="31" t="n">
        <v>132522</v>
      </c>
      <c r="H472" s="36" t="n">
        <v>-0.006276150627615107</v>
      </c>
      <c r="I472" s="36" t="n">
        <v>-0.5077720207253886</v>
      </c>
      <c r="J472" s="31" t="n">
        <v>18483.5</v>
      </c>
      <c r="K472" s="31" t="n">
        <v>19113</v>
      </c>
      <c r="L472" s="31" t="n">
        <v>18587.33333333333</v>
      </c>
      <c r="M472" s="36" t="n">
        <v>0.3843344680719886</v>
      </c>
      <c r="N472" s="36" t="n">
        <v>0.5448060089057981</v>
      </c>
      <c r="O472" s="36" t="n">
        <v>0.0584958217270195</v>
      </c>
      <c r="P472" s="36" t="n">
        <v>-0.01910170366546204</v>
      </c>
      <c r="Q472" s="36" t="n">
        <v>0.09258194364577332</v>
      </c>
      <c r="R472" s="36" t="n">
        <v>0.02794384180485299</v>
      </c>
      <c r="S472" s="36" t="n">
        <v>-0.005912206351697757</v>
      </c>
      <c r="T472" s="36" t="n">
        <v>0.0222014992288655</v>
      </c>
      <c r="U472" s="31" t="n">
        <v>38600</v>
      </c>
      <c r="V472" s="31" t="n">
        <v>16360</v>
      </c>
      <c r="W472" s="36" t="n">
        <v>-0.5077720207253886</v>
      </c>
      <c r="X472" s="36" t="n">
        <v>0.1613691931540342</v>
      </c>
      <c r="Y472" s="31" t="n">
        <v>28966714</v>
      </c>
      <c r="Z472" s="31" t="n">
        <v>550367566000</v>
      </c>
      <c r="AA472" s="31" t="n">
        <v>2517918000</v>
      </c>
      <c r="AB472" s="31" t="n">
        <v>3395755759.5</v>
      </c>
      <c r="AC472" s="36" t="n">
        <v>0.004574975262986337</v>
      </c>
      <c r="AD472" s="29" t="inlineStr">
        <is>
          <t>yfinance_download</t>
        </is>
      </c>
      <c r="AE472" s="29" t="inlineStr">
        <is>
          <t>319660.KQ</t>
        </is>
      </c>
    </row>
    <row r="473" ht="24" customHeight="1">
      <c r="A473" s="24" t="inlineStr">
        <is>
          <t>2025-05-19</t>
        </is>
      </c>
      <c r="B473" s="30" t="n">
        <v>18800</v>
      </c>
      <c r="C473" s="30" t="n">
        <v>18810</v>
      </c>
      <c r="D473" s="30" t="n">
        <v>18260</v>
      </c>
      <c r="E473" s="30" t="n">
        <v>18410</v>
      </c>
      <c r="F473" s="30" t="n">
        <v>18204.30078125</v>
      </c>
      <c r="G473" s="30" t="n">
        <v>157983</v>
      </c>
      <c r="H473" s="35" t="n">
        <v>-0.03105263157894733</v>
      </c>
      <c r="I473" s="35" t="n">
        <v>-0.5230569948186529</v>
      </c>
      <c r="J473" s="30" t="n">
        <v>18542</v>
      </c>
      <c r="K473" s="30" t="n">
        <v>19100.16666666667</v>
      </c>
      <c r="L473" s="30" t="n">
        <v>18591.16666666667</v>
      </c>
      <c r="M473" s="35" t="n">
        <v>0.3728254345216852</v>
      </c>
      <c r="N473" s="35" t="n">
        <v>0.5482102215744648</v>
      </c>
      <c r="O473" s="35" t="n">
        <v>0.0678654292343388</v>
      </c>
      <c r="P473" s="35" t="n">
        <v>-0.04014598540145986</v>
      </c>
      <c r="Q473" s="35" t="n">
        <v>0.02562674094707518</v>
      </c>
      <c r="R473" s="35" t="n">
        <v>-0.007118973142055895</v>
      </c>
      <c r="S473" s="35" t="n">
        <v>-0.03613406514777362</v>
      </c>
      <c r="T473" s="35" t="n">
        <v>-0.009744771262337859</v>
      </c>
      <c r="U473" s="30" t="n">
        <v>38600</v>
      </c>
      <c r="V473" s="30" t="n">
        <v>16360</v>
      </c>
      <c r="W473" s="35" t="n">
        <v>-0.5230569948186529</v>
      </c>
      <c r="X473" s="35" t="n">
        <v>0.1253056234718826</v>
      </c>
      <c r="Y473" s="30" t="n">
        <v>28966714</v>
      </c>
      <c r="Z473" s="30" t="n">
        <v>533277204740</v>
      </c>
      <c r="AA473" s="30" t="n">
        <v>2908467030</v>
      </c>
      <c r="AB473" s="30" t="n">
        <v>3381554813</v>
      </c>
      <c r="AC473" s="35" t="n">
        <v>0.005453949660979841</v>
      </c>
      <c r="AD473" s="24" t="inlineStr">
        <is>
          <t>yfinance_download</t>
        </is>
      </c>
      <c r="AE473" s="24" t="inlineStr">
        <is>
          <t>319660.KQ</t>
        </is>
      </c>
    </row>
    <row r="474" ht="24" customHeight="1">
      <c r="A474" s="29" t="inlineStr">
        <is>
          <t>2025-05-20</t>
        </is>
      </c>
      <c r="B474" s="31" t="n">
        <v>18660</v>
      </c>
      <c r="C474" s="31" t="n">
        <v>19070</v>
      </c>
      <c r="D474" s="31" t="n">
        <v>18330</v>
      </c>
      <c r="E474" s="31" t="n">
        <v>18410</v>
      </c>
      <c r="F474" s="31" t="n">
        <v>18204.30078125</v>
      </c>
      <c r="G474" s="31" t="n">
        <v>147780</v>
      </c>
      <c r="H474" s="36" t="n">
        <v>0</v>
      </c>
      <c r="I474" s="36" t="n">
        <v>-0.5230569948186529</v>
      </c>
      <c r="J474" s="31" t="n">
        <v>18584.5</v>
      </c>
      <c r="K474" s="31" t="n">
        <v>19049.5</v>
      </c>
      <c r="L474" s="31" t="n">
        <v>18599</v>
      </c>
      <c r="M474" s="36" t="n">
        <v>0.3687120251273815</v>
      </c>
      <c r="N474" s="36" t="n">
        <v>0.4894940197693696</v>
      </c>
      <c r="O474" s="36" t="n">
        <v>0.04840546697038728</v>
      </c>
      <c r="P474" s="36" t="n">
        <v>-0.1417249417249418</v>
      </c>
      <c r="Q474" s="36" t="n">
        <v>0.05380652547223819</v>
      </c>
      <c r="R474" s="36" t="n">
        <v>-0.009389545050983328</v>
      </c>
      <c r="S474" s="36" t="n">
        <v>-0.03357043491955169</v>
      </c>
      <c r="T474" s="36" t="n">
        <v>-0.01016183665788484</v>
      </c>
      <c r="U474" s="31" t="n">
        <v>38600</v>
      </c>
      <c r="V474" s="31" t="n">
        <v>16360</v>
      </c>
      <c r="W474" s="36" t="n">
        <v>-0.5230569948186529</v>
      </c>
      <c r="X474" s="36" t="n">
        <v>0.1253056234718826</v>
      </c>
      <c r="Y474" s="31" t="n">
        <v>28966714</v>
      </c>
      <c r="Z474" s="31" t="n">
        <v>533277204740</v>
      </c>
      <c r="AA474" s="31" t="n">
        <v>2720629800</v>
      </c>
      <c r="AB474" s="31" t="n">
        <v>3340824709</v>
      </c>
      <c r="AC474" s="36" t="n">
        <v>0.005101717785455403</v>
      </c>
      <c r="AD474" s="29" t="inlineStr">
        <is>
          <t>yfinance_download</t>
        </is>
      </c>
      <c r="AE474" s="29" t="inlineStr">
        <is>
          <t>319660.KQ</t>
        </is>
      </c>
    </row>
    <row r="475" ht="24" customHeight="1">
      <c r="A475" s="24" t="inlineStr">
        <is>
          <t>2025-05-21</t>
        </is>
      </c>
      <c r="B475" s="30" t="n">
        <v>18500</v>
      </c>
      <c r="C475" s="30" t="n">
        <v>18550</v>
      </c>
      <c r="D475" s="30" t="n">
        <v>18320</v>
      </c>
      <c r="E475" s="30" t="n">
        <v>18500</v>
      </c>
      <c r="F475" s="30" t="n">
        <v>18293.296875</v>
      </c>
      <c r="G475" s="30" t="n">
        <v>92598</v>
      </c>
      <c r="H475" s="35" t="n">
        <v>0.004888647474198704</v>
      </c>
      <c r="I475" s="35" t="n">
        <v>-0.5207253886010363</v>
      </c>
      <c r="J475" s="30" t="n">
        <v>18623.5</v>
      </c>
      <c r="K475" s="30" t="n">
        <v>18996.16666666667</v>
      </c>
      <c r="L475" s="30" t="n">
        <v>18608.33333333333</v>
      </c>
      <c r="M475" s="35" t="n">
        <v>0.3680302350404136</v>
      </c>
      <c r="N475" s="35" t="n">
        <v>0.4888793240082717</v>
      </c>
      <c r="O475" s="35" t="n">
        <v>0.04401805869074482</v>
      </c>
      <c r="P475" s="35" t="n">
        <v>-0.1474654377880185</v>
      </c>
      <c r="Q475" s="35" t="n">
        <v>0.06444188722669741</v>
      </c>
      <c r="R475" s="35" t="n">
        <v>-0.006631406556232733</v>
      </c>
      <c r="S475" s="35" t="n">
        <v>-0.02611930477201552</v>
      </c>
      <c r="T475" s="35" t="n">
        <v>-0.00582176444245408</v>
      </c>
      <c r="U475" s="30" t="n">
        <v>38600</v>
      </c>
      <c r="V475" s="30" t="n">
        <v>16360</v>
      </c>
      <c r="W475" s="35" t="n">
        <v>-0.5207253886010363</v>
      </c>
      <c r="X475" s="35" t="n">
        <v>0.1308068459657701</v>
      </c>
      <c r="Y475" s="30" t="n">
        <v>28966714</v>
      </c>
      <c r="Z475" s="30" t="n">
        <v>535884209000</v>
      </c>
      <c r="AA475" s="30" t="n">
        <v>1713063000</v>
      </c>
      <c r="AB475" s="30" t="n">
        <v>3341136567</v>
      </c>
      <c r="AC475" s="35" t="n">
        <v>0.003196703637147106</v>
      </c>
      <c r="AD475" s="24" t="inlineStr">
        <is>
          <t>yfinance_download</t>
        </is>
      </c>
      <c r="AE475" s="24" t="inlineStr">
        <is>
          <t>319660.KQ</t>
        </is>
      </c>
    </row>
    <row r="476" ht="24" customHeight="1">
      <c r="A476" s="29" t="inlineStr">
        <is>
          <t>2025-05-22</t>
        </is>
      </c>
      <c r="B476" s="31" t="n">
        <v>18300</v>
      </c>
      <c r="C476" s="31" t="n">
        <v>18310</v>
      </c>
      <c r="D476" s="31" t="n">
        <v>17690</v>
      </c>
      <c r="E476" s="31" t="n">
        <v>17760</v>
      </c>
      <c r="F476" s="31" t="n">
        <v>17561.564453125</v>
      </c>
      <c r="G476" s="31" t="n">
        <v>167618</v>
      </c>
      <c r="H476" s="36" t="n">
        <v>-0.04000000000000004</v>
      </c>
      <c r="I476" s="36" t="n">
        <v>-0.5398963730569948</v>
      </c>
      <c r="J476" s="31" t="n">
        <v>18590</v>
      </c>
      <c r="K476" s="31" t="n">
        <v>18940.5</v>
      </c>
      <c r="L476" s="31" t="n">
        <v>18609.75</v>
      </c>
      <c r="M476" s="36" t="n">
        <v>0.3691105550532197</v>
      </c>
      <c r="N476" s="36" t="n">
        <v>0.492269945693349</v>
      </c>
      <c r="O476" s="36" t="n">
        <v>-0.03635377102550186</v>
      </c>
      <c r="P476" s="36" t="n">
        <v>-0.1582938388625592</v>
      </c>
      <c r="Q476" s="36" t="n">
        <v>0.009664582148948275</v>
      </c>
      <c r="R476" s="36" t="n">
        <v>-0.04464766003227538</v>
      </c>
      <c r="S476" s="36" t="n">
        <v>-0.06232676011720917</v>
      </c>
      <c r="T476" s="36" t="n">
        <v>-0.04566154838189662</v>
      </c>
      <c r="U476" s="31" t="n">
        <v>38600</v>
      </c>
      <c r="V476" s="31" t="n">
        <v>16360</v>
      </c>
      <c r="W476" s="36" t="n">
        <v>-0.5398963730569948</v>
      </c>
      <c r="X476" s="36" t="n">
        <v>0.08557457212713926</v>
      </c>
      <c r="Y476" s="31" t="n">
        <v>28966714</v>
      </c>
      <c r="Z476" s="31" t="n">
        <v>514448840640</v>
      </c>
      <c r="AA476" s="31" t="n">
        <v>2976895680</v>
      </c>
      <c r="AB476" s="31" t="n">
        <v>3154385795</v>
      </c>
      <c r="AC476" s="36" t="n">
        <v>0.00578657282286144</v>
      </c>
      <c r="AD476" s="29" t="inlineStr">
        <is>
          <t>yfinance_download</t>
        </is>
      </c>
      <c r="AE476" s="29" t="inlineStr">
        <is>
          <t>319660.KQ</t>
        </is>
      </c>
    </row>
    <row r="477" ht="24" customHeight="1">
      <c r="A477" s="24" t="inlineStr">
        <is>
          <t>2025-05-23</t>
        </is>
      </c>
      <c r="B477" s="30" t="n">
        <v>17860</v>
      </c>
      <c r="C477" s="30" t="n">
        <v>18030</v>
      </c>
      <c r="D477" s="30" t="n">
        <v>17580</v>
      </c>
      <c r="E477" s="30" t="n">
        <v>17850</v>
      </c>
      <c r="F477" s="30" t="n">
        <v>17650.55859375</v>
      </c>
      <c r="G477" s="30" t="n">
        <v>113429</v>
      </c>
      <c r="H477" s="35" t="n">
        <v>0.005067567567567544</v>
      </c>
      <c r="I477" s="35" t="n">
        <v>-0.5375647668393783</v>
      </c>
      <c r="J477" s="30" t="n">
        <v>18581.5</v>
      </c>
      <c r="K477" s="30" t="n">
        <v>18883</v>
      </c>
      <c r="L477" s="30" t="n">
        <v>18612.33333333333</v>
      </c>
      <c r="M477" s="35" t="n">
        <v>0.3614949928900378</v>
      </c>
      <c r="N477" s="35" t="n">
        <v>0.4918983656258038</v>
      </c>
      <c r="O477" s="35" t="n">
        <v>-0.009433962264150941</v>
      </c>
      <c r="P477" s="35" t="n">
        <v>-0.1619718309859155</v>
      </c>
      <c r="Q477" s="35" t="n">
        <v>0.01767388825541616</v>
      </c>
      <c r="R477" s="35" t="n">
        <v>-0.03936711245055569</v>
      </c>
      <c r="S477" s="35" t="n">
        <v>-0.05470529047291217</v>
      </c>
      <c r="T477" s="35" t="n">
        <v>-0.04095850421763336</v>
      </c>
      <c r="U477" s="30" t="n">
        <v>38600</v>
      </c>
      <c r="V477" s="30" t="n">
        <v>16360</v>
      </c>
      <c r="W477" s="35" t="n">
        <v>-0.5375647668393783</v>
      </c>
      <c r="X477" s="35" t="n">
        <v>0.091075794621027</v>
      </c>
      <c r="Y477" s="30" t="n">
        <v>28966714</v>
      </c>
      <c r="Z477" s="30" t="n">
        <v>517055844900</v>
      </c>
      <c r="AA477" s="30" t="n">
        <v>2024707650</v>
      </c>
      <c r="AB477" s="30" t="n">
        <v>3097243397.5</v>
      </c>
      <c r="AC477" s="35" t="n">
        <v>0.003915839401044938</v>
      </c>
      <c r="AD477" s="24" t="inlineStr">
        <is>
          <t>yfinance_download</t>
        </is>
      </c>
      <c r="AE477" s="24" t="inlineStr">
        <is>
          <t>319660.KQ</t>
        </is>
      </c>
    </row>
    <row r="478" ht="24" customHeight="1">
      <c r="A478" s="29" t="inlineStr">
        <is>
          <t>2025-05-26</t>
        </is>
      </c>
      <c r="B478" s="31" t="n">
        <v>17920</v>
      </c>
      <c r="C478" s="31" t="n">
        <v>18460</v>
      </c>
      <c r="D478" s="31" t="n">
        <v>17740</v>
      </c>
      <c r="E478" s="31" t="n">
        <v>18450</v>
      </c>
      <c r="F478" s="31" t="n">
        <v>18243.85546875</v>
      </c>
      <c r="G478" s="31" t="n">
        <v>181880</v>
      </c>
      <c r="H478" s="36" t="n">
        <v>0.03361344537815136</v>
      </c>
      <c r="I478" s="36" t="n">
        <v>-0.5220207253886011</v>
      </c>
      <c r="J478" s="31" t="n">
        <v>18569</v>
      </c>
      <c r="K478" s="31" t="n">
        <v>18836.33333333333</v>
      </c>
      <c r="L478" s="31" t="n">
        <v>18619.33333333333</v>
      </c>
      <c r="M478" s="36" t="n">
        <v>0.3560076060959374</v>
      </c>
      <c r="N478" s="36" t="n">
        <v>0.4974259880383956</v>
      </c>
      <c r="O478" s="36" t="n">
        <v>-0.0133689839572193</v>
      </c>
      <c r="P478" s="36" t="n">
        <v>-0.1317647058823529</v>
      </c>
      <c r="Q478" s="36" t="n">
        <v>0.04770017035775131</v>
      </c>
      <c r="R478" s="36" t="n">
        <v>-0.006408530346276087</v>
      </c>
      <c r="S478" s="36" t="n">
        <v>-0.02051000725548136</v>
      </c>
      <c r="T478" s="36" t="n">
        <v>-0.009094489598625022</v>
      </c>
      <c r="U478" s="31" t="n">
        <v>38600</v>
      </c>
      <c r="V478" s="31" t="n">
        <v>16360</v>
      </c>
      <c r="W478" s="36" t="n">
        <v>-0.5220207253886011</v>
      </c>
      <c r="X478" s="36" t="n">
        <v>0.1277506112469438</v>
      </c>
      <c r="Y478" s="31" t="n">
        <v>28966714</v>
      </c>
      <c r="Z478" s="31" t="n">
        <v>534435873300</v>
      </c>
      <c r="AA478" s="31" t="n">
        <v>3355686000</v>
      </c>
      <c r="AB478" s="31" t="n">
        <v>3004744267.5</v>
      </c>
      <c r="AC478" s="36" t="n">
        <v>0.006278931051689191</v>
      </c>
      <c r="AD478" s="29" t="inlineStr">
        <is>
          <t>yfinance_download</t>
        </is>
      </c>
      <c r="AE478" s="29" t="inlineStr">
        <is>
          <t>319660.KQ</t>
        </is>
      </c>
    </row>
    <row r="479" ht="24" customHeight="1">
      <c r="A479" s="24" t="inlineStr">
        <is>
          <t>2025-05-27</t>
        </is>
      </c>
      <c r="B479" s="30" t="n">
        <v>18350</v>
      </c>
      <c r="C479" s="30" t="n">
        <v>18410</v>
      </c>
      <c r="D479" s="30" t="n">
        <v>17920</v>
      </c>
      <c r="E479" s="30" t="n">
        <v>18160</v>
      </c>
      <c r="F479" s="30" t="n">
        <v>17957.095703125</v>
      </c>
      <c r="G479" s="30" t="n">
        <v>91542</v>
      </c>
      <c r="H479" s="35" t="n">
        <v>-0.01571815718157177</v>
      </c>
      <c r="I479" s="35" t="n">
        <v>-0.5295336787564766</v>
      </c>
      <c r="J479" s="30" t="n">
        <v>18546</v>
      </c>
      <c r="K479" s="30" t="n">
        <v>18795.66666666667</v>
      </c>
      <c r="L479" s="30" t="n">
        <v>18619</v>
      </c>
      <c r="M479" s="35" t="n">
        <v>0.359940537918365</v>
      </c>
      <c r="N479" s="35" t="n">
        <v>0.4946850206485555</v>
      </c>
      <c r="O479" s="35" t="n">
        <v>-0.02470461868958107</v>
      </c>
      <c r="P479" s="35" t="n">
        <v>-0.1184466019417476</v>
      </c>
      <c r="Q479" s="35" t="n">
        <v>-0.00219780219780219</v>
      </c>
      <c r="R479" s="35" t="n">
        <v>-0.02081311333980373</v>
      </c>
      <c r="S479" s="35" t="n">
        <v>-0.03381985209356775</v>
      </c>
      <c r="T479" s="35" t="n">
        <v>-0.02465223696224284</v>
      </c>
      <c r="U479" s="30" t="n">
        <v>38600</v>
      </c>
      <c r="V479" s="30" t="n">
        <v>16360</v>
      </c>
      <c r="W479" s="35" t="n">
        <v>-0.5295336787564766</v>
      </c>
      <c r="X479" s="35" t="n">
        <v>0.1100244498777505</v>
      </c>
      <c r="Y479" s="30" t="n">
        <v>28966714</v>
      </c>
      <c r="Z479" s="30" t="n">
        <v>526035526240</v>
      </c>
      <c r="AA479" s="30" t="n">
        <v>1662402720</v>
      </c>
      <c r="AB479" s="30" t="n">
        <v>2929321620.5</v>
      </c>
      <c r="AC479" s="35" t="n">
        <v>0.00316024800051535</v>
      </c>
      <c r="AD479" s="24" t="inlineStr">
        <is>
          <t>yfinance_download</t>
        </is>
      </c>
      <c r="AE479" s="24" t="inlineStr">
        <is>
          <t>319660.KQ</t>
        </is>
      </c>
    </row>
    <row r="480" ht="24" customHeight="1">
      <c r="A480" s="29" t="inlineStr">
        <is>
          <t>2025-05-28</t>
        </is>
      </c>
      <c r="B480" s="31" t="n">
        <v>18260</v>
      </c>
      <c r="C480" s="31" t="n">
        <v>18840</v>
      </c>
      <c r="D480" s="31" t="n">
        <v>18260</v>
      </c>
      <c r="E480" s="31" t="n">
        <v>18680</v>
      </c>
      <c r="F480" s="31" t="n">
        <v>18471.28515625</v>
      </c>
      <c r="G480" s="31" t="n">
        <v>163531</v>
      </c>
      <c r="H480" s="36" t="n">
        <v>0.02863436123348007</v>
      </c>
      <c r="I480" s="36" t="n">
        <v>-0.5160621761658031</v>
      </c>
      <c r="J480" s="31" t="n">
        <v>18544.5</v>
      </c>
      <c r="K480" s="31" t="n">
        <v>18775.5</v>
      </c>
      <c r="L480" s="31" t="n">
        <v>18624.66666666667</v>
      </c>
      <c r="M480" s="36" t="n">
        <v>0.3746747677423387</v>
      </c>
      <c r="N480" s="36" t="n">
        <v>0.4936923448058669</v>
      </c>
      <c r="O480" s="36" t="n">
        <v>-0.001603420630678754</v>
      </c>
      <c r="P480" s="36" t="n">
        <v>-0.06083459024635496</v>
      </c>
      <c r="Q480" s="36" t="n">
        <v>0.03777777777777769</v>
      </c>
      <c r="R480" s="36" t="n">
        <v>0.007306748631669802</v>
      </c>
      <c r="S480" s="36" t="n">
        <v>-0.005086415807834643</v>
      </c>
      <c r="T480" s="36" t="n">
        <v>0.00297097039768035</v>
      </c>
      <c r="U480" s="31" t="n">
        <v>38600</v>
      </c>
      <c r="V480" s="31" t="n">
        <v>16360</v>
      </c>
      <c r="W480" s="36" t="n">
        <v>-0.5160621761658031</v>
      </c>
      <c r="X480" s="36" t="n">
        <v>0.1418092909535453</v>
      </c>
      <c r="Y480" s="31" t="n">
        <v>28966714</v>
      </c>
      <c r="Z480" s="31" t="n">
        <v>541098217520</v>
      </c>
      <c r="AA480" s="31" t="n">
        <v>3054759080</v>
      </c>
      <c r="AB480" s="31" t="n">
        <v>2900885031.5</v>
      </c>
      <c r="AC480" s="36" t="n">
        <v>0.005645479842829255</v>
      </c>
      <c r="AD480" s="29" t="inlineStr">
        <is>
          <t>yfinance_download</t>
        </is>
      </c>
      <c r="AE480" s="29" t="inlineStr">
        <is>
          <t>319660.KQ</t>
        </is>
      </c>
    </row>
    <row r="481" ht="24" customHeight="1">
      <c r="A481" s="24" t="inlineStr">
        <is>
          <t>2025-05-29</t>
        </is>
      </c>
      <c r="B481" s="30" t="n">
        <v>18930</v>
      </c>
      <c r="C481" s="30" t="n">
        <v>18940</v>
      </c>
      <c r="D481" s="30" t="n">
        <v>18660</v>
      </c>
      <c r="E481" s="30" t="n">
        <v>18920</v>
      </c>
      <c r="F481" s="30" t="n">
        <v>18708.603515625</v>
      </c>
      <c r="G481" s="30" t="n">
        <v>118803</v>
      </c>
      <c r="H481" s="35" t="n">
        <v>0.01284796573875813</v>
      </c>
      <c r="I481" s="35" t="n">
        <v>-0.5098445595854922</v>
      </c>
      <c r="J481" s="30" t="n">
        <v>18585</v>
      </c>
      <c r="K481" s="30" t="n">
        <v>18780</v>
      </c>
      <c r="L481" s="30" t="n">
        <v>18638.58333333333</v>
      </c>
      <c r="M481" s="35" t="n">
        <v>0.3568934340373955</v>
      </c>
      <c r="N481" s="35" t="n">
        <v>0.4772841387441876</v>
      </c>
      <c r="O481" s="35" t="n">
        <v>0.04472667034787414</v>
      </c>
      <c r="P481" s="35" t="n">
        <v>0.01447721179624661</v>
      </c>
      <c r="Q481" s="35" t="n">
        <v>0.09681159420289864</v>
      </c>
      <c r="R481" s="35" t="n">
        <v>0.01802528921172986</v>
      </c>
      <c r="S481" s="35" t="n">
        <v>0.007454739084131967</v>
      </c>
      <c r="T481" s="35" t="n">
        <v>0.01509860817390463</v>
      </c>
      <c r="U481" s="30" t="n">
        <v>38600</v>
      </c>
      <c r="V481" s="30" t="n">
        <v>16360</v>
      </c>
      <c r="W481" s="35" t="n">
        <v>-0.5098445595854922</v>
      </c>
      <c r="X481" s="35" t="n">
        <v>0.156479217603912</v>
      </c>
      <c r="Y481" s="30" t="n">
        <v>28966714</v>
      </c>
      <c r="Z481" s="30" t="n">
        <v>548050228880</v>
      </c>
      <c r="AA481" s="30" t="n">
        <v>2247752760</v>
      </c>
      <c r="AB481" s="30" t="n">
        <v>2816277522.5</v>
      </c>
      <c r="AC481" s="35" t="n">
        <v>0.004101362688222075</v>
      </c>
      <c r="AD481" s="24" t="inlineStr">
        <is>
          <t>yfinance_download</t>
        </is>
      </c>
      <c r="AE481" s="24" t="inlineStr">
        <is>
          <t>319660.KQ</t>
        </is>
      </c>
    </row>
    <row r="482" ht="24" customHeight="1">
      <c r="A482" s="29" t="inlineStr">
        <is>
          <t>2025-05-30</t>
        </is>
      </c>
      <c r="B482" s="31" t="n">
        <v>18800</v>
      </c>
      <c r="C482" s="31" t="n">
        <v>18920</v>
      </c>
      <c r="D482" s="31" t="n">
        <v>18210</v>
      </c>
      <c r="E482" s="31" t="n">
        <v>18300</v>
      </c>
      <c r="F482" s="31" t="n">
        <v>18095.53125</v>
      </c>
      <c r="G482" s="31" t="n">
        <v>162908</v>
      </c>
      <c r="H482" s="36" t="n">
        <v>-0.03276955602537002</v>
      </c>
      <c r="I482" s="36" t="n">
        <v>-0.5259067357512953</v>
      </c>
      <c r="J482" s="31" t="n">
        <v>18590.5</v>
      </c>
      <c r="K482" s="31" t="n">
        <v>18782.5</v>
      </c>
      <c r="L482" s="31" t="n">
        <v>18647.75</v>
      </c>
      <c r="M482" s="36" t="n">
        <v>0.3779380602494559</v>
      </c>
      <c r="N482" s="36" t="n">
        <v>0.4789040126237465</v>
      </c>
      <c r="O482" s="36" t="n">
        <v>0.006047278724574001</v>
      </c>
      <c r="P482" s="36" t="n">
        <v>0.008264462809917328</v>
      </c>
      <c r="Q482" s="36" t="n">
        <v>0.06395348837209291</v>
      </c>
      <c r="R482" s="36" t="n">
        <v>-0.01562626072456363</v>
      </c>
      <c r="S482" s="36" t="n">
        <v>-0.02568880606947954</v>
      </c>
      <c r="T482" s="36" t="n">
        <v>-0.01864836240297085</v>
      </c>
      <c r="U482" s="31" t="n">
        <v>38600</v>
      </c>
      <c r="V482" s="31" t="n">
        <v>16360</v>
      </c>
      <c r="W482" s="36" t="n">
        <v>-0.5259067357512953</v>
      </c>
      <c r="X482" s="36" t="n">
        <v>0.1185819070904646</v>
      </c>
      <c r="Y482" s="31" t="n">
        <v>28966714</v>
      </c>
      <c r="Z482" s="31" t="n">
        <v>530090866200</v>
      </c>
      <c r="AA482" s="31" t="n">
        <v>2981216400</v>
      </c>
      <c r="AB482" s="31" t="n">
        <v>2846383018.5</v>
      </c>
      <c r="AC482" s="36" t="n">
        <v>0.005623972398111847</v>
      </c>
      <c r="AD482" s="29" t="inlineStr">
        <is>
          <t>yfinance_download</t>
        </is>
      </c>
      <c r="AE482" s="29" t="inlineStr">
        <is>
          <t>319660.KQ</t>
        </is>
      </c>
    </row>
    <row r="483" ht="24" customHeight="1">
      <c r="A483" s="24" t="inlineStr">
        <is>
          <t>2025-06-02</t>
        </is>
      </c>
      <c r="B483" s="30" t="n">
        <v>18340</v>
      </c>
      <c r="C483" s="30" t="n">
        <v>18700</v>
      </c>
      <c r="D483" s="30" t="n">
        <v>18270</v>
      </c>
      <c r="E483" s="30" t="n">
        <v>18390</v>
      </c>
      <c r="F483" s="30" t="n">
        <v>18184.525390625</v>
      </c>
      <c r="G483" s="30" t="n">
        <v>104808</v>
      </c>
      <c r="H483" s="35" t="n">
        <v>0.004918032786885185</v>
      </c>
      <c r="I483" s="35" t="n">
        <v>-0.5235751295336788</v>
      </c>
      <c r="J483" s="30" t="n">
        <v>18620</v>
      </c>
      <c r="K483" s="30" t="n">
        <v>18787</v>
      </c>
      <c r="L483" s="30" t="n">
        <v>18661</v>
      </c>
      <c r="M483" s="35" t="n">
        <v>0.3690541120328404</v>
      </c>
      <c r="N483" s="35" t="n">
        <v>0.4789622469070192</v>
      </c>
      <c r="O483" s="35" t="n">
        <v>0.03314606741573023</v>
      </c>
      <c r="P483" s="35" t="n">
        <v>0.01490066225165565</v>
      </c>
      <c r="Q483" s="35" t="n">
        <v>0.09464285714285725</v>
      </c>
      <c r="R483" s="35" t="n">
        <v>-0.01235230934479059</v>
      </c>
      <c r="S483" s="35" t="n">
        <v>-0.02113163357640924</v>
      </c>
      <c r="T483" s="35" t="n">
        <v>-0.01452226568779813</v>
      </c>
      <c r="U483" s="30" t="n">
        <v>38600</v>
      </c>
      <c r="V483" s="30" t="n">
        <v>16360</v>
      </c>
      <c r="W483" s="35" t="n">
        <v>-0.5235751295336788</v>
      </c>
      <c r="X483" s="35" t="n">
        <v>0.1240831295843521</v>
      </c>
      <c r="Y483" s="30" t="n">
        <v>28966714</v>
      </c>
      <c r="Z483" s="30" t="n">
        <v>532697870460</v>
      </c>
      <c r="AA483" s="30" t="n">
        <v>1927419120</v>
      </c>
      <c r="AB483" s="30" t="n">
        <v>2829210444.5</v>
      </c>
      <c r="AC483" s="35" t="n">
        <v>0.003618221935701785</v>
      </c>
      <c r="AD483" s="24" t="inlineStr">
        <is>
          <t>yfinance_download</t>
        </is>
      </c>
      <c r="AE483" s="24" t="inlineStr">
        <is>
          <t>319660.KQ</t>
        </is>
      </c>
    </row>
    <row r="484" ht="24" customHeight="1">
      <c r="A484" s="29" t="inlineStr">
        <is>
          <t>2025-06-04</t>
        </is>
      </c>
      <c r="B484" s="31" t="n">
        <v>18740</v>
      </c>
      <c r="C484" s="31" t="n">
        <v>19250</v>
      </c>
      <c r="D484" s="31" t="n">
        <v>18710</v>
      </c>
      <c r="E484" s="31" t="n">
        <v>18960</v>
      </c>
      <c r="F484" s="31" t="n">
        <v>18748.15625</v>
      </c>
      <c r="G484" s="31" t="n">
        <v>206776</v>
      </c>
      <c r="H484" s="36" t="n">
        <v>0.03099510603588906</v>
      </c>
      <c r="I484" s="36" t="n">
        <v>-0.5088082901554405</v>
      </c>
      <c r="J484" s="31" t="n">
        <v>18653.5</v>
      </c>
      <c r="K484" s="31" t="n">
        <v>18817.83333333333</v>
      </c>
      <c r="L484" s="31" t="n">
        <v>18680.16666666667</v>
      </c>
      <c r="M484" s="36" t="n">
        <v>0.3724383654519127</v>
      </c>
      <c r="N484" s="36" t="n">
        <v>0.4681758387959485</v>
      </c>
      <c r="O484" s="36" t="n">
        <v>0.03663203936577375</v>
      </c>
      <c r="P484" s="36" t="n">
        <v>0.10812390414962</v>
      </c>
      <c r="Q484" s="36" t="n">
        <v>0.1380552220888356</v>
      </c>
      <c r="R484" s="36" t="n">
        <v>0.01643123274452507</v>
      </c>
      <c r="S484" s="36" t="n">
        <v>0.007554890307952533</v>
      </c>
      <c r="T484" s="36" t="n">
        <v>0.01498023750680311</v>
      </c>
      <c r="U484" s="31" t="n">
        <v>38600</v>
      </c>
      <c r="V484" s="31" t="n">
        <v>16360</v>
      </c>
      <c r="W484" s="36" t="n">
        <v>-0.5088082901554405</v>
      </c>
      <c r="X484" s="36" t="n">
        <v>0.158924205378973</v>
      </c>
      <c r="Y484" s="31" t="n">
        <v>28966714</v>
      </c>
      <c r="Z484" s="31" t="n">
        <v>549208897440</v>
      </c>
      <c r="AA484" s="31" t="n">
        <v>3920472960</v>
      </c>
      <c r="AB484" s="31" t="n">
        <v>2875505751</v>
      </c>
      <c r="AC484" s="36" t="n">
        <v>0.007138400303189378</v>
      </c>
      <c r="AD484" s="29" t="inlineStr">
        <is>
          <t>yfinance_download</t>
        </is>
      </c>
      <c r="AE484" s="29" t="inlineStr">
        <is>
          <t>319660.KQ</t>
        </is>
      </c>
    </row>
    <row r="485" ht="24" customHeight="1">
      <c r="A485" s="24" t="inlineStr">
        <is>
          <t>2025-06-05</t>
        </is>
      </c>
      <c r="B485" s="30" t="n">
        <v>19230</v>
      </c>
      <c r="C485" s="30" t="n">
        <v>19700</v>
      </c>
      <c r="D485" s="30" t="n">
        <v>18880</v>
      </c>
      <c r="E485" s="30" t="n">
        <v>19530</v>
      </c>
      <c r="F485" s="30" t="n">
        <v>19311.787109375</v>
      </c>
      <c r="G485" s="30" t="n">
        <v>305261</v>
      </c>
      <c r="H485" s="35" t="n">
        <v>0.03006329113924044</v>
      </c>
      <c r="I485" s="35" t="n">
        <v>-0.4940414507772021</v>
      </c>
      <c r="J485" s="30" t="n">
        <v>18702</v>
      </c>
      <c r="K485" s="30" t="n">
        <v>18853.33333333333</v>
      </c>
      <c r="L485" s="30" t="n">
        <v>18702.25</v>
      </c>
      <c r="M485" s="35" t="n">
        <v>0.3831643124012244</v>
      </c>
      <c r="N485" s="35" t="n">
        <v>0.4707122664678496</v>
      </c>
      <c r="O485" s="35" t="n">
        <v>0.05226293103448265</v>
      </c>
      <c r="P485" s="35" t="n">
        <v>0.1224137931034484</v>
      </c>
      <c r="Q485" s="35" t="n">
        <v>0.1569905213270142</v>
      </c>
      <c r="R485" s="35" t="n">
        <v>0.04427333974975944</v>
      </c>
      <c r="S485" s="35" t="n">
        <v>0.03589108910891103</v>
      </c>
      <c r="T485" s="35" t="n">
        <v>0.04425938055581558</v>
      </c>
      <c r="U485" s="30" t="n">
        <v>38600</v>
      </c>
      <c r="V485" s="30" t="n">
        <v>16360</v>
      </c>
      <c r="W485" s="35" t="n">
        <v>-0.4940414507772021</v>
      </c>
      <c r="X485" s="35" t="n">
        <v>0.1937652811735942</v>
      </c>
      <c r="Y485" s="30" t="n">
        <v>28966714</v>
      </c>
      <c r="Z485" s="30" t="n">
        <v>565719924420</v>
      </c>
      <c r="AA485" s="30" t="n">
        <v>5961747330</v>
      </c>
      <c r="AB485" s="30" t="n">
        <v>3078459197.5</v>
      </c>
      <c r="AC485" s="35" t="n">
        <v>0.01053833721008189</v>
      </c>
      <c r="AD485" s="24" t="inlineStr">
        <is>
          <t>yfinance_download</t>
        </is>
      </c>
      <c r="AE485" s="24" t="inlineStr">
        <is>
          <t>319660.KQ</t>
        </is>
      </c>
    </row>
    <row r="486" ht="24" customHeight="1">
      <c r="A486" s="29" t="inlineStr">
        <is>
          <t>2025-06-09</t>
        </is>
      </c>
      <c r="B486" s="31" t="n">
        <v>19900</v>
      </c>
      <c r="C486" s="31" t="n">
        <v>20100</v>
      </c>
      <c r="D486" s="31" t="n">
        <v>19490</v>
      </c>
      <c r="E486" s="31" t="n">
        <v>19600</v>
      </c>
      <c r="F486" s="31" t="n">
        <v>19381.005859375</v>
      </c>
      <c r="G486" s="31" t="n">
        <v>212006</v>
      </c>
      <c r="H486" s="36" t="n">
        <v>0.003584229390680926</v>
      </c>
      <c r="I486" s="36" t="n">
        <v>-0.4922279792746114</v>
      </c>
      <c r="J486" s="31" t="n">
        <v>18745.5</v>
      </c>
      <c r="K486" s="31" t="n">
        <v>18887.33333333333</v>
      </c>
      <c r="L486" s="31" t="n">
        <v>18727.25</v>
      </c>
      <c r="M486" s="36" t="n">
        <v>0.3824527448989941</v>
      </c>
      <c r="N486" s="36" t="n">
        <v>0.4705045452923067</v>
      </c>
      <c r="O486" s="36" t="n">
        <v>0.04644954618259467</v>
      </c>
      <c r="P486" s="36" t="n">
        <v>0.1161731207289294</v>
      </c>
      <c r="Q486" s="36" t="n">
        <v>0.1807228915662651</v>
      </c>
      <c r="R486" s="36" t="n">
        <v>0.04558427355898753</v>
      </c>
      <c r="S486" s="36" t="n">
        <v>0.03773251914863573</v>
      </c>
      <c r="T486" s="36" t="n">
        <v>0.04660321189710181</v>
      </c>
      <c r="U486" s="31" t="n">
        <v>38600</v>
      </c>
      <c r="V486" s="31" t="n">
        <v>16360</v>
      </c>
      <c r="W486" s="36" t="n">
        <v>-0.4922279792746114</v>
      </c>
      <c r="X486" s="36" t="n">
        <v>0.1980440097799512</v>
      </c>
      <c r="Y486" s="31" t="n">
        <v>28966714</v>
      </c>
      <c r="Z486" s="31" t="n">
        <v>567747594400</v>
      </c>
      <c r="AA486" s="31" t="n">
        <v>4155317600</v>
      </c>
      <c r="AB486" s="31" t="n">
        <v>3102422905</v>
      </c>
      <c r="AC486" s="36" t="n">
        <v>0.007318952367189458</v>
      </c>
      <c r="AD486" s="29" t="inlineStr">
        <is>
          <t>yfinance_download</t>
        </is>
      </c>
      <c r="AE486" s="29" t="inlineStr">
        <is>
          <t>319660.KQ</t>
        </is>
      </c>
    </row>
    <row r="487" ht="24" customHeight="1">
      <c r="A487" s="24" t="inlineStr">
        <is>
          <t>2025-06-10</t>
        </is>
      </c>
      <c r="B487" s="30" t="n">
        <v>19800</v>
      </c>
      <c r="C487" s="30" t="n">
        <v>19830</v>
      </c>
      <c r="D487" s="30" t="n">
        <v>19360</v>
      </c>
      <c r="E487" s="30" t="n">
        <v>19450</v>
      </c>
      <c r="F487" s="30" t="n">
        <v>19232.681640625</v>
      </c>
      <c r="G487" s="30" t="n">
        <v>158307</v>
      </c>
      <c r="H487" s="35" t="n">
        <v>-0.007653061224489832</v>
      </c>
      <c r="I487" s="35" t="n">
        <v>-0.4961139896373057</v>
      </c>
      <c r="J487" s="30" t="n">
        <v>18794</v>
      </c>
      <c r="K487" s="30" t="n">
        <v>18920.33333333333</v>
      </c>
      <c r="L487" s="30" t="n">
        <v>18744.91666666667</v>
      </c>
      <c r="M487" s="35" t="n">
        <v>0.3798387526237061</v>
      </c>
      <c r="N487" s="35" t="n">
        <v>0.4707025880534891</v>
      </c>
      <c r="O487" s="35" t="n">
        <v>0.05248917748917759</v>
      </c>
      <c r="P487" s="35" t="n">
        <v>0.1133371493989697</v>
      </c>
      <c r="Q487" s="35" t="n">
        <v>0.122331217541835</v>
      </c>
      <c r="R487" s="35" t="n">
        <v>0.03490475683728844</v>
      </c>
      <c r="S487" s="35" t="n">
        <v>0.02799457373901104</v>
      </c>
      <c r="T487" s="35" t="n">
        <v>0.03761464219188304</v>
      </c>
      <c r="U487" s="30" t="n">
        <v>38600</v>
      </c>
      <c r="V487" s="30" t="n">
        <v>16360</v>
      </c>
      <c r="W487" s="35" t="n">
        <v>-0.4961139896373057</v>
      </c>
      <c r="X487" s="35" t="n">
        <v>0.188875305623472</v>
      </c>
      <c r="Y487" s="30" t="n">
        <v>28966714</v>
      </c>
      <c r="Z487" s="30" t="n">
        <v>563402587300</v>
      </c>
      <c r="AA487" s="30" t="n">
        <v>3079071150</v>
      </c>
      <c r="AB487" s="30" t="n">
        <v>3144999350.5</v>
      </c>
      <c r="AC487" s="35" t="n">
        <v>0.005465134913128221</v>
      </c>
      <c r="AD487" s="24" t="inlineStr">
        <is>
          <t>yfinance_download</t>
        </is>
      </c>
      <c r="AE487" s="24" t="inlineStr">
        <is>
          <t>319660.KQ</t>
        </is>
      </c>
    </row>
    <row r="488" ht="24" customHeight="1">
      <c r="A488" s="29" t="inlineStr">
        <is>
          <t>2025-06-11</t>
        </is>
      </c>
      <c r="B488" s="31" t="n">
        <v>19630</v>
      </c>
      <c r="C488" s="31" t="n">
        <v>20100</v>
      </c>
      <c r="D488" s="31" t="n">
        <v>19630</v>
      </c>
      <c r="E488" s="31" t="n">
        <v>19910</v>
      </c>
      <c r="F488" s="31" t="n">
        <v>19687.541015625</v>
      </c>
      <c r="G488" s="31" t="n">
        <v>293143</v>
      </c>
      <c r="H488" s="36" t="n">
        <v>0.02365038560411303</v>
      </c>
      <c r="I488" s="36" t="n">
        <v>-0.4841968911917098</v>
      </c>
      <c r="J488" s="31" t="n">
        <v>18827.5</v>
      </c>
      <c r="K488" s="31" t="n">
        <v>18944.66666666667</v>
      </c>
      <c r="L488" s="31" t="n">
        <v>18770.66666666667</v>
      </c>
      <c r="M488" s="36" t="n">
        <v>0.361074700153773</v>
      </c>
      <c r="N488" s="36" t="n">
        <v>0.4594022531791727</v>
      </c>
      <c r="O488" s="36" t="n">
        <v>0.03482328482328478</v>
      </c>
      <c r="P488" s="36" t="n">
        <v>0.07913279132791318</v>
      </c>
      <c r="Q488" s="36" t="n">
        <v>0.1837098692033294</v>
      </c>
      <c r="R488" s="36" t="n">
        <v>0.05749568450404996</v>
      </c>
      <c r="S488" s="36" t="n">
        <v>0.05095541401273884</v>
      </c>
      <c r="T488" s="36" t="n">
        <v>0.06069754226452617</v>
      </c>
      <c r="U488" s="31" t="n">
        <v>38600</v>
      </c>
      <c r="V488" s="31" t="n">
        <v>16360</v>
      </c>
      <c r="W488" s="36" t="n">
        <v>-0.4841968911917098</v>
      </c>
      <c r="X488" s="36" t="n">
        <v>0.2169926650366749</v>
      </c>
      <c r="Y488" s="31" t="n">
        <v>28966714</v>
      </c>
      <c r="Z488" s="31" t="n">
        <v>576727275740</v>
      </c>
      <c r="AA488" s="31" t="n">
        <v>5836477130</v>
      </c>
      <c r="AB488" s="31" t="n">
        <v>3260632907</v>
      </c>
      <c r="AC488" s="36" t="n">
        <v>0.01011999497077922</v>
      </c>
      <c r="AD488" s="29" t="inlineStr">
        <is>
          <t>yfinance_download</t>
        </is>
      </c>
      <c r="AE488" s="29" t="inlineStr">
        <is>
          <t>319660.KQ</t>
        </is>
      </c>
    </row>
    <row r="489" ht="24" customHeight="1">
      <c r="A489" s="24" t="inlineStr">
        <is>
          <t>2025-06-12</t>
        </is>
      </c>
      <c r="B489" s="30" t="n">
        <v>19960</v>
      </c>
      <c r="C489" s="30" t="n">
        <v>20150</v>
      </c>
      <c r="D489" s="30" t="n">
        <v>19680</v>
      </c>
      <c r="E489" s="30" t="n">
        <v>19820</v>
      </c>
      <c r="F489" s="30" t="n">
        <v>19598.546875</v>
      </c>
      <c r="G489" s="30" t="n">
        <v>278478</v>
      </c>
      <c r="H489" s="35" t="n">
        <v>-0.004520341536916161</v>
      </c>
      <c r="I489" s="35" t="n">
        <v>-0.4865284974093265</v>
      </c>
      <c r="J489" s="30" t="n">
        <v>18847.5</v>
      </c>
      <c r="K489" s="30" t="n">
        <v>18969.33333333333</v>
      </c>
      <c r="L489" s="30" t="n">
        <v>18799.33333333333</v>
      </c>
      <c r="M489" s="35" t="n">
        <v>0.3606642886788922</v>
      </c>
      <c r="N489" s="35" t="n">
        <v>0.4593092931374905</v>
      </c>
      <c r="O489" s="35" t="n">
        <v>0.02059732234809464</v>
      </c>
      <c r="P489" s="35" t="n">
        <v>0.08069792802617237</v>
      </c>
      <c r="Q489" s="35" t="n">
        <v>0.2100122100122099</v>
      </c>
      <c r="R489" s="35" t="n">
        <v>0.05159835521952516</v>
      </c>
      <c r="S489" s="35" t="n">
        <v>0.04484431011457102</v>
      </c>
      <c r="T489" s="35" t="n">
        <v>0.05429270541508568</v>
      </c>
      <c r="U489" s="30" t="n">
        <v>38600</v>
      </c>
      <c r="V489" s="30" t="n">
        <v>16360</v>
      </c>
      <c r="W489" s="35" t="n">
        <v>-0.4865284974093265</v>
      </c>
      <c r="X489" s="35" t="n">
        <v>0.2114914425427872</v>
      </c>
      <c r="Y489" s="30" t="n">
        <v>28966714</v>
      </c>
      <c r="Z489" s="30" t="n">
        <v>574120271480</v>
      </c>
      <c r="AA489" s="30" t="n">
        <v>5519433960</v>
      </c>
      <c r="AB489" s="30" t="n">
        <v>3324626566</v>
      </c>
      <c r="AC489" s="35" t="n">
        <v>0.009613724221532342</v>
      </c>
      <c r="AD489" s="24" t="inlineStr">
        <is>
          <t>yfinance_download</t>
        </is>
      </c>
      <c r="AE489" s="24" t="inlineStr">
        <is>
          <t>319660.KQ</t>
        </is>
      </c>
    </row>
    <row r="490" ht="24" customHeight="1">
      <c r="A490" s="29" t="inlineStr">
        <is>
          <t>2025-06-13</t>
        </is>
      </c>
      <c r="B490" s="31" t="n">
        <v>19990</v>
      </c>
      <c r="C490" s="31" t="n">
        <v>19990</v>
      </c>
      <c r="D490" s="31" t="n">
        <v>19000</v>
      </c>
      <c r="E490" s="31" t="n">
        <v>19300</v>
      </c>
      <c r="F490" s="31" t="n">
        <v>19084.357421875</v>
      </c>
      <c r="G490" s="31" t="n">
        <v>417652</v>
      </c>
      <c r="H490" s="36" t="n">
        <v>-0.02623612512613527</v>
      </c>
      <c r="I490" s="36" t="n">
        <v>-0.5</v>
      </c>
      <c r="J490" s="31" t="n">
        <v>18826</v>
      </c>
      <c r="K490" s="31" t="n">
        <v>18970.83333333333</v>
      </c>
      <c r="L490" s="31" t="n">
        <v>18821.41666666667</v>
      </c>
      <c r="M490" s="36" t="n">
        <v>0.3688694981311659</v>
      </c>
      <c r="N490" s="36" t="n">
        <v>0.4527476732171051</v>
      </c>
      <c r="O490" s="36" t="n">
        <v>-0.02179422199695891</v>
      </c>
      <c r="P490" s="36" t="n">
        <v>0.004685059864653729</v>
      </c>
      <c r="Q490" s="36" t="n">
        <v>0.1591591591591592</v>
      </c>
      <c r="R490" s="36" t="n">
        <v>0.025177945394667</v>
      </c>
      <c r="S490" s="36" t="n">
        <v>0.01735119701295851</v>
      </c>
      <c r="T490" s="36" t="n">
        <v>0.02542759356584035</v>
      </c>
      <c r="U490" s="31" t="n">
        <v>38600</v>
      </c>
      <c r="V490" s="31" t="n">
        <v>16360</v>
      </c>
      <c r="W490" s="36" t="n">
        <v>-0.5</v>
      </c>
      <c r="X490" s="36" t="n">
        <v>0.1797066014669926</v>
      </c>
      <c r="Y490" s="31" t="n">
        <v>28966714</v>
      </c>
      <c r="Z490" s="31" t="n">
        <v>559057580200</v>
      </c>
      <c r="AA490" s="31" t="n">
        <v>8060683600</v>
      </c>
      <c r="AB490" s="31" t="n">
        <v>3590198876.5</v>
      </c>
      <c r="AC490" s="36" t="n">
        <v>0.0144183423773922</v>
      </c>
      <c r="AD490" s="29" t="inlineStr">
        <is>
          <t>yfinance_download</t>
        </is>
      </c>
      <c r="AE490" s="29" t="inlineStr">
        <is>
          <t>319660.KQ</t>
        </is>
      </c>
    </row>
    <row r="491" ht="24" customHeight="1">
      <c r="A491" s="24" t="inlineStr">
        <is>
          <t>2025-06-16</t>
        </is>
      </c>
      <c r="B491" s="30" t="n">
        <v>19280</v>
      </c>
      <c r="C491" s="30" t="n">
        <v>19480</v>
      </c>
      <c r="D491" s="30" t="n">
        <v>19070</v>
      </c>
      <c r="E491" s="30" t="n">
        <v>19450</v>
      </c>
      <c r="F491" s="30" t="n">
        <v>19232.681640625</v>
      </c>
      <c r="G491" s="30" t="n">
        <v>229026</v>
      </c>
      <c r="H491" s="35" t="n">
        <v>0.007772020725388629</v>
      </c>
      <c r="I491" s="35" t="n">
        <v>-0.4961139896373057</v>
      </c>
      <c r="J491" s="30" t="n">
        <v>18842.5</v>
      </c>
      <c r="K491" s="30" t="n">
        <v>18964.66666666667</v>
      </c>
      <c r="L491" s="30" t="n">
        <v>18838.75</v>
      </c>
      <c r="M491" s="35" t="n">
        <v>0.3522234428909661</v>
      </c>
      <c r="N491" s="35" t="n">
        <v>0.4483174493984794</v>
      </c>
      <c r="O491" s="35" t="n">
        <v>0.01725941422594146</v>
      </c>
      <c r="P491" s="35" t="n">
        <v>-0.01866801210898084</v>
      </c>
      <c r="Q491" s="35" t="n">
        <v>0.1197466896948762</v>
      </c>
      <c r="R491" s="35" t="n">
        <v>0.0322409446729468</v>
      </c>
      <c r="S491" s="35" t="n">
        <v>0.02559145076809499</v>
      </c>
      <c r="T491" s="35" t="n">
        <v>0.03244642027735378</v>
      </c>
      <c r="U491" s="30" t="n">
        <v>38600</v>
      </c>
      <c r="V491" s="30" t="n">
        <v>16360</v>
      </c>
      <c r="W491" s="35" t="n">
        <v>-0.4961139896373057</v>
      </c>
      <c r="X491" s="35" t="n">
        <v>0.188875305623472</v>
      </c>
      <c r="Y491" s="30" t="n">
        <v>28966714</v>
      </c>
      <c r="Z491" s="30" t="n">
        <v>563402587300</v>
      </c>
      <c r="AA491" s="30" t="n">
        <v>4454555700</v>
      </c>
      <c r="AB491" s="30" t="n">
        <v>3553933833.5</v>
      </c>
      <c r="AC491" s="35" t="n">
        <v>0.007906523328811131</v>
      </c>
      <c r="AD491" s="24" t="inlineStr">
        <is>
          <t>yfinance_download</t>
        </is>
      </c>
      <c r="AE491" s="24" t="inlineStr">
        <is>
          <t>319660.KQ</t>
        </is>
      </c>
    </row>
    <row r="492" ht="24" customHeight="1">
      <c r="A492" s="29" t="inlineStr">
        <is>
          <t>2025-06-17</t>
        </is>
      </c>
      <c r="B492" s="31" t="n">
        <v>19540</v>
      </c>
      <c r="C492" s="31" t="n">
        <v>20600</v>
      </c>
      <c r="D492" s="31" t="n">
        <v>19390</v>
      </c>
      <c r="E492" s="31" t="n">
        <v>19680</v>
      </c>
      <c r="F492" s="31" t="n">
        <v>19460.111328125</v>
      </c>
      <c r="G492" s="31" t="n">
        <v>388765</v>
      </c>
      <c r="H492" s="36" t="n">
        <v>0.01182519280205652</v>
      </c>
      <c r="I492" s="36" t="n">
        <v>-0.4901554404145078</v>
      </c>
      <c r="J492" s="31" t="n">
        <v>18876.5</v>
      </c>
      <c r="K492" s="31" t="n">
        <v>18961.66666666667</v>
      </c>
      <c r="L492" s="31" t="n">
        <v>18855.5</v>
      </c>
      <c r="M492" s="36" t="n">
        <v>0.3530618790776944</v>
      </c>
      <c r="N492" s="36" t="n">
        <v>0.4489488185499388</v>
      </c>
      <c r="O492" s="36" t="n">
        <v>0.03578947368421059</v>
      </c>
      <c r="P492" s="36" t="n">
        <v>-0.009063444108761365</v>
      </c>
      <c r="Q492" s="36" t="n">
        <v>0.1137521222410867</v>
      </c>
      <c r="R492" s="36" t="n">
        <v>0.04256615368315098</v>
      </c>
      <c r="S492" s="36" t="n">
        <v>0.03788344906390084</v>
      </c>
      <c r="T492" s="36" t="n">
        <v>0.04372729442337775</v>
      </c>
      <c r="U492" s="31" t="n">
        <v>38600</v>
      </c>
      <c r="V492" s="31" t="n">
        <v>16360</v>
      </c>
      <c r="W492" s="36" t="n">
        <v>-0.4901554404145078</v>
      </c>
      <c r="X492" s="36" t="n">
        <v>0.2029339853300733</v>
      </c>
      <c r="Y492" s="31" t="n">
        <v>28966714</v>
      </c>
      <c r="Z492" s="31" t="n">
        <v>570064931520</v>
      </c>
      <c r="AA492" s="31" t="n">
        <v>7650895200</v>
      </c>
      <c r="AB492" s="31" t="n">
        <v>3810582693.5</v>
      </c>
      <c r="AC492" s="36" t="n">
        <v>0.01342109429464454</v>
      </c>
      <c r="AD492" s="29" t="inlineStr">
        <is>
          <t>yfinance_download</t>
        </is>
      </c>
      <c r="AE492" s="29" t="inlineStr">
        <is>
          <t>319660.KQ</t>
        </is>
      </c>
    </row>
    <row r="493" ht="24" customHeight="1">
      <c r="A493" s="24" t="inlineStr">
        <is>
          <t>2025-06-18</t>
        </is>
      </c>
      <c r="B493" s="30" t="n">
        <v>19500</v>
      </c>
      <c r="C493" s="30" t="n">
        <v>19940</v>
      </c>
      <c r="D493" s="30" t="n">
        <v>19410</v>
      </c>
      <c r="E493" s="30" t="n">
        <v>19900</v>
      </c>
      <c r="F493" s="30" t="n">
        <v>19677.654296875</v>
      </c>
      <c r="G493" s="30" t="n">
        <v>154496</v>
      </c>
      <c r="H493" s="35" t="n">
        <v>0.01117886178861793</v>
      </c>
      <c r="I493" s="35" t="n">
        <v>-0.4844559585492227</v>
      </c>
      <c r="J493" s="30" t="n">
        <v>18951</v>
      </c>
      <c r="K493" s="30" t="n">
        <v>18940</v>
      </c>
      <c r="L493" s="30" t="n">
        <v>18873.25</v>
      </c>
      <c r="M493" s="35" t="n">
        <v>0.3318173028709588</v>
      </c>
      <c r="N493" s="35" t="n">
        <v>0.4272406454270502</v>
      </c>
      <c r="O493" s="35" t="n">
        <v>0.08093427485062477</v>
      </c>
      <c r="P493" s="35" t="n">
        <v>-0.06132075471698117</v>
      </c>
      <c r="Q493" s="35" t="n">
        <v>0.1198649409116488</v>
      </c>
      <c r="R493" s="35" t="n">
        <v>0.05007651311276451</v>
      </c>
      <c r="S493" s="35" t="n">
        <v>0.05068637803590281</v>
      </c>
      <c r="T493" s="35" t="n">
        <v>0.05440239492403265</v>
      </c>
      <c r="U493" s="30" t="n">
        <v>38600</v>
      </c>
      <c r="V493" s="30" t="n">
        <v>16360</v>
      </c>
      <c r="W493" s="35" t="n">
        <v>-0.4844559585492227</v>
      </c>
      <c r="X493" s="35" t="n">
        <v>0.2163814180929096</v>
      </c>
      <c r="Y493" s="30" t="n">
        <v>28966714</v>
      </c>
      <c r="Z493" s="30" t="n">
        <v>576437608600</v>
      </c>
      <c r="AA493" s="30" t="n">
        <v>3074470400</v>
      </c>
      <c r="AB493" s="30" t="n">
        <v>3818882862</v>
      </c>
      <c r="AC493" s="35" t="n">
        <v>0.005333570110852063</v>
      </c>
      <c r="AD493" s="24" t="inlineStr">
        <is>
          <t>yfinance_download</t>
        </is>
      </c>
      <c r="AE493" s="24" t="inlineStr">
        <is>
          <t>319660.KQ</t>
        </is>
      </c>
    </row>
    <row r="494" ht="24" customHeight="1">
      <c r="A494" s="29" t="inlineStr">
        <is>
          <t>2025-06-19</t>
        </is>
      </c>
      <c r="B494" s="31" t="n">
        <v>20100</v>
      </c>
      <c r="C494" s="31" t="n">
        <v>20100</v>
      </c>
      <c r="D494" s="31" t="n">
        <v>19380</v>
      </c>
      <c r="E494" s="31" t="n">
        <v>19510</v>
      </c>
      <c r="F494" s="31" t="n">
        <v>19292.01171875</v>
      </c>
      <c r="G494" s="31" t="n">
        <v>199533</v>
      </c>
      <c r="H494" s="36" t="n">
        <v>-0.01959798994974871</v>
      </c>
      <c r="I494" s="36" t="n">
        <v>-0.494559585492228</v>
      </c>
      <c r="J494" s="31" t="n">
        <v>19006</v>
      </c>
      <c r="K494" s="31" t="n">
        <v>18909.33333333333</v>
      </c>
      <c r="L494" s="31" t="n">
        <v>18887.33333333333</v>
      </c>
      <c r="M494" s="36" t="n">
        <v>0.3421655584870346</v>
      </c>
      <c r="N494" s="36" t="n">
        <v>0.4286627544126613</v>
      </c>
      <c r="O494" s="36" t="n">
        <v>0.05975013579576327</v>
      </c>
      <c r="P494" s="36" t="n">
        <v>-0.08618266978922717</v>
      </c>
      <c r="Q494" s="36" t="n">
        <v>0.09483726150392813</v>
      </c>
      <c r="R494" s="36" t="n">
        <v>0.02651794170262023</v>
      </c>
      <c r="S494" s="36" t="n">
        <v>0.03176561838950787</v>
      </c>
      <c r="T494" s="36" t="n">
        <v>0.03296742084642279</v>
      </c>
      <c r="U494" s="31" t="n">
        <v>38600</v>
      </c>
      <c r="V494" s="31" t="n">
        <v>16360</v>
      </c>
      <c r="W494" s="36" t="n">
        <v>-0.494559585492228</v>
      </c>
      <c r="X494" s="36" t="n">
        <v>0.1925427872860637</v>
      </c>
      <c r="Y494" s="31" t="n">
        <v>28966714</v>
      </c>
      <c r="Z494" s="31" t="n">
        <v>565140590140</v>
      </c>
      <c r="AA494" s="31" t="n">
        <v>3892888830</v>
      </c>
      <c r="AB494" s="31" t="n">
        <v>3877495813.5</v>
      </c>
      <c r="AC494" s="36" t="n">
        <v>0.006888354681860014</v>
      </c>
      <c r="AD494" s="29" t="inlineStr">
        <is>
          <t>yfinance_download</t>
        </is>
      </c>
      <c r="AE494" s="29" t="inlineStr">
        <is>
          <t>319660.KQ</t>
        </is>
      </c>
    </row>
    <row r="495" ht="24" customHeight="1">
      <c r="A495" s="24" t="inlineStr">
        <is>
          <t>2025-06-20</t>
        </is>
      </c>
      <c r="B495" s="30" t="n">
        <v>19700</v>
      </c>
      <c r="C495" s="30" t="n">
        <v>19880</v>
      </c>
      <c r="D495" s="30" t="n">
        <v>19500</v>
      </c>
      <c r="E495" s="30" t="n">
        <v>19760</v>
      </c>
      <c r="F495" s="30" t="n">
        <v>19539.21875</v>
      </c>
      <c r="G495" s="30" t="n">
        <v>200080</v>
      </c>
      <c r="H495" s="35" t="n">
        <v>0.01281394156842652</v>
      </c>
      <c r="I495" s="35" t="n">
        <v>-0.4880829015544041</v>
      </c>
      <c r="J495" s="30" t="n">
        <v>19069</v>
      </c>
      <c r="K495" s="30" t="n">
        <v>18882.83333333333</v>
      </c>
      <c r="L495" s="30" t="n">
        <v>18902</v>
      </c>
      <c r="M495" s="35" t="n">
        <v>0.3438589644097345</v>
      </c>
      <c r="N495" s="35" t="n">
        <v>0.4296118537167242</v>
      </c>
      <c r="O495" s="35" t="n">
        <v>0.06810810810810808</v>
      </c>
      <c r="P495" s="35" t="n">
        <v>-0.07447306791569086</v>
      </c>
      <c r="Q495" s="35" t="n">
        <v>0.09777777777777774</v>
      </c>
      <c r="R495" s="35" t="n">
        <v>0.03623682416487495</v>
      </c>
      <c r="S495" s="35" t="n">
        <v>0.0464531276203255</v>
      </c>
      <c r="T495" s="35" t="n">
        <v>0.0453920220082531</v>
      </c>
      <c r="U495" s="30" t="n">
        <v>38600</v>
      </c>
      <c r="V495" s="30" t="n">
        <v>16360</v>
      </c>
      <c r="W495" s="35" t="n">
        <v>-0.4880829015544041</v>
      </c>
      <c r="X495" s="35" t="n">
        <v>0.2078239608801955</v>
      </c>
      <c r="Y495" s="30" t="n">
        <v>28966714</v>
      </c>
      <c r="Z495" s="30" t="n">
        <v>572382268640</v>
      </c>
      <c r="AA495" s="30" t="n">
        <v>3953580800</v>
      </c>
      <c r="AB495" s="30" t="n">
        <v>3989521703.5</v>
      </c>
      <c r="AC495" s="35" t="n">
        <v>0.006907238425456198</v>
      </c>
      <c r="AD495" s="24" t="inlineStr">
        <is>
          <t>yfinance_download</t>
        </is>
      </c>
      <c r="AE495" s="24" t="inlineStr">
        <is>
          <t>319660.KQ</t>
        </is>
      </c>
    </row>
    <row r="496" ht="24" customHeight="1">
      <c r="A496" s="29" t="inlineStr">
        <is>
          <t>2025-06-23</t>
        </is>
      </c>
      <c r="B496" s="31" t="n">
        <v>19380</v>
      </c>
      <c r="C496" s="31" t="n">
        <v>19390</v>
      </c>
      <c r="D496" s="31" t="n">
        <v>18630</v>
      </c>
      <c r="E496" s="31" t="n">
        <v>18950</v>
      </c>
      <c r="F496" s="31" t="n">
        <v>18738.267578125</v>
      </c>
      <c r="G496" s="31" t="n">
        <v>328719</v>
      </c>
      <c r="H496" s="36" t="n">
        <v>-0.04099190283400811</v>
      </c>
      <c r="I496" s="36" t="n">
        <v>-0.5090673575129534</v>
      </c>
      <c r="J496" s="31" t="n">
        <v>19128.5</v>
      </c>
      <c r="K496" s="31" t="n">
        <v>18829.5</v>
      </c>
      <c r="L496" s="31" t="n">
        <v>18911.58333333333</v>
      </c>
      <c r="M496" s="36" t="n">
        <v>0.3455380628411234</v>
      </c>
      <c r="N496" s="36" t="n">
        <v>0.4297512377218542</v>
      </c>
      <c r="O496" s="36" t="n">
        <v>0.06700450450450446</v>
      </c>
      <c r="P496" s="36" t="n">
        <v>-0.1444695259593679</v>
      </c>
      <c r="Q496" s="36" t="n">
        <v>0.06460674157303381</v>
      </c>
      <c r="R496" s="36" t="n">
        <v>-0.009331625584860337</v>
      </c>
      <c r="S496" s="36" t="n">
        <v>0.006399532648238226</v>
      </c>
      <c r="T496" s="36" t="n">
        <v>0.002031382882624833</v>
      </c>
      <c r="U496" s="31" t="n">
        <v>38600</v>
      </c>
      <c r="V496" s="31" t="n">
        <v>16360</v>
      </c>
      <c r="W496" s="36" t="n">
        <v>-0.5090673575129534</v>
      </c>
      <c r="X496" s="36" t="n">
        <v>0.1583129584352079</v>
      </c>
      <c r="Y496" s="31" t="n">
        <v>28966714</v>
      </c>
      <c r="Z496" s="31" t="n">
        <v>548919230300</v>
      </c>
      <c r="AA496" s="31" t="n">
        <v>6229225050</v>
      </c>
      <c r="AB496" s="31" t="n">
        <v>4152138172</v>
      </c>
      <c r="AC496" s="36" t="n">
        <v>0.01134816327457785</v>
      </c>
      <c r="AD496" s="29" t="inlineStr">
        <is>
          <t>yfinance_download</t>
        </is>
      </c>
      <c r="AE496" s="29" t="inlineStr">
        <is>
          <t>319660.KQ</t>
        </is>
      </c>
    </row>
    <row r="497" ht="24" customHeight="1">
      <c r="A497" s="24" t="inlineStr">
        <is>
          <t>2025-06-24</t>
        </is>
      </c>
      <c r="B497" s="30" t="n">
        <v>19300</v>
      </c>
      <c r="C497" s="30" t="n">
        <v>19770</v>
      </c>
      <c r="D497" s="30" t="n">
        <v>19280</v>
      </c>
      <c r="E497" s="30" t="n">
        <v>19650</v>
      </c>
      <c r="F497" s="30" t="n">
        <v>19430.447265625</v>
      </c>
      <c r="G497" s="30" t="n">
        <v>278694</v>
      </c>
      <c r="H497" s="35" t="n">
        <v>0.03693931398416894</v>
      </c>
      <c r="I497" s="35" t="n">
        <v>-0.4909326424870466</v>
      </c>
      <c r="J497" s="30" t="n">
        <v>19218.5</v>
      </c>
      <c r="K497" s="30" t="n">
        <v>18803.66666666667</v>
      </c>
      <c r="L497" s="30" t="n">
        <v>18936</v>
      </c>
      <c r="M497" s="35" t="n">
        <v>0.3654355178581307</v>
      </c>
      <c r="N497" s="35" t="n">
        <v>0.4286354287272972</v>
      </c>
      <c r="O497" s="35" t="n">
        <v>0.1008403361344539</v>
      </c>
      <c r="P497" s="35" t="n">
        <v>-0.07311320754716977</v>
      </c>
      <c r="Q497" s="35" t="n">
        <v>0.1752392344497609</v>
      </c>
      <c r="R497" s="35" t="n">
        <v>0.0224523245830841</v>
      </c>
      <c r="S497" s="35" t="n">
        <v>0.04500895215472145</v>
      </c>
      <c r="T497" s="35" t="n">
        <v>0.0377059569074778</v>
      </c>
      <c r="U497" s="30" t="n">
        <v>38600</v>
      </c>
      <c r="V497" s="30" t="n">
        <v>16360</v>
      </c>
      <c r="W497" s="35" t="n">
        <v>-0.4909326424870466</v>
      </c>
      <c r="X497" s="35" t="n">
        <v>0.2011002444987775</v>
      </c>
      <c r="Y497" s="30" t="n">
        <v>28966714</v>
      </c>
      <c r="Z497" s="30" t="n">
        <v>569195930100</v>
      </c>
      <c r="AA497" s="30" t="n">
        <v>5476337100</v>
      </c>
      <c r="AB497" s="30" t="n">
        <v>4324719644.5</v>
      </c>
      <c r="AC497" s="35" t="n">
        <v>0.009621181056297929</v>
      </c>
      <c r="AD497" s="24" t="inlineStr">
        <is>
          <t>yfinance_download</t>
        </is>
      </c>
      <c r="AE497" s="24" t="inlineStr">
        <is>
          <t>319660.KQ</t>
        </is>
      </c>
    </row>
    <row r="498" ht="24" customHeight="1">
      <c r="A498" s="29" t="inlineStr">
        <is>
          <t>2025-06-25</t>
        </is>
      </c>
      <c r="B498" s="31" t="n">
        <v>20000</v>
      </c>
      <c r="C498" s="31" t="n">
        <v>20100</v>
      </c>
      <c r="D498" s="31" t="n">
        <v>19310</v>
      </c>
      <c r="E498" s="31" t="n">
        <v>19630</v>
      </c>
      <c r="F498" s="31" t="n">
        <v>19410.669921875</v>
      </c>
      <c r="G498" s="31" t="n">
        <v>277814</v>
      </c>
      <c r="H498" s="36" t="n">
        <v>-0.001017811704834615</v>
      </c>
      <c r="I498" s="36" t="n">
        <v>-0.4914507772020725</v>
      </c>
      <c r="J498" s="31" t="n">
        <v>19277.5</v>
      </c>
      <c r="K498" s="31" t="n">
        <v>18761.66666666667</v>
      </c>
      <c r="L498" s="31" t="n">
        <v>18961.83333333333</v>
      </c>
      <c r="M498" s="36" t="n">
        <v>0.3499015816221256</v>
      </c>
      <c r="N498" s="36" t="n">
        <v>0.4179139490795036</v>
      </c>
      <c r="O498" s="36" t="n">
        <v>0.06395663956639575</v>
      </c>
      <c r="P498" s="36" t="n">
        <v>-0.1137697516930023</v>
      </c>
      <c r="Q498" s="36" t="n">
        <v>0.1875378100423473</v>
      </c>
      <c r="R498" s="36" t="n">
        <v>0.01828556607443921</v>
      </c>
      <c r="S498" s="36" t="n">
        <v>0.04628231322732512</v>
      </c>
      <c r="T498" s="36" t="n">
        <v>0.03523745066844808</v>
      </c>
      <c r="U498" s="31" t="n">
        <v>38600</v>
      </c>
      <c r="V498" s="31" t="n">
        <v>16360</v>
      </c>
      <c r="W498" s="36" t="n">
        <v>-0.4914507772020725</v>
      </c>
      <c r="X498" s="36" t="n">
        <v>0.199877750611247</v>
      </c>
      <c r="Y498" s="31" t="n">
        <v>28966714</v>
      </c>
      <c r="Z498" s="31" t="n">
        <v>568616595820</v>
      </c>
      <c r="AA498" s="31" t="n">
        <v>5453488820</v>
      </c>
      <c r="AB498" s="31" t="n">
        <v>4429609785.5</v>
      </c>
      <c r="AC498" s="36" t="n">
        <v>0.009590801359104799</v>
      </c>
      <c r="AD498" s="29" t="inlineStr">
        <is>
          <t>yfinance_download</t>
        </is>
      </c>
      <c r="AE498" s="29" t="inlineStr">
        <is>
          <t>319660.KQ</t>
        </is>
      </c>
    </row>
    <row r="499" ht="24" customHeight="1">
      <c r="A499" s="24" t="inlineStr">
        <is>
          <t>2025-06-26</t>
        </is>
      </c>
      <c r="B499" s="30" t="n">
        <v>19860</v>
      </c>
      <c r="C499" s="30" t="n">
        <v>20150</v>
      </c>
      <c r="D499" s="30" t="n">
        <v>19250</v>
      </c>
      <c r="E499" s="30" t="n">
        <v>19500</v>
      </c>
      <c r="F499" s="30" t="n">
        <v>19282.123046875</v>
      </c>
      <c r="G499" s="30" t="n">
        <v>259010</v>
      </c>
      <c r="H499" s="35" t="n">
        <v>-0.006622516556291425</v>
      </c>
      <c r="I499" s="35" t="n">
        <v>-0.4948186528497409</v>
      </c>
      <c r="J499" s="30" t="n">
        <v>19344.5</v>
      </c>
      <c r="K499" s="30" t="n">
        <v>18725.83333333333</v>
      </c>
      <c r="L499" s="30" t="n">
        <v>18982.5</v>
      </c>
      <c r="M499" s="35" t="n">
        <v>0.3447843976161293</v>
      </c>
      <c r="N499" s="35" t="n">
        <v>0.4157791414613075</v>
      </c>
      <c r="O499" s="35" t="n">
        <v>0.07378854625550657</v>
      </c>
      <c r="P499" s="35" t="n">
        <v>-0.09930715935334877</v>
      </c>
      <c r="Q499" s="35" t="n">
        <v>0.1457109283196241</v>
      </c>
      <c r="R499" s="35" t="n">
        <v>0.008038460544340875</v>
      </c>
      <c r="S499" s="35" t="n">
        <v>0.04134217435806153</v>
      </c>
      <c r="T499" s="35" t="n">
        <v>0.02726195179770841</v>
      </c>
      <c r="U499" s="30" t="n">
        <v>38600</v>
      </c>
      <c r="V499" s="30" t="n">
        <v>16360</v>
      </c>
      <c r="W499" s="35" t="n">
        <v>-0.4948186528497409</v>
      </c>
      <c r="X499" s="35" t="n">
        <v>0.1919315403422983</v>
      </c>
      <c r="Y499" s="30" t="n">
        <v>28966714</v>
      </c>
      <c r="Z499" s="30" t="n">
        <v>564850923000</v>
      </c>
      <c r="AA499" s="30" t="n">
        <v>5050695000</v>
      </c>
      <c r="AB499" s="30" t="n">
        <v>4599024399.5</v>
      </c>
      <c r="AC499" s="35" t="n">
        <v>0.008941642465900689</v>
      </c>
      <c r="AD499" s="24" t="inlineStr">
        <is>
          <t>yfinance_download</t>
        </is>
      </c>
      <c r="AE499" s="24" t="inlineStr">
        <is>
          <t>319660.KQ</t>
        </is>
      </c>
    </row>
    <row r="500" ht="24" customHeight="1">
      <c r="A500" s="29" t="inlineStr">
        <is>
          <t>2025-06-27</t>
        </is>
      </c>
      <c r="B500" s="31" t="n">
        <v>19600</v>
      </c>
      <c r="C500" s="31" t="n">
        <v>19630</v>
      </c>
      <c r="D500" s="31" t="n">
        <v>19250</v>
      </c>
      <c r="E500" s="31" t="n">
        <v>19430</v>
      </c>
      <c r="F500" s="31" t="n">
        <v>19212.904296875</v>
      </c>
      <c r="G500" s="31" t="n">
        <v>152129</v>
      </c>
      <c r="H500" s="36" t="n">
        <v>-0.003589743589743621</v>
      </c>
      <c r="I500" s="36" t="n">
        <v>-0.4966321243523316</v>
      </c>
      <c r="J500" s="31" t="n">
        <v>19382</v>
      </c>
      <c r="K500" s="31" t="n">
        <v>18699.66666666667</v>
      </c>
      <c r="L500" s="31" t="n">
        <v>19002.75</v>
      </c>
      <c r="M500" s="36" t="n">
        <v>0.3327521192104557</v>
      </c>
      <c r="N500" s="36" t="n">
        <v>0.4115148351937076</v>
      </c>
      <c r="O500" s="36" t="n">
        <v>0.04014989293361881</v>
      </c>
      <c r="P500" s="36" t="n">
        <v>-0.07476190476190481</v>
      </c>
      <c r="Q500" s="36" t="n">
        <v>0.1429411764705881</v>
      </c>
      <c r="R500" s="36" t="n">
        <v>0.002476524610463215</v>
      </c>
      <c r="S500" s="36" t="n">
        <v>0.03905595465159806</v>
      </c>
      <c r="T500" s="36" t="n">
        <v>0.02248358790175109</v>
      </c>
      <c r="U500" s="31" t="n">
        <v>38600</v>
      </c>
      <c r="V500" s="31" t="n">
        <v>16360</v>
      </c>
      <c r="W500" s="36" t="n">
        <v>-0.4966321243523316</v>
      </c>
      <c r="X500" s="36" t="n">
        <v>0.1876528117359413</v>
      </c>
      <c r="Y500" s="31" t="n">
        <v>28966714</v>
      </c>
      <c r="Z500" s="31" t="n">
        <v>562823253020</v>
      </c>
      <c r="AA500" s="31" t="n">
        <v>2955866470</v>
      </c>
      <c r="AB500" s="31" t="n">
        <v>4594079769</v>
      </c>
      <c r="AC500" s="36" t="n">
        <v>0.005251855629879178</v>
      </c>
      <c r="AD500" s="29" t="inlineStr">
        <is>
          <t>yfinance_download</t>
        </is>
      </c>
      <c r="AE500" s="29" t="inlineStr">
        <is>
          <t>319660.KQ</t>
        </is>
      </c>
    </row>
    <row r="501" ht="24" customHeight="1">
      <c r="A501" s="24" t="inlineStr">
        <is>
          <t>2025-06-30</t>
        </is>
      </c>
      <c r="B501" s="30" t="n">
        <v>19590</v>
      </c>
      <c r="C501" s="30" t="n">
        <v>19590</v>
      </c>
      <c r="D501" s="30" t="n">
        <v>19110</v>
      </c>
      <c r="E501" s="30" t="n">
        <v>19370</v>
      </c>
      <c r="F501" s="30" t="n">
        <v>19153.576171875</v>
      </c>
      <c r="G501" s="30" t="n">
        <v>148965</v>
      </c>
      <c r="H501" s="35" t="n">
        <v>-0.003088008234688577</v>
      </c>
      <c r="I501" s="35" t="n">
        <v>-0.4981865284974093</v>
      </c>
      <c r="J501" s="30" t="n">
        <v>19404.5</v>
      </c>
      <c r="K501" s="30" t="n">
        <v>18686.66666666667</v>
      </c>
      <c r="L501" s="30" t="n">
        <v>19026.75</v>
      </c>
      <c r="M501" s="35" t="n">
        <v>0.3307778587606002</v>
      </c>
      <c r="N501" s="35" t="n">
        <v>0.4032313997692997</v>
      </c>
      <c r="O501" s="35" t="n">
        <v>0.02378435517970412</v>
      </c>
      <c r="P501" s="35" t="n">
        <v>-0.03870967741935483</v>
      </c>
      <c r="Q501" s="35" t="n">
        <v>0.1746513038204973</v>
      </c>
      <c r="R501" s="35" t="n">
        <v>-0.001777938107140109</v>
      </c>
      <c r="S501" s="35" t="n">
        <v>0.03656796289689601</v>
      </c>
      <c r="T501" s="35" t="n">
        <v>0.01804039050284478</v>
      </c>
      <c r="U501" s="30" t="n">
        <v>38600</v>
      </c>
      <c r="V501" s="30" t="n">
        <v>16360</v>
      </c>
      <c r="W501" s="35" t="n">
        <v>-0.4981865284974093</v>
      </c>
      <c r="X501" s="35" t="n">
        <v>0.1839853300733496</v>
      </c>
      <c r="Y501" s="30" t="n">
        <v>28966714</v>
      </c>
      <c r="Z501" s="30" t="n">
        <v>561085250180</v>
      </c>
      <c r="AA501" s="30" t="n">
        <v>2885452050</v>
      </c>
      <c r="AB501" s="30" t="n">
        <v>4625964733.5</v>
      </c>
      <c r="AC501" s="35" t="n">
        <v>0.005142626809516606</v>
      </c>
      <c r="AD501" s="24" t="inlineStr">
        <is>
          <t>yfinance_download</t>
        </is>
      </c>
      <c r="AE501" s="24" t="inlineStr">
        <is>
          <t>319660.KQ</t>
        </is>
      </c>
    </row>
    <row r="502" ht="24" customHeight="1">
      <c r="A502" s="29" t="inlineStr">
        <is>
          <t>2025-07-01</t>
        </is>
      </c>
      <c r="B502" s="31" t="n">
        <v>19370</v>
      </c>
      <c r="C502" s="31" t="n">
        <v>19560</v>
      </c>
      <c r="D502" s="31" t="n">
        <v>19250</v>
      </c>
      <c r="E502" s="31" t="n">
        <v>19250</v>
      </c>
      <c r="F502" s="31" t="n">
        <v>19034.916015625</v>
      </c>
      <c r="G502" s="31" t="n">
        <v>166131</v>
      </c>
      <c r="H502" s="36" t="n">
        <v>-0.00619514713474445</v>
      </c>
      <c r="I502" s="36" t="n">
        <v>-0.5012953367875648</v>
      </c>
      <c r="J502" s="31" t="n">
        <v>19452</v>
      </c>
      <c r="K502" s="31" t="n">
        <v>18667.5</v>
      </c>
      <c r="L502" s="31" t="n">
        <v>19049.66666666667</v>
      </c>
      <c r="M502" s="36" t="n">
        <v>0.3069812337247362</v>
      </c>
      <c r="N502" s="36" t="n">
        <v>0.402521338730559</v>
      </c>
      <c r="O502" s="36" t="n">
        <v>0.05191256830601088</v>
      </c>
      <c r="P502" s="36" t="n">
        <v>-0.05637254901960786</v>
      </c>
      <c r="Q502" s="36" t="n">
        <v>0.1666666666666667</v>
      </c>
      <c r="R502" s="36" t="n">
        <v>-0.01038453629446845</v>
      </c>
      <c r="S502" s="36" t="n">
        <v>0.03120396410874515</v>
      </c>
      <c r="T502" s="36" t="n">
        <v>0.01051636949027968</v>
      </c>
      <c r="U502" s="31" t="n">
        <v>38600</v>
      </c>
      <c r="V502" s="31" t="n">
        <v>16360</v>
      </c>
      <c r="W502" s="36" t="n">
        <v>-0.5012953367875648</v>
      </c>
      <c r="X502" s="36" t="n">
        <v>0.1766503667481663</v>
      </c>
      <c r="Y502" s="31" t="n">
        <v>28966714</v>
      </c>
      <c r="Z502" s="31" t="n">
        <v>557609244500</v>
      </c>
      <c r="AA502" s="31" t="n">
        <v>3198021750</v>
      </c>
      <c r="AB502" s="31" t="n">
        <v>4636805001</v>
      </c>
      <c r="AC502" s="36" t="n">
        <v>0.005735238039081685</v>
      </c>
      <c r="AD502" s="29" t="inlineStr">
        <is>
          <t>yfinance_download</t>
        </is>
      </c>
      <c r="AE502" s="29" t="inlineStr">
        <is>
          <t>319660.KQ</t>
        </is>
      </c>
    </row>
    <row r="503" ht="24" customHeight="1">
      <c r="A503" s="24" t="inlineStr">
        <is>
          <t>2025-07-02</t>
        </is>
      </c>
      <c r="B503" s="30" t="n">
        <v>19340</v>
      </c>
      <c r="C503" s="30" t="n">
        <v>19360</v>
      </c>
      <c r="D503" s="30" t="n">
        <v>18780</v>
      </c>
      <c r="E503" s="30" t="n">
        <v>19200</v>
      </c>
      <c r="F503" s="30" t="n">
        <v>18985.474609375</v>
      </c>
      <c r="G503" s="30" t="n">
        <v>152212</v>
      </c>
      <c r="H503" s="35" t="n">
        <v>-0.002597402597402598</v>
      </c>
      <c r="I503" s="35" t="n">
        <v>-0.5025906735751295</v>
      </c>
      <c r="J503" s="30" t="n">
        <v>19492.5</v>
      </c>
      <c r="K503" s="30" t="n">
        <v>18661.33333333333</v>
      </c>
      <c r="L503" s="30" t="n">
        <v>19072.16666666667</v>
      </c>
      <c r="M503" s="35" t="n">
        <v>0.3074235484775612</v>
      </c>
      <c r="N503" s="35" t="n">
        <v>0.3938145664060174</v>
      </c>
      <c r="O503" s="35" t="n">
        <v>0.04404567699836859</v>
      </c>
      <c r="P503" s="35" t="n">
        <v>-0.0189064895247828</v>
      </c>
      <c r="Q503" s="35" t="n">
        <v>0.1636363636363636</v>
      </c>
      <c r="R503" s="35" t="n">
        <v>-0.01500577145055793</v>
      </c>
      <c r="S503" s="35" t="n">
        <v>0.02886539011146039</v>
      </c>
      <c r="T503" s="35" t="n">
        <v>0.006702612008773645</v>
      </c>
      <c r="U503" s="30" t="n">
        <v>38600</v>
      </c>
      <c r="V503" s="30" t="n">
        <v>16360</v>
      </c>
      <c r="W503" s="35" t="n">
        <v>-0.5025906735751295</v>
      </c>
      <c r="X503" s="35" t="n">
        <v>0.1735941320293399</v>
      </c>
      <c r="Y503" s="30" t="n">
        <v>28966714</v>
      </c>
      <c r="Z503" s="30" t="n">
        <v>556160908800</v>
      </c>
      <c r="AA503" s="30" t="n">
        <v>2922470400</v>
      </c>
      <c r="AB503" s="30" t="n">
        <v>4686557565</v>
      </c>
      <c r="AC503" s="35" t="n">
        <v>0.005254720987682621</v>
      </c>
      <c r="AD503" s="24" t="inlineStr">
        <is>
          <t>yfinance_download</t>
        </is>
      </c>
      <c r="AE503" s="24" t="inlineStr">
        <is>
          <t>319660.KQ</t>
        </is>
      </c>
    </row>
    <row r="504" ht="24" customHeight="1">
      <c r="A504" s="29" t="inlineStr">
        <is>
          <t>2025-07-03</t>
        </is>
      </c>
      <c r="B504" s="31" t="n">
        <v>19360</v>
      </c>
      <c r="C504" s="31" t="n">
        <v>19770</v>
      </c>
      <c r="D504" s="31" t="n">
        <v>19180</v>
      </c>
      <c r="E504" s="31" t="n">
        <v>19700</v>
      </c>
      <c r="F504" s="31" t="n">
        <v>19479.888671875</v>
      </c>
      <c r="G504" s="31" t="n">
        <v>455952</v>
      </c>
      <c r="H504" s="36" t="n">
        <v>0.02604166666666674</v>
      </c>
      <c r="I504" s="36" t="n">
        <v>-0.4896373056994818</v>
      </c>
      <c r="J504" s="31" t="n">
        <v>19529.5</v>
      </c>
      <c r="K504" s="31" t="n">
        <v>18676.16666666667</v>
      </c>
      <c r="L504" s="31" t="n">
        <v>19100</v>
      </c>
      <c r="M504" s="36" t="n">
        <v>0.3017493033281267</v>
      </c>
      <c r="N504" s="36" t="n">
        <v>0.3889131613825194</v>
      </c>
      <c r="O504" s="36" t="n">
        <v>0.03902953586497881</v>
      </c>
      <c r="P504" s="36" t="n">
        <v>0.04731525784157364</v>
      </c>
      <c r="Q504" s="36" t="n">
        <v>0.2041564792176038</v>
      </c>
      <c r="R504" s="36" t="n">
        <v>0.008730382242248869</v>
      </c>
      <c r="S504" s="36" t="n">
        <v>0.05482031466128845</v>
      </c>
      <c r="T504" s="36" t="n">
        <v>0.03141361256544495</v>
      </c>
      <c r="U504" s="31" t="n">
        <v>38600</v>
      </c>
      <c r="V504" s="31" t="n">
        <v>16360</v>
      </c>
      <c r="W504" s="36" t="n">
        <v>-0.4896373056994818</v>
      </c>
      <c r="X504" s="36" t="n">
        <v>0.2041564792176038</v>
      </c>
      <c r="Y504" s="31" t="n">
        <v>28966714</v>
      </c>
      <c r="Z504" s="31" t="n">
        <v>570644265800</v>
      </c>
      <c r="AA504" s="31" t="n">
        <v>8982254400</v>
      </c>
      <c r="AB504" s="31" t="n">
        <v>4939646637</v>
      </c>
      <c r="AC504" s="36" t="n">
        <v>0.01574054965295684</v>
      </c>
      <c r="AD504" s="29" t="inlineStr">
        <is>
          <t>yfinance_download</t>
        </is>
      </c>
      <c r="AE504" s="29" t="inlineStr">
        <is>
          <t>319660.KQ</t>
        </is>
      </c>
    </row>
    <row r="505" ht="24" customHeight="1">
      <c r="A505" s="24" t="inlineStr">
        <is>
          <t>2025-07-04</t>
        </is>
      </c>
      <c r="B505" s="30" t="n">
        <v>19820</v>
      </c>
      <c r="C505" s="30" t="n">
        <v>19840</v>
      </c>
      <c r="D505" s="30" t="n">
        <v>18930</v>
      </c>
      <c r="E505" s="30" t="n">
        <v>18950</v>
      </c>
      <c r="F505" s="30" t="n">
        <v>18738.267578125</v>
      </c>
      <c r="G505" s="30" t="n">
        <v>313790</v>
      </c>
      <c r="H505" s="35" t="n">
        <v>-0.03807106598984766</v>
      </c>
      <c r="I505" s="35" t="n">
        <v>-0.5090673575129534</v>
      </c>
      <c r="J505" s="30" t="n">
        <v>19500.5</v>
      </c>
      <c r="K505" s="30" t="n">
        <v>18692.66666666667</v>
      </c>
      <c r="L505" s="30" t="n">
        <v>19112.83333333333</v>
      </c>
      <c r="M505" s="35" t="n">
        <v>0.3146174830576597</v>
      </c>
      <c r="N505" s="35" t="n">
        <v>0.3855565124947331</v>
      </c>
      <c r="O505" s="35" t="n">
        <v>-0.0296979006656426</v>
      </c>
      <c r="P505" s="35" t="n">
        <v>0.05512249443207118</v>
      </c>
      <c r="Q505" s="35" t="n">
        <v>0.08845491097070646</v>
      </c>
      <c r="R505" s="35" t="n">
        <v>-0.02823004538345175</v>
      </c>
      <c r="S505" s="35" t="n">
        <v>0.01376653946289097</v>
      </c>
      <c r="T505" s="35" t="n">
        <v>-0.008519581084262651</v>
      </c>
      <c r="U505" s="30" t="n">
        <v>38600</v>
      </c>
      <c r="V505" s="30" t="n">
        <v>16360</v>
      </c>
      <c r="W505" s="35" t="n">
        <v>-0.5090673575129534</v>
      </c>
      <c r="X505" s="35" t="n">
        <v>0.1583129584352079</v>
      </c>
      <c r="Y505" s="30" t="n">
        <v>28966714</v>
      </c>
      <c r="Z505" s="30" t="n">
        <v>548919230300</v>
      </c>
      <c r="AA505" s="30" t="n">
        <v>5946320500</v>
      </c>
      <c r="AB505" s="30" t="n">
        <v>4938875295.5</v>
      </c>
      <c r="AC505" s="35" t="n">
        <v>0.01083277861617303</v>
      </c>
      <c r="AD505" s="24" t="inlineStr">
        <is>
          <t>yfinance_download</t>
        </is>
      </c>
      <c r="AE505" s="24" t="inlineStr">
        <is>
          <t>319660.KQ</t>
        </is>
      </c>
    </row>
    <row r="506" ht="24" customHeight="1">
      <c r="A506" s="29" t="inlineStr">
        <is>
          <t>2025-07-07</t>
        </is>
      </c>
      <c r="B506" s="31" t="n">
        <v>18990</v>
      </c>
      <c r="C506" s="31" t="n">
        <v>18990</v>
      </c>
      <c r="D506" s="31" t="n">
        <v>18650</v>
      </c>
      <c r="E506" s="31" t="n">
        <v>18680</v>
      </c>
      <c r="F506" s="31" t="n">
        <v>18471.28515625</v>
      </c>
      <c r="G506" s="31" t="n">
        <v>245278</v>
      </c>
      <c r="H506" s="36" t="n">
        <v>-0.01424802110817946</v>
      </c>
      <c r="I506" s="36" t="n">
        <v>-0.5160621761658031</v>
      </c>
      <c r="J506" s="31" t="n">
        <v>19454.5</v>
      </c>
      <c r="K506" s="31" t="n">
        <v>18722.5</v>
      </c>
      <c r="L506" s="31" t="n">
        <v>19109.58333333333</v>
      </c>
      <c r="M506" s="36" t="n">
        <v>0.3172878592751911</v>
      </c>
      <c r="N506" s="36" t="n">
        <v>0.3657260978173706</v>
      </c>
      <c r="O506" s="36" t="n">
        <v>-0.04693877551020409</v>
      </c>
      <c r="P506" s="36" t="n">
        <v>0.1059798697454115</v>
      </c>
      <c r="Q506" s="36" t="n">
        <v>-0.02045097011012065</v>
      </c>
      <c r="R506" s="36" t="n">
        <v>-0.03981084067953433</v>
      </c>
      <c r="S506" s="36" t="n">
        <v>-0.002269995994124696</v>
      </c>
      <c r="T506" s="36" t="n">
        <v>-0.02247999476702345</v>
      </c>
      <c r="U506" s="31" t="n">
        <v>38600</v>
      </c>
      <c r="V506" s="31" t="n">
        <v>16360</v>
      </c>
      <c r="W506" s="36" t="n">
        <v>-0.5160621761658031</v>
      </c>
      <c r="X506" s="36" t="n">
        <v>0.1418092909535453</v>
      </c>
      <c r="Y506" s="31" t="n">
        <v>28966714</v>
      </c>
      <c r="Z506" s="31" t="n">
        <v>541098217520</v>
      </c>
      <c r="AA506" s="31" t="n">
        <v>4581793040</v>
      </c>
      <c r="AB506" s="31" t="n">
        <v>4960199067.5</v>
      </c>
      <c r="AC506" s="36" t="n">
        <v>0.008467581100155164</v>
      </c>
      <c r="AD506" s="29" t="inlineStr">
        <is>
          <t>yfinance_download</t>
        </is>
      </c>
      <c r="AE506" s="29" t="inlineStr">
        <is>
          <t>319660.KQ</t>
        </is>
      </c>
    </row>
    <row r="507" ht="24" customHeight="1">
      <c r="A507" s="24" t="inlineStr">
        <is>
          <t>2025-07-08</t>
        </is>
      </c>
      <c r="B507" s="30" t="n">
        <v>18670</v>
      </c>
      <c r="C507" s="30" t="n">
        <v>18910</v>
      </c>
      <c r="D507" s="30" t="n">
        <v>18510</v>
      </c>
      <c r="E507" s="30" t="n">
        <v>18790</v>
      </c>
      <c r="F507" s="30" t="n">
        <v>18580.056640625</v>
      </c>
      <c r="G507" s="30" t="n">
        <v>133303</v>
      </c>
      <c r="H507" s="35" t="n">
        <v>0.005888650963597364</v>
      </c>
      <c r="I507" s="35" t="n">
        <v>-0.5132124352331606</v>
      </c>
      <c r="J507" s="30" t="n">
        <v>19421.5</v>
      </c>
      <c r="K507" s="30" t="n">
        <v>18759.5</v>
      </c>
      <c r="L507" s="30" t="n">
        <v>19111.66666666667</v>
      </c>
      <c r="M507" s="35" t="n">
        <v>0.3178475670306025</v>
      </c>
      <c r="N507" s="35" t="n">
        <v>0.3632009295842676</v>
      </c>
      <c r="O507" s="35" t="n">
        <v>-0.03393316195372753</v>
      </c>
      <c r="P507" s="35" t="n">
        <v>0.1339770669885334</v>
      </c>
      <c r="Q507" s="35" t="n">
        <v>0.01348435814455229</v>
      </c>
      <c r="R507" s="35" t="n">
        <v>-0.03251551116031204</v>
      </c>
      <c r="S507" s="35" t="n">
        <v>0.001625842906260777</v>
      </c>
      <c r="T507" s="35" t="n">
        <v>-0.01683090607831172</v>
      </c>
      <c r="U507" s="30" t="n">
        <v>38600</v>
      </c>
      <c r="V507" s="30" t="n">
        <v>16360</v>
      </c>
      <c r="W507" s="35" t="n">
        <v>-0.5132124352331606</v>
      </c>
      <c r="X507" s="35" t="n">
        <v>0.1485330073349633</v>
      </c>
      <c r="Y507" s="30" t="n">
        <v>28966714</v>
      </c>
      <c r="Z507" s="30" t="n">
        <v>544284556060</v>
      </c>
      <c r="AA507" s="30" t="n">
        <v>2504763370</v>
      </c>
      <c r="AB507" s="30" t="n">
        <v>4931483678.5</v>
      </c>
      <c r="AC507" s="35" t="n">
        <v>0.00460193724424524</v>
      </c>
      <c r="AD507" s="24" t="inlineStr">
        <is>
          <t>yfinance_download</t>
        </is>
      </c>
      <c r="AE507" s="24" t="inlineStr">
        <is>
          <t>319660.KQ</t>
        </is>
      </c>
    </row>
    <row r="508" ht="24" customHeight="1">
      <c r="A508" s="29" t="inlineStr">
        <is>
          <t>2025-07-09</t>
        </is>
      </c>
      <c r="B508" s="31" t="n">
        <v>18810</v>
      </c>
      <c r="C508" s="31" t="n">
        <v>18850</v>
      </c>
      <c r="D508" s="31" t="n">
        <v>18150</v>
      </c>
      <c r="E508" s="31" t="n">
        <v>18180</v>
      </c>
      <c r="F508" s="31" t="n">
        <v>17976.87109375</v>
      </c>
      <c r="G508" s="31" t="n">
        <v>313253</v>
      </c>
      <c r="H508" s="36" t="n">
        <v>-0.03246407663650874</v>
      </c>
      <c r="I508" s="36" t="n">
        <v>-0.5290155440414508</v>
      </c>
      <c r="J508" s="31" t="n">
        <v>19335</v>
      </c>
      <c r="K508" s="31" t="n">
        <v>18784.16666666667</v>
      </c>
      <c r="L508" s="31" t="n">
        <v>19100.66666666667</v>
      </c>
      <c r="M508" s="36" t="n">
        <v>0.3212727819530886</v>
      </c>
      <c r="N508" s="36" t="n">
        <v>0.3699305099645048</v>
      </c>
      <c r="O508" s="36" t="n">
        <v>-0.08689100954294326</v>
      </c>
      <c r="P508" s="36" t="n">
        <v>0.08862275449101786</v>
      </c>
      <c r="Q508" s="36" t="n">
        <v>-0.06769230769230772</v>
      </c>
      <c r="R508" s="36" t="n">
        <v>-0.05973622963537628</v>
      </c>
      <c r="S508" s="36" t="n">
        <v>-0.03216361297191794</v>
      </c>
      <c r="T508" s="36" t="n">
        <v>-0.0482007608809466</v>
      </c>
      <c r="U508" s="31" t="n">
        <v>38600</v>
      </c>
      <c r="V508" s="31" t="n">
        <v>16360</v>
      </c>
      <c r="W508" s="36" t="n">
        <v>-0.5290155440414508</v>
      </c>
      <c r="X508" s="36" t="n">
        <v>0.1112469437652812</v>
      </c>
      <c r="Y508" s="31" t="n">
        <v>28966714</v>
      </c>
      <c r="Z508" s="31" t="n">
        <v>526614860520</v>
      </c>
      <c r="AA508" s="31" t="n">
        <v>5694939540</v>
      </c>
      <c r="AB508" s="31" t="n">
        <v>4924406799</v>
      </c>
      <c r="AC508" s="36" t="n">
        <v>0.01081424009640859</v>
      </c>
      <c r="AD508" s="29" t="inlineStr">
        <is>
          <t>yfinance_download</t>
        </is>
      </c>
      <c r="AE508" s="29" t="inlineStr">
        <is>
          <t>319660.KQ</t>
        </is>
      </c>
    </row>
    <row r="509" ht="24" customHeight="1">
      <c r="A509" s="24" t="inlineStr">
        <is>
          <t>2025-07-10</t>
        </is>
      </c>
      <c r="B509" s="30" t="n">
        <v>18340</v>
      </c>
      <c r="C509" s="30" t="n">
        <v>18460</v>
      </c>
      <c r="D509" s="30" t="n">
        <v>18100</v>
      </c>
      <c r="E509" s="30" t="n">
        <v>18250</v>
      </c>
      <c r="F509" s="30" t="n">
        <v>18046.08984375</v>
      </c>
      <c r="G509" s="30" t="n">
        <v>279880</v>
      </c>
      <c r="H509" s="35" t="n">
        <v>0.003850385038503878</v>
      </c>
      <c r="I509" s="35" t="n">
        <v>-0.5272020725388601</v>
      </c>
      <c r="J509" s="30" t="n">
        <v>19256.5</v>
      </c>
      <c r="K509" s="30" t="n">
        <v>18793</v>
      </c>
      <c r="L509" s="30" t="n">
        <v>19094.33333333333</v>
      </c>
      <c r="M509" s="35" t="n">
        <v>0.322581478585302</v>
      </c>
      <c r="N509" s="35" t="n">
        <v>0.3486656076790869</v>
      </c>
      <c r="O509" s="35" t="n">
        <v>-0.07921291624621596</v>
      </c>
      <c r="P509" s="35" t="n">
        <v>0.02990970654627545</v>
      </c>
      <c r="Q509" s="35" t="n">
        <v>-0.03997895844292476</v>
      </c>
      <c r="R509" s="35" t="n">
        <v>-0.0522680653285903</v>
      </c>
      <c r="S509" s="35" t="n">
        <v>-0.02889373702974507</v>
      </c>
      <c r="T509" s="35" t="n">
        <v>-0.04421905277307403</v>
      </c>
      <c r="U509" s="30" t="n">
        <v>38600</v>
      </c>
      <c r="V509" s="30" t="n">
        <v>16360</v>
      </c>
      <c r="W509" s="35" t="n">
        <v>-0.5272020725388601</v>
      </c>
      <c r="X509" s="35" t="n">
        <v>0.1155256723716382</v>
      </c>
      <c r="Y509" s="30" t="n">
        <v>28966714</v>
      </c>
      <c r="Z509" s="30" t="n">
        <v>528642530500</v>
      </c>
      <c r="AA509" s="30" t="n">
        <v>5107810000</v>
      </c>
      <c r="AB509" s="30" t="n">
        <v>4903825601</v>
      </c>
      <c r="AC509" s="35" t="n">
        <v>0.009662124602742307</v>
      </c>
      <c r="AD509" s="24" t="inlineStr">
        <is>
          <t>yfinance_download</t>
        </is>
      </c>
      <c r="AE509" s="24" t="inlineStr">
        <is>
          <t>319660.KQ</t>
        </is>
      </c>
    </row>
    <row r="510" ht="24" customHeight="1">
      <c r="A510" s="29" t="inlineStr">
        <is>
          <t>2025-07-11</t>
        </is>
      </c>
      <c r="B510" s="31" t="n">
        <v>18350</v>
      </c>
      <c r="C510" s="31" t="n">
        <v>20500</v>
      </c>
      <c r="D510" s="31" t="n">
        <v>18300</v>
      </c>
      <c r="E510" s="31" t="n">
        <v>19810</v>
      </c>
      <c r="F510" s="31" t="n">
        <v>19588.658203125</v>
      </c>
      <c r="G510" s="31" t="n">
        <v>1063344</v>
      </c>
      <c r="H510" s="36" t="n">
        <v>0.08547945205479457</v>
      </c>
      <c r="I510" s="36" t="n">
        <v>-0.4867875647668394</v>
      </c>
      <c r="J510" s="31" t="n">
        <v>19282</v>
      </c>
      <c r="K510" s="31" t="n">
        <v>18828.33333333333</v>
      </c>
      <c r="L510" s="31" t="n">
        <v>19101.91666666667</v>
      </c>
      <c r="M510" s="36" t="n">
        <v>0.4417932304488975</v>
      </c>
      <c r="N510" s="36" t="n">
        <v>0.3894613572277686</v>
      </c>
      <c r="O510" s="36" t="n">
        <v>0.02642487046632125</v>
      </c>
      <c r="P510" s="36" t="n">
        <v>0.1198417184850198</v>
      </c>
      <c r="Q510" s="36" t="n">
        <v>0.04814814814814805</v>
      </c>
      <c r="R510" s="36" t="n">
        <v>0.027383051550669</v>
      </c>
      <c r="S510" s="36" t="n">
        <v>0.05213773568203961</v>
      </c>
      <c r="T510" s="36" t="n">
        <v>0.03706870601990198</v>
      </c>
      <c r="U510" s="31" t="n">
        <v>38600</v>
      </c>
      <c r="V510" s="31" t="n">
        <v>16360</v>
      </c>
      <c r="W510" s="36" t="n">
        <v>-0.4867875647668394</v>
      </c>
      <c r="X510" s="36" t="n">
        <v>0.210880195599022</v>
      </c>
      <c r="Y510" s="31" t="n">
        <v>28966714</v>
      </c>
      <c r="Z510" s="31" t="n">
        <v>573830604340</v>
      </c>
      <c r="AA510" s="31" t="n">
        <v>21064844640</v>
      </c>
      <c r="AB510" s="31" t="n">
        <v>5554033653</v>
      </c>
      <c r="AC510" s="36" t="n">
        <v>0.03670916901378596</v>
      </c>
      <c r="AD510" s="29" t="inlineStr">
        <is>
          <t>yfinance_download</t>
        </is>
      </c>
      <c r="AE510" s="29" t="inlineStr">
        <is>
          <t>319660.KQ</t>
        </is>
      </c>
    </row>
    <row r="511" ht="24" customHeight="1">
      <c r="A511" s="24" t="inlineStr">
        <is>
          <t>2025-07-14</t>
        </is>
      </c>
      <c r="B511" s="30" t="n">
        <v>19810</v>
      </c>
      <c r="C511" s="30" t="n">
        <v>20100</v>
      </c>
      <c r="D511" s="30" t="n">
        <v>19510</v>
      </c>
      <c r="E511" s="30" t="n">
        <v>19770</v>
      </c>
      <c r="F511" s="30" t="n">
        <v>19549.10546875</v>
      </c>
      <c r="G511" s="30" t="n">
        <v>298820</v>
      </c>
      <c r="H511" s="35" t="n">
        <v>-0.002019182231196348</v>
      </c>
      <c r="I511" s="35" t="n">
        <v>-0.4878238341968912</v>
      </c>
      <c r="J511" s="30" t="n">
        <v>19298</v>
      </c>
      <c r="K511" s="30" t="n">
        <v>18857.16666666667</v>
      </c>
      <c r="L511" s="30" t="n">
        <v>19115</v>
      </c>
      <c r="M511" s="35" t="n">
        <v>0.4413650678064867</v>
      </c>
      <c r="N511" s="35" t="n">
        <v>0.3878119790991359</v>
      </c>
      <c r="O511" s="35" t="n">
        <v>0.01645244215938302</v>
      </c>
      <c r="P511" s="35" t="n">
        <v>0.09589800443458985</v>
      </c>
      <c r="Q511" s="35" t="n">
        <v>0.08626373626373618</v>
      </c>
      <c r="R511" s="35" t="n">
        <v>0.024458493108094</v>
      </c>
      <c r="S511" s="35" t="n">
        <v>0.04840776716191009</v>
      </c>
      <c r="T511" s="35" t="n">
        <v>0.03426628302380319</v>
      </c>
      <c r="U511" s="30" t="n">
        <v>38600</v>
      </c>
      <c r="V511" s="30" t="n">
        <v>16360</v>
      </c>
      <c r="W511" s="35" t="n">
        <v>-0.4878238341968912</v>
      </c>
      <c r="X511" s="35" t="n">
        <v>0.2084352078239609</v>
      </c>
      <c r="Y511" s="30" t="n">
        <v>28966714</v>
      </c>
      <c r="Z511" s="30" t="n">
        <v>572671935780</v>
      </c>
      <c r="AA511" s="30" t="n">
        <v>5907671400</v>
      </c>
      <c r="AB511" s="30" t="n">
        <v>5626689438</v>
      </c>
      <c r="AC511" s="35" t="n">
        <v>0.01031597854005808</v>
      </c>
      <c r="AD511" s="24" t="inlineStr">
        <is>
          <t>yfinance_download</t>
        </is>
      </c>
      <c r="AE511" s="24" t="inlineStr">
        <is>
          <t>319660.KQ</t>
        </is>
      </c>
    </row>
    <row r="512" ht="24" customHeight="1">
      <c r="A512" s="29" t="inlineStr">
        <is>
          <t>2025-07-15</t>
        </is>
      </c>
      <c r="B512" s="31" t="n">
        <v>19770</v>
      </c>
      <c r="C512" s="31" t="n">
        <v>20450</v>
      </c>
      <c r="D512" s="31" t="n">
        <v>19610</v>
      </c>
      <c r="E512" s="31" t="n">
        <v>20450</v>
      </c>
      <c r="F512" s="31" t="n">
        <v>20221.5078125</v>
      </c>
      <c r="G512" s="31" t="n">
        <v>377897</v>
      </c>
      <c r="H512" s="36" t="n">
        <v>0.03439554881133033</v>
      </c>
      <c r="I512" s="36" t="n">
        <v>-0.4702072538860104</v>
      </c>
      <c r="J512" s="31" t="n">
        <v>19336.5</v>
      </c>
      <c r="K512" s="31" t="n">
        <v>18898.83333333333</v>
      </c>
      <c r="L512" s="31" t="n">
        <v>19131.75</v>
      </c>
      <c r="M512" s="36" t="n">
        <v>0.4556289610598771</v>
      </c>
      <c r="N512" s="36" t="n">
        <v>0.3932208965325352</v>
      </c>
      <c r="O512" s="36" t="n">
        <v>0.03912601626016254</v>
      </c>
      <c r="P512" s="36" t="n">
        <v>0.139275766016713</v>
      </c>
      <c r="Q512" s="36" t="n">
        <v>0.109002169197397</v>
      </c>
      <c r="R512" s="36" t="n">
        <v>0.05758539549556541</v>
      </c>
      <c r="S512" s="36" t="n">
        <v>0.0820773769103913</v>
      </c>
      <c r="T512" s="36" t="n">
        <v>0.06890378559201338</v>
      </c>
      <c r="U512" s="31" t="n">
        <v>38600</v>
      </c>
      <c r="V512" s="31" t="n">
        <v>16360</v>
      </c>
      <c r="W512" s="36" t="n">
        <v>-0.4702072538860104</v>
      </c>
      <c r="X512" s="36" t="n">
        <v>0.25</v>
      </c>
      <c r="Y512" s="31" t="n">
        <v>28966714</v>
      </c>
      <c r="Z512" s="31" t="n">
        <v>592369301300</v>
      </c>
      <c r="AA512" s="31" t="n">
        <v>7727993650</v>
      </c>
      <c r="AB512" s="31" t="n">
        <v>5630544360.5</v>
      </c>
      <c r="AC512" s="36" t="n">
        <v>0.01304590503430938</v>
      </c>
      <c r="AD512" s="29" t="inlineStr">
        <is>
          <t>yfinance_download</t>
        </is>
      </c>
      <c r="AE512" s="29" t="inlineStr">
        <is>
          <t>319660.KQ</t>
        </is>
      </c>
    </row>
    <row r="513" ht="24" customHeight="1">
      <c r="A513" s="24" t="inlineStr">
        <is>
          <t>2025-07-16</t>
        </is>
      </c>
      <c r="B513" s="30" t="n">
        <v>20300</v>
      </c>
      <c r="C513" s="30" t="n">
        <v>20550</v>
      </c>
      <c r="D513" s="30" t="n">
        <v>19990</v>
      </c>
      <c r="E513" s="30" t="n">
        <v>20300</v>
      </c>
      <c r="F513" s="30" t="n">
        <v>20073.18359375</v>
      </c>
      <c r="G513" s="30" t="n">
        <v>190067</v>
      </c>
      <c r="H513" s="35" t="n">
        <v>-0.007334963325183352</v>
      </c>
      <c r="I513" s="35" t="n">
        <v>-0.4740932642487047</v>
      </c>
      <c r="J513" s="30" t="n">
        <v>19356.5</v>
      </c>
      <c r="K513" s="30" t="n">
        <v>18949.83333333333</v>
      </c>
      <c r="L513" s="30" t="n">
        <v>19146.25</v>
      </c>
      <c r="M513" s="35" t="n">
        <v>0.4555855497239213</v>
      </c>
      <c r="N513" s="35" t="n">
        <v>0.3839465778554279</v>
      </c>
      <c r="O513" s="35" t="n">
        <v>0.0201005025125629</v>
      </c>
      <c r="P513" s="35" t="n">
        <v>0.1774941995359629</v>
      </c>
      <c r="Q513" s="35" t="n">
        <v>0.09375</v>
      </c>
      <c r="R513" s="35" t="n">
        <v>0.04874331619869299</v>
      </c>
      <c r="S513" s="35" t="n">
        <v>0.07124952726057399</v>
      </c>
      <c r="T513" s="35" t="n">
        <v>0.06025984200561463</v>
      </c>
      <c r="U513" s="30" t="n">
        <v>38600</v>
      </c>
      <c r="V513" s="30" t="n">
        <v>16360</v>
      </c>
      <c r="W513" s="35" t="n">
        <v>-0.4740932642487047</v>
      </c>
      <c r="X513" s="35" t="n">
        <v>0.2408312958435208</v>
      </c>
      <c r="Y513" s="30" t="n">
        <v>28966714</v>
      </c>
      <c r="Z513" s="30" t="n">
        <v>588024294200</v>
      </c>
      <c r="AA513" s="30" t="n">
        <v>3858360100</v>
      </c>
      <c r="AB513" s="30" t="n">
        <v>5669738845.5</v>
      </c>
      <c r="AC513" s="35" t="n">
        <v>0.006561565802734821</v>
      </c>
      <c r="AD513" s="24" t="inlineStr">
        <is>
          <t>yfinance_download</t>
        </is>
      </c>
      <c r="AE513" s="24" t="inlineStr">
        <is>
          <t>319660.KQ</t>
        </is>
      </c>
    </row>
    <row r="514" ht="24" customHeight="1">
      <c r="A514" s="29" t="inlineStr">
        <is>
          <t>2025-07-17</t>
        </is>
      </c>
      <c r="B514" s="31" t="n">
        <v>20500</v>
      </c>
      <c r="C514" s="31" t="n">
        <v>21150</v>
      </c>
      <c r="D514" s="31" t="n">
        <v>19750</v>
      </c>
      <c r="E514" s="31" t="n">
        <v>20850</v>
      </c>
      <c r="F514" s="31" t="n">
        <v>20617.0390625</v>
      </c>
      <c r="G514" s="31" t="n">
        <v>418798</v>
      </c>
      <c r="H514" s="36" t="n">
        <v>0.02709359605911321</v>
      </c>
      <c r="I514" s="36" t="n">
        <v>-0.4598445595854922</v>
      </c>
      <c r="J514" s="31" t="n">
        <v>19423.5</v>
      </c>
      <c r="K514" s="31" t="n">
        <v>19004.66666666667</v>
      </c>
      <c r="L514" s="31" t="n">
        <v>19163.16666666667</v>
      </c>
      <c r="M514" s="36" t="n">
        <v>0.4572164519485812</v>
      </c>
      <c r="N514" s="36" t="n">
        <v>0.3858160870550834</v>
      </c>
      <c r="O514" s="36" t="n">
        <v>0.06868272680676579</v>
      </c>
      <c r="P514" s="36" t="n">
        <v>0.1873576309794989</v>
      </c>
      <c r="Q514" s="36" t="n">
        <v>0.1078639744952179</v>
      </c>
      <c r="R514" s="36" t="n">
        <v>0.07344196463047337</v>
      </c>
      <c r="S514" s="36" t="n">
        <v>0.09709895815062963</v>
      </c>
      <c r="T514" s="36" t="n">
        <v>0.08802476974056117</v>
      </c>
      <c r="U514" s="31" t="n">
        <v>38600</v>
      </c>
      <c r="V514" s="31" t="n">
        <v>16360</v>
      </c>
      <c r="W514" s="36" t="n">
        <v>-0.4598445595854922</v>
      </c>
      <c r="X514" s="36" t="n">
        <v>0.2744498777506112</v>
      </c>
      <c r="Y514" s="31" t="n">
        <v>28966714</v>
      </c>
      <c r="Z514" s="31" t="n">
        <v>603955986900</v>
      </c>
      <c r="AA514" s="31" t="n">
        <v>8731938300</v>
      </c>
      <c r="AB514" s="31" t="n">
        <v>5911691319</v>
      </c>
      <c r="AC514" s="36" t="n">
        <v>0.01445790502850962</v>
      </c>
      <c r="AD514" s="29" t="inlineStr">
        <is>
          <t>yfinance_download</t>
        </is>
      </c>
      <c r="AE514" s="29" t="inlineStr">
        <is>
          <t>319660.KQ</t>
        </is>
      </c>
    </row>
    <row r="515" ht="24" customHeight="1">
      <c r="A515" s="24" t="inlineStr">
        <is>
          <t>2025-07-18</t>
        </is>
      </c>
      <c r="B515" s="30" t="n">
        <v>20600</v>
      </c>
      <c r="C515" s="30" t="n">
        <v>20750</v>
      </c>
      <c r="D515" s="30" t="n">
        <v>20100</v>
      </c>
      <c r="E515" s="30" t="n">
        <v>20200</v>
      </c>
      <c r="F515" s="30" t="n">
        <v>19974.30078125</v>
      </c>
      <c r="G515" s="30" t="n">
        <v>204774</v>
      </c>
      <c r="H515" s="35" t="n">
        <v>-0.0311750599520384</v>
      </c>
      <c r="I515" s="35" t="n">
        <v>-0.4766839378238342</v>
      </c>
      <c r="J515" s="30" t="n">
        <v>19445.5</v>
      </c>
      <c r="K515" s="30" t="n">
        <v>19046</v>
      </c>
      <c r="L515" s="30" t="n">
        <v>19173.16666666667</v>
      </c>
      <c r="M515" s="35" t="n">
        <v>0.4720263425176319</v>
      </c>
      <c r="N515" s="35" t="n">
        <v>0.3919444372957146</v>
      </c>
      <c r="O515" s="35" t="n">
        <v>0.02226720647773273</v>
      </c>
      <c r="P515" s="35" t="n">
        <v>0.1399548532731376</v>
      </c>
      <c r="Q515" s="35" t="n">
        <v>0.06315789473684208</v>
      </c>
      <c r="R515" s="35" t="n">
        <v>0.03880075081638434</v>
      </c>
      <c r="S515" s="35" t="n">
        <v>0.06059015016276392</v>
      </c>
      <c r="T515" s="35" t="n">
        <v>0.05355575065847229</v>
      </c>
      <c r="U515" s="30" t="n">
        <v>38600</v>
      </c>
      <c r="V515" s="30" t="n">
        <v>16360</v>
      </c>
      <c r="W515" s="35" t="n">
        <v>-0.4766839378238342</v>
      </c>
      <c r="X515" s="35" t="n">
        <v>0.2347188264058679</v>
      </c>
      <c r="Y515" s="30" t="n">
        <v>28966714</v>
      </c>
      <c r="Z515" s="30" t="n">
        <v>585127622800</v>
      </c>
      <c r="AA515" s="30" t="n">
        <v>4136434800</v>
      </c>
      <c r="AB515" s="30" t="n">
        <v>5920834019</v>
      </c>
      <c r="AC515" s="35" t="n">
        <v>0.007069286492075008</v>
      </c>
      <c r="AD515" s="24" t="inlineStr">
        <is>
          <t>yfinance_download</t>
        </is>
      </c>
      <c r="AE515" s="24" t="inlineStr">
        <is>
          <t>319660.KQ</t>
        </is>
      </c>
    </row>
    <row r="516" ht="24" customHeight="1">
      <c r="A516" s="29" t="inlineStr">
        <is>
          <t>2025-07-21</t>
        </is>
      </c>
      <c r="B516" s="31" t="n">
        <v>20050</v>
      </c>
      <c r="C516" s="31" t="n">
        <v>20300</v>
      </c>
      <c r="D516" s="31" t="n">
        <v>20000</v>
      </c>
      <c r="E516" s="31" t="n">
        <v>20200</v>
      </c>
      <c r="F516" s="31" t="n">
        <v>19974.30078125</v>
      </c>
      <c r="G516" s="31" t="n">
        <v>119926</v>
      </c>
      <c r="H516" s="36" t="n">
        <v>0</v>
      </c>
      <c r="I516" s="36" t="n">
        <v>-0.4766839378238342</v>
      </c>
      <c r="J516" s="31" t="n">
        <v>19508</v>
      </c>
      <c r="K516" s="31" t="n">
        <v>19075.5</v>
      </c>
      <c r="L516" s="31" t="n">
        <v>19183.16666666667</v>
      </c>
      <c r="M516" s="36" t="n">
        <v>0.4447044517937938</v>
      </c>
      <c r="N516" s="36" t="n">
        <v>0.3840557383635846</v>
      </c>
      <c r="O516" s="36" t="n">
        <v>0.06596306068601576</v>
      </c>
      <c r="P516" s="36" t="n">
        <v>0.09603906673901252</v>
      </c>
      <c r="Q516" s="36" t="n">
        <v>0.06315789473684208</v>
      </c>
      <c r="R516" s="36" t="n">
        <v>0.03547262661472206</v>
      </c>
      <c r="S516" s="36" t="n">
        <v>0.05894996199313263</v>
      </c>
      <c r="T516" s="36" t="n">
        <v>0.05300654219411105</v>
      </c>
      <c r="U516" s="31" t="n">
        <v>38600</v>
      </c>
      <c r="V516" s="31" t="n">
        <v>16360</v>
      </c>
      <c r="W516" s="36" t="n">
        <v>-0.4766839378238342</v>
      </c>
      <c r="X516" s="36" t="n">
        <v>0.2347188264058679</v>
      </c>
      <c r="Y516" s="31" t="n">
        <v>28966714</v>
      </c>
      <c r="Z516" s="31" t="n">
        <v>585127622800</v>
      </c>
      <c r="AA516" s="31" t="n">
        <v>2422505200</v>
      </c>
      <c r="AB516" s="31" t="n">
        <v>5730498026.5</v>
      </c>
      <c r="AC516" s="36" t="n">
        <v>0.004140131324526489</v>
      </c>
      <c r="AD516" s="29" t="inlineStr">
        <is>
          <t>yfinance_download</t>
        </is>
      </c>
      <c r="AE516" s="29" t="inlineStr">
        <is>
          <t>319660.KQ</t>
        </is>
      </c>
    </row>
    <row r="517" ht="24" customHeight="1">
      <c r="A517" s="24" t="inlineStr">
        <is>
          <t>2025-07-22</t>
        </is>
      </c>
      <c r="B517" s="30" t="n">
        <v>20600</v>
      </c>
      <c r="C517" s="30" t="n">
        <v>20900</v>
      </c>
      <c r="D517" s="30" t="n">
        <v>19860</v>
      </c>
      <c r="E517" s="30" t="n">
        <v>20100</v>
      </c>
      <c r="F517" s="30" t="n">
        <v>19875.41796875</v>
      </c>
      <c r="G517" s="30" t="n">
        <v>236884</v>
      </c>
      <c r="H517" s="35" t="n">
        <v>-0.004950495049504955</v>
      </c>
      <c r="I517" s="35" t="n">
        <v>-0.4792746113989638</v>
      </c>
      <c r="J517" s="30" t="n">
        <v>19530.5</v>
      </c>
      <c r="K517" s="30" t="n">
        <v>19110.16666666667</v>
      </c>
      <c r="L517" s="30" t="n">
        <v>19191.5</v>
      </c>
      <c r="M517" s="35" t="n">
        <v>0.4275337633712673</v>
      </c>
      <c r="N517" s="35" t="n">
        <v>0.3810515153457512</v>
      </c>
      <c r="O517" s="35" t="n">
        <v>0.02290076335877855</v>
      </c>
      <c r="P517" s="35" t="n">
        <v>0.1154273029966704</v>
      </c>
      <c r="Q517" s="35" t="n">
        <v>0.05235602094240832</v>
      </c>
      <c r="R517" s="35" t="n">
        <v>0.02915951972555741</v>
      </c>
      <c r="S517" s="35" t="n">
        <v>0.05179616434533085</v>
      </c>
      <c r="T517" s="35" t="n">
        <v>0.04733866555506339</v>
      </c>
      <c r="U517" s="30" t="n">
        <v>38600</v>
      </c>
      <c r="V517" s="30" t="n">
        <v>16360</v>
      </c>
      <c r="W517" s="35" t="n">
        <v>-0.4792746113989638</v>
      </c>
      <c r="X517" s="35" t="n">
        <v>0.2286063569682151</v>
      </c>
      <c r="Y517" s="30" t="n">
        <v>28966714</v>
      </c>
      <c r="Z517" s="30" t="n">
        <v>582230951400</v>
      </c>
      <c r="AA517" s="30" t="n">
        <v>4761368400</v>
      </c>
      <c r="AB517" s="30" t="n">
        <v>5694749591.5</v>
      </c>
      <c r="AC517" s="35" t="n">
        <v>0.008177800215792513</v>
      </c>
      <c r="AD517" s="24" t="inlineStr">
        <is>
          <t>yfinance_download</t>
        </is>
      </c>
      <c r="AE517" s="24" t="inlineStr">
        <is>
          <t>319660.KQ</t>
        </is>
      </c>
    </row>
    <row r="518" ht="24" customHeight="1">
      <c r="A518" s="29" t="inlineStr">
        <is>
          <t>2025-07-23</t>
        </is>
      </c>
      <c r="B518" s="31" t="n">
        <v>20100</v>
      </c>
      <c r="C518" s="31" t="n">
        <v>20250</v>
      </c>
      <c r="D518" s="31" t="n">
        <v>19420</v>
      </c>
      <c r="E518" s="31" t="n">
        <v>20150</v>
      </c>
      <c r="F518" s="31" t="n">
        <v>19924.859375</v>
      </c>
      <c r="G518" s="31" t="n">
        <v>198475</v>
      </c>
      <c r="H518" s="36" t="n">
        <v>0.002487562189054771</v>
      </c>
      <c r="I518" s="36" t="n">
        <v>-0.477979274611399</v>
      </c>
      <c r="J518" s="31" t="n">
        <v>19556.5</v>
      </c>
      <c r="K518" s="31" t="n">
        <v>19134.33333333333</v>
      </c>
      <c r="L518" s="31" t="n">
        <v>19188.58333333333</v>
      </c>
      <c r="M518" s="36" t="n">
        <v>0.4274444143241251</v>
      </c>
      <c r="N518" s="36" t="n">
        <v>0.3737503495544288</v>
      </c>
      <c r="O518" s="36" t="n">
        <v>0.02649006622516548</v>
      </c>
      <c r="P518" s="36" t="n">
        <v>0.07754010695187175</v>
      </c>
      <c r="Q518" s="36" t="n">
        <v>-0.01707317073170733</v>
      </c>
      <c r="R518" s="36" t="n">
        <v>0.03034796614936219</v>
      </c>
      <c r="S518" s="36" t="n">
        <v>0.05308084943295643</v>
      </c>
      <c r="T518" s="36" t="n">
        <v>0.05010357721388159</v>
      </c>
      <c r="U518" s="31" t="n">
        <v>38600</v>
      </c>
      <c r="V518" s="31" t="n">
        <v>16360</v>
      </c>
      <c r="W518" s="36" t="n">
        <v>-0.477979274611399</v>
      </c>
      <c r="X518" s="36" t="n">
        <v>0.2316625916870416</v>
      </c>
      <c r="Y518" s="31" t="n">
        <v>28966714</v>
      </c>
      <c r="Z518" s="31" t="n">
        <v>583679287100</v>
      </c>
      <c r="AA518" s="31" t="n">
        <v>3999271250</v>
      </c>
      <c r="AB518" s="31" t="n">
        <v>5622038713</v>
      </c>
      <c r="AC518" s="36" t="n">
        <v>0.00685183000046191</v>
      </c>
      <c r="AD518" s="29" t="inlineStr">
        <is>
          <t>yfinance_download</t>
        </is>
      </c>
      <c r="AE518" s="29" t="inlineStr">
        <is>
          <t>319660.KQ</t>
        </is>
      </c>
    </row>
    <row r="519" ht="24" customHeight="1">
      <c r="A519" s="24" t="inlineStr">
        <is>
          <t>2025-07-24</t>
        </is>
      </c>
      <c r="B519" s="30" t="n">
        <v>20350</v>
      </c>
      <c r="C519" s="30" t="n">
        <v>20500</v>
      </c>
      <c r="D519" s="30" t="n">
        <v>19890</v>
      </c>
      <c r="E519" s="30" t="n">
        <v>19960</v>
      </c>
      <c r="F519" s="30" t="n">
        <v>19736.982421875</v>
      </c>
      <c r="G519" s="30" t="n">
        <v>139959</v>
      </c>
      <c r="H519" s="35" t="n">
        <v>-0.009429280397022288</v>
      </c>
      <c r="I519" s="35" t="n">
        <v>-0.4829015544041451</v>
      </c>
      <c r="J519" s="30" t="n">
        <v>19579.5</v>
      </c>
      <c r="K519" s="30" t="n">
        <v>19156.66666666667</v>
      </c>
      <c r="L519" s="30" t="n">
        <v>19189.08333333333</v>
      </c>
      <c r="M519" s="35" t="n">
        <v>0.4282796532373704</v>
      </c>
      <c r="N519" s="35" t="n">
        <v>0.3742401770305793</v>
      </c>
      <c r="O519" s="35" t="n">
        <v>0.02358974358974364</v>
      </c>
      <c r="P519" s="35" t="n">
        <v>0.07196562835660569</v>
      </c>
      <c r="Q519" s="35" t="n">
        <v>0.003015075376884502</v>
      </c>
      <c r="R519" s="35" t="n">
        <v>0.01943359125616073</v>
      </c>
      <c r="S519" s="35" t="n">
        <v>0.04193492256829634</v>
      </c>
      <c r="T519" s="35" t="n">
        <v>0.04017475213771715</v>
      </c>
      <c r="U519" s="30" t="n">
        <v>38600</v>
      </c>
      <c r="V519" s="30" t="n">
        <v>16360</v>
      </c>
      <c r="W519" s="35" t="n">
        <v>-0.4829015544041451</v>
      </c>
      <c r="X519" s="35" t="n">
        <v>0.2200488997555012</v>
      </c>
      <c r="Y519" s="30" t="n">
        <v>28966714</v>
      </c>
      <c r="Z519" s="30" t="n">
        <v>578175611440</v>
      </c>
      <c r="AA519" s="30" t="n">
        <v>2793581640</v>
      </c>
      <c r="AB519" s="30" t="n">
        <v>5509183045</v>
      </c>
      <c r="AC519" s="35" t="n">
        <v>0.004831718226651459</v>
      </c>
      <c r="AD519" s="24" t="inlineStr">
        <is>
          <t>yfinance_download</t>
        </is>
      </c>
      <c r="AE519" s="24" t="inlineStr">
        <is>
          <t>319660.KQ</t>
        </is>
      </c>
    </row>
    <row r="520" ht="24" customHeight="1">
      <c r="A520" s="29" t="inlineStr">
        <is>
          <t>2025-07-25</t>
        </is>
      </c>
      <c r="B520" s="31" t="n">
        <v>20000</v>
      </c>
      <c r="C520" s="31" t="n">
        <v>20100</v>
      </c>
      <c r="D520" s="31" t="n">
        <v>19600</v>
      </c>
      <c r="E520" s="31" t="n">
        <v>19630</v>
      </c>
      <c r="F520" s="31" t="n">
        <v>19410.669921875</v>
      </c>
      <c r="G520" s="31" t="n">
        <v>164923</v>
      </c>
      <c r="H520" s="36" t="n">
        <v>-0.01653306613226457</v>
      </c>
      <c r="I520" s="36" t="n">
        <v>-0.4914507772020725</v>
      </c>
      <c r="J520" s="31" t="n">
        <v>19589.5</v>
      </c>
      <c r="K520" s="31" t="n">
        <v>19172</v>
      </c>
      <c r="L520" s="31" t="n">
        <v>19180.58333333333</v>
      </c>
      <c r="M520" s="36" t="n">
        <v>0.4327621951529407</v>
      </c>
      <c r="N520" s="36" t="n">
        <v>0.3759679097998114</v>
      </c>
      <c r="O520" s="36" t="n">
        <v>0.01029336078229548</v>
      </c>
      <c r="P520" s="36" t="n">
        <v>0.04917156600748274</v>
      </c>
      <c r="Q520" s="36" t="n">
        <v>-0.04939467312348667</v>
      </c>
      <c r="R520" s="36" t="n">
        <v>0.002067434084586095</v>
      </c>
      <c r="S520" s="36" t="n">
        <v>0.02388900479866463</v>
      </c>
      <c r="T520" s="36" t="n">
        <v>0.02343081327905394</v>
      </c>
      <c r="U520" s="31" t="n">
        <v>38600</v>
      </c>
      <c r="V520" s="31" t="n">
        <v>16360</v>
      </c>
      <c r="W520" s="36" t="n">
        <v>-0.4914507772020725</v>
      </c>
      <c r="X520" s="36" t="n">
        <v>0.199877750611247</v>
      </c>
      <c r="Y520" s="31" t="n">
        <v>28966714</v>
      </c>
      <c r="Z520" s="31" t="n">
        <v>568616595820</v>
      </c>
      <c r="AA520" s="31" t="n">
        <v>3237438490</v>
      </c>
      <c r="AB520" s="31" t="n">
        <v>5523261646</v>
      </c>
      <c r="AC520" s="36" t="n">
        <v>0.005693535000207479</v>
      </c>
      <c r="AD520" s="29" t="inlineStr">
        <is>
          <t>yfinance_download</t>
        </is>
      </c>
      <c r="AE520" s="29" t="inlineStr">
        <is>
          <t>319660.KQ</t>
        </is>
      </c>
    </row>
    <row r="521" ht="24" customHeight="1">
      <c r="A521" s="24" t="inlineStr">
        <is>
          <t>2025-07-28</t>
        </is>
      </c>
      <c r="B521" s="30" t="n">
        <v>19850</v>
      </c>
      <c r="C521" s="30" t="n">
        <v>20800</v>
      </c>
      <c r="D521" s="30" t="n">
        <v>19850</v>
      </c>
      <c r="E521" s="30" t="n">
        <v>20700</v>
      </c>
      <c r="F521" s="30" t="n">
        <v>20468.71484375</v>
      </c>
      <c r="G521" s="30" t="n">
        <v>459913</v>
      </c>
      <c r="H521" s="35" t="n">
        <v>0.05450840550178304</v>
      </c>
      <c r="I521" s="35" t="n">
        <v>-0.4637305699481865</v>
      </c>
      <c r="J521" s="30" t="n">
        <v>19656</v>
      </c>
      <c r="K521" s="30" t="n">
        <v>19215.16666666667</v>
      </c>
      <c r="L521" s="30" t="n">
        <v>19193.91666666667</v>
      </c>
      <c r="M521" s="35" t="n">
        <v>0.4722870986131469</v>
      </c>
      <c r="N521" s="35" t="n">
        <v>0.3851263256313828</v>
      </c>
      <c r="O521" s="35" t="n">
        <v>0.06866288074341775</v>
      </c>
      <c r="P521" s="35" t="n">
        <v>0.143014908890116</v>
      </c>
      <c r="Q521" s="35" t="n">
        <v>0.08376963350785349</v>
      </c>
      <c r="R521" s="35" t="n">
        <v>0.05311355311355315</v>
      </c>
      <c r="S521" s="35" t="n">
        <v>0.07727402832831687</v>
      </c>
      <c r="T521" s="35" t="n">
        <v>0.07846670168933723</v>
      </c>
      <c r="U521" s="30" t="n">
        <v>36200</v>
      </c>
      <c r="V521" s="30" t="n">
        <v>16360</v>
      </c>
      <c r="W521" s="35" t="n">
        <v>-0.4281767955801105</v>
      </c>
      <c r="X521" s="35" t="n">
        <v>0.2652811735941321</v>
      </c>
      <c r="Y521" s="30" t="n">
        <v>28966714</v>
      </c>
      <c r="Z521" s="30" t="n">
        <v>599610979800</v>
      </c>
      <c r="AA521" s="30" t="n">
        <v>9520199100</v>
      </c>
      <c r="AB521" s="30" t="n">
        <v>5854998998.5</v>
      </c>
      <c r="AC521" s="35" t="n">
        <v>0.0158772928127091</v>
      </c>
      <c r="AD521" s="24" t="inlineStr">
        <is>
          <t>yfinance_download</t>
        </is>
      </c>
      <c r="AE521" s="24" t="inlineStr">
        <is>
          <t>319660.KQ</t>
        </is>
      </c>
    </row>
    <row r="522" ht="24" customHeight="1">
      <c r="A522" s="29" t="inlineStr">
        <is>
          <t>2025-07-29</t>
        </is>
      </c>
      <c r="B522" s="31" t="n">
        <v>21700</v>
      </c>
      <c r="C522" s="31" t="n">
        <v>21700</v>
      </c>
      <c r="D522" s="31" t="n">
        <v>20500</v>
      </c>
      <c r="E522" s="31" t="n">
        <v>21000</v>
      </c>
      <c r="F522" s="31" t="n">
        <v>20765.36328125</v>
      </c>
      <c r="G522" s="31" t="n">
        <v>459063</v>
      </c>
      <c r="H522" s="36" t="n">
        <v>0.01449275362318847</v>
      </c>
      <c r="I522" s="36" t="n">
        <v>-0.4559585492227979</v>
      </c>
      <c r="J522" s="31" t="n">
        <v>19743.5</v>
      </c>
      <c r="K522" s="31" t="n">
        <v>19262</v>
      </c>
      <c r="L522" s="31" t="n">
        <v>19221</v>
      </c>
      <c r="M522" s="36" t="n">
        <v>0.4722262261881726</v>
      </c>
      <c r="N522" s="36" t="n">
        <v>0.3858914907280896</v>
      </c>
      <c r="O522" s="36" t="n">
        <v>0.09090909090909083</v>
      </c>
      <c r="P522" s="36" t="n">
        <v>0.154480483782298</v>
      </c>
      <c r="Q522" s="36" t="n">
        <v>0.1830985915492958</v>
      </c>
      <c r="R522" s="36" t="n">
        <v>0.06364119836908344</v>
      </c>
      <c r="S522" s="36" t="n">
        <v>0.09022946734503168</v>
      </c>
      <c r="T522" s="36" t="n">
        <v>0.09255501794911813</v>
      </c>
      <c r="U522" s="31" t="n">
        <v>36200</v>
      </c>
      <c r="V522" s="31" t="n">
        <v>16360</v>
      </c>
      <c r="W522" s="36" t="n">
        <v>-0.419889502762431</v>
      </c>
      <c r="X522" s="36" t="n">
        <v>0.2836185819070904</v>
      </c>
      <c r="Y522" s="31" t="n">
        <v>28966714</v>
      </c>
      <c r="Z522" s="31" t="n">
        <v>608300994000</v>
      </c>
      <c r="AA522" s="31" t="n">
        <v>9640323000</v>
      </c>
      <c r="AB522" s="31" t="n">
        <v>6177114061</v>
      </c>
      <c r="AC522" s="36" t="n">
        <v>0.01584794878701119</v>
      </c>
      <c r="AD522" s="29" t="inlineStr">
        <is>
          <t>yfinance_download</t>
        </is>
      </c>
      <c r="AE522" s="29" t="inlineStr">
        <is>
          <t>319660.KQ</t>
        </is>
      </c>
    </row>
    <row r="523" ht="24" customHeight="1">
      <c r="A523" s="24" t="inlineStr">
        <is>
          <t>2025-07-30</t>
        </is>
      </c>
      <c r="B523" s="30" t="n">
        <v>20950</v>
      </c>
      <c r="C523" s="30" t="n">
        <v>21675</v>
      </c>
      <c r="D523" s="30" t="n">
        <v>20900</v>
      </c>
      <c r="E523" s="30" t="n">
        <v>20950</v>
      </c>
      <c r="F523" s="30" t="n">
        <v>20715.921875</v>
      </c>
      <c r="G523" s="30" t="n">
        <v>357797</v>
      </c>
      <c r="H523" s="35" t="n">
        <v>-0.002380952380952372</v>
      </c>
      <c r="I523" s="35" t="n">
        <v>-0.4572538860103627</v>
      </c>
      <c r="J523" s="30" t="n">
        <v>19831</v>
      </c>
      <c r="K523" s="30" t="n">
        <v>19314.5</v>
      </c>
      <c r="L523" s="30" t="n">
        <v>19243.83333333333</v>
      </c>
      <c r="M523" s="35" t="n">
        <v>0.4721820556939192</v>
      </c>
      <c r="N523" s="35" t="n">
        <v>0.3827664016988189</v>
      </c>
      <c r="O523" s="35" t="n">
        <v>0.09114583333333326</v>
      </c>
      <c r="P523" s="35" t="n">
        <v>0.1769662921348314</v>
      </c>
      <c r="Q523" s="35" t="n">
        <v>0.1504667764964305</v>
      </c>
      <c r="R523" s="35" t="n">
        <v>0.05642680651505216</v>
      </c>
      <c r="S523" s="35" t="n">
        <v>0.08467731497061792</v>
      </c>
      <c r="T523" s="35" t="n">
        <v>0.08866043667668433</v>
      </c>
      <c r="U523" s="30" t="n">
        <v>36200</v>
      </c>
      <c r="V523" s="30" t="n">
        <v>16360</v>
      </c>
      <c r="W523" s="35" t="n">
        <v>-0.4212707182320442</v>
      </c>
      <c r="X523" s="35" t="n">
        <v>0.2805623471882641</v>
      </c>
      <c r="Y523" s="30" t="n">
        <v>28966714</v>
      </c>
      <c r="Z523" s="30" t="n">
        <v>606852658300</v>
      </c>
      <c r="AA523" s="30" t="n">
        <v>7495847150</v>
      </c>
      <c r="AB523" s="30" t="n">
        <v>6405782898.5</v>
      </c>
      <c r="AC523" s="35" t="n">
        <v>0.01235200513251175</v>
      </c>
      <c r="AD523" s="24" t="inlineStr">
        <is>
          <t>yfinance_download</t>
        </is>
      </c>
      <c r="AE523" s="24" t="inlineStr">
        <is>
          <t>319660.KQ</t>
        </is>
      </c>
    </row>
    <row r="524" ht="24" customHeight="1">
      <c r="A524" s="29" t="inlineStr">
        <is>
          <t>2025-07-31</t>
        </is>
      </c>
      <c r="B524" s="31" t="n">
        <v>21200</v>
      </c>
      <c r="C524" s="31" t="n">
        <v>21250</v>
      </c>
      <c r="D524" s="31" t="n">
        <v>20400</v>
      </c>
      <c r="E524" s="31" t="n">
        <v>20750</v>
      </c>
      <c r="F524" s="31" t="n">
        <v>20518.15625</v>
      </c>
      <c r="G524" s="31" t="n">
        <v>195019</v>
      </c>
      <c r="H524" s="36" t="n">
        <v>-0.009546539379474916</v>
      </c>
      <c r="I524" s="36" t="n">
        <v>-0.4624352331606217</v>
      </c>
      <c r="J524" s="31" t="n">
        <v>19883.5</v>
      </c>
      <c r="K524" s="31" t="n">
        <v>19355.5</v>
      </c>
      <c r="L524" s="31" t="n">
        <v>19263.33333333333</v>
      </c>
      <c r="M524" s="36" t="n">
        <v>0.4678076860843331</v>
      </c>
      <c r="N524" s="36" t="n">
        <v>0.3801521110672919</v>
      </c>
      <c r="O524" s="36" t="n">
        <v>0.0532994923857868</v>
      </c>
      <c r="P524" s="36" t="n">
        <v>0.1344997266265719</v>
      </c>
      <c r="Q524" s="36" t="n">
        <v>0.127104834329169</v>
      </c>
      <c r="R524" s="36" t="n">
        <v>0.04357884678250801</v>
      </c>
      <c r="S524" s="36" t="n">
        <v>0.07204670507091016</v>
      </c>
      <c r="T524" s="36" t="n">
        <v>0.07717598200380693</v>
      </c>
      <c r="U524" s="31" t="n">
        <v>32900</v>
      </c>
      <c r="V524" s="31" t="n">
        <v>16360</v>
      </c>
      <c r="W524" s="36" t="n">
        <v>-0.3693009118541033</v>
      </c>
      <c r="X524" s="36" t="n">
        <v>0.2683374083129584</v>
      </c>
      <c r="Y524" s="31" t="n">
        <v>28966714</v>
      </c>
      <c r="Z524" s="31" t="n">
        <v>601059315500</v>
      </c>
      <c r="AA524" s="31" t="n">
        <v>4046644250</v>
      </c>
      <c r="AB524" s="31" t="n">
        <v>6159002391</v>
      </c>
      <c r="AC524" s="36" t="n">
        <v>0.006732520644212526</v>
      </c>
      <c r="AD524" s="29" t="inlineStr">
        <is>
          <t>yfinance_download</t>
        </is>
      </c>
      <c r="AE524" s="29" t="inlineStr">
        <is>
          <t>319660.KQ</t>
        </is>
      </c>
    </row>
    <row r="525" ht="24" customHeight="1">
      <c r="A525" s="24" t="inlineStr">
        <is>
          <t>2025-08-01</t>
        </is>
      </c>
      <c r="B525" s="30" t="n">
        <v>20200</v>
      </c>
      <c r="C525" s="30" t="n">
        <v>20550</v>
      </c>
      <c r="D525" s="30" t="n">
        <v>19400</v>
      </c>
      <c r="E525" s="30" t="n">
        <v>19410</v>
      </c>
      <c r="F525" s="30" t="n">
        <v>19193.12890625</v>
      </c>
      <c r="G525" s="30" t="n">
        <v>269066</v>
      </c>
      <c r="H525" s="35" t="n">
        <v>-0.064578313253012</v>
      </c>
      <c r="I525" s="35" t="n">
        <v>-0.4971502590673575</v>
      </c>
      <c r="J525" s="30" t="n">
        <v>19906.5</v>
      </c>
      <c r="K525" s="30" t="n">
        <v>19369.66666666667</v>
      </c>
      <c r="L525" s="30" t="n">
        <v>19264.91666666667</v>
      </c>
      <c r="M525" s="35" t="n">
        <v>0.5065347466786936</v>
      </c>
      <c r="N525" s="35" t="n">
        <v>0.4031935194720898</v>
      </c>
      <c r="O525" s="35" t="n">
        <v>0.02427440633245381</v>
      </c>
      <c r="P525" s="35" t="n">
        <v>0.04579741379310343</v>
      </c>
      <c r="Q525" s="35" t="n">
        <v>0.009885535900103992</v>
      </c>
      <c r="R525" s="35" t="n">
        <v>-0.02494160198929996</v>
      </c>
      <c r="S525" s="35" t="n">
        <v>0.002082293620609521</v>
      </c>
      <c r="T525" s="35" t="n">
        <v>0.007530960857171198</v>
      </c>
      <c r="U525" s="30" t="n">
        <v>32700</v>
      </c>
      <c r="V525" s="30" t="n">
        <v>16360</v>
      </c>
      <c r="W525" s="35" t="n">
        <v>-0.4064220183486239</v>
      </c>
      <c r="X525" s="35" t="n">
        <v>0.1864303178484108</v>
      </c>
      <c r="Y525" s="30" t="n">
        <v>28966714</v>
      </c>
      <c r="Z525" s="30" t="n">
        <v>562243918740</v>
      </c>
      <c r="AA525" s="30" t="n">
        <v>5222571060</v>
      </c>
      <c r="AB525" s="30" t="n">
        <v>6122814919</v>
      </c>
      <c r="AC525" s="35" t="n">
        <v>0.009288799551098547</v>
      </c>
      <c r="AD525" s="24" t="inlineStr">
        <is>
          <t>yfinance_download</t>
        </is>
      </c>
      <c r="AE525" s="24" t="inlineStr">
        <is>
          <t>319660.KQ</t>
        </is>
      </c>
    </row>
    <row r="526" ht="24" customHeight="1">
      <c r="A526" s="29" t="inlineStr">
        <is>
          <t>2025-08-04</t>
        </is>
      </c>
      <c r="B526" s="31" t="n">
        <v>19500</v>
      </c>
      <c r="C526" s="31" t="n">
        <v>19650</v>
      </c>
      <c r="D526" s="31" t="n">
        <v>19280</v>
      </c>
      <c r="E526" s="31" t="n">
        <v>19470</v>
      </c>
      <c r="F526" s="31" t="n">
        <v>19252.458984375</v>
      </c>
      <c r="G526" s="31" t="n">
        <v>155083</v>
      </c>
      <c r="H526" s="36" t="n">
        <v>0.003091190108191588</v>
      </c>
      <c r="I526" s="36" t="n">
        <v>-0.4955958549222798</v>
      </c>
      <c r="J526" s="31" t="n">
        <v>19946</v>
      </c>
      <c r="K526" s="31" t="n">
        <v>19382</v>
      </c>
      <c r="L526" s="31" t="n">
        <v>19266</v>
      </c>
      <c r="M526" s="36" t="n">
        <v>0.5030318678733123</v>
      </c>
      <c r="N526" s="36" t="n">
        <v>0.4028646347902782</v>
      </c>
      <c r="O526" s="36" t="n">
        <v>0.04229122055674517</v>
      </c>
      <c r="P526" s="36" t="n">
        <v>0.03950880939668977</v>
      </c>
      <c r="Q526" s="36" t="n">
        <v>0.006721820062047579</v>
      </c>
      <c r="R526" s="36" t="n">
        <v>-0.02386443397172366</v>
      </c>
      <c r="S526" s="36" t="n">
        <v>0.004540295119182858</v>
      </c>
      <c r="T526" s="36" t="n">
        <v>0.01058860168171916</v>
      </c>
      <c r="U526" s="31" t="n">
        <v>32300</v>
      </c>
      <c r="V526" s="31" t="n">
        <v>16360</v>
      </c>
      <c r="W526" s="36" t="n">
        <v>-0.3972136222910216</v>
      </c>
      <c r="X526" s="36" t="n">
        <v>0.1900977995110025</v>
      </c>
      <c r="Y526" s="31" t="n">
        <v>28966714</v>
      </c>
      <c r="Z526" s="31" t="n">
        <v>563981921580</v>
      </c>
      <c r="AA526" s="31" t="n">
        <v>3019466010</v>
      </c>
      <c r="AB526" s="31" t="n">
        <v>6044698567.5</v>
      </c>
      <c r="AC526" s="36" t="n">
        <v>0.005353834749775207</v>
      </c>
      <c r="AD526" s="29" t="inlineStr">
        <is>
          <t>yfinance_download</t>
        </is>
      </c>
      <c r="AE526" s="29" t="inlineStr">
        <is>
          <t>319660.KQ</t>
        </is>
      </c>
    </row>
    <row r="527" ht="24" customHeight="1">
      <c r="A527" s="24" t="inlineStr">
        <is>
          <t>2025-08-05</t>
        </is>
      </c>
      <c r="B527" s="30" t="n">
        <v>19730</v>
      </c>
      <c r="C527" s="30" t="n">
        <v>19950</v>
      </c>
      <c r="D527" s="30" t="n">
        <v>19340</v>
      </c>
      <c r="E527" s="30" t="n">
        <v>19440</v>
      </c>
      <c r="F527" s="30" t="n">
        <v>19222.79296875</v>
      </c>
      <c r="G527" s="30" t="n">
        <v>158339</v>
      </c>
      <c r="H527" s="35" t="n">
        <v>-0.001540832049306662</v>
      </c>
      <c r="I527" s="35" t="n">
        <v>-0.4963730569948187</v>
      </c>
      <c r="J527" s="30" t="n">
        <v>19978.5</v>
      </c>
      <c r="K527" s="30" t="n">
        <v>19398</v>
      </c>
      <c r="L527" s="30" t="n">
        <v>19262.75</v>
      </c>
      <c r="M527" s="35" t="n">
        <v>0.5030679364527431</v>
      </c>
      <c r="N527" s="35" t="n">
        <v>0.4017988190887211</v>
      </c>
      <c r="O527" s="35" t="n">
        <v>0.03459286854709953</v>
      </c>
      <c r="P527" s="35" t="n">
        <v>0.05194805194805197</v>
      </c>
      <c r="Q527" s="35" t="n">
        <v>-0.01966717095310133</v>
      </c>
      <c r="R527" s="35" t="n">
        <v>-0.02695397552368795</v>
      </c>
      <c r="S527" s="35" t="n">
        <v>0.00216517166718222</v>
      </c>
      <c r="T527" s="35" t="n">
        <v>0.009201697576929568</v>
      </c>
      <c r="U527" s="30" t="n">
        <v>31650</v>
      </c>
      <c r="V527" s="30" t="n">
        <v>16360</v>
      </c>
      <c r="W527" s="35" t="n">
        <v>-0.385781990521327</v>
      </c>
      <c r="X527" s="35" t="n">
        <v>0.1882640586797066</v>
      </c>
      <c r="Y527" s="30" t="n">
        <v>28966714</v>
      </c>
      <c r="Z527" s="30" t="n">
        <v>563112920160</v>
      </c>
      <c r="AA527" s="30" t="n">
        <v>3078110160</v>
      </c>
      <c r="AB527" s="30" t="n">
        <v>6073365907</v>
      </c>
      <c r="AC527" s="35" t="n">
        <v>0.005466239629389789</v>
      </c>
      <c r="AD527" s="24" t="inlineStr">
        <is>
          <t>yfinance_download</t>
        </is>
      </c>
      <c r="AE527" s="24" t="inlineStr">
        <is>
          <t>319660.KQ</t>
        </is>
      </c>
    </row>
    <row r="528" ht="24" customHeight="1">
      <c r="A528" s="29" t="inlineStr">
        <is>
          <t>2025-08-06</t>
        </is>
      </c>
      <c r="B528" s="31" t="n">
        <v>19440</v>
      </c>
      <c r="C528" s="31" t="n">
        <v>19780</v>
      </c>
      <c r="D528" s="31" t="n">
        <v>19070</v>
      </c>
      <c r="E528" s="31" t="n">
        <v>19710</v>
      </c>
      <c r="F528" s="31" t="n">
        <v>19489.77734375</v>
      </c>
      <c r="G528" s="31" t="n">
        <v>157278</v>
      </c>
      <c r="H528" s="36" t="n">
        <v>0.01388888888888884</v>
      </c>
      <c r="I528" s="36" t="n">
        <v>-0.4893782383419689</v>
      </c>
      <c r="J528" s="31" t="n">
        <v>20055</v>
      </c>
      <c r="K528" s="31" t="n">
        <v>19405.83333333333</v>
      </c>
      <c r="L528" s="31" t="n">
        <v>19260.33333333333</v>
      </c>
      <c r="M528" s="36" t="n">
        <v>0.4874030165158205</v>
      </c>
      <c r="N528" s="36" t="n">
        <v>0.3940289433946414</v>
      </c>
      <c r="O528" s="36" t="n">
        <v>0.08415841584158423</v>
      </c>
      <c r="P528" s="36" t="n">
        <v>0.02442827442827444</v>
      </c>
      <c r="Q528" s="36" t="n">
        <v>-0.01449999999999996</v>
      </c>
      <c r="R528" s="36" t="n">
        <v>-0.01720269259536278</v>
      </c>
      <c r="S528" s="36" t="n">
        <v>0.01567398119122254</v>
      </c>
      <c r="T528" s="36" t="n">
        <v>0.02334677489140025</v>
      </c>
      <c r="U528" s="31" t="n">
        <v>31650</v>
      </c>
      <c r="V528" s="31" t="n">
        <v>16360</v>
      </c>
      <c r="W528" s="36" t="n">
        <v>-0.3772511848341232</v>
      </c>
      <c r="X528" s="36" t="n">
        <v>0.2047677261613692</v>
      </c>
      <c r="Y528" s="31" t="n">
        <v>28966714</v>
      </c>
      <c r="Z528" s="31" t="n">
        <v>570933932940</v>
      </c>
      <c r="AA528" s="31" t="n">
        <v>3099949380</v>
      </c>
      <c r="AB528" s="31" t="n">
        <v>5943616399</v>
      </c>
      <c r="AC528" s="36" t="n">
        <v>0.005429611380842162</v>
      </c>
      <c r="AD528" s="29" t="inlineStr">
        <is>
          <t>yfinance_download</t>
        </is>
      </c>
      <c r="AE528" s="29" t="inlineStr">
        <is>
          <t>319660.KQ</t>
        </is>
      </c>
    </row>
    <row r="529" ht="24" customHeight="1">
      <c r="A529" s="24" t="inlineStr">
        <is>
          <t>2025-08-07</t>
        </is>
      </c>
      <c r="B529" s="30" t="n">
        <v>20000</v>
      </c>
      <c r="C529" s="30" t="n">
        <v>20100</v>
      </c>
      <c r="D529" s="30" t="n">
        <v>19690</v>
      </c>
      <c r="E529" s="30" t="n">
        <v>20100</v>
      </c>
      <c r="F529" s="30" t="n">
        <v>19875.41796875</v>
      </c>
      <c r="G529" s="30" t="n">
        <v>174989</v>
      </c>
      <c r="H529" s="35" t="n">
        <v>0.01978691019786916</v>
      </c>
      <c r="I529" s="35" t="n">
        <v>-0.4792746113989638</v>
      </c>
      <c r="J529" s="30" t="n">
        <v>20147.5</v>
      </c>
      <c r="K529" s="30" t="n">
        <v>19417.16666666667</v>
      </c>
      <c r="L529" s="30" t="n">
        <v>19267</v>
      </c>
      <c r="M529" s="35" t="n">
        <v>0.4903992130710321</v>
      </c>
      <c r="N529" s="35" t="n">
        <v>0.3955841175927967</v>
      </c>
      <c r="O529" s="35" t="n">
        <v>0.1013698630136985</v>
      </c>
      <c r="P529" s="35" t="n">
        <v>0.03501544799176104</v>
      </c>
      <c r="Q529" s="35" t="n">
        <v>0.04145077720207246</v>
      </c>
      <c r="R529" s="35" t="n">
        <v>-0.002357612607023163</v>
      </c>
      <c r="S529" s="35" t="n">
        <v>0.03516647639974924</v>
      </c>
      <c r="T529" s="35" t="n">
        <v>0.04323454611511912</v>
      </c>
      <c r="U529" s="30" t="n">
        <v>31650</v>
      </c>
      <c r="V529" s="30" t="n">
        <v>16360</v>
      </c>
      <c r="W529" s="35" t="n">
        <v>-0.3649289099526066</v>
      </c>
      <c r="X529" s="35" t="n">
        <v>0.2286063569682151</v>
      </c>
      <c r="Y529" s="30" t="n">
        <v>28966714</v>
      </c>
      <c r="Z529" s="30" t="n">
        <v>582230951400</v>
      </c>
      <c r="AA529" s="30" t="n">
        <v>3517278900</v>
      </c>
      <c r="AB529" s="30" t="n">
        <v>5864089844</v>
      </c>
      <c r="AC529" s="35" t="n">
        <v>0.006041037309237078</v>
      </c>
      <c r="AD529" s="24" t="inlineStr">
        <is>
          <t>yfinance_download</t>
        </is>
      </c>
      <c r="AE529" s="24" t="inlineStr">
        <is>
          <t>319660.KQ</t>
        </is>
      </c>
    </row>
    <row r="530" ht="24" customHeight="1">
      <c r="A530" s="29" t="inlineStr">
        <is>
          <t>2025-08-08</t>
        </is>
      </c>
      <c r="B530" s="31" t="n">
        <v>20200</v>
      </c>
      <c r="C530" s="31" t="n">
        <v>21750</v>
      </c>
      <c r="D530" s="31" t="n">
        <v>20100</v>
      </c>
      <c r="E530" s="31" t="n">
        <v>21250</v>
      </c>
      <c r="F530" s="31" t="n">
        <v>21012.5703125</v>
      </c>
      <c r="G530" s="31" t="n">
        <v>680925</v>
      </c>
      <c r="H530" s="36" t="n">
        <v>0.05721393034825861</v>
      </c>
      <c r="I530" s="36" t="n">
        <v>-0.4494818652849741</v>
      </c>
      <c r="J530" s="31" t="n">
        <v>20219.5</v>
      </c>
      <c r="K530" s="31" t="n">
        <v>19442.5</v>
      </c>
      <c r="L530" s="31" t="n">
        <v>19283</v>
      </c>
      <c r="M530" s="36" t="n">
        <v>0.4363841832946135</v>
      </c>
      <c r="N530" s="36" t="n">
        <v>0.411034744742686</v>
      </c>
      <c r="O530" s="36" t="n">
        <v>0.0726905603230692</v>
      </c>
      <c r="P530" s="36" t="n">
        <v>0.07704004054738967</v>
      </c>
      <c r="Q530" s="36" t="n">
        <v>0.09932747025349209</v>
      </c>
      <c r="R530" s="36" t="n">
        <v>0.05096565196963332</v>
      </c>
      <c r="S530" s="36" t="n">
        <v>0.09296643950109296</v>
      </c>
      <c r="T530" s="36" t="n">
        <v>0.1020069491261733</v>
      </c>
      <c r="U530" s="31" t="n">
        <v>31650</v>
      </c>
      <c r="V530" s="31" t="n">
        <v>16360</v>
      </c>
      <c r="W530" s="36" t="n">
        <v>-0.3285939968404423</v>
      </c>
      <c r="X530" s="36" t="n">
        <v>0.2988997555012225</v>
      </c>
      <c r="Y530" s="31" t="n">
        <v>28966714</v>
      </c>
      <c r="Z530" s="31" t="n">
        <v>615542672500</v>
      </c>
      <c r="AA530" s="31" t="n">
        <v>14469656250</v>
      </c>
      <c r="AB530" s="31" t="n">
        <v>5534330424.5</v>
      </c>
      <c r="AC530" s="36" t="n">
        <v>0.0235071537627637</v>
      </c>
      <c r="AD530" s="29" t="inlineStr">
        <is>
          <t>yfinance_download</t>
        </is>
      </c>
      <c r="AE530" s="29" t="inlineStr">
        <is>
          <t>319660.KQ</t>
        </is>
      </c>
    </row>
    <row r="531" ht="24" customHeight="1">
      <c r="A531" s="24" t="inlineStr">
        <is>
          <t>2025-08-11</t>
        </is>
      </c>
      <c r="B531" s="30" t="n">
        <v>21600</v>
      </c>
      <c r="C531" s="30" t="n">
        <v>21850</v>
      </c>
      <c r="D531" s="30" t="n">
        <v>21150</v>
      </c>
      <c r="E531" s="30" t="n">
        <v>21600</v>
      </c>
      <c r="F531" s="30" t="n">
        <v>21358.658203125</v>
      </c>
      <c r="G531" s="30" t="n">
        <v>274270</v>
      </c>
      <c r="H531" s="35" t="n">
        <v>0.01647058823529401</v>
      </c>
      <c r="I531" s="35" t="n">
        <v>-0.4404145077720207</v>
      </c>
      <c r="J531" s="30" t="n">
        <v>20311</v>
      </c>
      <c r="K531" s="30" t="n">
        <v>19483.83333333333</v>
      </c>
      <c r="L531" s="30" t="n">
        <v>19301.5</v>
      </c>
      <c r="M531" s="35" t="n">
        <v>0.4380052259610031</v>
      </c>
      <c r="N531" s="35" t="n">
        <v>0.4064875642372872</v>
      </c>
      <c r="O531" s="35" t="n">
        <v>0.09256449165402114</v>
      </c>
      <c r="P531" s="35" t="n">
        <v>0.1297071129707112</v>
      </c>
      <c r="Q531" s="35" t="n">
        <v>0.1145510835913313</v>
      </c>
      <c r="R531" s="35" t="n">
        <v>0.0634631480478558</v>
      </c>
      <c r="S531" s="35" t="n">
        <v>0.1086114128807645</v>
      </c>
      <c r="T531" s="35" t="n">
        <v>0.1190840090148435</v>
      </c>
      <c r="U531" s="30" t="n">
        <v>31650</v>
      </c>
      <c r="V531" s="30" t="n">
        <v>16360</v>
      </c>
      <c r="W531" s="35" t="n">
        <v>-0.3175355450236966</v>
      </c>
      <c r="X531" s="35" t="n">
        <v>0.3202933985330074</v>
      </c>
      <c r="Y531" s="30" t="n">
        <v>28966714</v>
      </c>
      <c r="Z531" s="30" t="n">
        <v>625681022400</v>
      </c>
      <c r="AA531" s="30" t="n">
        <v>5924232000</v>
      </c>
      <c r="AB531" s="30" t="n">
        <v>5535158454.5</v>
      </c>
      <c r="AC531" s="35" t="n">
        <v>0.009468454033136103</v>
      </c>
      <c r="AD531" s="24" t="inlineStr">
        <is>
          <t>yfinance_download</t>
        </is>
      </c>
      <c r="AE531" s="24" t="inlineStr">
        <is>
          <t>319660.KQ</t>
        </is>
      </c>
    </row>
    <row r="532" ht="24" customHeight="1">
      <c r="A532" s="29" t="inlineStr">
        <is>
          <t>2025-08-12</t>
        </is>
      </c>
      <c r="B532" s="31" t="n">
        <v>21700</v>
      </c>
      <c r="C532" s="31" t="n">
        <v>21850</v>
      </c>
      <c r="D532" s="31" t="n">
        <v>20850</v>
      </c>
      <c r="E532" s="31" t="n">
        <v>21150</v>
      </c>
      <c r="F532" s="31" t="n">
        <v>20913.6875</v>
      </c>
      <c r="G532" s="31" t="n">
        <v>424655</v>
      </c>
      <c r="H532" s="36" t="n">
        <v>-0.02083333333333337</v>
      </c>
      <c r="I532" s="36" t="n">
        <v>-0.4520725388601037</v>
      </c>
      <c r="J532" s="31" t="n">
        <v>20346</v>
      </c>
      <c r="K532" s="31" t="n">
        <v>19519.66666666667</v>
      </c>
      <c r="L532" s="31" t="n">
        <v>19316.33333333333</v>
      </c>
      <c r="M532" s="36" t="n">
        <v>0.4323430291055376</v>
      </c>
      <c r="N532" s="36" t="n">
        <v>0.4088953933805035</v>
      </c>
      <c r="O532" s="36" t="n">
        <v>0.03422982885085579</v>
      </c>
      <c r="P532" s="36" t="n">
        <v>0.1131578947368421</v>
      </c>
      <c r="Q532" s="36" t="n">
        <v>0.09189468249870925</v>
      </c>
      <c r="R532" s="36" t="n">
        <v>0.03951636685343551</v>
      </c>
      <c r="S532" s="36" t="n">
        <v>0.08352260113731447</v>
      </c>
      <c r="T532" s="36" t="n">
        <v>0.09492829902155342</v>
      </c>
      <c r="U532" s="31" t="n">
        <v>31650</v>
      </c>
      <c r="V532" s="31" t="n">
        <v>16360</v>
      </c>
      <c r="W532" s="36" t="n">
        <v>-0.3317535545023697</v>
      </c>
      <c r="X532" s="36" t="n">
        <v>0.2927872860635696</v>
      </c>
      <c r="Y532" s="31" t="n">
        <v>28966714</v>
      </c>
      <c r="Z532" s="31" t="n">
        <v>612646001100</v>
      </c>
      <c r="AA532" s="31" t="n">
        <v>8981453250</v>
      </c>
      <c r="AB532" s="31" t="n">
        <v>5597831434.5</v>
      </c>
      <c r="AC532" s="36" t="n">
        <v>0.01466010262675981</v>
      </c>
      <c r="AD532" s="29" t="inlineStr">
        <is>
          <t>yfinance_download</t>
        </is>
      </c>
      <c r="AE532" s="29" t="inlineStr">
        <is>
          <t>319660.KQ</t>
        </is>
      </c>
    </row>
    <row r="533" ht="24" customHeight="1">
      <c r="A533" s="24" t="inlineStr">
        <is>
          <t>2025-08-13</t>
        </is>
      </c>
      <c r="B533" s="30" t="n">
        <v>21550</v>
      </c>
      <c r="C533" s="30" t="n">
        <v>21800</v>
      </c>
      <c r="D533" s="30" t="n">
        <v>21150</v>
      </c>
      <c r="E533" s="30" t="n">
        <v>21600</v>
      </c>
      <c r="F533" s="30" t="n">
        <v>21358.658203125</v>
      </c>
      <c r="G533" s="30" t="n">
        <v>387175</v>
      </c>
      <c r="H533" s="35" t="n">
        <v>0.02127659574468077</v>
      </c>
      <c r="I533" s="35" t="n">
        <v>-0.4404145077720207</v>
      </c>
      <c r="J533" s="30" t="n">
        <v>20411</v>
      </c>
      <c r="K533" s="30" t="n">
        <v>19572.83333333333</v>
      </c>
      <c r="L533" s="30" t="n">
        <v>19336.5</v>
      </c>
      <c r="M533" s="35" t="n">
        <v>0.4360304198111407</v>
      </c>
      <c r="N533" s="35" t="n">
        <v>0.4048102568001241</v>
      </c>
      <c r="O533" s="35" t="n">
        <v>0.06403940886699511</v>
      </c>
      <c r="P533" s="35" t="n">
        <v>0.1732753938077132</v>
      </c>
      <c r="Q533" s="35" t="n">
        <v>0.1261730969760166</v>
      </c>
      <c r="R533" s="35" t="n">
        <v>0.05825290284650442</v>
      </c>
      <c r="S533" s="35" t="n">
        <v>0.1035704249938265</v>
      </c>
      <c r="T533" s="35" t="n">
        <v>0.1170584128461718</v>
      </c>
      <c r="U533" s="30" t="n">
        <v>31650</v>
      </c>
      <c r="V533" s="30" t="n">
        <v>16360</v>
      </c>
      <c r="W533" s="35" t="n">
        <v>-0.3175355450236966</v>
      </c>
      <c r="X533" s="35" t="n">
        <v>0.3202933985330074</v>
      </c>
      <c r="Y533" s="30" t="n">
        <v>28966714</v>
      </c>
      <c r="Z533" s="30" t="n">
        <v>625681022400</v>
      </c>
      <c r="AA533" s="30" t="n">
        <v>8362980000</v>
      </c>
      <c r="AB533" s="30" t="n">
        <v>5823062429.5</v>
      </c>
      <c r="AC533" s="35" t="n">
        <v>0.01336620370539786</v>
      </c>
      <c r="AD533" s="24" t="inlineStr">
        <is>
          <t>yfinance_download</t>
        </is>
      </c>
      <c r="AE533" s="24" t="inlineStr">
        <is>
          <t>319660.KQ</t>
        </is>
      </c>
    </row>
    <row r="534" ht="24" customHeight="1">
      <c r="A534" s="29" t="inlineStr">
        <is>
          <t>2025-08-14</t>
        </is>
      </c>
      <c r="B534" s="31" t="n">
        <v>21300</v>
      </c>
      <c r="C534" s="31" t="n">
        <v>22150</v>
      </c>
      <c r="D534" s="31" t="n">
        <v>21150</v>
      </c>
      <c r="E534" s="31" t="n">
        <v>21350</v>
      </c>
      <c r="F534" s="31" t="n">
        <v>21111.453125</v>
      </c>
      <c r="G534" s="31" t="n">
        <v>482652</v>
      </c>
      <c r="H534" s="36" t="n">
        <v>-0.01157407407407407</v>
      </c>
      <c r="I534" s="36" t="n">
        <v>-0.4468911917098446</v>
      </c>
      <c r="J534" s="31" t="n">
        <v>20436</v>
      </c>
      <c r="K534" s="31" t="n">
        <v>19621.83333333333</v>
      </c>
      <c r="L534" s="31" t="n">
        <v>19335.66666666667</v>
      </c>
      <c r="M534" s="36" t="n">
        <v>0.429799930305947</v>
      </c>
      <c r="N534" s="36" t="n">
        <v>0.4058682378209024</v>
      </c>
      <c r="O534" s="36" t="n">
        <v>0.0239808153477219</v>
      </c>
      <c r="P534" s="36" t="n">
        <v>0.1596958174904943</v>
      </c>
      <c r="Q534" s="36" t="n">
        <v>-0.004662004662004615</v>
      </c>
      <c r="R534" s="36" t="n">
        <v>0.0447249951066746</v>
      </c>
      <c r="S534" s="36" t="n">
        <v>0.08807365944398682</v>
      </c>
      <c r="T534" s="36" t="n">
        <v>0.1041770820763011</v>
      </c>
      <c r="U534" s="31" t="n">
        <v>31650</v>
      </c>
      <c r="V534" s="31" t="n">
        <v>16360</v>
      </c>
      <c r="W534" s="36" t="n">
        <v>-0.325434439178515</v>
      </c>
      <c r="X534" s="36" t="n">
        <v>0.3050122249388754</v>
      </c>
      <c r="Y534" s="31" t="n">
        <v>28966714</v>
      </c>
      <c r="Z534" s="31" t="n">
        <v>618439343900</v>
      </c>
      <c r="AA534" s="31" t="n">
        <v>10304620200</v>
      </c>
      <c r="AB534" s="31" t="n">
        <v>5901696524.5</v>
      </c>
      <c r="AC534" s="36" t="n">
        <v>0.01666229728370294</v>
      </c>
      <c r="AD534" s="29" t="inlineStr">
        <is>
          <t>yfinance_download</t>
        </is>
      </c>
      <c r="AE534" s="29" t="inlineStr">
        <is>
          <t>319660.KQ</t>
        </is>
      </c>
    </row>
    <row r="535" ht="24" customHeight="1">
      <c r="A535" s="24" t="inlineStr">
        <is>
          <t>2025-08-18</t>
        </is>
      </c>
      <c r="B535" s="30" t="n">
        <v>21200</v>
      </c>
      <c r="C535" s="30" t="n">
        <v>21250</v>
      </c>
      <c r="D535" s="30" t="n">
        <v>20600</v>
      </c>
      <c r="E535" s="30" t="n">
        <v>20700</v>
      </c>
      <c r="F535" s="30" t="n">
        <v>20468.71484375</v>
      </c>
      <c r="G535" s="30" t="n">
        <v>233985</v>
      </c>
      <c r="H535" s="35" t="n">
        <v>-0.03044496487119441</v>
      </c>
      <c r="I535" s="35" t="n">
        <v>-0.4637305699481865</v>
      </c>
      <c r="J535" s="30" t="n">
        <v>20461</v>
      </c>
      <c r="K535" s="30" t="n">
        <v>19658.5</v>
      </c>
      <c r="L535" s="30" t="n">
        <v>19327.33333333333</v>
      </c>
      <c r="M535" s="35" t="n">
        <v>0.4290701967268573</v>
      </c>
      <c r="N535" s="35" t="n">
        <v>0.4115088637507436</v>
      </c>
      <c r="O535" s="35" t="n">
        <v>0.02475247524752477</v>
      </c>
      <c r="P535" s="35" t="n">
        <v>0.1189189189189188</v>
      </c>
      <c r="Q535" s="35" t="n">
        <v>-0.04608294930875578</v>
      </c>
      <c r="R535" s="35" t="n">
        <v>0.01168075851620154</v>
      </c>
      <c r="S535" s="35" t="n">
        <v>0.05297962713330118</v>
      </c>
      <c r="T535" s="35" t="n">
        <v>0.07102204132316925</v>
      </c>
      <c r="U535" s="30" t="n">
        <v>31650</v>
      </c>
      <c r="V535" s="30" t="n">
        <v>16360</v>
      </c>
      <c r="W535" s="35" t="n">
        <v>-0.3459715639810427</v>
      </c>
      <c r="X535" s="35" t="n">
        <v>0.2652811735941321</v>
      </c>
      <c r="Y535" s="30" t="n">
        <v>28966714</v>
      </c>
      <c r="Z535" s="30" t="n">
        <v>599610979800</v>
      </c>
      <c r="AA535" s="30" t="n">
        <v>4843489500</v>
      </c>
      <c r="AB535" s="30" t="n">
        <v>5937049259.5</v>
      </c>
      <c r="AC535" s="35" t="n">
        <v>0.008077719826971053</v>
      </c>
      <c r="AD535" s="24" t="inlineStr">
        <is>
          <t>yfinance_download</t>
        </is>
      </c>
      <c r="AE535" s="24" t="inlineStr">
        <is>
          <t>319660.KQ</t>
        </is>
      </c>
    </row>
    <row r="536" ht="24" customHeight="1">
      <c r="A536" s="29" t="inlineStr">
        <is>
          <t>2025-08-19</t>
        </is>
      </c>
      <c r="B536" s="31" t="n">
        <v>20950</v>
      </c>
      <c r="C536" s="31" t="n">
        <v>20950</v>
      </c>
      <c r="D536" s="31" t="n">
        <v>20250</v>
      </c>
      <c r="E536" s="31" t="n">
        <v>20450</v>
      </c>
      <c r="F536" s="31" t="n">
        <v>20221.5078125</v>
      </c>
      <c r="G536" s="31" t="n">
        <v>164040</v>
      </c>
      <c r="H536" s="36" t="n">
        <v>-0.01207729468599039</v>
      </c>
      <c r="I536" s="36" t="n">
        <v>-0.4702072538860104</v>
      </c>
      <c r="J536" s="31" t="n">
        <v>20473.5</v>
      </c>
      <c r="K536" s="31" t="n">
        <v>19703.33333333333</v>
      </c>
      <c r="L536" s="31" t="n">
        <v>19321.91666666667</v>
      </c>
      <c r="M536" s="36" t="n">
        <v>0.431789459589595</v>
      </c>
      <c r="N536" s="36" t="n">
        <v>0.4031721698671215</v>
      </c>
      <c r="O536" s="36" t="n">
        <v>0.01237623762376239</v>
      </c>
      <c r="P536" s="36" t="n">
        <v>0.1514639639639639</v>
      </c>
      <c r="Q536" s="36" t="n">
        <v>-0.03080568720379151</v>
      </c>
      <c r="R536" s="36" t="n">
        <v>-0.00114782523750212</v>
      </c>
      <c r="S536" s="36" t="n">
        <v>0.03789544916257825</v>
      </c>
      <c r="T536" s="36" t="n">
        <v>0.05838361446198825</v>
      </c>
      <c r="U536" s="31" t="n">
        <v>30450</v>
      </c>
      <c r="V536" s="31" t="n">
        <v>16360</v>
      </c>
      <c r="W536" s="36" t="n">
        <v>-0.3284072249589491</v>
      </c>
      <c r="X536" s="36" t="n">
        <v>0.25</v>
      </c>
      <c r="Y536" s="31" t="n">
        <v>28966714</v>
      </c>
      <c r="Z536" s="31" t="n">
        <v>592369301300</v>
      </c>
      <c r="AA536" s="31" t="n">
        <v>3354618000</v>
      </c>
      <c r="AB536" s="31" t="n">
        <v>5983654899.5</v>
      </c>
      <c r="AC536" s="36" t="n">
        <v>0.005663051735864827</v>
      </c>
      <c r="AD536" s="29" t="inlineStr">
        <is>
          <t>yfinance_download</t>
        </is>
      </c>
      <c r="AE536" s="29" t="inlineStr">
        <is>
          <t>319660.KQ</t>
        </is>
      </c>
    </row>
    <row r="537" ht="24" customHeight="1">
      <c r="A537" s="24" t="inlineStr">
        <is>
          <t>2025-08-20</t>
        </is>
      </c>
      <c r="B537" s="30" t="n">
        <v>20050</v>
      </c>
      <c r="C537" s="30" t="n">
        <v>20300</v>
      </c>
      <c r="D537" s="30" t="n">
        <v>19780</v>
      </c>
      <c r="E537" s="30" t="n">
        <v>20050</v>
      </c>
      <c r="F537" s="30" t="n">
        <v>19825.978515625</v>
      </c>
      <c r="G537" s="30" t="n">
        <v>290690</v>
      </c>
      <c r="H537" s="35" t="n">
        <v>-0.01955990220048898</v>
      </c>
      <c r="I537" s="35" t="n">
        <v>-0.4805699481865285</v>
      </c>
      <c r="J537" s="30" t="n">
        <v>20471</v>
      </c>
      <c r="K537" s="30" t="n">
        <v>19740</v>
      </c>
      <c r="L537" s="30" t="n">
        <v>19311.5</v>
      </c>
      <c r="M537" s="35" t="n">
        <v>0.4375207491123727</v>
      </c>
      <c r="N537" s="35" t="n">
        <v>0.4056973047556891</v>
      </c>
      <c r="O537" s="35" t="n">
        <v>-0.002487562189054771</v>
      </c>
      <c r="P537" s="35" t="n">
        <v>0.123249299719888</v>
      </c>
      <c r="Q537" s="35" t="n">
        <v>-0.05868544600938963</v>
      </c>
      <c r="R537" s="35" t="n">
        <v>-0.0205656782765864</v>
      </c>
      <c r="S537" s="35" t="n">
        <v>0.0157041540020264</v>
      </c>
      <c r="T537" s="35" t="n">
        <v>0.03824146234109205</v>
      </c>
      <c r="U537" s="30" t="n">
        <v>30450</v>
      </c>
      <c r="V537" s="30" t="n">
        <v>16360</v>
      </c>
      <c r="W537" s="35" t="n">
        <v>-0.3415435139573071</v>
      </c>
      <c r="X537" s="35" t="n">
        <v>0.2255501222493888</v>
      </c>
      <c r="Y537" s="30" t="n">
        <v>28966714</v>
      </c>
      <c r="Z537" s="30" t="n">
        <v>580782615700</v>
      </c>
      <c r="AA537" s="30" t="n">
        <v>5828334500</v>
      </c>
      <c r="AB537" s="30" t="n">
        <v>6037003204.5</v>
      </c>
      <c r="AC537" s="35" t="n">
        <v>0.01003531156485337</v>
      </c>
      <c r="AD537" s="24" t="inlineStr">
        <is>
          <t>yfinance_download</t>
        </is>
      </c>
      <c r="AE537" s="24" t="inlineStr">
        <is>
          <t>319660.KQ</t>
        </is>
      </c>
    </row>
    <row r="538" ht="24" customHeight="1">
      <c r="A538" s="29" t="inlineStr">
        <is>
          <t>2025-08-21</t>
        </is>
      </c>
      <c r="B538" s="31" t="n">
        <v>20350</v>
      </c>
      <c r="C538" s="31" t="n">
        <v>20350</v>
      </c>
      <c r="D538" s="31" t="n">
        <v>19810</v>
      </c>
      <c r="E538" s="31" t="n">
        <v>19840</v>
      </c>
      <c r="F538" s="31" t="n">
        <v>19618.32421875</v>
      </c>
      <c r="G538" s="31" t="n">
        <v>209293</v>
      </c>
      <c r="H538" s="36" t="n">
        <v>-0.01047381546134662</v>
      </c>
      <c r="I538" s="36" t="n">
        <v>-0.4860103626943005</v>
      </c>
      <c r="J538" s="31" t="n">
        <v>20455.5</v>
      </c>
      <c r="K538" s="31" t="n">
        <v>19763.16666666667</v>
      </c>
      <c r="L538" s="31" t="n">
        <v>19299.75</v>
      </c>
      <c r="M538" s="36" t="n">
        <v>0.4390524064532822</v>
      </c>
      <c r="N538" s="36" t="n">
        <v>0.4011792446311747</v>
      </c>
      <c r="O538" s="36" t="n">
        <v>-0.01538461538461533</v>
      </c>
      <c r="P538" s="36" t="n">
        <v>0.07533875338753382</v>
      </c>
      <c r="Q538" s="36" t="n">
        <v>-0.06635294117647061</v>
      </c>
      <c r="R538" s="36" t="n">
        <v>-0.03008970692478796</v>
      </c>
      <c r="S538" s="36" t="n">
        <v>0.003887703556278765</v>
      </c>
      <c r="T538" s="36" t="n">
        <v>0.02799259057759818</v>
      </c>
      <c r="U538" s="31" t="n">
        <v>30450</v>
      </c>
      <c r="V538" s="31" t="n">
        <v>16360</v>
      </c>
      <c r="W538" s="36" t="n">
        <v>-0.348440065681445</v>
      </c>
      <c r="X538" s="36" t="n">
        <v>0.2127139364303179</v>
      </c>
      <c r="Y538" s="31" t="n">
        <v>28966714</v>
      </c>
      <c r="Z538" s="31" t="n">
        <v>574699605760</v>
      </c>
      <c r="AA538" s="31" t="n">
        <v>4152373120</v>
      </c>
      <c r="AB538" s="31" t="n">
        <v>6044658298</v>
      </c>
      <c r="AC538" s="36" t="n">
        <v>0.007225293141638365</v>
      </c>
      <c r="AD538" s="29" t="inlineStr">
        <is>
          <t>yfinance_download</t>
        </is>
      </c>
      <c r="AE538" s="29" t="inlineStr">
        <is>
          <t>319660.KQ</t>
        </is>
      </c>
    </row>
    <row r="539" ht="24" customHeight="1">
      <c r="A539" s="24" t="inlineStr">
        <is>
          <t>2025-08-22</t>
        </is>
      </c>
      <c r="B539" s="30" t="n">
        <v>19940</v>
      </c>
      <c r="C539" s="30" t="n">
        <v>20100</v>
      </c>
      <c r="D539" s="30" t="n">
        <v>19650</v>
      </c>
      <c r="E539" s="30" t="n">
        <v>19780</v>
      </c>
      <c r="F539" s="30" t="n">
        <v>19558.994140625</v>
      </c>
      <c r="G539" s="30" t="n">
        <v>153501</v>
      </c>
      <c r="H539" s="35" t="n">
        <v>-0.003024193548387122</v>
      </c>
      <c r="I539" s="35" t="n">
        <v>-0.4875647668393782</v>
      </c>
      <c r="J539" s="30" t="n">
        <v>20446.5</v>
      </c>
      <c r="K539" s="30" t="n">
        <v>19790.16666666667</v>
      </c>
      <c r="L539" s="30" t="n">
        <v>19292.91666666667</v>
      </c>
      <c r="M539" s="35" t="n">
        <v>0.4378948418543403</v>
      </c>
      <c r="N539" s="35" t="n">
        <v>0.3996899201089094</v>
      </c>
      <c r="O539" s="35" t="n">
        <v>-0.009018036072144242</v>
      </c>
      <c r="P539" s="35" t="n">
        <v>0.08920704845814975</v>
      </c>
      <c r="Q539" s="35" t="n">
        <v>-0.03980582524271847</v>
      </c>
      <c r="R539" s="35" t="n">
        <v>-0.03259726603575186</v>
      </c>
      <c r="S539" s="35" t="n">
        <v>-0.0005137231453331559</v>
      </c>
      <c r="T539" s="35" t="n">
        <v>0.02524674427142948</v>
      </c>
      <c r="U539" s="30" t="n">
        <v>30450</v>
      </c>
      <c r="V539" s="30" t="n">
        <v>16360</v>
      </c>
      <c r="W539" s="35" t="n">
        <v>-0.3504105090311986</v>
      </c>
      <c r="X539" s="35" t="n">
        <v>0.2090464547677262</v>
      </c>
      <c r="Y539" s="30" t="n">
        <v>28966714</v>
      </c>
      <c r="Z539" s="30" t="n">
        <v>572961602920</v>
      </c>
      <c r="AA539" s="30" t="n">
        <v>3036249780</v>
      </c>
      <c r="AB539" s="30" t="n">
        <v>6056791705</v>
      </c>
      <c r="AC539" s="35" t="n">
        <v>0.005299220339593922</v>
      </c>
      <c r="AD539" s="24" t="inlineStr">
        <is>
          <t>yfinance_download</t>
        </is>
      </c>
      <c r="AE539" s="24" t="inlineStr">
        <is>
          <t>319660.KQ</t>
        </is>
      </c>
    </row>
    <row r="540" ht="24" customHeight="1">
      <c r="A540" s="29" t="inlineStr">
        <is>
          <t>2025-08-25</t>
        </is>
      </c>
      <c r="B540" s="31" t="n">
        <v>20150</v>
      </c>
      <c r="C540" s="31" t="n">
        <v>20200</v>
      </c>
      <c r="D540" s="31" t="n">
        <v>19920</v>
      </c>
      <c r="E540" s="31" t="n">
        <v>20150</v>
      </c>
      <c r="F540" s="31" t="n">
        <v>19924.859375</v>
      </c>
      <c r="G540" s="31" t="n">
        <v>104498</v>
      </c>
      <c r="H540" s="36" t="n">
        <v>0.01870576339737107</v>
      </c>
      <c r="I540" s="36" t="n">
        <v>-0.477979274611399</v>
      </c>
      <c r="J540" s="31" t="n">
        <v>20472.5</v>
      </c>
      <c r="K540" s="31" t="n">
        <v>19814.66666666667</v>
      </c>
      <c r="L540" s="31" t="n">
        <v>19295.08333333333</v>
      </c>
      <c r="M540" s="36" t="n">
        <v>0.4382120215012346</v>
      </c>
      <c r="N540" s="36" t="n">
        <v>0.3973468865631986</v>
      </c>
      <c r="O540" s="36" t="n">
        <v>0.02649006622516548</v>
      </c>
      <c r="P540" s="36" t="n">
        <v>0.07869379014989297</v>
      </c>
      <c r="Q540" s="36" t="n">
        <v>0.01307189542483655</v>
      </c>
      <c r="R540" s="36" t="n">
        <v>-0.01575283917450243</v>
      </c>
      <c r="S540" s="36" t="n">
        <v>0.01692349101675528</v>
      </c>
      <c r="T540" s="36" t="n">
        <v>0.04430748765877324</v>
      </c>
      <c r="U540" s="31" t="n">
        <v>30450</v>
      </c>
      <c r="V540" s="31" t="n">
        <v>16360</v>
      </c>
      <c r="W540" s="36" t="n">
        <v>-0.3382594417077176</v>
      </c>
      <c r="X540" s="36" t="n">
        <v>0.2316625916870416</v>
      </c>
      <c r="Y540" s="31" t="n">
        <v>28966714</v>
      </c>
      <c r="Z540" s="31" t="n">
        <v>583679287100</v>
      </c>
      <c r="AA540" s="31" t="n">
        <v>2105634700</v>
      </c>
      <c r="AB540" s="31" t="n">
        <v>6000201515.5</v>
      </c>
      <c r="AC540" s="36" t="n">
        <v>0.003607519996917842</v>
      </c>
      <c r="AD540" s="29" t="inlineStr">
        <is>
          <t>yfinance_download</t>
        </is>
      </c>
      <c r="AE540" s="29" t="inlineStr">
        <is>
          <t>319660.KQ</t>
        </is>
      </c>
    </row>
    <row r="541" ht="24" customHeight="1">
      <c r="A541" s="24" t="inlineStr">
        <is>
          <t>2025-08-26</t>
        </is>
      </c>
      <c r="B541" s="30" t="n">
        <v>20150</v>
      </c>
      <c r="C541" s="30" t="n">
        <v>21850</v>
      </c>
      <c r="D541" s="30" t="n">
        <v>20050</v>
      </c>
      <c r="E541" s="30" t="n">
        <v>21550</v>
      </c>
      <c r="F541" s="30" t="n">
        <v>21309.21875</v>
      </c>
      <c r="G541" s="30" t="n">
        <v>759376</v>
      </c>
      <c r="H541" s="35" t="n">
        <v>0.0694789081885856</v>
      </c>
      <c r="I541" s="35" t="n">
        <v>-0.4417098445595855</v>
      </c>
      <c r="J541" s="30" t="n">
        <v>20515</v>
      </c>
      <c r="K541" s="30" t="n">
        <v>19858.5</v>
      </c>
      <c r="L541" s="30" t="n">
        <v>19319.25</v>
      </c>
      <c r="M541" s="35" t="n">
        <v>0.4645819631057753</v>
      </c>
      <c r="N541" s="35" t="n">
        <v>0.4204886553304337</v>
      </c>
      <c r="O541" s="35" t="n">
        <v>0.04106280193236711</v>
      </c>
      <c r="P541" s="35" t="n">
        <v>0.1390063424947146</v>
      </c>
      <c r="Q541" s="35" t="n">
        <v>0.1554959785522789</v>
      </c>
      <c r="R541" s="35" t="n">
        <v>0.05045088959298072</v>
      </c>
      <c r="S541" s="35" t="n">
        <v>0.08517763174459292</v>
      </c>
      <c r="T541" s="35" t="n">
        <v>0.1154677329606482</v>
      </c>
      <c r="U541" s="30" t="n">
        <v>30450</v>
      </c>
      <c r="V541" s="30" t="n">
        <v>16360</v>
      </c>
      <c r="W541" s="35" t="n">
        <v>-0.2922824302134647</v>
      </c>
      <c r="X541" s="35" t="n">
        <v>0.3172371638141809</v>
      </c>
      <c r="Y541" s="30" t="n">
        <v>28966714</v>
      </c>
      <c r="Z541" s="30" t="n">
        <v>624232686700</v>
      </c>
      <c r="AA541" s="30" t="n">
        <v>16364552800</v>
      </c>
      <c r="AB541" s="30" t="n">
        <v>6342419200.5</v>
      </c>
      <c r="AC541" s="35" t="n">
        <v>0.02621546924514807</v>
      </c>
      <c r="AD541" s="24" t="inlineStr">
        <is>
          <t>yfinance_download</t>
        </is>
      </c>
      <c r="AE541" s="24" t="inlineStr">
        <is>
          <t>319660.KQ</t>
        </is>
      </c>
    </row>
    <row r="542" ht="24" customHeight="1">
      <c r="A542" s="29" t="inlineStr">
        <is>
          <t>2025-08-27</t>
        </is>
      </c>
      <c r="B542" s="31" t="n">
        <v>21350</v>
      </c>
      <c r="C542" s="31" t="n">
        <v>21750</v>
      </c>
      <c r="D542" s="31" t="n">
        <v>21100</v>
      </c>
      <c r="E542" s="31" t="n">
        <v>21550</v>
      </c>
      <c r="F542" s="31" t="n">
        <v>21309.21875</v>
      </c>
      <c r="G542" s="31" t="n">
        <v>357350</v>
      </c>
      <c r="H542" s="36" t="n">
        <v>0</v>
      </c>
      <c r="I542" s="36" t="n">
        <v>-0.4417098445595855</v>
      </c>
      <c r="J542" s="31" t="n">
        <v>20542.5</v>
      </c>
      <c r="K542" s="31" t="n">
        <v>19912.66666666667</v>
      </c>
      <c r="L542" s="31" t="n">
        <v>19347.58333333333</v>
      </c>
      <c r="M542" s="36" t="n">
        <v>0.4624295732326971</v>
      </c>
      <c r="N542" s="36" t="n">
        <v>0.4140583842127793</v>
      </c>
      <c r="O542" s="36" t="n">
        <v>0.0261904761904761</v>
      </c>
      <c r="P542" s="36" t="n">
        <v>0.1775956284153006</v>
      </c>
      <c r="Q542" s="36" t="n">
        <v>0.1873278236914599</v>
      </c>
      <c r="R542" s="36" t="n">
        <v>0.04904466350249481</v>
      </c>
      <c r="S542" s="36" t="n">
        <v>0.08222571897284814</v>
      </c>
      <c r="T542" s="36" t="n">
        <v>0.1138341997923944</v>
      </c>
      <c r="U542" s="31" t="n">
        <v>30450</v>
      </c>
      <c r="V542" s="31" t="n">
        <v>16360</v>
      </c>
      <c r="W542" s="36" t="n">
        <v>-0.2922824302134647</v>
      </c>
      <c r="X542" s="36" t="n">
        <v>0.3172371638141809</v>
      </c>
      <c r="Y542" s="31" t="n">
        <v>28966714</v>
      </c>
      <c r="Z542" s="31" t="n">
        <v>624232686700</v>
      </c>
      <c r="AA542" s="31" t="n">
        <v>7700892500</v>
      </c>
      <c r="AB542" s="31" t="n">
        <v>6245447675.5</v>
      </c>
      <c r="AC542" s="36" t="n">
        <v>0.01233657362723297</v>
      </c>
      <c r="AD542" s="29" t="inlineStr">
        <is>
          <t>yfinance_download</t>
        </is>
      </c>
      <c r="AE542" s="29" t="inlineStr">
        <is>
          <t>319660.KQ</t>
        </is>
      </c>
    </row>
    <row r="543" ht="24" customHeight="1">
      <c r="A543" s="24" t="inlineStr">
        <is>
          <t>2025-08-28</t>
        </is>
      </c>
      <c r="B543" s="30" t="n">
        <v>21600</v>
      </c>
      <c r="C543" s="30" t="n">
        <v>22550</v>
      </c>
      <c r="D543" s="30" t="n">
        <v>21400</v>
      </c>
      <c r="E543" s="30" t="n">
        <v>22250</v>
      </c>
      <c r="F543" s="30" t="n">
        <v>22001.396484375</v>
      </c>
      <c r="G543" s="30" t="n">
        <v>862528</v>
      </c>
      <c r="H543" s="35" t="n">
        <v>0.03248259860788871</v>
      </c>
      <c r="I543" s="35" t="n">
        <v>-0.4235751295336787</v>
      </c>
      <c r="J543" s="30" t="n">
        <v>20607.5</v>
      </c>
      <c r="K543" s="30" t="n">
        <v>19977</v>
      </c>
      <c r="L543" s="30" t="n">
        <v>19382</v>
      </c>
      <c r="M543" s="35" t="n">
        <v>0.4747499773813832</v>
      </c>
      <c r="N543" s="35" t="n">
        <v>0.4184176622547349</v>
      </c>
      <c r="O543" s="35" t="n">
        <v>0.06205250596658707</v>
      </c>
      <c r="P543" s="35" t="n">
        <v>0.2098966829798803</v>
      </c>
      <c r="Q543" s="35" t="n">
        <v>0.2279249448123621</v>
      </c>
      <c r="R543" s="35" t="n">
        <v>0.07970399126531613</v>
      </c>
      <c r="S543" s="35" t="n">
        <v>0.1137808479751714</v>
      </c>
      <c r="T543" s="35" t="n">
        <v>0.1479723454751831</v>
      </c>
      <c r="U543" s="30" t="n">
        <v>30450</v>
      </c>
      <c r="V543" s="30" t="n">
        <v>16360</v>
      </c>
      <c r="W543" s="35" t="n">
        <v>-0.2692939244663383</v>
      </c>
      <c r="X543" s="35" t="n">
        <v>0.3600244498777505</v>
      </c>
      <c r="Y543" s="30" t="n">
        <v>28966714</v>
      </c>
      <c r="Z543" s="30" t="n">
        <v>644509386500</v>
      </c>
      <c r="AA543" s="30" t="n">
        <v>19191248000</v>
      </c>
      <c r="AB543" s="30" t="n">
        <v>6830217718</v>
      </c>
      <c r="AC543" s="35" t="n">
        <v>0.02977652211431369</v>
      </c>
      <c r="AD543" s="24" t="inlineStr">
        <is>
          <t>yfinance_download</t>
        </is>
      </c>
      <c r="AE543" s="24" t="inlineStr">
        <is>
          <t>319660.KQ</t>
        </is>
      </c>
    </row>
    <row r="544" ht="24" customHeight="1">
      <c r="A544" s="29" t="inlineStr">
        <is>
          <t>2025-08-29</t>
        </is>
      </c>
      <c r="B544" s="31" t="n">
        <v>23400</v>
      </c>
      <c r="C544" s="31" t="n">
        <v>25000</v>
      </c>
      <c r="D544" s="31" t="n">
        <v>23100</v>
      </c>
      <c r="E544" s="31" t="n">
        <v>24500</v>
      </c>
      <c r="F544" s="31" t="n">
        <v>24226.2578125</v>
      </c>
      <c r="G544" s="31" t="n">
        <v>2137971</v>
      </c>
      <c r="H544" s="36" t="n">
        <v>0.101123595505618</v>
      </c>
      <c r="I544" s="36" t="n">
        <v>-0.3652849740932642</v>
      </c>
      <c r="J544" s="31" t="n">
        <v>20795</v>
      </c>
      <c r="K544" s="31" t="n">
        <v>20069.33333333333</v>
      </c>
      <c r="L544" s="31" t="n">
        <v>19443.58333333333</v>
      </c>
      <c r="M544" s="36" t="n">
        <v>0.584461379532517</v>
      </c>
      <c r="N544" s="36" t="n">
        <v>0.460640245431954</v>
      </c>
      <c r="O544" s="36" t="n">
        <v>0.1807228915662651</v>
      </c>
      <c r="P544" s="36" t="n">
        <v>0.2921940928270041</v>
      </c>
      <c r="Q544" s="36" t="n">
        <v>0.4319111630625365</v>
      </c>
      <c r="R544" s="36" t="n">
        <v>0.1781678288050013</v>
      </c>
      <c r="S544" s="36" t="n">
        <v>0.2207680042519267</v>
      </c>
      <c r="T544" s="36" t="n">
        <v>0.2600558024712525</v>
      </c>
      <c r="U544" s="31" t="n">
        <v>30450</v>
      </c>
      <c r="V544" s="31" t="n">
        <v>16360</v>
      </c>
      <c r="W544" s="36" t="n">
        <v>-0.1954022988505747</v>
      </c>
      <c r="X544" s="36" t="n">
        <v>0.4975550122249388</v>
      </c>
      <c r="Y544" s="31" t="n">
        <v>28966714</v>
      </c>
      <c r="Z544" s="31" t="n">
        <v>709684493000</v>
      </c>
      <c r="AA544" s="31" t="n">
        <v>52380289500</v>
      </c>
      <c r="AB544" s="31" t="n">
        <v>9246899980.5</v>
      </c>
      <c r="AC544" s="36" t="n">
        <v>0.07380785407692429</v>
      </c>
      <c r="AD544" s="29" t="inlineStr">
        <is>
          <t>yfinance_download</t>
        </is>
      </c>
      <c r="AE544" s="29" t="inlineStr">
        <is>
          <t>319660.KQ</t>
        </is>
      </c>
    </row>
    <row r="545" ht="24" customHeight="1">
      <c r="A545" s="24" t="inlineStr">
        <is>
          <t>2025-09-01</t>
        </is>
      </c>
      <c r="B545" s="30" t="n">
        <v>24000</v>
      </c>
      <c r="C545" s="30" t="n">
        <v>24025</v>
      </c>
      <c r="D545" s="30" t="n">
        <v>23350</v>
      </c>
      <c r="E545" s="30" t="n">
        <v>23550</v>
      </c>
      <c r="F545" s="30" t="n">
        <v>23286.87109375</v>
      </c>
      <c r="G545" s="30" t="n">
        <v>692354</v>
      </c>
      <c r="H545" s="35" t="n">
        <v>-0.03877551020408165</v>
      </c>
      <c r="I545" s="35" t="n">
        <v>-0.3898963730569949</v>
      </c>
      <c r="J545" s="30" t="n">
        <v>21002</v>
      </c>
      <c r="K545" s="30" t="n">
        <v>20136.33333333333</v>
      </c>
      <c r="L545" s="30" t="n">
        <v>19494.83333333333</v>
      </c>
      <c r="M545" s="35" t="n">
        <v>0.5473967352432112</v>
      </c>
      <c r="N545" s="35" t="n">
        <v>0.4660148261032264</v>
      </c>
      <c r="O545" s="35" t="n">
        <v>0.213292117465224</v>
      </c>
      <c r="P545" s="35" t="n">
        <v>0.2058371735791091</v>
      </c>
      <c r="Q545" s="35" t="n">
        <v>0.353448275862069</v>
      </c>
      <c r="R545" s="35" t="n">
        <v>0.1213217788782022</v>
      </c>
      <c r="S545" s="35" t="n">
        <v>0.1695277193795628</v>
      </c>
      <c r="T545" s="35" t="n">
        <v>0.2080123793483744</v>
      </c>
      <c r="U545" s="30" t="n">
        <v>30100</v>
      </c>
      <c r="V545" s="30" t="n">
        <v>16360</v>
      </c>
      <c r="W545" s="35" t="n">
        <v>-0.2176079734219269</v>
      </c>
      <c r="X545" s="35" t="n">
        <v>0.4394865525672371</v>
      </c>
      <c r="Y545" s="30" t="n">
        <v>28966714</v>
      </c>
      <c r="Z545" s="30" t="n">
        <v>682166114700</v>
      </c>
      <c r="AA545" s="30" t="n">
        <v>16304936700</v>
      </c>
      <c r="AB545" s="30" t="n">
        <v>9801018262.5</v>
      </c>
      <c r="AC545" s="35" t="n">
        <v>0.02390171008005948</v>
      </c>
      <c r="AD545" s="24" t="inlineStr">
        <is>
          <t>yfinance_download</t>
        </is>
      </c>
      <c r="AE545" s="24" t="inlineStr">
        <is>
          <t>319660.KQ</t>
        </is>
      </c>
    </row>
    <row r="546" ht="24" customHeight="1">
      <c r="A546" s="29" t="inlineStr">
        <is>
          <t>2025-09-02</t>
        </is>
      </c>
      <c r="B546" s="31" t="n">
        <v>23600</v>
      </c>
      <c r="C546" s="31" t="n">
        <v>23750</v>
      </c>
      <c r="D546" s="31" t="n">
        <v>22950</v>
      </c>
      <c r="E546" s="31" t="n">
        <v>23150</v>
      </c>
      <c r="F546" s="31" t="n">
        <v>22891.33984375</v>
      </c>
      <c r="G546" s="31" t="n">
        <v>497520</v>
      </c>
      <c r="H546" s="36" t="n">
        <v>-0.01698513800424628</v>
      </c>
      <c r="I546" s="36" t="n">
        <v>-0.4002590673575129</v>
      </c>
      <c r="J546" s="31" t="n">
        <v>21186</v>
      </c>
      <c r="K546" s="31" t="n">
        <v>20195.5</v>
      </c>
      <c r="L546" s="31" t="n">
        <v>19541.41666666667</v>
      </c>
      <c r="M546" s="36" t="n">
        <v>0.5554636678121142</v>
      </c>
      <c r="N546" s="36" t="n">
        <v>0.4679091700217253</v>
      </c>
      <c r="O546" s="36" t="n">
        <v>0.1890087313816127</v>
      </c>
      <c r="P546" s="36" t="n">
        <v>0.1811224489795917</v>
      </c>
      <c r="Q546" s="36" t="n">
        <v>0.3183371298405466</v>
      </c>
      <c r="R546" s="36" t="n">
        <v>0.09270272821674697</v>
      </c>
      <c r="S546" s="36" t="n">
        <v>0.1462949667005027</v>
      </c>
      <c r="T546" s="36" t="n">
        <v>0.1846633432410649</v>
      </c>
      <c r="U546" s="31" t="n">
        <v>30100</v>
      </c>
      <c r="V546" s="31" t="n">
        <v>16360</v>
      </c>
      <c r="W546" s="36" t="n">
        <v>-0.2308970099667774</v>
      </c>
      <c r="X546" s="36" t="n">
        <v>0.4150366748166259</v>
      </c>
      <c r="Y546" s="31" t="n">
        <v>28966714</v>
      </c>
      <c r="Z546" s="31" t="n">
        <v>670579429100</v>
      </c>
      <c r="AA546" s="31" t="n">
        <v>11517588000</v>
      </c>
      <c r="AB546" s="31" t="n">
        <v>10225924362</v>
      </c>
      <c r="AC546" s="36" t="n">
        <v>0.01717557607673414</v>
      </c>
      <c r="AD546" s="29" t="inlineStr">
        <is>
          <t>yfinance_download</t>
        </is>
      </c>
      <c r="AE546" s="29" t="inlineStr">
        <is>
          <t>319660.KQ</t>
        </is>
      </c>
    </row>
    <row r="547" ht="24" customHeight="1">
      <c r="A547" s="24" t="inlineStr">
        <is>
          <t>2025-09-03</t>
        </is>
      </c>
      <c r="B547" s="30" t="n">
        <v>23150</v>
      </c>
      <c r="C547" s="30" t="n">
        <v>23300</v>
      </c>
      <c r="D547" s="30" t="n">
        <v>22450</v>
      </c>
      <c r="E547" s="30" t="n">
        <v>23050</v>
      </c>
      <c r="F547" s="30" t="n">
        <v>22792.45703125</v>
      </c>
      <c r="G547" s="30" t="n">
        <v>429785</v>
      </c>
      <c r="H547" s="35" t="n">
        <v>-0.004319654427645814</v>
      </c>
      <c r="I547" s="35" t="n">
        <v>-0.4028497409326425</v>
      </c>
      <c r="J547" s="30" t="n">
        <v>21366.5</v>
      </c>
      <c r="K547" s="30" t="n">
        <v>20255.5</v>
      </c>
      <c r="L547" s="30" t="n">
        <v>19587.91666666667</v>
      </c>
      <c r="M547" s="35" t="n">
        <v>0.5562671173399443</v>
      </c>
      <c r="N547" s="35" t="n">
        <v>0.4676288151699977</v>
      </c>
      <c r="O547" s="35" t="n">
        <v>0.1856995884773662</v>
      </c>
      <c r="P547" s="35" t="n">
        <v>0.1850899742930592</v>
      </c>
      <c r="Q547" s="35" t="n">
        <v>0.3194046937607327</v>
      </c>
      <c r="R547" s="35" t="n">
        <v>0.07879156623686612</v>
      </c>
      <c r="S547" s="35" t="n">
        <v>0.1379625286959099</v>
      </c>
      <c r="T547" s="35" t="n">
        <v>0.1767458679883431</v>
      </c>
      <c r="U547" s="30" t="n">
        <v>28950</v>
      </c>
      <c r="V547" s="30" t="n">
        <v>16360</v>
      </c>
      <c r="W547" s="35" t="n">
        <v>-0.2037996545768567</v>
      </c>
      <c r="X547" s="35" t="n">
        <v>0.408924205378973</v>
      </c>
      <c r="Y547" s="30" t="n">
        <v>28966714</v>
      </c>
      <c r="Z547" s="30" t="n">
        <v>667682757700</v>
      </c>
      <c r="AA547" s="30" t="n">
        <v>9906544250</v>
      </c>
      <c r="AB547" s="30" t="n">
        <v>10567346066.5</v>
      </c>
      <c r="AC547" s="35" t="n">
        <v>0.01483720245244248</v>
      </c>
      <c r="AD547" s="24" t="inlineStr">
        <is>
          <t>yfinance_download</t>
        </is>
      </c>
      <c r="AE547" s="24" t="inlineStr">
        <is>
          <t>319660.KQ</t>
        </is>
      </c>
    </row>
    <row r="548" ht="24" customHeight="1">
      <c r="A548" s="29" t="inlineStr">
        <is>
          <t>2025-09-04</t>
        </is>
      </c>
      <c r="B548" s="31" t="n">
        <v>23200</v>
      </c>
      <c r="C548" s="31" t="n">
        <v>23900</v>
      </c>
      <c r="D548" s="31" t="n">
        <v>22900</v>
      </c>
      <c r="E548" s="31" t="n">
        <v>23550</v>
      </c>
      <c r="F548" s="31" t="n">
        <v>23286.87109375</v>
      </c>
      <c r="G548" s="31" t="n">
        <v>569003</v>
      </c>
      <c r="H548" s="36" t="n">
        <v>0.0216919739696313</v>
      </c>
      <c r="I548" s="36" t="n">
        <v>-0.3898963730569949</v>
      </c>
      <c r="J548" s="31" t="n">
        <v>21558.5</v>
      </c>
      <c r="K548" s="31" t="n">
        <v>20316.16666666667</v>
      </c>
      <c r="L548" s="31" t="n">
        <v>19630.41666666667</v>
      </c>
      <c r="M548" s="36" t="n">
        <v>0.5578421011901689</v>
      </c>
      <c r="N548" s="36" t="n">
        <v>0.4672810380238687</v>
      </c>
      <c r="O548" s="36" t="n">
        <v>0.1948249619482496</v>
      </c>
      <c r="P548" s="36" t="n">
        <v>0.1828227021597186</v>
      </c>
      <c r="Q548" s="36" t="n">
        <v>0.2764227642276422</v>
      </c>
      <c r="R548" s="36" t="n">
        <v>0.0923765568105388</v>
      </c>
      <c r="S548" s="36" t="n">
        <v>0.1591753693692215</v>
      </c>
      <c r="T548" s="36" t="n">
        <v>0.1996688812005178</v>
      </c>
      <c r="U548" s="31" t="n">
        <v>28150</v>
      </c>
      <c r="V548" s="31" t="n">
        <v>16360</v>
      </c>
      <c r="W548" s="36" t="n">
        <v>-0.1634103019538188</v>
      </c>
      <c r="X548" s="36" t="n">
        <v>0.4394865525672371</v>
      </c>
      <c r="Y548" s="31" t="n">
        <v>28966714</v>
      </c>
      <c r="Z548" s="31" t="n">
        <v>682166114700</v>
      </c>
      <c r="AA548" s="31" t="n">
        <v>13400020650</v>
      </c>
      <c r="AB548" s="31" t="n">
        <v>11082349630</v>
      </c>
      <c r="AC548" s="36" t="n">
        <v>0.019643339593162</v>
      </c>
      <c r="AD548" s="29" t="inlineStr">
        <is>
          <t>yfinance_download</t>
        </is>
      </c>
      <c r="AE548" s="29" t="inlineStr">
        <is>
          <t>319660.KQ</t>
        </is>
      </c>
    </row>
    <row r="549" ht="24" customHeight="1">
      <c r="A549" s="24" t="inlineStr">
        <is>
          <t>2025-09-05</t>
        </is>
      </c>
      <c r="B549" s="30" t="n">
        <v>23850</v>
      </c>
      <c r="C549" s="30" t="n">
        <v>24050</v>
      </c>
      <c r="D549" s="30" t="n">
        <v>23550</v>
      </c>
      <c r="E549" s="30" t="n">
        <v>23800</v>
      </c>
      <c r="F549" s="30" t="n">
        <v>23534.078125</v>
      </c>
      <c r="G549" s="30" t="n">
        <v>478372</v>
      </c>
      <c r="H549" s="35" t="n">
        <v>0.01061571125265393</v>
      </c>
      <c r="I549" s="35" t="n">
        <v>-0.383419689119171</v>
      </c>
      <c r="J549" s="30" t="n">
        <v>21743.5</v>
      </c>
      <c r="K549" s="30" t="n">
        <v>20382.5</v>
      </c>
      <c r="L549" s="30" t="n">
        <v>19675.91666666667</v>
      </c>
      <c r="M549" s="35" t="n">
        <v>0.5565491976660586</v>
      </c>
      <c r="N549" s="35" t="n">
        <v>0.4672397879112093</v>
      </c>
      <c r="O549" s="35" t="n">
        <v>0.1840796019900497</v>
      </c>
      <c r="P549" s="35" t="n">
        <v>0.2008072653884965</v>
      </c>
      <c r="Q549" s="35" t="n">
        <v>0.2977099236641221</v>
      </c>
      <c r="R549" s="35" t="n">
        <v>0.0945799894221262</v>
      </c>
      <c r="S549" s="35" t="n">
        <v>0.1676683429412487</v>
      </c>
      <c r="T549" s="35" t="n">
        <v>0.2096005692237972</v>
      </c>
      <c r="U549" s="30" t="n">
        <v>27600</v>
      </c>
      <c r="V549" s="30" t="n">
        <v>16360</v>
      </c>
      <c r="W549" s="35" t="n">
        <v>-0.1376811594202898</v>
      </c>
      <c r="X549" s="35" t="n">
        <v>0.4547677261613692</v>
      </c>
      <c r="Y549" s="30" t="n">
        <v>28966714</v>
      </c>
      <c r="Z549" s="30" t="n">
        <v>689407793200</v>
      </c>
      <c r="AA549" s="30" t="n">
        <v>11385253600</v>
      </c>
      <c r="AB549" s="30" t="n">
        <v>11475748365</v>
      </c>
      <c r="AC549" s="35" t="n">
        <v>0.01651454148371817</v>
      </c>
      <c r="AD549" s="24" t="inlineStr">
        <is>
          <t>yfinance_download</t>
        </is>
      </c>
      <c r="AE549" s="24" t="inlineStr">
        <is>
          <t>319660.KQ</t>
        </is>
      </c>
    </row>
    <row r="550" ht="24" customHeight="1">
      <c r="A550" s="29" t="inlineStr">
        <is>
          <t>2025-09-08</t>
        </is>
      </c>
      <c r="B550" s="31" t="n">
        <v>23800</v>
      </c>
      <c r="C550" s="31" t="n">
        <v>23950</v>
      </c>
      <c r="D550" s="31" t="n">
        <v>23500</v>
      </c>
      <c r="E550" s="31" t="n">
        <v>23950</v>
      </c>
      <c r="F550" s="31" t="n">
        <v>23682.40234375</v>
      </c>
      <c r="G550" s="31" t="n">
        <v>286617</v>
      </c>
      <c r="H550" s="36" t="n">
        <v>0.006302521008403339</v>
      </c>
      <c r="I550" s="36" t="n">
        <v>-0.3795336787564767</v>
      </c>
      <c r="J550" s="31" t="n">
        <v>21878.5</v>
      </c>
      <c r="K550" s="31" t="n">
        <v>20460</v>
      </c>
      <c r="L550" s="31" t="n">
        <v>19715.41666666667</v>
      </c>
      <c r="M550" s="36" t="n">
        <v>0.5266500625365282</v>
      </c>
      <c r="N550" s="36" t="n">
        <v>0.4631438743433949</v>
      </c>
      <c r="O550" s="36" t="n">
        <v>0.1270588235294117</v>
      </c>
      <c r="P550" s="36" t="n">
        <v>0.2409326424870466</v>
      </c>
      <c r="Q550" s="36" t="n">
        <v>0.2467464862051014</v>
      </c>
      <c r="R550" s="36" t="n">
        <v>0.09468199373814468</v>
      </c>
      <c r="S550" s="36" t="n">
        <v>0.1705767350928642</v>
      </c>
      <c r="T550" s="36" t="n">
        <v>0.2147853836887377</v>
      </c>
      <c r="U550" s="31" t="n">
        <v>27400</v>
      </c>
      <c r="V550" s="31" t="n">
        <v>16360</v>
      </c>
      <c r="W550" s="36" t="n">
        <v>-0.1259124087591241</v>
      </c>
      <c r="X550" s="36" t="n">
        <v>0.4639364303178484</v>
      </c>
      <c r="Y550" s="31" t="n">
        <v>28966714</v>
      </c>
      <c r="Z550" s="31" t="n">
        <v>693752800300</v>
      </c>
      <c r="AA550" s="31" t="n">
        <v>6864477150</v>
      </c>
      <c r="AB550" s="31" t="n">
        <v>11095489410</v>
      </c>
      <c r="AC550" s="36" t="n">
        <v>0.00989470189818562</v>
      </c>
      <c r="AD550" s="29" t="inlineStr">
        <is>
          <t>yfinance_download</t>
        </is>
      </c>
      <c r="AE550" s="29" t="inlineStr">
        <is>
          <t>319660.KQ</t>
        </is>
      </c>
    </row>
    <row r="551" ht="24" customHeight="1">
      <c r="A551" s="24" t="inlineStr">
        <is>
          <t>2025-09-09</t>
        </is>
      </c>
      <c r="B551" s="30" t="n">
        <v>24100</v>
      </c>
      <c r="C551" s="30" t="n">
        <v>24850</v>
      </c>
      <c r="D551" s="30" t="n">
        <v>23700</v>
      </c>
      <c r="E551" s="30" t="n">
        <v>24750</v>
      </c>
      <c r="F551" s="30" t="n">
        <v>24473.462890625</v>
      </c>
      <c r="G551" s="30" t="n">
        <v>673719</v>
      </c>
      <c r="H551" s="35" t="n">
        <v>0.03340292275574108</v>
      </c>
      <c r="I551" s="35" t="n">
        <v>-0.3588082901554405</v>
      </c>
      <c r="J551" s="30" t="n">
        <v>22036</v>
      </c>
      <c r="K551" s="30" t="n">
        <v>20548.33333333333</v>
      </c>
      <c r="L551" s="30" t="n">
        <v>19756.5</v>
      </c>
      <c r="M551" s="35" t="n">
        <v>0.5342745242797818</v>
      </c>
      <c r="N551" s="35" t="n">
        <v>0.4669948222074677</v>
      </c>
      <c r="O551" s="35" t="n">
        <v>0.1458333333333333</v>
      </c>
      <c r="P551" s="35" t="n">
        <v>0.2724935732647815</v>
      </c>
      <c r="Q551" s="35" t="n">
        <v>0.2487386478304743</v>
      </c>
      <c r="R551" s="35" t="n">
        <v>0.1231620983844617</v>
      </c>
      <c r="S551" s="35" t="n">
        <v>0.204477248763079</v>
      </c>
      <c r="T551" s="35" t="n">
        <v>0.2527522587502846</v>
      </c>
      <c r="U551" s="30" t="n">
        <v>27050</v>
      </c>
      <c r="V551" s="30" t="n">
        <v>16360</v>
      </c>
      <c r="W551" s="35" t="n">
        <v>-0.08502772643253231</v>
      </c>
      <c r="X551" s="35" t="n">
        <v>0.5128361858190709</v>
      </c>
      <c r="Y551" s="30" t="n">
        <v>28966714</v>
      </c>
      <c r="Z551" s="30" t="n">
        <v>716926171500</v>
      </c>
      <c r="AA551" s="30" t="n">
        <v>16674545250</v>
      </c>
      <c r="AB551" s="30" t="n">
        <v>11633005072.5</v>
      </c>
      <c r="AC551" s="35" t="n">
        <v>0.02325838546961178</v>
      </c>
      <c r="AD551" s="24" t="inlineStr">
        <is>
          <t>yfinance_download</t>
        </is>
      </c>
      <c r="AE551" s="24" t="inlineStr">
        <is>
          <t>319660.KQ</t>
        </is>
      </c>
    </row>
    <row r="552" ht="24" customHeight="1">
      <c r="A552" s="29" t="inlineStr">
        <is>
          <t>2025-09-10</t>
        </is>
      </c>
      <c r="B552" s="31" t="n">
        <v>25200</v>
      </c>
      <c r="C552" s="31" t="n">
        <v>26300</v>
      </c>
      <c r="D552" s="31" t="n">
        <v>24750</v>
      </c>
      <c r="E552" s="31" t="n">
        <v>25850</v>
      </c>
      <c r="F552" s="31" t="n">
        <v>25561.173828125</v>
      </c>
      <c r="G552" s="31" t="n">
        <v>1075954</v>
      </c>
      <c r="H552" s="36" t="n">
        <v>0.04444444444444451</v>
      </c>
      <c r="I552" s="36" t="n">
        <v>-0.3303108808290155</v>
      </c>
      <c r="J552" s="31" t="n">
        <v>22271</v>
      </c>
      <c r="K552" s="31" t="n">
        <v>20651.16666666667</v>
      </c>
      <c r="L552" s="31" t="n">
        <v>19806.41666666667</v>
      </c>
      <c r="M552" s="36" t="n">
        <v>0.5388297249265674</v>
      </c>
      <c r="N552" s="36" t="n">
        <v>0.4739308784697621</v>
      </c>
      <c r="O552" s="36" t="n">
        <v>0.2222222222222223</v>
      </c>
      <c r="P552" s="36" t="n">
        <v>0.3135162601626016</v>
      </c>
      <c r="Q552" s="36" t="n">
        <v>0.3016112789526686</v>
      </c>
      <c r="R552" s="36" t="n">
        <v>0.1607022585424993</v>
      </c>
      <c r="S552" s="36" t="n">
        <v>0.2517452605583219</v>
      </c>
      <c r="T552" s="36" t="n">
        <v>0.3051325959179894</v>
      </c>
      <c r="U552" s="31" t="n">
        <v>27050</v>
      </c>
      <c r="V552" s="31" t="n">
        <v>16360</v>
      </c>
      <c r="W552" s="36" t="n">
        <v>-0.04436229205175601</v>
      </c>
      <c r="X552" s="36" t="n">
        <v>0.5800733496332517</v>
      </c>
      <c r="Y552" s="31" t="n">
        <v>28966714</v>
      </c>
      <c r="Z552" s="31" t="n">
        <v>748789556900</v>
      </c>
      <c r="AA552" s="31" t="n">
        <v>27813410900</v>
      </c>
      <c r="AB552" s="31" t="n">
        <v>12574602955</v>
      </c>
      <c r="AC552" s="36" t="n">
        <v>0.03714449626561025</v>
      </c>
      <c r="AD552" s="29" t="inlineStr">
        <is>
          <t>yfinance_download</t>
        </is>
      </c>
      <c r="AE552" s="29" t="inlineStr">
        <is>
          <t>319660.KQ</t>
        </is>
      </c>
    </row>
    <row r="553" ht="24" customHeight="1">
      <c r="A553" s="24" t="inlineStr">
        <is>
          <t>2025-09-11</t>
        </is>
      </c>
      <c r="B553" s="30" t="n">
        <v>26200</v>
      </c>
      <c r="C553" s="30" t="n">
        <v>26250</v>
      </c>
      <c r="D553" s="30" t="n">
        <v>25450</v>
      </c>
      <c r="E553" s="30" t="n">
        <v>25700</v>
      </c>
      <c r="F553" s="30" t="n">
        <v>25412.849609375</v>
      </c>
      <c r="G553" s="30" t="n">
        <v>731773</v>
      </c>
      <c r="H553" s="35" t="n">
        <v>-0.005802707930367523</v>
      </c>
      <c r="I553" s="35" t="n">
        <v>-0.3341968911917098</v>
      </c>
      <c r="J553" s="30" t="n">
        <v>22476</v>
      </c>
      <c r="K553" s="30" t="n">
        <v>20747.83333333333</v>
      </c>
      <c r="L553" s="30" t="n">
        <v>19843.91666666667</v>
      </c>
      <c r="M553" s="35" t="n">
        <v>0.5402945428902186</v>
      </c>
      <c r="N553" s="35" t="n">
        <v>0.4742606489445425</v>
      </c>
      <c r="O553" s="35" t="n">
        <v>0.1898148148148149</v>
      </c>
      <c r="P553" s="35" t="n">
        <v>0.2914572864321607</v>
      </c>
      <c r="Q553" s="35" t="n">
        <v>0.2122641509433962</v>
      </c>
      <c r="R553" s="35" t="n">
        <v>0.1434418935753692</v>
      </c>
      <c r="S553" s="35" t="n">
        <v>0.2386835573192383</v>
      </c>
      <c r="T553" s="35" t="n">
        <v>0.2951072326951585</v>
      </c>
      <c r="U553" s="30" t="n">
        <v>27050</v>
      </c>
      <c r="V553" s="30" t="n">
        <v>16360</v>
      </c>
      <c r="W553" s="35" t="n">
        <v>-0.04990757855822547</v>
      </c>
      <c r="X553" s="35" t="n">
        <v>0.5709046454767726</v>
      </c>
      <c r="Y553" s="30" t="n">
        <v>28966714</v>
      </c>
      <c r="Z553" s="30" t="n">
        <v>744444549800</v>
      </c>
      <c r="AA553" s="30" t="n">
        <v>18806566100</v>
      </c>
      <c r="AB553" s="30" t="n">
        <v>13096782260</v>
      </c>
      <c r="AC553" s="35" t="n">
        <v>0.02526254790239583</v>
      </c>
      <c r="AD553" s="24" t="inlineStr">
        <is>
          <t>yfinance_download</t>
        </is>
      </c>
      <c r="AE553" s="24" t="inlineStr">
        <is>
          <t>319660.KQ</t>
        </is>
      </c>
    </row>
    <row r="554" ht="24" customHeight="1">
      <c r="A554" s="29" t="inlineStr">
        <is>
          <t>2025-09-12</t>
        </is>
      </c>
      <c r="B554" s="31" t="n">
        <v>27100</v>
      </c>
      <c r="C554" s="31" t="n">
        <v>28050</v>
      </c>
      <c r="D554" s="31" t="n">
        <v>26600</v>
      </c>
      <c r="E554" s="31" t="n">
        <v>27050</v>
      </c>
      <c r="F554" s="31" t="n">
        <v>26747.765625</v>
      </c>
      <c r="G554" s="31" t="n">
        <v>876837</v>
      </c>
      <c r="H554" s="36" t="n">
        <v>0.05252918287937747</v>
      </c>
      <c r="I554" s="36" t="n">
        <v>-0.2992227979274611</v>
      </c>
      <c r="J554" s="31" t="n">
        <v>22761</v>
      </c>
      <c r="K554" s="31" t="n">
        <v>20873.5</v>
      </c>
      <c r="L554" s="31" t="n">
        <v>19891.41666666667</v>
      </c>
      <c r="M554" s="36" t="n">
        <v>0.5552177642159446</v>
      </c>
      <c r="N554" s="36" t="n">
        <v>0.4814569216358332</v>
      </c>
      <c r="O554" s="36" t="n">
        <v>0.2669789227166277</v>
      </c>
      <c r="P554" s="36" t="n">
        <v>0.3864684777037417</v>
      </c>
      <c r="Q554" s="36" t="n">
        <v>0.2669789227166277</v>
      </c>
      <c r="R554" s="36" t="n">
        <v>0.1884363604411055</v>
      </c>
      <c r="S554" s="36" t="n">
        <v>0.2959015019043285</v>
      </c>
      <c r="T554" s="36" t="n">
        <v>0.3598830316258688</v>
      </c>
      <c r="U554" s="31" t="n">
        <v>27050</v>
      </c>
      <c r="V554" s="31" t="n">
        <v>16360</v>
      </c>
      <c r="W554" s="36" t="n">
        <v>0</v>
      </c>
      <c r="X554" s="36" t="n">
        <v>0.6534229828850855</v>
      </c>
      <c r="Y554" s="31" t="n">
        <v>28966714</v>
      </c>
      <c r="Z554" s="31" t="n">
        <v>783549613700</v>
      </c>
      <c r="AA554" s="31" t="n">
        <v>23718440850</v>
      </c>
      <c r="AB554" s="31" t="n">
        <v>13767473292.5</v>
      </c>
      <c r="AC554" s="36" t="n">
        <v>0.03027050289515062</v>
      </c>
      <c r="AD554" s="29" t="inlineStr">
        <is>
          <t>yfinance_download</t>
        </is>
      </c>
      <c r="AE554" s="29" t="inlineStr">
        <is>
          <t>319660.KQ</t>
        </is>
      </c>
    </row>
    <row r="555" ht="24" customHeight="1">
      <c r="A555" s="24" t="inlineStr">
        <is>
          <t>2025-09-15</t>
        </is>
      </c>
      <c r="B555" s="30" t="n">
        <v>28000</v>
      </c>
      <c r="C555" s="30" t="n">
        <v>29300</v>
      </c>
      <c r="D555" s="30" t="n">
        <v>27300</v>
      </c>
      <c r="E555" s="30" t="n">
        <v>29300</v>
      </c>
      <c r="F555" s="30" t="n">
        <v>28972.625</v>
      </c>
      <c r="G555" s="30" t="n">
        <v>891947</v>
      </c>
      <c r="H555" s="35" t="n">
        <v>0.08317929759704246</v>
      </c>
      <c r="I555" s="35" t="n">
        <v>-0.2409326424870466</v>
      </c>
      <c r="J555" s="30" t="n">
        <v>23191</v>
      </c>
      <c r="K555" s="30" t="n">
        <v>21032.5</v>
      </c>
      <c r="L555" s="30" t="n">
        <v>19957.66666666667</v>
      </c>
      <c r="M555" s="35" t="n">
        <v>0.5844694145009441</v>
      </c>
      <c r="N555" s="35" t="n">
        <v>0.5067045624714785</v>
      </c>
      <c r="O555" s="35" t="n">
        <v>0.4154589371980677</v>
      </c>
      <c r="P555" s="35" t="n">
        <v>0.4827935222672064</v>
      </c>
      <c r="Q555" s="35" t="n">
        <v>0.3723653395784543</v>
      </c>
      <c r="R555" s="35" t="n">
        <v>0.2634211547583114</v>
      </c>
      <c r="S555" s="35" t="n">
        <v>0.3930821347913942</v>
      </c>
      <c r="T555" s="35" t="n">
        <v>0.4681074941960481</v>
      </c>
      <c r="U555" s="30" t="n">
        <v>29300</v>
      </c>
      <c r="V555" s="30" t="n">
        <v>16360</v>
      </c>
      <c r="W555" s="35" t="n">
        <v>0</v>
      </c>
      <c r="X555" s="35" t="n">
        <v>0.7909535452322738</v>
      </c>
      <c r="Y555" s="30" t="n">
        <v>28966714</v>
      </c>
      <c r="Z555" s="30" t="n">
        <v>848724720200</v>
      </c>
      <c r="AA555" s="30" t="n">
        <v>26134047100</v>
      </c>
      <c r="AB555" s="30" t="n">
        <v>14832001172.5</v>
      </c>
      <c r="AC555" s="35" t="n">
        <v>0.03079213610490993</v>
      </c>
      <c r="AD555" s="24" t="inlineStr">
        <is>
          <t>yfinance_download</t>
        </is>
      </c>
      <c r="AE555" s="24" t="inlineStr">
        <is>
          <t>319660.KQ</t>
        </is>
      </c>
    </row>
    <row r="556" ht="24" customHeight="1">
      <c r="A556" s="29" t="inlineStr">
        <is>
          <t>2025-09-16</t>
        </is>
      </c>
      <c r="B556" s="31" t="n">
        <v>28850</v>
      </c>
      <c r="C556" s="31" t="n">
        <v>28900</v>
      </c>
      <c r="D556" s="31" t="n">
        <v>27750</v>
      </c>
      <c r="E556" s="31" t="n">
        <v>28450</v>
      </c>
      <c r="F556" s="31" t="n">
        <v>28132.123046875</v>
      </c>
      <c r="G556" s="31" t="n">
        <v>801048</v>
      </c>
      <c r="H556" s="36" t="n">
        <v>-0.02901023890784982</v>
      </c>
      <c r="I556" s="36" t="n">
        <v>-0.2629533678756477</v>
      </c>
      <c r="J556" s="31" t="n">
        <v>23591</v>
      </c>
      <c r="K556" s="31" t="n">
        <v>21190.83333333333</v>
      </c>
      <c r="L556" s="31" t="n">
        <v>20010.16666666667</v>
      </c>
      <c r="M556" s="36" t="n">
        <v>0.5989933240263027</v>
      </c>
      <c r="N556" s="36" t="n">
        <v>0.5024266419289185</v>
      </c>
      <c r="O556" s="36" t="n">
        <v>0.39119804400978</v>
      </c>
      <c r="P556" s="36" t="n">
        <v>0.5013192612137203</v>
      </c>
      <c r="Q556" s="36" t="n">
        <v>0.2844243792325056</v>
      </c>
      <c r="R556" s="36" t="n">
        <v>0.2059683777711838</v>
      </c>
      <c r="S556" s="36" t="n">
        <v>0.3425616422195132</v>
      </c>
      <c r="T556" s="36" t="n">
        <v>0.4217772632245274</v>
      </c>
      <c r="U556" s="31" t="n">
        <v>29300</v>
      </c>
      <c r="V556" s="31" t="n">
        <v>16360</v>
      </c>
      <c r="W556" s="36" t="n">
        <v>-0.02901023890784982</v>
      </c>
      <c r="X556" s="36" t="n">
        <v>0.738997555012225</v>
      </c>
      <c r="Y556" s="31" t="n">
        <v>28966714</v>
      </c>
      <c r="Z556" s="31" t="n">
        <v>824103013300</v>
      </c>
      <c r="AA556" s="31" t="n">
        <v>22789815600</v>
      </c>
      <c r="AB556" s="31" t="n">
        <v>15803761052.5</v>
      </c>
      <c r="AC556" s="36" t="n">
        <v>0.02765408599677547</v>
      </c>
      <c r="AD556" s="29" t="inlineStr">
        <is>
          <t>yfinance_download</t>
        </is>
      </c>
      <c r="AE556" s="29" t="inlineStr">
        <is>
          <t>319660.KQ</t>
        </is>
      </c>
    </row>
    <row r="557" ht="24" customHeight="1">
      <c r="A557" s="24" t="inlineStr">
        <is>
          <t>2025-09-17</t>
        </is>
      </c>
      <c r="B557" s="30" t="n">
        <v>27600</v>
      </c>
      <c r="C557" s="30" t="n">
        <v>28100</v>
      </c>
      <c r="D557" s="30" t="n">
        <v>27300</v>
      </c>
      <c r="E557" s="30" t="n">
        <v>28000</v>
      </c>
      <c r="F557" s="30" t="n">
        <v>27687.150390625</v>
      </c>
      <c r="G557" s="30" t="n">
        <v>488902</v>
      </c>
      <c r="H557" s="35" t="n">
        <v>-0.01581722319859402</v>
      </c>
      <c r="I557" s="35" t="n">
        <v>-0.2746113989637305</v>
      </c>
      <c r="J557" s="30" t="n">
        <v>23988.5</v>
      </c>
      <c r="K557" s="30" t="n">
        <v>21330</v>
      </c>
      <c r="L557" s="30" t="n">
        <v>20066.83333333333</v>
      </c>
      <c r="M557" s="35" t="n">
        <v>0.5960788856103953</v>
      </c>
      <c r="N557" s="35" t="n">
        <v>0.5007536677065565</v>
      </c>
      <c r="O557" s="35" t="n">
        <v>0.3965087281795512</v>
      </c>
      <c r="P557" s="35" t="n">
        <v>0.4249363867684479</v>
      </c>
      <c r="Q557" s="35" t="n">
        <v>0.320754716981132</v>
      </c>
      <c r="R557" s="35" t="n">
        <v>0.1672259624403361</v>
      </c>
      <c r="S557" s="35" t="n">
        <v>0.3127051101734646</v>
      </c>
      <c r="T557" s="35" t="n">
        <v>0.3953372480295014</v>
      </c>
      <c r="U557" s="30" t="n">
        <v>29300</v>
      </c>
      <c r="V557" s="30" t="n">
        <v>16360</v>
      </c>
      <c r="W557" s="35" t="n">
        <v>-0.04436860068259385</v>
      </c>
      <c r="X557" s="35" t="n">
        <v>0.7114914425427872</v>
      </c>
      <c r="Y557" s="30" t="n">
        <v>28966714</v>
      </c>
      <c r="Z557" s="30" t="n">
        <v>811067992000</v>
      </c>
      <c r="AA557" s="30" t="n">
        <v>13689256000</v>
      </c>
      <c r="AB557" s="30" t="n">
        <v>16196807127.5</v>
      </c>
      <c r="AC557" s="35" t="n">
        <v>0.01687806217854051</v>
      </c>
      <c r="AD557" s="24" t="inlineStr">
        <is>
          <t>yfinance_download</t>
        </is>
      </c>
      <c r="AE557" s="24" t="inlineStr">
        <is>
          <t>319660.KQ</t>
        </is>
      </c>
    </row>
    <row r="558" ht="24" customHeight="1">
      <c r="A558" s="29" t="inlineStr">
        <is>
          <t>2025-09-18</t>
        </is>
      </c>
      <c r="B558" s="31" t="n">
        <v>28700</v>
      </c>
      <c r="C558" s="31" t="n">
        <v>30000</v>
      </c>
      <c r="D558" s="31" t="n">
        <v>28100</v>
      </c>
      <c r="E558" s="31" t="n">
        <v>29200</v>
      </c>
      <c r="F558" s="31" t="n">
        <v>28873.7421875</v>
      </c>
      <c r="G558" s="31" t="n">
        <v>966151</v>
      </c>
      <c r="H558" s="36" t="n">
        <v>0.04285714285714293</v>
      </c>
      <c r="I558" s="36" t="n">
        <v>-0.2435233160621761</v>
      </c>
      <c r="J558" s="31" t="n">
        <v>24456.5</v>
      </c>
      <c r="K558" s="31" t="n">
        <v>21489.5</v>
      </c>
      <c r="L558" s="31" t="n">
        <v>20125.58333333333</v>
      </c>
      <c r="M558" s="36" t="n">
        <v>0.5929509379788758</v>
      </c>
      <c r="N558" s="36" t="n">
        <v>0.5060238142035346</v>
      </c>
      <c r="O558" s="36" t="n">
        <v>0.471774193548387</v>
      </c>
      <c r="P558" s="36" t="n">
        <v>0.4875191034131432</v>
      </c>
      <c r="Q558" s="36" t="n">
        <v>0.3182844243792324</v>
      </c>
      <c r="R558" s="36" t="n">
        <v>0.1939566168503262</v>
      </c>
      <c r="S558" s="36" t="n">
        <v>0.3588031364154587</v>
      </c>
      <c r="T558" s="36" t="n">
        <v>0.4508896222469743</v>
      </c>
      <c r="U558" s="31" t="n">
        <v>29300</v>
      </c>
      <c r="V558" s="31" t="n">
        <v>16360</v>
      </c>
      <c r="W558" s="36" t="n">
        <v>-0.003412969283276501</v>
      </c>
      <c r="X558" s="36" t="n">
        <v>0.7848410757946209</v>
      </c>
      <c r="Y558" s="31" t="n">
        <v>28966714</v>
      </c>
      <c r="Z558" s="31" t="n">
        <v>845828048800</v>
      </c>
      <c r="AA558" s="31" t="n">
        <v>28211609200</v>
      </c>
      <c r="AB558" s="31" t="n">
        <v>17399768931.5</v>
      </c>
      <c r="AC558" s="36" t="n">
        <v>0.03335383502595427</v>
      </c>
      <c r="AD558" s="29" t="inlineStr">
        <is>
          <t>yfinance_download</t>
        </is>
      </c>
      <c r="AE558" s="29" t="inlineStr">
        <is>
          <t>319660.KQ</t>
        </is>
      </c>
    </row>
    <row r="559" ht="24" customHeight="1">
      <c r="A559" s="24" t="inlineStr">
        <is>
          <t>2025-09-19</t>
        </is>
      </c>
      <c r="B559" s="30" t="n">
        <v>31350</v>
      </c>
      <c r="C559" s="30" t="n">
        <v>32200</v>
      </c>
      <c r="D559" s="30" t="n">
        <v>30000</v>
      </c>
      <c r="E559" s="30" t="n">
        <v>31100</v>
      </c>
      <c r="F559" s="30" t="n">
        <v>30752.513671875</v>
      </c>
      <c r="G559" s="30" t="n">
        <v>1286980</v>
      </c>
      <c r="H559" s="35" t="n">
        <v>0.06506849315068486</v>
      </c>
      <c r="I559" s="35" t="n">
        <v>-0.1943005181347151</v>
      </c>
      <c r="J559" s="30" t="n">
        <v>25022.5</v>
      </c>
      <c r="K559" s="30" t="n">
        <v>21682.83333333333</v>
      </c>
      <c r="L559" s="30" t="n">
        <v>20204.33333333333</v>
      </c>
      <c r="M559" s="35" t="n">
        <v>0.6067508856614892</v>
      </c>
      <c r="N559" s="35" t="n">
        <v>0.5188690292594418</v>
      </c>
      <c r="O559" s="35" t="n">
        <v>0.5722952477249748</v>
      </c>
      <c r="P559" s="35" t="n">
        <v>0.594871794871795</v>
      </c>
      <c r="Q559" s="35" t="n">
        <v>0.4364896073903002</v>
      </c>
      <c r="R559" s="35" t="n">
        <v>0.2428814067339395</v>
      </c>
      <c r="S559" s="35" t="n">
        <v>0.434314396181311</v>
      </c>
      <c r="T559" s="35" t="n">
        <v>0.5392737531552638</v>
      </c>
      <c r="U559" s="30" t="n">
        <v>31100</v>
      </c>
      <c r="V559" s="30" t="n">
        <v>16360</v>
      </c>
      <c r="W559" s="35" t="n">
        <v>0</v>
      </c>
      <c r="X559" s="35" t="n">
        <v>0.9009779951100245</v>
      </c>
      <c r="Y559" s="30" t="n">
        <v>28966714</v>
      </c>
      <c r="Z559" s="30" t="n">
        <v>900864805400</v>
      </c>
      <c r="AA559" s="30" t="n">
        <v>40025078000</v>
      </c>
      <c r="AB559" s="30" t="n">
        <v>19249210342.5</v>
      </c>
      <c r="AC559" s="35" t="n">
        <v>0.04442961669728917</v>
      </c>
      <c r="AD559" s="24" t="inlineStr">
        <is>
          <t>yfinance_download</t>
        </is>
      </c>
      <c r="AE559" s="24" t="inlineStr">
        <is>
          <t>319660.KQ</t>
        </is>
      </c>
    </row>
    <row r="560" ht="24" customHeight="1">
      <c r="A560" s="29" t="inlineStr">
        <is>
          <t>2025-09-22</t>
        </is>
      </c>
      <c r="B560" s="31" t="n">
        <v>31350</v>
      </c>
      <c r="C560" s="31" t="n">
        <v>32250</v>
      </c>
      <c r="D560" s="31" t="n">
        <v>30750</v>
      </c>
      <c r="E560" s="31" t="n">
        <v>31550</v>
      </c>
      <c r="F560" s="31" t="n">
        <v>31197.486328125</v>
      </c>
      <c r="G560" s="31" t="n">
        <v>588396</v>
      </c>
      <c r="H560" s="36" t="n">
        <v>0.01446945337620575</v>
      </c>
      <c r="I560" s="36" t="n">
        <v>-0.1826424870466321</v>
      </c>
      <c r="J560" s="31" t="n">
        <v>25592.5</v>
      </c>
      <c r="K560" s="31" t="n">
        <v>21884.83333333333</v>
      </c>
      <c r="L560" s="31" t="n">
        <v>20292.25</v>
      </c>
      <c r="M560" s="36" t="n">
        <v>0.6073862795401789</v>
      </c>
      <c r="N560" s="36" t="n">
        <v>0.5184177868974862</v>
      </c>
      <c r="O560" s="36" t="n">
        <v>0.56575682382134</v>
      </c>
      <c r="P560" s="36" t="n">
        <v>0.6237776634071024</v>
      </c>
      <c r="Q560" s="36" t="n">
        <v>0.5023809523809524</v>
      </c>
      <c r="R560" s="36" t="n">
        <v>0.2327830419068087</v>
      </c>
      <c r="S560" s="36" t="n">
        <v>0.4416376638311159</v>
      </c>
      <c r="T560" s="36" t="n">
        <v>0.5547807660560067</v>
      </c>
      <c r="U560" s="31" t="n">
        <v>31550</v>
      </c>
      <c r="V560" s="31" t="n">
        <v>16360</v>
      </c>
      <c r="W560" s="36" t="n">
        <v>0</v>
      </c>
      <c r="X560" s="36" t="n">
        <v>0.9284841075794621</v>
      </c>
      <c r="Y560" s="31" t="n">
        <v>28966714</v>
      </c>
      <c r="Z560" s="31" t="n">
        <v>913899826700</v>
      </c>
      <c r="AA560" s="31" t="n">
        <v>18563893800</v>
      </c>
      <c r="AB560" s="31" t="n">
        <v>20072123297.5</v>
      </c>
      <c r="AC560" s="36" t="n">
        <v>0.0203128321700556</v>
      </c>
      <c r="AD560" s="29" t="inlineStr">
        <is>
          <t>yfinance_download</t>
        </is>
      </c>
      <c r="AE560" s="29" t="inlineStr">
        <is>
          <t>319660.KQ</t>
        </is>
      </c>
    </row>
    <row r="561" ht="24" customHeight="1">
      <c r="A561" s="24" t="inlineStr">
        <is>
          <t>2025-09-23</t>
        </is>
      </c>
      <c r="B561" s="30" t="n">
        <v>32850</v>
      </c>
      <c r="C561" s="30" t="n">
        <v>32850</v>
      </c>
      <c r="D561" s="30" t="n">
        <v>31200</v>
      </c>
      <c r="E561" s="30" t="n">
        <v>31700</v>
      </c>
      <c r="F561" s="30" t="n">
        <v>31345.810546875</v>
      </c>
      <c r="G561" s="30" t="n">
        <v>505415</v>
      </c>
      <c r="H561" s="35" t="n">
        <v>0.004754358161648264</v>
      </c>
      <c r="I561" s="35" t="n">
        <v>-0.1787564766839378</v>
      </c>
      <c r="J561" s="30" t="n">
        <v>26100</v>
      </c>
      <c r="K561" s="30" t="n">
        <v>22090.33333333333</v>
      </c>
      <c r="L561" s="30" t="n">
        <v>20388.5</v>
      </c>
      <c r="M561" s="35" t="n">
        <v>0.5852336693219328</v>
      </c>
      <c r="N561" s="35" t="n">
        <v>0.5179099019161549</v>
      </c>
      <c r="O561" s="35" t="n">
        <v>0.4709976798143851</v>
      </c>
      <c r="P561" s="35" t="n">
        <v>0.6365513680949924</v>
      </c>
      <c r="Q561" s="35" t="n">
        <v>0.5732009925558312</v>
      </c>
      <c r="R561" s="35" t="n">
        <v>0.2145593869731801</v>
      </c>
      <c r="S561" s="35" t="n">
        <v>0.4350168248555175</v>
      </c>
      <c r="T561" s="35" t="n">
        <v>0.5547980479191701</v>
      </c>
      <c r="U561" s="30" t="n">
        <v>31700</v>
      </c>
      <c r="V561" s="30" t="n">
        <v>16360</v>
      </c>
      <c r="W561" s="35" t="n">
        <v>0</v>
      </c>
      <c r="X561" s="35" t="n">
        <v>0.9376528117359413</v>
      </c>
      <c r="Y561" s="30" t="n">
        <v>28966714</v>
      </c>
      <c r="Z561" s="30" t="n">
        <v>918244833800</v>
      </c>
      <c r="AA561" s="30" t="n">
        <v>16021655500</v>
      </c>
      <c r="AB561" s="30" t="n">
        <v>20054978432.5</v>
      </c>
      <c r="AC561" s="35" t="n">
        <v>0.01744813029189296</v>
      </c>
      <c r="AD561" s="24" t="inlineStr">
        <is>
          <t>yfinance_download</t>
        </is>
      </c>
      <c r="AE561" s="24" t="inlineStr">
        <is>
          <t>319660.KQ</t>
        </is>
      </c>
    </row>
    <row r="562" ht="24" customHeight="1">
      <c r="A562" s="29" t="inlineStr">
        <is>
          <t>2025-09-24</t>
        </is>
      </c>
      <c r="B562" s="31" t="n">
        <v>31000</v>
      </c>
      <c r="C562" s="31" t="n">
        <v>32450</v>
      </c>
      <c r="D562" s="31" t="n">
        <v>30800</v>
      </c>
      <c r="E562" s="31" t="n">
        <v>32350</v>
      </c>
      <c r="F562" s="31" t="n">
        <v>31988.546875</v>
      </c>
      <c r="G562" s="31" t="n">
        <v>478340</v>
      </c>
      <c r="H562" s="36" t="n">
        <v>0.02050473186119883</v>
      </c>
      <c r="I562" s="36" t="n">
        <v>-0.1619170984455959</v>
      </c>
      <c r="J562" s="31" t="n">
        <v>26640</v>
      </c>
      <c r="K562" s="31" t="n">
        <v>22308.66666666667</v>
      </c>
      <c r="L562" s="31" t="n">
        <v>20488.08333333333</v>
      </c>
      <c r="M562" s="36" t="n">
        <v>0.5803943545167122</v>
      </c>
      <c r="N562" s="36" t="n">
        <v>0.5175083620679877</v>
      </c>
      <c r="O562" s="36" t="n">
        <v>0.5011600928074247</v>
      </c>
      <c r="P562" s="36" t="n">
        <v>0.6805194805194805</v>
      </c>
      <c r="Q562" s="36" t="n">
        <v>0.5857843137254901</v>
      </c>
      <c r="R562" s="36" t="n">
        <v>0.2143393393393394</v>
      </c>
      <c r="S562" s="36" t="n">
        <v>0.4501090756955441</v>
      </c>
      <c r="T562" s="36" t="n">
        <v>0.5789666350764877</v>
      </c>
      <c r="U562" s="31" t="n">
        <v>32350</v>
      </c>
      <c r="V562" s="31" t="n">
        <v>16360</v>
      </c>
      <c r="W562" s="36" t="n">
        <v>0</v>
      </c>
      <c r="X562" s="36" t="n">
        <v>0.9773838630806846</v>
      </c>
      <c r="Y562" s="31" t="n">
        <v>28966714</v>
      </c>
      <c r="Z562" s="31" t="n">
        <v>937073197900</v>
      </c>
      <c r="AA562" s="31" t="n">
        <v>15474299000</v>
      </c>
      <c r="AB562" s="31" t="n">
        <v>20443648757.5</v>
      </c>
      <c r="AC562" s="36" t="n">
        <v>0.0165134367674566</v>
      </c>
      <c r="AD562" s="29" t="inlineStr">
        <is>
          <t>yfinance_download</t>
        </is>
      </c>
      <c r="AE562" s="29" t="inlineStr">
        <is>
          <t>319660.KQ</t>
        </is>
      </c>
    </row>
    <row r="563" ht="24" customHeight="1">
      <c r="A563" s="24" t="inlineStr">
        <is>
          <t>2025-09-25</t>
        </is>
      </c>
      <c r="B563" s="30" t="n">
        <v>31600</v>
      </c>
      <c r="C563" s="30" t="n">
        <v>33100</v>
      </c>
      <c r="D563" s="30" t="n">
        <v>31300</v>
      </c>
      <c r="E563" s="30" t="n">
        <v>32400</v>
      </c>
      <c r="F563" s="30" t="n">
        <v>32037.98828125</v>
      </c>
      <c r="G563" s="30" t="n">
        <v>435883</v>
      </c>
      <c r="H563" s="35" t="n">
        <v>0.001545595054095905</v>
      </c>
      <c r="I563" s="35" t="n">
        <v>-0.1606217616580311</v>
      </c>
      <c r="J563" s="30" t="n">
        <v>27147.5</v>
      </c>
      <c r="K563" s="30" t="n">
        <v>22528.66666666667</v>
      </c>
      <c r="L563" s="30" t="n">
        <v>20595</v>
      </c>
      <c r="M563" s="35" t="n">
        <v>0.5827566830552193</v>
      </c>
      <c r="N563" s="35" t="n">
        <v>0.5171745037444133</v>
      </c>
      <c r="O563" s="35" t="n">
        <v>0.4561797752808989</v>
      </c>
      <c r="P563" s="35" t="n">
        <v>0.6875</v>
      </c>
      <c r="Q563" s="35" t="n">
        <v>0.6555952989269289</v>
      </c>
      <c r="R563" s="35" t="n">
        <v>0.1934800626208675</v>
      </c>
      <c r="S563" s="35" t="n">
        <v>0.4381676678602076</v>
      </c>
      <c r="T563" s="35" t="n">
        <v>0.57319737800437</v>
      </c>
      <c r="U563" s="30" t="n">
        <v>32400</v>
      </c>
      <c r="V563" s="30" t="n">
        <v>16360</v>
      </c>
      <c r="W563" s="35" t="n">
        <v>0</v>
      </c>
      <c r="X563" s="35" t="n">
        <v>0.9804400977995109</v>
      </c>
      <c r="Y563" s="30" t="n">
        <v>28966714</v>
      </c>
      <c r="Z563" s="30" t="n">
        <v>938521533600</v>
      </c>
      <c r="AA563" s="30" t="n">
        <v>14122609200</v>
      </c>
      <c r="AB563" s="30" t="n">
        <v>20190216817.5</v>
      </c>
      <c r="AC563" s="35" t="n">
        <v>0.0150477199450376</v>
      </c>
      <c r="AD563" s="24" t="inlineStr">
        <is>
          <t>yfinance_download</t>
        </is>
      </c>
      <c r="AE563" s="24" t="inlineStr">
        <is>
          <t>319660.KQ</t>
        </is>
      </c>
    </row>
    <row r="564" ht="24" customHeight="1">
      <c r="A564" s="29" t="inlineStr">
        <is>
          <t>2025-09-26</t>
        </is>
      </c>
      <c r="B564" s="31" t="n">
        <v>31600</v>
      </c>
      <c r="C564" s="31" t="n">
        <v>32100</v>
      </c>
      <c r="D564" s="31" t="n">
        <v>30550</v>
      </c>
      <c r="E564" s="31" t="n">
        <v>31250</v>
      </c>
      <c r="F564" s="31" t="n">
        <v>30900.837890625</v>
      </c>
      <c r="G564" s="31" t="n">
        <v>536646</v>
      </c>
      <c r="H564" s="36" t="n">
        <v>-0.03549382716049387</v>
      </c>
      <c r="I564" s="36" t="n">
        <v>-0.1904145077720207</v>
      </c>
      <c r="J564" s="31" t="n">
        <v>27485</v>
      </c>
      <c r="K564" s="31" t="n">
        <v>22721.16666666667</v>
      </c>
      <c r="L564" s="31" t="n">
        <v>20698.66666666667</v>
      </c>
      <c r="M564" s="36" t="n">
        <v>0.5284862686751642</v>
      </c>
      <c r="N564" s="36" t="n">
        <v>0.5239815516652141</v>
      </c>
      <c r="O564" s="36" t="n">
        <v>0.2755102040816326</v>
      </c>
      <c r="P564" s="36" t="n">
        <v>0.5862944162436547</v>
      </c>
      <c r="Q564" s="36" t="n">
        <v>0.6613503455608718</v>
      </c>
      <c r="R564" s="36" t="n">
        <v>0.1369838093505549</v>
      </c>
      <c r="S564" s="36" t="n">
        <v>0.3753695159432833</v>
      </c>
      <c r="T564" s="36" t="n">
        <v>0.5097590827106415</v>
      </c>
      <c r="U564" s="31" t="n">
        <v>32400</v>
      </c>
      <c r="V564" s="31" t="n">
        <v>16360</v>
      </c>
      <c r="W564" s="36" t="n">
        <v>-0.03549382716049387</v>
      </c>
      <c r="X564" s="36" t="n">
        <v>0.9101466992665037</v>
      </c>
      <c r="Y564" s="31" t="n">
        <v>28966714</v>
      </c>
      <c r="Z564" s="31" t="n">
        <v>905209812500</v>
      </c>
      <c r="AA564" s="31" t="n">
        <v>16770187500</v>
      </c>
      <c r="AB564" s="31" t="n">
        <v>18409711717.5</v>
      </c>
      <c r="AC564" s="36" t="n">
        <v>0.01852629884080051</v>
      </c>
      <c r="AD564" s="29" t="inlineStr">
        <is>
          <t>yfinance_download</t>
        </is>
      </c>
      <c r="AE564" s="29" t="inlineStr">
        <is>
          <t>319660.KQ</t>
        </is>
      </c>
    </row>
    <row r="565" ht="24" customHeight="1">
      <c r="A565" s="24" t="inlineStr">
        <is>
          <t>2025-09-29</t>
        </is>
      </c>
      <c r="B565" s="30" t="n">
        <v>31050</v>
      </c>
      <c r="C565" s="30" t="n">
        <v>33500</v>
      </c>
      <c r="D565" s="30" t="n">
        <v>30750</v>
      </c>
      <c r="E565" s="30" t="n">
        <v>33050</v>
      </c>
      <c r="F565" s="30" t="n">
        <v>32680.7265625</v>
      </c>
      <c r="G565" s="30" t="n">
        <v>543808</v>
      </c>
      <c r="H565" s="35" t="n">
        <v>0.0576000000000001</v>
      </c>
      <c r="I565" s="35" t="n">
        <v>-0.1437823834196891</v>
      </c>
      <c r="J565" s="30" t="n">
        <v>27960</v>
      </c>
      <c r="K565" s="30" t="n">
        <v>22956.16666666667</v>
      </c>
      <c r="L565" s="30" t="n">
        <v>20824.41666666667</v>
      </c>
      <c r="M565" s="35" t="n">
        <v>0.514377868538179</v>
      </c>
      <c r="N565" s="35" t="n">
        <v>0.5245455380909184</v>
      </c>
      <c r="O565" s="35" t="n">
        <v>0.4033970276008492</v>
      </c>
      <c r="P565" s="35" t="n">
        <v>0.7440633245382586</v>
      </c>
      <c r="Q565" s="35" t="n">
        <v>0.8402004454342984</v>
      </c>
      <c r="R565" s="35" t="n">
        <v>0.1820457796852646</v>
      </c>
      <c r="S565" s="35" t="n">
        <v>0.4397002983947667</v>
      </c>
      <c r="T565" s="35" t="n">
        <v>0.5870792699275289</v>
      </c>
      <c r="U565" s="30" t="n">
        <v>33050</v>
      </c>
      <c r="V565" s="30" t="n">
        <v>16360</v>
      </c>
      <c r="W565" s="35" t="n">
        <v>0</v>
      </c>
      <c r="X565" s="35" t="n">
        <v>1.020171149144254</v>
      </c>
      <c r="Y565" s="30" t="n">
        <v>28966714</v>
      </c>
      <c r="Z565" s="30" t="n">
        <v>957349897700</v>
      </c>
      <c r="AA565" s="30" t="n">
        <v>17972854400</v>
      </c>
      <c r="AB565" s="30" t="n">
        <v>18493107602.5</v>
      </c>
      <c r="AC565" s="35" t="n">
        <v>0.01877354814909278</v>
      </c>
      <c r="AD565" s="24" t="inlineStr">
        <is>
          <t>yfinance_download</t>
        </is>
      </c>
      <c r="AE565" s="24" t="inlineStr">
        <is>
          <t>319660.KQ</t>
        </is>
      </c>
    </row>
    <row r="566" ht="24" customHeight="1">
      <c r="A566" s="29" t="inlineStr">
        <is>
          <t>2025-09-30</t>
        </is>
      </c>
      <c r="B566" s="31" t="n">
        <v>33300</v>
      </c>
      <c r="C566" s="31" t="n">
        <v>33600</v>
      </c>
      <c r="D566" s="31" t="n">
        <v>32350</v>
      </c>
      <c r="E566" s="31" t="n">
        <v>32750</v>
      </c>
      <c r="F566" s="31" t="n">
        <v>32384.078125</v>
      </c>
      <c r="G566" s="31" t="n">
        <v>252581</v>
      </c>
      <c r="H566" s="36" t="n">
        <v>-0.009077155824508298</v>
      </c>
      <c r="I566" s="36" t="n">
        <v>-0.1515544041450777</v>
      </c>
      <c r="J566" s="31" t="n">
        <v>28440</v>
      </c>
      <c r="K566" s="31" t="n">
        <v>23190.66666666667</v>
      </c>
      <c r="L566" s="31" t="n">
        <v>20956.58333333333</v>
      </c>
      <c r="M566" s="36" t="n">
        <v>0.5080575672171616</v>
      </c>
      <c r="N566" s="36" t="n">
        <v>0.5236376605414004</v>
      </c>
      <c r="O566" s="36" t="n">
        <v>0.4146868250539957</v>
      </c>
      <c r="P566" s="36" t="n">
        <v>0.7532119914346895</v>
      </c>
      <c r="Q566" s="36" t="n">
        <v>0.9390171699230314</v>
      </c>
      <c r="R566" s="36" t="n">
        <v>0.1515471167369902</v>
      </c>
      <c r="S566" s="36" t="n">
        <v>0.4122060599091588</v>
      </c>
      <c r="T566" s="36" t="n">
        <v>0.5627547429407624</v>
      </c>
      <c r="U566" s="31" t="n">
        <v>33050</v>
      </c>
      <c r="V566" s="31" t="n">
        <v>16360</v>
      </c>
      <c r="W566" s="36" t="n">
        <v>-0.009077155824508298</v>
      </c>
      <c r="X566" s="36" t="n">
        <v>1.001833740831296</v>
      </c>
      <c r="Y566" s="31" t="n">
        <v>28966714</v>
      </c>
      <c r="Z566" s="31" t="n">
        <v>948659883500</v>
      </c>
      <c r="AA566" s="31" t="n">
        <v>8272027750</v>
      </c>
      <c r="AB566" s="31" t="n">
        <v>18330829590</v>
      </c>
      <c r="AC566" s="36" t="n">
        <v>0.00871969806447497</v>
      </c>
      <c r="AD566" s="29" t="inlineStr">
        <is>
          <t>yfinance_download</t>
        </is>
      </c>
      <c r="AE566" s="29" t="inlineStr">
        <is>
          <t>319660.KQ</t>
        </is>
      </c>
    </row>
    <row r="567" ht="24" customHeight="1">
      <c r="A567" s="24" t="inlineStr">
        <is>
          <t>2025-10-01</t>
        </is>
      </c>
      <c r="B567" s="30" t="n">
        <v>33000</v>
      </c>
      <c r="C567" s="30" t="n">
        <v>34100</v>
      </c>
      <c r="D567" s="30" t="n">
        <v>32500</v>
      </c>
      <c r="E567" s="30" t="n">
        <v>32900</v>
      </c>
      <c r="F567" s="30" t="n">
        <v>32532.40234375</v>
      </c>
      <c r="G567" s="30" t="n">
        <v>370530</v>
      </c>
      <c r="H567" s="35" t="n">
        <v>0.004580152671755711</v>
      </c>
      <c r="I567" s="35" t="n">
        <v>-0.1476683937823834</v>
      </c>
      <c r="J567" s="30" t="n">
        <v>28932.5</v>
      </c>
      <c r="K567" s="30" t="n">
        <v>23425.83333333333</v>
      </c>
      <c r="L567" s="30" t="n">
        <v>21092.66666666667</v>
      </c>
      <c r="M567" s="35" t="n">
        <v>0.5038430723001717</v>
      </c>
      <c r="N567" s="35" t="n">
        <v>0.523687597800076</v>
      </c>
      <c r="O567" s="35" t="n">
        <v>0.4273318872017353</v>
      </c>
      <c r="P567" s="35" t="n">
        <v>0.7509313464608836</v>
      </c>
      <c r="Q567" s="35" t="n">
        <v>0.9855159927579964</v>
      </c>
      <c r="R567" s="35" t="n">
        <v>0.1371295256199776</v>
      </c>
      <c r="S567" s="35" t="n">
        <v>0.4044324285866743</v>
      </c>
      <c r="T567" s="35" t="n">
        <v>0.5597838111191882</v>
      </c>
      <c r="U567" s="30" t="n">
        <v>33050</v>
      </c>
      <c r="V567" s="30" t="n">
        <v>16360</v>
      </c>
      <c r="W567" s="35" t="n">
        <v>-0.004538577912254205</v>
      </c>
      <c r="X567" s="35" t="n">
        <v>1.011002444987775</v>
      </c>
      <c r="Y567" s="30" t="n">
        <v>28966714</v>
      </c>
      <c r="Z567" s="30" t="n">
        <v>953004890600</v>
      </c>
      <c r="AA567" s="30" t="n">
        <v>12190437000</v>
      </c>
      <c r="AB567" s="30" t="n">
        <v>18445024227.5</v>
      </c>
      <c r="AC567" s="35" t="n">
        <v>0.01279157863746644</v>
      </c>
      <c r="AD567" s="24" t="inlineStr">
        <is>
          <t>yfinance_download</t>
        </is>
      </c>
      <c r="AE567" s="24" t="inlineStr">
        <is>
          <t>319660.KQ</t>
        </is>
      </c>
    </row>
    <row r="568" ht="24" customHeight="1">
      <c r="A568" s="29" t="inlineStr">
        <is>
          <t>2025-10-02</t>
        </is>
      </c>
      <c r="B568" s="31" t="n">
        <v>34050</v>
      </c>
      <c r="C568" s="31" t="n">
        <v>34400</v>
      </c>
      <c r="D568" s="31" t="n">
        <v>33400</v>
      </c>
      <c r="E568" s="31" t="n">
        <v>34400</v>
      </c>
      <c r="F568" s="31" t="n">
        <v>34015.640625</v>
      </c>
      <c r="G568" s="31" t="n">
        <v>506589</v>
      </c>
      <c r="H568" s="36" t="n">
        <v>0.04559270516717318</v>
      </c>
      <c r="I568" s="36" t="n">
        <v>-0.1088082901554405</v>
      </c>
      <c r="J568" s="31" t="n">
        <v>29475</v>
      </c>
      <c r="K568" s="31" t="n">
        <v>23696.16666666667</v>
      </c>
      <c r="L568" s="31" t="n">
        <v>21240.16666666667</v>
      </c>
      <c r="M568" s="36" t="n">
        <v>0.5129636467828261</v>
      </c>
      <c r="N568" s="36" t="n">
        <v>0.5211421035788927</v>
      </c>
      <c r="O568" s="36" t="n">
        <v>0.4607218683651804</v>
      </c>
      <c r="P568" s="36" t="n">
        <v>0.8921892189218923</v>
      </c>
      <c r="Q568" s="36" t="n">
        <v>1.059880239520958</v>
      </c>
      <c r="R568" s="36" t="n">
        <v>0.1670907548770144</v>
      </c>
      <c r="S568" s="36" t="n">
        <v>0.4517115989224698</v>
      </c>
      <c r="T568" s="36" t="n">
        <v>0.6195729788686528</v>
      </c>
      <c r="U568" s="31" t="n">
        <v>34400</v>
      </c>
      <c r="V568" s="31" t="n">
        <v>16360</v>
      </c>
      <c r="W568" s="36" t="n">
        <v>0</v>
      </c>
      <c r="X568" s="36" t="n">
        <v>1.102689486552567</v>
      </c>
      <c r="Y568" s="31" t="n">
        <v>28966714</v>
      </c>
      <c r="Z568" s="31" t="n">
        <v>996454961600</v>
      </c>
      <c r="AA568" s="31" t="n">
        <v>17426661600</v>
      </c>
      <c r="AB568" s="31" t="n">
        <v>18646356275</v>
      </c>
      <c r="AC568" s="36" t="n">
        <v>0.01748865956973925</v>
      </c>
      <c r="AD568" s="29" t="inlineStr">
        <is>
          <t>yfinance_download</t>
        </is>
      </c>
      <c r="AE568" s="29" t="inlineStr">
        <is>
          <t>319660.KQ</t>
        </is>
      </c>
    </row>
    <row r="569" ht="24" customHeight="1">
      <c r="A569" s="24" t="inlineStr">
        <is>
          <t>2025-10-10</t>
        </is>
      </c>
      <c r="B569" s="30" t="n">
        <v>36050</v>
      </c>
      <c r="C569" s="30" t="n">
        <v>36950</v>
      </c>
      <c r="D569" s="30" t="n">
        <v>35300</v>
      </c>
      <c r="E569" s="30" t="n">
        <v>35850</v>
      </c>
      <c r="F569" s="30" t="n">
        <v>35449.44140625</v>
      </c>
      <c r="G569" s="30" t="n">
        <v>484919</v>
      </c>
      <c r="H569" s="35" t="n">
        <v>0.04215116279069764</v>
      </c>
      <c r="I569" s="35" t="n">
        <v>-0.07124352331606221</v>
      </c>
      <c r="J569" s="30" t="n">
        <v>30077.5</v>
      </c>
      <c r="K569" s="30" t="n">
        <v>23989.5</v>
      </c>
      <c r="L569" s="30" t="n">
        <v>21391.25</v>
      </c>
      <c r="M569" s="35" t="n">
        <v>0.5178188950665775</v>
      </c>
      <c r="N569" s="35" t="n">
        <v>0.5247327934738174</v>
      </c>
      <c r="O569" s="35" t="n">
        <v>0.5063025210084033</v>
      </c>
      <c r="P569" s="35" t="n">
        <v>0.9643835616438357</v>
      </c>
      <c r="Q569" s="35" t="n">
        <v>1.02313769751693</v>
      </c>
      <c r="R569" s="35" t="n">
        <v>0.1919208710830356</v>
      </c>
      <c r="S569" s="35" t="n">
        <v>0.4944038016632277</v>
      </c>
      <c r="T569" s="35" t="n">
        <v>0.6759188920703558</v>
      </c>
      <c r="U569" s="30" t="n">
        <v>35850</v>
      </c>
      <c r="V569" s="30" t="n">
        <v>16360</v>
      </c>
      <c r="W569" s="35" t="n">
        <v>0</v>
      </c>
      <c r="X569" s="35" t="n">
        <v>1.191320293398533</v>
      </c>
      <c r="Y569" s="30" t="n">
        <v>28966714</v>
      </c>
      <c r="Z569" s="30" t="n">
        <v>1038456696900</v>
      </c>
      <c r="AA569" s="30" t="n">
        <v>17384346150</v>
      </c>
      <c r="AB569" s="30" t="n">
        <v>18946310902.5</v>
      </c>
      <c r="AC569" s="35" t="n">
        <v>0.01674055952635843</v>
      </c>
      <c r="AD569" s="24" t="inlineStr">
        <is>
          <t>yfinance_download</t>
        </is>
      </c>
      <c r="AE569" s="24" t="inlineStr">
        <is>
          <t>319660.KQ</t>
        </is>
      </c>
    </row>
    <row r="570" ht="24" customHeight="1">
      <c r="A570" s="29" t="inlineStr">
        <is>
          <t>2025-10-13</t>
        </is>
      </c>
      <c r="B570" s="31" t="n">
        <v>33950</v>
      </c>
      <c r="C570" s="31" t="n">
        <v>35000</v>
      </c>
      <c r="D570" s="31" t="n">
        <v>33900</v>
      </c>
      <c r="E570" s="31" t="n">
        <v>34950</v>
      </c>
      <c r="F570" s="31" t="n">
        <v>34559.49609375</v>
      </c>
      <c r="G570" s="31" t="n">
        <v>450905</v>
      </c>
      <c r="H570" s="36" t="n">
        <v>-0.02510460251046021</v>
      </c>
      <c r="I570" s="36" t="n">
        <v>-0.09455958549222798</v>
      </c>
      <c r="J570" s="31" t="n">
        <v>30627.5</v>
      </c>
      <c r="K570" s="31" t="n">
        <v>24241.83333333333</v>
      </c>
      <c r="L570" s="31" t="n">
        <v>21535.08333333333</v>
      </c>
      <c r="M570" s="36" t="n">
        <v>0.5412645717117287</v>
      </c>
      <c r="N570" s="36" t="n">
        <v>0.5070934681029057</v>
      </c>
      <c r="O570" s="36" t="n">
        <v>0.4592901878914406</v>
      </c>
      <c r="P570" s="36" t="n">
        <v>0.7642604745078243</v>
      </c>
      <c r="Q570" s="36" t="n">
        <v>0.9756924816280383</v>
      </c>
      <c r="R570" s="36" t="n">
        <v>0.1411313362174516</v>
      </c>
      <c r="S570" s="36" t="n">
        <v>0.4417226419893985</v>
      </c>
      <c r="T570" s="36" t="n">
        <v>0.6229331207603097</v>
      </c>
      <c r="U570" s="31" t="n">
        <v>35850</v>
      </c>
      <c r="V570" s="31" t="n">
        <v>16360</v>
      </c>
      <c r="W570" s="36" t="n">
        <v>-0.02510460251046021</v>
      </c>
      <c r="X570" s="36" t="n">
        <v>1.136308068459658</v>
      </c>
      <c r="Y570" s="31" t="n">
        <v>28966714</v>
      </c>
      <c r="Z570" s="31" t="n">
        <v>1012386654300</v>
      </c>
      <c r="AA570" s="31" t="n">
        <v>15759129750</v>
      </c>
      <c r="AB570" s="31" t="n">
        <v>19391043532.5</v>
      </c>
      <c r="AC570" s="36" t="n">
        <v>0.0155663151850776</v>
      </c>
      <c r="AD570" s="29" t="inlineStr">
        <is>
          <t>yfinance_download</t>
        </is>
      </c>
      <c r="AE570" s="29" t="inlineStr">
        <is>
          <t>319660.KQ</t>
        </is>
      </c>
    </row>
    <row r="571" ht="24" customHeight="1">
      <c r="A571" s="24" t="inlineStr">
        <is>
          <t>2025-10-14</t>
        </is>
      </c>
      <c r="B571" s="30" t="n">
        <v>35700</v>
      </c>
      <c r="C571" s="30" t="n">
        <v>35800</v>
      </c>
      <c r="D571" s="30" t="n">
        <v>31600</v>
      </c>
      <c r="E571" s="30" t="n">
        <v>32000</v>
      </c>
      <c r="F571" s="30" t="n">
        <v>31642.45703125</v>
      </c>
      <c r="G571" s="30" t="n">
        <v>990047</v>
      </c>
      <c r="H571" s="35" t="n">
        <v>-0.08440629470672389</v>
      </c>
      <c r="I571" s="35" t="n">
        <v>-0.1709844559585493</v>
      </c>
      <c r="J571" s="30" t="n">
        <v>30990</v>
      </c>
      <c r="K571" s="30" t="n">
        <v>24445.66666666667</v>
      </c>
      <c r="L571" s="30" t="n">
        <v>21651.41666666667</v>
      </c>
      <c r="M571" s="35" t="n">
        <v>0.6517411733567574</v>
      </c>
      <c r="N571" s="35" t="n">
        <v>0.5423189541184873</v>
      </c>
      <c r="O571" s="35" t="n">
        <v>0.292929292929293</v>
      </c>
      <c r="P571" s="35" t="n">
        <v>0.6186140617096612</v>
      </c>
      <c r="Q571" s="35" t="n">
        <v>0.7738359201773837</v>
      </c>
      <c r="R571" s="35" t="n">
        <v>0.03259115843820592</v>
      </c>
      <c r="S571" s="35" t="n">
        <v>0.309025457818018</v>
      </c>
      <c r="T571" s="35" t="n">
        <v>0.4779633357324578</v>
      </c>
      <c r="U571" s="30" t="n">
        <v>35850</v>
      </c>
      <c r="V571" s="30" t="n">
        <v>16360</v>
      </c>
      <c r="W571" s="35" t="n">
        <v>-0.1073919107391911</v>
      </c>
      <c r="X571" s="35" t="n">
        <v>0.9559902200488997</v>
      </c>
      <c r="Y571" s="30" t="n">
        <v>28966714</v>
      </c>
      <c r="Z571" s="30" t="n">
        <v>926934848000</v>
      </c>
      <c r="AA571" s="30" t="n">
        <v>31681504000</v>
      </c>
      <c r="AB571" s="30" t="n">
        <v>20141391470</v>
      </c>
      <c r="AC571" s="35" t="n">
        <v>0.03417878189428045</v>
      </c>
      <c r="AD571" s="24" t="inlineStr">
        <is>
          <t>yfinance_download</t>
        </is>
      </c>
      <c r="AE571" s="24" t="inlineStr">
        <is>
          <t>319660.KQ</t>
        </is>
      </c>
    </row>
    <row r="572" ht="24" customHeight="1">
      <c r="A572" s="29" t="inlineStr">
        <is>
          <t>2025-10-15</t>
        </is>
      </c>
      <c r="B572" s="31" t="n">
        <v>32300</v>
      </c>
      <c r="C572" s="31" t="n">
        <v>33300</v>
      </c>
      <c r="D572" s="31" t="n">
        <v>32000</v>
      </c>
      <c r="E572" s="31" t="n">
        <v>33300</v>
      </c>
      <c r="F572" s="31" t="n">
        <v>32927.93359375</v>
      </c>
      <c r="G572" s="31" t="n">
        <v>354326</v>
      </c>
      <c r="H572" s="36" t="n">
        <v>0.04062499999999991</v>
      </c>
      <c r="I572" s="36" t="n">
        <v>-0.1373056994818653</v>
      </c>
      <c r="J572" s="31" t="n">
        <v>31362.5</v>
      </c>
      <c r="K572" s="31" t="n">
        <v>24659.83333333333</v>
      </c>
      <c r="L572" s="31" t="n">
        <v>21779.33333333333</v>
      </c>
      <c r="M572" s="36" t="n">
        <v>0.6494908241458863</v>
      </c>
      <c r="N572" s="36" t="n">
        <v>0.543731700384238</v>
      </c>
      <c r="O572" s="36" t="n">
        <v>0.2882011605415862</v>
      </c>
      <c r="P572" s="36" t="n">
        <v>0.6283618581907091</v>
      </c>
      <c r="Q572" s="36" t="n">
        <v>0.8551532033426184</v>
      </c>
      <c r="R572" s="36" t="n">
        <v>0.06177760063770421</v>
      </c>
      <c r="S572" s="36" t="n">
        <v>0.3503740901195602</v>
      </c>
      <c r="T572" s="36" t="n">
        <v>0.5289724203373229</v>
      </c>
      <c r="U572" s="31" t="n">
        <v>35850</v>
      </c>
      <c r="V572" s="31" t="n">
        <v>16360</v>
      </c>
      <c r="W572" s="36" t="n">
        <v>-0.07112970711297073</v>
      </c>
      <c r="X572" s="36" t="n">
        <v>1.035452322738386</v>
      </c>
      <c r="Y572" s="31" t="n">
        <v>28966714</v>
      </c>
      <c r="Z572" s="31" t="n">
        <v>964591576200</v>
      </c>
      <c r="AA572" s="31" t="n">
        <v>11799055800</v>
      </c>
      <c r="AB572" s="31" t="n">
        <v>19340673715</v>
      </c>
      <c r="AC572" s="36" t="n">
        <v>0.01223217794051476</v>
      </c>
      <c r="AD572" s="29" t="inlineStr">
        <is>
          <t>yfinance_download</t>
        </is>
      </c>
      <c r="AE572" s="29" t="inlineStr">
        <is>
          <t>319660.KQ</t>
        </is>
      </c>
    </row>
    <row r="573" ht="24" customHeight="1">
      <c r="A573" s="24" t="inlineStr">
        <is>
          <t>2025-10-16</t>
        </is>
      </c>
      <c r="B573" s="30" t="n">
        <v>32800</v>
      </c>
      <c r="C573" s="30" t="n">
        <v>33450</v>
      </c>
      <c r="D573" s="30" t="n">
        <v>32400</v>
      </c>
      <c r="E573" s="30" t="n">
        <v>33050</v>
      </c>
      <c r="F573" s="30" t="n">
        <v>32680.7265625</v>
      </c>
      <c r="G573" s="30" t="n">
        <v>239107</v>
      </c>
      <c r="H573" s="35" t="n">
        <v>-0.007507507507507505</v>
      </c>
      <c r="I573" s="35" t="n">
        <v>-0.1437823834196891</v>
      </c>
      <c r="J573" s="30" t="n">
        <v>31730</v>
      </c>
      <c r="K573" s="30" t="n">
        <v>24872.33333333333</v>
      </c>
      <c r="L573" s="30" t="n">
        <v>21911.08333333333</v>
      </c>
      <c r="M573" s="35" t="n">
        <v>0.6501919283145502</v>
      </c>
      <c r="N573" s="35" t="n">
        <v>0.5437535884615177</v>
      </c>
      <c r="O573" s="35" t="n">
        <v>0.2859922178988328</v>
      </c>
      <c r="P573" s="35" t="n">
        <v>0.6280788177339902</v>
      </c>
      <c r="Q573" s="35" t="n">
        <v>0.9170533642691416</v>
      </c>
      <c r="R573" s="35" t="n">
        <v>0.04160100850929727</v>
      </c>
      <c r="S573" s="35" t="n">
        <v>0.3287856654649746</v>
      </c>
      <c r="T573" s="35" t="n">
        <v>0.5083690521920035</v>
      </c>
      <c r="U573" s="30" t="n">
        <v>35850</v>
      </c>
      <c r="V573" s="30" t="n">
        <v>16360</v>
      </c>
      <c r="W573" s="35" t="n">
        <v>-0.07810320781032076</v>
      </c>
      <c r="X573" s="35" t="n">
        <v>1.020171149144254</v>
      </c>
      <c r="Y573" s="30" t="n">
        <v>28966714</v>
      </c>
      <c r="Z573" s="30" t="n">
        <v>957349897700</v>
      </c>
      <c r="AA573" s="30" t="n">
        <v>7902486350</v>
      </c>
      <c r="AB573" s="30" t="n">
        <v>18795469727.5</v>
      </c>
      <c r="AC573" s="35" t="n">
        <v>0.00825454347358834</v>
      </c>
      <c r="AD573" s="24" t="inlineStr">
        <is>
          <t>yfinance_download</t>
        </is>
      </c>
      <c r="AE573" s="24" t="inlineStr">
        <is>
          <t>319660.KQ</t>
        </is>
      </c>
    </row>
    <row r="574" ht="24" customHeight="1">
      <c r="A574" s="29" t="inlineStr">
        <is>
          <t>2025-10-17</t>
        </is>
      </c>
      <c r="B574" s="31" t="n">
        <v>32350</v>
      </c>
      <c r="C574" s="31" t="n">
        <v>33900</v>
      </c>
      <c r="D574" s="31" t="n">
        <v>32350</v>
      </c>
      <c r="E574" s="31" t="n">
        <v>32750</v>
      </c>
      <c r="F574" s="31" t="n">
        <v>32384.078125</v>
      </c>
      <c r="G574" s="31" t="n">
        <v>399815</v>
      </c>
      <c r="H574" s="36" t="n">
        <v>-0.009077155824508298</v>
      </c>
      <c r="I574" s="36" t="n">
        <v>-0.1515544041450777</v>
      </c>
      <c r="J574" s="31" t="n">
        <v>32015</v>
      </c>
      <c r="K574" s="31" t="n">
        <v>25070.66666666667</v>
      </c>
      <c r="L574" s="31" t="n">
        <v>22037.66666666667</v>
      </c>
      <c r="M574" s="36" t="n">
        <v>0.6377392606702267</v>
      </c>
      <c r="N574" s="36" t="n">
        <v>0.5435878994959729</v>
      </c>
      <c r="O574" s="36" t="n">
        <v>0.210720887245841</v>
      </c>
      <c r="P574" s="36" t="n">
        <v>0.5707434052757794</v>
      </c>
      <c r="Q574" s="36" t="n">
        <v>0.8650341685649203</v>
      </c>
      <c r="R574" s="36" t="n">
        <v>0.02295798844291741</v>
      </c>
      <c r="S574" s="36" t="n">
        <v>0.3063075041216827</v>
      </c>
      <c r="T574" s="36" t="n">
        <v>0.486091994010255</v>
      </c>
      <c r="U574" s="31" t="n">
        <v>35850</v>
      </c>
      <c r="V574" s="31" t="n">
        <v>16360</v>
      </c>
      <c r="W574" s="36" t="n">
        <v>-0.08647140864714087</v>
      </c>
      <c r="X574" s="36" t="n">
        <v>1.001833740831296</v>
      </c>
      <c r="Y574" s="31" t="n">
        <v>28966714</v>
      </c>
      <c r="Z574" s="31" t="n">
        <v>948659883500</v>
      </c>
      <c r="AA574" s="31" t="n">
        <v>13093941250</v>
      </c>
      <c r="AB574" s="31" t="n">
        <v>18264244747.5</v>
      </c>
      <c r="AC574" s="36" t="n">
        <v>0.01380256662871736</v>
      </c>
      <c r="AD574" s="29" t="inlineStr">
        <is>
          <t>yfinance_download</t>
        </is>
      </c>
      <c r="AE574" s="29" t="inlineStr">
        <is>
          <t>319660.KQ</t>
        </is>
      </c>
    </row>
    <row r="575" ht="24" customHeight="1">
      <c r="A575" s="24" t="inlineStr">
        <is>
          <t>2025-10-20</t>
        </is>
      </c>
      <c r="B575" s="30" t="n">
        <v>34050</v>
      </c>
      <c r="C575" s="30" t="n">
        <v>38250</v>
      </c>
      <c r="D575" s="30" t="n">
        <v>33900</v>
      </c>
      <c r="E575" s="30" t="n">
        <v>37400</v>
      </c>
      <c r="F575" s="30" t="n">
        <v>36982.12109375</v>
      </c>
      <c r="G575" s="30" t="n">
        <v>1546358</v>
      </c>
      <c r="H575" s="35" t="n">
        <v>0.1419847328244275</v>
      </c>
      <c r="I575" s="35" t="n">
        <v>-0.0310880829015544</v>
      </c>
      <c r="J575" s="30" t="n">
        <v>32420</v>
      </c>
      <c r="K575" s="30" t="n">
        <v>25357.33333333333</v>
      </c>
      <c r="L575" s="30" t="n">
        <v>22201.66666666667</v>
      </c>
      <c r="M575" s="35" t="n">
        <v>0.750902864415653</v>
      </c>
      <c r="N575" s="35" t="n">
        <v>0.6027365413879997</v>
      </c>
      <c r="O575" s="35" t="n">
        <v>0.2764505119453924</v>
      </c>
      <c r="P575" s="35" t="n">
        <v>0.8514851485148516</v>
      </c>
      <c r="Q575" s="35" t="n">
        <v>1.110609480812641</v>
      </c>
      <c r="R575" s="35" t="n">
        <v>0.1536088834053053</v>
      </c>
      <c r="S575" s="35" t="n">
        <v>0.4749184982648018</v>
      </c>
      <c r="T575" s="35" t="n">
        <v>0.6845582163501238</v>
      </c>
      <c r="U575" s="30" t="n">
        <v>37400</v>
      </c>
      <c r="V575" s="30" t="n">
        <v>16360</v>
      </c>
      <c r="W575" s="35" t="n">
        <v>0</v>
      </c>
      <c r="X575" s="35" t="n">
        <v>1.286063569682152</v>
      </c>
      <c r="Y575" s="30" t="n">
        <v>28966714</v>
      </c>
      <c r="Z575" s="30" t="n">
        <v>1083355103600</v>
      </c>
      <c r="AA575" s="30" t="n">
        <v>57833789200</v>
      </c>
      <c r="AB575" s="30" t="n">
        <v>19849231852.5</v>
      </c>
      <c r="AC575" s="35" t="n">
        <v>0.0533839634001979</v>
      </c>
      <c r="AD575" s="24" t="inlineStr">
        <is>
          <t>yfinance_download</t>
        </is>
      </c>
      <c r="AE575" s="24" t="inlineStr">
        <is>
          <t>319660.KQ</t>
        </is>
      </c>
    </row>
    <row r="576" ht="24" customHeight="1">
      <c r="A576" s="29" t="inlineStr">
        <is>
          <t>2025-10-21</t>
        </is>
      </c>
      <c r="B576" s="31" t="n">
        <v>38050</v>
      </c>
      <c r="C576" s="31" t="n">
        <v>38050</v>
      </c>
      <c r="D576" s="31" t="n">
        <v>35500</v>
      </c>
      <c r="E576" s="31" t="n">
        <v>35850</v>
      </c>
      <c r="F576" s="31" t="n">
        <v>35449.44140625</v>
      </c>
      <c r="G576" s="31" t="n">
        <v>460038</v>
      </c>
      <c r="H576" s="36" t="n">
        <v>-0.04144385026737973</v>
      </c>
      <c r="I576" s="36" t="n">
        <v>-0.07124352331606221</v>
      </c>
      <c r="J576" s="31" t="n">
        <v>32790</v>
      </c>
      <c r="K576" s="31" t="n">
        <v>25618.16666666667</v>
      </c>
      <c r="L576" s="31" t="n">
        <v>22346.83333333333</v>
      </c>
      <c r="M576" s="36" t="n">
        <v>0.7614207962997047</v>
      </c>
      <c r="N576" s="36" t="n">
        <v>0.6118847816169268</v>
      </c>
      <c r="O576" s="36" t="n">
        <v>0.2601054481546572</v>
      </c>
      <c r="P576" s="36" t="n">
        <v>0.7747524752475248</v>
      </c>
      <c r="Q576" s="36" t="n">
        <v>0.9451980466630494</v>
      </c>
      <c r="R576" s="36" t="n">
        <v>0.09332113449222335</v>
      </c>
      <c r="S576" s="36" t="n">
        <v>0.3993975629273496</v>
      </c>
      <c r="T576" s="36" t="n">
        <v>0.6042541448825711</v>
      </c>
      <c r="U576" s="31" t="n">
        <v>37400</v>
      </c>
      <c r="V576" s="31" t="n">
        <v>16360</v>
      </c>
      <c r="W576" s="36" t="n">
        <v>-0.04144385026737973</v>
      </c>
      <c r="X576" s="36" t="n">
        <v>1.191320293398533</v>
      </c>
      <c r="Y576" s="31" t="n">
        <v>28966714</v>
      </c>
      <c r="Z576" s="31" t="n">
        <v>1038456696900</v>
      </c>
      <c r="AA576" s="31" t="n">
        <v>16492362300</v>
      </c>
      <c r="AB576" s="31" t="n">
        <v>19534359187.5</v>
      </c>
      <c r="AC576" s="36" t="n">
        <v>0.01588160811060585</v>
      </c>
      <c r="AD576" s="29" t="inlineStr">
        <is>
          <t>yfinance_download</t>
        </is>
      </c>
      <c r="AE576" s="29" t="inlineStr">
        <is>
          <t>319660.KQ</t>
        </is>
      </c>
    </row>
    <row r="577" ht="24" customHeight="1">
      <c r="A577" s="24" t="inlineStr">
        <is>
          <t>2025-10-22</t>
        </is>
      </c>
      <c r="B577" s="30" t="n">
        <v>35250</v>
      </c>
      <c r="C577" s="30" t="n">
        <v>36600</v>
      </c>
      <c r="D577" s="30" t="n">
        <v>34500</v>
      </c>
      <c r="E577" s="30" t="n">
        <v>36350</v>
      </c>
      <c r="F577" s="30" t="n">
        <v>35943.85546875</v>
      </c>
      <c r="G577" s="30" t="n">
        <v>518113</v>
      </c>
      <c r="H577" s="35" t="n">
        <v>0.01394700139470006</v>
      </c>
      <c r="I577" s="35" t="n">
        <v>-0.05829015544041449</v>
      </c>
      <c r="J577" s="30" t="n">
        <v>33207.5</v>
      </c>
      <c r="K577" s="30" t="n">
        <v>25889</v>
      </c>
      <c r="L577" s="30" t="n">
        <v>22499.58333333333</v>
      </c>
      <c r="M577" s="35" t="n">
        <v>0.7539339448245719</v>
      </c>
      <c r="N577" s="35" t="n">
        <v>0.6110956765758085</v>
      </c>
      <c r="O577" s="35" t="n">
        <v>0.2982142857142858</v>
      </c>
      <c r="P577" s="35" t="n">
        <v>0.808457711442786</v>
      </c>
      <c r="Q577" s="35" t="n">
        <v>1.017203107658158</v>
      </c>
      <c r="R577" s="35" t="n">
        <v>0.09463223669351795</v>
      </c>
      <c r="S577" s="35" t="n">
        <v>0.4040712271621152</v>
      </c>
      <c r="T577" s="35" t="n">
        <v>0.6155854738050706</v>
      </c>
      <c r="U577" s="30" t="n">
        <v>37400</v>
      </c>
      <c r="V577" s="30" t="n">
        <v>16360</v>
      </c>
      <c r="W577" s="35" t="n">
        <v>-0.02807486631016043</v>
      </c>
      <c r="X577" s="35" t="n">
        <v>1.221882640586797</v>
      </c>
      <c r="Y577" s="30" t="n">
        <v>28966714</v>
      </c>
      <c r="Z577" s="30" t="n">
        <v>1052940053900</v>
      </c>
      <c r="AA577" s="30" t="n">
        <v>18833407550</v>
      </c>
      <c r="AB577" s="30" t="n">
        <v>19791566765</v>
      </c>
      <c r="AC577" s="35" t="n">
        <v>0.01788649551343656</v>
      </c>
      <c r="AD577" s="24" t="inlineStr">
        <is>
          <t>yfinance_download</t>
        </is>
      </c>
      <c r="AE577" s="24" t="inlineStr">
        <is>
          <t>319660.KQ</t>
        </is>
      </c>
    </row>
    <row r="578" ht="24" customHeight="1">
      <c r="A578" s="29" t="inlineStr">
        <is>
          <t>2025-10-23</t>
        </is>
      </c>
      <c r="B578" s="31" t="n">
        <v>35200</v>
      </c>
      <c r="C578" s="31" t="n">
        <v>38500</v>
      </c>
      <c r="D578" s="31" t="n">
        <v>35100</v>
      </c>
      <c r="E578" s="31" t="n">
        <v>37550</v>
      </c>
      <c r="F578" s="31" t="n">
        <v>37130.4453125</v>
      </c>
      <c r="G578" s="31" t="n">
        <v>560329</v>
      </c>
      <c r="H578" s="36" t="n">
        <v>0.03301237964236581</v>
      </c>
      <c r="I578" s="36" t="n">
        <v>-0.02720207253886009</v>
      </c>
      <c r="J578" s="31" t="n">
        <v>33625</v>
      </c>
      <c r="K578" s="31" t="n">
        <v>26179</v>
      </c>
      <c r="L578" s="31" t="n">
        <v>22656.66666666667</v>
      </c>
      <c r="M578" s="36" t="n">
        <v>0.7497654874467754</v>
      </c>
      <c r="N578" s="36" t="n">
        <v>0.6125578594508222</v>
      </c>
      <c r="O578" s="36" t="n">
        <v>0.2859589041095891</v>
      </c>
      <c r="P578" s="36" t="n">
        <v>0.8635235732009925</v>
      </c>
      <c r="Q578" s="36" t="n">
        <v>1.008021390374331</v>
      </c>
      <c r="R578" s="36" t="n">
        <v>0.1167286245353161</v>
      </c>
      <c r="S578" s="36" t="n">
        <v>0.4343557813514649</v>
      </c>
      <c r="T578" s="36" t="n">
        <v>0.657348830366338</v>
      </c>
      <c r="U578" s="31" t="n">
        <v>37550</v>
      </c>
      <c r="V578" s="31" t="n">
        <v>16360</v>
      </c>
      <c r="W578" s="36" t="n">
        <v>0</v>
      </c>
      <c r="X578" s="36" t="n">
        <v>1.295232273838631</v>
      </c>
      <c r="Y578" s="31" t="n">
        <v>28966714</v>
      </c>
      <c r="Z578" s="31" t="n">
        <v>1087700110700</v>
      </c>
      <c r="AA578" s="31" t="n">
        <v>21040353950</v>
      </c>
      <c r="AB578" s="31" t="n">
        <v>19433004002.5</v>
      </c>
      <c r="AC578" s="36" t="n">
        <v>0.01934389244151062</v>
      </c>
      <c r="AD578" s="29" t="inlineStr">
        <is>
          <t>yfinance_download</t>
        </is>
      </c>
      <c r="AE578" s="29" t="inlineStr">
        <is>
          <t>319660.KQ</t>
        </is>
      </c>
    </row>
    <row r="579" ht="24" customHeight="1">
      <c r="A579" s="24" t="inlineStr">
        <is>
          <t>2025-10-24</t>
        </is>
      </c>
      <c r="B579" s="30" t="n">
        <v>38700</v>
      </c>
      <c r="C579" s="30" t="n">
        <v>38900</v>
      </c>
      <c r="D579" s="30" t="n">
        <v>37850</v>
      </c>
      <c r="E579" s="30" t="n">
        <v>38100</v>
      </c>
      <c r="F579" s="30" t="n">
        <v>37674.30078125</v>
      </c>
      <c r="G579" s="30" t="n">
        <v>368475</v>
      </c>
      <c r="H579" s="35" t="n">
        <v>0.01464713715046595</v>
      </c>
      <c r="I579" s="35" t="n">
        <v>-0.01295336787564771</v>
      </c>
      <c r="J579" s="30" t="n">
        <v>33975</v>
      </c>
      <c r="K579" s="30" t="n">
        <v>26481.33333333333</v>
      </c>
      <c r="L579" s="30" t="n">
        <v>22819</v>
      </c>
      <c r="M579" s="35" t="n">
        <v>0.7248848707006361</v>
      </c>
      <c r="N579" s="35" t="n">
        <v>0.6110897878791084</v>
      </c>
      <c r="O579" s="35" t="n">
        <v>0.22508038585209</v>
      </c>
      <c r="P579" s="35" t="n">
        <v>0.908817635270541</v>
      </c>
      <c r="Q579" s="35" t="n">
        <v>1.046186895810956</v>
      </c>
      <c r="R579" s="35" t="n">
        <v>0.1214128035320088</v>
      </c>
      <c r="S579" s="35" t="n">
        <v>0.4387493076884348</v>
      </c>
      <c r="T579" s="35" t="n">
        <v>0.6696612472062755</v>
      </c>
      <c r="U579" s="30" t="n">
        <v>38100</v>
      </c>
      <c r="V579" s="30" t="n">
        <v>16360</v>
      </c>
      <c r="W579" s="35" t="n">
        <v>0</v>
      </c>
      <c r="X579" s="35" t="n">
        <v>1.328850855745721</v>
      </c>
      <c r="Y579" s="30" t="n">
        <v>28966714</v>
      </c>
      <c r="Z579" s="30" t="n">
        <v>1103631803400</v>
      </c>
      <c r="AA579" s="30" t="n">
        <v>14038897500</v>
      </c>
      <c r="AB579" s="30" t="n">
        <v>18133694977.5</v>
      </c>
      <c r="AC579" s="35" t="n">
        <v>0.01272063514004385</v>
      </c>
      <c r="AD579" s="24" t="inlineStr">
        <is>
          <t>yfinance_download</t>
        </is>
      </c>
      <c r="AE579" s="24" t="inlineStr">
        <is>
          <t>319660.KQ</t>
        </is>
      </c>
    </row>
    <row r="580" ht="24" customHeight="1">
      <c r="A580" s="29" t="inlineStr">
        <is>
          <t>2025-10-27</t>
        </is>
      </c>
      <c r="B580" s="31" t="n">
        <v>38500</v>
      </c>
      <c r="C580" s="31" t="n">
        <v>38600</v>
      </c>
      <c r="D580" s="31" t="n">
        <v>37500</v>
      </c>
      <c r="E580" s="31" t="n">
        <v>38100</v>
      </c>
      <c r="F580" s="31" t="n">
        <v>37674.30078125</v>
      </c>
      <c r="G580" s="31" t="n">
        <v>265816</v>
      </c>
      <c r="H580" s="36" t="n">
        <v>0</v>
      </c>
      <c r="I580" s="36" t="n">
        <v>-0.01295336787564771</v>
      </c>
      <c r="J580" s="31" t="n">
        <v>34302.5</v>
      </c>
      <c r="K580" s="31" t="n">
        <v>26789.16666666667</v>
      </c>
      <c r="L580" s="31" t="n">
        <v>22980.58333333333</v>
      </c>
      <c r="M580" s="36" t="n">
        <v>0.7258290661802931</v>
      </c>
      <c r="N580" s="36" t="n">
        <v>0.6087802571621129</v>
      </c>
      <c r="O580" s="36" t="n">
        <v>0.2076069730586372</v>
      </c>
      <c r="P580" s="36" t="n">
        <v>0.9409067753438614</v>
      </c>
      <c r="Q580" s="36" t="n">
        <v>1.036344200962052</v>
      </c>
      <c r="R580" s="36" t="n">
        <v>0.1107062167480504</v>
      </c>
      <c r="S580" s="36" t="n">
        <v>0.4222166920707997</v>
      </c>
      <c r="T580" s="36" t="n">
        <v>0.6579213611490862</v>
      </c>
      <c r="U580" s="31" t="n">
        <v>38100</v>
      </c>
      <c r="V580" s="31" t="n">
        <v>16360</v>
      </c>
      <c r="W580" s="36" t="n">
        <v>0</v>
      </c>
      <c r="X580" s="36" t="n">
        <v>1.328850855745721</v>
      </c>
      <c r="Y580" s="31" t="n">
        <v>28966714</v>
      </c>
      <c r="Z580" s="31" t="n">
        <v>1103631803400</v>
      </c>
      <c r="AA580" s="31" t="n">
        <v>10127589600</v>
      </c>
      <c r="AB580" s="31" t="n">
        <v>17711879767.5</v>
      </c>
      <c r="AC580" s="36" t="n">
        <v>0.009176601805783009</v>
      </c>
      <c r="AD580" s="29" t="inlineStr">
        <is>
          <t>yfinance_download</t>
        </is>
      </c>
      <c r="AE580" s="29" t="inlineStr">
        <is>
          <t>319660.KQ</t>
        </is>
      </c>
    </row>
    <row r="581" ht="24" customHeight="1">
      <c r="A581" s="24" t="inlineStr">
        <is>
          <t>2025-10-28</t>
        </is>
      </c>
      <c r="B581" s="30" t="n">
        <v>37750</v>
      </c>
      <c r="C581" s="30" t="n">
        <v>38100</v>
      </c>
      <c r="D581" s="30" t="n">
        <v>36500</v>
      </c>
      <c r="E581" s="30" t="n">
        <v>36850</v>
      </c>
      <c r="F581" s="30" t="n">
        <v>36438.26953125</v>
      </c>
      <c r="G581" s="30" t="n">
        <v>367230</v>
      </c>
      <c r="H581" s="35" t="n">
        <v>-0.03280839895013121</v>
      </c>
      <c r="I581" s="35" t="n">
        <v>-0.04533678756476689</v>
      </c>
      <c r="J581" s="30" t="n">
        <v>34560</v>
      </c>
      <c r="K581" s="30" t="n">
        <v>27058.33333333333</v>
      </c>
      <c r="L581" s="30" t="n">
        <v>23136.75</v>
      </c>
      <c r="M581" s="35" t="n">
        <v>0.7418037764228578</v>
      </c>
      <c r="N581" s="35" t="n">
        <v>0.608928415253278</v>
      </c>
      <c r="O581" s="35" t="n">
        <v>0.1624605678233439</v>
      </c>
      <c r="P581" s="35" t="n">
        <v>0.7801932367149758</v>
      </c>
      <c r="Q581" s="35" t="n">
        <v>1.034787410270569</v>
      </c>
      <c r="R581" s="35" t="n">
        <v>0.06626157407407418</v>
      </c>
      <c r="S581" s="35" t="n">
        <v>0.3618724976901757</v>
      </c>
      <c r="T581" s="35" t="n">
        <v>0.5927042475715043</v>
      </c>
      <c r="U581" s="30" t="n">
        <v>38100</v>
      </c>
      <c r="V581" s="30" t="n">
        <v>16360</v>
      </c>
      <c r="W581" s="35" t="n">
        <v>-0.03280839895013121</v>
      </c>
      <c r="X581" s="35" t="n">
        <v>1.252444987775061</v>
      </c>
      <c r="Y581" s="30" t="n">
        <v>28966714</v>
      </c>
      <c r="Z581" s="30" t="n">
        <v>1067423410900</v>
      </c>
      <c r="AA581" s="30" t="n">
        <v>13532425500</v>
      </c>
      <c r="AB581" s="30" t="n">
        <v>17587418267.5</v>
      </c>
      <c r="AC581" s="35" t="n">
        <v>0.0126776547729922</v>
      </c>
      <c r="AD581" s="24" t="inlineStr">
        <is>
          <t>yfinance_download</t>
        </is>
      </c>
      <c r="AE581" s="24" t="inlineStr">
        <is>
          <t>319660.KQ</t>
        </is>
      </c>
    </row>
    <row r="582" ht="24" customHeight="1">
      <c r="A582" s="29" t="inlineStr">
        <is>
          <t>2025-10-29</t>
        </is>
      </c>
      <c r="B582" s="31" t="n">
        <v>37500</v>
      </c>
      <c r="C582" s="31" t="n">
        <v>38200</v>
      </c>
      <c r="D582" s="31" t="n">
        <v>35900</v>
      </c>
      <c r="E582" s="31" t="n">
        <v>38050</v>
      </c>
      <c r="F582" s="31" t="n">
        <v>37624.859375</v>
      </c>
      <c r="G582" s="31" t="n">
        <v>451271</v>
      </c>
      <c r="H582" s="36" t="n">
        <v>0.03256445047489831</v>
      </c>
      <c r="I582" s="36" t="n">
        <v>-0.01424870466321249</v>
      </c>
      <c r="J582" s="31" t="n">
        <v>34845</v>
      </c>
      <c r="K582" s="31" t="n">
        <v>27342.5</v>
      </c>
      <c r="L582" s="31" t="n">
        <v>23302.25</v>
      </c>
      <c r="M582" s="36" t="n">
        <v>0.7456039944937699</v>
      </c>
      <c r="N582" s="36" t="n">
        <v>0.6105758079146855</v>
      </c>
      <c r="O582" s="36" t="n">
        <v>0.1761978361669243</v>
      </c>
      <c r="P582" s="36" t="n">
        <v>0.8119047619047619</v>
      </c>
      <c r="Q582" s="36" t="n">
        <v>1.091808686091259</v>
      </c>
      <c r="R582" s="36" t="n">
        <v>0.09197876309370057</v>
      </c>
      <c r="S582" s="36" t="n">
        <v>0.3916064734387859</v>
      </c>
      <c r="T582" s="36" t="n">
        <v>0.6328895278352948</v>
      </c>
      <c r="U582" s="31" t="n">
        <v>38100</v>
      </c>
      <c r="V582" s="31" t="n">
        <v>16360</v>
      </c>
      <c r="W582" s="36" t="n">
        <v>-0.001312335958005284</v>
      </c>
      <c r="X582" s="36" t="n">
        <v>1.325794621026895</v>
      </c>
      <c r="Y582" s="31" t="n">
        <v>28966714</v>
      </c>
      <c r="Z582" s="31" t="n">
        <v>1102183467700</v>
      </c>
      <c r="AA582" s="31" t="n">
        <v>17170861550</v>
      </c>
      <c r="AB582" s="31" t="n">
        <v>17672246395</v>
      </c>
      <c r="AC582" s="36" t="n">
        <v>0.01557895037731929</v>
      </c>
      <c r="AD582" s="29" t="inlineStr">
        <is>
          <t>yfinance_download</t>
        </is>
      </c>
      <c r="AE582" s="29" t="inlineStr">
        <is>
          <t>319660.KQ</t>
        </is>
      </c>
    </row>
    <row r="583" ht="24" customHeight="1">
      <c r="A583" s="24" t="inlineStr">
        <is>
          <t>2025-10-30</t>
        </is>
      </c>
      <c r="B583" s="30" t="n">
        <v>37450</v>
      </c>
      <c r="C583" s="30" t="n">
        <v>39250</v>
      </c>
      <c r="D583" s="30" t="n">
        <v>37250</v>
      </c>
      <c r="E583" s="30" t="n">
        <v>38400</v>
      </c>
      <c r="F583" s="30" t="n">
        <v>37970.94921875</v>
      </c>
      <c r="G583" s="30" t="n">
        <v>323770</v>
      </c>
      <c r="H583" s="35" t="n">
        <v>0.009198423127463773</v>
      </c>
      <c r="I583" s="35" t="n">
        <v>-0.005181347150259086</v>
      </c>
      <c r="J583" s="30" t="n">
        <v>35145</v>
      </c>
      <c r="K583" s="30" t="n">
        <v>27633.33333333333</v>
      </c>
      <c r="L583" s="30" t="n">
        <v>23473.91666666667</v>
      </c>
      <c r="M583" s="35" t="n">
        <v>0.7450611894719594</v>
      </c>
      <c r="N583" s="35" t="n">
        <v>0.6099798960296152</v>
      </c>
      <c r="O583" s="35" t="n">
        <v>0.1851851851851851</v>
      </c>
      <c r="P583" s="35" t="n">
        <v>0.8329355608591886</v>
      </c>
      <c r="Q583" s="35" t="n">
        <v>1.157303370786517</v>
      </c>
      <c r="R583" s="35" t="n">
        <v>0.09261630388390962</v>
      </c>
      <c r="S583" s="35" t="n">
        <v>0.3896260554885405</v>
      </c>
      <c r="T583" s="35" t="n">
        <v>0.6358582398193739</v>
      </c>
      <c r="U583" s="30" t="n">
        <v>38400</v>
      </c>
      <c r="V583" s="30" t="n">
        <v>16360</v>
      </c>
      <c r="W583" s="35" t="n">
        <v>0</v>
      </c>
      <c r="X583" s="35" t="n">
        <v>1.34718826405868</v>
      </c>
      <c r="Y583" s="30" t="n">
        <v>28966714</v>
      </c>
      <c r="Z583" s="30" t="n">
        <v>1112321817600</v>
      </c>
      <c r="AA583" s="30" t="n">
        <v>12432768000</v>
      </c>
      <c r="AB583" s="30" t="n">
        <v>17587754335</v>
      </c>
      <c r="AC583" s="35" t="n">
        <v>0.01117731200024967</v>
      </c>
      <c r="AD583" s="24" t="inlineStr">
        <is>
          <t>yfinance_download</t>
        </is>
      </c>
      <c r="AE583" s="24" t="inlineStr">
        <is>
          <t>319660.KQ</t>
        </is>
      </c>
    </row>
    <row r="584" ht="24" customHeight="1">
      <c r="A584" s="29" t="inlineStr">
        <is>
          <t>2025-10-31</t>
        </is>
      </c>
      <c r="B584" s="31" t="n">
        <v>37900</v>
      </c>
      <c r="C584" s="31" t="n">
        <v>38600</v>
      </c>
      <c r="D584" s="31" t="n">
        <v>37400</v>
      </c>
      <c r="E584" s="31" t="n">
        <v>37750</v>
      </c>
      <c r="F584" s="31" t="n">
        <v>37328.2109375</v>
      </c>
      <c r="G584" s="31" t="n">
        <v>191449</v>
      </c>
      <c r="H584" s="36" t="n">
        <v>-0.01692708333333337</v>
      </c>
      <c r="I584" s="36" t="n">
        <v>-0.022020725388601</v>
      </c>
      <c r="J584" s="31" t="n">
        <v>35470</v>
      </c>
      <c r="K584" s="31" t="n">
        <v>27916.66666666667</v>
      </c>
      <c r="L584" s="31" t="n">
        <v>23636.08333333333</v>
      </c>
      <c r="M584" s="36" t="n">
        <v>0.7329909067243672</v>
      </c>
      <c r="N584" s="36" t="n">
        <v>0.6112206940029005</v>
      </c>
      <c r="O584" s="36" t="n">
        <v>0.208</v>
      </c>
      <c r="P584" s="36" t="n">
        <v>0.8192771084337349</v>
      </c>
      <c r="Q584" s="36" t="n">
        <v>1.063969382176052</v>
      </c>
      <c r="R584" s="36" t="n">
        <v>0.06427967296306747</v>
      </c>
      <c r="S584" s="36" t="n">
        <v>0.3522388059701491</v>
      </c>
      <c r="T584" s="36" t="n">
        <v>0.5971343249903927</v>
      </c>
      <c r="U584" s="31" t="n">
        <v>38400</v>
      </c>
      <c r="V584" s="31" t="n">
        <v>16360</v>
      </c>
      <c r="W584" s="36" t="n">
        <v>-0.01692708333333337</v>
      </c>
      <c r="X584" s="36" t="n">
        <v>1.307457212713937</v>
      </c>
      <c r="Y584" s="31" t="n">
        <v>28966714</v>
      </c>
      <c r="Z584" s="31" t="n">
        <v>1093493453500</v>
      </c>
      <c r="AA584" s="31" t="n">
        <v>7227199750</v>
      </c>
      <c r="AB584" s="31" t="n">
        <v>17110604947.5</v>
      </c>
      <c r="AC584" s="36" t="n">
        <v>0.006609275736281305</v>
      </c>
      <c r="AD584" s="29" t="inlineStr">
        <is>
          <t>yfinance_download</t>
        </is>
      </c>
      <c r="AE584" s="29" t="inlineStr">
        <is>
          <t>319660.KQ</t>
        </is>
      </c>
    </row>
    <row r="585" ht="24" customHeight="1">
      <c r="A585" s="24" t="inlineStr">
        <is>
          <t>2025-11-03</t>
        </is>
      </c>
      <c r="B585" s="30" t="n">
        <v>37500</v>
      </c>
      <c r="C585" s="30" t="n">
        <v>37950</v>
      </c>
      <c r="D585" s="30" t="n">
        <v>36550</v>
      </c>
      <c r="E585" s="30" t="n">
        <v>37850</v>
      </c>
      <c r="F585" s="30" t="n">
        <v>37427.09375</v>
      </c>
      <c r="G585" s="30" t="n">
        <v>307818</v>
      </c>
      <c r="H585" s="35" t="n">
        <v>0.002649006622516659</v>
      </c>
      <c r="I585" s="35" t="n">
        <v>-0.01943005181347146</v>
      </c>
      <c r="J585" s="30" t="n">
        <v>35710</v>
      </c>
      <c r="K585" s="30" t="n">
        <v>28224</v>
      </c>
      <c r="L585" s="30" t="n">
        <v>23796.83333333333</v>
      </c>
      <c r="M585" s="35" t="n">
        <v>0.7117828788078874</v>
      </c>
      <c r="N585" s="35" t="n">
        <v>0.591034228306391</v>
      </c>
      <c r="O585" s="35" t="n">
        <v>0.1452344931921332</v>
      </c>
      <c r="P585" s="35" t="n">
        <v>0.9500257599175683</v>
      </c>
      <c r="Q585" s="35" t="n">
        <v>1.039331896551724</v>
      </c>
      <c r="R585" s="35" t="n">
        <v>0.05992719126295154</v>
      </c>
      <c r="S585" s="35" t="n">
        <v>0.3410572562358276</v>
      </c>
      <c r="T585" s="35" t="n">
        <v>0.5905477619571233</v>
      </c>
      <c r="U585" s="30" t="n">
        <v>38400</v>
      </c>
      <c r="V585" s="30" t="n">
        <v>16360</v>
      </c>
      <c r="W585" s="35" t="n">
        <v>-0.01432291666666663</v>
      </c>
      <c r="X585" s="35" t="n">
        <v>1.313569682151589</v>
      </c>
      <c r="Y585" s="30" t="n">
        <v>28966714</v>
      </c>
      <c r="Z585" s="30" t="n">
        <v>1096390124900</v>
      </c>
      <c r="AA585" s="30" t="n">
        <v>11650911300</v>
      </c>
      <c r="AB585" s="30" t="n">
        <v>16794507792.5</v>
      </c>
      <c r="AC585" s="35" t="n">
        <v>0.01062661094385784</v>
      </c>
      <c r="AD585" s="24" t="inlineStr">
        <is>
          <t>yfinance_download</t>
        </is>
      </c>
      <c r="AE585" s="24" t="inlineStr">
        <is>
          <t>319660.KQ</t>
        </is>
      </c>
    </row>
    <row r="586" ht="24" customHeight="1">
      <c r="A586" s="29" t="inlineStr">
        <is>
          <t>2025-11-04</t>
        </is>
      </c>
      <c r="B586" s="31" t="n">
        <v>38550</v>
      </c>
      <c r="C586" s="31" t="n">
        <v>40250</v>
      </c>
      <c r="D586" s="31" t="n">
        <v>38000</v>
      </c>
      <c r="E586" s="31" t="n">
        <v>38400</v>
      </c>
      <c r="F586" s="31" t="n">
        <v>37970.94921875</v>
      </c>
      <c r="G586" s="31" t="n">
        <v>539177</v>
      </c>
      <c r="H586" s="36" t="n">
        <v>0.01453104359313073</v>
      </c>
      <c r="I586" s="36" t="n">
        <v>-0.005181347150259086</v>
      </c>
      <c r="J586" s="31" t="n">
        <v>35992.5</v>
      </c>
      <c r="K586" s="31" t="n">
        <v>28539.5</v>
      </c>
      <c r="L586" s="31" t="n">
        <v>23960.75</v>
      </c>
      <c r="M586" s="36" t="n">
        <v>0.7093180863352925</v>
      </c>
      <c r="N586" s="36" t="n">
        <v>0.5907745754020374</v>
      </c>
      <c r="O586" s="36" t="n">
        <v>0.1725190839694657</v>
      </c>
      <c r="P586" s="36" t="n">
        <v>0.9722650231124808</v>
      </c>
      <c r="Q586" s="36" t="n">
        <v>1.05018686599039</v>
      </c>
      <c r="R586" s="36" t="n">
        <v>0.0668889351948323</v>
      </c>
      <c r="S586" s="36" t="n">
        <v>0.3455036002733054</v>
      </c>
      <c r="T586" s="36" t="n">
        <v>0.6026209530169131</v>
      </c>
      <c r="U586" s="31" t="n">
        <v>38400</v>
      </c>
      <c r="V586" s="31" t="n">
        <v>16360</v>
      </c>
      <c r="W586" s="36" t="n">
        <v>0</v>
      </c>
      <c r="X586" s="36" t="n">
        <v>1.34718826405868</v>
      </c>
      <c r="Y586" s="31" t="n">
        <v>28966714</v>
      </c>
      <c r="Z586" s="31" t="n">
        <v>1112321817600</v>
      </c>
      <c r="AA586" s="31" t="n">
        <v>20704396800</v>
      </c>
      <c r="AB586" s="31" t="n">
        <v>17416126245</v>
      </c>
      <c r="AC586" s="36" t="n">
        <v>0.01861367499261394</v>
      </c>
      <c r="AD586" s="29" t="inlineStr">
        <is>
          <t>yfinance_download</t>
        </is>
      </c>
      <c r="AE586" s="29" t="inlineStr">
        <is>
          <t>319660.KQ</t>
        </is>
      </c>
    </row>
    <row r="587" ht="24" customHeight="1">
      <c r="A587" s="24" t="inlineStr">
        <is>
          <t>2025-11-05</t>
        </is>
      </c>
      <c r="B587" s="30" t="n">
        <v>36950</v>
      </c>
      <c r="C587" s="30" t="n">
        <v>37500</v>
      </c>
      <c r="D587" s="30" t="n">
        <v>34600</v>
      </c>
      <c r="E587" s="30" t="n">
        <v>36900</v>
      </c>
      <c r="F587" s="30" t="n">
        <v>36487.7109375</v>
      </c>
      <c r="G587" s="30" t="n">
        <v>483572</v>
      </c>
      <c r="H587" s="35" t="n">
        <v>-0.0390625</v>
      </c>
      <c r="I587" s="35" t="n">
        <v>-0.04404145077720212</v>
      </c>
      <c r="J587" s="30" t="n">
        <v>36192.5</v>
      </c>
      <c r="K587" s="30" t="n">
        <v>28830.5</v>
      </c>
      <c r="L587" s="30" t="n">
        <v>24114.25</v>
      </c>
      <c r="M587" s="35" t="n">
        <v>0.729482133326852</v>
      </c>
      <c r="N587" s="35" t="n">
        <v>0.599401997264593</v>
      </c>
      <c r="O587" s="35" t="n">
        <v>0.121580547112462</v>
      </c>
      <c r="P587" s="35" t="n">
        <v>0.8981481481481481</v>
      </c>
      <c r="Q587" s="35" t="n">
        <v>0.9967532467532467</v>
      </c>
      <c r="R587" s="35" t="n">
        <v>0.01954824894660501</v>
      </c>
      <c r="S587" s="35" t="n">
        <v>0.2798945561124504</v>
      </c>
      <c r="T587" s="35" t="n">
        <v>0.5302155364566594</v>
      </c>
      <c r="U587" s="30" t="n">
        <v>38400</v>
      </c>
      <c r="V587" s="30" t="n">
        <v>16360</v>
      </c>
      <c r="W587" s="35" t="n">
        <v>-0.0390625</v>
      </c>
      <c r="X587" s="35" t="n">
        <v>1.255501222493888</v>
      </c>
      <c r="Y587" s="30" t="n">
        <v>28966714</v>
      </c>
      <c r="Z587" s="30" t="n">
        <v>1068871746600</v>
      </c>
      <c r="AA587" s="30" t="n">
        <v>17843806800</v>
      </c>
      <c r="AB587" s="30" t="n">
        <v>17698794735</v>
      </c>
      <c r="AC587" s="35" t="n">
        <v>0.01669405787622303</v>
      </c>
      <c r="AD587" s="24" t="inlineStr">
        <is>
          <t>yfinance_download</t>
        </is>
      </c>
      <c r="AE587" s="24" t="inlineStr">
        <is>
          <t>319660.KQ</t>
        </is>
      </c>
    </row>
    <row r="588" ht="24" customHeight="1">
      <c r="A588" s="29" t="inlineStr">
        <is>
          <t>2025-11-06</t>
        </is>
      </c>
      <c r="B588" s="31" t="n">
        <v>38400</v>
      </c>
      <c r="C588" s="31" t="n">
        <v>41400</v>
      </c>
      <c r="D588" s="31" t="n">
        <v>37700</v>
      </c>
      <c r="E588" s="31" t="n">
        <v>40000</v>
      </c>
      <c r="F588" s="31" t="n">
        <v>39553.07421875</v>
      </c>
      <c r="G588" s="31" t="n">
        <v>1051717</v>
      </c>
      <c r="H588" s="36" t="n">
        <v>0.08401084010840099</v>
      </c>
      <c r="I588" s="36" t="n">
        <v>0</v>
      </c>
      <c r="J588" s="31" t="n">
        <v>36472.5</v>
      </c>
      <c r="K588" s="31" t="n">
        <v>29168.66666666667</v>
      </c>
      <c r="L588" s="31" t="n">
        <v>24287.25</v>
      </c>
      <c r="M588" s="36" t="n">
        <v>0.7683408083036893</v>
      </c>
      <c r="N588" s="36" t="n">
        <v>0.6175861926440679</v>
      </c>
      <c r="O588" s="36" t="n">
        <v>0.1627906976744187</v>
      </c>
      <c r="P588" s="36" t="n">
        <v>1.029426686960933</v>
      </c>
      <c r="Q588" s="36" t="n">
        <v>1.079002079002079</v>
      </c>
      <c r="R588" s="36" t="n">
        <v>0.09671670436630331</v>
      </c>
      <c r="S588" s="36" t="n">
        <v>0.3713345370603158</v>
      </c>
      <c r="T588" s="36" t="n">
        <v>0.6469546778659585</v>
      </c>
      <c r="U588" s="31" t="n">
        <v>40000</v>
      </c>
      <c r="V588" s="31" t="n">
        <v>16360</v>
      </c>
      <c r="W588" s="36" t="n">
        <v>0</v>
      </c>
      <c r="X588" s="36" t="n">
        <v>1.444987775061125</v>
      </c>
      <c r="Y588" s="31" t="n">
        <v>28966714</v>
      </c>
      <c r="Z588" s="31" t="n">
        <v>1158668560000</v>
      </c>
      <c r="AA588" s="31" t="n">
        <v>42068680000</v>
      </c>
      <c r="AB588" s="31" t="n">
        <v>18930895655</v>
      </c>
      <c r="AC588" s="36" t="n">
        <v>0.03630777726462173</v>
      </c>
      <c r="AD588" s="29" t="inlineStr">
        <is>
          <t>yfinance_download</t>
        </is>
      </c>
      <c r="AE588" s="29" t="inlineStr">
        <is>
          <t>319660.KQ</t>
        </is>
      </c>
    </row>
    <row r="589" ht="24" customHeight="1">
      <c r="A589" s="24" t="inlineStr">
        <is>
          <t>2025-11-07</t>
        </is>
      </c>
      <c r="B589" s="30" t="n">
        <v>39000</v>
      </c>
      <c r="C589" s="30" t="n">
        <v>39100</v>
      </c>
      <c r="D589" s="30" t="n">
        <v>36100</v>
      </c>
      <c r="E589" s="30" t="n">
        <v>36750</v>
      </c>
      <c r="F589" s="30" t="n">
        <v>36339.38671875</v>
      </c>
      <c r="G589" s="30" t="n">
        <v>515185</v>
      </c>
      <c r="H589" s="35" t="n">
        <v>-0.08125000000000004</v>
      </c>
      <c r="I589" s="35" t="n">
        <v>-0.08125000000000004</v>
      </c>
      <c r="J589" s="30" t="n">
        <v>36517.5</v>
      </c>
      <c r="K589" s="30" t="n">
        <v>29446.16666666667</v>
      </c>
      <c r="L589" s="30" t="n">
        <v>24431.66666666667</v>
      </c>
      <c r="M589" s="35" t="n">
        <v>0.8200937990792891</v>
      </c>
      <c r="N589" s="35" t="n">
        <v>0.6465883531078405</v>
      </c>
      <c r="O589" s="35" t="n">
        <v>0.02510460251046021</v>
      </c>
      <c r="P589" s="35" t="n">
        <v>0.8283582089552239</v>
      </c>
      <c r="Q589" s="35" t="n">
        <v>0.892378990731205</v>
      </c>
      <c r="R589" s="35" t="n">
        <v>0.006366810433353853</v>
      </c>
      <c r="S589" s="35" t="n">
        <v>0.2480402089689093</v>
      </c>
      <c r="T589" s="35" t="n">
        <v>0.5041953748550378</v>
      </c>
      <c r="U589" s="30" t="n">
        <v>40000</v>
      </c>
      <c r="V589" s="30" t="n">
        <v>16360</v>
      </c>
      <c r="W589" s="35" t="n">
        <v>-0.08125000000000004</v>
      </c>
      <c r="X589" s="35" t="n">
        <v>1.246332518337408</v>
      </c>
      <c r="Y589" s="30" t="n">
        <v>28966714</v>
      </c>
      <c r="Z589" s="30" t="n">
        <v>1064526739500</v>
      </c>
      <c r="AA589" s="30" t="n">
        <v>18933048750</v>
      </c>
      <c r="AB589" s="30" t="n">
        <v>19008330785</v>
      </c>
      <c r="AC589" s="35" t="n">
        <v>0.01778541397550306</v>
      </c>
      <c r="AD589" s="24" t="inlineStr">
        <is>
          <t>yfinance_download</t>
        </is>
      </c>
      <c r="AE589" s="24" t="inlineStr">
        <is>
          <t>319660.KQ</t>
        </is>
      </c>
    </row>
    <row r="590" ht="24" customHeight="1">
      <c r="A590" s="29" t="inlineStr">
        <is>
          <t>2025-11-10</t>
        </is>
      </c>
      <c r="B590" s="31" t="n">
        <v>37050</v>
      </c>
      <c r="C590" s="31" t="n">
        <v>38050</v>
      </c>
      <c r="D590" s="31" t="n">
        <v>35500</v>
      </c>
      <c r="E590" s="31" t="n">
        <v>38000</v>
      </c>
      <c r="F590" s="31" t="n">
        <v>37575.41796875</v>
      </c>
      <c r="G590" s="31" t="n">
        <v>305703</v>
      </c>
      <c r="H590" s="36" t="n">
        <v>0.03401360544217691</v>
      </c>
      <c r="I590" s="36" t="n">
        <v>-0.05000000000000004</v>
      </c>
      <c r="J590" s="31" t="n">
        <v>36670</v>
      </c>
      <c r="K590" s="31" t="n">
        <v>29725.33333333333</v>
      </c>
      <c r="L590" s="31" t="n">
        <v>24583.91666666667</v>
      </c>
      <c r="M590" s="36" t="n">
        <v>0.8205692413945503</v>
      </c>
      <c r="N590" s="36" t="n">
        <v>0.6412172635805974</v>
      </c>
      <c r="O590" s="36" t="n">
        <v>0.08726752503576529</v>
      </c>
      <c r="P590" s="36" t="n">
        <v>0.7882352941176471</v>
      </c>
      <c r="Q590" s="36" t="n">
        <v>0.9260010136847441</v>
      </c>
      <c r="R590" s="36" t="n">
        <v>0.03626943005181338</v>
      </c>
      <c r="S590" s="36" t="n">
        <v>0.2783708621153673</v>
      </c>
      <c r="T590" s="36" t="n">
        <v>0.5457260336195411</v>
      </c>
      <c r="U590" s="31" t="n">
        <v>40000</v>
      </c>
      <c r="V590" s="31" t="n">
        <v>16360</v>
      </c>
      <c r="W590" s="36" t="n">
        <v>-0.05000000000000004</v>
      </c>
      <c r="X590" s="36" t="n">
        <v>1.322738386308068</v>
      </c>
      <c r="Y590" s="31" t="n">
        <v>28966714</v>
      </c>
      <c r="Z590" s="31" t="n">
        <v>1100735132000</v>
      </c>
      <c r="AA590" s="31" t="n">
        <v>11616714000</v>
      </c>
      <c r="AB590" s="31" t="n">
        <v>18801209997.5</v>
      </c>
      <c r="AC590" s="36" t="n">
        <v>0.0105535961034448</v>
      </c>
      <c r="AD590" s="29" t="inlineStr">
        <is>
          <t>yfinance_download</t>
        </is>
      </c>
      <c r="AE590" s="29" t="inlineStr">
        <is>
          <t>319660.KQ</t>
        </is>
      </c>
    </row>
    <row r="591" ht="24" customHeight="1">
      <c r="A591" s="24" t="inlineStr">
        <is>
          <t>2025-11-11</t>
        </is>
      </c>
      <c r="B591" s="30" t="n">
        <v>39500</v>
      </c>
      <c r="C591" s="30" t="n">
        <v>39950</v>
      </c>
      <c r="D591" s="30" t="n">
        <v>37950</v>
      </c>
      <c r="E591" s="30" t="n">
        <v>38750</v>
      </c>
      <c r="F591" s="30" t="n">
        <v>38317.0390625</v>
      </c>
      <c r="G591" s="30" t="n">
        <v>316962</v>
      </c>
      <c r="H591" s="35" t="n">
        <v>0.01973684210526305</v>
      </c>
      <c r="I591" s="35" t="n">
        <v>-0.03125</v>
      </c>
      <c r="J591" s="30" t="n">
        <v>37007.5</v>
      </c>
      <c r="K591" s="30" t="n">
        <v>30011.16666666667</v>
      </c>
      <c r="L591" s="30" t="n">
        <v>24747.5</v>
      </c>
      <c r="M591" s="35" t="n">
        <v>0.7495339545652731</v>
      </c>
      <c r="N591" s="35" t="n">
        <v>0.6413816633043157</v>
      </c>
      <c r="O591" s="35" t="n">
        <v>0.2109375</v>
      </c>
      <c r="P591" s="35" t="n">
        <v>0.7939814814814814</v>
      </c>
      <c r="Q591" s="35" t="n">
        <v>1.026673640167364</v>
      </c>
      <c r="R591" s="35" t="n">
        <v>0.04708505032763632</v>
      </c>
      <c r="S591" s="35" t="n">
        <v>0.2911860585226609</v>
      </c>
      <c r="T591" s="35" t="n">
        <v>0.5658147287604809</v>
      </c>
      <c r="U591" s="30" t="n">
        <v>40000</v>
      </c>
      <c r="V591" s="30" t="n">
        <v>16360</v>
      </c>
      <c r="W591" s="35" t="n">
        <v>-0.03125</v>
      </c>
      <c r="X591" s="35" t="n">
        <v>1.368581907090464</v>
      </c>
      <c r="Y591" s="30" t="n">
        <v>28966714</v>
      </c>
      <c r="Z591" s="30" t="n">
        <v>1122460167500</v>
      </c>
      <c r="AA591" s="30" t="n">
        <v>12282277500</v>
      </c>
      <c r="AB591" s="30" t="n">
        <v>17831248672.5</v>
      </c>
      <c r="AC591" s="35" t="n">
        <v>0.010942283615601</v>
      </c>
      <c r="AD591" s="24" t="inlineStr">
        <is>
          <t>yfinance_download</t>
        </is>
      </c>
      <c r="AE591" s="24" t="inlineStr">
        <is>
          <t>319660.KQ</t>
        </is>
      </c>
    </row>
    <row r="592" ht="24" customHeight="1">
      <c r="A592" s="29" t="inlineStr">
        <is>
          <t>2025-11-12</t>
        </is>
      </c>
      <c r="B592" s="31" t="n">
        <v>38550</v>
      </c>
      <c r="C592" s="31" t="n">
        <v>38550</v>
      </c>
      <c r="D592" s="31" t="n">
        <v>37200</v>
      </c>
      <c r="E592" s="31" t="n">
        <v>38050</v>
      </c>
      <c r="F592" s="31" t="n">
        <v>37624.859375</v>
      </c>
      <c r="G592" s="31" t="n">
        <v>279084</v>
      </c>
      <c r="H592" s="36" t="n">
        <v>-0.01806451612903226</v>
      </c>
      <c r="I592" s="36" t="n">
        <v>-0.04874999999999996</v>
      </c>
      <c r="J592" s="31" t="n">
        <v>37245</v>
      </c>
      <c r="K592" s="31" t="n">
        <v>30292.83333333333</v>
      </c>
      <c r="L592" s="31" t="n">
        <v>24906.25</v>
      </c>
      <c r="M592" s="36" t="n">
        <v>0.7473443729401289</v>
      </c>
      <c r="N592" s="36" t="n">
        <v>0.6408274255558457</v>
      </c>
      <c r="O592" s="36" t="n">
        <v>0.1426426426426426</v>
      </c>
      <c r="P592" s="36" t="n">
        <v>0.7990543735224587</v>
      </c>
      <c r="Q592" s="36" t="n">
        <v>1.002631578947368</v>
      </c>
      <c r="R592" s="36" t="n">
        <v>0.02161363941468664</v>
      </c>
      <c r="S592" s="36" t="n">
        <v>0.2560726684529344</v>
      </c>
      <c r="T592" s="36" t="n">
        <v>0.527728983688833</v>
      </c>
      <c r="U592" s="31" t="n">
        <v>40000</v>
      </c>
      <c r="V592" s="31" t="n">
        <v>16360</v>
      </c>
      <c r="W592" s="36" t="n">
        <v>-0.04874999999999996</v>
      </c>
      <c r="X592" s="36" t="n">
        <v>1.325794621026895</v>
      </c>
      <c r="Y592" s="31" t="n">
        <v>28966714</v>
      </c>
      <c r="Z592" s="31" t="n">
        <v>1102183467700</v>
      </c>
      <c r="AA592" s="31" t="n">
        <v>10619146200</v>
      </c>
      <c r="AB592" s="31" t="n">
        <v>17772253192.5</v>
      </c>
      <c r="AC592" s="36" t="n">
        <v>0.009634644785735794</v>
      </c>
      <c r="AD592" s="29" t="inlineStr">
        <is>
          <t>yfinance_download</t>
        </is>
      </c>
      <c r="AE592" s="29" t="inlineStr">
        <is>
          <t>319660.KQ</t>
        </is>
      </c>
    </row>
    <row r="593" ht="24" customHeight="1">
      <c r="A593" s="24" t="inlineStr">
        <is>
          <t>2025-11-13</t>
        </is>
      </c>
      <c r="B593" s="30" t="n">
        <v>37700</v>
      </c>
      <c r="C593" s="30" t="n">
        <v>39150</v>
      </c>
      <c r="D593" s="30" t="n">
        <v>36600</v>
      </c>
      <c r="E593" s="30" t="n">
        <v>36600</v>
      </c>
      <c r="F593" s="30" t="n">
        <v>36191.0625</v>
      </c>
      <c r="G593" s="30" t="n">
        <v>368633</v>
      </c>
      <c r="H593" s="35" t="n">
        <v>-0.03810775295663604</v>
      </c>
      <c r="I593" s="35" t="n">
        <v>-0.08499999999999996</v>
      </c>
      <c r="J593" s="30" t="n">
        <v>37422.5</v>
      </c>
      <c r="K593" s="30" t="n">
        <v>30542.83333333333</v>
      </c>
      <c r="L593" s="30" t="n">
        <v>25057.83333333333</v>
      </c>
      <c r="M593" s="35" t="n">
        <v>0.763329757311675</v>
      </c>
      <c r="N593" s="35" t="n">
        <v>0.6481242915610451</v>
      </c>
      <c r="O593" s="35" t="n">
        <v>0.1074130105900151</v>
      </c>
      <c r="P593" s="35" t="n">
        <v>0.6944444444444444</v>
      </c>
      <c r="Q593" s="35" t="n">
        <v>0.9880499728408474</v>
      </c>
      <c r="R593" s="35" t="n">
        <v>-0.02197875609593158</v>
      </c>
      <c r="S593" s="35" t="n">
        <v>0.198317117490737</v>
      </c>
      <c r="T593" s="35" t="n">
        <v>0.4606210965300273</v>
      </c>
      <c r="U593" s="30" t="n">
        <v>40000</v>
      </c>
      <c r="V593" s="30" t="n">
        <v>16360</v>
      </c>
      <c r="W593" s="35" t="n">
        <v>-0.08499999999999996</v>
      </c>
      <c r="X593" s="35" t="n">
        <v>1.237163814180929</v>
      </c>
      <c r="Y593" s="30" t="n">
        <v>28966714</v>
      </c>
      <c r="Z593" s="30" t="n">
        <v>1060181732400</v>
      </c>
      <c r="AA593" s="30" t="n">
        <v>13491967800</v>
      </c>
      <c r="AB593" s="30" t="n">
        <v>18051727265</v>
      </c>
      <c r="AC593" s="35" t="n">
        <v>0.01272608967658534</v>
      </c>
      <c r="AD593" s="24" t="inlineStr">
        <is>
          <t>yfinance_download</t>
        </is>
      </c>
      <c r="AE593" s="24" t="inlineStr">
        <is>
          <t>319660.KQ</t>
        </is>
      </c>
    </row>
    <row r="594" ht="24" customHeight="1">
      <c r="A594" s="29" t="inlineStr">
        <is>
          <t>2025-11-14</t>
        </is>
      </c>
      <c r="B594" s="31" t="n">
        <v>35400</v>
      </c>
      <c r="C594" s="31" t="n">
        <v>35500</v>
      </c>
      <c r="D594" s="31" t="n">
        <v>33850</v>
      </c>
      <c r="E594" s="31" t="n">
        <v>34000</v>
      </c>
      <c r="F594" s="31" t="n">
        <v>33620.11328125</v>
      </c>
      <c r="G594" s="31" t="n">
        <v>590585</v>
      </c>
      <c r="H594" s="36" t="n">
        <v>-0.07103825136612019</v>
      </c>
      <c r="I594" s="36" t="n">
        <v>-0.15</v>
      </c>
      <c r="J594" s="31" t="n">
        <v>37485</v>
      </c>
      <c r="K594" s="31" t="n">
        <v>30753.66666666667</v>
      </c>
      <c r="L594" s="31" t="n">
        <v>25187.75</v>
      </c>
      <c r="M594" s="36" t="n">
        <v>0.8100116324623671</v>
      </c>
      <c r="N594" s="36" t="n">
        <v>0.6675981043610247</v>
      </c>
      <c r="O594" s="36" t="n">
        <v>0.03816793893129766</v>
      </c>
      <c r="P594" s="36" t="n">
        <v>0.5925058548009368</v>
      </c>
      <c r="Q594" s="36" t="n">
        <v>0.8468223791417708</v>
      </c>
      <c r="R594" s="36" t="n">
        <v>-0.09297052154195007</v>
      </c>
      <c r="S594" s="36" t="n">
        <v>0.1055592287098557</v>
      </c>
      <c r="T594" s="36" t="n">
        <v>0.3498625323818125</v>
      </c>
      <c r="U594" s="31" t="n">
        <v>40000</v>
      </c>
      <c r="V594" s="31" t="n">
        <v>16360</v>
      </c>
      <c r="W594" s="36" t="n">
        <v>-0.15</v>
      </c>
      <c r="X594" s="36" t="n">
        <v>1.078239608801956</v>
      </c>
      <c r="Y594" s="31" t="n">
        <v>28966714</v>
      </c>
      <c r="Z594" s="31" t="n">
        <v>984868276000</v>
      </c>
      <c r="AA594" s="31" t="n">
        <v>20079890000</v>
      </c>
      <c r="AB594" s="31" t="n">
        <v>18401024702.5</v>
      </c>
      <c r="AC594" s="36" t="n">
        <v>0.02038840166682351</v>
      </c>
      <c r="AD594" s="29" t="inlineStr">
        <is>
          <t>yfinance_download</t>
        </is>
      </c>
      <c r="AE594" s="29" t="inlineStr">
        <is>
          <t>319660.KQ</t>
        </is>
      </c>
    </row>
    <row r="595" ht="24" customHeight="1">
      <c r="A595" s="24" t="inlineStr">
        <is>
          <t>2025-11-17</t>
        </is>
      </c>
      <c r="B595" s="30" t="n">
        <v>34800</v>
      </c>
      <c r="C595" s="30" t="n">
        <v>35550</v>
      </c>
      <c r="D595" s="30" t="n">
        <v>34350</v>
      </c>
      <c r="E595" s="30" t="n">
        <v>35400</v>
      </c>
      <c r="F595" s="30" t="n">
        <v>35004.46875</v>
      </c>
      <c r="G595" s="30" t="n">
        <v>294372</v>
      </c>
      <c r="H595" s="35" t="n">
        <v>0.04117647058823537</v>
      </c>
      <c r="I595" s="35" t="n">
        <v>-0.115</v>
      </c>
      <c r="J595" s="30" t="n">
        <v>37385</v>
      </c>
      <c r="K595" s="30" t="n">
        <v>30998.66666666667</v>
      </c>
      <c r="L595" s="30" t="n">
        <v>25328.58333333333</v>
      </c>
      <c r="M595" s="35" t="n">
        <v>0.6424342355511212</v>
      </c>
      <c r="N595" s="35" t="n">
        <v>0.6658223666087528</v>
      </c>
      <c r="O595" s="35" t="n">
        <v>-0.053475935828877</v>
      </c>
      <c r="P595" s="35" t="n">
        <v>0.7101449275362319</v>
      </c>
      <c r="Q595" s="35" t="n">
        <v>0.9135135135135135</v>
      </c>
      <c r="R595" s="35" t="n">
        <v>-0.05309616156212382</v>
      </c>
      <c r="S595" s="35" t="n">
        <v>0.141984601488236</v>
      </c>
      <c r="T595" s="35" t="n">
        <v>0.3976304767670256</v>
      </c>
      <c r="U595" s="30" t="n">
        <v>40000</v>
      </c>
      <c r="V595" s="30" t="n">
        <v>16360</v>
      </c>
      <c r="W595" s="35" t="n">
        <v>-0.115</v>
      </c>
      <c r="X595" s="35" t="n">
        <v>1.163814180929095</v>
      </c>
      <c r="Y595" s="30" t="n">
        <v>28966714</v>
      </c>
      <c r="Z595" s="30" t="n">
        <v>1025421675600</v>
      </c>
      <c r="AA595" s="30" t="n">
        <v>10420768800</v>
      </c>
      <c r="AB595" s="30" t="n">
        <v>16030373682.5</v>
      </c>
      <c r="AC595" s="35" t="n">
        <v>0.01016242297970008</v>
      </c>
      <c r="AD595" s="24" t="inlineStr">
        <is>
          <t>yfinance_download</t>
        </is>
      </c>
      <c r="AE595" s="24" t="inlineStr">
        <is>
          <t>319660.KQ</t>
        </is>
      </c>
    </row>
    <row r="596" ht="24" customHeight="1">
      <c r="A596" s="29" t="inlineStr">
        <is>
          <t>2025-11-18</t>
        </is>
      </c>
      <c r="B596" s="31" t="n">
        <v>34300</v>
      </c>
      <c r="C596" s="31" t="n">
        <v>34950</v>
      </c>
      <c r="D596" s="31" t="n">
        <v>33000</v>
      </c>
      <c r="E596" s="31" t="n">
        <v>33500</v>
      </c>
      <c r="F596" s="31" t="n">
        <v>33125.69921875</v>
      </c>
      <c r="G596" s="31" t="n">
        <v>276240</v>
      </c>
      <c r="H596" s="36" t="n">
        <v>-0.0536723163841808</v>
      </c>
      <c r="I596" s="36" t="n">
        <v>-0.1625</v>
      </c>
      <c r="J596" s="31" t="n">
        <v>37267.5</v>
      </c>
      <c r="K596" s="31" t="n">
        <v>31216.16666666667</v>
      </c>
      <c r="L596" s="31" t="n">
        <v>25459.75</v>
      </c>
      <c r="M596" s="36" t="n">
        <v>0.6537685114548425</v>
      </c>
      <c r="N596" s="36" t="n">
        <v>0.6770310968397593</v>
      </c>
      <c r="O596" s="36" t="n">
        <v>-0.06555090655509066</v>
      </c>
      <c r="P596" s="36" t="n">
        <v>0.6381418092909537</v>
      </c>
      <c r="Q596" s="36" t="n">
        <v>0.8862612612612613</v>
      </c>
      <c r="R596" s="36" t="n">
        <v>-0.1010934460320655</v>
      </c>
      <c r="S596" s="36" t="n">
        <v>0.07316187659172324</v>
      </c>
      <c r="T596" s="36" t="n">
        <v>0.3158023939748034</v>
      </c>
      <c r="U596" s="31" t="n">
        <v>40000</v>
      </c>
      <c r="V596" s="31" t="n">
        <v>16360</v>
      </c>
      <c r="W596" s="36" t="n">
        <v>-0.1625</v>
      </c>
      <c r="X596" s="36" t="n">
        <v>1.047677261613692</v>
      </c>
      <c r="Y596" s="31" t="n">
        <v>28966714</v>
      </c>
      <c r="Z596" s="31" t="n">
        <v>970384919000</v>
      </c>
      <c r="AA596" s="31" t="n">
        <v>9254040000</v>
      </c>
      <c r="AB596" s="31" t="n">
        <v>15668457567.5</v>
      </c>
      <c r="AC596" s="36" t="n">
        <v>0.009536463127988904</v>
      </c>
      <c r="AD596" s="29" t="inlineStr">
        <is>
          <t>yfinance_download</t>
        </is>
      </c>
      <c r="AE596" s="29" t="inlineStr">
        <is>
          <t>319660.KQ</t>
        </is>
      </c>
    </row>
    <row r="597" ht="24" customHeight="1">
      <c r="A597" s="24" t="inlineStr">
        <is>
          <t>2025-11-19</t>
        </is>
      </c>
      <c r="B597" s="30" t="n">
        <v>33000</v>
      </c>
      <c r="C597" s="30" t="n">
        <v>33750</v>
      </c>
      <c r="D597" s="30" t="n">
        <v>31700</v>
      </c>
      <c r="E597" s="30" t="n">
        <v>32800</v>
      </c>
      <c r="F597" s="30" t="n">
        <v>32433.51953125</v>
      </c>
      <c r="G597" s="30" t="n">
        <v>326553</v>
      </c>
      <c r="H597" s="35" t="n">
        <v>-0.0208955223880597</v>
      </c>
      <c r="I597" s="35" t="n">
        <v>-0.18</v>
      </c>
      <c r="J597" s="30" t="n">
        <v>37090</v>
      </c>
      <c r="K597" s="30" t="n">
        <v>31428.66666666667</v>
      </c>
      <c r="L597" s="30" t="n">
        <v>25584.33333333333</v>
      </c>
      <c r="M597" s="35" t="n">
        <v>0.6537904353377385</v>
      </c>
      <c r="N597" s="35" t="n">
        <v>0.6772784065604369</v>
      </c>
      <c r="O597" s="35" t="n">
        <v>-0.09766162310866577</v>
      </c>
      <c r="P597" s="35" t="n">
        <v>0.6359102244389028</v>
      </c>
      <c r="Q597" s="35" t="n">
        <v>0.8375350140056022</v>
      </c>
      <c r="R597" s="35" t="n">
        <v>-0.1156645996225397</v>
      </c>
      <c r="S597" s="35" t="n">
        <v>0.0436332011115117</v>
      </c>
      <c r="T597" s="35" t="n">
        <v>0.2820345784529597</v>
      </c>
      <c r="U597" s="30" t="n">
        <v>40000</v>
      </c>
      <c r="V597" s="30" t="n">
        <v>16360</v>
      </c>
      <c r="W597" s="35" t="n">
        <v>-0.18</v>
      </c>
      <c r="X597" s="35" t="n">
        <v>1.004889975550122</v>
      </c>
      <c r="Y597" s="30" t="n">
        <v>28966714</v>
      </c>
      <c r="Z597" s="30" t="n">
        <v>950108219200</v>
      </c>
      <c r="AA597" s="30" t="n">
        <v>10710938400</v>
      </c>
      <c r="AB597" s="30" t="n">
        <v>15262334110</v>
      </c>
      <c r="AC597" s="35" t="n">
        <v>0.01127338779262294</v>
      </c>
      <c r="AD597" s="24" t="inlineStr">
        <is>
          <t>yfinance_download</t>
        </is>
      </c>
      <c r="AE597" s="24" t="inlineStr">
        <is>
          <t>319660.KQ</t>
        </is>
      </c>
    </row>
    <row r="598" ht="24" customHeight="1">
      <c r="A598" s="29" t="inlineStr">
        <is>
          <t>2025-11-20</t>
        </is>
      </c>
      <c r="B598" s="31" t="n">
        <v>34100</v>
      </c>
      <c r="C598" s="31" t="n">
        <v>34350</v>
      </c>
      <c r="D598" s="31" t="n">
        <v>32200</v>
      </c>
      <c r="E598" s="31" t="n">
        <v>32400</v>
      </c>
      <c r="F598" s="31" t="n">
        <v>32037.98828125</v>
      </c>
      <c r="G598" s="31" t="n">
        <v>421263</v>
      </c>
      <c r="H598" s="36" t="n">
        <v>-0.01219512195121952</v>
      </c>
      <c r="I598" s="36" t="n">
        <v>-0.1899999999999999</v>
      </c>
      <c r="J598" s="31" t="n">
        <v>36832.5</v>
      </c>
      <c r="K598" s="31" t="n">
        <v>31638</v>
      </c>
      <c r="L598" s="31" t="n">
        <v>25700.58333333333</v>
      </c>
      <c r="M598" s="36" t="n">
        <v>0.6390861057076851</v>
      </c>
      <c r="N598" s="36" t="n">
        <v>0.6775002224160201</v>
      </c>
      <c r="O598" s="36" t="n">
        <v>-0.1371504660452729</v>
      </c>
      <c r="P598" s="36" t="n">
        <v>0.6330645161290323</v>
      </c>
      <c r="Q598" s="36" t="n">
        <v>0.7560975609756098</v>
      </c>
      <c r="R598" s="36" t="n">
        <v>-0.1203420891875382</v>
      </c>
      <c r="S598" s="36" t="n">
        <v>0.02408496112270053</v>
      </c>
      <c r="T598" s="36" t="n">
        <v>0.2606717746354654</v>
      </c>
      <c r="U598" s="31" t="n">
        <v>40000</v>
      </c>
      <c r="V598" s="31" t="n">
        <v>16360</v>
      </c>
      <c r="W598" s="36" t="n">
        <v>-0.1899999999999999</v>
      </c>
      <c r="X598" s="36" t="n">
        <v>0.9804400977995109</v>
      </c>
      <c r="Y598" s="31" t="n">
        <v>28966714</v>
      </c>
      <c r="Z598" s="31" t="n">
        <v>938521533600</v>
      </c>
      <c r="AA598" s="31" t="n">
        <v>13648921200</v>
      </c>
      <c r="AB598" s="31" t="n">
        <v>14892762472.5</v>
      </c>
      <c r="AC598" s="36" t="n">
        <v>0.01454300270303356</v>
      </c>
      <c r="AD598" s="29" t="inlineStr">
        <is>
          <t>yfinance_download</t>
        </is>
      </c>
      <c r="AE598" s="29" t="inlineStr">
        <is>
          <t>319660.KQ</t>
        </is>
      </c>
    </row>
    <row r="599" ht="24" customHeight="1">
      <c r="A599" s="24" t="inlineStr">
        <is>
          <t>2025-11-21</t>
        </is>
      </c>
      <c r="B599" s="30" t="n">
        <v>30100</v>
      </c>
      <c r="C599" s="30" t="n">
        <v>30950</v>
      </c>
      <c r="D599" s="30" t="n">
        <v>29600</v>
      </c>
      <c r="E599" s="30" t="n">
        <v>29800</v>
      </c>
      <c r="F599" s="30" t="n">
        <v>29467.0390625</v>
      </c>
      <c r="G599" s="30" t="n">
        <v>363603</v>
      </c>
      <c r="H599" s="35" t="n">
        <v>-0.08024691358024694</v>
      </c>
      <c r="I599" s="35" t="n">
        <v>-0.255</v>
      </c>
      <c r="J599" s="30" t="n">
        <v>36417.5</v>
      </c>
      <c r="K599" s="30" t="n">
        <v>31805</v>
      </c>
      <c r="L599" s="30" t="n">
        <v>25797.58333333333</v>
      </c>
      <c r="M599" s="35" t="n">
        <v>0.6844510262480353</v>
      </c>
      <c r="N599" s="35" t="n">
        <v>0.7014577326126138</v>
      </c>
      <c r="O599" s="35" t="n">
        <v>-0.2178477690288714</v>
      </c>
      <c r="P599" s="35" t="n">
        <v>0.506572295247725</v>
      </c>
      <c r="Q599" s="35" t="n">
        <v>0.6409691629955947</v>
      </c>
      <c r="R599" s="35" t="n">
        <v>-0.1817120889682158</v>
      </c>
      <c r="S599" s="35" t="n">
        <v>-0.06304040245244458</v>
      </c>
      <c r="T599" s="35" t="n">
        <v>0.1551469614401866</v>
      </c>
      <c r="U599" s="30" t="n">
        <v>40000</v>
      </c>
      <c r="V599" s="30" t="n">
        <v>16360</v>
      </c>
      <c r="W599" s="35" t="n">
        <v>-0.255</v>
      </c>
      <c r="X599" s="35" t="n">
        <v>0.8215158924205379</v>
      </c>
      <c r="Y599" s="30" t="n">
        <v>28966714</v>
      </c>
      <c r="Z599" s="30" t="n">
        <v>863208077200</v>
      </c>
      <c r="AA599" s="30" t="n">
        <v>10835369400</v>
      </c>
      <c r="AB599" s="30" t="n">
        <v>14732586067.5</v>
      </c>
      <c r="AC599" s="35" t="n">
        <v>0.01255244208922006</v>
      </c>
      <c r="AD599" s="24" t="inlineStr">
        <is>
          <t>yfinance_download</t>
        </is>
      </c>
      <c r="AE599" s="24" t="inlineStr">
        <is>
          <t>319660.KQ</t>
        </is>
      </c>
    </row>
    <row r="600" ht="24" customHeight="1">
      <c r="A600" s="29" t="inlineStr">
        <is>
          <t>2025-11-24</t>
        </is>
      </c>
      <c r="B600" s="31" t="n">
        <v>30200</v>
      </c>
      <c r="C600" s="31" t="n">
        <v>30250</v>
      </c>
      <c r="D600" s="31" t="n">
        <v>29400</v>
      </c>
      <c r="E600" s="31" t="n">
        <v>29700</v>
      </c>
      <c r="F600" s="31" t="n">
        <v>29368.15625</v>
      </c>
      <c r="G600" s="31" t="n">
        <v>196726</v>
      </c>
      <c r="H600" s="36" t="n">
        <v>-0.003355704697986628</v>
      </c>
      <c r="I600" s="36" t="n">
        <v>-0.2575</v>
      </c>
      <c r="J600" s="31" t="n">
        <v>35997.5</v>
      </c>
      <c r="K600" s="31" t="n">
        <v>31964.16666666667</v>
      </c>
      <c r="L600" s="31" t="n">
        <v>25889.41666666667</v>
      </c>
      <c r="M600" s="36" t="n">
        <v>0.683818326499689</v>
      </c>
      <c r="N600" s="36" t="n">
        <v>0.7014500216755717</v>
      </c>
      <c r="O600" s="36" t="n">
        <v>-0.2204724409448819</v>
      </c>
      <c r="P600" s="36" t="n">
        <v>0.4739454094292803</v>
      </c>
      <c r="Q600" s="36" t="n">
        <v>0.5899357601713062</v>
      </c>
      <c r="R600" s="36" t="n">
        <v>-0.174942704354469</v>
      </c>
      <c r="S600" s="36" t="n">
        <v>-0.07083452824777747</v>
      </c>
      <c r="T600" s="36" t="n">
        <v>0.1471869135715045</v>
      </c>
      <c r="U600" s="31" t="n">
        <v>40000</v>
      </c>
      <c r="V600" s="31" t="n">
        <v>16360</v>
      </c>
      <c r="W600" s="36" t="n">
        <v>-0.2575</v>
      </c>
      <c r="X600" s="36" t="n">
        <v>0.815403422982885</v>
      </c>
      <c r="Y600" s="31" t="n">
        <v>28966714</v>
      </c>
      <c r="Z600" s="31" t="n">
        <v>860311405800</v>
      </c>
      <c r="AA600" s="31" t="n">
        <v>5842762200</v>
      </c>
      <c r="AB600" s="31" t="n">
        <v>14518344697.5</v>
      </c>
      <c r="AC600" s="36" t="n">
        <v>0.006791450352290564</v>
      </c>
      <c r="AD600" s="29" t="inlineStr">
        <is>
          <t>yfinance_download</t>
        </is>
      </c>
      <c r="AE600" s="29" t="inlineStr">
        <is>
          <t>319660.KQ</t>
        </is>
      </c>
    </row>
    <row r="601" ht="24" customHeight="1">
      <c r="A601" s="24" t="inlineStr">
        <is>
          <t>2025-11-25</t>
        </is>
      </c>
      <c r="B601" s="30" t="n">
        <v>30600</v>
      </c>
      <c r="C601" s="30" t="n">
        <v>30700</v>
      </c>
      <c r="D601" s="30" t="n">
        <v>29200</v>
      </c>
      <c r="E601" s="30" t="n">
        <v>29500</v>
      </c>
      <c r="F601" s="30" t="n">
        <v>29170.390625</v>
      </c>
      <c r="G601" s="30" t="n">
        <v>222538</v>
      </c>
      <c r="H601" s="35" t="n">
        <v>-0.006734006734006703</v>
      </c>
      <c r="I601" s="35" t="n">
        <v>-0.2625</v>
      </c>
      <c r="J601" s="30" t="n">
        <v>35630</v>
      </c>
      <c r="K601" s="30" t="n">
        <v>32096.66666666667</v>
      </c>
      <c r="L601" s="30" t="n">
        <v>25977.58333333333</v>
      </c>
      <c r="M601" s="35" t="n">
        <v>0.6792841275366674</v>
      </c>
      <c r="N601" s="35" t="n">
        <v>0.6899519134834028</v>
      </c>
      <c r="O601" s="35" t="n">
        <v>-0.1994572591587517</v>
      </c>
      <c r="P601" s="35" t="n">
        <v>0.3689095127610209</v>
      </c>
      <c r="Q601" s="35" t="n">
        <v>0.5591966173361522</v>
      </c>
      <c r="R601" s="35" t="n">
        <v>-0.172046028627561</v>
      </c>
      <c r="S601" s="35" t="n">
        <v>-0.08090144355592488</v>
      </c>
      <c r="T601" s="35" t="n">
        <v>0.1355944708739265</v>
      </c>
      <c r="U601" s="30" t="n">
        <v>40000</v>
      </c>
      <c r="V601" s="30" t="n">
        <v>16360</v>
      </c>
      <c r="W601" s="35" t="n">
        <v>-0.2625</v>
      </c>
      <c r="X601" s="35" t="n">
        <v>0.8031784841075795</v>
      </c>
      <c r="Y601" s="30" t="n">
        <v>28966714</v>
      </c>
      <c r="Z601" s="30" t="n">
        <v>854518063000</v>
      </c>
      <c r="AA601" s="30" t="n">
        <v>6564871000</v>
      </c>
      <c r="AB601" s="30" t="n">
        <v>14169966972.5</v>
      </c>
      <c r="AC601" s="35" t="n">
        <v>0.007682542106778145</v>
      </c>
      <c r="AD601" s="24" t="inlineStr">
        <is>
          <t>yfinance_download</t>
        </is>
      </c>
      <c r="AE601" s="24" t="inlineStr">
        <is>
          <t>319660.KQ</t>
        </is>
      </c>
    </row>
    <row r="602" ht="24" customHeight="1">
      <c r="A602" s="29" t="inlineStr">
        <is>
          <t>2025-11-26</t>
        </is>
      </c>
      <c r="B602" s="31" t="n">
        <v>29800</v>
      </c>
      <c r="C602" s="31" t="n">
        <v>29800</v>
      </c>
      <c r="D602" s="31" t="n">
        <v>28850</v>
      </c>
      <c r="E602" s="31" t="n">
        <v>29450</v>
      </c>
      <c r="F602" s="31" t="n">
        <v>29120.94921875</v>
      </c>
      <c r="G602" s="31" t="n">
        <v>292528</v>
      </c>
      <c r="H602" s="36" t="n">
        <v>-0.001694915254237261</v>
      </c>
      <c r="I602" s="36" t="n">
        <v>-0.26375</v>
      </c>
      <c r="J602" s="31" t="n">
        <v>35200</v>
      </c>
      <c r="K602" s="31" t="n">
        <v>32228.33333333333</v>
      </c>
      <c r="L602" s="31" t="n">
        <v>26070.5</v>
      </c>
      <c r="M602" s="36" t="n">
        <v>0.6613375726578324</v>
      </c>
      <c r="N602" s="36" t="n">
        <v>0.6900253243378885</v>
      </c>
      <c r="O602" s="36" t="n">
        <v>-0.2260183968462549</v>
      </c>
      <c r="P602" s="36" t="n">
        <v>0.3665893271461718</v>
      </c>
      <c r="Q602" s="36" t="n">
        <v>0.6092896174863387</v>
      </c>
      <c r="R602" s="36" t="n">
        <v>-0.1633522727272727</v>
      </c>
      <c r="S602" s="36" t="n">
        <v>-0.08620778817810415</v>
      </c>
      <c r="T602" s="36" t="n">
        <v>0.1296292744673098</v>
      </c>
      <c r="U602" s="31" t="n">
        <v>40000</v>
      </c>
      <c r="V602" s="31" t="n">
        <v>16360</v>
      </c>
      <c r="W602" s="36" t="n">
        <v>-0.26375</v>
      </c>
      <c r="X602" s="36" t="n">
        <v>0.800122249388753</v>
      </c>
      <c r="Y602" s="31" t="n">
        <v>28966714</v>
      </c>
      <c r="Z602" s="31" t="n">
        <v>853069727300</v>
      </c>
      <c r="AA602" s="31" t="n">
        <v>8614949600</v>
      </c>
      <c r="AB602" s="31" t="n">
        <v>13742171375</v>
      </c>
      <c r="AC602" s="36" t="n">
        <v>0.0100987637051272</v>
      </c>
      <c r="AD602" s="29" t="inlineStr">
        <is>
          <t>yfinance_download</t>
        </is>
      </c>
      <c r="AE602" s="29" t="inlineStr">
        <is>
          <t>319660.KQ</t>
        </is>
      </c>
    </row>
    <row r="603" ht="24" customHeight="1">
      <c r="A603" s="24" t="inlineStr">
        <is>
          <t>2025-11-27</t>
        </is>
      </c>
      <c r="B603" s="30" t="n">
        <v>29900</v>
      </c>
      <c r="C603" s="30" t="n">
        <v>30050</v>
      </c>
      <c r="D603" s="30" t="n">
        <v>29050</v>
      </c>
      <c r="E603" s="30" t="n">
        <v>29300</v>
      </c>
      <c r="F603" s="30" t="n">
        <v>28972.625</v>
      </c>
      <c r="G603" s="30" t="n">
        <v>232967</v>
      </c>
      <c r="H603" s="35" t="n">
        <v>-0.005093378607809895</v>
      </c>
      <c r="I603" s="35" t="n">
        <v>-0.2675</v>
      </c>
      <c r="J603" s="30" t="n">
        <v>34745</v>
      </c>
      <c r="K603" s="30" t="n">
        <v>32345.83333333333</v>
      </c>
      <c r="L603" s="30" t="n">
        <v>26161.41666666667</v>
      </c>
      <c r="M603" s="35" t="n">
        <v>0.6572242877451598</v>
      </c>
      <c r="N603" s="35" t="n">
        <v>0.6881918295764047</v>
      </c>
      <c r="O603" s="35" t="n">
        <v>-0.2369791666666666</v>
      </c>
      <c r="P603" s="35" t="n">
        <v>0.3168539325842696</v>
      </c>
      <c r="Q603" s="35" t="n">
        <v>0.5932572050027189</v>
      </c>
      <c r="R603" s="35" t="n">
        <v>-0.15671319614333</v>
      </c>
      <c r="S603" s="35" t="n">
        <v>-0.09416462707716089</v>
      </c>
      <c r="T603" s="35" t="n">
        <v>0.1199699302726343</v>
      </c>
      <c r="U603" s="30" t="n">
        <v>40000</v>
      </c>
      <c r="V603" s="30" t="n">
        <v>16360</v>
      </c>
      <c r="W603" s="35" t="n">
        <v>-0.2675</v>
      </c>
      <c r="X603" s="35" t="n">
        <v>0.7909535452322738</v>
      </c>
      <c r="Y603" s="30" t="n">
        <v>28966714</v>
      </c>
      <c r="Z603" s="30" t="n">
        <v>848724720200</v>
      </c>
      <c r="AA603" s="30" t="n">
        <v>6825933100</v>
      </c>
      <c r="AB603" s="30" t="n">
        <v>13461829630</v>
      </c>
      <c r="AC603" s="35" t="n">
        <v>0.008042576040899909</v>
      </c>
      <c r="AD603" s="24" t="inlineStr">
        <is>
          <t>yfinance_download</t>
        </is>
      </c>
      <c r="AE603" s="24" t="inlineStr">
        <is>
          <t>319660.KQ</t>
        </is>
      </c>
    </row>
    <row r="604" ht="24" customHeight="1">
      <c r="A604" s="29" t="inlineStr">
        <is>
          <t>2025-11-28</t>
        </is>
      </c>
      <c r="B604" s="31" t="n">
        <v>29450</v>
      </c>
      <c r="C604" s="31" t="n">
        <v>29750</v>
      </c>
      <c r="D604" s="31" t="n">
        <v>28900</v>
      </c>
      <c r="E604" s="31" t="n">
        <v>29700</v>
      </c>
      <c r="F604" s="31" t="n">
        <v>29368.15625</v>
      </c>
      <c r="G604" s="31" t="n">
        <v>235087</v>
      </c>
      <c r="H604" s="36" t="n">
        <v>0.01365187713310578</v>
      </c>
      <c r="I604" s="36" t="n">
        <v>-0.2575</v>
      </c>
      <c r="J604" s="31" t="n">
        <v>34342.5</v>
      </c>
      <c r="K604" s="31" t="n">
        <v>32432.5</v>
      </c>
      <c r="L604" s="31" t="n">
        <v>26250.91666666667</v>
      </c>
      <c r="M604" s="36" t="n">
        <v>0.6634943182295143</v>
      </c>
      <c r="N604" s="36" t="n">
        <v>0.6590134601736292</v>
      </c>
      <c r="O604" s="36" t="n">
        <v>-0.2132450331125828</v>
      </c>
      <c r="P604" s="36" t="n">
        <v>0.2122448979591838</v>
      </c>
      <c r="Q604" s="36" t="n">
        <v>0.5664556962025316</v>
      </c>
      <c r="R604" s="36" t="n">
        <v>-0.1351823542258135</v>
      </c>
      <c r="S604" s="36" t="n">
        <v>-0.08425190780852543</v>
      </c>
      <c r="T604" s="36" t="n">
        <v>0.1313890626041629</v>
      </c>
      <c r="U604" s="31" t="n">
        <v>40000</v>
      </c>
      <c r="V604" s="31" t="n">
        <v>16360</v>
      </c>
      <c r="W604" s="36" t="n">
        <v>-0.2575</v>
      </c>
      <c r="X604" s="36" t="n">
        <v>0.815403422982885</v>
      </c>
      <c r="Y604" s="31" t="n">
        <v>28966714</v>
      </c>
      <c r="Z604" s="31" t="n">
        <v>860311405800</v>
      </c>
      <c r="AA604" s="31" t="n">
        <v>6982083900</v>
      </c>
      <c r="AB604" s="31" t="n">
        <v>13449573837.5</v>
      </c>
      <c r="AC604" s="36" t="n">
        <v>0.008115763493228813</v>
      </c>
      <c r="AD604" s="29" t="inlineStr">
        <is>
          <t>yfinance_download</t>
        </is>
      </c>
      <c r="AE604" s="29" t="inlineStr">
        <is>
          <t>319660.KQ</t>
        </is>
      </c>
    </row>
    <row r="605" ht="24" customHeight="1">
      <c r="A605" s="24" t="inlineStr">
        <is>
          <t>2025-12-01</t>
        </is>
      </c>
      <c r="B605" s="30" t="n">
        <v>30350</v>
      </c>
      <c r="C605" s="30" t="n">
        <v>31650</v>
      </c>
      <c r="D605" s="30" t="n">
        <v>29800</v>
      </c>
      <c r="E605" s="30" t="n">
        <v>31300</v>
      </c>
      <c r="F605" s="30" t="n">
        <v>30950.279296875</v>
      </c>
      <c r="G605" s="30" t="n">
        <v>507780</v>
      </c>
      <c r="H605" s="35" t="n">
        <v>0.05387205387205385</v>
      </c>
      <c r="I605" s="35" t="n">
        <v>-0.2175</v>
      </c>
      <c r="J605" s="30" t="n">
        <v>34015</v>
      </c>
      <c r="K605" s="30" t="n">
        <v>32561.66666666667</v>
      </c>
      <c r="L605" s="30" t="n">
        <v>26349</v>
      </c>
      <c r="M605" s="35" t="n">
        <v>0.7013856322209492</v>
      </c>
      <c r="N605" s="35" t="n">
        <v>0.6606477142076077</v>
      </c>
      <c r="O605" s="35" t="n">
        <v>-0.1730515191545574</v>
      </c>
      <c r="P605" s="35" t="n">
        <v>0.3290870488322717</v>
      </c>
      <c r="Q605" s="35" t="n">
        <v>0.6026625704045059</v>
      </c>
      <c r="R605" s="35" t="n">
        <v>-0.07981772747317362</v>
      </c>
      <c r="S605" s="35" t="n">
        <v>-0.0387469928852946</v>
      </c>
      <c r="T605" s="35" t="n">
        <v>0.1879008691031918</v>
      </c>
      <c r="U605" s="30" t="n">
        <v>40000</v>
      </c>
      <c r="V605" s="30" t="n">
        <v>16360</v>
      </c>
      <c r="W605" s="35" t="n">
        <v>-0.2175</v>
      </c>
      <c r="X605" s="35" t="n">
        <v>0.91320293398533</v>
      </c>
      <c r="Y605" s="30" t="n">
        <v>28966714</v>
      </c>
      <c r="Z605" s="30" t="n">
        <v>906658148200</v>
      </c>
      <c r="AA605" s="30" t="n">
        <v>15893514000</v>
      </c>
      <c r="AB605" s="30" t="n">
        <v>13661703972.5</v>
      </c>
      <c r="AC605" s="35" t="n">
        <v>0.0175297757280995</v>
      </c>
      <c r="AD605" s="24" t="inlineStr">
        <is>
          <t>yfinance_download</t>
        </is>
      </c>
      <c r="AE605" s="24" t="inlineStr">
        <is>
          <t>319660.KQ</t>
        </is>
      </c>
    </row>
    <row r="606" ht="24" customHeight="1">
      <c r="A606" s="29" t="inlineStr">
        <is>
          <t>2025-12-02</t>
        </is>
      </c>
      <c r="B606" s="31" t="n">
        <v>32600</v>
      </c>
      <c r="C606" s="31" t="n">
        <v>33150</v>
      </c>
      <c r="D606" s="31" t="n">
        <v>32000</v>
      </c>
      <c r="E606" s="31" t="n">
        <v>32600</v>
      </c>
      <c r="F606" s="31" t="n">
        <v>32235.75390625</v>
      </c>
      <c r="G606" s="31" t="n">
        <v>510703</v>
      </c>
      <c r="H606" s="36" t="n">
        <v>0.04153354632587858</v>
      </c>
      <c r="I606" s="36" t="n">
        <v>-0.1850000000000001</v>
      </c>
      <c r="J606" s="31" t="n">
        <v>33725</v>
      </c>
      <c r="K606" s="31" t="n">
        <v>32719.16666666667</v>
      </c>
      <c r="L606" s="31" t="n">
        <v>26457.33333333333</v>
      </c>
      <c r="M606" s="36" t="n">
        <v>0.7194723685068815</v>
      </c>
      <c r="N606" s="36" t="n">
        <v>0.662985918094273</v>
      </c>
      <c r="O606" s="36" t="n">
        <v>-0.1510416666666666</v>
      </c>
      <c r="P606" s="36" t="n">
        <v>0.4082073434125271</v>
      </c>
      <c r="Q606" s="36" t="n">
        <v>0.6632653061224489</v>
      </c>
      <c r="R606" s="36" t="n">
        <v>-0.03335804299481093</v>
      </c>
      <c r="S606" s="36" t="n">
        <v>-0.00364210579935309</v>
      </c>
      <c r="T606" s="36" t="n">
        <v>0.2321725545532429</v>
      </c>
      <c r="U606" s="31" t="n">
        <v>40000</v>
      </c>
      <c r="V606" s="31" t="n">
        <v>16360</v>
      </c>
      <c r="W606" s="36" t="n">
        <v>-0.1850000000000001</v>
      </c>
      <c r="X606" s="36" t="n">
        <v>0.9926650366748166</v>
      </c>
      <c r="Y606" s="31" t="n">
        <v>28966714</v>
      </c>
      <c r="Z606" s="31" t="n">
        <v>944314876400</v>
      </c>
      <c r="AA606" s="31" t="n">
        <v>16648917800</v>
      </c>
      <c r="AB606" s="31" t="n">
        <v>13458930022.5</v>
      </c>
      <c r="AC606" s="36" t="n">
        <v>0.01763068465411714</v>
      </c>
      <c r="AD606" s="29" t="inlineStr">
        <is>
          <t>yfinance_download</t>
        </is>
      </c>
      <c r="AE606" s="29" t="inlineStr">
        <is>
          <t>319660.KQ</t>
        </is>
      </c>
    </row>
    <row r="607" ht="24" customHeight="1">
      <c r="A607" s="24" t="inlineStr">
        <is>
          <t>2025-12-03</t>
        </is>
      </c>
      <c r="B607" s="30" t="n">
        <v>33450</v>
      </c>
      <c r="C607" s="30" t="n">
        <v>33600</v>
      </c>
      <c r="D607" s="30" t="n">
        <v>32000</v>
      </c>
      <c r="E607" s="30" t="n">
        <v>32500</v>
      </c>
      <c r="F607" s="30" t="n">
        <v>32136.87109375</v>
      </c>
      <c r="G607" s="30" t="n">
        <v>259631</v>
      </c>
      <c r="H607" s="35" t="n">
        <v>-0.003067484662576669</v>
      </c>
      <c r="I607" s="35" t="n">
        <v>-0.1875</v>
      </c>
      <c r="J607" s="30" t="n">
        <v>33505</v>
      </c>
      <c r="K607" s="30" t="n">
        <v>32876.66666666666</v>
      </c>
      <c r="L607" s="30" t="n">
        <v>26566.08333333333</v>
      </c>
      <c r="M607" s="35" t="n">
        <v>0.7095878191851245</v>
      </c>
      <c r="N607" s="35" t="n">
        <v>0.662903028338259</v>
      </c>
      <c r="O607" s="35" t="n">
        <v>-0.1192411924119241</v>
      </c>
      <c r="P607" s="35" t="n">
        <v>0.4099783080260304</v>
      </c>
      <c r="Q607" s="35" t="n">
        <v>0.6709511568123394</v>
      </c>
      <c r="R607" s="35" t="n">
        <v>-0.0299955230562603</v>
      </c>
      <c r="S607" s="35" t="n">
        <v>-0.01145696035688926</v>
      </c>
      <c r="T607" s="35" t="n">
        <v>0.223364377511426</v>
      </c>
      <c r="U607" s="30" t="n">
        <v>40000</v>
      </c>
      <c r="V607" s="30" t="n">
        <v>16360</v>
      </c>
      <c r="W607" s="35" t="n">
        <v>-0.1875</v>
      </c>
      <c r="X607" s="35" t="n">
        <v>0.9865525672371638</v>
      </c>
      <c r="Y607" s="30" t="n">
        <v>28966714</v>
      </c>
      <c r="Z607" s="30" t="n">
        <v>941418205000</v>
      </c>
      <c r="AA607" s="30" t="n">
        <v>8438007500</v>
      </c>
      <c r="AB607" s="30" t="n">
        <v>12988640057.5</v>
      </c>
      <c r="AC607" s="35" t="n">
        <v>0.00896308086585175</v>
      </c>
      <c r="AD607" s="24" t="inlineStr">
        <is>
          <t>yfinance_download</t>
        </is>
      </c>
      <c r="AE607" s="24" t="inlineStr">
        <is>
          <t>319660.KQ</t>
        </is>
      </c>
    </row>
    <row r="608" ht="24" customHeight="1">
      <c r="A608" s="29" t="inlineStr">
        <is>
          <t>2025-12-04</t>
        </is>
      </c>
      <c r="B608" s="31" t="n">
        <v>31900</v>
      </c>
      <c r="C608" s="31" t="n">
        <v>32050</v>
      </c>
      <c r="D608" s="31" t="n">
        <v>30950</v>
      </c>
      <c r="E608" s="31" t="n">
        <v>31250</v>
      </c>
      <c r="F608" s="31" t="n">
        <v>30900.837890625</v>
      </c>
      <c r="G608" s="31" t="n">
        <v>262061</v>
      </c>
      <c r="H608" s="36" t="n">
        <v>-0.03846153846153844</v>
      </c>
      <c r="I608" s="36" t="n">
        <v>-0.21875</v>
      </c>
      <c r="J608" s="31" t="n">
        <v>33067.5</v>
      </c>
      <c r="K608" s="31" t="n">
        <v>33005</v>
      </c>
      <c r="L608" s="31" t="n">
        <v>26660.58333333333</v>
      </c>
      <c r="M608" s="36" t="n">
        <v>0.63413706111477</v>
      </c>
      <c r="N608" s="36" t="n">
        <v>0.6684896841616921</v>
      </c>
      <c r="O608" s="36" t="n">
        <v>-0.21875</v>
      </c>
      <c r="P608" s="36" t="n">
        <v>0.3269639065817409</v>
      </c>
      <c r="Q608" s="36" t="n">
        <v>0.5695630336514315</v>
      </c>
      <c r="R608" s="36" t="n">
        <v>-0.05496333257730401</v>
      </c>
      <c r="S608" s="36" t="n">
        <v>-0.05317376155128006</v>
      </c>
      <c r="T608" s="36" t="n">
        <v>0.1721423949838556</v>
      </c>
      <c r="U608" s="31" t="n">
        <v>40000</v>
      </c>
      <c r="V608" s="31" t="n">
        <v>16360</v>
      </c>
      <c r="W608" s="36" t="n">
        <v>-0.21875</v>
      </c>
      <c r="X608" s="36" t="n">
        <v>0.9101466992665037</v>
      </c>
      <c r="Y608" s="31" t="n">
        <v>28966714</v>
      </c>
      <c r="Z608" s="31" t="n">
        <v>905209812500</v>
      </c>
      <c r="AA608" s="31" t="n">
        <v>8189406250</v>
      </c>
      <c r="AB608" s="31" t="n">
        <v>11294676370</v>
      </c>
      <c r="AC608" s="36" t="n">
        <v>0.009046970256964597</v>
      </c>
      <c r="AD608" s="29" t="inlineStr">
        <is>
          <t>yfinance_download</t>
        </is>
      </c>
      <c r="AE608" s="29" t="inlineStr">
        <is>
          <t>319660.KQ</t>
        </is>
      </c>
    </row>
    <row r="609" ht="24" customHeight="1">
      <c r="A609" s="24" t="inlineStr">
        <is>
          <t>2025-12-05</t>
        </is>
      </c>
      <c r="B609" s="30" t="n">
        <v>31250</v>
      </c>
      <c r="C609" s="30" t="n">
        <v>31600</v>
      </c>
      <c r="D609" s="30" t="n">
        <v>30800</v>
      </c>
      <c r="E609" s="30" t="n">
        <v>31600</v>
      </c>
      <c r="F609" s="30" t="n">
        <v>31246.927734375</v>
      </c>
      <c r="G609" s="30" t="n">
        <v>162230</v>
      </c>
      <c r="H609" s="35" t="n">
        <v>0.0112000000000001</v>
      </c>
      <c r="I609" s="35" t="n">
        <v>-0.21</v>
      </c>
      <c r="J609" s="30" t="n">
        <v>32810</v>
      </c>
      <c r="K609" s="30" t="n">
        <v>33135</v>
      </c>
      <c r="L609" s="30" t="n">
        <v>26758.75</v>
      </c>
      <c r="M609" s="35" t="n">
        <v>0.5820283188162001</v>
      </c>
      <c r="N609" s="35" t="n">
        <v>0.66850952227501</v>
      </c>
      <c r="O609" s="35" t="n">
        <v>-0.1401360544217687</v>
      </c>
      <c r="P609" s="35" t="n">
        <v>0.3277310924369747</v>
      </c>
      <c r="Q609" s="35" t="n">
        <v>0.5943491422805247</v>
      </c>
      <c r="R609" s="35" t="n">
        <v>-0.03687900030478508</v>
      </c>
      <c r="S609" s="35" t="n">
        <v>-0.04632563754338315</v>
      </c>
      <c r="T609" s="35" t="n">
        <v>0.1809221282757976</v>
      </c>
      <c r="U609" s="30" t="n">
        <v>40000</v>
      </c>
      <c r="V609" s="30" t="n">
        <v>16360</v>
      </c>
      <c r="W609" s="35" t="n">
        <v>-0.21</v>
      </c>
      <c r="X609" s="35" t="n">
        <v>0.9315403422982884</v>
      </c>
      <c r="Y609" s="30" t="n">
        <v>28966714</v>
      </c>
      <c r="Z609" s="30" t="n">
        <v>915348162400</v>
      </c>
      <c r="AA609" s="30" t="n">
        <v>5126468000</v>
      </c>
      <c r="AB609" s="30" t="n">
        <v>10604347332.5</v>
      </c>
      <c r="AC609" s="35" t="n">
        <v>0.005600566222319867</v>
      </c>
      <c r="AD609" s="24" t="inlineStr">
        <is>
          <t>yfinance_download</t>
        </is>
      </c>
      <c r="AE609" s="24" t="inlineStr">
        <is>
          <t>319660.KQ</t>
        </is>
      </c>
    </row>
    <row r="610" ht="24" customHeight="1">
      <c r="A610" s="29" t="inlineStr">
        <is>
          <t>2025-12-08</t>
        </is>
      </c>
      <c r="B610" s="31" t="n">
        <v>31650</v>
      </c>
      <c r="C610" s="31" t="n">
        <v>31950</v>
      </c>
      <c r="D610" s="31" t="n">
        <v>31200</v>
      </c>
      <c r="E610" s="31" t="n">
        <v>31750</v>
      </c>
      <c r="F610" s="31" t="n">
        <v>31395.251953125</v>
      </c>
      <c r="G610" s="31" t="n">
        <v>142685</v>
      </c>
      <c r="H610" s="36" t="n">
        <v>0.004746835443038</v>
      </c>
      <c r="I610" s="36" t="n">
        <v>-0.20625</v>
      </c>
      <c r="J610" s="31" t="n">
        <v>32497.5</v>
      </c>
      <c r="K610" s="31" t="n">
        <v>33265</v>
      </c>
      <c r="L610" s="31" t="n">
        <v>26862.5</v>
      </c>
      <c r="M610" s="36" t="n">
        <v>0.5637447868515244</v>
      </c>
      <c r="N610" s="36" t="n">
        <v>0.668510128924416</v>
      </c>
      <c r="O610" s="36" t="n">
        <v>-0.1644736842105263</v>
      </c>
      <c r="P610" s="36" t="n">
        <v>0.3256784968684761</v>
      </c>
      <c r="Q610" s="36" t="n">
        <v>0.645077720207254</v>
      </c>
      <c r="R610" s="36" t="n">
        <v>-0.02300176936687437</v>
      </c>
      <c r="S610" s="36" t="n">
        <v>-0.04554336389598679</v>
      </c>
      <c r="T610" s="36" t="n">
        <v>0.181945090739879</v>
      </c>
      <c r="U610" s="31" t="n">
        <v>40000</v>
      </c>
      <c r="V610" s="31" t="n">
        <v>16360</v>
      </c>
      <c r="W610" s="36" t="n">
        <v>-0.20625</v>
      </c>
      <c r="X610" s="36" t="n">
        <v>0.9407090464547678</v>
      </c>
      <c r="Y610" s="31" t="n">
        <v>28966714</v>
      </c>
      <c r="Z610" s="31" t="n">
        <v>919693169500</v>
      </c>
      <c r="AA610" s="31" t="n">
        <v>4530248750</v>
      </c>
      <c r="AB610" s="31" t="n">
        <v>10250024070</v>
      </c>
      <c r="AC610" s="36" t="n">
        <v>0.004925826243183815</v>
      </c>
      <c r="AD610" s="29" t="inlineStr">
        <is>
          <t>yfinance_download</t>
        </is>
      </c>
      <c r="AE610" s="29" t="inlineStr">
        <is>
          <t>319660.KQ</t>
        </is>
      </c>
    </row>
    <row r="611" ht="24" customHeight="1">
      <c r="A611" s="24" t="inlineStr">
        <is>
          <t>2025-12-09</t>
        </is>
      </c>
      <c r="B611" s="30" t="n">
        <v>31650</v>
      </c>
      <c r="C611" s="30" t="n">
        <v>32100</v>
      </c>
      <c r="D611" s="30" t="n">
        <v>31200</v>
      </c>
      <c r="E611" s="30" t="n">
        <v>31400</v>
      </c>
      <c r="F611" s="30" t="n">
        <v>31049.162109375</v>
      </c>
      <c r="G611" s="30" t="n">
        <v>186366</v>
      </c>
      <c r="H611" s="35" t="n">
        <v>-0.01102362204724405</v>
      </c>
      <c r="I611" s="35" t="n">
        <v>-0.215</v>
      </c>
      <c r="J611" s="30" t="n">
        <v>32130</v>
      </c>
      <c r="K611" s="30" t="n">
        <v>33375.83333333334</v>
      </c>
      <c r="L611" s="30" t="n">
        <v>26962.08333333333</v>
      </c>
      <c r="M611" s="35" t="n">
        <v>0.5539173513324894</v>
      </c>
      <c r="N611" s="35" t="n">
        <v>0.6668085413123389</v>
      </c>
      <c r="O611" s="35" t="n">
        <v>-0.1896774193548387</v>
      </c>
      <c r="P611" s="35" t="n">
        <v>0.2686868686868686</v>
      </c>
      <c r="Q611" s="35" t="n">
        <v>0.6143958868894601</v>
      </c>
      <c r="R611" s="35" t="n">
        <v>-0.02272019919078738</v>
      </c>
      <c r="S611" s="35" t="n">
        <v>-0.0591995206112208</v>
      </c>
      <c r="T611" s="35" t="n">
        <v>0.1645984329845926</v>
      </c>
      <c r="U611" s="30" t="n">
        <v>40000</v>
      </c>
      <c r="V611" s="30" t="n">
        <v>16360</v>
      </c>
      <c r="W611" s="35" t="n">
        <v>-0.215</v>
      </c>
      <c r="X611" s="35" t="n">
        <v>0.9193154034229829</v>
      </c>
      <c r="Y611" s="30" t="n">
        <v>28966714</v>
      </c>
      <c r="Z611" s="30" t="n">
        <v>909554819600</v>
      </c>
      <c r="AA611" s="30" t="n">
        <v>5851892400</v>
      </c>
      <c r="AB611" s="30" t="n">
        <v>9928504815</v>
      </c>
      <c r="AC611" s="35" t="n">
        <v>0.006433798462607805</v>
      </c>
      <c r="AD611" s="24" t="inlineStr">
        <is>
          <t>yfinance_download</t>
        </is>
      </c>
      <c r="AE611" s="24" t="inlineStr">
        <is>
          <t>319660.KQ</t>
        </is>
      </c>
    </row>
    <row r="612" ht="24" customHeight="1">
      <c r="A612" s="29" t="inlineStr">
        <is>
          <t>2025-12-10</t>
        </is>
      </c>
      <c r="B612" s="31" t="n">
        <v>31400</v>
      </c>
      <c r="C612" s="31" t="n">
        <v>32900</v>
      </c>
      <c r="D612" s="31" t="n">
        <v>31400</v>
      </c>
      <c r="E612" s="31" t="n">
        <v>32350</v>
      </c>
      <c r="F612" s="31" t="n">
        <v>31988.546875</v>
      </c>
      <c r="G612" s="31" t="n">
        <v>241189</v>
      </c>
      <c r="H612" s="36" t="n">
        <v>0.03025477707006363</v>
      </c>
      <c r="I612" s="36" t="n">
        <v>-0.19125</v>
      </c>
      <c r="J612" s="31" t="n">
        <v>31845</v>
      </c>
      <c r="K612" s="31" t="n">
        <v>33484.16666666666</v>
      </c>
      <c r="L612" s="31" t="n">
        <v>27067.66666666667</v>
      </c>
      <c r="M612" s="36" t="n">
        <v>0.5707395695100046</v>
      </c>
      <c r="N612" s="36" t="n">
        <v>0.6638356450264549</v>
      </c>
      <c r="O612" s="36" t="n">
        <v>-0.1498028909329829</v>
      </c>
      <c r="P612" s="36" t="n">
        <v>0.2514506769825919</v>
      </c>
      <c r="Q612" s="36" t="n">
        <v>0.6438008130081301</v>
      </c>
      <c r="R612" s="36" t="n">
        <v>0.01585806249018695</v>
      </c>
      <c r="S612" s="36" t="n">
        <v>-0.03387173041985014</v>
      </c>
      <c r="T612" s="36" t="n">
        <v>0.1951528884400822</v>
      </c>
      <c r="U612" s="31" t="n">
        <v>40000</v>
      </c>
      <c r="V612" s="31" t="n">
        <v>16360</v>
      </c>
      <c r="W612" s="36" t="n">
        <v>-0.19125</v>
      </c>
      <c r="X612" s="36" t="n">
        <v>0.9773838630806846</v>
      </c>
      <c r="Y612" s="31" t="n">
        <v>28966714</v>
      </c>
      <c r="Z612" s="31" t="n">
        <v>937073197900</v>
      </c>
      <c r="AA612" s="31" t="n">
        <v>7802464150</v>
      </c>
      <c r="AB612" s="31" t="n">
        <v>9787670712.5</v>
      </c>
      <c r="AC612" s="36" t="n">
        <v>0.008326419075356632</v>
      </c>
      <c r="AD612" s="29" t="inlineStr">
        <is>
          <t>yfinance_download</t>
        </is>
      </c>
      <c r="AE612" s="29" t="inlineStr">
        <is>
          <t>319660.KQ</t>
        </is>
      </c>
    </row>
    <row r="613" ht="24" customHeight="1">
      <c r="A613" s="24" t="inlineStr">
        <is>
          <t>2025-12-11</t>
        </is>
      </c>
      <c r="B613" s="30" t="n">
        <v>32900</v>
      </c>
      <c r="C613" s="30" t="n">
        <v>33500</v>
      </c>
      <c r="D613" s="30" t="n">
        <v>32150</v>
      </c>
      <c r="E613" s="30" t="n">
        <v>32800</v>
      </c>
      <c r="F613" s="30" t="n">
        <v>32433.51953125</v>
      </c>
      <c r="G613" s="30" t="n">
        <v>434453</v>
      </c>
      <c r="H613" s="35" t="n">
        <v>0.01391035548686248</v>
      </c>
      <c r="I613" s="35" t="n">
        <v>-0.18</v>
      </c>
      <c r="J613" s="30" t="n">
        <v>31655</v>
      </c>
      <c r="K613" s="30" t="n">
        <v>33602.5</v>
      </c>
      <c r="L613" s="30" t="n">
        <v>27175.16666666667</v>
      </c>
      <c r="M613" s="35" t="n">
        <v>0.5635114396240485</v>
      </c>
      <c r="N613" s="35" t="n">
        <v>0.6637460594341272</v>
      </c>
      <c r="O613" s="35" t="n">
        <v>-0.1038251366120219</v>
      </c>
      <c r="P613" s="35" t="n">
        <v>0.2762645914396886</v>
      </c>
      <c r="Q613" s="35" t="n">
        <v>0.6482412060301508</v>
      </c>
      <c r="R613" s="35" t="n">
        <v>0.03617122097614911</v>
      </c>
      <c r="S613" s="35" t="n">
        <v>-0.02388215162562313</v>
      </c>
      <c r="T613" s="35" t="n">
        <v>0.2069843177901391</v>
      </c>
      <c r="U613" s="30" t="n">
        <v>40000</v>
      </c>
      <c r="V613" s="30" t="n">
        <v>16360</v>
      </c>
      <c r="W613" s="35" t="n">
        <v>-0.18</v>
      </c>
      <c r="X613" s="35" t="n">
        <v>1.004889975550122</v>
      </c>
      <c r="Y613" s="30" t="n">
        <v>28966714</v>
      </c>
      <c r="Z613" s="30" t="n">
        <v>950108219200</v>
      </c>
      <c r="AA613" s="30" t="n">
        <v>14250058400</v>
      </c>
      <c r="AB613" s="30" t="n">
        <v>9825575242.5</v>
      </c>
      <c r="AC613" s="35" t="n">
        <v>0.01499835293709877</v>
      </c>
      <c r="AD613" s="24" t="inlineStr">
        <is>
          <t>yfinance_download</t>
        </is>
      </c>
      <c r="AE613" s="24" t="inlineStr">
        <is>
          <t>319660.KQ</t>
        </is>
      </c>
    </row>
    <row r="614" ht="24" customHeight="1">
      <c r="A614" s="29" t="inlineStr">
        <is>
          <t>2025-12-12</t>
        </is>
      </c>
      <c r="B614" s="31" t="n">
        <v>32550</v>
      </c>
      <c r="C614" s="31" t="n">
        <v>32550</v>
      </c>
      <c r="D614" s="31" t="n">
        <v>30700</v>
      </c>
      <c r="E614" s="31" t="n">
        <v>31750</v>
      </c>
      <c r="F614" s="31" t="n">
        <v>31395.251953125</v>
      </c>
      <c r="G614" s="31" t="n">
        <v>652331</v>
      </c>
      <c r="H614" s="36" t="n">
        <v>-0.03201219512195119</v>
      </c>
      <c r="I614" s="36" t="n">
        <v>-0.20625</v>
      </c>
      <c r="J614" s="31" t="n">
        <v>31542.5</v>
      </c>
      <c r="K614" s="31" t="n">
        <v>33680.83333333334</v>
      </c>
      <c r="L614" s="31" t="n">
        <v>27277.16666666667</v>
      </c>
      <c r="M614" s="36" t="n">
        <v>0.5179025010593952</v>
      </c>
      <c r="N614" s="36" t="n">
        <v>0.6604527390792868</v>
      </c>
      <c r="O614" s="36" t="n">
        <v>-0.06617647058823528</v>
      </c>
      <c r="P614" s="36" t="n">
        <v>0.1737523105360443</v>
      </c>
      <c r="Q614" s="36" t="n">
        <v>0.6273705791901589</v>
      </c>
      <c r="R614" s="36" t="n">
        <v>0.006578425933264631</v>
      </c>
      <c r="S614" s="36" t="n">
        <v>-0.05732736224855883</v>
      </c>
      <c r="T614" s="36" t="n">
        <v>0.1639771970451476</v>
      </c>
      <c r="U614" s="31" t="n">
        <v>40000</v>
      </c>
      <c r="V614" s="31" t="n">
        <v>16360</v>
      </c>
      <c r="W614" s="36" t="n">
        <v>-0.20625</v>
      </c>
      <c r="X614" s="36" t="n">
        <v>0.9407090464547678</v>
      </c>
      <c r="Y614" s="31" t="n">
        <v>28966714</v>
      </c>
      <c r="Z614" s="31" t="n">
        <v>919693169500</v>
      </c>
      <c r="AA614" s="31" t="n">
        <v>20711509250</v>
      </c>
      <c r="AB614" s="31" t="n">
        <v>9857156205</v>
      </c>
      <c r="AC614" s="36" t="n">
        <v>0.02252002073828602</v>
      </c>
      <c r="AD614" s="29" t="inlineStr">
        <is>
          <t>yfinance_download</t>
        </is>
      </c>
      <c r="AE614" s="29" t="inlineStr">
        <is>
          <t>319660.KQ</t>
        </is>
      </c>
    </row>
    <row r="615" ht="24" customHeight="1">
      <c r="A615" s="24" t="inlineStr">
        <is>
          <t>2025-12-15</t>
        </is>
      </c>
      <c r="B615" s="30" t="n">
        <v>30650</v>
      </c>
      <c r="C615" s="30" t="n">
        <v>30800</v>
      </c>
      <c r="D615" s="30" t="n">
        <v>30200</v>
      </c>
      <c r="E615" s="30" t="n">
        <v>30350</v>
      </c>
      <c r="F615" s="30" t="n">
        <v>30010.89453125</v>
      </c>
      <c r="G615" s="30" t="n">
        <v>227207</v>
      </c>
      <c r="H615" s="35" t="n">
        <v>-0.04409448818897643</v>
      </c>
      <c r="I615" s="35" t="n">
        <v>-0.24125</v>
      </c>
      <c r="J615" s="30" t="n">
        <v>31290</v>
      </c>
      <c r="K615" s="30" t="n">
        <v>33698.33333333334</v>
      </c>
      <c r="L615" s="30" t="n">
        <v>27365.41666666667</v>
      </c>
      <c r="M615" s="35" t="n">
        <v>0.5100290156820286</v>
      </c>
      <c r="N615" s="35" t="n">
        <v>0.6462350587023311</v>
      </c>
      <c r="O615" s="35" t="n">
        <v>-0.1426553672316384</v>
      </c>
      <c r="P615" s="35" t="n">
        <v>0.03583617747440271</v>
      </c>
      <c r="Q615" s="35" t="n">
        <v>0.5359311740890689</v>
      </c>
      <c r="R615" s="35" t="n">
        <v>-0.03004154682007032</v>
      </c>
      <c r="S615" s="35" t="n">
        <v>-0.09936198625055648</v>
      </c>
      <c r="T615" s="35" t="n">
        <v>0.1090640559099836</v>
      </c>
      <c r="U615" s="30" t="n">
        <v>40000</v>
      </c>
      <c r="V615" s="30" t="n">
        <v>16360</v>
      </c>
      <c r="W615" s="35" t="n">
        <v>-0.24125</v>
      </c>
      <c r="X615" s="35" t="n">
        <v>0.8551344743276283</v>
      </c>
      <c r="Y615" s="30" t="n">
        <v>28966714</v>
      </c>
      <c r="Z615" s="30" t="n">
        <v>879139769900</v>
      </c>
      <c r="AA615" s="30" t="n">
        <v>6895732450</v>
      </c>
      <c r="AB615" s="30" t="n">
        <v>9680904387.5</v>
      </c>
      <c r="AC615" s="35" t="n">
        <v>0.007843727113817605</v>
      </c>
      <c r="AD615" s="24" t="inlineStr">
        <is>
          <t>yfinance_download</t>
        </is>
      </c>
      <c r="AE615" s="24" t="inlineStr">
        <is>
          <t>319660.KQ</t>
        </is>
      </c>
    </row>
    <row r="616" ht="24" customHeight="1">
      <c r="A616" s="29" t="inlineStr">
        <is>
          <t>2025-12-16</t>
        </is>
      </c>
      <c r="B616" s="31" t="n">
        <v>30200</v>
      </c>
      <c r="C616" s="31" t="n">
        <v>30300</v>
      </c>
      <c r="D616" s="31" t="n">
        <v>29450</v>
      </c>
      <c r="E616" s="31" t="n">
        <v>29500</v>
      </c>
      <c r="F616" s="31" t="n">
        <v>29170.390625</v>
      </c>
      <c r="G616" s="31" t="n">
        <v>196363</v>
      </c>
      <c r="H616" s="36" t="n">
        <v>-0.02800658978583193</v>
      </c>
      <c r="I616" s="36" t="n">
        <v>-0.2625</v>
      </c>
      <c r="J616" s="31" t="n">
        <v>31090</v>
      </c>
      <c r="K616" s="31" t="n">
        <v>33715.83333333334</v>
      </c>
      <c r="L616" s="31" t="n">
        <v>27453.33333333333</v>
      </c>
      <c r="M616" s="36" t="n">
        <v>0.4865894126037771</v>
      </c>
      <c r="N616" s="36" t="n">
        <v>0.6460366156408985</v>
      </c>
      <c r="O616" s="36" t="n">
        <v>-0.1194029850746269</v>
      </c>
      <c r="P616" s="36" t="n">
        <v>0.03690685413005279</v>
      </c>
      <c r="Q616" s="36" t="n">
        <v>0.5567282321899736</v>
      </c>
      <c r="R616" s="36" t="n">
        <v>-0.05114184625281437</v>
      </c>
      <c r="S616" s="36" t="n">
        <v>-0.1250401641167602</v>
      </c>
      <c r="T616" s="36" t="n">
        <v>0.07455075279261791</v>
      </c>
      <c r="U616" s="31" t="n">
        <v>40000</v>
      </c>
      <c r="V616" s="31" t="n">
        <v>16360</v>
      </c>
      <c r="W616" s="36" t="n">
        <v>-0.2625</v>
      </c>
      <c r="X616" s="36" t="n">
        <v>0.8031784841075795</v>
      </c>
      <c r="Y616" s="31" t="n">
        <v>28966714</v>
      </c>
      <c r="Z616" s="31" t="n">
        <v>854518063000</v>
      </c>
      <c r="AA616" s="31" t="n">
        <v>5792708500</v>
      </c>
      <c r="AB616" s="31" t="n">
        <v>9507837812.5</v>
      </c>
      <c r="AC616" s="36" t="n">
        <v>0.006778918727198397</v>
      </c>
      <c r="AD616" s="29" t="inlineStr">
        <is>
          <t>yfinance_download</t>
        </is>
      </c>
      <c r="AE616" s="29" t="inlineStr">
        <is>
          <t>319660.KQ</t>
        </is>
      </c>
    </row>
    <row r="617" ht="24" customHeight="1">
      <c r="A617" s="24" t="inlineStr">
        <is>
          <t>2025-12-17</t>
        </is>
      </c>
      <c r="B617" s="30" t="n">
        <v>29750</v>
      </c>
      <c r="C617" s="30" t="n">
        <v>32800</v>
      </c>
      <c r="D617" s="30" t="n">
        <v>29700</v>
      </c>
      <c r="E617" s="30" t="n">
        <v>32500</v>
      </c>
      <c r="F617" s="30" t="n">
        <v>32136.87109375</v>
      </c>
      <c r="G617" s="30" t="n">
        <v>418683</v>
      </c>
      <c r="H617" s="35" t="n">
        <v>0.1016949152542372</v>
      </c>
      <c r="I617" s="35" t="n">
        <v>-0.1875</v>
      </c>
      <c r="J617" s="30" t="n">
        <v>31075</v>
      </c>
      <c r="K617" s="30" t="n">
        <v>33790.83333333334</v>
      </c>
      <c r="L617" s="30" t="n">
        <v>27560.41666666667</v>
      </c>
      <c r="M617" s="35" t="n">
        <v>0.6142612962943428</v>
      </c>
      <c r="N617" s="35" t="n">
        <v>0.6768068059637576</v>
      </c>
      <c r="O617" s="35" t="n">
        <v>-0.009146341463414642</v>
      </c>
      <c r="P617" s="35" t="n">
        <v>0.1607142857142858</v>
      </c>
      <c r="Q617" s="35" t="n">
        <v>0.6539440203562341</v>
      </c>
      <c r="R617" s="35" t="n">
        <v>0.04585679806918752</v>
      </c>
      <c r="S617" s="35" t="n">
        <v>-0.03820069545488181</v>
      </c>
      <c r="T617" s="35" t="n">
        <v>0.1792274548340766</v>
      </c>
      <c r="U617" s="30" t="n">
        <v>40000</v>
      </c>
      <c r="V617" s="30" t="n">
        <v>16360</v>
      </c>
      <c r="W617" s="35" t="n">
        <v>-0.1875</v>
      </c>
      <c r="X617" s="35" t="n">
        <v>0.9865525672371638</v>
      </c>
      <c r="Y617" s="30" t="n">
        <v>28966714</v>
      </c>
      <c r="Z617" s="30" t="n">
        <v>941418205000</v>
      </c>
      <c r="AA617" s="30" t="n">
        <v>13607197500</v>
      </c>
      <c r="AB617" s="30" t="n">
        <v>9652650767.5</v>
      </c>
      <c r="AC617" s="35" t="n">
        <v>0.01445393495444461</v>
      </c>
      <c r="AD617" s="24" t="inlineStr">
        <is>
          <t>yfinance_download</t>
        </is>
      </c>
      <c r="AE617" s="24" t="inlineStr">
        <is>
          <t>319660.KQ</t>
        </is>
      </c>
    </row>
    <row r="618" ht="24" customHeight="1">
      <c r="A618" s="29" t="inlineStr">
        <is>
          <t>2025-12-18</t>
        </is>
      </c>
      <c r="B618" s="31" t="n">
        <v>31650</v>
      </c>
      <c r="C618" s="31" t="n">
        <v>32750</v>
      </c>
      <c r="D618" s="31" t="n">
        <v>31450</v>
      </c>
      <c r="E618" s="31" t="n">
        <v>31750</v>
      </c>
      <c r="F618" s="31" t="n">
        <v>31395.251953125</v>
      </c>
      <c r="G618" s="31" t="n">
        <v>235934</v>
      </c>
      <c r="H618" s="36" t="n">
        <v>-0.02307692307692311</v>
      </c>
      <c r="I618" s="36" t="n">
        <v>-0.20625</v>
      </c>
      <c r="J618" s="31" t="n">
        <v>31042.5</v>
      </c>
      <c r="K618" s="31" t="n">
        <v>33833.33333333334</v>
      </c>
      <c r="L618" s="31" t="n">
        <v>27661.41666666667</v>
      </c>
      <c r="M618" s="36" t="n">
        <v>0.6183846148033606</v>
      </c>
      <c r="N618" s="36" t="n">
        <v>0.6738585068005024</v>
      </c>
      <c r="O618" s="36" t="n">
        <v>-0.02006172839506171</v>
      </c>
      <c r="P618" s="36" t="n">
        <v>0.08732876712328763</v>
      </c>
      <c r="Q618" s="36" t="n">
        <v>0.6174223127865512</v>
      </c>
      <c r="R618" s="36" t="n">
        <v>0.02279133446081993</v>
      </c>
      <c r="S618" s="36" t="n">
        <v>-0.06157635467980305</v>
      </c>
      <c r="T618" s="36" t="n">
        <v>0.1478081684175008</v>
      </c>
      <c r="U618" s="31" t="n">
        <v>40000</v>
      </c>
      <c r="V618" s="31" t="n">
        <v>16360</v>
      </c>
      <c r="W618" s="36" t="n">
        <v>-0.20625</v>
      </c>
      <c r="X618" s="36" t="n">
        <v>0.9407090464547678</v>
      </c>
      <c r="Y618" s="31" t="n">
        <v>28966714</v>
      </c>
      <c r="Z618" s="31" t="n">
        <v>919693169500</v>
      </c>
      <c r="AA618" s="31" t="n">
        <v>7490904500</v>
      </c>
      <c r="AB618" s="31" t="n">
        <v>9344749932.5</v>
      </c>
      <c r="AC618" s="36" t="n">
        <v>0.008145003951777202</v>
      </c>
      <c r="AD618" s="29" t="inlineStr">
        <is>
          <t>yfinance_download</t>
        </is>
      </c>
      <c r="AE618" s="29" t="inlineStr">
        <is>
          <t>319660.KQ</t>
        </is>
      </c>
    </row>
    <row r="619" ht="24" customHeight="1">
      <c r="A619" s="24" t="inlineStr">
        <is>
          <t>2025-12-19</t>
        </is>
      </c>
      <c r="B619" s="30" t="n">
        <v>32700</v>
      </c>
      <c r="C619" s="30" t="n">
        <v>32800</v>
      </c>
      <c r="D619" s="30" t="n">
        <v>31300</v>
      </c>
      <c r="E619" s="30" t="n">
        <v>31400</v>
      </c>
      <c r="F619" s="30" t="n">
        <v>31049.162109375</v>
      </c>
      <c r="G619" s="30" t="n">
        <v>295248</v>
      </c>
      <c r="H619" s="35" t="n">
        <v>-0.01102362204724405</v>
      </c>
      <c r="I619" s="35" t="n">
        <v>-0.215</v>
      </c>
      <c r="J619" s="30" t="n">
        <v>31122.5</v>
      </c>
      <c r="K619" s="30" t="n">
        <v>33838.33333333334</v>
      </c>
      <c r="L619" s="30" t="n">
        <v>27760.58333333333</v>
      </c>
      <c r="M619" s="35" t="n">
        <v>0.5440364873316113</v>
      </c>
      <c r="N619" s="35" t="n">
        <v>0.6615014452170428</v>
      </c>
      <c r="O619" s="35" t="n">
        <v>0.05369127516778516</v>
      </c>
      <c r="P619" s="35" t="n">
        <v>0.009646302250803762</v>
      </c>
      <c r="Q619" s="35" t="n">
        <v>0.6102564102564103</v>
      </c>
      <c r="R619" s="35" t="n">
        <v>0.008916378825608584</v>
      </c>
      <c r="S619" s="35" t="n">
        <v>-0.07205831650495009</v>
      </c>
      <c r="T619" s="35" t="n">
        <v>0.1311001509934651</v>
      </c>
      <c r="U619" s="30" t="n">
        <v>40000</v>
      </c>
      <c r="V619" s="30" t="n">
        <v>16360</v>
      </c>
      <c r="W619" s="35" t="n">
        <v>-0.215</v>
      </c>
      <c r="X619" s="35" t="n">
        <v>0.9193154034229829</v>
      </c>
      <c r="Y619" s="30" t="n">
        <v>28966714</v>
      </c>
      <c r="Z619" s="30" t="n">
        <v>909554819600</v>
      </c>
      <c r="AA619" s="30" t="n">
        <v>9270787200</v>
      </c>
      <c r="AB619" s="30" t="n">
        <v>9266520822.5</v>
      </c>
      <c r="AC619" s="35" t="n">
        <v>0.01019266458736051</v>
      </c>
      <c r="AD619" s="24" t="inlineStr">
        <is>
          <t>yfinance_download</t>
        </is>
      </c>
      <c r="AE619" s="24" t="inlineStr">
        <is>
          <t>319660.KQ</t>
        </is>
      </c>
    </row>
    <row r="620" ht="24" customHeight="1">
      <c r="A620" s="29" t="inlineStr">
        <is>
          <t>2025-12-22</t>
        </is>
      </c>
      <c r="B620" s="31" t="n">
        <v>32350</v>
      </c>
      <c r="C620" s="31" t="n">
        <v>34750</v>
      </c>
      <c r="D620" s="31" t="n">
        <v>32350</v>
      </c>
      <c r="E620" s="31" t="n">
        <v>34550</v>
      </c>
      <c r="F620" s="31" t="n">
        <v>34163.96484375</v>
      </c>
      <c r="G620" s="31" t="n">
        <v>559541</v>
      </c>
      <c r="H620" s="36" t="n">
        <v>0.1003184713375795</v>
      </c>
      <c r="I620" s="36" t="n">
        <v>-0.13625</v>
      </c>
      <c r="J620" s="31" t="n">
        <v>31365</v>
      </c>
      <c r="K620" s="31" t="n">
        <v>33888.33333333334</v>
      </c>
      <c r="L620" s="31" t="n">
        <v>27886.58333333333</v>
      </c>
      <c r="M620" s="36" t="n">
        <v>0.6430265799693006</v>
      </c>
      <c r="N620" s="36" t="n">
        <v>0.6916752166486686</v>
      </c>
      <c r="O620" s="36" t="n">
        <v>0.1632996632996633</v>
      </c>
      <c r="P620" s="36" t="n">
        <v>0.09508716323296351</v>
      </c>
      <c r="Q620" s="36" t="n">
        <v>0.7781780751415337</v>
      </c>
      <c r="R620" s="36" t="n">
        <v>0.101546309580743</v>
      </c>
      <c r="S620" s="36" t="n">
        <v>0.01952491024443015</v>
      </c>
      <c r="T620" s="36" t="n">
        <v>0.2389470444269797</v>
      </c>
      <c r="U620" s="31" t="n">
        <v>40000</v>
      </c>
      <c r="V620" s="31" t="n">
        <v>16360</v>
      </c>
      <c r="W620" s="36" t="n">
        <v>-0.13625</v>
      </c>
      <c r="X620" s="36" t="n">
        <v>1.111858190709047</v>
      </c>
      <c r="Y620" s="31" t="n">
        <v>28966714</v>
      </c>
      <c r="Z620" s="31" t="n">
        <v>1000799968700</v>
      </c>
      <c r="AA620" s="31" t="n">
        <v>19332141550</v>
      </c>
      <c r="AB620" s="31" t="n">
        <v>9940989790</v>
      </c>
      <c r="AC620" s="36" t="n">
        <v>0.0193166888035695</v>
      </c>
      <c r="AD620" s="29" t="inlineStr">
        <is>
          <t>yfinance_download</t>
        </is>
      </c>
      <c r="AE620" s="29" t="inlineStr">
        <is>
          <t>319660.KQ</t>
        </is>
      </c>
    </row>
    <row r="621" ht="24" customHeight="1">
      <c r="A621" s="24" t="inlineStr">
        <is>
          <t>2025-12-23</t>
        </is>
      </c>
      <c r="B621" s="30" t="n">
        <v>35150</v>
      </c>
      <c r="C621" s="30" t="n">
        <v>35650</v>
      </c>
      <c r="D621" s="30" t="n">
        <v>34450</v>
      </c>
      <c r="E621" s="30" t="n">
        <v>35450</v>
      </c>
      <c r="F621" s="30" t="n">
        <v>35053.91015625</v>
      </c>
      <c r="G621" s="30" t="n">
        <v>428583</v>
      </c>
      <c r="H621" s="35" t="n">
        <v>0.02604920405209832</v>
      </c>
      <c r="I621" s="35" t="n">
        <v>-0.11375</v>
      </c>
      <c r="J621" s="30" t="n">
        <v>31662.5</v>
      </c>
      <c r="K621" s="30" t="n">
        <v>33950.83333333334</v>
      </c>
      <c r="L621" s="30" t="n">
        <v>28020.58333333333</v>
      </c>
      <c r="M621" s="35" t="n">
        <v>0.6433600687380179</v>
      </c>
      <c r="N621" s="35" t="n">
        <v>0.6933552049405162</v>
      </c>
      <c r="O621" s="35" t="n">
        <v>0.2016949152542373</v>
      </c>
      <c r="P621" s="35" t="n">
        <v>0.1182965299684542</v>
      </c>
      <c r="Q621" s="35" t="n">
        <v>0.8301497160557563</v>
      </c>
      <c r="R621" s="35" t="n">
        <v>0.1196210027635216</v>
      </c>
      <c r="S621" s="35" t="n">
        <v>0.04415699172823428</v>
      </c>
      <c r="T621" s="35" t="n">
        <v>0.2651413990310694</v>
      </c>
      <c r="U621" s="30" t="n">
        <v>40000</v>
      </c>
      <c r="V621" s="30" t="n">
        <v>16360</v>
      </c>
      <c r="W621" s="35" t="n">
        <v>-0.11375</v>
      </c>
      <c r="X621" s="35" t="n">
        <v>1.166870415647922</v>
      </c>
      <c r="Y621" s="30" t="n">
        <v>28966714</v>
      </c>
      <c r="Z621" s="30" t="n">
        <v>1026870011300</v>
      </c>
      <c r="AA621" s="30" t="n">
        <v>15193267350</v>
      </c>
      <c r="AB621" s="30" t="n">
        <v>10372409607.5</v>
      </c>
      <c r="AC621" s="35" t="n">
        <v>0.01479570654786732</v>
      </c>
      <c r="AD621" s="24" t="inlineStr">
        <is>
          <t>yfinance_download</t>
        </is>
      </c>
      <c r="AE621" s="24" t="inlineStr">
        <is>
          <t>319660.KQ</t>
        </is>
      </c>
    </row>
    <row r="622" ht="24" customHeight="1">
      <c r="A622" s="29" t="inlineStr">
        <is>
          <t>2025-12-24</t>
        </is>
      </c>
      <c r="B622" s="31" t="n">
        <v>35600</v>
      </c>
      <c r="C622" s="31" t="n">
        <v>35600</v>
      </c>
      <c r="D622" s="31" t="n">
        <v>34500</v>
      </c>
      <c r="E622" s="31" t="n">
        <v>34600</v>
      </c>
      <c r="F622" s="31" t="n">
        <v>34213.40625</v>
      </c>
      <c r="G622" s="31" t="n">
        <v>234537</v>
      </c>
      <c r="H622" s="36" t="n">
        <v>-0.02397743300423127</v>
      </c>
      <c r="I622" s="36" t="n">
        <v>-0.135</v>
      </c>
      <c r="J622" s="31" t="n">
        <v>31920</v>
      </c>
      <c r="K622" s="31" t="n">
        <v>33988.33333333334</v>
      </c>
      <c r="L622" s="31" t="n">
        <v>28148.5</v>
      </c>
      <c r="M622" s="36" t="n">
        <v>0.6535068659323936</v>
      </c>
      <c r="N622" s="36" t="n">
        <v>0.694492450725273</v>
      </c>
      <c r="O622" s="36" t="n">
        <v>0.1748726655348047</v>
      </c>
      <c r="P622" s="36" t="n">
        <v>0.06955177743431218</v>
      </c>
      <c r="Q622" s="36" t="n">
        <v>0.7974025974025973</v>
      </c>
      <c r="R622" s="36" t="n">
        <v>0.08395989974937335</v>
      </c>
      <c r="S622" s="36" t="n">
        <v>0.01799637130387866</v>
      </c>
      <c r="T622" s="36" t="n">
        <v>0.2291951613762722</v>
      </c>
      <c r="U622" s="31" t="n">
        <v>40000</v>
      </c>
      <c r="V622" s="31" t="n">
        <v>16360</v>
      </c>
      <c r="W622" s="36" t="n">
        <v>-0.135</v>
      </c>
      <c r="X622" s="36" t="n">
        <v>1.114914425427873</v>
      </c>
      <c r="Y622" s="31" t="n">
        <v>28966714</v>
      </c>
      <c r="Z622" s="31" t="n">
        <v>1002248304400</v>
      </c>
      <c r="AA622" s="31" t="n">
        <v>8114980200</v>
      </c>
      <c r="AB622" s="31" t="n">
        <v>10347411137.5</v>
      </c>
      <c r="AC622" s="36" t="n">
        <v>0.008096776182483108</v>
      </c>
      <c r="AD622" s="29" t="inlineStr">
        <is>
          <t>yfinance_download</t>
        </is>
      </c>
      <c r="AE622" s="29" t="inlineStr">
        <is>
          <t>319660.KQ</t>
        </is>
      </c>
    </row>
    <row r="623" ht="24" customHeight="1">
      <c r="A623" s="24" t="inlineStr">
        <is>
          <t>2025-12-26</t>
        </is>
      </c>
      <c r="B623" s="30" t="n">
        <v>35100</v>
      </c>
      <c r="C623" s="30" t="n">
        <v>36500</v>
      </c>
      <c r="D623" s="30" t="n">
        <v>34750</v>
      </c>
      <c r="E623" s="30" t="n">
        <v>35800</v>
      </c>
      <c r="F623" s="30" t="n">
        <v>35400</v>
      </c>
      <c r="G623" s="30" t="n">
        <v>410528</v>
      </c>
      <c r="H623" s="35" t="n">
        <v>0.03468208092485559</v>
      </c>
      <c r="I623" s="35" t="n">
        <v>-0.105</v>
      </c>
      <c r="J623" s="30" t="n">
        <v>32245</v>
      </c>
      <c r="K623" s="30" t="n">
        <v>34045</v>
      </c>
      <c r="L623" s="30" t="n">
        <v>28286.83333333333</v>
      </c>
      <c r="M623" s="35" t="n">
        <v>0.6574747814035552</v>
      </c>
      <c r="N623" s="35" t="n">
        <v>0.6977031250054616</v>
      </c>
      <c r="O623" s="35" t="n">
        <v>0.2218430034129693</v>
      </c>
      <c r="P623" s="35" t="n">
        <v>0.1049382716049383</v>
      </c>
      <c r="Q623" s="35" t="n">
        <v>0.8645833333333333</v>
      </c>
      <c r="R623" s="35" t="n">
        <v>0.110249651108699</v>
      </c>
      <c r="S623" s="35" t="n">
        <v>0.05154941988544581</v>
      </c>
      <c r="T623" s="35" t="n">
        <v>0.2656064953659241</v>
      </c>
      <c r="U623" s="30" t="n">
        <v>40000</v>
      </c>
      <c r="V623" s="30" t="n">
        <v>16360</v>
      </c>
      <c r="W623" s="35" t="n">
        <v>-0.105</v>
      </c>
      <c r="X623" s="35" t="n">
        <v>1.188264058679707</v>
      </c>
      <c r="Y623" s="30" t="n">
        <v>28966714</v>
      </c>
      <c r="Z623" s="30" t="n">
        <v>1037008361200</v>
      </c>
      <c r="AA623" s="30" t="n">
        <v>14696902400</v>
      </c>
      <c r="AB623" s="30" t="n">
        <v>10740959602.5</v>
      </c>
      <c r="AC623" s="35" t="n">
        <v>0.01417240491966055</v>
      </c>
      <c r="AD623" s="24" t="inlineStr">
        <is>
          <t>yfinance_download</t>
        </is>
      </c>
      <c r="AE623" s="24" t="inlineStr">
        <is>
          <t>319660.KQ</t>
        </is>
      </c>
    </row>
    <row r="624" ht="24" customHeight="1">
      <c r="A624" s="29" t="inlineStr">
        <is>
          <t>2025-12-29</t>
        </is>
      </c>
      <c r="B624" s="31" t="n">
        <v>36350</v>
      </c>
      <c r="C624" s="31" t="n">
        <v>36400</v>
      </c>
      <c r="D624" s="31" t="n">
        <v>34900</v>
      </c>
      <c r="E624" s="31" t="n">
        <v>36200</v>
      </c>
      <c r="F624" s="31" t="n">
        <v>36200</v>
      </c>
      <c r="G624" s="31" t="n">
        <v>344884</v>
      </c>
      <c r="H624" s="36" t="n">
        <v>0.011173184357542</v>
      </c>
      <c r="I624" s="36" t="n">
        <v>-0.09499999999999997</v>
      </c>
      <c r="J624" s="31" t="n">
        <v>32570</v>
      </c>
      <c r="K624" s="31" t="n">
        <v>34127.5</v>
      </c>
      <c r="L624" s="31" t="n">
        <v>28424.33333333333</v>
      </c>
      <c r="M624" s="36" t="n">
        <v>0.6573939732646759</v>
      </c>
      <c r="N624" s="36" t="n">
        <v>0.6933620251515822</v>
      </c>
      <c r="O624" s="36" t="n">
        <v>0.2188552188552189</v>
      </c>
      <c r="P624" s="36" t="n">
        <v>0.1584000000000001</v>
      </c>
      <c r="Q624" s="36" t="n">
        <v>0.8375634517766497</v>
      </c>
      <c r="R624" s="36" t="n">
        <v>0.1114522566779246</v>
      </c>
      <c r="S624" s="36" t="n">
        <v>0.06072815178375213</v>
      </c>
      <c r="T624" s="36" t="n">
        <v>0.2735566943815746</v>
      </c>
      <c r="U624" s="31" t="n">
        <v>40000</v>
      </c>
      <c r="V624" s="31" t="n">
        <v>16360</v>
      </c>
      <c r="W624" s="36" t="n">
        <v>-0.09499999999999997</v>
      </c>
      <c r="X624" s="36" t="n">
        <v>1.212713936430318</v>
      </c>
      <c r="Y624" s="31" t="n">
        <v>28966714</v>
      </c>
      <c r="Z624" s="31" t="n">
        <v>1048595046800</v>
      </c>
      <c r="AA624" s="31" t="n">
        <v>12484800800</v>
      </c>
      <c r="AB624" s="31" t="n">
        <v>11016095447.5</v>
      </c>
      <c r="AC624" s="36" t="n">
        <v>0.01190621759858574</v>
      </c>
      <c r="AD624" s="29" t="inlineStr">
        <is>
          <t>yfinance_download</t>
        </is>
      </c>
      <c r="AE624" s="29" t="inlineStr">
        <is>
          <t>319660.KQ</t>
        </is>
      </c>
    </row>
    <row r="625" ht="24" customHeight="1">
      <c r="A625" s="24" t="inlineStr">
        <is>
          <t>2025-12-30</t>
        </is>
      </c>
      <c r="B625" s="30" t="n">
        <v>35500</v>
      </c>
      <c r="C625" s="30" t="n">
        <v>37350</v>
      </c>
      <c r="D625" s="30" t="n">
        <v>35350</v>
      </c>
      <c r="E625" s="30" t="n">
        <v>36900</v>
      </c>
      <c r="F625" s="30" t="n">
        <v>36900</v>
      </c>
      <c r="G625" s="30" t="n">
        <v>387570</v>
      </c>
      <c r="H625" s="35" t="n">
        <v>0.01933701657458564</v>
      </c>
      <c r="I625" s="35" t="n">
        <v>-0.07750000000000001</v>
      </c>
      <c r="J625" s="30" t="n">
        <v>32850</v>
      </c>
      <c r="K625" s="30" t="n">
        <v>34191.66666666666</v>
      </c>
      <c r="L625" s="30" t="n">
        <v>28573.91666666667</v>
      </c>
      <c r="M625" s="35" t="n">
        <v>0.6384957067029243</v>
      </c>
      <c r="N625" s="35" t="n">
        <v>0.6849647305571014</v>
      </c>
      <c r="O625" s="35" t="n">
        <v>0.1789137380191694</v>
      </c>
      <c r="P625" s="35" t="n">
        <v>0.1164901664145235</v>
      </c>
      <c r="Q625" s="35" t="n">
        <v>0.9472295514511873</v>
      </c>
      <c r="R625" s="35" t="n">
        <v>0.1232876712328768</v>
      </c>
      <c r="S625" s="35" t="n">
        <v>0.07921033390202292</v>
      </c>
      <c r="T625" s="35" t="n">
        <v>0.2913875416682463</v>
      </c>
      <c r="U625" s="30" t="n">
        <v>40000</v>
      </c>
      <c r="V625" s="30" t="n">
        <v>16360</v>
      </c>
      <c r="W625" s="35" t="n">
        <v>-0.07750000000000001</v>
      </c>
      <c r="X625" s="35" t="n">
        <v>1.255501222493888</v>
      </c>
      <c r="Y625" s="30" t="n">
        <v>28966714</v>
      </c>
      <c r="Z625" s="30" t="n">
        <v>1068871746600</v>
      </c>
      <c r="AA625" s="30" t="n">
        <v>14301333000</v>
      </c>
      <c r="AB625" s="30" t="n">
        <v>10936486397.5</v>
      </c>
      <c r="AC625" s="35" t="n">
        <v>0.01337984004675159</v>
      </c>
      <c r="AD625" s="24" t="inlineStr">
        <is>
          <t>yfinance_download</t>
        </is>
      </c>
      <c r="AE625" s="24" t="inlineStr">
        <is>
          <t>319660.KQ</t>
        </is>
      </c>
    </row>
    <row r="626" ht="24" customHeight="1">
      <c r="A626" s="29" t="inlineStr">
        <is>
          <t>2026-01-02</t>
        </is>
      </c>
      <c r="B626" s="31" t="n">
        <v>36950</v>
      </c>
      <c r="C626" s="31" t="n">
        <v>39150</v>
      </c>
      <c r="D626" s="31" t="n">
        <v>36200</v>
      </c>
      <c r="E626" s="31" t="n">
        <v>38900</v>
      </c>
      <c r="F626" s="31" t="n">
        <v>38900</v>
      </c>
      <c r="G626" s="31" t="n">
        <v>419404</v>
      </c>
      <c r="H626" s="36" t="n">
        <v>0.05420054200542013</v>
      </c>
      <c r="I626" s="36" t="n">
        <v>-0.02749999999999997</v>
      </c>
      <c r="J626" s="31" t="n">
        <v>33165</v>
      </c>
      <c r="K626" s="31" t="n">
        <v>34294.16666666666</v>
      </c>
      <c r="L626" s="31" t="n">
        <v>28742.41666666667</v>
      </c>
      <c r="M626" s="36" t="n">
        <v>0.6485579379630056</v>
      </c>
      <c r="N626" s="36" t="n">
        <v>0.6925363911211468</v>
      </c>
      <c r="O626" s="36" t="n">
        <v>0.1932515337423313</v>
      </c>
      <c r="P626" s="36" t="n">
        <v>0.1877862595419848</v>
      </c>
      <c r="Q626" s="36" t="n">
        <v>1.082441113490364</v>
      </c>
      <c r="R626" s="36" t="n">
        <v>0.1729232624755013</v>
      </c>
      <c r="S626" s="36" t="n">
        <v>0.1343036959638424</v>
      </c>
      <c r="T626" s="36" t="n">
        <v>0.3534004621508862</v>
      </c>
      <c r="U626" s="31" t="n">
        <v>40000</v>
      </c>
      <c r="V626" s="31" t="n">
        <v>16360</v>
      </c>
      <c r="W626" s="36" t="n">
        <v>-0.02749999999999997</v>
      </c>
      <c r="X626" s="36" t="n">
        <v>1.377750611246944</v>
      </c>
      <c r="Y626" s="31" t="n">
        <v>28966714</v>
      </c>
      <c r="Z626" s="31" t="n">
        <v>1126805174600</v>
      </c>
      <c r="AA626" s="31" t="n">
        <v>16314815600</v>
      </c>
      <c r="AB626" s="31" t="n">
        <v>10919781287.5</v>
      </c>
      <c r="AC626" s="36" t="n">
        <v>0.01447882559271307</v>
      </c>
      <c r="AD626" s="29" t="inlineStr">
        <is>
          <t>yfinance_download</t>
        </is>
      </c>
      <c r="AE626" s="29" t="inlineStr">
        <is>
          <t>319660.KQ</t>
        </is>
      </c>
    </row>
    <row r="627" ht="24" customHeight="1">
      <c r="A627" s="24" t="inlineStr">
        <is>
          <t>2026-01-05</t>
        </is>
      </c>
      <c r="B627" s="30" t="n">
        <v>40550</v>
      </c>
      <c r="C627" s="30" t="n">
        <v>44600</v>
      </c>
      <c r="D627" s="30" t="n">
        <v>40450</v>
      </c>
      <c r="E627" s="30" t="n">
        <v>41700</v>
      </c>
      <c r="F627" s="30" t="n">
        <v>41700</v>
      </c>
      <c r="G627" s="30" t="n">
        <v>897736</v>
      </c>
      <c r="H627" s="35" t="n">
        <v>0.07197943444730082</v>
      </c>
      <c r="I627" s="35" t="n">
        <v>0</v>
      </c>
      <c r="J627" s="30" t="n">
        <v>33625</v>
      </c>
      <c r="K627" s="30" t="n">
        <v>34440.83333333334</v>
      </c>
      <c r="L627" s="30" t="n">
        <v>28933.33333333333</v>
      </c>
      <c r="M627" s="35" t="n">
        <v>0.6828555806958269</v>
      </c>
      <c r="N627" s="35" t="n">
        <v>0.7064974838953513</v>
      </c>
      <c r="O627" s="35" t="n">
        <v>0.283076923076923</v>
      </c>
      <c r="P627" s="35" t="n">
        <v>0.2674772036474165</v>
      </c>
      <c r="Q627" s="35" t="n">
        <v>1.219265566790846</v>
      </c>
      <c r="R627" s="35" t="n">
        <v>0.2401486988847583</v>
      </c>
      <c r="S627" s="35" t="n">
        <v>0.2107720970746931</v>
      </c>
      <c r="T627" s="35" t="n">
        <v>0.4412442396313365</v>
      </c>
      <c r="U627" s="30" t="n">
        <v>41700</v>
      </c>
      <c r="V627" s="30" t="n">
        <v>16360</v>
      </c>
      <c r="W627" s="35" t="n">
        <v>0</v>
      </c>
      <c r="X627" s="35" t="n">
        <v>1.548899755501222</v>
      </c>
      <c r="Y627" s="30" t="n">
        <v>28966714</v>
      </c>
      <c r="Z627" s="30" t="n">
        <v>1207911973800</v>
      </c>
      <c r="AA627" s="30" t="n">
        <v>37435591200</v>
      </c>
      <c r="AB627" s="30" t="n">
        <v>12369660472.5</v>
      </c>
      <c r="AC627" s="35" t="n">
        <v>0.03099198618110428</v>
      </c>
      <c r="AD627" s="24" t="inlineStr">
        <is>
          <t>yfinance_download</t>
        </is>
      </c>
      <c r="AE627" s="24" t="inlineStr">
        <is>
          <t>319660.KQ</t>
        </is>
      </c>
    </row>
    <row r="628" ht="24" customHeight="1">
      <c r="A628" s="29" t="inlineStr">
        <is>
          <t>2026-01-06</t>
        </is>
      </c>
      <c r="B628" s="31" t="n">
        <v>40800</v>
      </c>
      <c r="C628" s="31" t="n">
        <v>44700</v>
      </c>
      <c r="D628" s="31" t="n">
        <v>40600</v>
      </c>
      <c r="E628" s="31" t="n">
        <v>44700</v>
      </c>
      <c r="F628" s="31" t="n">
        <v>44700</v>
      </c>
      <c r="G628" s="31" t="n">
        <v>588341</v>
      </c>
      <c r="H628" s="36" t="n">
        <v>0.07194244604316546</v>
      </c>
      <c r="I628" s="36" t="n">
        <v>0</v>
      </c>
      <c r="J628" s="31" t="n">
        <v>34297.5</v>
      </c>
      <c r="K628" s="31" t="n">
        <v>34612.5</v>
      </c>
      <c r="L628" s="31" t="n">
        <v>29154.33333333333</v>
      </c>
      <c r="M628" s="36" t="n">
        <v>0.6841128213442238</v>
      </c>
      <c r="N628" s="36" t="n">
        <v>0.7149898430174715</v>
      </c>
      <c r="O628" s="36" t="n">
        <v>0.4303999999999999</v>
      </c>
      <c r="P628" s="36" t="n">
        <v>0.2994186046511629</v>
      </c>
      <c r="Q628" s="36" t="n">
        <v>1.458745874587459</v>
      </c>
      <c r="R628" s="36" t="n">
        <v>0.3033019899409577</v>
      </c>
      <c r="S628" s="36" t="n">
        <v>0.2914409534127844</v>
      </c>
      <c r="T628" s="36" t="n">
        <v>0.5332197614991483</v>
      </c>
      <c r="U628" s="31" t="n">
        <v>44700</v>
      </c>
      <c r="V628" s="31" t="n">
        <v>16360</v>
      </c>
      <c r="W628" s="36" t="n">
        <v>0</v>
      </c>
      <c r="X628" s="36" t="n">
        <v>1.732273838630807</v>
      </c>
      <c r="Y628" s="31" t="n">
        <v>28966714</v>
      </c>
      <c r="Z628" s="31" t="n">
        <v>1294812115800</v>
      </c>
      <c r="AA628" s="31" t="n">
        <v>26298842700</v>
      </c>
      <c r="AB628" s="31" t="n">
        <v>13275132295</v>
      </c>
      <c r="AC628" s="36" t="n">
        <v>0.02031093343898103</v>
      </c>
      <c r="AD628" s="29" t="inlineStr">
        <is>
          <t>yfinance_download</t>
        </is>
      </c>
      <c r="AE628" s="29" t="inlineStr">
        <is>
          <t>319660.KQ</t>
        </is>
      </c>
    </row>
    <row r="629" ht="24" customHeight="1">
      <c r="A629" s="24" t="inlineStr">
        <is>
          <t>2026-01-07</t>
        </is>
      </c>
      <c r="B629" s="30" t="n">
        <v>45600</v>
      </c>
      <c r="C629" s="30" t="n">
        <v>45800</v>
      </c>
      <c r="D629" s="30" t="n">
        <v>42200</v>
      </c>
      <c r="E629" s="30" t="n">
        <v>44700</v>
      </c>
      <c r="F629" s="30" t="n">
        <v>44700</v>
      </c>
      <c r="G629" s="30" t="n">
        <v>743559</v>
      </c>
      <c r="H629" s="35" t="n">
        <v>0</v>
      </c>
      <c r="I629" s="35" t="n">
        <v>0</v>
      </c>
      <c r="J629" s="30" t="n">
        <v>34952.5</v>
      </c>
      <c r="K629" s="30" t="n">
        <v>34760</v>
      </c>
      <c r="L629" s="30" t="n">
        <v>29374.75</v>
      </c>
      <c r="M629" s="35" t="n">
        <v>0.6869371163275322</v>
      </c>
      <c r="N629" s="35" t="n">
        <v>0.7109316869349618</v>
      </c>
      <c r="O629" s="35" t="n">
        <v>0.4145569620253164</v>
      </c>
      <c r="P629" s="35" t="n">
        <v>0.2468619246861925</v>
      </c>
      <c r="Q629" s="35" t="n">
        <v>1.449315068493151</v>
      </c>
      <c r="R629" s="35" t="n">
        <v>0.2788784779343394</v>
      </c>
      <c r="S629" s="35" t="n">
        <v>0.2859608745684694</v>
      </c>
      <c r="T629" s="35" t="n">
        <v>0.5217150784261995</v>
      </c>
      <c r="U629" s="30" t="n">
        <v>44700</v>
      </c>
      <c r="V629" s="30" t="n">
        <v>16360</v>
      </c>
      <c r="W629" s="35" t="n">
        <v>0</v>
      </c>
      <c r="X629" s="35" t="n">
        <v>1.732273838630807</v>
      </c>
      <c r="Y629" s="30" t="n">
        <v>28966714</v>
      </c>
      <c r="Z629" s="30" t="n">
        <v>1294812115800</v>
      </c>
      <c r="AA629" s="30" t="n">
        <v>33237087300</v>
      </c>
      <c r="AB629" s="30" t="n">
        <v>14680663260</v>
      </c>
      <c r="AC629" s="35" t="n">
        <v>0.02566942871048473</v>
      </c>
      <c r="AD629" s="24" t="inlineStr">
        <is>
          <t>yfinance_download</t>
        </is>
      </c>
      <c r="AE629" s="24" t="inlineStr">
        <is>
          <t>319660.KQ</t>
        </is>
      </c>
    </row>
    <row r="630" ht="24" customHeight="1">
      <c r="A630" s="29" t="inlineStr">
        <is>
          <t>2026-01-08</t>
        </is>
      </c>
      <c r="B630" s="31" t="n">
        <v>43200</v>
      </c>
      <c r="C630" s="31" t="n">
        <v>46350</v>
      </c>
      <c r="D630" s="31" t="n">
        <v>42800</v>
      </c>
      <c r="E630" s="31" t="n">
        <v>43600</v>
      </c>
      <c r="F630" s="31" t="n">
        <v>43600</v>
      </c>
      <c r="G630" s="31" t="n">
        <v>496102</v>
      </c>
      <c r="H630" s="36" t="n">
        <v>-0.02460850111856827</v>
      </c>
      <c r="I630" s="36" t="n">
        <v>-0.02460850111856827</v>
      </c>
      <c r="J630" s="31" t="n">
        <v>35545</v>
      </c>
      <c r="K630" s="31" t="n">
        <v>34904.16666666666</v>
      </c>
      <c r="L630" s="31" t="n">
        <v>29573</v>
      </c>
      <c r="M630" s="36" t="n">
        <v>0.7023788170356314</v>
      </c>
      <c r="N630" s="36" t="n">
        <v>0.7108437138622453</v>
      </c>
      <c r="O630" s="36" t="n">
        <v>0.373228346456693</v>
      </c>
      <c r="P630" s="36" t="n">
        <v>0.2474964234620887</v>
      </c>
      <c r="Q630" s="36" t="n">
        <v>1.200908632004039</v>
      </c>
      <c r="R630" s="36" t="n">
        <v>0.2266141510761006</v>
      </c>
      <c r="S630" s="36" t="n">
        <v>0.2491345350364094</v>
      </c>
      <c r="T630" s="36" t="n">
        <v>0.4743177898759003</v>
      </c>
      <c r="U630" s="31" t="n">
        <v>44700</v>
      </c>
      <c r="V630" s="31" t="n">
        <v>16360</v>
      </c>
      <c r="W630" s="36" t="n">
        <v>-0.02460850111856827</v>
      </c>
      <c r="X630" s="36" t="n">
        <v>1.665036674816626</v>
      </c>
      <c r="Y630" s="31" t="n">
        <v>28966714</v>
      </c>
      <c r="Z630" s="31" t="n">
        <v>1262948730400</v>
      </c>
      <c r="AA630" s="31" t="n">
        <v>21630047200</v>
      </c>
      <c r="AB630" s="31" t="n">
        <v>15535653182.5</v>
      </c>
      <c r="AC630" s="36" t="n">
        <v>0.0171266233373934</v>
      </c>
      <c r="AD630" s="29" t="inlineStr">
        <is>
          <t>yfinance_download</t>
        </is>
      </c>
      <c r="AE630" s="29" t="inlineStr">
        <is>
          <t>319660.KQ</t>
        </is>
      </c>
    </row>
    <row r="631" ht="24" customHeight="1">
      <c r="A631" s="24" t="inlineStr">
        <is>
          <t>2026-01-09</t>
        </is>
      </c>
      <c r="B631" s="30" t="n">
        <v>42500</v>
      </c>
      <c r="C631" s="30" t="n">
        <v>43600</v>
      </c>
      <c r="D631" s="30" t="n">
        <v>42100</v>
      </c>
      <c r="E631" s="30" t="n">
        <v>42950</v>
      </c>
      <c r="F631" s="30" t="n">
        <v>42950</v>
      </c>
      <c r="G631" s="30" t="n">
        <v>401875</v>
      </c>
      <c r="H631" s="35" t="n">
        <v>-0.01490825688073394</v>
      </c>
      <c r="I631" s="35" t="n">
        <v>-0.03914988814317677</v>
      </c>
      <c r="J631" s="30" t="n">
        <v>36122.5</v>
      </c>
      <c r="K631" s="30" t="n">
        <v>35086.66666666666</v>
      </c>
      <c r="L631" s="30" t="n">
        <v>29766.16666666667</v>
      </c>
      <c r="M631" s="35" t="n">
        <v>0.704558077830668</v>
      </c>
      <c r="N631" s="35" t="n">
        <v>0.6875368262069042</v>
      </c>
      <c r="O631" s="35" t="n">
        <v>0.3678343949044587</v>
      </c>
      <c r="P631" s="35" t="n">
        <v>0.3421875000000001</v>
      </c>
      <c r="Q631" s="35" t="n">
        <v>1.172483560950936</v>
      </c>
      <c r="R631" s="35" t="n">
        <v>0.1890096200429094</v>
      </c>
      <c r="S631" s="35" t="n">
        <v>0.2241117233517007</v>
      </c>
      <c r="T631" s="35" t="n">
        <v>0.4429133748047278</v>
      </c>
      <c r="U631" s="30" t="n">
        <v>44700</v>
      </c>
      <c r="V631" s="30" t="n">
        <v>16360</v>
      </c>
      <c r="W631" s="35" t="n">
        <v>-0.03914988814317677</v>
      </c>
      <c r="X631" s="35" t="n">
        <v>1.625305623471883</v>
      </c>
      <c r="Y631" s="30" t="n">
        <v>28966714</v>
      </c>
      <c r="Z631" s="30" t="n">
        <v>1244120366300</v>
      </c>
      <c r="AA631" s="30" t="n">
        <v>17260531250</v>
      </c>
      <c r="AB631" s="30" t="n">
        <v>16106085125</v>
      </c>
      <c r="AC631" s="35" t="n">
        <v>0.01387368273805582</v>
      </c>
      <c r="AD631" s="24" t="inlineStr">
        <is>
          <t>yfinance_download</t>
        </is>
      </c>
      <c r="AE631" s="24" t="inlineStr">
        <is>
          <t>319660.KQ</t>
        </is>
      </c>
    </row>
    <row r="632" ht="24" customHeight="1">
      <c r="A632" s="29" t="inlineStr">
        <is>
          <t>2026-01-12</t>
        </is>
      </c>
      <c r="B632" s="31" t="n">
        <v>43000</v>
      </c>
      <c r="C632" s="31" t="n">
        <v>43200</v>
      </c>
      <c r="D632" s="31" t="n">
        <v>40450</v>
      </c>
      <c r="E632" s="31" t="n">
        <v>41150</v>
      </c>
      <c r="F632" s="31" t="n">
        <v>41150</v>
      </c>
      <c r="G632" s="31" t="n">
        <v>514640</v>
      </c>
      <c r="H632" s="36" t="n">
        <v>-0.04190919674039584</v>
      </c>
      <c r="I632" s="36" t="n">
        <v>-0.07941834451901564</v>
      </c>
      <c r="J632" s="31" t="n">
        <v>36562.5</v>
      </c>
      <c r="K632" s="31" t="n">
        <v>35217.5</v>
      </c>
      <c r="L632" s="31" t="n">
        <v>29938.66666666667</v>
      </c>
      <c r="M632" s="36" t="n">
        <v>0.7321579980996854</v>
      </c>
      <c r="N632" s="36" t="n">
        <v>0.6904911965704188</v>
      </c>
      <c r="O632" s="36" t="n">
        <v>0.2720247295208655</v>
      </c>
      <c r="P632" s="36" t="n">
        <v>0.2357357357357357</v>
      </c>
      <c r="Q632" s="36" t="n">
        <v>1.012224938875306</v>
      </c>
      <c r="R632" s="36" t="n">
        <v>0.1254700854700854</v>
      </c>
      <c r="S632" s="36" t="n">
        <v>0.1684531837864698</v>
      </c>
      <c r="T632" s="36" t="n">
        <v>0.374476707936225</v>
      </c>
      <c r="U632" s="31" t="n">
        <v>44700</v>
      </c>
      <c r="V632" s="31" t="n">
        <v>16360</v>
      </c>
      <c r="W632" s="36" t="n">
        <v>-0.07941834451901564</v>
      </c>
      <c r="X632" s="36" t="n">
        <v>1.515281173594132</v>
      </c>
      <c r="Y632" s="31" t="n">
        <v>28966714</v>
      </c>
      <c r="Z632" s="31" t="n">
        <v>1191980281100</v>
      </c>
      <c r="AA632" s="31" t="n">
        <v>21177436000</v>
      </c>
      <c r="AB632" s="31" t="n">
        <v>16774833717.5</v>
      </c>
      <c r="AC632" s="36" t="n">
        <v>0.01776659927667322</v>
      </c>
      <c r="AD632" s="29" t="inlineStr">
        <is>
          <t>yfinance_download</t>
        </is>
      </c>
      <c r="AE632" s="29" t="inlineStr">
        <is>
          <t>319660.KQ</t>
        </is>
      </c>
    </row>
    <row r="633" ht="24" customHeight="1">
      <c r="A633" s="24" t="inlineStr">
        <is>
          <t>2026-01-13</t>
        </is>
      </c>
      <c r="B633" s="30" t="n">
        <v>41250</v>
      </c>
      <c r="C633" s="30" t="n">
        <v>42300</v>
      </c>
      <c r="D633" s="30" t="n">
        <v>41150</v>
      </c>
      <c r="E633" s="30" t="n">
        <v>41800</v>
      </c>
      <c r="F633" s="30" t="n">
        <v>41800</v>
      </c>
      <c r="G633" s="30" t="n">
        <v>281596</v>
      </c>
      <c r="H633" s="35" t="n">
        <v>0.01579586877278261</v>
      </c>
      <c r="I633" s="35" t="n">
        <v>-0.06487695749440714</v>
      </c>
      <c r="J633" s="30" t="n">
        <v>37012.5</v>
      </c>
      <c r="K633" s="30" t="n">
        <v>35363.33333333334</v>
      </c>
      <c r="L633" s="30" t="n">
        <v>30117.83333333333</v>
      </c>
      <c r="M633" s="35" t="n">
        <v>0.7322168284486038</v>
      </c>
      <c r="N633" s="35" t="n">
        <v>0.6904199001280293</v>
      </c>
      <c r="O633" s="35" t="n">
        <v>0.274390243902439</v>
      </c>
      <c r="P633" s="35" t="n">
        <v>0.2647503782148259</v>
      </c>
      <c r="Q633" s="35" t="n">
        <v>1.059113300492611</v>
      </c>
      <c r="R633" s="35" t="n">
        <v>0.1293481931779805</v>
      </c>
      <c r="S633" s="35" t="n">
        <v>0.1820152700537279</v>
      </c>
      <c r="T633" s="35" t="n">
        <v>0.387882041094147</v>
      </c>
      <c r="U633" s="30" t="n">
        <v>44700</v>
      </c>
      <c r="V633" s="30" t="n">
        <v>16360</v>
      </c>
      <c r="W633" s="35" t="n">
        <v>-0.06487695749440714</v>
      </c>
      <c r="X633" s="35" t="n">
        <v>1.555012224938875</v>
      </c>
      <c r="Y633" s="30" t="n">
        <v>28966714</v>
      </c>
      <c r="Z633" s="30" t="n">
        <v>1210808645200</v>
      </c>
      <c r="AA633" s="30" t="n">
        <v>11770712800</v>
      </c>
      <c r="AB633" s="30" t="n">
        <v>16650866437.5</v>
      </c>
      <c r="AC633" s="35" t="n">
        <v>0.009721365012268909</v>
      </c>
      <c r="AD633" s="24" t="inlineStr">
        <is>
          <t>yfinance_download</t>
        </is>
      </c>
      <c r="AE633" s="24" t="inlineStr">
        <is>
          <t>319660.KQ</t>
        </is>
      </c>
    </row>
    <row r="634" ht="24" customHeight="1">
      <c r="A634" s="29" t="inlineStr">
        <is>
          <t>2026-01-14</t>
        </is>
      </c>
      <c r="B634" s="31" t="n">
        <v>41850</v>
      </c>
      <c r="C634" s="31" t="n">
        <v>42850</v>
      </c>
      <c r="D634" s="31" t="n">
        <v>41550</v>
      </c>
      <c r="E634" s="31" t="n">
        <v>42700</v>
      </c>
      <c r="F634" s="31" t="n">
        <v>42700</v>
      </c>
      <c r="G634" s="31" t="n">
        <v>248359</v>
      </c>
      <c r="H634" s="36" t="n">
        <v>0.02153110047846885</v>
      </c>
      <c r="I634" s="36" t="n">
        <v>-0.04474272930648771</v>
      </c>
      <c r="J634" s="31" t="n">
        <v>37560</v>
      </c>
      <c r="K634" s="31" t="n">
        <v>35529.16666666666</v>
      </c>
      <c r="L634" s="31" t="n">
        <v>30299.91666666667</v>
      </c>
      <c r="M634" s="36" t="n">
        <v>0.7127977229115403</v>
      </c>
      <c r="N634" s="36" t="n">
        <v>0.6906355305753517</v>
      </c>
      <c r="O634" s="36" t="n">
        <v>0.3448818897637795</v>
      </c>
      <c r="P634" s="36" t="n">
        <v>0.3038167938931298</v>
      </c>
      <c r="Q634" s="36" t="n">
        <v>1.047961630695444</v>
      </c>
      <c r="R634" s="36" t="n">
        <v>0.1368477103301384</v>
      </c>
      <c r="S634" s="36" t="n">
        <v>0.2018294828192799</v>
      </c>
      <c r="T634" s="36" t="n">
        <v>0.4092447999031901</v>
      </c>
      <c r="U634" s="31" t="n">
        <v>44700</v>
      </c>
      <c r="V634" s="31" t="n">
        <v>16360</v>
      </c>
      <c r="W634" s="36" t="n">
        <v>-0.04474272930648771</v>
      </c>
      <c r="X634" s="36" t="n">
        <v>1.610024449877751</v>
      </c>
      <c r="Y634" s="31" t="n">
        <v>28966714</v>
      </c>
      <c r="Z634" s="31" t="n">
        <v>1236878687800</v>
      </c>
      <c r="AA634" s="31" t="n">
        <v>10604929300</v>
      </c>
      <c r="AB634" s="31" t="n">
        <v>16145537440</v>
      </c>
      <c r="AC634" s="36" t="n">
        <v>0.008573944562714294</v>
      </c>
      <c r="AD634" s="29" t="inlineStr">
        <is>
          <t>yfinance_download</t>
        </is>
      </c>
      <c r="AE634" s="29" t="inlineStr">
        <is>
          <t>319660.KQ</t>
        </is>
      </c>
    </row>
    <row r="635" ht="24" customHeight="1">
      <c r="A635" s="24" t="inlineStr">
        <is>
          <t>2026-01-15</t>
        </is>
      </c>
      <c r="B635" s="30" t="n">
        <v>41850</v>
      </c>
      <c r="C635" s="30" t="n">
        <v>42600</v>
      </c>
      <c r="D635" s="30" t="n">
        <v>40600</v>
      </c>
      <c r="E635" s="30" t="n">
        <v>41250</v>
      </c>
      <c r="F635" s="30" t="n">
        <v>41250</v>
      </c>
      <c r="G635" s="30" t="n">
        <v>519639</v>
      </c>
      <c r="H635" s="35" t="n">
        <v>-0.03395784543325531</v>
      </c>
      <c r="I635" s="35" t="n">
        <v>-0.07718120805369133</v>
      </c>
      <c r="J635" s="30" t="n">
        <v>38105</v>
      </c>
      <c r="K635" s="30" t="n">
        <v>35593.33333333334</v>
      </c>
      <c r="L635" s="30" t="n">
        <v>30475.33333333333</v>
      </c>
      <c r="M635" s="35" t="n">
        <v>0.7023215701226618</v>
      </c>
      <c r="N635" s="35" t="n">
        <v>0.6337380110964499</v>
      </c>
      <c r="O635" s="35" t="n">
        <v>0.3591433278418452</v>
      </c>
      <c r="P635" s="35" t="n">
        <v>0.1029411764705883</v>
      </c>
      <c r="Q635" s="35" t="n">
        <v>1.042079207920792</v>
      </c>
      <c r="R635" s="35" t="n">
        <v>0.08253510038052747</v>
      </c>
      <c r="S635" s="35" t="n">
        <v>0.1589248923019291</v>
      </c>
      <c r="T635" s="35" t="n">
        <v>0.3535536936976353</v>
      </c>
      <c r="U635" s="30" t="n">
        <v>44700</v>
      </c>
      <c r="V635" s="30" t="n">
        <v>16360</v>
      </c>
      <c r="W635" s="35" t="n">
        <v>-0.07718120805369133</v>
      </c>
      <c r="X635" s="35" t="n">
        <v>1.521393643031785</v>
      </c>
      <c r="Y635" s="30" t="n">
        <v>28966714</v>
      </c>
      <c r="Z635" s="30" t="n">
        <v>1194876952500</v>
      </c>
      <c r="AA635" s="30" t="n">
        <v>21435108750</v>
      </c>
      <c r="AB635" s="30" t="n">
        <v>16872506255</v>
      </c>
      <c r="AC635" s="35" t="n">
        <v>0.0179391766701601</v>
      </c>
      <c r="AD635" s="24" t="inlineStr">
        <is>
          <t>yfinance_download</t>
        </is>
      </c>
      <c r="AE635" s="24" t="inlineStr">
        <is>
          <t>319660.KQ</t>
        </is>
      </c>
    </row>
    <row r="636" ht="24" customHeight="1">
      <c r="A636" s="29" t="inlineStr">
        <is>
          <t>2026-01-16</t>
        </is>
      </c>
      <c r="B636" s="31" t="n">
        <v>42100</v>
      </c>
      <c r="C636" s="31" t="n">
        <v>42550</v>
      </c>
      <c r="D636" s="31" t="n">
        <v>40650</v>
      </c>
      <c r="E636" s="31" t="n">
        <v>41650</v>
      </c>
      <c r="F636" s="31" t="n">
        <v>41650</v>
      </c>
      <c r="G636" s="31" t="n">
        <v>312256</v>
      </c>
      <c r="H636" s="36" t="n">
        <v>0.009696969696969759</v>
      </c>
      <c r="I636" s="36" t="n">
        <v>-0.06823266219239377</v>
      </c>
      <c r="J636" s="31" t="n">
        <v>38712.5</v>
      </c>
      <c r="K636" s="31" t="n">
        <v>35690</v>
      </c>
      <c r="L636" s="31" t="n">
        <v>30654.08333333333</v>
      </c>
      <c r="M636" s="36" t="n">
        <v>0.6832223515610019</v>
      </c>
      <c r="N636" s="36" t="n">
        <v>0.6272559269669661</v>
      </c>
      <c r="O636" s="36" t="n">
        <v>0.4118644067796611</v>
      </c>
      <c r="P636" s="36" t="n">
        <v>0.1617852161785216</v>
      </c>
      <c r="Q636" s="36" t="n">
        <v>1.061881188118812</v>
      </c>
      <c r="R636" s="36" t="n">
        <v>0.07587988375847599</v>
      </c>
      <c r="S636" s="36" t="n">
        <v>0.1669935556178201</v>
      </c>
      <c r="T636" s="36" t="n">
        <v>0.358709687942607</v>
      </c>
      <c r="U636" s="31" t="n">
        <v>44700</v>
      </c>
      <c r="V636" s="31" t="n">
        <v>16570</v>
      </c>
      <c r="W636" s="36" t="n">
        <v>-0.06823266219239377</v>
      </c>
      <c r="X636" s="36" t="n">
        <v>1.513578756789379</v>
      </c>
      <c r="Y636" s="31" t="n">
        <v>28966714</v>
      </c>
      <c r="Z636" s="31" t="n">
        <v>1206463638100</v>
      </c>
      <c r="AA636" s="31" t="n">
        <v>13005462400</v>
      </c>
      <c r="AB636" s="31" t="n">
        <v>17233143950</v>
      </c>
      <c r="AC636" s="36" t="n">
        <v>0.0107798212803841</v>
      </c>
      <c r="AD636" s="29" t="inlineStr">
        <is>
          <t>yfinance_download</t>
        </is>
      </c>
      <c r="AE636" s="29" t="inlineStr">
        <is>
          <t>319660.KQ</t>
        </is>
      </c>
    </row>
    <row r="637" ht="24" customHeight="1">
      <c r="A637" s="24" t="inlineStr">
        <is>
          <t>2026-01-19</t>
        </is>
      </c>
      <c r="B637" s="30" t="n">
        <v>40800</v>
      </c>
      <c r="C637" s="30" t="n">
        <v>41750</v>
      </c>
      <c r="D637" s="30" t="n">
        <v>40550</v>
      </c>
      <c r="E637" s="30" t="n">
        <v>41050</v>
      </c>
      <c r="F637" s="30" t="n">
        <v>41050</v>
      </c>
      <c r="G637" s="30" t="n">
        <v>239920</v>
      </c>
      <c r="H637" s="35" t="n">
        <v>-0.01440576230492197</v>
      </c>
      <c r="I637" s="35" t="n">
        <v>-0.08165548098434006</v>
      </c>
      <c r="J637" s="30" t="n">
        <v>39140</v>
      </c>
      <c r="K637" s="30" t="n">
        <v>35768.33333333334</v>
      </c>
      <c r="L637" s="30" t="n">
        <v>30828.66666666667</v>
      </c>
      <c r="M637" s="35" t="n">
        <v>0.6161462834210645</v>
      </c>
      <c r="N637" s="35" t="n">
        <v>0.6278842585091678</v>
      </c>
      <c r="O637" s="35" t="n">
        <v>0.263076923076923</v>
      </c>
      <c r="P637" s="35" t="n">
        <v>0.1292984869325997</v>
      </c>
      <c r="Q637" s="35" t="n">
        <v>1.04228855721393</v>
      </c>
      <c r="R637" s="35" t="n">
        <v>0.04879918242207459</v>
      </c>
      <c r="S637" s="35" t="n">
        <v>0.1476632030194305</v>
      </c>
      <c r="T637" s="35" t="n">
        <v>0.3315528836796919</v>
      </c>
      <c r="U637" s="30" t="n">
        <v>44700</v>
      </c>
      <c r="V637" s="30" t="n">
        <v>16570</v>
      </c>
      <c r="W637" s="35" t="n">
        <v>-0.08165548098434006</v>
      </c>
      <c r="X637" s="35" t="n">
        <v>1.477368738684369</v>
      </c>
      <c r="Y637" s="30" t="n">
        <v>28966714</v>
      </c>
      <c r="Z637" s="30" t="n">
        <v>1189083609700</v>
      </c>
      <c r="AA637" s="30" t="n">
        <v>9848716000</v>
      </c>
      <c r="AB637" s="30" t="n">
        <v>17045219875</v>
      </c>
      <c r="AC637" s="35" t="n">
        <v>0.008282610171108812</v>
      </c>
      <c r="AD637" s="24" t="inlineStr">
        <is>
          <t>yfinance_download</t>
        </is>
      </c>
      <c r="AE637" s="24" t="inlineStr">
        <is>
          <t>319660.KQ</t>
        </is>
      </c>
    </row>
    <row r="638" ht="24" customHeight="1">
      <c r="A638" s="29" t="inlineStr">
        <is>
          <t>2026-01-20</t>
        </is>
      </c>
      <c r="B638" s="31" t="n">
        <v>41450</v>
      </c>
      <c r="C638" s="31" t="n">
        <v>41600</v>
      </c>
      <c r="D638" s="31" t="n">
        <v>39750</v>
      </c>
      <c r="E638" s="31" t="n">
        <v>40050</v>
      </c>
      <c r="F638" s="31" t="n">
        <v>40050</v>
      </c>
      <c r="G638" s="31" t="n">
        <v>365585</v>
      </c>
      <c r="H638" s="36" t="n">
        <v>-0.02436053593179055</v>
      </c>
      <c r="I638" s="36" t="n">
        <v>-0.1040268456375839</v>
      </c>
      <c r="J638" s="31" t="n">
        <v>39555</v>
      </c>
      <c r="K638" s="31" t="n">
        <v>35810</v>
      </c>
      <c r="L638" s="31" t="n">
        <v>30994.5</v>
      </c>
      <c r="M638" s="36" t="n">
        <v>0.6171437460702019</v>
      </c>
      <c r="N638" s="36" t="n">
        <v>0.6270979333926526</v>
      </c>
      <c r="O638" s="36" t="n">
        <v>0.2614173228346457</v>
      </c>
      <c r="P638" s="36" t="n">
        <v>0.06657789613848197</v>
      </c>
      <c r="Q638" s="36" t="n">
        <v>0.9875930521091811</v>
      </c>
      <c r="R638" s="36" t="n">
        <v>0.01251422070534702</v>
      </c>
      <c r="S638" s="36" t="n">
        <v>0.1184026808154146</v>
      </c>
      <c r="T638" s="36" t="n">
        <v>0.2921647389052897</v>
      </c>
      <c r="U638" s="31" t="n">
        <v>44700</v>
      </c>
      <c r="V638" s="31" t="n">
        <v>16570</v>
      </c>
      <c r="W638" s="36" t="n">
        <v>-0.1040268456375839</v>
      </c>
      <c r="X638" s="36" t="n">
        <v>1.417018708509354</v>
      </c>
      <c r="Y638" s="31" t="n">
        <v>28966714</v>
      </c>
      <c r="Z638" s="31" t="n">
        <v>1160116895700</v>
      </c>
      <c r="AA638" s="31" t="n">
        <v>14641679250</v>
      </c>
      <c r="AB638" s="31" t="n">
        <v>17402758612.5</v>
      </c>
      <c r="AC638" s="36" t="n">
        <v>0.01262086545267095</v>
      </c>
      <c r="AD638" s="29" t="inlineStr">
        <is>
          <t>yfinance_download</t>
        </is>
      </c>
      <c r="AE638" s="29" t="inlineStr">
        <is>
          <t>319660.KQ</t>
        </is>
      </c>
    </row>
    <row r="639" ht="24" customHeight="1">
      <c r="A639" s="24" t="inlineStr">
        <is>
          <t>2026-01-21</t>
        </is>
      </c>
      <c r="B639" s="30" t="n">
        <v>39200</v>
      </c>
      <c r="C639" s="30" t="n">
        <v>40500</v>
      </c>
      <c r="D639" s="30" t="n">
        <v>38450</v>
      </c>
      <c r="E639" s="30" t="n">
        <v>39550</v>
      </c>
      <c r="F639" s="30" t="n">
        <v>39550</v>
      </c>
      <c r="G639" s="30" t="n">
        <v>323817</v>
      </c>
      <c r="H639" s="35" t="n">
        <v>-0.01248439450686645</v>
      </c>
      <c r="I639" s="35" t="n">
        <v>-0.1152125279642058</v>
      </c>
      <c r="J639" s="30" t="n">
        <v>39962.5</v>
      </c>
      <c r="K639" s="30" t="n">
        <v>35834.16666666666</v>
      </c>
      <c r="L639" s="30" t="n">
        <v>31157.75</v>
      </c>
      <c r="M639" s="35" t="n">
        <v>0.617899723189282</v>
      </c>
      <c r="N639" s="35" t="n">
        <v>0.627195281621875</v>
      </c>
      <c r="O639" s="35" t="n">
        <v>0.2595541401273886</v>
      </c>
      <c r="P639" s="35" t="n">
        <v>0.03805774278215224</v>
      </c>
      <c r="Q639" s="35" t="n">
        <v>0.9814629258517034</v>
      </c>
      <c r="R639" s="35" t="n">
        <v>-0.01032217704097593</v>
      </c>
      <c r="S639" s="35" t="n">
        <v>0.103695262900863</v>
      </c>
      <c r="T639" s="35" t="n">
        <v>0.2693471126766214</v>
      </c>
      <c r="U639" s="30" t="n">
        <v>44700</v>
      </c>
      <c r="V639" s="30" t="n">
        <v>16570</v>
      </c>
      <c r="W639" s="35" t="n">
        <v>-0.1152125279642058</v>
      </c>
      <c r="X639" s="35" t="n">
        <v>1.386843693421847</v>
      </c>
      <c r="Y639" s="30" t="n">
        <v>28966714</v>
      </c>
      <c r="Z639" s="30" t="n">
        <v>1145633538700</v>
      </c>
      <c r="AA639" s="30" t="n">
        <v>12806962350</v>
      </c>
      <c r="AB639" s="30" t="n">
        <v>17579567370</v>
      </c>
      <c r="AC639" s="35" t="n">
        <v>0.01117893455225884</v>
      </c>
      <c r="AD639" s="24" t="inlineStr">
        <is>
          <t>yfinance_download</t>
        </is>
      </c>
      <c r="AE639" s="24" t="inlineStr">
        <is>
          <t>319660.KQ</t>
        </is>
      </c>
    </row>
    <row r="640" ht="24" customHeight="1">
      <c r="A640" s="29" t="inlineStr">
        <is>
          <t>2026-01-22</t>
        </is>
      </c>
      <c r="B640" s="31" t="n">
        <v>41050</v>
      </c>
      <c r="C640" s="31" t="n">
        <v>42400</v>
      </c>
      <c r="D640" s="31" t="n">
        <v>39500</v>
      </c>
      <c r="E640" s="31" t="n">
        <v>39650</v>
      </c>
      <c r="F640" s="31" t="n">
        <v>39650</v>
      </c>
      <c r="G640" s="31" t="n">
        <v>426004</v>
      </c>
      <c r="H640" s="36" t="n">
        <v>0.002528445006321212</v>
      </c>
      <c r="I640" s="36" t="n">
        <v>-0.1129753914988815</v>
      </c>
      <c r="J640" s="31" t="n">
        <v>40217.5</v>
      </c>
      <c r="K640" s="31" t="n">
        <v>35860</v>
      </c>
      <c r="L640" s="31" t="n">
        <v>31324.58333333333</v>
      </c>
      <c r="M640" s="36" t="n">
        <v>0.523434807702742</v>
      </c>
      <c r="N640" s="36" t="n">
        <v>0.6271928889524243</v>
      </c>
      <c r="O640" s="36" t="n">
        <v>0.1476121562952244</v>
      </c>
      <c r="P640" s="36" t="n">
        <v>0.04068241469816281</v>
      </c>
      <c r="Q640" s="36" t="n">
        <v>1.019867549668874</v>
      </c>
      <c r="R640" s="36" t="n">
        <v>-0.0141107726735874</v>
      </c>
      <c r="S640" s="36" t="n">
        <v>0.1056887897378695</v>
      </c>
      <c r="T640" s="36" t="n">
        <v>0.265779007435587</v>
      </c>
      <c r="U640" s="31" t="n">
        <v>44700</v>
      </c>
      <c r="V640" s="31" t="n">
        <v>16570</v>
      </c>
      <c r="W640" s="36" t="n">
        <v>-0.1129753914988815</v>
      </c>
      <c r="X640" s="36" t="n">
        <v>1.392878696439348</v>
      </c>
      <c r="Y640" s="31" t="n">
        <v>28966714</v>
      </c>
      <c r="Z640" s="31" t="n">
        <v>1148530210100</v>
      </c>
      <c r="AA640" s="31" t="n">
        <v>16891058600</v>
      </c>
      <c r="AB640" s="31" t="n">
        <v>17457513222.5</v>
      </c>
      <c r="AC640" s="36" t="n">
        <v>0.01470667332166155</v>
      </c>
      <c r="AD640" s="29" t="inlineStr">
        <is>
          <t>yfinance_download</t>
        </is>
      </c>
      <c r="AE640" s="29" t="inlineStr">
        <is>
          <t>319660.KQ</t>
        </is>
      </c>
    </row>
    <row r="641" ht="24" customHeight="1">
      <c r="A641" s="24" t="inlineStr">
        <is>
          <t>2026-01-23</t>
        </is>
      </c>
      <c r="B641" s="30" t="n">
        <v>39900</v>
      </c>
      <c r="C641" s="30" t="n">
        <v>39950</v>
      </c>
      <c r="D641" s="30" t="n">
        <v>38750</v>
      </c>
      <c r="E641" s="30" t="n">
        <v>39750</v>
      </c>
      <c r="F641" s="30" t="n">
        <v>39750</v>
      </c>
      <c r="G641" s="30" t="n">
        <v>374775</v>
      </c>
      <c r="H641" s="35" t="n">
        <v>0.002522068095838659</v>
      </c>
      <c r="I641" s="35" t="n">
        <v>-0.1107382550335571</v>
      </c>
      <c r="J641" s="30" t="n">
        <v>40432.5</v>
      </c>
      <c r="K641" s="30" t="n">
        <v>35908.33333333334</v>
      </c>
      <c r="L641" s="30" t="n">
        <v>31483.33333333333</v>
      </c>
      <c r="M641" s="35" t="n">
        <v>0.5189693399277379</v>
      </c>
      <c r="N641" s="35" t="n">
        <v>0.6231227135234398</v>
      </c>
      <c r="O641" s="35" t="n">
        <v>0.1212976022566996</v>
      </c>
      <c r="P641" s="35" t="n">
        <v>0.07869742198100416</v>
      </c>
      <c r="Q641" s="35" t="n">
        <v>0.9202898550724639</v>
      </c>
      <c r="R641" s="35" t="n">
        <v>-0.01687998516045264</v>
      </c>
      <c r="S641" s="35" t="n">
        <v>0.1069853794383846</v>
      </c>
      <c r="T641" s="35" t="n">
        <v>0.2625727898358921</v>
      </c>
      <c r="U641" s="30" t="n">
        <v>44700</v>
      </c>
      <c r="V641" s="30" t="n">
        <v>16570</v>
      </c>
      <c r="W641" s="35" t="n">
        <v>-0.1107382550335571</v>
      </c>
      <c r="X641" s="35" t="n">
        <v>1.39891369945685</v>
      </c>
      <c r="Y641" s="30" t="n">
        <v>28966714</v>
      </c>
      <c r="Z641" s="30" t="n">
        <v>1151426881500</v>
      </c>
      <c r="AA641" s="30" t="n">
        <v>14897306250</v>
      </c>
      <c r="AB641" s="30" t="n">
        <v>17442715167.5</v>
      </c>
      <c r="AC641" s="35" t="n">
        <v>0.01293812615404012</v>
      </c>
      <c r="AD641" s="24" t="inlineStr">
        <is>
          <t>yfinance_download</t>
        </is>
      </c>
      <c r="AE641" s="24" t="inlineStr">
        <is>
          <t>319660.KQ</t>
        </is>
      </c>
    </row>
    <row r="642" ht="24" customHeight="1">
      <c r="A642" s="29" t="inlineStr">
        <is>
          <t>2026-01-26</t>
        </is>
      </c>
      <c r="B642" s="31" t="n">
        <v>40150</v>
      </c>
      <c r="C642" s="31" t="n">
        <v>42450</v>
      </c>
      <c r="D642" s="31" t="n">
        <v>39750</v>
      </c>
      <c r="E642" s="31" t="n">
        <v>41800</v>
      </c>
      <c r="F642" s="31" t="n">
        <v>41800</v>
      </c>
      <c r="G642" s="31" t="n">
        <v>599395</v>
      </c>
      <c r="H642" s="36" t="n">
        <v>0.05157232704402515</v>
      </c>
      <c r="I642" s="36" t="n">
        <v>-0.06487695749440714</v>
      </c>
      <c r="J642" s="31" t="n">
        <v>40792.5</v>
      </c>
      <c r="K642" s="31" t="n">
        <v>35970.83333333334</v>
      </c>
      <c r="L642" s="31" t="n">
        <v>31656.66666666667</v>
      </c>
      <c r="M642" s="36" t="n">
        <v>0.5298036052601485</v>
      </c>
      <c r="N642" s="36" t="n">
        <v>0.6282993474302131</v>
      </c>
      <c r="O642" s="36" t="n">
        <v>0.2080924855491328</v>
      </c>
      <c r="P642" s="36" t="n">
        <v>0.09855453350854138</v>
      </c>
      <c r="Q642" s="36" t="n">
        <v>0.9904761904761905</v>
      </c>
      <c r="R642" s="36" t="n">
        <v>0.0246981675553104</v>
      </c>
      <c r="S642" s="36" t="n">
        <v>0.1620525889030464</v>
      </c>
      <c r="T642" s="36" t="n">
        <v>0.3204169737811939</v>
      </c>
      <c r="U642" s="31" t="n">
        <v>44700</v>
      </c>
      <c r="V642" s="31" t="n">
        <v>16570</v>
      </c>
      <c r="W642" s="36" t="n">
        <v>-0.06487695749440714</v>
      </c>
      <c r="X642" s="36" t="n">
        <v>1.522631261315631</v>
      </c>
      <c r="Y642" s="31" t="n">
        <v>28966714</v>
      </c>
      <c r="Z642" s="31" t="n">
        <v>1210808645200</v>
      </c>
      <c r="AA642" s="31" t="n">
        <v>25054711000</v>
      </c>
      <c r="AB642" s="31" t="n">
        <v>18289701707.5</v>
      </c>
      <c r="AC642" s="36" t="n">
        <v>0.02069254386258656</v>
      </c>
      <c r="AD642" s="29" t="inlineStr">
        <is>
          <t>yfinance_download</t>
        </is>
      </c>
      <c r="AE642" s="29" t="inlineStr">
        <is>
          <t>319660.KQ</t>
        </is>
      </c>
    </row>
    <row r="643" ht="24" customHeight="1">
      <c r="A643" s="24" t="inlineStr">
        <is>
          <t>2026-01-27</t>
        </is>
      </c>
      <c r="B643" s="30" t="n">
        <v>42400</v>
      </c>
      <c r="C643" s="30" t="n">
        <v>47350</v>
      </c>
      <c r="D643" s="30" t="n">
        <v>42000</v>
      </c>
      <c r="E643" s="30" t="n">
        <v>47250</v>
      </c>
      <c r="F643" s="30" t="n">
        <v>47250</v>
      </c>
      <c r="G643" s="30" t="n">
        <v>1133430</v>
      </c>
      <c r="H643" s="35" t="n">
        <v>0.1303827751196172</v>
      </c>
      <c r="I643" s="35" t="n">
        <v>0</v>
      </c>
      <c r="J643" s="30" t="n">
        <v>41365</v>
      </c>
      <c r="K643" s="30" t="n">
        <v>36118.33333333334</v>
      </c>
      <c r="L643" s="30" t="n">
        <v>31875.83333333333</v>
      </c>
      <c r="M643" s="35" t="n">
        <v>0.6772788268622358</v>
      </c>
      <c r="N643" s="35" t="n">
        <v>0.6808451418315008</v>
      </c>
      <c r="O643" s="35" t="n">
        <v>0.3198324022346368</v>
      </c>
      <c r="P643" s="35" t="n">
        <v>0.23046875</v>
      </c>
      <c r="Q643" s="35" t="n">
        <v>1.255369928400955</v>
      </c>
      <c r="R643" s="35" t="n">
        <v>0.1422700350537895</v>
      </c>
      <c r="S643" s="35" t="n">
        <v>0.3081998984818419</v>
      </c>
      <c r="T643" s="35" t="n">
        <v>0.4823141878643695</v>
      </c>
      <c r="U643" s="30" t="n">
        <v>47250</v>
      </c>
      <c r="V643" s="30" t="n">
        <v>16570</v>
      </c>
      <c r="W643" s="35" t="n">
        <v>0</v>
      </c>
      <c r="X643" s="35" t="n">
        <v>1.851538925769463</v>
      </c>
      <c r="Y643" s="30" t="n">
        <v>28966714</v>
      </c>
      <c r="Z643" s="30" t="n">
        <v>1368677236500</v>
      </c>
      <c r="AA643" s="30" t="n">
        <v>53554567500</v>
      </c>
      <c r="AB643" s="30" t="n">
        <v>20232584962.5</v>
      </c>
      <c r="AC643" s="35" t="n">
        <v>0.03912870476091972</v>
      </c>
      <c r="AD643" s="24" t="inlineStr">
        <is>
          <t>yfinance_download</t>
        </is>
      </c>
      <c r="AE643" s="24" t="inlineStr">
        <is>
          <t>319660.KQ</t>
        </is>
      </c>
    </row>
    <row r="644" ht="24" customHeight="1">
      <c r="A644" s="29" t="inlineStr">
        <is>
          <t>2026-01-28</t>
        </is>
      </c>
      <c r="B644" s="31" t="n">
        <v>48200</v>
      </c>
      <c r="C644" s="31" t="n">
        <v>54000</v>
      </c>
      <c r="D644" s="31" t="n">
        <v>46600</v>
      </c>
      <c r="E644" s="31" t="n">
        <v>53700</v>
      </c>
      <c r="F644" s="31" t="n">
        <v>53700</v>
      </c>
      <c r="G644" s="31" t="n">
        <v>1198107</v>
      </c>
      <c r="H644" s="36" t="n">
        <v>0.1365079365079365</v>
      </c>
      <c r="I644" s="36" t="n">
        <v>0</v>
      </c>
      <c r="J644" s="31" t="n">
        <v>42240</v>
      </c>
      <c r="K644" s="31" t="n">
        <v>36384.16666666666</v>
      </c>
      <c r="L644" s="31" t="n">
        <v>32150.41666666667</v>
      </c>
      <c r="M644" s="36" t="n">
        <v>0.8028542371380966</v>
      </c>
      <c r="N644" s="36" t="n">
        <v>0.7311227125870484</v>
      </c>
      <c r="O644" s="36" t="n">
        <v>0.4834254143646408</v>
      </c>
      <c r="P644" s="36" t="n">
        <v>0.4225165562913906</v>
      </c>
      <c r="Q644" s="36" t="n">
        <v>1.587951807228916</v>
      </c>
      <c r="R644" s="36" t="n">
        <v>0.2713068181818181</v>
      </c>
      <c r="S644" s="36" t="n">
        <v>0.4759167220173612</v>
      </c>
      <c r="T644" s="36" t="n">
        <v>0.6702738430035899</v>
      </c>
      <c r="U644" s="31" t="n">
        <v>53700</v>
      </c>
      <c r="V644" s="31" t="n">
        <v>16570</v>
      </c>
      <c r="W644" s="36" t="n">
        <v>0</v>
      </c>
      <c r="X644" s="36" t="n">
        <v>2.24079662039831</v>
      </c>
      <c r="Y644" s="31" t="n">
        <v>28966714</v>
      </c>
      <c r="Z644" s="31" t="n">
        <v>1555512541800</v>
      </c>
      <c r="AA644" s="31" t="n">
        <v>64338345900</v>
      </c>
      <c r="AB644" s="31" t="n">
        <v>22825262217.5</v>
      </c>
      <c r="AC644" s="36" t="n">
        <v>0.04136150893746526</v>
      </c>
      <c r="AD644" s="29" t="inlineStr">
        <is>
          <t>yfinance_download</t>
        </is>
      </c>
      <c r="AE644" s="29" t="inlineStr">
        <is>
          <t>319660.KQ</t>
        </is>
      </c>
    </row>
    <row r="645" ht="24" customHeight="1">
      <c r="A645" s="24" t="inlineStr">
        <is>
          <t>2026-01-29</t>
        </is>
      </c>
      <c r="B645" s="30" t="n">
        <v>57100</v>
      </c>
      <c r="C645" s="30" t="n">
        <v>58000</v>
      </c>
      <c r="D645" s="30" t="n">
        <v>45300</v>
      </c>
      <c r="E645" s="30" t="n">
        <v>54600</v>
      </c>
      <c r="F645" s="30" t="n">
        <v>54600</v>
      </c>
      <c r="G645" s="30" t="n">
        <v>1087060</v>
      </c>
      <c r="H645" s="35" t="n">
        <v>0.01675977653631278</v>
      </c>
      <c r="I645" s="35" t="n">
        <v>0</v>
      </c>
      <c r="J645" s="30" t="n">
        <v>43125</v>
      </c>
      <c r="K645" s="30" t="n">
        <v>36663.33333333334</v>
      </c>
      <c r="L645" s="30" t="n">
        <v>32443.66666666667</v>
      </c>
      <c r="M645" s="35" t="n">
        <v>0.8029800519614918</v>
      </c>
      <c r="N645" s="35" t="n">
        <v>0.731343597282663</v>
      </c>
      <c r="O645" s="35" t="n">
        <v>0.4796747967479675</v>
      </c>
      <c r="P645" s="35" t="n">
        <v>0.4425363276089829</v>
      </c>
      <c r="Q645" s="35" t="n">
        <v>1.812982998454405</v>
      </c>
      <c r="R645" s="35" t="n">
        <v>0.2660869565217392</v>
      </c>
      <c r="S645" s="35" t="n">
        <v>0.4892262932993907</v>
      </c>
      <c r="T645" s="35" t="n">
        <v>0.6829170562308</v>
      </c>
      <c r="U645" s="30" t="n">
        <v>54600</v>
      </c>
      <c r="V645" s="30" t="n">
        <v>16570</v>
      </c>
      <c r="W645" s="35" t="n">
        <v>0</v>
      </c>
      <c r="X645" s="35" t="n">
        <v>2.295111647555824</v>
      </c>
      <c r="Y645" s="30" t="n">
        <v>28966714</v>
      </c>
      <c r="Z645" s="30" t="n">
        <v>1581582584400</v>
      </c>
      <c r="AA645" s="30" t="n">
        <v>59353476000</v>
      </c>
      <c r="AB645" s="30" t="n">
        <v>25077869367.5</v>
      </c>
      <c r="AC645" s="35" t="n">
        <v>0.03752790185314082</v>
      </c>
      <c r="AD645" s="24" t="inlineStr">
        <is>
          <t>yfinance_download</t>
        </is>
      </c>
      <c r="AE645" s="24" t="inlineStr">
        <is>
          <t>319660.KQ</t>
        </is>
      </c>
    </row>
    <row r="646" ht="24" customHeight="1">
      <c r="A646" s="29" t="inlineStr">
        <is>
          <t>2026-01-30</t>
        </is>
      </c>
      <c r="B646" s="31" t="n">
        <v>54400</v>
      </c>
      <c r="C646" s="31" t="n">
        <v>64700</v>
      </c>
      <c r="D646" s="31" t="n">
        <v>53700</v>
      </c>
      <c r="E646" s="31" t="n">
        <v>61500</v>
      </c>
      <c r="F646" s="31" t="n">
        <v>61500</v>
      </c>
      <c r="G646" s="31" t="n">
        <v>1126300</v>
      </c>
      <c r="H646" s="36" t="n">
        <v>0.1263736263736264</v>
      </c>
      <c r="I646" s="36" t="n">
        <v>0</v>
      </c>
      <c r="J646" s="31" t="n">
        <v>44255</v>
      </c>
      <c r="K646" s="31" t="n">
        <v>37048.33333333334</v>
      </c>
      <c r="L646" s="31" t="n">
        <v>32793.91666666666</v>
      </c>
      <c r="M646" s="36" t="n">
        <v>0.8798227353031218</v>
      </c>
      <c r="N646" s="36" t="n">
        <v>0.7710121316623852</v>
      </c>
      <c r="O646" s="36" t="n">
        <v>0.5809768637532133</v>
      </c>
      <c r="P646" s="36" t="n">
        <v>0.6015625</v>
      </c>
      <c r="Q646" s="36" t="n">
        <v>2.158705701078583</v>
      </c>
      <c r="R646" s="36" t="n">
        <v>0.3896734832222348</v>
      </c>
      <c r="S646" s="36" t="n">
        <v>0.6599937019209141</v>
      </c>
      <c r="T646" s="36" t="n">
        <v>0.8753478160329533</v>
      </c>
      <c r="U646" s="31" t="n">
        <v>61500</v>
      </c>
      <c r="V646" s="31" t="n">
        <v>16570</v>
      </c>
      <c r="W646" s="36" t="n">
        <v>0</v>
      </c>
      <c r="X646" s="36" t="n">
        <v>2.711526855763428</v>
      </c>
      <c r="Y646" s="31" t="n">
        <v>28966714</v>
      </c>
      <c r="Z646" s="31" t="n">
        <v>1781452911000</v>
      </c>
      <c r="AA646" s="31" t="n">
        <v>69267450000</v>
      </c>
      <c r="AB646" s="31" t="n">
        <v>27725501087.5</v>
      </c>
      <c r="AC646" s="36" t="n">
        <v>0.03888256016888902</v>
      </c>
      <c r="AD646" s="29" t="inlineStr">
        <is>
          <t>yfinance_download</t>
        </is>
      </c>
      <c r="AE646" s="29" t="inlineStr">
        <is>
          <t>319660.KQ</t>
        </is>
      </c>
    </row>
    <row r="647" ht="24" customHeight="1">
      <c r="A647" s="24" t="inlineStr">
        <is>
          <t>2026-02-02</t>
        </is>
      </c>
      <c r="B647" s="30" t="n">
        <v>60200</v>
      </c>
      <c r="C647" s="30" t="n">
        <v>61900</v>
      </c>
      <c r="D647" s="30" t="n">
        <v>55000</v>
      </c>
      <c r="E647" s="30" t="n">
        <v>55500</v>
      </c>
      <c r="F647" s="30" t="n">
        <v>55500</v>
      </c>
      <c r="G647" s="30" t="n">
        <v>557235</v>
      </c>
      <c r="H647" s="35" t="n">
        <v>-0.09756097560975607</v>
      </c>
      <c r="I647" s="35" t="n">
        <v>-0.09756097560975607</v>
      </c>
      <c r="J647" s="30" t="n">
        <v>44945</v>
      </c>
      <c r="K647" s="30" t="n">
        <v>37358.33333333334</v>
      </c>
      <c r="L647" s="30" t="n">
        <v>33094.41666666666</v>
      </c>
      <c r="M647" s="35" t="n">
        <v>0.9607022843418552</v>
      </c>
      <c r="N647" s="35" t="n">
        <v>0.7955206140974426</v>
      </c>
      <c r="O647" s="35" t="n">
        <v>0.3309352517985611</v>
      </c>
      <c r="P647" s="35" t="n">
        <v>0.5040650406504066</v>
      </c>
      <c r="Q647" s="35" t="n">
        <v>1.854938271604938</v>
      </c>
      <c r="R647" s="35" t="n">
        <v>0.2348425853821337</v>
      </c>
      <c r="S647" s="35" t="n">
        <v>0.4856123131831362</v>
      </c>
      <c r="T647" s="35" t="n">
        <v>0.6770200411449063</v>
      </c>
      <c r="U647" s="30" t="n">
        <v>61500</v>
      </c>
      <c r="V647" s="30" t="n">
        <v>16570</v>
      </c>
      <c r="W647" s="35" t="n">
        <v>-0.09756097560975607</v>
      </c>
      <c r="X647" s="35" t="n">
        <v>2.349426674713337</v>
      </c>
      <c r="Y647" s="30" t="n">
        <v>28966714</v>
      </c>
      <c r="Z647" s="30" t="n">
        <v>1607652627000</v>
      </c>
      <c r="AA647" s="30" t="n">
        <v>30926542500</v>
      </c>
      <c r="AB647" s="30" t="n">
        <v>27400048652.5</v>
      </c>
      <c r="AC647" s="35" t="n">
        <v>0.01923708018797023</v>
      </c>
      <c r="AD647" s="24" t="inlineStr">
        <is>
          <t>yfinance_download</t>
        </is>
      </c>
      <c r="AE647" s="24" t="inlineStr">
        <is>
          <t>319660.KQ</t>
        </is>
      </c>
    </row>
    <row r="648" ht="24" customHeight="1">
      <c r="A648" s="29" t="inlineStr">
        <is>
          <t>2026-02-03</t>
        </is>
      </c>
      <c r="B648" s="31" t="n">
        <v>58900</v>
      </c>
      <c r="C648" s="31" t="n">
        <v>60300</v>
      </c>
      <c r="D648" s="31" t="n">
        <v>57000</v>
      </c>
      <c r="E648" s="31" t="n">
        <v>60300</v>
      </c>
      <c r="F648" s="31" t="n">
        <v>60300</v>
      </c>
      <c r="G648" s="31" t="n">
        <v>333347</v>
      </c>
      <c r="H648" s="36" t="n">
        <v>0.08648648648648649</v>
      </c>
      <c r="I648" s="36" t="n">
        <v>-0.01951219512195124</v>
      </c>
      <c r="J648" s="31" t="n">
        <v>45725</v>
      </c>
      <c r="K648" s="31" t="n">
        <v>37696.66666666666</v>
      </c>
      <c r="L648" s="31" t="n">
        <v>33432.66666666666</v>
      </c>
      <c r="M648" s="36" t="n">
        <v>0.9732262739313002</v>
      </c>
      <c r="N648" s="36" t="n">
        <v>0.7965460435355375</v>
      </c>
      <c r="O648" s="36" t="n">
        <v>0.348993288590604</v>
      </c>
      <c r="P648" s="36" t="n">
        <v>0.5075000000000001</v>
      </c>
      <c r="Q648" s="36" t="n">
        <v>2.059360730593607</v>
      </c>
      <c r="R648" s="36" t="n">
        <v>0.3187534171678512</v>
      </c>
      <c r="S648" s="36" t="n">
        <v>0.5996109293483067</v>
      </c>
      <c r="T648" s="36" t="n">
        <v>0.8036251969131989</v>
      </c>
      <c r="U648" s="31" t="n">
        <v>61500</v>
      </c>
      <c r="V648" s="31" t="n">
        <v>16570</v>
      </c>
      <c r="W648" s="36" t="n">
        <v>-0.01951219512195124</v>
      </c>
      <c r="X648" s="36" t="n">
        <v>2.63910681955341</v>
      </c>
      <c r="Y648" s="31" t="n">
        <v>28966714</v>
      </c>
      <c r="Z648" s="31" t="n">
        <v>1746692854200</v>
      </c>
      <c r="AA648" s="31" t="n">
        <v>20100824100</v>
      </c>
      <c r="AB648" s="31" t="n">
        <v>27090147722.5</v>
      </c>
      <c r="AC648" s="36" t="n">
        <v>0.01150793286390717</v>
      </c>
      <c r="AD648" s="29" t="inlineStr">
        <is>
          <t>yfinance_download</t>
        </is>
      </c>
      <c r="AE648" s="29" t="inlineStr">
        <is>
          <t>319660.KQ</t>
        </is>
      </c>
    </row>
    <row r="649" ht="24" customHeight="1">
      <c r="A649" s="24" t="inlineStr">
        <is>
          <t>2026-02-04</t>
        </is>
      </c>
      <c r="B649" s="30" t="n">
        <v>58800</v>
      </c>
      <c r="C649" s="30" t="n">
        <v>60500</v>
      </c>
      <c r="D649" s="30" t="n">
        <v>56900</v>
      </c>
      <c r="E649" s="30" t="n">
        <v>57600</v>
      </c>
      <c r="F649" s="30" t="n">
        <v>57600</v>
      </c>
      <c r="G649" s="30" t="n">
        <v>382782</v>
      </c>
      <c r="H649" s="35" t="n">
        <v>-0.04477611940298509</v>
      </c>
      <c r="I649" s="35" t="n">
        <v>-0.06341463414634141</v>
      </c>
      <c r="J649" s="30" t="n">
        <v>46370</v>
      </c>
      <c r="K649" s="30" t="n">
        <v>38044.16666666666</v>
      </c>
      <c r="L649" s="30" t="n">
        <v>33745.16666666666</v>
      </c>
      <c r="M649" s="35" t="n">
        <v>0.9961842165817021</v>
      </c>
      <c r="N649" s="35" t="n">
        <v>0.7824592999845362</v>
      </c>
      <c r="O649" s="35" t="n">
        <v>0.2885906040268456</v>
      </c>
      <c r="P649" s="35" t="n">
        <v>0.5673469387755101</v>
      </c>
      <c r="Q649" s="35" t="n">
        <v>1.865671641791045</v>
      </c>
      <c r="R649" s="35" t="n">
        <v>0.2421824455466897</v>
      </c>
      <c r="S649" s="35" t="n">
        <v>0.5140297461284036</v>
      </c>
      <c r="T649" s="35" t="n">
        <v>0.7069111131964578</v>
      </c>
      <c r="U649" s="30" t="n">
        <v>61500</v>
      </c>
      <c r="V649" s="30" t="n">
        <v>16570</v>
      </c>
      <c r="W649" s="35" t="n">
        <v>-0.06341463414634141</v>
      </c>
      <c r="X649" s="35" t="n">
        <v>2.476161738080869</v>
      </c>
      <c r="Y649" s="30" t="n">
        <v>28966714</v>
      </c>
      <c r="Z649" s="30" t="n">
        <v>1668482726400</v>
      </c>
      <c r="AA649" s="30" t="n">
        <v>22048243200</v>
      </c>
      <c r="AB649" s="30" t="n">
        <v>26530705517.5</v>
      </c>
      <c r="AC649" s="35" t="n">
        <v>0.01321454687611443</v>
      </c>
      <c r="AD649" s="24" t="inlineStr">
        <is>
          <t>yfinance_download</t>
        </is>
      </c>
      <c r="AE649" s="24" t="inlineStr">
        <is>
          <t>319660.KQ</t>
        </is>
      </c>
    </row>
    <row r="650" ht="24" customHeight="1">
      <c r="A650" s="29" t="inlineStr">
        <is>
          <t>2026-02-05</t>
        </is>
      </c>
      <c r="B650" s="31" t="n">
        <v>54600</v>
      </c>
      <c r="C650" s="31" t="n">
        <v>56600</v>
      </c>
      <c r="D650" s="31" t="n">
        <v>53300</v>
      </c>
      <c r="E650" s="31" t="n">
        <v>53700</v>
      </c>
      <c r="F650" s="31" t="n">
        <v>53700</v>
      </c>
      <c r="G650" s="31" t="n">
        <v>581892</v>
      </c>
      <c r="H650" s="36" t="n">
        <v>-0.06770833333333337</v>
      </c>
      <c r="I650" s="36" t="n">
        <v>-0.1268292682926829</v>
      </c>
      <c r="J650" s="31" t="n">
        <v>46875</v>
      </c>
      <c r="K650" s="31" t="n">
        <v>38305.83333333334</v>
      </c>
      <c r="L650" s="31" t="n">
        <v>34015.58333333334</v>
      </c>
      <c r="M650" s="36" t="n">
        <v>1.029839035727173</v>
      </c>
      <c r="N650" s="36" t="n">
        <v>0.7960453082623016</v>
      </c>
      <c r="O650" s="36" t="n">
        <v>0.2316513761467891</v>
      </c>
      <c r="P650" s="36" t="n">
        <v>0.4131578947368422</v>
      </c>
      <c r="Q650" s="36" t="n">
        <v>1.527058823529412</v>
      </c>
      <c r="R650" s="36" t="n">
        <v>0.1456</v>
      </c>
      <c r="S650" s="36" t="n">
        <v>0.4018752583375029</v>
      </c>
      <c r="T650" s="36" t="n">
        <v>0.5786881992812116</v>
      </c>
      <c r="U650" s="31" t="n">
        <v>61500</v>
      </c>
      <c r="V650" s="31" t="n">
        <v>16570</v>
      </c>
      <c r="W650" s="36" t="n">
        <v>-0.1268292682926829</v>
      </c>
      <c r="X650" s="36" t="n">
        <v>2.24079662039831</v>
      </c>
      <c r="Y650" s="31" t="n">
        <v>28966714</v>
      </c>
      <c r="Z650" s="31" t="n">
        <v>1555512541800</v>
      </c>
      <c r="AA650" s="31" t="n">
        <v>31247600400</v>
      </c>
      <c r="AB650" s="31" t="n">
        <v>27011583177.5</v>
      </c>
      <c r="AC650" s="36" t="n">
        <v>0.02008829858989183</v>
      </c>
      <c r="AD650" s="29" t="inlineStr">
        <is>
          <t>yfinance_download</t>
        </is>
      </c>
      <c r="AE650" s="29" t="inlineStr">
        <is>
          <t>319660.KQ</t>
        </is>
      </c>
    </row>
    <row r="651" ht="24" customHeight="1">
      <c r="A651" s="24" t="inlineStr">
        <is>
          <t>2026-02-06</t>
        </is>
      </c>
      <c r="B651" s="30" t="n">
        <v>51700</v>
      </c>
      <c r="C651" s="30" t="n">
        <v>56800</v>
      </c>
      <c r="D651" s="30" t="n">
        <v>50700</v>
      </c>
      <c r="E651" s="30" t="n">
        <v>55300</v>
      </c>
      <c r="F651" s="30" t="n">
        <v>55300</v>
      </c>
      <c r="G651" s="30" t="n">
        <v>478614</v>
      </c>
      <c r="H651" s="35" t="n">
        <v>0.02979515828677837</v>
      </c>
      <c r="I651" s="35" t="n">
        <v>-0.1008130081300813</v>
      </c>
      <c r="J651" s="30" t="n">
        <v>47492.5</v>
      </c>
      <c r="K651" s="30" t="n">
        <v>38581.66666666666</v>
      </c>
      <c r="L651" s="30" t="n">
        <v>34296.41666666666</v>
      </c>
      <c r="M651" s="35" t="n">
        <v>1.026333538022548</v>
      </c>
      <c r="N651" s="35" t="n">
        <v>0.7969998211052851</v>
      </c>
      <c r="O651" s="35" t="n">
        <v>0.2875436554132713</v>
      </c>
      <c r="P651" s="35" t="n">
        <v>0.4270967741935483</v>
      </c>
      <c r="Q651" s="35" t="n">
        <v>1.560185185185185</v>
      </c>
      <c r="R651" s="35" t="n">
        <v>0.1643943780596937</v>
      </c>
      <c r="S651" s="35" t="n">
        <v>0.4333232537042637</v>
      </c>
      <c r="T651" s="35" t="n">
        <v>0.612413347361362</v>
      </c>
      <c r="U651" s="30" t="n">
        <v>61500</v>
      </c>
      <c r="V651" s="30" t="n">
        <v>16570</v>
      </c>
      <c r="W651" s="35" t="n">
        <v>-0.1008130081300813</v>
      </c>
      <c r="X651" s="35" t="n">
        <v>2.337356668678334</v>
      </c>
      <c r="Y651" s="30" t="n">
        <v>28966714</v>
      </c>
      <c r="Z651" s="30" t="n">
        <v>1601859284200</v>
      </c>
      <c r="AA651" s="30" t="n">
        <v>26467354200</v>
      </c>
      <c r="AB651" s="30" t="n">
        <v>27471924325</v>
      </c>
      <c r="AC651" s="35" t="n">
        <v>0.01652289590044629</v>
      </c>
      <c r="AD651" s="24" t="inlineStr">
        <is>
          <t>yfinance_download</t>
        </is>
      </c>
      <c r="AE651" s="24" t="inlineStr">
        <is>
          <t>319660.KQ</t>
        </is>
      </c>
    </row>
    <row r="652" ht="24" customHeight="1">
      <c r="A652" s="29" t="inlineStr">
        <is>
          <t>2026-02-09</t>
        </is>
      </c>
      <c r="B652" s="31" t="n">
        <v>58100</v>
      </c>
      <c r="C652" s="31" t="n">
        <v>58900</v>
      </c>
      <c r="D652" s="31" t="n">
        <v>56300</v>
      </c>
      <c r="E652" s="31" t="n">
        <v>58400</v>
      </c>
      <c r="F652" s="31" t="n">
        <v>58400</v>
      </c>
      <c r="G652" s="31" t="n">
        <v>277047</v>
      </c>
      <c r="H652" s="36" t="n">
        <v>0.05605786618444841</v>
      </c>
      <c r="I652" s="36" t="n">
        <v>-0.05040650406504066</v>
      </c>
      <c r="J652" s="31" t="n">
        <v>48355</v>
      </c>
      <c r="K652" s="31" t="n">
        <v>38920.83333333334</v>
      </c>
      <c r="L652" s="31" t="n">
        <v>34606.83333333334</v>
      </c>
      <c r="M652" s="36" t="n">
        <v>1.013575991100895</v>
      </c>
      <c r="N652" s="36" t="n">
        <v>0.8014468648099852</v>
      </c>
      <c r="O652" s="36" t="n">
        <v>0.4191980558930741</v>
      </c>
      <c r="P652" s="36" t="n">
        <v>0.5348226018396847</v>
      </c>
      <c r="Q652" s="36" t="n">
        <v>1.761229314420804</v>
      </c>
      <c r="R652" s="36" t="n">
        <v>0.2077344638610279</v>
      </c>
      <c r="S652" s="36" t="n">
        <v>0.5004817471362808</v>
      </c>
      <c r="T652" s="36" t="n">
        <v>0.6875279930264253</v>
      </c>
      <c r="U652" s="31" t="n">
        <v>61500</v>
      </c>
      <c r="V652" s="31" t="n">
        <v>16570</v>
      </c>
      <c r="W652" s="36" t="n">
        <v>-0.05040650406504066</v>
      </c>
      <c r="X652" s="36" t="n">
        <v>2.524441762220881</v>
      </c>
      <c r="Y652" s="31" t="n">
        <v>28966714</v>
      </c>
      <c r="Z652" s="31" t="n">
        <v>1691656097600</v>
      </c>
      <c r="AA652" s="31" t="n">
        <v>16179544800</v>
      </c>
      <c r="AB652" s="31" t="n">
        <v>27222029765</v>
      </c>
      <c r="AC652" s="36" t="n">
        <v>0.009564322691210332</v>
      </c>
      <c r="AD652" s="29" t="inlineStr">
        <is>
          <t>yfinance_download</t>
        </is>
      </c>
      <c r="AE652" s="29" t="inlineStr">
        <is>
          <t>319660.KQ</t>
        </is>
      </c>
    </row>
    <row r="653" ht="24" customHeight="1">
      <c r="A653" s="24" t="inlineStr">
        <is>
          <t>2026-02-10</t>
        </is>
      </c>
      <c r="B653" s="30" t="n">
        <v>58100</v>
      </c>
      <c r="C653" s="30" t="n">
        <v>58700</v>
      </c>
      <c r="D653" s="30" t="n">
        <v>55800</v>
      </c>
      <c r="E653" s="30" t="n">
        <v>56100</v>
      </c>
      <c r="F653" s="30" t="n">
        <v>56100</v>
      </c>
      <c r="G653" s="30" t="n">
        <v>207915</v>
      </c>
      <c r="H653" s="35" t="n">
        <v>-0.03938356164383561</v>
      </c>
      <c r="I653" s="35" t="n">
        <v>-0.08780487804878045</v>
      </c>
      <c r="J653" s="30" t="n">
        <v>49070</v>
      </c>
      <c r="K653" s="30" t="n">
        <v>39245.83333333334</v>
      </c>
      <c r="L653" s="30" t="n">
        <v>34894.33333333334</v>
      </c>
      <c r="M653" s="35" t="n">
        <v>1.034977057200363</v>
      </c>
      <c r="N653" s="35" t="n">
        <v>0.8017672003352543</v>
      </c>
      <c r="O653" s="35" t="n">
        <v>0.3421052631578947</v>
      </c>
      <c r="P653" s="35" t="n">
        <v>0.5327868852459017</v>
      </c>
      <c r="Q653" s="35" t="n">
        <v>1.597222222222222</v>
      </c>
      <c r="R653" s="35" t="n">
        <v>0.143264723863868</v>
      </c>
      <c r="S653" s="35" t="n">
        <v>0.4294511094596027</v>
      </c>
      <c r="T653" s="35" t="n">
        <v>0.6077108986177315</v>
      </c>
      <c r="U653" s="30" t="n">
        <v>61500</v>
      </c>
      <c r="V653" s="30" t="n">
        <v>16570</v>
      </c>
      <c r="W653" s="35" t="n">
        <v>-0.08780487804878045</v>
      </c>
      <c r="X653" s="35" t="n">
        <v>2.385636692818347</v>
      </c>
      <c r="Y653" s="30" t="n">
        <v>28966714</v>
      </c>
      <c r="Z653" s="30" t="n">
        <v>1625032655400</v>
      </c>
      <c r="AA653" s="30" t="n">
        <v>11664031500</v>
      </c>
      <c r="AB653" s="30" t="n">
        <v>27216695700</v>
      </c>
      <c r="AC653" s="35" t="n">
        <v>0.007177721297624577</v>
      </c>
      <c r="AD653" s="24" t="inlineStr">
        <is>
          <t>yfinance_download</t>
        </is>
      </c>
      <c r="AE653" s="24" t="inlineStr">
        <is>
          <t>319660.KQ</t>
        </is>
      </c>
    </row>
    <row r="654" ht="24" customHeight="1">
      <c r="A654" s="29" t="inlineStr">
        <is>
          <t>2026-02-11</t>
        </is>
      </c>
      <c r="B654" s="31" t="n">
        <v>55300</v>
      </c>
      <c r="C654" s="31" t="n">
        <v>58500</v>
      </c>
      <c r="D654" s="31" t="n">
        <v>55200</v>
      </c>
      <c r="E654" s="31" t="n">
        <v>57000</v>
      </c>
      <c r="F654" s="31" t="n">
        <v>57000</v>
      </c>
      <c r="G654" s="31" t="n">
        <v>233359</v>
      </c>
      <c r="H654" s="36" t="n">
        <v>0.01604278074866317</v>
      </c>
      <c r="I654" s="36" t="n">
        <v>-0.07317073170731703</v>
      </c>
      <c r="J654" s="31" t="n">
        <v>49785</v>
      </c>
      <c r="K654" s="31" t="n">
        <v>39629.16666666666</v>
      </c>
      <c r="L654" s="31" t="n">
        <v>35191.41666666666</v>
      </c>
      <c r="M654" s="36" t="n">
        <v>1.034826162163829</v>
      </c>
      <c r="N654" s="36" t="n">
        <v>0.7846094984561121</v>
      </c>
      <c r="O654" s="36" t="n">
        <v>0.3348946135831381</v>
      </c>
      <c r="P654" s="36" t="n">
        <v>0.6764705882352942</v>
      </c>
      <c r="Q654" s="36" t="n">
        <v>1.669789227166276</v>
      </c>
      <c r="R654" s="36" t="n">
        <v>0.1449231696294064</v>
      </c>
      <c r="S654" s="36" t="n">
        <v>0.4383345599831774</v>
      </c>
      <c r="T654" s="36" t="n">
        <v>0.6197131402780509</v>
      </c>
      <c r="U654" s="31" t="n">
        <v>61500</v>
      </c>
      <c r="V654" s="31" t="n">
        <v>16570</v>
      </c>
      <c r="W654" s="36" t="n">
        <v>-0.07317073170731703</v>
      </c>
      <c r="X654" s="36" t="n">
        <v>2.43995171997586</v>
      </c>
      <c r="Y654" s="31" t="n">
        <v>28966714</v>
      </c>
      <c r="Z654" s="31" t="n">
        <v>1651102698000</v>
      </c>
      <c r="AA654" s="31" t="n">
        <v>13301463000</v>
      </c>
      <c r="AB654" s="31" t="n">
        <v>27351522385</v>
      </c>
      <c r="AC654" s="36" t="n">
        <v>0.008056108815104122</v>
      </c>
      <c r="AD654" s="29" t="inlineStr">
        <is>
          <t>yfinance_download</t>
        </is>
      </c>
      <c r="AE654" s="29" t="inlineStr">
        <is>
          <t>319660.KQ</t>
        </is>
      </c>
    </row>
    <row r="655" ht="24" customHeight="1">
      <c r="A655" s="24" t="inlineStr">
        <is>
          <t>2026-02-12</t>
        </is>
      </c>
      <c r="B655" s="30" t="n">
        <v>58000</v>
      </c>
      <c r="C655" s="30" t="n">
        <v>59300</v>
      </c>
      <c r="D655" s="30" t="n">
        <v>57100</v>
      </c>
      <c r="E655" s="30" t="n">
        <v>59300</v>
      </c>
      <c r="F655" s="30" t="n">
        <v>59300</v>
      </c>
      <c r="G655" s="30" t="n">
        <v>276997</v>
      </c>
      <c r="H655" s="35" t="n">
        <v>0.04035087719298236</v>
      </c>
      <c r="I655" s="35" t="n">
        <v>-0.03577235772357723</v>
      </c>
      <c r="J655" s="30" t="n">
        <v>50687.5</v>
      </c>
      <c r="K655" s="30" t="n">
        <v>40027.5</v>
      </c>
      <c r="L655" s="30" t="n">
        <v>35513.08333333334</v>
      </c>
      <c r="M655" s="35" t="n">
        <v>1.020280179131485</v>
      </c>
      <c r="N655" s="35" t="n">
        <v>0.7844703764266864</v>
      </c>
      <c r="O655" s="35" t="n">
        <v>0.4375757575757575</v>
      </c>
      <c r="P655" s="35" t="n">
        <v>0.6751412429378532</v>
      </c>
      <c r="Q655" s="35" t="n">
        <v>1.864734299516908</v>
      </c>
      <c r="R655" s="35" t="n">
        <v>0.1699136868064119</v>
      </c>
      <c r="S655" s="35" t="n">
        <v>0.4814814814814814</v>
      </c>
      <c r="T655" s="35" t="n">
        <v>0.669807136806388</v>
      </c>
      <c r="U655" s="30" t="n">
        <v>61500</v>
      </c>
      <c r="V655" s="30" t="n">
        <v>16570</v>
      </c>
      <c r="W655" s="35" t="n">
        <v>-0.03577235772357723</v>
      </c>
      <c r="X655" s="35" t="n">
        <v>2.578756789378394</v>
      </c>
      <c r="Y655" s="30" t="n">
        <v>28966714</v>
      </c>
      <c r="Z655" s="30" t="n">
        <v>1717726140200</v>
      </c>
      <c r="AA655" s="30" t="n">
        <v>16425922100</v>
      </c>
      <c r="AB655" s="30" t="n">
        <v>27101063052.5</v>
      </c>
      <c r="AC655" s="35" t="n">
        <v>0.009562596572051631</v>
      </c>
      <c r="AD655" s="24" t="inlineStr">
        <is>
          <t>yfinance_download</t>
        </is>
      </c>
      <c r="AE655" s="24" t="inlineStr">
        <is>
          <t>319660.KQ</t>
        </is>
      </c>
    </row>
    <row r="656" ht="24" customHeight="1">
      <c r="A656" s="29" t="inlineStr">
        <is>
          <t>2026-02-13</t>
        </is>
      </c>
      <c r="B656" s="31" t="n">
        <v>58400</v>
      </c>
      <c r="C656" s="31" t="n">
        <v>59800</v>
      </c>
      <c r="D656" s="31" t="n">
        <v>57700</v>
      </c>
      <c r="E656" s="31" t="n">
        <v>57900</v>
      </c>
      <c r="F656" s="31" t="n">
        <v>57900</v>
      </c>
      <c r="G656" s="31" t="n">
        <v>244459</v>
      </c>
      <c r="H656" s="36" t="n">
        <v>-0.02360876897133224</v>
      </c>
      <c r="I656" s="36" t="n">
        <v>-0.05853658536585371</v>
      </c>
      <c r="J656" s="31" t="n">
        <v>51500</v>
      </c>
      <c r="K656" s="31" t="n">
        <v>40434.16666666666</v>
      </c>
      <c r="L656" s="31" t="n">
        <v>35825.16666666666</v>
      </c>
      <c r="M656" s="36" t="n">
        <v>1.031622620478316</v>
      </c>
      <c r="N656" s="36" t="n">
        <v>0.7764587092126792</v>
      </c>
      <c r="O656" s="36" t="n">
        <v>0.39015606242497</v>
      </c>
      <c r="P656" s="36" t="n">
        <v>0.7283582089552239</v>
      </c>
      <c r="Q656" s="36" t="n">
        <v>1.831295843520782</v>
      </c>
      <c r="R656" s="36" t="n">
        <v>0.1242718446601943</v>
      </c>
      <c r="S656" s="36" t="n">
        <v>0.4319572968405434</v>
      </c>
      <c r="T656" s="36" t="n">
        <v>0.6161822927085709</v>
      </c>
      <c r="U656" s="31" t="n">
        <v>61500</v>
      </c>
      <c r="V656" s="31" t="n">
        <v>16570</v>
      </c>
      <c r="W656" s="36" t="n">
        <v>-0.05853658536585371</v>
      </c>
      <c r="X656" s="36" t="n">
        <v>2.494266747133373</v>
      </c>
      <c r="Y656" s="31" t="n">
        <v>28966714</v>
      </c>
      <c r="Z656" s="31" t="n">
        <v>1677172740600</v>
      </c>
      <c r="AA656" s="31" t="n">
        <v>14154176100</v>
      </c>
      <c r="AB656" s="31" t="n">
        <v>27158498737.5</v>
      </c>
      <c r="AC656" s="36" t="n">
        <v>0.008439307268335649</v>
      </c>
      <c r="AD656" s="29" t="inlineStr">
        <is>
          <t>yfinance_download</t>
        </is>
      </c>
      <c r="AE656" s="29" t="inlineStr">
        <is>
          <t>319660.KQ</t>
        </is>
      </c>
    </row>
    <row r="657" ht="24" customHeight="1">
      <c r="A657" s="24" t="inlineStr">
        <is>
          <t>2026-02-19</t>
        </is>
      </c>
      <c r="B657" s="30" t="n">
        <v>63000</v>
      </c>
      <c r="C657" s="30" t="n">
        <v>66900</v>
      </c>
      <c r="D657" s="30" t="n">
        <v>62000</v>
      </c>
      <c r="E657" s="30" t="n">
        <v>62800</v>
      </c>
      <c r="F657" s="30" t="n">
        <v>62800</v>
      </c>
      <c r="G657" s="30" t="n">
        <v>780599</v>
      </c>
      <c r="H657" s="35" t="n">
        <v>0.08462867012089803</v>
      </c>
      <c r="I657" s="35" t="n">
        <v>0</v>
      </c>
      <c r="J657" s="30" t="n">
        <v>52587.5</v>
      </c>
      <c r="K657" s="30" t="n">
        <v>40934.16666666666</v>
      </c>
      <c r="L657" s="30" t="n">
        <v>36181.41666666666</v>
      </c>
      <c r="M657" s="35" t="n">
        <v>1.049398068111893</v>
      </c>
      <c r="N657" s="35" t="n">
        <v>0.7883725888433297</v>
      </c>
      <c r="O657" s="35" t="n">
        <v>0.5298416565164434</v>
      </c>
      <c r="P657" s="35" t="n">
        <v>0.9146341463414633</v>
      </c>
      <c r="Q657" s="35" t="n">
        <v>2.13216957605985</v>
      </c>
      <c r="R657" s="35" t="n">
        <v>0.1942001426194437</v>
      </c>
      <c r="S657" s="35" t="n">
        <v>0.5341707212801043</v>
      </c>
      <c r="T657" s="35" t="n">
        <v>0.7356976532612276</v>
      </c>
      <c r="U657" s="30" t="n">
        <v>62800</v>
      </c>
      <c r="V657" s="30" t="n">
        <v>16570</v>
      </c>
      <c r="W657" s="35" t="n">
        <v>0</v>
      </c>
      <c r="X657" s="35" t="n">
        <v>2.789981894990948</v>
      </c>
      <c r="Y657" s="30" t="n">
        <v>28966714</v>
      </c>
      <c r="Z657" s="30" t="n">
        <v>1819109639200</v>
      </c>
      <c r="AA657" s="30" t="n">
        <v>49021617200</v>
      </c>
      <c r="AB657" s="30" t="n">
        <v>29117143797.5</v>
      </c>
      <c r="AC657" s="35" t="n">
        <v>0.02694813778325011</v>
      </c>
      <c r="AD657" s="24" t="inlineStr">
        <is>
          <t>yfinance_download</t>
        </is>
      </c>
      <c r="AE657" s="24" t="inlineStr">
        <is>
          <t>319660.KQ</t>
        </is>
      </c>
    </row>
    <row r="658" ht="24" customHeight="1">
      <c r="A658" s="29" t="inlineStr">
        <is>
          <t>2026-02-20</t>
        </is>
      </c>
      <c r="B658" s="31" t="n">
        <v>62600</v>
      </c>
      <c r="C658" s="31" t="n">
        <v>63900</v>
      </c>
      <c r="D658" s="31" t="n">
        <v>59600</v>
      </c>
      <c r="E658" s="31" t="n">
        <v>60600</v>
      </c>
      <c r="F658" s="31" t="n">
        <v>60600</v>
      </c>
      <c r="G658" s="31" t="n">
        <v>419702</v>
      </c>
      <c r="H658" s="36" t="n">
        <v>-0.03503184713375795</v>
      </c>
      <c r="I658" s="36" t="n">
        <v>-0.03503184713375795</v>
      </c>
      <c r="J658" s="31" t="n">
        <v>53615</v>
      </c>
      <c r="K658" s="31" t="n">
        <v>41404.16666666666</v>
      </c>
      <c r="L658" s="31" t="n">
        <v>36521.08333333334</v>
      </c>
      <c r="M658" s="36" t="n">
        <v>1.056513534284927</v>
      </c>
      <c r="N658" s="36" t="n">
        <v>0.7927510214296981</v>
      </c>
      <c r="O658" s="36" t="n">
        <v>0.5131086142322097</v>
      </c>
      <c r="P658" s="36" t="n">
        <v>0.8703703703703705</v>
      </c>
      <c r="Q658" s="36" t="n">
        <v>2.054435483870968</v>
      </c>
      <c r="R658" s="36" t="n">
        <v>0.1302807050265784</v>
      </c>
      <c r="S658" s="36" t="n">
        <v>0.4636208111099931</v>
      </c>
      <c r="T658" s="36" t="n">
        <v>0.659315509534447</v>
      </c>
      <c r="U658" s="31" t="n">
        <v>62800</v>
      </c>
      <c r="V658" s="31" t="n">
        <v>16570</v>
      </c>
      <c r="W658" s="36" t="n">
        <v>-0.03503184713375795</v>
      </c>
      <c r="X658" s="36" t="n">
        <v>2.657211828605914</v>
      </c>
      <c r="Y658" s="31" t="n">
        <v>28966714</v>
      </c>
      <c r="Z658" s="31" t="n">
        <v>1755382868400</v>
      </c>
      <c r="AA658" s="31" t="n">
        <v>25433941200</v>
      </c>
      <c r="AB658" s="31" t="n">
        <v>29656756895</v>
      </c>
      <c r="AC658" s="36" t="n">
        <v>0.01448911326289893</v>
      </c>
      <c r="AD658" s="29" t="inlineStr">
        <is>
          <t>yfinance_download</t>
        </is>
      </c>
      <c r="AE658" s="29" t="inlineStr">
        <is>
          <t>319660.KQ</t>
        </is>
      </c>
    </row>
    <row r="659" ht="24" customHeight="1">
      <c r="A659" s="24" t="inlineStr">
        <is>
          <t>2026-02-23</t>
        </is>
      </c>
      <c r="B659" s="30" t="n">
        <v>61600</v>
      </c>
      <c r="C659" s="30" t="n">
        <v>61700</v>
      </c>
      <c r="D659" s="30" t="n">
        <v>56200</v>
      </c>
      <c r="E659" s="30" t="n">
        <v>56500</v>
      </c>
      <c r="F659" s="30" t="n">
        <v>56500</v>
      </c>
      <c r="G659" s="30" t="n">
        <v>479680</v>
      </c>
      <c r="H659" s="35" t="n">
        <v>-0.06765676567656764</v>
      </c>
      <c r="I659" s="35" t="n">
        <v>-0.1003184713375797</v>
      </c>
      <c r="J659" s="30" t="n">
        <v>54462.5</v>
      </c>
      <c r="K659" s="30" t="n">
        <v>41849.16666666666</v>
      </c>
      <c r="L659" s="30" t="n">
        <v>36827.08333333334</v>
      </c>
      <c r="M659" s="35" t="n">
        <v>1.098393073869743</v>
      </c>
      <c r="N659" s="35" t="n">
        <v>0.7869134932831494</v>
      </c>
      <c r="O659" s="35" t="n">
        <v>0.4285714285714286</v>
      </c>
      <c r="P659" s="35" t="n">
        <v>0.8959731543624161</v>
      </c>
      <c r="Q659" s="35" t="n">
        <v>1.856420626895854</v>
      </c>
      <c r="R659" s="35" t="n">
        <v>0.03741106265779215</v>
      </c>
      <c r="S659" s="35" t="n">
        <v>0.3500866206017643</v>
      </c>
      <c r="T659" s="35" t="n">
        <v>0.5341969791254171</v>
      </c>
      <c r="U659" s="30" t="n">
        <v>62800</v>
      </c>
      <c r="V659" s="30" t="n">
        <v>16570</v>
      </c>
      <c r="W659" s="35" t="n">
        <v>-0.1003184713375797</v>
      </c>
      <c r="X659" s="35" t="n">
        <v>2.409776704888352</v>
      </c>
      <c r="Y659" s="30" t="n">
        <v>28966714</v>
      </c>
      <c r="Z659" s="30" t="n">
        <v>1636619341000</v>
      </c>
      <c r="AA659" s="30" t="n">
        <v>27101920000</v>
      </c>
      <c r="AB659" s="30" t="n">
        <v>30371504777.5</v>
      </c>
      <c r="AC659" s="35" t="n">
        <v>0.01655969676090978</v>
      </c>
      <c r="AD659" s="24" t="inlineStr">
        <is>
          <t>yfinance_download</t>
        </is>
      </c>
      <c r="AE659" s="24" t="inlineStr">
        <is>
          <t>319660.KQ</t>
        </is>
      </c>
    </row>
    <row r="660" ht="24" customHeight="1">
      <c r="A660" s="29" t="inlineStr">
        <is>
          <t>2026-02-24</t>
        </is>
      </c>
      <c r="B660" s="31" t="n">
        <v>58100</v>
      </c>
      <c r="C660" s="31" t="n">
        <v>65600</v>
      </c>
      <c r="D660" s="31" t="n">
        <v>57700</v>
      </c>
      <c r="E660" s="31" t="n">
        <v>63700</v>
      </c>
      <c r="F660" s="31" t="n">
        <v>63700</v>
      </c>
      <c r="G660" s="31" t="n">
        <v>688107</v>
      </c>
      <c r="H660" s="36" t="n">
        <v>0.1274336283185842</v>
      </c>
      <c r="I660" s="36" t="n">
        <v>0</v>
      </c>
      <c r="J660" s="31" t="n">
        <v>55665</v>
      </c>
      <c r="K660" s="31" t="n">
        <v>42415.83333333334</v>
      </c>
      <c r="L660" s="31" t="n">
        <v>37190</v>
      </c>
      <c r="M660" s="36" t="n">
        <v>1.159502604018389</v>
      </c>
      <c r="N660" s="36" t="n">
        <v>0.8209996765295992</v>
      </c>
      <c r="O660" s="36" t="n">
        <v>0.6065573770491803</v>
      </c>
      <c r="P660" s="36" t="n">
        <v>1.144781144781145</v>
      </c>
      <c r="Q660" s="36" t="n">
        <v>2.161290322580645</v>
      </c>
      <c r="R660" s="36" t="n">
        <v>0.1443456390909907</v>
      </c>
      <c r="S660" s="36" t="n">
        <v>0.5017976777539832</v>
      </c>
      <c r="T660" s="36" t="n">
        <v>0.7128260285022856</v>
      </c>
      <c r="U660" s="31" t="n">
        <v>63700</v>
      </c>
      <c r="V660" s="31" t="n">
        <v>16570</v>
      </c>
      <c r="W660" s="36" t="n">
        <v>0</v>
      </c>
      <c r="X660" s="36" t="n">
        <v>2.844296922148461</v>
      </c>
      <c r="Y660" s="31" t="n">
        <v>28966714</v>
      </c>
      <c r="Z660" s="31" t="n">
        <v>1845179681800</v>
      </c>
      <c r="AA660" s="31" t="n">
        <v>43832415900</v>
      </c>
      <c r="AB660" s="31" t="n">
        <v>31718572642.5</v>
      </c>
      <c r="AC660" s="36" t="n">
        <v>0.02375509351871945</v>
      </c>
      <c r="AD660" s="29" t="inlineStr">
        <is>
          <t>yfinance_download</t>
        </is>
      </c>
      <c r="AE660" s="29" t="inlineStr">
        <is>
          <t>319660.KQ</t>
        </is>
      </c>
    </row>
    <row r="661" ht="24" customHeight="1">
      <c r="A661" s="24" t="inlineStr">
        <is>
          <t>2026-02-25</t>
        </is>
      </c>
      <c r="B661" s="30" t="n">
        <v>63700</v>
      </c>
      <c r="C661" s="30" t="n">
        <v>63900</v>
      </c>
      <c r="D661" s="30" t="n">
        <v>60400</v>
      </c>
      <c r="E661" s="30" t="n">
        <v>60600</v>
      </c>
      <c r="F661" s="30" t="n">
        <v>60600</v>
      </c>
      <c r="G661" s="30" t="n">
        <v>503324</v>
      </c>
      <c r="H661" s="35" t="n">
        <v>-0.04866562009419151</v>
      </c>
      <c r="I661" s="35" t="n">
        <v>-0.04866562009419151</v>
      </c>
      <c r="J661" s="30" t="n">
        <v>56707.5</v>
      </c>
      <c r="K661" s="30" t="n">
        <v>42934.16666666666</v>
      </c>
      <c r="L661" s="30" t="n">
        <v>37515.41666666666</v>
      </c>
      <c r="M661" s="35" t="n">
        <v>1.187418683261096</v>
      </c>
      <c r="N661" s="35" t="n">
        <v>0.8299868513730868</v>
      </c>
      <c r="O661" s="35" t="n">
        <v>0.5245283018867926</v>
      </c>
      <c r="P661" s="35" t="n">
        <v>1.054237288135593</v>
      </c>
      <c r="Q661" s="35" t="n">
        <v>1.812064965197216</v>
      </c>
      <c r="R661" s="35" t="n">
        <v>0.068641714058987</v>
      </c>
      <c r="S661" s="35" t="n">
        <v>0.4114632868150851</v>
      </c>
      <c r="T661" s="35" t="n">
        <v>0.615335917456157</v>
      </c>
      <c r="U661" s="30" t="n">
        <v>63700</v>
      </c>
      <c r="V661" s="30" t="n">
        <v>16570</v>
      </c>
      <c r="W661" s="35" t="n">
        <v>-0.04866562009419151</v>
      </c>
      <c r="X661" s="35" t="n">
        <v>2.657211828605914</v>
      </c>
      <c r="Y661" s="30" t="n">
        <v>28966714</v>
      </c>
      <c r="Z661" s="30" t="n">
        <v>1755382868400</v>
      </c>
      <c r="AA661" s="30" t="n">
        <v>30501434400</v>
      </c>
      <c r="AB661" s="30" t="n">
        <v>32498779050</v>
      </c>
      <c r="AC661" s="35" t="n">
        <v>0.01737594398867611</v>
      </c>
      <c r="AD661" s="24" t="inlineStr">
        <is>
          <t>yfinance_download</t>
        </is>
      </c>
      <c r="AE661" s="24" t="inlineStr">
        <is>
          <t>319660.KQ</t>
        </is>
      </c>
    </row>
    <row r="662" ht="24" customHeight="1">
      <c r="A662" s="29" t="inlineStr">
        <is>
          <t>2026-02-26</t>
        </is>
      </c>
      <c r="B662" s="31" t="n">
        <v>64000</v>
      </c>
      <c r="C662" s="31" t="n">
        <v>66200</v>
      </c>
      <c r="D662" s="31" t="n">
        <v>61100</v>
      </c>
      <c r="E662" s="31" t="n">
        <v>65400</v>
      </c>
      <c r="F662" s="31" t="n">
        <v>65400</v>
      </c>
      <c r="G662" s="31" t="n">
        <v>620322</v>
      </c>
      <c r="H662" s="36" t="n">
        <v>0.07920792079207928</v>
      </c>
      <c r="I662" s="36" t="n">
        <v>0</v>
      </c>
      <c r="J662" s="31" t="n">
        <v>57887.5</v>
      </c>
      <c r="K662" s="31" t="n">
        <v>43533.33333333334</v>
      </c>
      <c r="L662" s="31" t="n">
        <v>37880.83333333334</v>
      </c>
      <c r="M662" s="36" t="n">
        <v>1.199946601637472</v>
      </c>
      <c r="N662" s="36" t="n">
        <v>0.840210673705911</v>
      </c>
      <c r="O662" s="36" t="n">
        <v>0.5645933014354068</v>
      </c>
      <c r="P662" s="36" t="n">
        <v>1.220713073005093</v>
      </c>
      <c r="Q662" s="36" t="n">
        <v>2.034802784222738</v>
      </c>
      <c r="R662" s="36" t="n">
        <v>0.1297775858345929</v>
      </c>
      <c r="S662" s="36" t="n">
        <v>0.5022970903522204</v>
      </c>
      <c r="T662" s="36" t="n">
        <v>0.726466770794377</v>
      </c>
      <c r="U662" s="31" t="n">
        <v>65400</v>
      </c>
      <c r="V662" s="31" t="n">
        <v>16570</v>
      </c>
      <c r="W662" s="36" t="n">
        <v>0</v>
      </c>
      <c r="X662" s="36" t="n">
        <v>2.946891973445987</v>
      </c>
      <c r="Y662" s="31" t="n">
        <v>28966714</v>
      </c>
      <c r="Z662" s="31" t="n">
        <v>1894423095600</v>
      </c>
      <c r="AA662" s="31" t="n">
        <v>40569058800</v>
      </c>
      <c r="AB662" s="31" t="n">
        <v>33274496440</v>
      </c>
      <c r="AC662" s="36" t="n">
        <v>0.02141499377526909</v>
      </c>
      <c r="AD662" s="29" t="inlineStr">
        <is>
          <t>yfinance_download</t>
        </is>
      </c>
      <c r="AE662" s="29" t="inlineStr">
        <is>
          <t>319660.KQ</t>
        </is>
      </c>
    </row>
    <row r="663" ht="24" customHeight="1">
      <c r="A663" s="24" t="inlineStr">
        <is>
          <t>2026-02-27</t>
        </is>
      </c>
      <c r="B663" s="30" t="n">
        <v>63100</v>
      </c>
      <c r="C663" s="30" t="n">
        <v>66000</v>
      </c>
      <c r="D663" s="30" t="n">
        <v>62500</v>
      </c>
      <c r="E663" s="30" t="n">
        <v>64100</v>
      </c>
      <c r="F663" s="30" t="n">
        <v>64100</v>
      </c>
      <c r="G663" s="30" t="n">
        <v>881929</v>
      </c>
      <c r="H663" s="35" t="n">
        <v>-0.01987767584097855</v>
      </c>
      <c r="I663" s="35" t="n">
        <v>-0.01987767584097855</v>
      </c>
      <c r="J663" s="30" t="n">
        <v>58730</v>
      </c>
      <c r="K663" s="30" t="n">
        <v>44113.33333333334</v>
      </c>
      <c r="L663" s="30" t="n">
        <v>38229.58333333334</v>
      </c>
      <c r="M663" s="35" t="n">
        <v>1.142558417842645</v>
      </c>
      <c r="N663" s="35" t="n">
        <v>0.8422437976732898</v>
      </c>
      <c r="O663" s="35" t="n">
        <v>0.3566137566137566</v>
      </c>
      <c r="P663" s="35" t="n">
        <v>1.187713310580205</v>
      </c>
      <c r="Q663" s="35" t="n">
        <v>1.880898876404494</v>
      </c>
      <c r="R663" s="35" t="n">
        <v>0.0914353822577898</v>
      </c>
      <c r="S663" s="35" t="n">
        <v>0.4530754118180444</v>
      </c>
      <c r="T663" s="35" t="n">
        <v>0.676711970441739</v>
      </c>
      <c r="U663" s="30" t="n">
        <v>65400</v>
      </c>
      <c r="V663" s="30" t="n">
        <v>16570</v>
      </c>
      <c r="W663" s="35" t="n">
        <v>-0.01987767584097855</v>
      </c>
      <c r="X663" s="35" t="n">
        <v>2.868436934218467</v>
      </c>
      <c r="Y663" s="30" t="n">
        <v>28966714</v>
      </c>
      <c r="Z663" s="30" t="n">
        <v>1856766367400</v>
      </c>
      <c r="AA663" s="30" t="n">
        <v>56531648900</v>
      </c>
      <c r="AB663" s="30" t="n">
        <v>33423350510</v>
      </c>
      <c r="AC663" s="35" t="n">
        <v>0.03044629087027268</v>
      </c>
      <c r="AD663" s="24" t="inlineStr">
        <is>
          <t>yfinance_download</t>
        </is>
      </c>
      <c r="AE663" s="24" t="inlineStr">
        <is>
          <t>319660.KQ</t>
        </is>
      </c>
    </row>
    <row r="664" ht="24" customHeight="1">
      <c r="A664" s="29" t="inlineStr">
        <is>
          <t>2026-03-03</t>
        </is>
      </c>
      <c r="B664" s="31" t="n">
        <v>63700</v>
      </c>
      <c r="C664" s="31" t="n">
        <v>68200</v>
      </c>
      <c r="D664" s="31" t="n">
        <v>61000</v>
      </c>
      <c r="E664" s="31" t="n">
        <v>61300</v>
      </c>
      <c r="F664" s="31" t="n">
        <v>61300</v>
      </c>
      <c r="G664" s="31" t="n">
        <v>586701</v>
      </c>
      <c r="H664" s="36" t="n">
        <v>-0.04368174726989082</v>
      </c>
      <c r="I664" s="36" t="n">
        <v>-0.06269113149847094</v>
      </c>
      <c r="J664" s="31" t="n">
        <v>59110</v>
      </c>
      <c r="K664" s="31" t="n">
        <v>44640</v>
      </c>
      <c r="L664" s="31" t="n">
        <v>38536.25</v>
      </c>
      <c r="M664" s="36" t="n">
        <v>1.070978428137628</v>
      </c>
      <c r="N664" s="36" t="n">
        <v>0.8506376162005137</v>
      </c>
      <c r="O664" s="36" t="n">
        <v>0.1415270018621975</v>
      </c>
      <c r="P664" s="36" t="n">
        <v>1.063973063973064</v>
      </c>
      <c r="Q664" s="36" t="n">
        <v>1.50204081632653</v>
      </c>
      <c r="R664" s="36" t="n">
        <v>0.03704956860091357</v>
      </c>
      <c r="S664" s="36" t="n">
        <v>0.3732078853046594</v>
      </c>
      <c r="T664" s="36" t="n">
        <v>0.5907100457361576</v>
      </c>
      <c r="U664" s="31" t="n">
        <v>65400</v>
      </c>
      <c r="V664" s="31" t="n">
        <v>16570</v>
      </c>
      <c r="W664" s="36" t="n">
        <v>-0.06269113149847094</v>
      </c>
      <c r="X664" s="36" t="n">
        <v>2.699456849728425</v>
      </c>
      <c r="Y664" s="31" t="n">
        <v>28966714</v>
      </c>
      <c r="Z664" s="31" t="n">
        <v>1775659568200</v>
      </c>
      <c r="AA664" s="31" t="n">
        <v>35964771300</v>
      </c>
      <c r="AB664" s="31" t="n">
        <v>32004671780</v>
      </c>
      <c r="AC664" s="36" t="n">
        <v>0.02025431673057565</v>
      </c>
      <c r="AD664" s="29" t="inlineStr">
        <is>
          <t>yfinance_download</t>
        </is>
      </c>
      <c r="AE664" s="29" t="inlineStr">
        <is>
          <t>319660.KQ</t>
        </is>
      </c>
    </row>
    <row r="665" ht="24" customHeight="1">
      <c r="A665" s="24" t="inlineStr">
        <is>
          <t>2026-03-04</t>
        </is>
      </c>
      <c r="B665" s="30" t="n">
        <v>60300</v>
      </c>
      <c r="C665" s="30" t="n">
        <v>64400</v>
      </c>
      <c r="D665" s="30" t="n">
        <v>54100</v>
      </c>
      <c r="E665" s="30" t="n">
        <v>54400</v>
      </c>
      <c r="F665" s="30" t="n">
        <v>54400</v>
      </c>
      <c r="G665" s="30" t="n">
        <v>626298</v>
      </c>
      <c r="H665" s="35" t="n">
        <v>-0.1125611745513866</v>
      </c>
      <c r="I665" s="35" t="n">
        <v>-0.1681957186544343</v>
      </c>
      <c r="J665" s="30" t="n">
        <v>59100</v>
      </c>
      <c r="K665" s="30" t="n">
        <v>45025</v>
      </c>
      <c r="L665" s="30" t="n">
        <v>38793.33333333334</v>
      </c>
      <c r="M665" s="35" t="n">
        <v>1.153373760073958</v>
      </c>
      <c r="N665" s="35" t="n">
        <v>0.8846216440981362</v>
      </c>
      <c r="O665" s="35" t="n">
        <v>-0.00366300366300365</v>
      </c>
      <c r="P665" s="35" t="n">
        <v>0.7380191693290734</v>
      </c>
      <c r="Q665" s="35" t="n">
        <v>1.309978768577495</v>
      </c>
      <c r="R665" s="35" t="n">
        <v>-0.07952622673434862</v>
      </c>
      <c r="S665" s="35" t="n">
        <v>0.2082176568573015</v>
      </c>
      <c r="T665" s="35" t="n">
        <v>0.4023028011685856</v>
      </c>
      <c r="U665" s="30" t="n">
        <v>65400</v>
      </c>
      <c r="V665" s="30" t="n">
        <v>16570</v>
      </c>
      <c r="W665" s="35" t="n">
        <v>-0.1681957186544343</v>
      </c>
      <c r="X665" s="35" t="n">
        <v>2.283041641520821</v>
      </c>
      <c r="Y665" s="30" t="n">
        <v>28966714</v>
      </c>
      <c r="Z665" s="30" t="n">
        <v>1575789241600</v>
      </c>
      <c r="AA665" s="30" t="n">
        <v>34070611200</v>
      </c>
      <c r="AB665" s="30" t="n">
        <v>30740528540</v>
      </c>
      <c r="AC665" s="35" t="n">
        <v>0.02162129953711698</v>
      </c>
      <c r="AD665" s="24" t="inlineStr">
        <is>
          <t>yfinance_download</t>
        </is>
      </c>
      <c r="AE665" s="24" t="inlineStr">
        <is>
          <t>319660.KQ</t>
        </is>
      </c>
    </row>
    <row r="666" ht="24" customHeight="1">
      <c r="A666" s="29" t="inlineStr">
        <is>
          <t>2026-03-05</t>
        </is>
      </c>
      <c r="B666" s="31" t="n">
        <v>59000</v>
      </c>
      <c r="C666" s="31" t="n">
        <v>68700</v>
      </c>
      <c r="D666" s="31" t="n">
        <v>57100</v>
      </c>
      <c r="E666" s="31" t="n">
        <v>65300</v>
      </c>
      <c r="F666" s="31" t="n">
        <v>65300</v>
      </c>
      <c r="G666" s="31" t="n">
        <v>665084</v>
      </c>
      <c r="H666" s="36" t="n">
        <v>0.2003676470588236</v>
      </c>
      <c r="I666" s="36" t="n">
        <v>-0.001529051987767538</v>
      </c>
      <c r="J666" s="31" t="n">
        <v>59290</v>
      </c>
      <c r="K666" s="31" t="n">
        <v>45570</v>
      </c>
      <c r="L666" s="31" t="n">
        <v>39144.58333333334</v>
      </c>
      <c r="M666" s="36" t="n">
        <v>1.281718028690724</v>
      </c>
      <c r="N666" s="36" t="n">
        <v>0.9645135111090398</v>
      </c>
      <c r="O666" s="36" t="n">
        <v>0.06178861788617884</v>
      </c>
      <c r="P666" s="36" t="n">
        <v>1.003067484662577</v>
      </c>
      <c r="Q666" s="36" t="n">
        <v>1.8207343412527</v>
      </c>
      <c r="R666" s="36" t="n">
        <v>0.1013661663012313</v>
      </c>
      <c r="S666" s="36" t="n">
        <v>0.4329602808865483</v>
      </c>
      <c r="T666" s="36" t="n">
        <v>0.6681746090881027</v>
      </c>
      <c r="U666" s="31" t="n">
        <v>65400</v>
      </c>
      <c r="V666" s="31" t="n">
        <v>16570</v>
      </c>
      <c r="W666" s="36" t="n">
        <v>-0.001529051987767538</v>
      </c>
      <c r="X666" s="36" t="n">
        <v>2.940856970428485</v>
      </c>
      <c r="Y666" s="31" t="n">
        <v>28966714</v>
      </c>
      <c r="Z666" s="31" t="n">
        <v>1891526424200</v>
      </c>
      <c r="AA666" s="31" t="n">
        <v>43429985200</v>
      </c>
      <c r="AB666" s="31" t="n">
        <v>29448655300</v>
      </c>
      <c r="AC666" s="36" t="n">
        <v>0.02296028469090419</v>
      </c>
      <c r="AD666" s="29" t="inlineStr">
        <is>
          <t>yfinance_download</t>
        </is>
      </c>
      <c r="AE666" s="29" t="inlineStr">
        <is>
          <t>319660.KQ</t>
        </is>
      </c>
    </row>
    <row r="667" ht="24" customHeight="1">
      <c r="A667" s="24" t="inlineStr">
        <is>
          <t>2026-03-06</t>
        </is>
      </c>
      <c r="B667" s="30" t="n">
        <v>68300</v>
      </c>
      <c r="C667" s="30" t="n">
        <v>73000</v>
      </c>
      <c r="D667" s="30" t="n">
        <v>66300</v>
      </c>
      <c r="E667" s="30" t="n">
        <v>71400</v>
      </c>
      <c r="F667" s="30" t="n">
        <v>71400</v>
      </c>
      <c r="G667" s="30" t="n">
        <v>700802</v>
      </c>
      <c r="H667" s="35" t="n">
        <v>0.09341500765696775</v>
      </c>
      <c r="I667" s="35" t="n">
        <v>0</v>
      </c>
      <c r="J667" s="30" t="n">
        <v>60085</v>
      </c>
      <c r="K667" s="30" t="n">
        <v>46218.33333333334</v>
      </c>
      <c r="L667" s="30" t="n">
        <v>39547.5</v>
      </c>
      <c r="M667" s="35" t="n">
        <v>1.256086596484297</v>
      </c>
      <c r="N667" s="35" t="n">
        <v>0.9776585232861998</v>
      </c>
      <c r="O667" s="35" t="n">
        <v>0.2864864864864864</v>
      </c>
      <c r="P667" s="35" t="n">
        <v>1.196923076923077</v>
      </c>
      <c r="Q667" s="35" t="n">
        <v>2.097613882863341</v>
      </c>
      <c r="R667" s="35" t="n">
        <v>0.188316551551968</v>
      </c>
      <c r="S667" s="35" t="n">
        <v>0.5448415131080739</v>
      </c>
      <c r="T667" s="35" t="n">
        <v>0.805423857386687</v>
      </c>
      <c r="U667" s="30" t="n">
        <v>71400</v>
      </c>
      <c r="V667" s="30" t="n">
        <v>16570</v>
      </c>
      <c r="W667" s="35" t="n">
        <v>0</v>
      </c>
      <c r="X667" s="35" t="n">
        <v>3.308992154496077</v>
      </c>
      <c r="Y667" s="30" t="n">
        <v>28966714</v>
      </c>
      <c r="Z667" s="30" t="n">
        <v>2068223379600</v>
      </c>
      <c r="AA667" s="30" t="n">
        <v>50037262800</v>
      </c>
      <c r="AB667" s="30" t="n">
        <v>30404191315</v>
      </c>
      <c r="AC667" s="35" t="n">
        <v>0.02419335517311353</v>
      </c>
      <c r="AD667" s="24" t="inlineStr">
        <is>
          <t>yfinance_download</t>
        </is>
      </c>
      <c r="AE667" s="24" t="inlineStr">
        <is>
          <t>319660.KQ</t>
        </is>
      </c>
    </row>
    <row r="668" ht="24" customHeight="1">
      <c r="A668" s="29" t="inlineStr">
        <is>
          <t>2026-03-09</t>
        </is>
      </c>
      <c r="B668" s="31" t="n">
        <v>64500</v>
      </c>
      <c r="C668" s="31" t="n">
        <v>66000</v>
      </c>
      <c r="D668" s="31" t="n">
        <v>59700</v>
      </c>
      <c r="E668" s="31" t="n">
        <v>61000</v>
      </c>
      <c r="F668" s="31" t="n">
        <v>61000</v>
      </c>
      <c r="G668" s="31" t="n">
        <v>631780</v>
      </c>
      <c r="H668" s="36" t="n">
        <v>-0.1456582633053222</v>
      </c>
      <c r="I668" s="36" t="n">
        <v>-0.1456582633053222</v>
      </c>
      <c r="J668" s="31" t="n">
        <v>60120</v>
      </c>
      <c r="K668" s="31" t="n">
        <v>46714.16666666666</v>
      </c>
      <c r="L668" s="31" t="n">
        <v>39859.58333333334</v>
      </c>
      <c r="M668" s="36" t="n">
        <v>1.349039847455574</v>
      </c>
      <c r="N668" s="36" t="n">
        <v>1.02617558929558</v>
      </c>
      <c r="O668" s="36" t="n">
        <v>0.01160862354892211</v>
      </c>
      <c r="P668" s="36" t="n">
        <v>0.952</v>
      </c>
      <c r="Q668" s="36" t="n">
        <v>1.590233545647558</v>
      </c>
      <c r="R668" s="36" t="n">
        <v>0.01463739188290081</v>
      </c>
      <c r="S668" s="36" t="n">
        <v>0.3058137253153042</v>
      </c>
      <c r="T668" s="36" t="n">
        <v>0.5303722442323573</v>
      </c>
      <c r="U668" s="31" t="n">
        <v>71400</v>
      </c>
      <c r="V668" s="31" t="n">
        <v>16570</v>
      </c>
      <c r="W668" s="36" t="n">
        <v>-0.1456582633053222</v>
      </c>
      <c r="X668" s="36" t="n">
        <v>2.68135184067592</v>
      </c>
      <c r="Y668" s="31" t="n">
        <v>28966714</v>
      </c>
      <c r="Z668" s="31" t="n">
        <v>1766969554000</v>
      </c>
      <c r="AA668" s="31" t="n">
        <v>38538580000</v>
      </c>
      <c r="AB668" s="31" t="n">
        <v>31326079110</v>
      </c>
      <c r="AC668" s="36" t="n">
        <v>0.02181055124167691</v>
      </c>
      <c r="AD668" s="29" t="inlineStr">
        <is>
          <t>yfinance_download</t>
        </is>
      </c>
      <c r="AE668" s="29" t="inlineStr">
        <is>
          <t>319660.KQ</t>
        </is>
      </c>
    </row>
    <row r="669" ht="24" customHeight="1">
      <c r="A669" s="24" t="inlineStr">
        <is>
          <t>2026-03-10</t>
        </is>
      </c>
      <c r="B669" s="30" t="n">
        <v>66700</v>
      </c>
      <c r="C669" s="30" t="n">
        <v>66700</v>
      </c>
      <c r="D669" s="30" t="n">
        <v>60000</v>
      </c>
      <c r="E669" s="30" t="n">
        <v>61500</v>
      </c>
      <c r="F669" s="30" t="n">
        <v>61500</v>
      </c>
      <c r="G669" s="30" t="n">
        <v>419589</v>
      </c>
      <c r="H669" s="35" t="n">
        <v>0.008196721311475308</v>
      </c>
      <c r="I669" s="35" t="n">
        <v>-0.1386554621848739</v>
      </c>
      <c r="J669" s="30" t="n">
        <v>60315</v>
      </c>
      <c r="K669" s="30" t="n">
        <v>47212.5</v>
      </c>
      <c r="L669" s="30" t="n">
        <v>40173.75</v>
      </c>
      <c r="M669" s="35" t="n">
        <v>1.336719401125412</v>
      </c>
      <c r="N669" s="35" t="n">
        <v>1.026219240183519</v>
      </c>
      <c r="O669" s="35" t="n">
        <v>0.06770833333333326</v>
      </c>
      <c r="P669" s="35" t="n">
        <v>0.9462025316455696</v>
      </c>
      <c r="Q669" s="35" t="n">
        <v>1.584033613445378</v>
      </c>
      <c r="R669" s="35" t="n">
        <v>0.01964685401641386</v>
      </c>
      <c r="S669" s="35" t="n">
        <v>0.3026211278792692</v>
      </c>
      <c r="T669" s="35" t="n">
        <v>0.5308503687109121</v>
      </c>
      <c r="U669" s="30" t="n">
        <v>71400</v>
      </c>
      <c r="V669" s="30" t="n">
        <v>16570</v>
      </c>
      <c r="W669" s="35" t="n">
        <v>-0.1386554621848739</v>
      </c>
      <c r="X669" s="35" t="n">
        <v>2.711526855763428</v>
      </c>
      <c r="Y669" s="30" t="n">
        <v>28966714</v>
      </c>
      <c r="Z669" s="30" t="n">
        <v>1781452911000</v>
      </c>
      <c r="AA669" s="30" t="n">
        <v>25804723500</v>
      </c>
      <c r="AB669" s="30" t="n">
        <v>31513903125</v>
      </c>
      <c r="AC669" s="35" t="n">
        <v>0.01448521223360026</v>
      </c>
      <c r="AD669" s="24" t="inlineStr">
        <is>
          <t>yfinance_download</t>
        </is>
      </c>
      <c r="AE669" s="24" t="inlineStr">
        <is>
          <t>319660.KQ</t>
        </is>
      </c>
    </row>
    <row r="670" ht="24" customHeight="1">
      <c r="A670" s="29" t="inlineStr">
        <is>
          <t>2026-03-11</t>
        </is>
      </c>
      <c r="B670" s="31" t="n">
        <v>62200</v>
      </c>
      <c r="C670" s="31" t="n">
        <v>62500</v>
      </c>
      <c r="D670" s="31" t="n">
        <v>58000</v>
      </c>
      <c r="E670" s="31" t="n">
        <v>58700</v>
      </c>
      <c r="F670" s="31" t="n">
        <v>58700</v>
      </c>
      <c r="G670" s="31" t="n">
        <v>472428</v>
      </c>
      <c r="H670" s="36" t="n">
        <v>-0.04552845528455285</v>
      </c>
      <c r="I670" s="36" t="n">
        <v>-0.1778711484593838</v>
      </c>
      <c r="J670" s="31" t="n">
        <v>60565</v>
      </c>
      <c r="K670" s="31" t="n">
        <v>47661.66666666666</v>
      </c>
      <c r="L670" s="31" t="n">
        <v>40463.33333333334</v>
      </c>
      <c r="M670" s="36" t="n">
        <v>1.322614031359584</v>
      </c>
      <c r="N670" s="36" t="n">
        <v>1.033129896630253</v>
      </c>
      <c r="O670" s="36" t="n">
        <v>0.09310986964618251</v>
      </c>
      <c r="P670" s="36" t="n">
        <v>0.8488188976377953</v>
      </c>
      <c r="Q670" s="36" t="n">
        <v>1.450939457202505</v>
      </c>
      <c r="R670" s="36" t="n">
        <v>-0.03079336250309583</v>
      </c>
      <c r="S670" s="36" t="n">
        <v>0.2315977200405637</v>
      </c>
      <c r="T670" s="36" t="n">
        <v>0.4506961034681605</v>
      </c>
      <c r="U670" s="31" t="n">
        <v>71400</v>
      </c>
      <c r="V670" s="31" t="n">
        <v>16570</v>
      </c>
      <c r="W670" s="36" t="n">
        <v>-0.1778711484593838</v>
      </c>
      <c r="X670" s="36" t="n">
        <v>2.542546771273386</v>
      </c>
      <c r="Y670" s="31" t="n">
        <v>28966714</v>
      </c>
      <c r="Z670" s="31" t="n">
        <v>1700346111800</v>
      </c>
      <c r="AA670" s="31" t="n">
        <v>27731523600</v>
      </c>
      <c r="AB670" s="31" t="n">
        <v>31338099285</v>
      </c>
      <c r="AC670" s="36" t="n">
        <v>0.01630934043813185</v>
      </c>
      <c r="AD670" s="29" t="inlineStr">
        <is>
          <t>yfinance_download</t>
        </is>
      </c>
      <c r="AE670" s="29" t="inlineStr">
        <is>
          <t>319660.KQ</t>
        </is>
      </c>
    </row>
    <row r="671" ht="24" customHeight="1">
      <c r="A671" s="24" t="inlineStr">
        <is>
          <t>2026-03-12</t>
        </is>
      </c>
      <c r="B671" s="30" t="n">
        <v>57800</v>
      </c>
      <c r="C671" s="30" t="n">
        <v>61900</v>
      </c>
      <c r="D671" s="30" t="n">
        <v>57800</v>
      </c>
      <c r="E671" s="30" t="n">
        <v>61200</v>
      </c>
      <c r="F671" s="30" t="n">
        <v>61200</v>
      </c>
      <c r="G671" s="30" t="n">
        <v>372135</v>
      </c>
      <c r="H671" s="35" t="n">
        <v>0.04258943781942071</v>
      </c>
      <c r="I671" s="35" t="n">
        <v>-0.1428571428571429</v>
      </c>
      <c r="J671" s="30" t="n">
        <v>60860</v>
      </c>
      <c r="K671" s="30" t="n">
        <v>48158.33333333334</v>
      </c>
      <c r="L671" s="30" t="n">
        <v>40767.08333333334</v>
      </c>
      <c r="M671" s="35" t="n">
        <v>1.326224663111206</v>
      </c>
      <c r="N671" s="35" t="n">
        <v>1.033796549038254</v>
      </c>
      <c r="O671" s="35" t="n">
        <v>0.1066907775768535</v>
      </c>
      <c r="P671" s="35" t="n">
        <v>0.9490445859872612</v>
      </c>
      <c r="Q671" s="35" t="n">
        <v>1.472727272727273</v>
      </c>
      <c r="R671" s="35" t="n">
        <v>0.005586592178770999</v>
      </c>
      <c r="S671" s="35" t="n">
        <v>0.2708080982869008</v>
      </c>
      <c r="T671" s="35" t="n">
        <v>0.5012111487004425</v>
      </c>
      <c r="U671" s="30" t="n">
        <v>71400</v>
      </c>
      <c r="V671" s="30" t="n">
        <v>16570</v>
      </c>
      <c r="W671" s="35" t="n">
        <v>-0.1428571428571429</v>
      </c>
      <c r="X671" s="35" t="n">
        <v>2.693421846710923</v>
      </c>
      <c r="Y671" s="30" t="n">
        <v>28966714</v>
      </c>
      <c r="Z671" s="30" t="n">
        <v>1772762896800</v>
      </c>
      <c r="AA671" s="30" t="n">
        <v>22774662000</v>
      </c>
      <c r="AB671" s="30" t="n">
        <v>31153464675</v>
      </c>
      <c r="AC671" s="35" t="n">
        <v>0.01284698706246073</v>
      </c>
      <c r="AD671" s="24" t="inlineStr">
        <is>
          <t>yfinance_download</t>
        </is>
      </c>
      <c r="AE671" s="24" t="inlineStr">
        <is>
          <t>319660.KQ</t>
        </is>
      </c>
    </row>
    <row r="672" ht="24" customHeight="1">
      <c r="A672" s="29" t="inlineStr">
        <is>
          <t>2026-03-13</t>
        </is>
      </c>
      <c r="B672" s="31" t="n">
        <v>58600</v>
      </c>
      <c r="C672" s="31" t="n">
        <v>65900</v>
      </c>
      <c r="D672" s="31" t="n">
        <v>58600</v>
      </c>
      <c r="E672" s="31" t="n">
        <v>64100</v>
      </c>
      <c r="F672" s="31" t="n">
        <v>64100</v>
      </c>
      <c r="G672" s="31" t="n">
        <v>462537</v>
      </c>
      <c r="H672" s="36" t="n">
        <v>0.04738562091503273</v>
      </c>
      <c r="I672" s="36" t="n">
        <v>-0.1022408963585434</v>
      </c>
      <c r="J672" s="31" t="n">
        <v>61145</v>
      </c>
      <c r="K672" s="31" t="n">
        <v>48687.5</v>
      </c>
      <c r="L672" s="31" t="n">
        <v>41085.83333333334</v>
      </c>
      <c r="M672" s="36" t="n">
        <v>1.322437314082087</v>
      </c>
      <c r="N672" s="36" t="n">
        <v>1.035596711988511</v>
      </c>
      <c r="O672" s="36" t="n">
        <v>0.09760273972602729</v>
      </c>
      <c r="P672" s="36" t="n">
        <v>0.98145285935085</v>
      </c>
      <c r="Q672" s="36" t="n">
        <v>1.479690522243714</v>
      </c>
      <c r="R672" s="36" t="n">
        <v>0.04832774552293717</v>
      </c>
      <c r="S672" s="36" t="n">
        <v>0.3165596919127085</v>
      </c>
      <c r="T672" s="36" t="n">
        <v>0.5601484696671601</v>
      </c>
      <c r="U672" s="31" t="n">
        <v>71400</v>
      </c>
      <c r="V672" s="31" t="n">
        <v>16570</v>
      </c>
      <c r="W672" s="36" t="n">
        <v>-0.1022408963585434</v>
      </c>
      <c r="X672" s="36" t="n">
        <v>2.868436934218467</v>
      </c>
      <c r="Y672" s="31" t="n">
        <v>28966714</v>
      </c>
      <c r="Z672" s="31" t="n">
        <v>1856766367400</v>
      </c>
      <c r="AA672" s="31" t="n">
        <v>29648621700</v>
      </c>
      <c r="AB672" s="31" t="n">
        <v>31826918520</v>
      </c>
      <c r="AC672" s="36" t="n">
        <v>0.0159678795461577</v>
      </c>
      <c r="AD672" s="29" t="inlineStr">
        <is>
          <t>yfinance_download</t>
        </is>
      </c>
      <c r="AE672" s="29" t="inlineStr">
        <is>
          <t>319660.KQ</t>
        </is>
      </c>
    </row>
    <row r="673" ht="24" customHeight="1">
      <c r="A673" s="24" t="inlineStr">
        <is>
          <t>2026-03-16</t>
        </is>
      </c>
      <c r="B673" s="30" t="n">
        <v>67800</v>
      </c>
      <c r="C673" s="30" t="n">
        <v>75100</v>
      </c>
      <c r="D673" s="30" t="n">
        <v>66800</v>
      </c>
      <c r="E673" s="30" t="n">
        <v>74000</v>
      </c>
      <c r="F673" s="30" t="n">
        <v>74000</v>
      </c>
      <c r="G673" s="30" t="n">
        <v>1005247</v>
      </c>
      <c r="H673" s="35" t="n">
        <v>0.1544461778471138</v>
      </c>
      <c r="I673" s="35" t="n">
        <v>0</v>
      </c>
      <c r="J673" s="30" t="n">
        <v>62040</v>
      </c>
      <c r="K673" s="30" t="n">
        <v>49374.16666666666</v>
      </c>
      <c r="L673" s="30" t="n">
        <v>41488.33333333334</v>
      </c>
      <c r="M673" s="35" t="n">
        <v>1.406811485026718</v>
      </c>
      <c r="N673" s="35" t="n">
        <v>1.075126359467476</v>
      </c>
      <c r="O673" s="35" t="n">
        <v>0.3190730837789661</v>
      </c>
      <c r="P673" s="35" t="n">
        <v>1.25609756097561</v>
      </c>
      <c r="Q673" s="35" t="n">
        <v>1.879377431906615</v>
      </c>
      <c r="R673" s="35" t="n">
        <v>0.1927788523533205</v>
      </c>
      <c r="S673" s="35" t="n">
        <v>0.498759472733717</v>
      </c>
      <c r="T673" s="35" t="n">
        <v>0.7836339533202104</v>
      </c>
      <c r="U673" s="30" t="n">
        <v>74000</v>
      </c>
      <c r="V673" s="30" t="n">
        <v>16570</v>
      </c>
      <c r="W673" s="35" t="n">
        <v>0</v>
      </c>
      <c r="X673" s="35" t="n">
        <v>3.465902232951117</v>
      </c>
      <c r="Y673" s="30" t="n">
        <v>28966714</v>
      </c>
      <c r="Z673" s="30" t="n">
        <v>2143536836000</v>
      </c>
      <c r="AA673" s="30" t="n">
        <v>74388278000</v>
      </c>
      <c r="AB673" s="30" t="n">
        <v>34963130845</v>
      </c>
      <c r="AC673" s="35" t="n">
        <v>0.03470352211852542</v>
      </c>
      <c r="AD673" s="24" t="inlineStr">
        <is>
          <t>yfinance_download</t>
        </is>
      </c>
      <c r="AE673" s="24" t="inlineStr">
        <is>
          <t>319660.KQ</t>
        </is>
      </c>
    </row>
    <row r="674" ht="24" customHeight="1">
      <c r="A674" s="29" t="inlineStr">
        <is>
          <t>2026-03-17</t>
        </is>
      </c>
      <c r="B674" s="31" t="n">
        <v>73900</v>
      </c>
      <c r="C674" s="31" t="n">
        <v>76250</v>
      </c>
      <c r="D674" s="31" t="n">
        <v>70700</v>
      </c>
      <c r="E674" s="31" t="n">
        <v>72800</v>
      </c>
      <c r="F674" s="31" t="n">
        <v>72800</v>
      </c>
      <c r="G674" s="31" t="n">
        <v>685061</v>
      </c>
      <c r="H674" s="36" t="n">
        <v>-0.01621621621621616</v>
      </c>
      <c r="I674" s="36" t="n">
        <v>-0.01621621621621616</v>
      </c>
      <c r="J674" s="31" t="n">
        <v>62830</v>
      </c>
      <c r="K674" s="31" t="n">
        <v>50058.33333333334</v>
      </c>
      <c r="L674" s="31" t="n">
        <v>41869.58333333334</v>
      </c>
      <c r="M674" s="36" t="n">
        <v>1.41193285250888</v>
      </c>
      <c r="N674" s="36" t="n">
        <v>1.072607344271572</v>
      </c>
      <c r="O674" s="36" t="n">
        <v>0.2771929824561403</v>
      </c>
      <c r="P674" s="36" t="n">
        <v>1.292913385826772</v>
      </c>
      <c r="Q674" s="36" t="n">
        <v>1.691312384473198</v>
      </c>
      <c r="R674" s="36" t="n">
        <v>0.1586821582046793</v>
      </c>
      <c r="S674" s="36" t="n">
        <v>0.4543033128017313</v>
      </c>
      <c r="T674" s="36" t="n">
        <v>0.7387323733418252</v>
      </c>
      <c r="U674" s="31" t="n">
        <v>74000</v>
      </c>
      <c r="V674" s="31" t="n">
        <v>16570</v>
      </c>
      <c r="W674" s="36" t="n">
        <v>-0.01621621621621616</v>
      </c>
      <c r="X674" s="36" t="n">
        <v>3.393482196741099</v>
      </c>
      <c r="Y674" s="31" t="n">
        <v>28966714</v>
      </c>
      <c r="Z674" s="31" t="n">
        <v>2108776779200</v>
      </c>
      <c r="AA674" s="31" t="n">
        <v>49872440800</v>
      </c>
      <c r="AB674" s="31" t="n">
        <v>36791679735</v>
      </c>
      <c r="AC674" s="36" t="n">
        <v>0.02364993833957141</v>
      </c>
      <c r="AD674" s="29" t="inlineStr">
        <is>
          <t>yfinance_download</t>
        </is>
      </c>
      <c r="AE674" s="29" t="inlineStr">
        <is>
          <t>319660.KQ</t>
        </is>
      </c>
    </row>
    <row r="675" ht="24" customHeight="1">
      <c r="A675" s="24" t="inlineStr">
        <is>
          <t>2026-03-18</t>
        </is>
      </c>
      <c r="B675" s="30" t="n">
        <v>75500</v>
      </c>
      <c r="C675" s="30" t="n">
        <v>79000</v>
      </c>
      <c r="D675" s="30" t="n">
        <v>74700</v>
      </c>
      <c r="E675" s="30" t="n">
        <v>77500</v>
      </c>
      <c r="F675" s="30" t="n">
        <v>77500</v>
      </c>
      <c r="G675" s="30" t="n">
        <v>474620</v>
      </c>
      <c r="H675" s="35" t="n">
        <v>0.06456043956043955</v>
      </c>
      <c r="I675" s="35" t="n">
        <v>0</v>
      </c>
      <c r="J675" s="30" t="n">
        <v>63740</v>
      </c>
      <c r="K675" s="30" t="n">
        <v>50844.16666666666</v>
      </c>
      <c r="L675" s="30" t="n">
        <v>42271.25</v>
      </c>
      <c r="M675" s="35" t="n">
        <v>1.420067640605336</v>
      </c>
      <c r="N675" s="35" t="n">
        <v>1.069667849343902</v>
      </c>
      <c r="O675" s="35" t="n">
        <v>0.3069139966273187</v>
      </c>
      <c r="P675" s="35" t="n">
        <v>1.553542009884679</v>
      </c>
      <c r="Q675" s="35" t="n">
        <v>1.645051194539249</v>
      </c>
      <c r="R675" s="35" t="n">
        <v>0.2158770003137747</v>
      </c>
      <c r="S675" s="35" t="n">
        <v>0.5242653205054661</v>
      </c>
      <c r="T675" s="35" t="n">
        <v>0.833397403672709</v>
      </c>
      <c r="U675" s="30" t="n">
        <v>77500</v>
      </c>
      <c r="V675" s="30" t="n">
        <v>16570</v>
      </c>
      <c r="W675" s="35" t="n">
        <v>0</v>
      </c>
      <c r="X675" s="35" t="n">
        <v>3.677127338563669</v>
      </c>
      <c r="Y675" s="30" t="n">
        <v>28966714</v>
      </c>
      <c r="Z675" s="30" t="n">
        <v>2244920335000</v>
      </c>
      <c r="AA675" s="30" t="n">
        <v>36783050000</v>
      </c>
      <c r="AB675" s="30" t="n">
        <v>37809536130</v>
      </c>
      <c r="AC675" s="35" t="n">
        <v>0.01638501350204928</v>
      </c>
      <c r="AD675" s="24" t="inlineStr">
        <is>
          <t>yfinance_download</t>
        </is>
      </c>
      <c r="AE675" s="24" t="inlineStr">
        <is>
          <t>319660.KQ</t>
        </is>
      </c>
    </row>
    <row r="676" ht="24" customHeight="1">
      <c r="A676" s="29" t="inlineStr">
        <is>
          <t>2026-03-19</t>
        </is>
      </c>
      <c r="B676" s="31" t="n">
        <v>73600</v>
      </c>
      <c r="C676" s="31" t="n">
        <v>84700</v>
      </c>
      <c r="D676" s="31" t="n">
        <v>73600</v>
      </c>
      <c r="E676" s="31" t="n">
        <v>82500</v>
      </c>
      <c r="F676" s="31" t="n">
        <v>82500</v>
      </c>
      <c r="G676" s="31" t="n">
        <v>569257</v>
      </c>
      <c r="H676" s="36" t="n">
        <v>0.06451612903225801</v>
      </c>
      <c r="I676" s="36" t="n">
        <v>0</v>
      </c>
      <c r="J676" s="31" t="n">
        <v>64970</v>
      </c>
      <c r="K676" s="31" t="n">
        <v>51727.5</v>
      </c>
      <c r="L676" s="31" t="n">
        <v>42721.66666666666</v>
      </c>
      <c r="M676" s="36" t="n">
        <v>1.420942557997594</v>
      </c>
      <c r="N676" s="36" t="n">
        <v>1.069505569922742</v>
      </c>
      <c r="O676" s="36" t="n">
        <v>0.4248704663212435</v>
      </c>
      <c r="P676" s="36" t="n">
        <v>1.796610169491526</v>
      </c>
      <c r="Q676" s="36" t="n">
        <v>1.899824253075571</v>
      </c>
      <c r="R676" s="36" t="n">
        <v>0.269816838540865</v>
      </c>
      <c r="S676" s="36" t="n">
        <v>0.594896331738437</v>
      </c>
      <c r="T676" s="36" t="n">
        <v>0.9311044356883706</v>
      </c>
      <c r="U676" s="31" t="n">
        <v>82500</v>
      </c>
      <c r="V676" s="31" t="n">
        <v>16570</v>
      </c>
      <c r="W676" s="36" t="n">
        <v>0</v>
      </c>
      <c r="X676" s="36" t="n">
        <v>3.978877489438744</v>
      </c>
      <c r="Y676" s="31" t="n">
        <v>28966714</v>
      </c>
      <c r="Z676" s="31" t="n">
        <v>2389753905000</v>
      </c>
      <c r="AA676" s="31" t="n">
        <v>46963702500</v>
      </c>
      <c r="AB676" s="31" t="n">
        <v>39450012450</v>
      </c>
      <c r="AC676" s="36" t="n">
        <v>0.0196521082784882</v>
      </c>
      <c r="AD676" s="29" t="inlineStr">
        <is>
          <t>yfinance_download</t>
        </is>
      </c>
      <c r="AE676" s="29" t="inlineStr">
        <is>
          <t>319660.KQ</t>
        </is>
      </c>
    </row>
    <row r="677" ht="24" customHeight="1">
      <c r="A677" s="24" t="inlineStr">
        <is>
          <t>2026-03-20</t>
        </is>
      </c>
      <c r="B677" s="30" t="n">
        <v>83800</v>
      </c>
      <c r="C677" s="30" t="n">
        <v>86400</v>
      </c>
      <c r="D677" s="30" t="n">
        <v>81000</v>
      </c>
      <c r="E677" s="30" t="n">
        <v>86400</v>
      </c>
      <c r="F677" s="30" t="n">
        <v>86400</v>
      </c>
      <c r="G677" s="30" t="n">
        <v>433180</v>
      </c>
      <c r="H677" s="35" t="n">
        <v>0.04727272727272736</v>
      </c>
      <c r="I677" s="35" t="n">
        <v>0</v>
      </c>
      <c r="J677" s="30" t="n">
        <v>66150</v>
      </c>
      <c r="K677" s="30" t="n">
        <v>52625.83333333334</v>
      </c>
      <c r="L677" s="30" t="n">
        <v>43208.33333333334</v>
      </c>
      <c r="M677" s="35" t="n">
        <v>1.405061594057284</v>
      </c>
      <c r="N677" s="35" t="n">
        <v>1.057380431850655</v>
      </c>
      <c r="O677" s="35" t="n">
        <v>0.375796178343949</v>
      </c>
      <c r="P677" s="35" t="n">
        <v>1.658461538461538</v>
      </c>
      <c r="Q677" s="35" t="n">
        <v>2.085714285714286</v>
      </c>
      <c r="R677" s="35" t="n">
        <v>0.3061224489795917</v>
      </c>
      <c r="S677" s="35" t="n">
        <v>0.6417792275656757</v>
      </c>
      <c r="T677" s="35" t="n">
        <v>0.9996142719382834</v>
      </c>
      <c r="U677" s="30" t="n">
        <v>86400</v>
      </c>
      <c r="V677" s="30" t="n">
        <v>16570</v>
      </c>
      <c r="W677" s="35" t="n">
        <v>0</v>
      </c>
      <c r="X677" s="35" t="n">
        <v>4.214242607121304</v>
      </c>
      <c r="Y677" s="30" t="n">
        <v>28966714</v>
      </c>
      <c r="Z677" s="30" t="n">
        <v>2502724089600</v>
      </c>
      <c r="AA677" s="30" t="n">
        <v>37426752000</v>
      </c>
      <c r="AB677" s="30" t="n">
        <v>38870269190</v>
      </c>
      <c r="AC677" s="35" t="n">
        <v>0.01495440594331825</v>
      </c>
      <c r="AD677" s="24" t="inlineStr">
        <is>
          <t>yfinance_download</t>
        </is>
      </c>
      <c r="AE677" s="24" t="inlineStr">
        <is>
          <t>319660.KQ</t>
        </is>
      </c>
    </row>
    <row r="678" ht="24" customHeight="1">
      <c r="A678" s="29" t="inlineStr">
        <is>
          <t>2026-03-23</t>
        </is>
      </c>
      <c r="B678" s="31" t="n">
        <v>83300</v>
      </c>
      <c r="C678" s="31" t="n">
        <v>87800</v>
      </c>
      <c r="D678" s="31" t="n">
        <v>79900</v>
      </c>
      <c r="E678" s="31" t="n">
        <v>80400</v>
      </c>
      <c r="F678" s="31" t="n">
        <v>80400</v>
      </c>
      <c r="G678" s="31" t="n">
        <v>437172</v>
      </c>
      <c r="H678" s="36" t="n">
        <v>-0.06944444444444442</v>
      </c>
      <c r="I678" s="36" t="n">
        <v>-0.06944444444444442</v>
      </c>
      <c r="J678" s="31" t="n">
        <v>67140</v>
      </c>
      <c r="K678" s="31" t="n">
        <v>53436.66666666666</v>
      </c>
      <c r="L678" s="31" t="n">
        <v>43635</v>
      </c>
      <c r="M678" s="36" t="n">
        <v>1.42797204985087</v>
      </c>
      <c r="N678" s="36" t="n">
        <v>1.069380318960374</v>
      </c>
      <c r="O678" s="36" t="n">
        <v>0.3267326732673268</v>
      </c>
      <c r="P678" s="36" t="n">
        <v>1.532283464566929</v>
      </c>
      <c r="Q678" s="36" t="n">
        <v>1.753424657534246</v>
      </c>
      <c r="R678" s="36" t="n">
        <v>0.1974977658623771</v>
      </c>
      <c r="S678" s="36" t="n">
        <v>0.5045848668205353</v>
      </c>
      <c r="T678" s="36" t="n">
        <v>0.8425575799243727</v>
      </c>
      <c r="U678" s="31" t="n">
        <v>86400</v>
      </c>
      <c r="V678" s="31" t="n">
        <v>16570</v>
      </c>
      <c r="W678" s="36" t="n">
        <v>-0.06944444444444442</v>
      </c>
      <c r="X678" s="36" t="n">
        <v>3.852142426071213</v>
      </c>
      <c r="Y678" s="31" t="n">
        <v>28966714</v>
      </c>
      <c r="Z678" s="31" t="n">
        <v>2328923805600</v>
      </c>
      <c r="AA678" s="31" t="n">
        <v>35148628800</v>
      </c>
      <c r="AB678" s="31" t="n">
        <v>39356003570</v>
      </c>
      <c r="AC678" s="36" t="n">
        <v>0.01509221929694891</v>
      </c>
      <c r="AD678" s="29" t="inlineStr">
        <is>
          <t>yfinance_download</t>
        </is>
      </c>
      <c r="AE678" s="29" t="inlineStr">
        <is>
          <t>319660.KQ</t>
        </is>
      </c>
    </row>
    <row r="679" ht="24" customHeight="1">
      <c r="A679" s="24" t="inlineStr">
        <is>
          <t>2026-03-24</t>
        </is>
      </c>
      <c r="B679" s="30" t="n">
        <v>84500</v>
      </c>
      <c r="C679" s="30" t="n">
        <v>85700</v>
      </c>
      <c r="D679" s="30" t="n">
        <v>78100</v>
      </c>
      <c r="E679" s="30" t="n">
        <v>79800</v>
      </c>
      <c r="F679" s="30" t="n">
        <v>79800</v>
      </c>
      <c r="G679" s="30" t="n">
        <v>368667</v>
      </c>
      <c r="H679" s="35" t="n">
        <v>-0.007462686567164201</v>
      </c>
      <c r="I679" s="35" t="n">
        <v>-0.07638888888888884</v>
      </c>
      <c r="J679" s="30" t="n">
        <v>68305</v>
      </c>
      <c r="K679" s="30" t="n">
        <v>54243.33333333334</v>
      </c>
      <c r="L679" s="30" t="n">
        <v>44040.83333333334</v>
      </c>
      <c r="M679" s="35" t="n">
        <v>1.395700377189956</v>
      </c>
      <c r="N679" s="35" t="n">
        <v>1.06899541310883</v>
      </c>
      <c r="O679" s="35" t="n">
        <v>0.4123893805309735</v>
      </c>
      <c r="P679" s="35" t="n">
        <v>1.54140127388535</v>
      </c>
      <c r="Q679" s="35" t="n">
        <v>1.565916398713826</v>
      </c>
      <c r="R679" s="35" t="n">
        <v>0.1682892906815021</v>
      </c>
      <c r="S679" s="35" t="n">
        <v>0.471148528236957</v>
      </c>
      <c r="T679" s="35" t="n">
        <v>0.8119548146606368</v>
      </c>
      <c r="U679" s="30" t="n">
        <v>86400</v>
      </c>
      <c r="V679" s="30" t="n">
        <v>16570</v>
      </c>
      <c r="W679" s="35" t="n">
        <v>-0.07638888888888884</v>
      </c>
      <c r="X679" s="35" t="n">
        <v>3.815932407966204</v>
      </c>
      <c r="Y679" s="30" t="n">
        <v>28966714</v>
      </c>
      <c r="Z679" s="30" t="n">
        <v>2311543777200</v>
      </c>
      <c r="AA679" s="30" t="n">
        <v>29419626600</v>
      </c>
      <c r="AB679" s="30" t="n">
        <v>39471888900</v>
      </c>
      <c r="AC679" s="35" t="n">
        <v>0.01272726343761326</v>
      </c>
      <c r="AD679" s="24" t="inlineStr">
        <is>
          <t>yfinance_download</t>
        </is>
      </c>
      <c r="AE679" s="24" t="inlineStr">
        <is>
          <t>319660.KQ</t>
        </is>
      </c>
    </row>
    <row r="680" ht="24" customHeight="1">
      <c r="A680" s="29" t="inlineStr">
        <is>
          <t>2026-03-25</t>
        </is>
      </c>
      <c r="B680" s="31" t="n">
        <v>85300</v>
      </c>
      <c r="C680" s="31" t="n">
        <v>89600</v>
      </c>
      <c r="D680" s="31" t="n">
        <v>83050</v>
      </c>
      <c r="E680" s="31" t="n">
        <v>84200</v>
      </c>
      <c r="F680" s="31" t="n">
        <v>84200</v>
      </c>
      <c r="G680" s="31" t="n">
        <v>365085</v>
      </c>
      <c r="H680" s="36" t="n">
        <v>0.05513784461152893</v>
      </c>
      <c r="I680" s="36" t="n">
        <v>-0.02546296296296291</v>
      </c>
      <c r="J680" s="31" t="n">
        <v>69330</v>
      </c>
      <c r="K680" s="31" t="n">
        <v>55070.83333333334</v>
      </c>
      <c r="L680" s="31" t="n">
        <v>44479.58333333334</v>
      </c>
      <c r="M680" s="36" t="n">
        <v>1.345270198965284</v>
      </c>
      <c r="N680" s="36" t="n">
        <v>1.058061345332109</v>
      </c>
      <c r="O680" s="36" t="n">
        <v>0.3218210361067504</v>
      </c>
      <c r="P680" s="36" t="n">
        <v>1.437047756874096</v>
      </c>
      <c r="Q680" s="36" t="n">
        <v>1.66877971473851</v>
      </c>
      <c r="R680" s="36" t="n">
        <v>0.21448146545507</v>
      </c>
      <c r="S680" s="36" t="n">
        <v>0.5289400015132026</v>
      </c>
      <c r="T680" s="36" t="n">
        <v>0.8930033442309673</v>
      </c>
      <c r="U680" s="31" t="n">
        <v>86400</v>
      </c>
      <c r="V680" s="31" t="n">
        <v>16570</v>
      </c>
      <c r="W680" s="36" t="n">
        <v>-0.02546296296296291</v>
      </c>
      <c r="X680" s="36" t="n">
        <v>4.081472540736271</v>
      </c>
      <c r="Y680" s="31" t="n">
        <v>28966714</v>
      </c>
      <c r="Z680" s="31" t="n">
        <v>2438997318800</v>
      </c>
      <c r="AA680" s="31" t="n">
        <v>30740157000</v>
      </c>
      <c r="AB680" s="31" t="n">
        <v>38817275955</v>
      </c>
      <c r="AC680" s="36" t="n">
        <v>0.01260360426108395</v>
      </c>
      <c r="AD680" s="29" t="inlineStr">
        <is>
          <t>yfinance_download</t>
        </is>
      </c>
      <c r="AE680" s="29" t="inlineStr">
        <is>
          <t>319660.KQ</t>
        </is>
      </c>
    </row>
    <row r="681" ht="24" customHeight="1">
      <c r="A681" s="24" t="inlineStr">
        <is>
          <t>2026-03-26</t>
        </is>
      </c>
      <c r="B681" s="30" t="n">
        <v>83000</v>
      </c>
      <c r="C681" s="30" t="n">
        <v>88900</v>
      </c>
      <c r="D681" s="30" t="n">
        <v>82500</v>
      </c>
      <c r="E681" s="30" t="n">
        <v>83500</v>
      </c>
      <c r="F681" s="30" t="n">
        <v>83500</v>
      </c>
      <c r="G681" s="30" t="n">
        <v>410413</v>
      </c>
      <c r="H681" s="35" t="n">
        <v>-0.008313539192399078</v>
      </c>
      <c r="I681" s="35" t="n">
        <v>-0.03356481481481477</v>
      </c>
      <c r="J681" s="30" t="n">
        <v>70475</v>
      </c>
      <c r="K681" s="30" t="n">
        <v>55871.66666666666</v>
      </c>
      <c r="L681" s="30" t="n">
        <v>44911.25</v>
      </c>
      <c r="M681" s="35" t="n">
        <v>1.326481166995974</v>
      </c>
      <c r="N681" s="35" t="n">
        <v>1.0591618056268</v>
      </c>
      <c r="O681" s="35" t="n">
        <v>0.3778877887788779</v>
      </c>
      <c r="P681" s="35" t="n">
        <v>1.355430183356841</v>
      </c>
      <c r="Q681" s="35" t="n">
        <v>1.634069400630915</v>
      </c>
      <c r="R681" s="35" t="n">
        <v>0.1848173111032281</v>
      </c>
      <c r="S681" s="35" t="n">
        <v>0.4944963159621754</v>
      </c>
      <c r="T681" s="35" t="n">
        <v>0.8592223552005345</v>
      </c>
      <c r="U681" s="30" t="n">
        <v>86400</v>
      </c>
      <c r="V681" s="30" t="n">
        <v>16570</v>
      </c>
      <c r="W681" s="35" t="n">
        <v>-0.03356481481481477</v>
      </c>
      <c r="X681" s="35" t="n">
        <v>4.039227519613759</v>
      </c>
      <c r="Y681" s="30" t="n">
        <v>28966714</v>
      </c>
      <c r="Z681" s="30" t="n">
        <v>2418720619000</v>
      </c>
      <c r="AA681" s="30" t="n">
        <v>34269485500</v>
      </c>
      <c r="AB681" s="30" t="n">
        <v>39005678510</v>
      </c>
      <c r="AC681" s="35" t="n">
        <v>0.01416843484559553</v>
      </c>
      <c r="AD681" s="24" t="inlineStr">
        <is>
          <t>yfinance_download</t>
        </is>
      </c>
      <c r="AE681" s="24" t="inlineStr">
        <is>
          <t>319660.KQ</t>
        </is>
      </c>
    </row>
    <row r="682" ht="24" customHeight="1">
      <c r="A682" s="29" t="inlineStr">
        <is>
          <t>2026-03-27</t>
        </is>
      </c>
      <c r="B682" s="31" t="n">
        <v>80100</v>
      </c>
      <c r="C682" s="31" t="n">
        <v>84500</v>
      </c>
      <c r="D682" s="31" t="n">
        <v>78300</v>
      </c>
      <c r="E682" s="31" t="n">
        <v>82100</v>
      </c>
      <c r="F682" s="31" t="n">
        <v>82100</v>
      </c>
      <c r="G682" s="31" t="n">
        <v>331393</v>
      </c>
      <c r="H682" s="36" t="n">
        <v>-0.01676646706586826</v>
      </c>
      <c r="I682" s="36" t="n">
        <v>-0.04976851851851849</v>
      </c>
      <c r="J682" s="31" t="n">
        <v>71310</v>
      </c>
      <c r="K682" s="31" t="n">
        <v>56663.33333333334</v>
      </c>
      <c r="L682" s="31" t="n">
        <v>45325.83333333334</v>
      </c>
      <c r="M682" s="36" t="n">
        <v>1.312781346005199</v>
      </c>
      <c r="N682" s="36" t="n">
        <v>1.058086765750107</v>
      </c>
      <c r="O682" s="36" t="n">
        <v>0.2553516819571866</v>
      </c>
      <c r="P682" s="36" t="n">
        <v>1.372832369942197</v>
      </c>
      <c r="Q682" s="36" t="n">
        <v>1.537867078825348</v>
      </c>
      <c r="R682" s="36" t="n">
        <v>0.1513111765530781</v>
      </c>
      <c r="S682" s="36" t="n">
        <v>0.4489087593387846</v>
      </c>
      <c r="T682" s="36" t="n">
        <v>0.8113290801787059</v>
      </c>
      <c r="U682" s="31" t="n">
        <v>86400</v>
      </c>
      <c r="V682" s="31" t="n">
        <v>16570</v>
      </c>
      <c r="W682" s="36" t="n">
        <v>-0.04976851851851849</v>
      </c>
      <c r="X682" s="36" t="n">
        <v>3.954737477368739</v>
      </c>
      <c r="Y682" s="31" t="n">
        <v>28966714</v>
      </c>
      <c r="Z682" s="31" t="n">
        <v>2378167219400</v>
      </c>
      <c r="AA682" s="31" t="n">
        <v>27207365300</v>
      </c>
      <c r="AB682" s="31" t="n">
        <v>38337593835</v>
      </c>
      <c r="AC682" s="36" t="n">
        <v>0.01144047612718515</v>
      </c>
      <c r="AD682" s="29" t="inlineStr">
        <is>
          <t>yfinance_download</t>
        </is>
      </c>
      <c r="AE682" s="29" t="inlineStr">
        <is>
          <t>319660.KQ</t>
        </is>
      </c>
    </row>
    <row r="683" ht="24" customHeight="1">
      <c r="A683" s="24" t="inlineStr">
        <is>
          <t>2026-03-30</t>
        </is>
      </c>
      <c r="B683" s="30" t="n">
        <v>77000</v>
      </c>
      <c r="C683" s="30" t="n">
        <v>82800</v>
      </c>
      <c r="D683" s="30" t="n">
        <v>76100</v>
      </c>
      <c r="E683" s="30" t="n">
        <v>80000</v>
      </c>
      <c r="F683" s="30" t="n">
        <v>80000</v>
      </c>
      <c r="G683" s="30" t="n">
        <v>349126</v>
      </c>
      <c r="H683" s="35" t="n">
        <v>-0.02557856272837999</v>
      </c>
      <c r="I683" s="35" t="n">
        <v>-0.07407407407407407</v>
      </c>
      <c r="J683" s="30" t="n">
        <v>72105</v>
      </c>
      <c r="K683" s="30" t="n">
        <v>57400</v>
      </c>
      <c r="L683" s="30" t="n">
        <v>45722.5</v>
      </c>
      <c r="M683" s="35" t="n">
        <v>1.314922450458306</v>
      </c>
      <c r="N683" s="35" t="n">
        <v>1.060901142102507</v>
      </c>
      <c r="O683" s="35" t="n">
        <v>0.2480499219968799</v>
      </c>
      <c r="P683" s="35" t="n">
        <v>1.23463687150838</v>
      </c>
      <c r="Q683" s="35" t="n">
        <v>1.469135802469136</v>
      </c>
      <c r="R683" s="35" t="n">
        <v>0.1094931003397823</v>
      </c>
      <c r="S683" s="35" t="n">
        <v>0.3937282229965158</v>
      </c>
      <c r="T683" s="35" t="n">
        <v>0.7496856033681447</v>
      </c>
      <c r="U683" s="30" t="n">
        <v>86400</v>
      </c>
      <c r="V683" s="30" t="n">
        <v>16570</v>
      </c>
      <c r="W683" s="35" t="n">
        <v>-0.07407407407407407</v>
      </c>
      <c r="X683" s="35" t="n">
        <v>3.828002414001207</v>
      </c>
      <c r="Y683" s="30" t="n">
        <v>28966714</v>
      </c>
      <c r="Z683" s="30" t="n">
        <v>2317337120000</v>
      </c>
      <c r="AA683" s="30" t="n">
        <v>27930080000</v>
      </c>
      <c r="AB683" s="30" t="n">
        <v>36907515390</v>
      </c>
      <c r="AC683" s="35" t="n">
        <v>0.0120526615480099</v>
      </c>
      <c r="AD683" s="24" t="inlineStr">
        <is>
          <t>yfinance_download</t>
        </is>
      </c>
      <c r="AE683" s="24" t="inlineStr">
        <is>
          <t>319660.KQ</t>
        </is>
      </c>
    </row>
    <row r="684" ht="24" customHeight="1">
      <c r="A684" s="29" t="inlineStr">
        <is>
          <t>2026-03-31</t>
        </is>
      </c>
      <c r="B684" s="31" t="n">
        <v>76200</v>
      </c>
      <c r="C684" s="31" t="n">
        <v>80400</v>
      </c>
      <c r="D684" s="31" t="n">
        <v>75200</v>
      </c>
      <c r="E684" s="31" t="n">
        <v>79500</v>
      </c>
      <c r="F684" s="31" t="n">
        <v>79500</v>
      </c>
      <c r="G684" s="31" t="n">
        <v>362763</v>
      </c>
      <c r="H684" s="36" t="n">
        <v>-0.006249999999999978</v>
      </c>
      <c r="I684" s="36" t="n">
        <v>-0.07986111111111116</v>
      </c>
      <c r="J684" s="31" t="n">
        <v>73015</v>
      </c>
      <c r="K684" s="31" t="n">
        <v>58121.66666666666</v>
      </c>
      <c r="L684" s="31" t="n">
        <v>46124.58333333334</v>
      </c>
      <c r="M684" s="36" t="n">
        <v>1.299642329765175</v>
      </c>
      <c r="N684" s="36" t="n">
        <v>1.061814597656435</v>
      </c>
      <c r="O684" s="36" t="n">
        <v>0.2969004893964111</v>
      </c>
      <c r="P684" s="36" t="n">
        <v>1.196132596685083</v>
      </c>
      <c r="Q684" s="36" t="n">
        <v>1.544</v>
      </c>
      <c r="R684" s="36" t="n">
        <v>0.08881736629459702</v>
      </c>
      <c r="S684" s="36" t="n">
        <v>0.3678203767958019</v>
      </c>
      <c r="T684" s="36" t="n">
        <v>0.7235928057164021</v>
      </c>
      <c r="U684" s="31" t="n">
        <v>86400</v>
      </c>
      <c r="V684" s="31" t="n">
        <v>16570</v>
      </c>
      <c r="W684" s="36" t="n">
        <v>-0.07986111111111116</v>
      </c>
      <c r="X684" s="36" t="n">
        <v>3.797827398913699</v>
      </c>
      <c r="Y684" s="31" t="n">
        <v>28966714</v>
      </c>
      <c r="Z684" s="31" t="n">
        <v>2302853763000</v>
      </c>
      <c r="AA684" s="31" t="n">
        <v>28839658500</v>
      </c>
      <c r="AB684" s="31" t="n">
        <v>36551259750</v>
      </c>
      <c r="AC684" s="36" t="n">
        <v>0.01252344328735389</v>
      </c>
      <c r="AD684" s="29" t="inlineStr">
        <is>
          <t>yfinance_download</t>
        </is>
      </c>
      <c r="AE684" s="29" t="inlineStr">
        <is>
          <t>319660.KQ</t>
        </is>
      </c>
    </row>
    <row r="685" ht="24" customHeight="1">
      <c r="A685" s="24" t="inlineStr">
        <is>
          <t>2026-04-01</t>
        </is>
      </c>
      <c r="B685" s="30" t="n">
        <v>84000</v>
      </c>
      <c r="C685" s="30" t="n">
        <v>88900</v>
      </c>
      <c r="D685" s="30" t="n">
        <v>82500</v>
      </c>
      <c r="E685" s="30" t="n">
        <v>86400</v>
      </c>
      <c r="F685" s="30" t="n">
        <v>86400</v>
      </c>
      <c r="G685" s="30" t="n">
        <v>482829</v>
      </c>
      <c r="H685" s="35" t="n">
        <v>0.08679245283018866</v>
      </c>
      <c r="I685" s="35" t="n">
        <v>0</v>
      </c>
      <c r="J685" s="30" t="n">
        <v>74615</v>
      </c>
      <c r="K685" s="30" t="n">
        <v>58946.66666666666</v>
      </c>
      <c r="L685" s="30" t="n">
        <v>46569.16666666666</v>
      </c>
      <c r="M685" s="35" t="n">
        <v>1.228366801605902</v>
      </c>
      <c r="N685" s="35" t="n">
        <v>1.071849790349206</v>
      </c>
      <c r="O685" s="35" t="n">
        <v>0.588235294117647</v>
      </c>
      <c r="P685" s="35" t="n">
        <v>1.341463414634146</v>
      </c>
      <c r="Q685" s="35" t="n">
        <v>1.614220877458396</v>
      </c>
      <c r="R685" s="35" t="n">
        <v>0.1579441131139852</v>
      </c>
      <c r="S685" s="35" t="n">
        <v>0.4657317349016061</v>
      </c>
      <c r="T685" s="35" t="n">
        <v>0.8553048333124564</v>
      </c>
      <c r="U685" s="30" t="n">
        <v>86400</v>
      </c>
      <c r="V685" s="30" t="n">
        <v>16570</v>
      </c>
      <c r="W685" s="35" t="n">
        <v>0</v>
      </c>
      <c r="X685" s="35" t="n">
        <v>4.214242607121304</v>
      </c>
      <c r="Y685" s="30" t="n">
        <v>28966714</v>
      </c>
      <c r="Z685" s="30" t="n">
        <v>2502724089600</v>
      </c>
      <c r="AA685" s="30" t="n">
        <v>41716425600</v>
      </c>
      <c r="AB685" s="30" t="n">
        <v>36933550470</v>
      </c>
      <c r="AC685" s="35" t="n">
        <v>0.01666840774552474</v>
      </c>
      <c r="AD685" s="24" t="inlineStr">
        <is>
          <t>yfinance_download</t>
        </is>
      </c>
      <c r="AE685" s="24" t="inlineStr">
        <is>
          <t>319660.KQ</t>
        </is>
      </c>
    </row>
    <row r="686" ht="24" customHeight="1">
      <c r="A686" s="29" t="inlineStr">
        <is>
          <t>2026-04-02</t>
        </is>
      </c>
      <c r="B686" s="31" t="n">
        <v>87300</v>
      </c>
      <c r="C686" s="31" t="n">
        <v>88000</v>
      </c>
      <c r="D686" s="31" t="n">
        <v>79600</v>
      </c>
      <c r="E686" s="31" t="n">
        <v>81200</v>
      </c>
      <c r="F686" s="31" t="n">
        <v>81200</v>
      </c>
      <c r="G686" s="31" t="n">
        <v>354991</v>
      </c>
      <c r="H686" s="36" t="n">
        <v>-0.06018518518518523</v>
      </c>
      <c r="I686" s="36" t="n">
        <v>-0.06018518518518523</v>
      </c>
      <c r="J686" s="31" t="n">
        <v>75410</v>
      </c>
      <c r="K686" s="31" t="n">
        <v>59651.66666666666</v>
      </c>
      <c r="L686" s="31" t="n">
        <v>46972.91666666666</v>
      </c>
      <c r="M686" s="36" t="n">
        <v>1.077183400497917</v>
      </c>
      <c r="N686" s="36" t="n">
        <v>1.080252863020229</v>
      </c>
      <c r="O686" s="36" t="n">
        <v>0.2434915773353752</v>
      </c>
      <c r="P686" s="36" t="n">
        <v>1.087403598971723</v>
      </c>
      <c r="Q686" s="36" t="n">
        <v>1.479389312977099</v>
      </c>
      <c r="R686" s="36" t="n">
        <v>0.07678026786898284</v>
      </c>
      <c r="S686" s="36" t="n">
        <v>0.361236064932525</v>
      </c>
      <c r="T686" s="36" t="n">
        <v>0.728655696988513</v>
      </c>
      <c r="U686" s="31" t="n">
        <v>86400</v>
      </c>
      <c r="V686" s="31" t="n">
        <v>16570</v>
      </c>
      <c r="W686" s="36" t="n">
        <v>-0.06018518518518523</v>
      </c>
      <c r="X686" s="36" t="n">
        <v>3.900422450211225</v>
      </c>
      <c r="Y686" s="31" t="n">
        <v>28966714</v>
      </c>
      <c r="Z686" s="31" t="n">
        <v>2352097176800</v>
      </c>
      <c r="AA686" s="31" t="n">
        <v>28825269200</v>
      </c>
      <c r="AB686" s="31" t="n">
        <v>36203314670</v>
      </c>
      <c r="AC686" s="36" t="n">
        <v>0.01225513532532548</v>
      </c>
      <c r="AD686" s="29" t="inlineStr">
        <is>
          <t>yfinance_download</t>
        </is>
      </c>
      <c r="AE686" s="29" t="inlineStr">
        <is>
          <t>319660.KQ</t>
        </is>
      </c>
    </row>
    <row r="687" ht="24" customHeight="1">
      <c r="A687" s="24" t="inlineStr">
        <is>
          <t>2026-04-03</t>
        </is>
      </c>
      <c r="B687" s="30" t="n">
        <v>82300</v>
      </c>
      <c r="C687" s="30" t="n">
        <v>82900</v>
      </c>
      <c r="D687" s="30" t="n">
        <v>74000</v>
      </c>
      <c r="E687" s="30" t="n">
        <v>76000</v>
      </c>
      <c r="F687" s="30" t="n">
        <v>76000</v>
      </c>
      <c r="G687" s="30" t="n">
        <v>521798</v>
      </c>
      <c r="H687" s="35" t="n">
        <v>-0.06403940886699511</v>
      </c>
      <c r="I687" s="35" t="n">
        <v>-0.1203703703703703</v>
      </c>
      <c r="J687" s="30" t="n">
        <v>75640</v>
      </c>
      <c r="K687" s="30" t="n">
        <v>60223.33333333334</v>
      </c>
      <c r="L687" s="30" t="n">
        <v>47332.08333333334</v>
      </c>
      <c r="M687" s="35" t="n">
        <v>1.066508872700521</v>
      </c>
      <c r="N687" s="35" t="n">
        <v>1.085327787058404</v>
      </c>
      <c r="O687" s="35" t="n">
        <v>0.06442577030812324</v>
      </c>
      <c r="P687" s="35" t="n">
        <v>0.8225419664268585</v>
      </c>
      <c r="Q687" s="35" t="n">
        <v>1.310030395136778</v>
      </c>
      <c r="R687" s="35" t="n">
        <v>0.004759386567953383</v>
      </c>
      <c r="S687" s="35" t="n">
        <v>0.2619693363591078</v>
      </c>
      <c r="T687" s="35" t="n">
        <v>0.6056762062378407</v>
      </c>
      <c r="U687" s="30" t="n">
        <v>86400</v>
      </c>
      <c r="V687" s="30" t="n">
        <v>16570</v>
      </c>
      <c r="W687" s="35" t="n">
        <v>-0.1203703703703703</v>
      </c>
      <c r="X687" s="35" t="n">
        <v>3.586602293301147</v>
      </c>
      <c r="Y687" s="30" t="n">
        <v>28966714</v>
      </c>
      <c r="Z687" s="30" t="n">
        <v>2201470264000</v>
      </c>
      <c r="AA687" s="30" t="n">
        <v>39656648000</v>
      </c>
      <c r="AB687" s="30" t="n">
        <v>35684283930</v>
      </c>
      <c r="AC687" s="35" t="n">
        <v>0.01801371049543279</v>
      </c>
      <c r="AD687" s="24" t="inlineStr">
        <is>
          <t>yfinance_download</t>
        </is>
      </c>
      <c r="AE687" s="24" t="inlineStr">
        <is>
          <t>319660.KQ</t>
        </is>
      </c>
    </row>
    <row r="688" ht="24" customHeight="1">
      <c r="A688" s="29" t="inlineStr">
        <is>
          <t>2026-04-06</t>
        </is>
      </c>
      <c r="B688" s="31" t="n">
        <v>75800</v>
      </c>
      <c r="C688" s="31" t="n">
        <v>78100</v>
      </c>
      <c r="D688" s="31" t="n">
        <v>74700</v>
      </c>
      <c r="E688" s="31" t="n">
        <v>75700</v>
      </c>
      <c r="F688" s="31" t="n">
        <v>75700</v>
      </c>
      <c r="G688" s="31" t="n">
        <v>180895</v>
      </c>
      <c r="H688" s="36" t="n">
        <v>-0.003947368421052588</v>
      </c>
      <c r="I688" s="36" t="n">
        <v>-0.1238425925925926</v>
      </c>
      <c r="J688" s="31" t="n">
        <v>76375</v>
      </c>
      <c r="K688" s="31" t="n">
        <v>60740</v>
      </c>
      <c r="L688" s="31" t="n">
        <v>47676.25</v>
      </c>
      <c r="M688" s="36" t="n">
        <v>0.9072564619493569</v>
      </c>
      <c r="N688" s="36" t="n">
        <v>1.078636729040853</v>
      </c>
      <c r="O688" s="36" t="n">
        <v>0.2409836065573769</v>
      </c>
      <c r="P688" s="36" t="n">
        <v>0.6935123042505593</v>
      </c>
      <c r="Q688" s="36" t="n">
        <v>1.200581395348837</v>
      </c>
      <c r="R688" s="36" t="n">
        <v>-0.008837970540098161</v>
      </c>
      <c r="S688" s="36" t="n">
        <v>0.2462956865327626</v>
      </c>
      <c r="T688" s="36" t="n">
        <v>0.5877926640622952</v>
      </c>
      <c r="U688" s="31" t="n">
        <v>86400</v>
      </c>
      <c r="V688" s="31" t="n">
        <v>16570</v>
      </c>
      <c r="W688" s="36" t="n">
        <v>-0.1238425925925926</v>
      </c>
      <c r="X688" s="36" t="n">
        <v>3.568497284248642</v>
      </c>
      <c r="Y688" s="31" t="n">
        <v>28966714</v>
      </c>
      <c r="Z688" s="31" t="n">
        <v>2192780249800</v>
      </c>
      <c r="AA688" s="31" t="n">
        <v>13693751500</v>
      </c>
      <c r="AB688" s="31" t="n">
        <v>34442042505</v>
      </c>
      <c r="AC688" s="36" t="n">
        <v>0.006244926504262789</v>
      </c>
      <c r="AD688" s="29" t="inlineStr">
        <is>
          <t>yfinance_download</t>
        </is>
      </c>
      <c r="AE688" s="29" t="inlineStr">
        <is>
          <t>319660.KQ</t>
        </is>
      </c>
    </row>
    <row r="689" ht="24" customHeight="1">
      <c r="A689" s="24" t="inlineStr">
        <is>
          <t>2026-04-07</t>
        </is>
      </c>
      <c r="B689" s="30" t="n">
        <v>79000</v>
      </c>
      <c r="C689" s="30" t="n">
        <v>79300</v>
      </c>
      <c r="D689" s="30" t="n">
        <v>75700</v>
      </c>
      <c r="E689" s="30" t="n">
        <v>77700</v>
      </c>
      <c r="F689" s="30" t="n">
        <v>77700</v>
      </c>
      <c r="G689" s="30" t="n">
        <v>302707</v>
      </c>
      <c r="H689" s="35" t="n">
        <v>0.02642007926023782</v>
      </c>
      <c r="I689" s="35" t="n">
        <v>-0.1006944444444444</v>
      </c>
      <c r="J689" s="30" t="n">
        <v>77185</v>
      </c>
      <c r="K689" s="30" t="n">
        <v>61290</v>
      </c>
      <c r="L689" s="30" t="n">
        <v>48025</v>
      </c>
      <c r="M689" s="35" t="n">
        <v>0.9084530529082754</v>
      </c>
      <c r="N689" s="35" t="n">
        <v>1.078841718660923</v>
      </c>
      <c r="O689" s="35" t="n">
        <v>0.2634146341463415</v>
      </c>
      <c r="P689" s="35" t="n">
        <v>0.738255033557047</v>
      </c>
      <c r="Q689" s="35" t="n">
        <v>1.167364016736402</v>
      </c>
      <c r="R689" s="35" t="n">
        <v>0.006672280883591286</v>
      </c>
      <c r="S689" s="35" t="n">
        <v>0.2677435144395497</v>
      </c>
      <c r="T689" s="35" t="n">
        <v>0.6179073399271213</v>
      </c>
      <c r="U689" s="30" t="n">
        <v>86400</v>
      </c>
      <c r="V689" s="30" t="n">
        <v>16570</v>
      </c>
      <c r="W689" s="35" t="n">
        <v>-0.1006944444444444</v>
      </c>
      <c r="X689" s="35" t="n">
        <v>3.689197344598672</v>
      </c>
      <c r="Y689" s="30" t="n">
        <v>28966714</v>
      </c>
      <c r="Z689" s="30" t="n">
        <v>2250713677800</v>
      </c>
      <c r="AA689" s="30" t="n">
        <v>23520333900</v>
      </c>
      <c r="AB689" s="30" t="n">
        <v>34327823025</v>
      </c>
      <c r="AC689" s="35" t="n">
        <v>0.01045016704345546</v>
      </c>
      <c r="AD689" s="24" t="inlineStr">
        <is>
          <t>yfinance_download</t>
        </is>
      </c>
      <c r="AE689" s="24" t="inlineStr">
        <is>
          <t>319660.KQ</t>
        </is>
      </c>
    </row>
    <row r="690" ht="24" customHeight="1">
      <c r="A690" s="29" t="inlineStr">
        <is>
          <t>2026-04-08</t>
        </is>
      </c>
      <c r="B690" s="31" t="n">
        <v>84900</v>
      </c>
      <c r="C690" s="31" t="n">
        <v>87000</v>
      </c>
      <c r="D690" s="31" t="n">
        <v>82500</v>
      </c>
      <c r="E690" s="31" t="n">
        <v>84900</v>
      </c>
      <c r="F690" s="31" t="n">
        <v>84900</v>
      </c>
      <c r="G690" s="31" t="n">
        <v>431956</v>
      </c>
      <c r="H690" s="36" t="n">
        <v>0.0926640926640927</v>
      </c>
      <c r="I690" s="36" t="n">
        <v>-0.01736111111111116</v>
      </c>
      <c r="J690" s="31" t="n">
        <v>78495</v>
      </c>
      <c r="K690" s="31" t="n">
        <v>61978.33333333334</v>
      </c>
      <c r="L690" s="31" t="n">
        <v>48441.25</v>
      </c>
      <c r="M690" s="36" t="n">
        <v>0.9221570987487346</v>
      </c>
      <c r="N690" s="36" t="n">
        <v>1.088814910746866</v>
      </c>
      <c r="O690" s="36" t="n">
        <v>0.4463373083475297</v>
      </c>
      <c r="P690" s="36" t="n">
        <v>0.9472477064220184</v>
      </c>
      <c r="Q690" s="36" t="n">
        <v>1.429184549356223</v>
      </c>
      <c r="R690" s="36" t="n">
        <v>0.08159755398433011</v>
      </c>
      <c r="S690" s="36" t="n">
        <v>0.3698335439804232</v>
      </c>
      <c r="T690" s="36" t="n">
        <v>0.7526385054060332</v>
      </c>
      <c r="U690" s="31" t="n">
        <v>86400</v>
      </c>
      <c r="V690" s="31" t="n">
        <v>16570</v>
      </c>
      <c r="W690" s="36" t="n">
        <v>-0.01736111111111116</v>
      </c>
      <c r="X690" s="36" t="n">
        <v>4.123717561858781</v>
      </c>
      <c r="Y690" s="31" t="n">
        <v>28966714</v>
      </c>
      <c r="Z690" s="31" t="n">
        <v>2459274018600</v>
      </c>
      <c r="AA690" s="31" t="n">
        <v>36673064400</v>
      </c>
      <c r="AB690" s="31" t="n">
        <v>34774900065</v>
      </c>
      <c r="AC690" s="36" t="n">
        <v>0.01491215054631326</v>
      </c>
      <c r="AD690" s="29" t="inlineStr">
        <is>
          <t>yfinance_download</t>
        </is>
      </c>
      <c r="AE690" s="29" t="inlineStr">
        <is>
          <t>319660.KQ</t>
        </is>
      </c>
    </row>
    <row r="691" ht="24" customHeight="1">
      <c r="A691" s="24" t="inlineStr">
        <is>
          <t>2026-04-09</t>
        </is>
      </c>
      <c r="B691" s="30" t="n">
        <v>82800</v>
      </c>
      <c r="C691" s="30" t="n">
        <v>85900</v>
      </c>
      <c r="D691" s="30" t="n">
        <v>80900</v>
      </c>
      <c r="E691" s="30" t="n">
        <v>83300</v>
      </c>
      <c r="F691" s="30" t="n">
        <v>83300</v>
      </c>
      <c r="G691" s="30" t="n">
        <v>363025</v>
      </c>
      <c r="H691" s="35" t="n">
        <v>-0.01884570082449943</v>
      </c>
      <c r="I691" s="35" t="n">
        <v>-0.03587962962962965</v>
      </c>
      <c r="J691" s="30" t="n">
        <v>79600</v>
      </c>
      <c r="K691" s="30" t="n">
        <v>62650.83333333334</v>
      </c>
      <c r="L691" s="30" t="n">
        <v>48868.75</v>
      </c>
      <c r="M691" s="35" t="n">
        <v>0.9281209859168102</v>
      </c>
      <c r="N691" s="35" t="n">
        <v>1.08928234267677</v>
      </c>
      <c r="O691" s="35" t="n">
        <v>0.3611111111111112</v>
      </c>
      <c r="P691" s="35" t="n">
        <v>0.9394644935972061</v>
      </c>
      <c r="Q691" s="35" t="n">
        <v>1.603125</v>
      </c>
      <c r="R691" s="35" t="n">
        <v>0.04648241206030157</v>
      </c>
      <c r="S691" s="35" t="n">
        <v>0.3295912531091632</v>
      </c>
      <c r="T691" s="35" t="n">
        <v>0.7045658012533571</v>
      </c>
      <c r="U691" s="30" t="n">
        <v>86400</v>
      </c>
      <c r="V691" s="30" t="n">
        <v>16570</v>
      </c>
      <c r="W691" s="35" t="n">
        <v>-0.03587962962962965</v>
      </c>
      <c r="X691" s="35" t="n">
        <v>4.027157513578757</v>
      </c>
      <c r="Y691" s="30" t="n">
        <v>28966714</v>
      </c>
      <c r="Z691" s="30" t="n">
        <v>2412927276200</v>
      </c>
      <c r="AA691" s="30" t="n">
        <v>30239982500</v>
      </c>
      <c r="AB691" s="30" t="n">
        <v>35148166090</v>
      </c>
      <c r="AC691" s="35" t="n">
        <v>0.01253248815174548</v>
      </c>
      <c r="AD691" s="24" t="inlineStr">
        <is>
          <t>yfinance_download</t>
        </is>
      </c>
      <c r="AE691" s="24" t="inlineStr">
        <is>
          <t>319660.KQ</t>
        </is>
      </c>
    </row>
    <row r="692" ht="24" customHeight="1">
      <c r="A692" s="29" t="inlineStr">
        <is>
          <t>2026-04-10</t>
        </is>
      </c>
      <c r="B692" s="31" t="n">
        <v>85200</v>
      </c>
      <c r="C692" s="31" t="n">
        <v>87800</v>
      </c>
      <c r="D692" s="31" t="n">
        <v>81100</v>
      </c>
      <c r="E692" s="31" t="n">
        <v>81600</v>
      </c>
      <c r="F692" s="31" t="n">
        <v>81600</v>
      </c>
      <c r="G692" s="31" t="n">
        <v>333418</v>
      </c>
      <c r="H692" s="36" t="n">
        <v>-0.02040816326530615</v>
      </c>
      <c r="I692" s="36" t="n">
        <v>-0.05555555555555558</v>
      </c>
      <c r="J692" s="31" t="n">
        <v>80475</v>
      </c>
      <c r="K692" s="31" t="n">
        <v>63325</v>
      </c>
      <c r="L692" s="31" t="n">
        <v>49271.25</v>
      </c>
      <c r="M692" s="36" t="n">
        <v>0.929982815850408</v>
      </c>
      <c r="N692" s="36" t="n">
        <v>1.085507466350486</v>
      </c>
      <c r="O692" s="36" t="n">
        <v>0.2730109204368174</v>
      </c>
      <c r="P692" s="36" t="n">
        <v>0.9829890643985419</v>
      </c>
      <c r="Q692" s="36" t="n">
        <v>1.45045045045045</v>
      </c>
      <c r="R692" s="36" t="n">
        <v>0.01397949673811749</v>
      </c>
      <c r="S692" s="36" t="n">
        <v>0.2885906040268456</v>
      </c>
      <c r="T692" s="36" t="n">
        <v>0.6561382144759875</v>
      </c>
      <c r="U692" s="31" t="n">
        <v>86400</v>
      </c>
      <c r="V692" s="31" t="n">
        <v>16570</v>
      </c>
      <c r="W692" s="36" t="n">
        <v>-0.05555555555555558</v>
      </c>
      <c r="X692" s="36" t="n">
        <v>3.924562462281231</v>
      </c>
      <c r="Y692" s="31" t="n">
        <v>28966714</v>
      </c>
      <c r="Z692" s="31" t="n">
        <v>2363683862400</v>
      </c>
      <c r="AA692" s="31" t="n">
        <v>27206908800</v>
      </c>
      <c r="AB692" s="31" t="n">
        <v>35026080445</v>
      </c>
      <c r="AC692" s="36" t="n">
        <v>0.01151038395311253</v>
      </c>
      <c r="AD692" s="29" t="inlineStr">
        <is>
          <t>yfinance_download</t>
        </is>
      </c>
      <c r="AE692" s="29" t="inlineStr">
        <is>
          <t>319660.KQ</t>
        </is>
      </c>
    </row>
    <row r="693" ht="24" customHeight="1">
      <c r="A693" s="24" t="inlineStr">
        <is>
          <t>2026-04-13</t>
        </is>
      </c>
      <c r="B693" s="30" t="n">
        <v>79200</v>
      </c>
      <c r="C693" s="30" t="n">
        <v>84000</v>
      </c>
      <c r="D693" s="30" t="n">
        <v>79100</v>
      </c>
      <c r="E693" s="30" t="n">
        <v>83400</v>
      </c>
      <c r="F693" s="30" t="n">
        <v>83400</v>
      </c>
      <c r="G693" s="30" t="n">
        <v>256467</v>
      </c>
      <c r="H693" s="35" t="n">
        <v>0.02205882352941169</v>
      </c>
      <c r="I693" s="35" t="n">
        <v>-0.03472222222222221</v>
      </c>
      <c r="J693" s="30" t="n">
        <v>80945</v>
      </c>
      <c r="K693" s="30" t="n">
        <v>64018.33333333334</v>
      </c>
      <c r="L693" s="30" t="n">
        <v>49690.83333333334</v>
      </c>
      <c r="M693" s="35" t="n">
        <v>0.7690887134374372</v>
      </c>
      <c r="N693" s="35" t="n">
        <v>1.085634549937821</v>
      </c>
      <c r="O693" s="35" t="n">
        <v>0.1270270270270271</v>
      </c>
      <c r="P693" s="35" t="n">
        <v>0.9952153110047848</v>
      </c>
      <c r="Q693" s="35" t="n">
        <v>1.523449319213313</v>
      </c>
      <c r="R693" s="35" t="n">
        <v>0.0303292359009204</v>
      </c>
      <c r="S693" s="35" t="n">
        <v>0.3027518158860742</v>
      </c>
      <c r="T693" s="35" t="n">
        <v>0.6783779704506196</v>
      </c>
      <c r="U693" s="30" t="n">
        <v>86400</v>
      </c>
      <c r="V693" s="30" t="n">
        <v>16570</v>
      </c>
      <c r="W693" s="35" t="n">
        <v>-0.03472222222222221</v>
      </c>
      <c r="X693" s="35" t="n">
        <v>4.033192516596258</v>
      </c>
      <c r="Y693" s="30" t="n">
        <v>28966714</v>
      </c>
      <c r="Z693" s="30" t="n">
        <v>2415823947600</v>
      </c>
      <c r="AA693" s="30" t="n">
        <v>21389347800</v>
      </c>
      <c r="AB693" s="30" t="n">
        <v>32376133935</v>
      </c>
      <c r="AC693" s="35" t="n">
        <v>0.008853852045489177</v>
      </c>
      <c r="AD693" s="24" t="inlineStr">
        <is>
          <t>yfinance_download</t>
        </is>
      </c>
      <c r="AE693" s="24" t="inlineStr">
        <is>
          <t>319660.KQ</t>
        </is>
      </c>
    </row>
    <row r="694" ht="24" customHeight="1">
      <c r="A694" s="29" t="inlineStr">
        <is>
          <t>2026-04-14</t>
        </is>
      </c>
      <c r="B694" s="31" t="n">
        <v>84900</v>
      </c>
      <c r="C694" s="31" t="n">
        <v>85600</v>
      </c>
      <c r="D694" s="31" t="n">
        <v>81200</v>
      </c>
      <c r="E694" s="31" t="n">
        <v>81500</v>
      </c>
      <c r="F694" s="31" t="n">
        <v>81500</v>
      </c>
      <c r="G694" s="31" t="n">
        <v>385848</v>
      </c>
      <c r="H694" s="36" t="n">
        <v>-0.0227817745803357</v>
      </c>
      <c r="I694" s="36" t="n">
        <v>-0.05671296296296291</v>
      </c>
      <c r="J694" s="31" t="n">
        <v>81380</v>
      </c>
      <c r="K694" s="31" t="n">
        <v>64665</v>
      </c>
      <c r="L694" s="31" t="n">
        <v>50097.08333333334</v>
      </c>
      <c r="M694" s="36" t="n">
        <v>0.772075799117166</v>
      </c>
      <c r="N694" s="36" t="n">
        <v>1.088086185156717</v>
      </c>
      <c r="O694" s="36" t="n">
        <v>0.1195054945054945</v>
      </c>
      <c r="P694" s="36" t="n">
        <v>0.9086651053864168</v>
      </c>
      <c r="Q694" s="36" t="n">
        <v>1.488549618320611</v>
      </c>
      <c r="R694" s="36" t="n">
        <v>0.001474563774883197</v>
      </c>
      <c r="S694" s="36" t="n">
        <v>0.2603417613856027</v>
      </c>
      <c r="T694" s="36" t="n">
        <v>0.6268412166376951</v>
      </c>
      <c r="U694" s="31" t="n">
        <v>86400</v>
      </c>
      <c r="V694" s="31" t="n">
        <v>16570</v>
      </c>
      <c r="W694" s="36" t="n">
        <v>-0.05671296296296291</v>
      </c>
      <c r="X694" s="36" t="n">
        <v>3.918527459263729</v>
      </c>
      <c r="Y694" s="31" t="n">
        <v>28966714</v>
      </c>
      <c r="Z694" s="31" t="n">
        <v>2360787191000</v>
      </c>
      <c r="AA694" s="31" t="n">
        <v>31446612000</v>
      </c>
      <c r="AB694" s="31" t="n">
        <v>31454842495</v>
      </c>
      <c r="AC694" s="36" t="n">
        <v>0.01332039250292594</v>
      </c>
      <c r="AD694" s="29" t="inlineStr">
        <is>
          <t>yfinance_download</t>
        </is>
      </c>
      <c r="AE694" s="29" t="inlineStr">
        <is>
          <t>319660.KQ</t>
        </is>
      </c>
    </row>
    <row r="695" ht="24" customHeight="1">
      <c r="A695" s="24" t="inlineStr">
        <is>
          <t>2026-04-15</t>
        </is>
      </c>
      <c r="B695" s="30" t="n">
        <v>84900</v>
      </c>
      <c r="C695" s="30" t="n">
        <v>92500</v>
      </c>
      <c r="D695" s="30" t="n">
        <v>84300</v>
      </c>
      <c r="E695" s="30" t="n">
        <v>88300</v>
      </c>
      <c r="F695" s="30" t="n">
        <v>88300</v>
      </c>
      <c r="G695" s="30" t="n">
        <v>691143</v>
      </c>
      <c r="H695" s="35" t="n">
        <v>0.08343558282208585</v>
      </c>
      <c r="I695" s="35" t="n">
        <v>0</v>
      </c>
      <c r="J695" s="30" t="n">
        <v>81920</v>
      </c>
      <c r="K695" s="30" t="n">
        <v>65449.16666666666</v>
      </c>
      <c r="L695" s="30" t="n">
        <v>50521.25</v>
      </c>
      <c r="M695" s="35" t="n">
        <v>0.7934261482058832</v>
      </c>
      <c r="N695" s="35" t="n">
        <v>1.09299520098792</v>
      </c>
      <c r="O695" s="35" t="n">
        <v>0.1393548387096775</v>
      </c>
      <c r="P695" s="35" t="n">
        <v>1.140606060606061</v>
      </c>
      <c r="Q695" s="35" t="n">
        <v>1.36096256684492</v>
      </c>
      <c r="R695" s="35" t="n">
        <v>0.077880859375</v>
      </c>
      <c r="S695" s="35" t="n">
        <v>0.3491386444950917</v>
      </c>
      <c r="T695" s="35" t="n">
        <v>0.7477793997575277</v>
      </c>
      <c r="U695" s="30" t="n">
        <v>88300</v>
      </c>
      <c r="V695" s="30" t="n">
        <v>16570</v>
      </c>
      <c r="W695" s="35" t="n">
        <v>0</v>
      </c>
      <c r="X695" s="35" t="n">
        <v>4.328907664453832</v>
      </c>
      <c r="Y695" s="30" t="n">
        <v>28966714</v>
      </c>
      <c r="Z695" s="30" t="n">
        <v>2557760846200</v>
      </c>
      <c r="AA695" s="30" t="n">
        <v>61027926900</v>
      </c>
      <c r="AB695" s="30" t="n">
        <v>32667086340</v>
      </c>
      <c r="AC695" s="35" t="n">
        <v>0.02385990347403575</v>
      </c>
      <c r="AD695" s="24" t="inlineStr">
        <is>
          <t>yfinance_download</t>
        </is>
      </c>
      <c r="AE695" s="24" t="inlineStr">
        <is>
          <t>319660.KQ</t>
        </is>
      </c>
    </row>
    <row r="696" ht="24" customHeight="1">
      <c r="A696" s="29" t="inlineStr">
        <is>
          <t>2026-04-16</t>
        </is>
      </c>
      <c r="B696" s="31" t="n">
        <v>87400</v>
      </c>
      <c r="C696" s="31" t="n">
        <v>89300</v>
      </c>
      <c r="D696" s="31" t="n">
        <v>84500</v>
      </c>
      <c r="E696" s="31" t="n">
        <v>89200</v>
      </c>
      <c r="F696" s="31" t="n">
        <v>89200</v>
      </c>
      <c r="G696" s="31" t="n">
        <v>412499</v>
      </c>
      <c r="H696" s="36" t="n">
        <v>0.01019252548131377</v>
      </c>
      <c r="I696" s="36" t="n">
        <v>0</v>
      </c>
      <c r="J696" s="31" t="n">
        <v>82255</v>
      </c>
      <c r="K696" s="31" t="n">
        <v>66241.66666666667</v>
      </c>
      <c r="L696" s="31" t="n">
        <v>50965.83333333334</v>
      </c>
      <c r="M696" s="36" t="n">
        <v>0.764758638442479</v>
      </c>
      <c r="N696" s="36" t="n">
        <v>1.092985325333879</v>
      </c>
      <c r="O696" s="36" t="n">
        <v>0.08121212121212129</v>
      </c>
      <c r="P696" s="36" t="n">
        <v>1.141656662665066</v>
      </c>
      <c r="Q696" s="36" t="n">
        <v>1.488145048814505</v>
      </c>
      <c r="R696" s="36" t="n">
        <v>0.08443255729135002</v>
      </c>
      <c r="S696" s="36" t="n">
        <v>0.3465844760347212</v>
      </c>
      <c r="T696" s="36" t="n">
        <v>0.7501921221733514</v>
      </c>
      <c r="U696" s="31" t="n">
        <v>89200</v>
      </c>
      <c r="V696" s="31" t="n">
        <v>16570</v>
      </c>
      <c r="W696" s="36" t="n">
        <v>0</v>
      </c>
      <c r="X696" s="36" t="n">
        <v>4.383222691611346</v>
      </c>
      <c r="Y696" s="31" t="n">
        <v>28966714</v>
      </c>
      <c r="Z696" s="31" t="n">
        <v>2583830888800</v>
      </c>
      <c r="AA696" s="31" t="n">
        <v>36794910800</v>
      </c>
      <c r="AB696" s="31" t="n">
        <v>32158646755</v>
      </c>
      <c r="AC696" s="36" t="n">
        <v>0.01424044853689652</v>
      </c>
      <c r="AD696" s="29" t="inlineStr">
        <is>
          <t>yfinance_download</t>
        </is>
      </c>
      <c r="AE696" s="29" t="inlineStr">
        <is>
          <t>319660.KQ</t>
        </is>
      </c>
    </row>
    <row r="697" ht="24" customHeight="1">
      <c r="A697" s="24" t="inlineStr">
        <is>
          <t>2026-04-17</t>
        </is>
      </c>
      <c r="B697" s="30" t="n">
        <v>86900</v>
      </c>
      <c r="C697" s="30" t="n">
        <v>87200</v>
      </c>
      <c r="D697" s="30" t="n">
        <v>84100</v>
      </c>
      <c r="E697" s="30" t="n">
        <v>84700</v>
      </c>
      <c r="F697" s="30" t="n">
        <v>84700</v>
      </c>
      <c r="G697" s="30" t="n">
        <v>323426</v>
      </c>
      <c r="H697" s="35" t="n">
        <v>-0.05044843049327352</v>
      </c>
      <c r="I697" s="35" t="n">
        <v>-0.05044843049327352</v>
      </c>
      <c r="J697" s="30" t="n">
        <v>82170</v>
      </c>
      <c r="K697" s="30" t="n">
        <v>66969.16666666667</v>
      </c>
      <c r="L697" s="30" t="n">
        <v>51368.75</v>
      </c>
      <c r="M697" s="35" t="n">
        <v>0.7717470685123289</v>
      </c>
      <c r="N697" s="35" t="n">
        <v>1.099609800366637</v>
      </c>
      <c r="O697" s="35" t="n">
        <v>-0.01967592592592593</v>
      </c>
      <c r="P697" s="35" t="n">
        <v>1.063337393422655</v>
      </c>
      <c r="Q697" s="35" t="n">
        <v>1.330123796423659</v>
      </c>
      <c r="R697" s="35" t="n">
        <v>0.0307898259705488</v>
      </c>
      <c r="S697" s="35" t="n">
        <v>0.2647611462986696</v>
      </c>
      <c r="T697" s="35" t="n">
        <v>0.6488623920184937</v>
      </c>
      <c r="U697" s="30" t="n">
        <v>89200</v>
      </c>
      <c r="V697" s="30" t="n">
        <v>16570</v>
      </c>
      <c r="W697" s="35" t="n">
        <v>-0.05044843049327352</v>
      </c>
      <c r="X697" s="35" t="n">
        <v>4.111647555823778</v>
      </c>
      <c r="Y697" s="30" t="n">
        <v>28966714</v>
      </c>
      <c r="Z697" s="30" t="n">
        <v>2453480675800</v>
      </c>
      <c r="AA697" s="30" t="n">
        <v>27394182200</v>
      </c>
      <c r="AB697" s="30" t="n">
        <v>31657018265</v>
      </c>
      <c r="AC697" s="35" t="n">
        <v>0.01116543630043781</v>
      </c>
      <c r="AD697" s="24" t="inlineStr">
        <is>
          <t>yfinance_download</t>
        </is>
      </c>
      <c r="AE697" s="24" t="inlineStr">
        <is>
          <t>319660.KQ</t>
        </is>
      </c>
    </row>
    <row r="698" ht="24" customHeight="1">
      <c r="A698" s="29" t="inlineStr">
        <is>
          <t>2026-04-20</t>
        </is>
      </c>
      <c r="B698" s="31" t="n">
        <v>84700</v>
      </c>
      <c r="C698" s="31" t="n">
        <v>84700</v>
      </c>
      <c r="D698" s="31" t="n">
        <v>82000</v>
      </c>
      <c r="E698" s="31" t="n">
        <v>82100</v>
      </c>
      <c r="F698" s="31" t="n">
        <v>82100</v>
      </c>
      <c r="G698" s="31" t="n">
        <v>306173</v>
      </c>
      <c r="H698" s="36" t="n">
        <v>-0.03069657615112165</v>
      </c>
      <c r="I698" s="36" t="n">
        <v>-0.07959641255605376</v>
      </c>
      <c r="J698" s="31" t="n">
        <v>82255</v>
      </c>
      <c r="K698" s="31" t="n">
        <v>67670</v>
      </c>
      <c r="L698" s="31" t="n">
        <v>51740</v>
      </c>
      <c r="M698" s="36" t="n">
        <v>0.7368981643397392</v>
      </c>
      <c r="N698" s="36" t="n">
        <v>1.10064109464142</v>
      </c>
      <c r="O698" s="36" t="n">
        <v>0.02114427860696511</v>
      </c>
      <c r="P698" s="36" t="n">
        <v>1.049937578027466</v>
      </c>
      <c r="Q698" s="36" t="n">
        <v>1.18641810918775</v>
      </c>
      <c r="R698" s="36" t="n">
        <v>-0.001884383928028699</v>
      </c>
      <c r="S698" s="36" t="n">
        <v>0.2132407270577803</v>
      </c>
      <c r="T698" s="36" t="n">
        <v>0.5867800541167376</v>
      </c>
      <c r="U698" s="31" t="n">
        <v>89200</v>
      </c>
      <c r="V698" s="31" t="n">
        <v>16570</v>
      </c>
      <c r="W698" s="36" t="n">
        <v>-0.07959641255605376</v>
      </c>
      <c r="X698" s="36" t="n">
        <v>3.954737477368739</v>
      </c>
      <c r="Y698" s="31" t="n">
        <v>28966714</v>
      </c>
      <c r="Z698" s="31" t="n">
        <v>2378167219400</v>
      </c>
      <c r="AA698" s="31" t="n">
        <v>25136803300</v>
      </c>
      <c r="AB698" s="31" t="n">
        <v>31156426990</v>
      </c>
      <c r="AC698" s="36" t="n">
        <v>0.01056982162353659</v>
      </c>
      <c r="AD698" s="29" t="inlineStr">
        <is>
          <t>yfinance_download</t>
        </is>
      </c>
      <c r="AE698" s="29" t="inlineStr">
        <is>
          <t>319660.KQ</t>
        </is>
      </c>
    </row>
    <row r="699" ht="24" customHeight="1">
      <c r="A699" s="24" t="inlineStr">
        <is>
          <t>2026-04-21</t>
        </is>
      </c>
      <c r="B699" s="30" t="n">
        <v>82600</v>
      </c>
      <c r="C699" s="30" t="n">
        <v>83800</v>
      </c>
      <c r="D699" s="30" t="n">
        <v>82000</v>
      </c>
      <c r="E699" s="30" t="n">
        <v>83700</v>
      </c>
      <c r="F699" s="30" t="n">
        <v>83700</v>
      </c>
      <c r="G699" s="30" t="n">
        <v>250067</v>
      </c>
      <c r="H699" s="35" t="n">
        <v>0.01948842874543244</v>
      </c>
      <c r="I699" s="35" t="n">
        <v>-0.06165919282511212</v>
      </c>
      <c r="J699" s="30" t="n">
        <v>82450</v>
      </c>
      <c r="K699" s="30" t="n">
        <v>68405.83333333333</v>
      </c>
      <c r="L699" s="30" t="n">
        <v>52120</v>
      </c>
      <c r="M699" s="35" t="n">
        <v>0.7384924682354408</v>
      </c>
      <c r="N699" s="35" t="n">
        <v>1.09926217521786</v>
      </c>
      <c r="O699" s="35" t="n">
        <v>0.04887218045112784</v>
      </c>
      <c r="P699" s="35" t="n">
        <v>1.116308470290771</v>
      </c>
      <c r="Q699" s="35" t="n">
        <v>1.196850393700787</v>
      </c>
      <c r="R699" s="35" t="n">
        <v>0.01516070345664033</v>
      </c>
      <c r="S699" s="35" t="n">
        <v>0.2235798603920232</v>
      </c>
      <c r="T699" s="35" t="n">
        <v>0.6059094397544129</v>
      </c>
      <c r="U699" s="30" t="n">
        <v>89200</v>
      </c>
      <c r="V699" s="30" t="n">
        <v>16700</v>
      </c>
      <c r="W699" s="35" t="n">
        <v>-0.06165919282511212</v>
      </c>
      <c r="X699" s="35" t="n">
        <v>4.011976047904191</v>
      </c>
      <c r="Y699" s="30" t="n">
        <v>28966714</v>
      </c>
      <c r="Z699" s="30" t="n">
        <v>2424513961800</v>
      </c>
      <c r="AA699" s="30" t="n">
        <v>20930607900</v>
      </c>
      <c r="AB699" s="30" t="n">
        <v>30731976055</v>
      </c>
      <c r="AC699" s="35" t="n">
        <v>0.008632908793175504</v>
      </c>
      <c r="AD699" s="24" t="inlineStr">
        <is>
          <t>yfinance_download</t>
        </is>
      </c>
      <c r="AE699" s="24" t="inlineStr">
        <is>
          <t>319660.KQ</t>
        </is>
      </c>
    </row>
    <row r="700" ht="24" customHeight="1">
      <c r="A700" s="29" t="inlineStr">
        <is>
          <t>2026-04-22</t>
        </is>
      </c>
      <c r="B700" s="31" t="n">
        <v>83700</v>
      </c>
      <c r="C700" s="31" t="n">
        <v>88500</v>
      </c>
      <c r="D700" s="31" t="n">
        <v>81200</v>
      </c>
      <c r="E700" s="31" t="n">
        <v>86900</v>
      </c>
      <c r="F700" s="31" t="n">
        <v>86900</v>
      </c>
      <c r="G700" s="31" t="n">
        <v>285425</v>
      </c>
      <c r="H700" s="36" t="n">
        <v>0.03823178016726403</v>
      </c>
      <c r="I700" s="36" t="n">
        <v>-0.02578475336322872</v>
      </c>
      <c r="J700" s="31" t="n">
        <v>82585</v>
      </c>
      <c r="K700" s="31" t="n">
        <v>69193.33333333333</v>
      </c>
      <c r="L700" s="31" t="n">
        <v>52526.66666666666</v>
      </c>
      <c r="M700" s="36" t="n">
        <v>0.7250990750714937</v>
      </c>
      <c r="N700" s="36" t="n">
        <v>1.099984347909251</v>
      </c>
      <c r="O700" s="36" t="n">
        <v>0.03206650831353919</v>
      </c>
      <c r="P700" s="36" t="n">
        <v>1.191677175283733</v>
      </c>
      <c r="Q700" s="36" t="n">
        <v>1.280839895013123</v>
      </c>
      <c r="R700" s="36" t="n">
        <v>0.05224919779621007</v>
      </c>
      <c r="S700" s="36" t="n">
        <v>0.2559013392427016</v>
      </c>
      <c r="T700" s="36" t="n">
        <v>0.6543977662139866</v>
      </c>
      <c r="U700" s="31" t="n">
        <v>89200</v>
      </c>
      <c r="V700" s="31" t="n">
        <v>17240</v>
      </c>
      <c r="W700" s="36" t="n">
        <v>-0.02578475336322872</v>
      </c>
      <c r="X700" s="36" t="n">
        <v>4.040603248259861</v>
      </c>
      <c r="Y700" s="31" t="n">
        <v>28966714</v>
      </c>
      <c r="Z700" s="31" t="n">
        <v>2517207446600</v>
      </c>
      <c r="AA700" s="31" t="n">
        <v>24803432500</v>
      </c>
      <c r="AB700" s="31" t="n">
        <v>30435139830</v>
      </c>
      <c r="AC700" s="36" t="n">
        <v>0.0098535512174422</v>
      </c>
      <c r="AD700" s="29" t="inlineStr">
        <is>
          <t>yfinance_download</t>
        </is>
      </c>
      <c r="AE700" s="29" t="inlineStr">
        <is>
          <t>319660.KQ</t>
        </is>
      </c>
    </row>
    <row r="701" ht="24" customHeight="1">
      <c r="A701" s="24" t="inlineStr">
        <is>
          <t>2026-04-23</t>
        </is>
      </c>
      <c r="B701" s="30" t="n">
        <v>87700</v>
      </c>
      <c r="C701" s="30" t="n">
        <v>89500</v>
      </c>
      <c r="D701" s="30" t="n">
        <v>84000</v>
      </c>
      <c r="E701" s="30" t="n">
        <v>87100</v>
      </c>
      <c r="F701" s="30" t="n">
        <v>87100</v>
      </c>
      <c r="G701" s="30" t="n">
        <v>352284</v>
      </c>
      <c r="H701" s="35" t="n">
        <v>0.002301495972381939</v>
      </c>
      <c r="I701" s="35" t="n">
        <v>-0.023542600896861</v>
      </c>
      <c r="J701" s="30" t="n">
        <v>82765</v>
      </c>
      <c r="K701" s="30" t="n">
        <v>69982.5</v>
      </c>
      <c r="L701" s="30" t="n">
        <v>52945.41666666666</v>
      </c>
      <c r="M701" s="35" t="n">
        <v>0.7239676612208582</v>
      </c>
      <c r="N701" s="35" t="n">
        <v>1.099995530399566</v>
      </c>
      <c r="O701" s="35" t="n">
        <v>0.04311377245508985</v>
      </c>
      <c r="P701" s="35" t="n">
        <v>1.191194968553459</v>
      </c>
      <c r="Q701" s="35" t="n">
        <v>1.363636363636364</v>
      </c>
      <c r="R701" s="35" t="n">
        <v>0.05237721258986294</v>
      </c>
      <c r="S701" s="35" t="n">
        <v>0.2445968635015896</v>
      </c>
      <c r="T701" s="35" t="n">
        <v>0.6450904626620184</v>
      </c>
      <c r="U701" s="30" t="n">
        <v>89200</v>
      </c>
      <c r="V701" s="30" t="n">
        <v>17240</v>
      </c>
      <c r="W701" s="35" t="n">
        <v>-0.023542600896861</v>
      </c>
      <c r="X701" s="35" t="n">
        <v>4.052204176334107</v>
      </c>
      <c r="Y701" s="30" t="n">
        <v>28966714</v>
      </c>
      <c r="Z701" s="30" t="n">
        <v>2523000789400</v>
      </c>
      <c r="AA701" s="30" t="n">
        <v>30683936400</v>
      </c>
      <c r="AB701" s="30" t="n">
        <v>30255862375</v>
      </c>
      <c r="AC701" s="35" t="n">
        <v>0.01216168323407343</v>
      </c>
      <c r="AD701" s="24" t="inlineStr">
        <is>
          <t>yfinance_download</t>
        </is>
      </c>
      <c r="AE701" s="24" t="inlineStr">
        <is>
          <t>319660.KQ</t>
        </is>
      </c>
    </row>
    <row r="702" ht="24" customHeight="1">
      <c r="A702" s="29" t="inlineStr">
        <is>
          <t>2026-04-24</t>
        </is>
      </c>
      <c r="B702" s="31" t="n">
        <v>87100</v>
      </c>
      <c r="C702" s="31" t="n">
        <v>94200</v>
      </c>
      <c r="D702" s="31" t="n">
        <v>85400</v>
      </c>
      <c r="E702" s="31" t="n">
        <v>93000</v>
      </c>
      <c r="F702" s="31" t="n">
        <v>93000</v>
      </c>
      <c r="G702" s="31" t="n">
        <v>380935</v>
      </c>
      <c r="H702" s="36" t="n">
        <v>0.0677382319173363</v>
      </c>
      <c r="I702" s="36" t="n">
        <v>0</v>
      </c>
      <c r="J702" s="31" t="n">
        <v>83310</v>
      </c>
      <c r="K702" s="31" t="n">
        <v>70835.83333333333</v>
      </c>
      <c r="L702" s="31" t="n">
        <v>53403.33333333334</v>
      </c>
      <c r="M702" s="36" t="n">
        <v>0.7547279685122229</v>
      </c>
      <c r="N702" s="36" t="n">
        <v>1.102757372834936</v>
      </c>
      <c r="O702" s="36" t="n">
        <v>0.1327649208282582</v>
      </c>
      <c r="P702" s="36" t="n">
        <v>1.22488038277512</v>
      </c>
      <c r="Q702" s="36" t="n">
        <v>1.444152431011827</v>
      </c>
      <c r="R702" s="36" t="n">
        <v>0.1163125675189054</v>
      </c>
      <c r="S702" s="36" t="n">
        <v>0.3128948390056823</v>
      </c>
      <c r="T702" s="36" t="n">
        <v>0.7414643280694089</v>
      </c>
      <c r="U702" s="31" t="n">
        <v>93000</v>
      </c>
      <c r="V702" s="31" t="n">
        <v>17240</v>
      </c>
      <c r="W702" s="36" t="n">
        <v>0</v>
      </c>
      <c r="X702" s="36" t="n">
        <v>4.394431554524362</v>
      </c>
      <c r="Y702" s="31" t="n">
        <v>28966714</v>
      </c>
      <c r="Z702" s="31" t="n">
        <v>2693904402000</v>
      </c>
      <c r="AA702" s="31" t="n">
        <v>35426955000</v>
      </c>
      <c r="AB702" s="31" t="n">
        <v>30666841860</v>
      </c>
      <c r="AC702" s="36" t="n">
        <v>0.01315078403439203</v>
      </c>
      <c r="AD702" s="29" t="inlineStr">
        <is>
          <t>yfinance_download</t>
        </is>
      </c>
      <c r="AE702" s="29" t="inlineStr">
        <is>
          <t>319660.KQ</t>
        </is>
      </c>
    </row>
    <row r="703" ht="24" customHeight="1">
      <c r="A703" s="24" t="inlineStr">
        <is>
          <t>2026-04-27</t>
        </is>
      </c>
      <c r="B703" s="30" t="n">
        <v>95700</v>
      </c>
      <c r="C703" s="30" t="n">
        <v>95800</v>
      </c>
      <c r="D703" s="30" t="n">
        <v>89800</v>
      </c>
      <c r="E703" s="30" t="n">
        <v>92000</v>
      </c>
      <c r="F703" s="30" t="n">
        <v>92000</v>
      </c>
      <c r="G703" s="30" t="n">
        <v>250988</v>
      </c>
      <c r="H703" s="35" t="n">
        <v>-0.010752688172043</v>
      </c>
      <c r="I703" s="35" t="n">
        <v>-0.010752688172043</v>
      </c>
      <c r="J703" s="30" t="n">
        <v>83910</v>
      </c>
      <c r="K703" s="30" t="n">
        <v>71581.66666666667</v>
      </c>
      <c r="L703" s="30" t="n">
        <v>53850</v>
      </c>
      <c r="M703" s="35" t="n">
        <v>0.7479643884571888</v>
      </c>
      <c r="N703" s="35" t="n">
        <v>1.077734962036557</v>
      </c>
      <c r="O703" s="35" t="n">
        <v>0.1499999999999999</v>
      </c>
      <c r="P703" s="35" t="n">
        <v>0.947089947089947</v>
      </c>
      <c r="Q703" s="35" t="n">
        <v>1.395833333333333</v>
      </c>
      <c r="R703" s="35" t="n">
        <v>0.09641282326301992</v>
      </c>
      <c r="S703" s="35" t="n">
        <v>0.2852452909264476</v>
      </c>
      <c r="T703" s="35" t="n">
        <v>0.7084493964716807</v>
      </c>
      <c r="U703" s="30" t="n">
        <v>93000</v>
      </c>
      <c r="V703" s="30" t="n">
        <v>17240</v>
      </c>
      <c r="W703" s="35" t="n">
        <v>-0.010752688172043</v>
      </c>
      <c r="X703" s="35" t="n">
        <v>4.336426914153132</v>
      </c>
      <c r="Y703" s="30" t="n">
        <v>28966714</v>
      </c>
      <c r="Z703" s="30" t="n">
        <v>2664937688000</v>
      </c>
      <c r="AA703" s="30" t="n">
        <v>23090896000</v>
      </c>
      <c r="AB703" s="30" t="n">
        <v>30424882660</v>
      </c>
      <c r="AC703" s="35" t="n">
        <v>0.008664703908078769</v>
      </c>
      <c r="AD703" s="24" t="inlineStr">
        <is>
          <t>yfinance_download</t>
        </is>
      </c>
      <c r="AE703" s="24" t="inlineStr">
        <is>
          <t>319660.KQ</t>
        </is>
      </c>
    </row>
    <row r="704" ht="24" customHeight="1">
      <c r="A704" s="29" t="inlineStr">
        <is>
          <t>2026-04-28</t>
        </is>
      </c>
      <c r="B704" s="31" t="n">
        <v>90600</v>
      </c>
      <c r="C704" s="31" t="n">
        <v>97700</v>
      </c>
      <c r="D704" s="31" t="n">
        <v>89100</v>
      </c>
      <c r="E704" s="31" t="n">
        <v>93500</v>
      </c>
      <c r="F704" s="31" t="n">
        <v>93500</v>
      </c>
      <c r="G704" s="31" t="n">
        <v>336270</v>
      </c>
      <c r="H704" s="36" t="n">
        <v>0.01630434782608692</v>
      </c>
      <c r="I704" s="36" t="n">
        <v>0</v>
      </c>
      <c r="J704" s="31" t="n">
        <v>84610</v>
      </c>
      <c r="K704" s="31" t="n">
        <v>72245</v>
      </c>
      <c r="L704" s="31" t="n">
        <v>54314.58333333334</v>
      </c>
      <c r="M704" s="36" t="n">
        <v>0.7465291839681277</v>
      </c>
      <c r="N704" s="36" t="n">
        <v>1.046790853279316</v>
      </c>
      <c r="O704" s="36" t="n">
        <v>0.1761006289308176</v>
      </c>
      <c r="P704" s="36" t="n">
        <v>0.7411545623836127</v>
      </c>
      <c r="Q704" s="36" t="n">
        <v>1.47682119205298</v>
      </c>
      <c r="R704" s="36" t="n">
        <v>0.1050703226568963</v>
      </c>
      <c r="S704" s="36" t="n">
        <v>0.2942072115717351</v>
      </c>
      <c r="T704" s="36" t="n">
        <v>0.7214529553910474</v>
      </c>
      <c r="U704" s="31" t="n">
        <v>93500</v>
      </c>
      <c r="V704" s="31" t="n">
        <v>17240</v>
      </c>
      <c r="W704" s="36" t="n">
        <v>0</v>
      </c>
      <c r="X704" s="36" t="n">
        <v>4.423433874709977</v>
      </c>
      <c r="Y704" s="31" t="n">
        <v>28966714</v>
      </c>
      <c r="Z704" s="31" t="n">
        <v>2708387759000</v>
      </c>
      <c r="AA704" s="31" t="n">
        <v>31441245000</v>
      </c>
      <c r="AB704" s="31" t="n">
        <v>30554961985</v>
      </c>
      <c r="AC704" s="36" t="n">
        <v>0.01160884178992481</v>
      </c>
      <c r="AD704" s="29" t="inlineStr">
        <is>
          <t>yfinance_download</t>
        </is>
      </c>
      <c r="AE704" s="29" t="inlineStr">
        <is>
          <t>319660.KQ</t>
        </is>
      </c>
    </row>
    <row r="705" ht="24" customHeight="1">
      <c r="A705" s="24" t="inlineStr">
        <is>
          <t>2026-04-29</t>
        </is>
      </c>
      <c r="B705" s="30" t="n">
        <v>92400</v>
      </c>
      <c r="C705" s="30" t="n">
        <v>95500</v>
      </c>
      <c r="D705" s="30" t="n">
        <v>90800</v>
      </c>
      <c r="E705" s="30" t="n">
        <v>93300</v>
      </c>
      <c r="F705" s="30" t="n">
        <v>93300</v>
      </c>
      <c r="G705" s="30" t="n">
        <v>235512</v>
      </c>
      <c r="H705" s="35" t="n">
        <v>-0.002139037433155133</v>
      </c>
      <c r="I705" s="35" t="n">
        <v>-0.002139037433155133</v>
      </c>
      <c r="J705" s="30" t="n">
        <v>84955</v>
      </c>
      <c r="K705" s="30" t="n">
        <v>72890</v>
      </c>
      <c r="L705" s="30" t="n">
        <v>54776.66666666666</v>
      </c>
      <c r="M705" s="35" t="n">
        <v>0.6883734390269484</v>
      </c>
      <c r="N705" s="35" t="n">
        <v>1.047092504000033</v>
      </c>
      <c r="O705" s="35" t="n">
        <v>0.07986111111111116</v>
      </c>
      <c r="P705" s="35" t="n">
        <v>0.7087912087912087</v>
      </c>
      <c r="Q705" s="35" t="n">
        <v>1.464993394980185</v>
      </c>
      <c r="R705" s="35" t="n">
        <v>0.09822847389794598</v>
      </c>
      <c r="S705" s="35" t="n">
        <v>0.2800109754424476</v>
      </c>
      <c r="T705" s="35" t="n">
        <v>0.7032799853952414</v>
      </c>
      <c r="U705" s="30" t="n">
        <v>93500</v>
      </c>
      <c r="V705" s="30" t="n">
        <v>17560</v>
      </c>
      <c r="W705" s="35" t="n">
        <v>-0.002139037433155133</v>
      </c>
      <c r="X705" s="35" t="n">
        <v>4.313211845102506</v>
      </c>
      <c r="Y705" s="30" t="n">
        <v>28966714</v>
      </c>
      <c r="Z705" s="30" t="n">
        <v>2702594416200</v>
      </c>
      <c r="AA705" s="30" t="n">
        <v>21973269600</v>
      </c>
      <c r="AB705" s="30" t="n">
        <v>29567804185</v>
      </c>
      <c r="AC705" s="35" t="n">
        <v>0.008130435506077768</v>
      </c>
      <c r="AD705" s="24" t="inlineStr">
        <is>
          <t>yfinance_download</t>
        </is>
      </c>
      <c r="AE705" s="24" t="inlineStr">
        <is>
          <t>319660.KQ</t>
        </is>
      </c>
    </row>
    <row r="706" ht="24" customHeight="1">
      <c r="A706" s="29" t="inlineStr">
        <is>
          <t>2026-04-30</t>
        </is>
      </c>
      <c r="B706" s="31" t="n">
        <v>93200</v>
      </c>
      <c r="C706" s="31" t="n">
        <v>93200</v>
      </c>
      <c r="D706" s="31" t="n">
        <v>88300</v>
      </c>
      <c r="E706" s="31" t="n">
        <v>88700</v>
      </c>
      <c r="F706" s="31" t="n">
        <v>88700</v>
      </c>
      <c r="G706" s="31" t="n">
        <v>278678</v>
      </c>
      <c r="H706" s="36" t="n">
        <v>-0.04930332261521975</v>
      </c>
      <c r="I706" s="36" t="n">
        <v>-0.05133689839572197</v>
      </c>
      <c r="J706" s="31" t="n">
        <v>85330</v>
      </c>
      <c r="K706" s="31" t="n">
        <v>73343.33333333333</v>
      </c>
      <c r="L706" s="31" t="n">
        <v>55195.83333333334</v>
      </c>
      <c r="M706" s="36" t="n">
        <v>0.6757307223350788</v>
      </c>
      <c r="N706" s="36" t="n">
        <v>1.026148991406514</v>
      </c>
      <c r="O706" s="36" t="n">
        <v>0.0923645320197044</v>
      </c>
      <c r="P706" s="36" t="n">
        <v>0.4422764227642277</v>
      </c>
      <c r="Q706" s="36" t="n">
        <v>1.309895833333333</v>
      </c>
      <c r="R706" s="36" t="n">
        <v>0.03949373022383695</v>
      </c>
      <c r="S706" s="36" t="n">
        <v>0.2093805390174068</v>
      </c>
      <c r="T706" s="36" t="n">
        <v>0.6070053597040839</v>
      </c>
      <c r="U706" s="31" t="n">
        <v>93500</v>
      </c>
      <c r="V706" s="31" t="n">
        <v>17720</v>
      </c>
      <c r="W706" s="36" t="n">
        <v>-0.05133689839572197</v>
      </c>
      <c r="X706" s="36" t="n">
        <v>4.005643340857787</v>
      </c>
      <c r="Y706" s="31" t="n">
        <v>28966714</v>
      </c>
      <c r="Z706" s="31" t="n">
        <v>2569347531800</v>
      </c>
      <c r="AA706" s="31" t="n">
        <v>24718738600</v>
      </c>
      <c r="AB706" s="31" t="n">
        <v>29362477655</v>
      </c>
      <c r="AC706" s="36" t="n">
        <v>0.009620628698167145</v>
      </c>
      <c r="AD706" s="29" t="inlineStr">
        <is>
          <t>yfinance_download</t>
        </is>
      </c>
      <c r="AE706" s="29" t="inlineStr">
        <is>
          <t>319660.KQ</t>
        </is>
      </c>
    </row>
    <row r="707" ht="24" customHeight="1">
      <c r="A707" s="24" t="inlineStr">
        <is>
          <t>2026-05-04</t>
        </is>
      </c>
      <c r="B707" s="30" t="n">
        <v>91300</v>
      </c>
      <c r="C707" s="30" t="n">
        <v>101200</v>
      </c>
      <c r="D707" s="30" t="n">
        <v>90400</v>
      </c>
      <c r="E707" s="30" t="n">
        <v>100100</v>
      </c>
      <c r="F707" s="30" t="n">
        <v>100100</v>
      </c>
      <c r="G707" s="30" t="n">
        <v>476581</v>
      </c>
      <c r="H707" s="35" t="n">
        <v>0.1285231116121759</v>
      </c>
      <c r="I707" s="35" t="n">
        <v>0</v>
      </c>
      <c r="J707" s="30" t="n">
        <v>86535</v>
      </c>
      <c r="K707" s="30" t="n">
        <v>74086.66666666667</v>
      </c>
      <c r="L707" s="30" t="n">
        <v>55722.5</v>
      </c>
      <c r="M707" s="35" t="n">
        <v>0.7548342850846068</v>
      </c>
      <c r="N707" s="35" t="n">
        <v>1.031273988543507</v>
      </c>
      <c r="O707" s="35" t="n">
        <v>0.3171052631578948</v>
      </c>
      <c r="P707" s="35" t="n">
        <v>0.8036036036036036</v>
      </c>
      <c r="Q707" s="35" t="n">
        <v>1.712737127371274</v>
      </c>
      <c r="R707" s="35" t="n">
        <v>0.1567573814063674</v>
      </c>
      <c r="S707" s="35" t="n">
        <v>0.3511203095473769</v>
      </c>
      <c r="T707" s="35" t="n">
        <v>0.7964018125532775</v>
      </c>
      <c r="U707" s="30" t="n">
        <v>100100</v>
      </c>
      <c r="V707" s="30" t="n">
        <v>17760</v>
      </c>
      <c r="W707" s="35" t="n">
        <v>0</v>
      </c>
      <c r="X707" s="35" t="n">
        <v>4.636261261261262</v>
      </c>
      <c r="Y707" s="30" t="n">
        <v>28966714</v>
      </c>
      <c r="Z707" s="30" t="n">
        <v>2899568071400</v>
      </c>
      <c r="AA707" s="30" t="n">
        <v>47705758100</v>
      </c>
      <c r="AB707" s="30" t="n">
        <v>29764933160</v>
      </c>
      <c r="AC707" s="35" t="n">
        <v>0.01645271189545352</v>
      </c>
      <c r="AD707" s="24" t="inlineStr">
        <is>
          <t>yfinance_download</t>
        </is>
      </c>
      <c r="AE707" s="24" t="inlineStr">
        <is>
          <t>319660.KQ</t>
        </is>
      </c>
    </row>
    <row r="708" ht="24" customHeight="1">
      <c r="A708" s="29" t="inlineStr">
        <is>
          <t>2026-05-06</t>
        </is>
      </c>
      <c r="B708" s="31" t="n">
        <v>106000</v>
      </c>
      <c r="C708" s="31" t="n">
        <v>106600</v>
      </c>
      <c r="D708" s="31" t="n">
        <v>100300</v>
      </c>
      <c r="E708" s="31" t="n">
        <v>104500</v>
      </c>
      <c r="F708" s="31" t="n">
        <v>104500</v>
      </c>
      <c r="G708" s="31" t="n">
        <v>418951</v>
      </c>
      <c r="H708" s="36" t="n">
        <v>0.04395604395604402</v>
      </c>
      <c r="I708" s="36" t="n">
        <v>0</v>
      </c>
      <c r="J708" s="31" t="n">
        <v>87975</v>
      </c>
      <c r="K708" s="31" t="n">
        <v>74823.33333333333</v>
      </c>
      <c r="L708" s="31" t="n">
        <v>56260</v>
      </c>
      <c r="M708" s="36" t="n">
        <v>0.7581140157053509</v>
      </c>
      <c r="N708" s="36" t="n">
        <v>1.021776414337217</v>
      </c>
      <c r="O708" s="36" t="n">
        <v>0.380449141347424</v>
      </c>
      <c r="P708" s="36" t="n">
        <v>0.7330016583747927</v>
      </c>
      <c r="Q708" s="36" t="n">
        <v>1.6125</v>
      </c>
      <c r="R708" s="36" t="n">
        <v>0.1878374538221086</v>
      </c>
      <c r="S708" s="36" t="n">
        <v>0.3966231567692788</v>
      </c>
      <c r="T708" s="36" t="n">
        <v>0.8574475648773552</v>
      </c>
      <c r="U708" s="31" t="n">
        <v>104500</v>
      </c>
      <c r="V708" s="31" t="n">
        <v>17760</v>
      </c>
      <c r="W708" s="36" t="n">
        <v>0</v>
      </c>
      <c r="X708" s="36" t="n">
        <v>4.884009009009009</v>
      </c>
      <c r="Y708" s="31" t="n">
        <v>28966714</v>
      </c>
      <c r="Z708" s="31" t="n">
        <v>3027021613000</v>
      </c>
      <c r="AA708" s="31" t="n">
        <v>43780379500</v>
      </c>
      <c r="AB708" s="31" t="n">
        <v>31269264560</v>
      </c>
      <c r="AC708" s="36" t="n">
        <v>0.01446318695313524</v>
      </c>
      <c r="AD708" s="29" t="inlineStr">
        <is>
          <t>yfinance_download</t>
        </is>
      </c>
      <c r="AE708" s="29" t="inlineStr">
        <is>
          <t>319660.KQ</t>
        </is>
      </c>
    </row>
    <row r="709" ht="24" customHeight="1">
      <c r="A709" s="24" t="inlineStr">
        <is>
          <t>2026-05-07</t>
        </is>
      </c>
      <c r="B709" s="30" t="n">
        <v>104500</v>
      </c>
      <c r="C709" s="30" t="n">
        <v>109850</v>
      </c>
      <c r="D709" s="30" t="n">
        <v>101200</v>
      </c>
      <c r="E709" s="30" t="n">
        <v>106500</v>
      </c>
      <c r="F709" s="30" t="n">
        <v>106500</v>
      </c>
      <c r="G709" s="30" t="n">
        <v>402180</v>
      </c>
      <c r="H709" s="35" t="n">
        <v>0.01913875598086134</v>
      </c>
      <c r="I709" s="35" t="n">
        <v>0</v>
      </c>
      <c r="J709" s="30" t="n">
        <v>89415</v>
      </c>
      <c r="K709" s="30" t="n">
        <v>75638.33333333333</v>
      </c>
      <c r="L709" s="30" t="n">
        <v>56841.25</v>
      </c>
      <c r="M709" s="35" t="n">
        <v>0.7573920912288221</v>
      </c>
      <c r="N709" s="35" t="n">
        <v>1.015196670862136</v>
      </c>
      <c r="O709" s="35" t="n">
        <v>0.3706563706563706</v>
      </c>
      <c r="P709" s="35" t="n">
        <v>0.8489583333333333</v>
      </c>
      <c r="Q709" s="35" t="n">
        <v>1.897959183673469</v>
      </c>
      <c r="R709" s="35" t="n">
        <v>0.1910753229323938</v>
      </c>
      <c r="S709" s="35" t="n">
        <v>0.4080162175263866</v>
      </c>
      <c r="T709" s="35" t="n">
        <v>0.8736393024432081</v>
      </c>
      <c r="U709" s="30" t="n">
        <v>106500</v>
      </c>
      <c r="V709" s="30" t="n">
        <v>17760</v>
      </c>
      <c r="W709" s="35" t="n">
        <v>0</v>
      </c>
      <c r="X709" s="35" t="n">
        <v>4.996621621621622</v>
      </c>
      <c r="Y709" s="30" t="n">
        <v>28966714</v>
      </c>
      <c r="Z709" s="30" t="n">
        <v>3084955041000</v>
      </c>
      <c r="AA709" s="30" t="n">
        <v>42832170000</v>
      </c>
      <c r="AB709" s="30" t="n">
        <v>32234856365</v>
      </c>
      <c r="AC709" s="35" t="n">
        <v>0.0138842120649239</v>
      </c>
      <c r="AD709" s="24" t="inlineStr">
        <is>
          <t>yfinance_download</t>
        </is>
      </c>
      <c r="AE709" s="24" t="inlineStr">
        <is>
          <t>319660.KQ</t>
        </is>
      </c>
    </row>
    <row r="710" ht="24" customHeight="1">
      <c r="A710" s="29" t="inlineStr">
        <is>
          <t>2026-05-08</t>
        </is>
      </c>
      <c r="B710" s="31" t="n">
        <v>102600</v>
      </c>
      <c r="C710" s="31" t="n">
        <v>109000</v>
      </c>
      <c r="D710" s="31" t="n">
        <v>101700</v>
      </c>
      <c r="E710" s="31" t="n">
        <v>104000</v>
      </c>
      <c r="F710" s="31" t="n">
        <v>104000</v>
      </c>
      <c r="G710" s="31" t="n">
        <v>241570</v>
      </c>
      <c r="H710" s="36" t="n">
        <v>-0.02347417840375587</v>
      </c>
      <c r="I710" s="36" t="n">
        <v>-0.02347417840375587</v>
      </c>
      <c r="J710" s="31" t="n">
        <v>90370</v>
      </c>
      <c r="K710" s="31" t="n">
        <v>76476.66666666667</v>
      </c>
      <c r="L710" s="31" t="n">
        <v>57391.25</v>
      </c>
      <c r="M710" s="36" t="n">
        <v>0.7143431302161243</v>
      </c>
      <c r="N710" s="36" t="n">
        <v>1.004302924654967</v>
      </c>
      <c r="O710" s="36" t="n">
        <v>0.2249705535924618</v>
      </c>
      <c r="P710" s="36" t="n">
        <v>0.9366852886405959</v>
      </c>
      <c r="Q710" s="36" t="n">
        <v>1.736842105263158</v>
      </c>
      <c r="R710" s="36" t="n">
        <v>0.1508243886245435</v>
      </c>
      <c r="S710" s="36" t="n">
        <v>0.3598919060279824</v>
      </c>
      <c r="T710" s="36" t="n">
        <v>0.8121229281467122</v>
      </c>
      <c r="U710" s="31" t="n">
        <v>106500</v>
      </c>
      <c r="V710" s="31" t="n">
        <v>17760</v>
      </c>
      <c r="W710" s="36" t="n">
        <v>-0.02347417840375587</v>
      </c>
      <c r="X710" s="36" t="n">
        <v>4.855855855855856</v>
      </c>
      <c r="Y710" s="31" t="n">
        <v>28966714</v>
      </c>
      <c r="Z710" s="31" t="n">
        <v>3012538256000</v>
      </c>
      <c r="AA710" s="31" t="n">
        <v>25123280000</v>
      </c>
      <c r="AB710" s="31" t="n">
        <v>31657367145</v>
      </c>
      <c r="AC710" s="36" t="n">
        <v>0.008339572103345931</v>
      </c>
      <c r="AD710" s="29" t="inlineStr">
        <is>
          <t>yfinance_download</t>
        </is>
      </c>
      <c r="AE710" s="29" t="inlineStr">
        <is>
          <t>319660.KQ</t>
        </is>
      </c>
    </row>
    <row r="711" ht="24" customHeight="1">
      <c r="A711" s="24" t="inlineStr">
        <is>
          <t>2026-05-11</t>
        </is>
      </c>
      <c r="B711" s="30" t="n">
        <v>105900</v>
      </c>
      <c r="C711" s="30" t="n">
        <v>115300</v>
      </c>
      <c r="D711" s="30" t="n">
        <v>104800</v>
      </c>
      <c r="E711" s="30" t="n">
        <v>114200</v>
      </c>
      <c r="F711" s="30" t="n">
        <v>114200</v>
      </c>
      <c r="G711" s="30" t="n">
        <v>459042</v>
      </c>
      <c r="H711" s="35" t="n">
        <v>0.09807692307692317</v>
      </c>
      <c r="I711" s="35" t="n">
        <v>0</v>
      </c>
      <c r="J711" s="30" t="n">
        <v>91915</v>
      </c>
      <c r="K711" s="30" t="n">
        <v>77458.33333333333</v>
      </c>
      <c r="L711" s="30" t="n">
        <v>58020</v>
      </c>
      <c r="M711" s="35" t="n">
        <v>0.7678421322807444</v>
      </c>
      <c r="N711" s="35" t="n">
        <v>1.018824527339576</v>
      </c>
      <c r="O711" s="35" t="n">
        <v>0.3709483793517407</v>
      </c>
      <c r="P711" s="35" t="n">
        <v>1.065099457504521</v>
      </c>
      <c r="Q711" s="35" t="n">
        <v>1.947096774193549</v>
      </c>
      <c r="R711" s="35" t="n">
        <v>0.2424522656802481</v>
      </c>
      <c r="S711" s="35" t="n">
        <v>0.4743410435718129</v>
      </c>
      <c r="T711" s="35" t="n">
        <v>0.9682867976559808</v>
      </c>
      <c r="U711" s="30" t="n">
        <v>114200</v>
      </c>
      <c r="V711" s="30" t="n">
        <v>17760</v>
      </c>
      <c r="W711" s="35" t="n">
        <v>0</v>
      </c>
      <c r="X711" s="35" t="n">
        <v>5.43018018018018</v>
      </c>
      <c r="Y711" s="30" t="n">
        <v>28966714</v>
      </c>
      <c r="Z711" s="30" t="n">
        <v>3307998738800</v>
      </c>
      <c r="AA711" s="30" t="n">
        <v>52422596400</v>
      </c>
      <c r="AB711" s="30" t="n">
        <v>32766497840</v>
      </c>
      <c r="AC711" s="35" t="n">
        <v>0.01584722381696453</v>
      </c>
      <c r="AD711" s="24" t="inlineStr">
        <is>
          <t>yfinance_download</t>
        </is>
      </c>
      <c r="AE711" s="24" t="inlineStr">
        <is>
          <t>319660.KQ</t>
        </is>
      </c>
    </row>
    <row r="712" ht="24" customHeight="1">
      <c r="A712" s="29" t="inlineStr">
        <is>
          <t>2026-05-12</t>
        </is>
      </c>
      <c r="B712" s="31" t="n">
        <v>112600</v>
      </c>
      <c r="C712" s="31" t="n">
        <v>116800</v>
      </c>
      <c r="D712" s="31" t="n">
        <v>102100</v>
      </c>
      <c r="E712" s="31" t="n">
        <v>104000</v>
      </c>
      <c r="F712" s="31" t="n">
        <v>104000</v>
      </c>
      <c r="G712" s="31" t="n">
        <v>540211</v>
      </c>
      <c r="H712" s="36" t="n">
        <v>-0.08931698774080565</v>
      </c>
      <c r="I712" s="36" t="n">
        <v>-0.08931698774080565</v>
      </c>
      <c r="J712" s="31" t="n">
        <v>93035</v>
      </c>
      <c r="K712" s="31" t="n">
        <v>78218.33333333333</v>
      </c>
      <c r="L712" s="31" t="n">
        <v>58569.58333333334</v>
      </c>
      <c r="M712" s="36" t="n">
        <v>0.8471947697444329</v>
      </c>
      <c r="N712" s="36" t="n">
        <v>1.036680473905659</v>
      </c>
      <c r="O712" s="36" t="n">
        <v>0.2745098039215685</v>
      </c>
      <c r="P712" s="36" t="n">
        <v>0.7808219178082192</v>
      </c>
      <c r="Q712" s="36" t="n">
        <v>1.733245729303548</v>
      </c>
      <c r="R712" s="36" t="n">
        <v>0.1178588703176224</v>
      </c>
      <c r="S712" s="36" t="n">
        <v>0.3296115573927683</v>
      </c>
      <c r="T712" s="36" t="n">
        <v>0.775665696785163</v>
      </c>
      <c r="U712" s="31" t="n">
        <v>114200</v>
      </c>
      <c r="V712" s="31" t="n">
        <v>17760</v>
      </c>
      <c r="W712" s="36" t="n">
        <v>-0.08931698774080565</v>
      </c>
      <c r="X712" s="36" t="n">
        <v>4.855855855855856</v>
      </c>
      <c r="Y712" s="31" t="n">
        <v>28966714</v>
      </c>
      <c r="Z712" s="31" t="n">
        <v>3012538256000</v>
      </c>
      <c r="AA712" s="31" t="n">
        <v>56181944000</v>
      </c>
      <c r="AB712" s="31" t="n">
        <v>34215249600</v>
      </c>
      <c r="AC712" s="36" t="n">
        <v>0.01864937113681587</v>
      </c>
      <c r="AD712" s="29" t="inlineStr">
        <is>
          <t>yfinance_download</t>
        </is>
      </c>
      <c r="AE712" s="29" t="inlineStr">
        <is>
          <t>319660.KQ</t>
        </is>
      </c>
    </row>
    <row r="713" ht="24" customHeight="1">
      <c r="A713" s="24" t="inlineStr">
        <is>
          <t>2026-05-13</t>
        </is>
      </c>
      <c r="B713" s="30" t="n">
        <v>102300</v>
      </c>
      <c r="C713" s="30" t="n">
        <v>112300</v>
      </c>
      <c r="D713" s="30" t="n">
        <v>99700</v>
      </c>
      <c r="E713" s="30" t="n">
        <v>111500</v>
      </c>
      <c r="F713" s="30" t="n">
        <v>111500</v>
      </c>
      <c r="G713" s="30" t="n">
        <v>347262</v>
      </c>
      <c r="H713" s="35" t="n">
        <v>0.07211538461538458</v>
      </c>
      <c r="I713" s="35" t="n">
        <v>-0.02364273204903677</v>
      </c>
      <c r="J713" s="30" t="n">
        <v>94440</v>
      </c>
      <c r="K713" s="30" t="n">
        <v>79141.66666666667</v>
      </c>
      <c r="L713" s="30" t="n">
        <v>59193.75</v>
      </c>
      <c r="M713" s="35" t="n">
        <v>0.8721464551635244</v>
      </c>
      <c r="N713" s="35" t="n">
        <v>1.038389159147113</v>
      </c>
      <c r="O713" s="35" t="n">
        <v>0.3369304556354915</v>
      </c>
      <c r="P713" s="35" t="n">
        <v>0.9875222816399287</v>
      </c>
      <c r="Q713" s="35" t="n">
        <v>2.046448087431694</v>
      </c>
      <c r="R713" s="35" t="n">
        <v>0.1806437950021178</v>
      </c>
      <c r="S713" s="35" t="n">
        <v>0.4088659576708433</v>
      </c>
      <c r="T713" s="35" t="n">
        <v>0.8836448104740788</v>
      </c>
      <c r="U713" s="30" t="n">
        <v>114200</v>
      </c>
      <c r="V713" s="30" t="n">
        <v>17760</v>
      </c>
      <c r="W713" s="35" t="n">
        <v>-0.02364273204903677</v>
      </c>
      <c r="X713" s="35" t="n">
        <v>5.278153153153153</v>
      </c>
      <c r="Y713" s="30" t="n">
        <v>28966714</v>
      </c>
      <c r="Z713" s="30" t="n">
        <v>3229788611000</v>
      </c>
      <c r="AA713" s="30" t="n">
        <v>38719713000</v>
      </c>
      <c r="AB713" s="30" t="n">
        <v>35081767860</v>
      </c>
      <c r="AC713" s="35" t="n">
        <v>0.01198831182577354</v>
      </c>
      <c r="AD713" s="24" t="inlineStr">
        <is>
          <t>yfinance_download</t>
        </is>
      </c>
      <c r="AE713" s="24" t="inlineStr">
        <is>
          <t>319660.KQ</t>
        </is>
      </c>
    </row>
    <row r="714" ht="24" customHeight="1">
      <c r="A714" s="29" t="inlineStr">
        <is>
          <t>2026-05-14</t>
        </is>
      </c>
      <c r="B714" s="31" t="n">
        <v>109500</v>
      </c>
      <c r="C714" s="31" t="n">
        <v>111600</v>
      </c>
      <c r="D714" s="31" t="n">
        <v>107800</v>
      </c>
      <c r="E714" s="31" t="n">
        <v>109800</v>
      </c>
      <c r="F714" s="31" t="n">
        <v>109800</v>
      </c>
      <c r="G714" s="31" t="n">
        <v>217019</v>
      </c>
      <c r="H714" s="36" t="n">
        <v>-0.01524663677130045</v>
      </c>
      <c r="I714" s="36" t="n">
        <v>-0.03852889667250436</v>
      </c>
      <c r="J714" s="31" t="n">
        <v>95855</v>
      </c>
      <c r="K714" s="31" t="n">
        <v>80021.66666666667</v>
      </c>
      <c r="L714" s="31" t="n">
        <v>59825.41666666666</v>
      </c>
      <c r="M714" s="36" t="n">
        <v>0.8680998062806197</v>
      </c>
      <c r="N714" s="36" t="n">
        <v>1.04004984723401</v>
      </c>
      <c r="O714" s="36" t="n">
        <v>0.347239263803681</v>
      </c>
      <c r="P714" s="36" t="n">
        <v>0.9263157894736842</v>
      </c>
      <c r="Q714" s="36" t="n">
        <v>2.229411764705882</v>
      </c>
      <c r="R714" s="36" t="n">
        <v>0.14548015231339</v>
      </c>
      <c r="S714" s="36" t="n">
        <v>0.3721283818965695</v>
      </c>
      <c r="T714" s="36" t="n">
        <v>0.8353403305451279</v>
      </c>
      <c r="U714" s="31" t="n">
        <v>114200</v>
      </c>
      <c r="V714" s="31" t="n">
        <v>17760</v>
      </c>
      <c r="W714" s="36" t="n">
        <v>-0.03852889667250436</v>
      </c>
      <c r="X714" s="36" t="n">
        <v>5.182432432432432</v>
      </c>
      <c r="Y714" s="31" t="n">
        <v>28966714</v>
      </c>
      <c r="Z714" s="31" t="n">
        <v>3180545197200</v>
      </c>
      <c r="AA714" s="31" t="n">
        <v>23828686200</v>
      </c>
      <c r="AB714" s="31" t="n">
        <v>34700871570</v>
      </c>
      <c r="AC714" s="36" t="n">
        <v>0.007492013074040777</v>
      </c>
      <c r="AD714" s="29" t="inlineStr">
        <is>
          <t>yfinance_download</t>
        </is>
      </c>
      <c r="AE714" s="29" t="inlineStr">
        <is>
          <t>319660.KQ</t>
        </is>
      </c>
    </row>
    <row r="715" ht="24" customHeight="1">
      <c r="A715" s="24" t="inlineStr">
        <is>
          <t>2026-05-15</t>
        </is>
      </c>
      <c r="B715" s="30" t="n">
        <v>111500</v>
      </c>
      <c r="C715" s="30" t="n">
        <v>111800</v>
      </c>
      <c r="D715" s="30" t="n">
        <v>96900</v>
      </c>
      <c r="E715" s="30" t="n">
        <v>101400</v>
      </c>
      <c r="F715" s="30" t="n">
        <v>101400</v>
      </c>
      <c r="G715" s="30" t="n">
        <v>445668</v>
      </c>
      <c r="H715" s="35" t="n">
        <v>-0.07650273224043713</v>
      </c>
      <c r="I715" s="35" t="n">
        <v>-0.1120840630472855</v>
      </c>
      <c r="J715" s="30" t="n">
        <v>96510</v>
      </c>
      <c r="K715" s="30" t="n">
        <v>80723.33333333333</v>
      </c>
      <c r="L715" s="30" t="n">
        <v>60375.41666666666</v>
      </c>
      <c r="M715" s="35" t="n">
        <v>0.8896806361090773</v>
      </c>
      <c r="N715" s="35" t="n">
        <v>1.054420579131975</v>
      </c>
      <c r="O715" s="35" t="n">
        <v>0.1483578708946773</v>
      </c>
      <c r="P715" s="35" t="n">
        <v>0.7099494097807757</v>
      </c>
      <c r="Q715" s="35" t="n">
        <v>1.864406779661017</v>
      </c>
      <c r="R715" s="35" t="n">
        <v>0.05066832452595582</v>
      </c>
      <c r="S715" s="35" t="n">
        <v>0.2561423793203124</v>
      </c>
      <c r="T715" s="35" t="n">
        <v>0.6794915148963776</v>
      </c>
      <c r="U715" s="30" t="n">
        <v>114200</v>
      </c>
      <c r="V715" s="30" t="n">
        <v>17760</v>
      </c>
      <c r="W715" s="35" t="n">
        <v>-0.1120840630472855</v>
      </c>
      <c r="X715" s="35" t="n">
        <v>4.70945945945946</v>
      </c>
      <c r="Y715" s="30" t="n">
        <v>28966714</v>
      </c>
      <c r="Z715" s="30" t="n">
        <v>2937224799600</v>
      </c>
      <c r="AA715" s="30" t="n">
        <v>45190735200</v>
      </c>
      <c r="AB715" s="30" t="n">
        <v>33909011985</v>
      </c>
      <c r="AC715" s="35" t="n">
        <v>0.01538552146439531</v>
      </c>
      <c r="AD715" s="24" t="inlineStr">
        <is>
          <t>yfinance_download</t>
        </is>
      </c>
      <c r="AE715" s="24" t="inlineStr">
        <is>
          <t>319660.KQ</t>
        </is>
      </c>
    </row>
    <row r="716" ht="24" customHeight="1">
      <c r="A716" s="29" t="inlineStr">
        <is>
          <t>2026-05-18</t>
        </is>
      </c>
      <c r="B716" s="31" t="n">
        <v>100900</v>
      </c>
      <c r="C716" s="31" t="n">
        <v>107100</v>
      </c>
      <c r="D716" s="31" t="n">
        <v>96600</v>
      </c>
      <c r="E716" s="31" t="n">
        <v>106000</v>
      </c>
      <c r="F716" s="31" t="n">
        <v>106000</v>
      </c>
      <c r="G716" s="31" t="n">
        <v>358042</v>
      </c>
      <c r="H716" s="36" t="n">
        <v>0.04536489151873768</v>
      </c>
      <c r="I716" s="36" t="n">
        <v>-0.07180385288966729</v>
      </c>
      <c r="J716" s="31" t="n">
        <v>97350</v>
      </c>
      <c r="K716" s="31" t="n">
        <v>81525</v>
      </c>
      <c r="L716" s="31" t="n">
        <v>60979.58333333334</v>
      </c>
      <c r="M716" s="36" t="n">
        <v>0.8993234970635291</v>
      </c>
      <c r="N716" s="36" t="n">
        <v>1.054196998991066</v>
      </c>
      <c r="O716" s="36" t="n">
        <v>0.188340807174888</v>
      </c>
      <c r="P716" s="36" t="n">
        <v>0.8307426597582037</v>
      </c>
      <c r="Q716" s="36" t="n">
        <v>2.164179104477612</v>
      </c>
      <c r="R716" s="36" t="n">
        <v>0.08885464817668209</v>
      </c>
      <c r="S716" s="36" t="n">
        <v>0.3002146580803435</v>
      </c>
      <c r="T716" s="36" t="n">
        <v>0.7382867216486391</v>
      </c>
      <c r="U716" s="31" t="n">
        <v>114200</v>
      </c>
      <c r="V716" s="31" t="n">
        <v>17760</v>
      </c>
      <c r="W716" s="36" t="n">
        <v>-0.07180385288966729</v>
      </c>
      <c r="X716" s="36" t="n">
        <v>4.968468468468468</v>
      </c>
      <c r="Y716" s="31" t="n">
        <v>28966714</v>
      </c>
      <c r="Z716" s="31" t="n">
        <v>3070471684000</v>
      </c>
      <c r="AA716" s="31" t="n">
        <v>37952452000</v>
      </c>
      <c r="AB716" s="31" t="n">
        <v>33966889045</v>
      </c>
      <c r="AC716" s="36" t="n">
        <v>0.01236046311638938</v>
      </c>
      <c r="AD716" s="29" t="inlineStr">
        <is>
          <t>yfinance_download</t>
        </is>
      </c>
      <c r="AE716" s="29" t="inlineStr">
        <is>
          <t>319660.KQ</t>
        </is>
      </c>
    </row>
    <row r="717" ht="24" customHeight="1">
      <c r="A717" s="24" t="inlineStr">
        <is>
          <t>2026-05-19</t>
        </is>
      </c>
      <c r="B717" s="30" t="n">
        <v>106700</v>
      </c>
      <c r="C717" s="30" t="n">
        <v>110500</v>
      </c>
      <c r="D717" s="30" t="n">
        <v>102600</v>
      </c>
      <c r="E717" s="30" t="n">
        <v>103600</v>
      </c>
      <c r="F717" s="30" t="n">
        <v>103600</v>
      </c>
      <c r="G717" s="30" t="n">
        <v>287337</v>
      </c>
      <c r="H717" s="35" t="n">
        <v>-0.02264150943396226</v>
      </c>
      <c r="I717" s="35" t="n">
        <v>-0.09281961471103328</v>
      </c>
      <c r="J717" s="30" t="n">
        <v>98295</v>
      </c>
      <c r="K717" s="30" t="n">
        <v>82205</v>
      </c>
      <c r="L717" s="30" t="n">
        <v>61569.58333333334</v>
      </c>
      <c r="M717" s="35" t="n">
        <v>0.8796668863943271</v>
      </c>
      <c r="N717" s="35" t="n">
        <v>1.045628704830583</v>
      </c>
      <c r="O717" s="35" t="n">
        <v>0.2231404958677685</v>
      </c>
      <c r="P717" s="35" t="n">
        <v>0.6496815286624205</v>
      </c>
      <c r="Q717" s="35" t="n">
        <v>2.158536585365854</v>
      </c>
      <c r="R717" s="35" t="n">
        <v>0.05397019176967288</v>
      </c>
      <c r="S717" s="35" t="n">
        <v>0.2602639742108144</v>
      </c>
      <c r="T717" s="35" t="n">
        <v>0.6826490353055823</v>
      </c>
      <c r="U717" s="30" t="n">
        <v>114200</v>
      </c>
      <c r="V717" s="30" t="n">
        <v>17760</v>
      </c>
      <c r="W717" s="35" t="n">
        <v>-0.09281961471103328</v>
      </c>
      <c r="X717" s="35" t="n">
        <v>4.833333333333333</v>
      </c>
      <c r="Y717" s="30" t="n">
        <v>28966714</v>
      </c>
      <c r="Z717" s="30" t="n">
        <v>3000951570400</v>
      </c>
      <c r="AA717" s="30" t="n">
        <v>29768113200</v>
      </c>
      <c r="AB717" s="30" t="n">
        <v>34085585595</v>
      </c>
      <c r="AC717" s="35" t="n">
        <v>0.00991955801407091</v>
      </c>
      <c r="AD717" s="24" t="inlineStr">
        <is>
          <t>yfinance_download</t>
        </is>
      </c>
      <c r="AE717" s="24" t="inlineStr">
        <is>
          <t>319660.KQ</t>
        </is>
      </c>
    </row>
    <row r="718" ht="24" customHeight="1">
      <c r="A718" s="29" t="inlineStr">
        <is>
          <t>2026-05-20</t>
        </is>
      </c>
      <c r="B718" s="31" t="n">
        <v>103200</v>
      </c>
      <c r="C718" s="31" t="n">
        <v>111900</v>
      </c>
      <c r="D718" s="31" t="n">
        <v>100500</v>
      </c>
      <c r="E718" s="31" t="n">
        <v>107300</v>
      </c>
      <c r="F718" s="31" t="n">
        <v>107300</v>
      </c>
      <c r="G718" s="31" t="n">
        <v>217726</v>
      </c>
      <c r="H718" s="36" t="n">
        <v>0.03571428571428581</v>
      </c>
      <c r="I718" s="36" t="n">
        <v>-0.06042031523642732</v>
      </c>
      <c r="J718" s="31" t="n">
        <v>99555</v>
      </c>
      <c r="K718" s="31" t="n">
        <v>82983.33333333333</v>
      </c>
      <c r="L718" s="31" t="n">
        <v>62193.75</v>
      </c>
      <c r="M718" s="36" t="n">
        <v>0.8688769981618716</v>
      </c>
      <c r="N718" s="36" t="n">
        <v>1.042528082844037</v>
      </c>
      <c r="O718" s="36" t="n">
        <v>0.3069427527405604</v>
      </c>
      <c r="P718" s="36" t="n">
        <v>0.7706270627062706</v>
      </c>
      <c r="Q718" s="36" t="n">
        <v>2.311728395061728</v>
      </c>
      <c r="R718" s="36" t="n">
        <v>0.07779619305911312</v>
      </c>
      <c r="S718" s="36" t="n">
        <v>0.2930307290620606</v>
      </c>
      <c r="T718" s="36" t="n">
        <v>0.7252537433423776</v>
      </c>
      <c r="U718" s="31" t="n">
        <v>114200</v>
      </c>
      <c r="V718" s="31" t="n">
        <v>17760</v>
      </c>
      <c r="W718" s="36" t="n">
        <v>-0.06042031523642732</v>
      </c>
      <c r="X718" s="36" t="n">
        <v>5.041666666666667</v>
      </c>
      <c r="Y718" s="31" t="n">
        <v>28966714</v>
      </c>
      <c r="Z718" s="31" t="n">
        <v>3108128412200</v>
      </c>
      <c r="AA718" s="31" t="n">
        <v>23361999800</v>
      </c>
      <c r="AB718" s="31" t="n">
        <v>33996845420</v>
      </c>
      <c r="AC718" s="36" t="n">
        <v>0.007516420398944803</v>
      </c>
      <c r="AD718" s="29" t="inlineStr">
        <is>
          <t>yfinance_download</t>
        </is>
      </c>
      <c r="AE718" s="29" t="inlineStr">
        <is>
          <t>319660.KQ</t>
        </is>
      </c>
    </row>
  </sheetData>
  <autoFilter ref="A18:AE718"/>
  <mergeCells count="4">
    <mergeCell ref="A2:L2"/>
    <mergeCell ref="A17:F17"/>
    <mergeCell ref="A1:L1"/>
    <mergeCell ref="A4:F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K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</cols>
  <sheetData>
    <row r="1" ht="24" customHeight="1">
      <c r="A1" s="22" t="inlineStr">
        <is>
          <t>정규화 재무제표</t>
        </is>
      </c>
    </row>
    <row r="2" ht="24" customHeight="1">
      <c r="A2" s="25" t="inlineStr">
        <is>
          <t>연도</t>
        </is>
      </c>
      <c r="B2" s="25" t="inlineStr">
        <is>
          <t>매출액</t>
        </is>
      </c>
      <c r="C2" s="25" t="inlineStr">
        <is>
          <t>영업이익</t>
        </is>
      </c>
      <c r="D2" s="25" t="inlineStr">
        <is>
          <t>순이익</t>
        </is>
      </c>
      <c r="E2" s="25" t="inlineStr">
        <is>
          <t>자산총계</t>
        </is>
      </c>
      <c r="F2" s="25" t="inlineStr">
        <is>
          <t>부채총계</t>
        </is>
      </c>
      <c r="G2" s="25" t="inlineStr">
        <is>
          <t>자본총계</t>
        </is>
      </c>
      <c r="H2" s="25" t="inlineStr">
        <is>
          <t>현금성자산</t>
        </is>
      </c>
      <c r="I2" s="25" t="inlineStr">
        <is>
          <t>영업현금흐름</t>
        </is>
      </c>
      <c r="J2" s="25" t="inlineStr">
        <is>
          <t>CAPEX</t>
        </is>
      </c>
      <c r="K2" s="25" t="inlineStr">
        <is>
          <t>FCF</t>
        </is>
      </c>
      <c r="L2" s="25" t="inlineStr">
        <is>
          <t>투자현금흐름</t>
        </is>
      </c>
      <c r="M2" s="25" t="inlineStr">
        <is>
          <t>원천계정수</t>
        </is>
      </c>
      <c r="N2" s="25" t="inlineStr">
        <is>
          <t>매출 원천계정</t>
        </is>
      </c>
      <c r="O2" s="25" t="inlineStr">
        <is>
          <t>영업이익 원천계정</t>
        </is>
      </c>
      <c r="P2" s="25" t="inlineStr">
        <is>
          <t>순이익 원천계정</t>
        </is>
      </c>
      <c r="Q2" s="25" t="inlineStr">
        <is>
          <t>자산 원천계정</t>
        </is>
      </c>
      <c r="R2" s="25" t="inlineStr">
        <is>
          <t>부채 원천계정</t>
        </is>
      </c>
      <c r="S2" s="25" t="inlineStr">
        <is>
          <t>자본 원천계정</t>
        </is>
      </c>
      <c r="T2" s="25" t="inlineStr">
        <is>
          <t>영업현금흐름 원천계정</t>
        </is>
      </c>
      <c r="U2" s="25" t="inlineStr">
        <is>
          <t>CAPEX 원천계정</t>
        </is>
      </c>
      <c r="V2" s="25" t="inlineStr">
        <is>
          <t>현금 원천계정</t>
        </is>
      </c>
      <c r="W2" s="25" t="inlineStr">
        <is>
          <t>영업이익률</t>
        </is>
      </c>
      <c r="X2" s="25" t="inlineStr">
        <is>
          <t>순이익률</t>
        </is>
      </c>
      <c r="Y2" s="25" t="inlineStr">
        <is>
          <t>ROE</t>
        </is>
      </c>
      <c r="Z2" s="25" t="inlineStr">
        <is>
          <t>ROA</t>
        </is>
      </c>
      <c r="AA2" s="25" t="inlineStr">
        <is>
          <t>부채/자본</t>
        </is>
      </c>
      <c r="AB2" s="25" t="inlineStr">
        <is>
          <t>부채/자산</t>
        </is>
      </c>
      <c r="AC2" s="25" t="inlineStr">
        <is>
          <t>자본비율</t>
        </is>
      </c>
      <c r="AD2" s="25" t="inlineStr">
        <is>
          <t>현금/자산</t>
        </is>
      </c>
      <c r="AE2" s="25" t="inlineStr">
        <is>
          <t>CFO margin</t>
        </is>
      </c>
      <c r="AF2" s="25" t="inlineStr">
        <is>
          <t>CAPEX/매출</t>
        </is>
      </c>
      <c r="AG2" s="25" t="inlineStr">
        <is>
          <t>FCF margin</t>
        </is>
      </c>
      <c r="AH2" s="25" t="inlineStr">
        <is>
          <t>FCF 전환율</t>
        </is>
      </c>
      <c r="AI2" s="25" t="inlineStr">
        <is>
          <t>매출성장률</t>
        </is>
      </c>
      <c r="AJ2" s="25" t="inlineStr">
        <is>
          <t>영업이익성장률</t>
        </is>
      </c>
      <c r="AK2" s="25" t="inlineStr">
        <is>
          <t>자산성장률</t>
        </is>
      </c>
    </row>
    <row r="3" ht="24" customHeight="1">
      <c r="A3" s="30" t="n">
        <v>2021</v>
      </c>
      <c r="B3" s="30" t="n">
        <v>445803726054</v>
      </c>
      <c r="C3" s="30" t="n">
        <v>94084940603</v>
      </c>
      <c r="D3" s="30" t="n">
        <v>76728411521</v>
      </c>
      <c r="E3" s="30" t="n">
        <v>413262217895</v>
      </c>
      <c r="F3" s="30" t="n">
        <v>124191260092</v>
      </c>
      <c r="G3" s="30" t="n">
        <v>289070957803</v>
      </c>
      <c r="H3" s="30" t="n">
        <v>66073865022</v>
      </c>
      <c r="I3" s="30" t="n">
        <v>114603470770</v>
      </c>
      <c r="J3" s="30" t="n">
        <v>8658250423</v>
      </c>
      <c r="K3" s="30" t="n">
        <v>105945220347</v>
      </c>
      <c r="L3" s="30" t="n">
        <v>-91865718494</v>
      </c>
      <c r="M3" s="30" t="n">
        <v>166</v>
      </c>
      <c r="N3" s="24" t="inlineStr">
        <is>
          <t>수익(매출액)</t>
        </is>
      </c>
      <c r="O3" s="24" t="inlineStr">
        <is>
          <t>영업이익(손실)</t>
        </is>
      </c>
      <c r="P3" s="24" t="inlineStr">
        <is>
          <t>당기순이익(손실)</t>
        </is>
      </c>
      <c r="Q3" s="24" t="inlineStr">
        <is>
          <t>자산총계</t>
        </is>
      </c>
      <c r="R3" s="24" t="inlineStr">
        <is>
          <t>부채총계</t>
        </is>
      </c>
      <c r="S3" s="24" t="inlineStr">
        <is>
          <t>자본총계</t>
        </is>
      </c>
      <c r="T3" s="24" t="inlineStr">
        <is>
          <t>영업활동현금흐름</t>
        </is>
      </c>
      <c r="U3" s="24" t="inlineStr">
        <is>
          <t>유형자산의 취득</t>
        </is>
      </c>
      <c r="V3" s="24" t="inlineStr">
        <is>
          <t>현금및현금성자산</t>
        </is>
      </c>
      <c r="W3" s="35" t="n">
        <v>0.2110456577736264</v>
      </c>
      <c r="X3" s="35" t="n">
        <v>0.172112539749625</v>
      </c>
      <c r="Y3" s="35" t="n">
        <v>0.2654310626849271</v>
      </c>
      <c r="Z3" s="35" t="n">
        <v>0.1856651980232435</v>
      </c>
      <c r="AA3" s="35" t="n">
        <v>0.4296220590123604</v>
      </c>
      <c r="AB3" s="35" t="n">
        <v>0.3005144305825557</v>
      </c>
      <c r="AC3" s="35" t="n">
        <v>0.6994855694174442</v>
      </c>
      <c r="AD3" s="35" t="n">
        <v>0.159883633588754</v>
      </c>
      <c r="AE3" s="35" t="n">
        <v>0.2570715857052261</v>
      </c>
      <c r="AF3" s="35" t="n">
        <v>0.019421664550985</v>
      </c>
      <c r="AG3" s="35" t="n">
        <v>0.2376499211542411</v>
      </c>
      <c r="AH3" s="35" t="n">
        <v>1.126059278647425</v>
      </c>
      <c r="AI3" s="24" t="inlineStr">
        <is>
          <t>해당 없음</t>
        </is>
      </c>
      <c r="AJ3" s="24" t="inlineStr">
        <is>
          <t>해당 없음</t>
        </is>
      </c>
      <c r="AK3" s="24" t="inlineStr">
        <is>
          <t>해당 없음</t>
        </is>
      </c>
    </row>
    <row r="4" ht="24" customHeight="1">
      <c r="A4" s="31" t="n">
        <v>2022</v>
      </c>
      <c r="B4" s="31" t="n">
        <v>460909201007</v>
      </c>
      <c r="C4" s="31" t="n">
        <v>91842998729</v>
      </c>
      <c r="D4" s="31" t="n">
        <v>77443254531</v>
      </c>
      <c r="E4" s="31" t="n">
        <v>472649339864</v>
      </c>
      <c r="F4" s="31" t="n">
        <v>119341821898</v>
      </c>
      <c r="G4" s="31" t="n">
        <v>353307517966</v>
      </c>
      <c r="H4" s="31" t="n">
        <v>55965973907</v>
      </c>
      <c r="I4" s="31" t="n">
        <v>46284494056</v>
      </c>
      <c r="J4" s="31" t="n">
        <v>12904503550</v>
      </c>
      <c r="K4" s="31" t="n">
        <v>33379990506</v>
      </c>
      <c r="L4" s="31" t="n">
        <v>-36165066547</v>
      </c>
      <c r="M4" s="31" t="n">
        <v>169</v>
      </c>
      <c r="N4" s="29" t="inlineStr">
        <is>
          <t>수익(매출액)</t>
        </is>
      </c>
      <c r="O4" s="29" t="inlineStr">
        <is>
          <t>영업이익(손실)</t>
        </is>
      </c>
      <c r="P4" s="29" t="inlineStr">
        <is>
          <t>당기순이익(손실)</t>
        </is>
      </c>
      <c r="Q4" s="29" t="inlineStr">
        <is>
          <t>자산총계</t>
        </is>
      </c>
      <c r="R4" s="29" t="inlineStr">
        <is>
          <t>부채총계</t>
        </is>
      </c>
      <c r="S4" s="29" t="inlineStr">
        <is>
          <t>자본총계</t>
        </is>
      </c>
      <c r="T4" s="29" t="inlineStr">
        <is>
          <t>영업활동현금흐름</t>
        </is>
      </c>
      <c r="U4" s="29" t="inlineStr">
        <is>
          <t>유형자산의 취득</t>
        </is>
      </c>
      <c r="V4" s="29" t="inlineStr">
        <is>
          <t>현금및현금성자산</t>
        </is>
      </c>
      <c r="W4" s="36" t="n">
        <v>0.1992648411625116</v>
      </c>
      <c r="X4" s="36" t="n">
        <v>0.168022800069517</v>
      </c>
      <c r="Y4" s="36" t="n">
        <v>0.2191950371643454</v>
      </c>
      <c r="Z4" s="36" t="n">
        <v>0.1638492810616926</v>
      </c>
      <c r="AA4" s="36" t="n">
        <v>0.3377845526329408</v>
      </c>
      <c r="AB4" s="36" t="n">
        <v>0.2524954799097771</v>
      </c>
      <c r="AC4" s="36" t="n">
        <v>0.7475045200902229</v>
      </c>
      <c r="AD4" s="36" t="n">
        <v>0.1184090808697705</v>
      </c>
      <c r="AE4" s="36" t="n">
        <v>0.1004199828401713</v>
      </c>
      <c r="AF4" s="36" t="n">
        <v>0.02799793000835324</v>
      </c>
      <c r="AG4" s="36" t="n">
        <v>0.07242205283181805</v>
      </c>
      <c r="AH4" s="36" t="n">
        <v>0.3634462176533883</v>
      </c>
      <c r="AI4" s="36" t="n">
        <v>0.03388368932378616</v>
      </c>
      <c r="AJ4" s="36" t="n">
        <v>-0.02382891310374613</v>
      </c>
      <c r="AK4" s="36" t="n">
        <v>0.1437032455362006</v>
      </c>
    </row>
    <row r="5" ht="24" customHeight="1">
      <c r="A5" s="30" t="n">
        <v>2023</v>
      </c>
      <c r="B5" s="30" t="n">
        <v>351863805650</v>
      </c>
      <c r="C5" s="30" t="n">
        <v>54118591422</v>
      </c>
      <c r="D5" s="30" t="n">
        <v>52520188202</v>
      </c>
      <c r="E5" s="30" t="n">
        <v>494393356491</v>
      </c>
      <c r="F5" s="30" t="n">
        <v>101823749358</v>
      </c>
      <c r="G5" s="30" t="n">
        <v>392569607133</v>
      </c>
      <c r="H5" s="30" t="n">
        <v>64918554700</v>
      </c>
      <c r="I5" s="30" t="n">
        <v>50281470015</v>
      </c>
      <c r="J5" s="30" t="n">
        <v>142483000</v>
      </c>
      <c r="K5" s="30" t="n">
        <v>50138987015</v>
      </c>
      <c r="L5" s="30" t="n">
        <v>-36436599654</v>
      </c>
      <c r="M5" s="30" t="n">
        <v>156</v>
      </c>
      <c r="N5" s="24" t="inlineStr">
        <is>
          <t>수익(매출액)</t>
        </is>
      </c>
      <c r="O5" s="24" t="inlineStr">
        <is>
          <t>영업이익(손실)</t>
        </is>
      </c>
      <c r="P5" s="24" t="inlineStr">
        <is>
          <t>당기순이익(손실)</t>
        </is>
      </c>
      <c r="Q5" s="24" t="inlineStr">
        <is>
          <t>자산총계</t>
        </is>
      </c>
      <c r="R5" s="24" t="inlineStr">
        <is>
          <t>부채총계</t>
        </is>
      </c>
      <c r="S5" s="24" t="inlineStr">
        <is>
          <t>자본총계</t>
        </is>
      </c>
      <c r="T5" s="24" t="inlineStr">
        <is>
          <t>영업활동현금흐름</t>
        </is>
      </c>
      <c r="U5" s="24" t="inlineStr">
        <is>
          <t>무형자산의 취득</t>
        </is>
      </c>
      <c r="V5" s="24" t="inlineStr">
        <is>
          <t>현금및현금성자산</t>
        </is>
      </c>
      <c r="W5" s="35" t="n">
        <v>0.1538055081341101</v>
      </c>
      <c r="X5" s="35" t="n">
        <v>0.1492628322625544</v>
      </c>
      <c r="Y5" s="35" t="n">
        <v>0.1337856707389131</v>
      </c>
      <c r="Z5" s="35" t="n">
        <v>0.1062315816190707</v>
      </c>
      <c r="AA5" s="35" t="n">
        <v>0.2593775664439116</v>
      </c>
      <c r="AB5" s="35" t="n">
        <v>0.2059569531449673</v>
      </c>
      <c r="AC5" s="35" t="n">
        <v>0.7940430468550327</v>
      </c>
      <c r="AD5" s="35" t="n">
        <v>0.1313095207443019</v>
      </c>
      <c r="AE5" s="35" t="n">
        <v>0.142900375678353</v>
      </c>
      <c r="AF5" s="35" t="n">
        <v>0.0004049379268685802</v>
      </c>
      <c r="AG5" s="35" t="n">
        <v>0.1424954377514845</v>
      </c>
      <c r="AH5" s="35" t="n">
        <v>0.9264651148074369</v>
      </c>
      <c r="AI5" s="35" t="n">
        <v>-0.2365875862724292</v>
      </c>
      <c r="AJ5" s="35" t="n">
        <v>-0.4107488630495716</v>
      </c>
      <c r="AK5" s="35" t="n">
        <v>0.04600454246536478</v>
      </c>
    </row>
    <row r="6" ht="24" customHeight="1">
      <c r="A6" s="31" t="n">
        <v>2024</v>
      </c>
      <c r="B6" s="31" t="n">
        <v>398050977575</v>
      </c>
      <c r="C6" s="31" t="n">
        <v>83924423263</v>
      </c>
      <c r="D6" s="31" t="n">
        <v>79128216285</v>
      </c>
      <c r="E6" s="31" t="n">
        <v>569356264734</v>
      </c>
      <c r="F6" s="31" t="n">
        <v>97639459052</v>
      </c>
      <c r="G6" s="31" t="n">
        <v>471716805682</v>
      </c>
      <c r="H6" s="31" t="n">
        <v>94775120383</v>
      </c>
      <c r="I6" s="31" t="n">
        <v>67241427193</v>
      </c>
      <c r="J6" s="31" t="n">
        <v>122720000</v>
      </c>
      <c r="K6" s="31" t="n">
        <v>67118707193</v>
      </c>
      <c r="L6" s="31" t="n">
        <v>-34424696928</v>
      </c>
      <c r="M6" s="31" t="n">
        <v>152</v>
      </c>
      <c r="N6" s="29" t="inlineStr">
        <is>
          <t>수익(매출액)</t>
        </is>
      </c>
      <c r="O6" s="29" t="inlineStr">
        <is>
          <t>영업이익(손실)</t>
        </is>
      </c>
      <c r="P6" s="29" t="inlineStr">
        <is>
          <t>당기순이익(손실)</t>
        </is>
      </c>
      <c r="Q6" s="29" t="inlineStr">
        <is>
          <t>자산총계</t>
        </is>
      </c>
      <c r="R6" s="29" t="inlineStr">
        <is>
          <t>부채총계</t>
        </is>
      </c>
      <c r="S6" s="29" t="inlineStr">
        <is>
          <t>자본총계</t>
        </is>
      </c>
      <c r="T6" s="29" t="inlineStr">
        <is>
          <t>영업활동현금흐름</t>
        </is>
      </c>
      <c r="U6" s="29" t="inlineStr">
        <is>
          <t>무형자산의 취득</t>
        </is>
      </c>
      <c r="V6" s="29" t="inlineStr">
        <is>
          <t>현금및현금성자산</t>
        </is>
      </c>
      <c r="W6" s="36" t="n">
        <v>0.2108383799840992</v>
      </c>
      <c r="X6" s="36" t="n">
        <v>0.198789152000238</v>
      </c>
      <c r="Y6" s="36" t="n">
        <v>0.1677451711108698</v>
      </c>
      <c r="Z6" s="36" t="n">
        <v>0.1389783887281336</v>
      </c>
      <c r="AA6" s="36" t="n">
        <v>0.2069874506820561</v>
      </c>
      <c r="AB6" s="36" t="n">
        <v>0.1714909716460512</v>
      </c>
      <c r="AC6" s="36" t="n">
        <v>0.8285090283539488</v>
      </c>
      <c r="AD6" s="36" t="n">
        <v>0.1664601344595346</v>
      </c>
      <c r="AE6" s="36" t="n">
        <v>0.1689266726655143</v>
      </c>
      <c r="AF6" s="36" t="n">
        <v>0.0003083022198504143</v>
      </c>
      <c r="AG6" s="36" t="n">
        <v>0.1686183704456639</v>
      </c>
      <c r="AH6" s="36" t="n">
        <v>0.7997517836097042</v>
      </c>
      <c r="AI6" s="36" t="n">
        <v>0.131264344849787</v>
      </c>
      <c r="AJ6" s="36" t="n">
        <v>0.5507503254950479</v>
      </c>
      <c r="AK6" s="36" t="n">
        <v>0.1516260428235845</v>
      </c>
    </row>
    <row r="7" ht="24" customHeight="1">
      <c r="A7" s="30" t="n">
        <v>2025</v>
      </c>
      <c r="B7" s="30" t="n">
        <v>457213151918</v>
      </c>
      <c r="C7" s="30" t="n">
        <v>88494057075</v>
      </c>
      <c r="D7" s="24" t="inlineStr">
        <is>
          <t>해당 없음</t>
        </is>
      </c>
      <c r="E7" s="30" t="n">
        <v>645998217783</v>
      </c>
      <c r="F7" s="30" t="n">
        <v>106961955599</v>
      </c>
      <c r="G7" s="30" t="n">
        <v>539036262184</v>
      </c>
      <c r="H7" s="30" t="n">
        <v>119421667338</v>
      </c>
      <c r="I7" s="30" t="n">
        <v>61731136881</v>
      </c>
      <c r="J7" s="30" t="n">
        <v>2000000</v>
      </c>
      <c r="K7" s="30" t="n">
        <v>61729136881</v>
      </c>
      <c r="L7" s="30" t="n">
        <v>-17161223038</v>
      </c>
      <c r="M7" s="30" t="n">
        <v>130</v>
      </c>
      <c r="N7" s="24" t="inlineStr">
        <is>
          <t>매출액</t>
        </is>
      </c>
      <c r="O7" s="24" t="inlineStr">
        <is>
          <t>영업이익(손실)</t>
        </is>
      </c>
      <c r="P7" s="24" t="inlineStr">
        <is>
          <t>해당 없음</t>
        </is>
      </c>
      <c r="Q7" s="24" t="inlineStr">
        <is>
          <t>자산총계</t>
        </is>
      </c>
      <c r="R7" s="24" t="inlineStr">
        <is>
          <t>부채총계</t>
        </is>
      </c>
      <c r="S7" s="24" t="inlineStr">
        <is>
          <t>자본총계</t>
        </is>
      </c>
      <c r="T7" s="24" t="inlineStr">
        <is>
          <t>영업활동으로 인한 현금흐름</t>
        </is>
      </c>
      <c r="U7" s="24" t="inlineStr">
        <is>
          <t>무형자산의 취득</t>
        </is>
      </c>
      <c r="V7" s="24" t="inlineStr">
        <is>
          <t>현금및현금성자산</t>
        </is>
      </c>
      <c r="W7" s="35" t="n">
        <v>0.193550987550925</v>
      </c>
      <c r="X7" s="24" t="inlineStr">
        <is>
          <t>해당 없음</t>
        </is>
      </c>
      <c r="Y7" s="24" t="inlineStr">
        <is>
          <t>해당 없음</t>
        </is>
      </c>
      <c r="Z7" s="24" t="inlineStr">
        <is>
          <t>해당 없음</t>
        </is>
      </c>
      <c r="AA7" s="35" t="n">
        <v>0.1984318367852004</v>
      </c>
      <c r="AB7" s="35" t="n">
        <v>0.1655762394609733</v>
      </c>
      <c r="AC7" s="35" t="n">
        <v>0.8344237605390267</v>
      </c>
      <c r="AD7" s="35" t="n">
        <v>0.1848637721445161</v>
      </c>
      <c r="AE7" s="35" t="n">
        <v>0.1350161005256282</v>
      </c>
      <c r="AF7" s="35" t="n">
        <v>4.374327360466426e-06</v>
      </c>
      <c r="AG7" s="35" t="n">
        <v>0.1350117261982677</v>
      </c>
      <c r="AH7" s="35" t="n">
        <v>0.6975512132829853</v>
      </c>
      <c r="AI7" s="35" t="n">
        <v>0.1486296421212854</v>
      </c>
      <c r="AJ7" s="35" t="n">
        <v>0.0544493918972766</v>
      </c>
      <c r="AK7" s="35" t="n">
        <v>0.134611591715438</v>
      </c>
    </row>
  </sheetData>
  <autoFilter ref="A2:AK7"/>
  <mergeCells count="1">
    <mergeCell ref="A1:F1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수익성·안정성·현금흐름 핵심비율</t>
        </is>
      </c>
    </row>
    <row r="2" ht="24" customHeight="1">
      <c r="A2" s="25" t="inlineStr">
        <is>
          <t>연도</t>
        </is>
      </c>
      <c r="B2" s="25" t="inlineStr">
        <is>
          <t>매출성장률</t>
        </is>
      </c>
      <c r="C2" s="25" t="inlineStr">
        <is>
          <t>영업이익성장률</t>
        </is>
      </c>
      <c r="D2" s="25" t="inlineStr">
        <is>
          <t>영업이익률</t>
        </is>
      </c>
      <c r="E2" s="25" t="inlineStr">
        <is>
          <t>순이익률</t>
        </is>
      </c>
      <c r="F2" s="25" t="inlineStr">
        <is>
          <t>ROE</t>
        </is>
      </c>
      <c r="G2" s="25" t="inlineStr">
        <is>
          <t>ROA</t>
        </is>
      </c>
      <c r="H2" s="25" t="inlineStr">
        <is>
          <t>부채/자본</t>
        </is>
      </c>
      <c r="I2" s="25" t="inlineStr">
        <is>
          <t>자본비율</t>
        </is>
      </c>
      <c r="J2" s="25" t="inlineStr">
        <is>
          <t>CFO margin</t>
        </is>
      </c>
      <c r="K2" s="25" t="inlineStr">
        <is>
          <t>FCF margin</t>
        </is>
      </c>
      <c r="L2" s="25" t="inlineStr">
        <is>
          <t>FCF 전환율</t>
        </is>
      </c>
    </row>
    <row r="3" ht="24" customHeight="1">
      <c r="A3" s="30" t="n">
        <v>2021</v>
      </c>
      <c r="B3" s="24" t="inlineStr">
        <is>
          <t>해당 없음</t>
        </is>
      </c>
      <c r="C3" s="24" t="inlineStr">
        <is>
          <t>해당 없음</t>
        </is>
      </c>
      <c r="D3" s="35" t="n">
        <v>0.2110456577736264</v>
      </c>
      <c r="E3" s="35" t="n">
        <v>0.172112539749625</v>
      </c>
      <c r="F3" s="35" t="n">
        <v>0.2654310626849271</v>
      </c>
      <c r="G3" s="35" t="n">
        <v>0.1856651980232435</v>
      </c>
      <c r="H3" s="35" t="n">
        <v>0.4296220590123604</v>
      </c>
      <c r="I3" s="35" t="n">
        <v>0.6994855694174442</v>
      </c>
      <c r="J3" s="35" t="n">
        <v>0.2570715857052261</v>
      </c>
      <c r="K3" s="35" t="n">
        <v>0.2376499211542411</v>
      </c>
      <c r="L3" s="35" t="n">
        <v>1.126059278647425</v>
      </c>
    </row>
    <row r="4" ht="24" customHeight="1">
      <c r="A4" s="31" t="n">
        <v>2022</v>
      </c>
      <c r="B4" s="36" t="n">
        <v>0.03388368932378616</v>
      </c>
      <c r="C4" s="36" t="n">
        <v>-0.02382891310374613</v>
      </c>
      <c r="D4" s="36" t="n">
        <v>0.1992648411625116</v>
      </c>
      <c r="E4" s="36" t="n">
        <v>0.168022800069517</v>
      </c>
      <c r="F4" s="36" t="n">
        <v>0.2191950371643454</v>
      </c>
      <c r="G4" s="36" t="n">
        <v>0.1638492810616926</v>
      </c>
      <c r="H4" s="36" t="n">
        <v>0.3377845526329408</v>
      </c>
      <c r="I4" s="36" t="n">
        <v>0.7475045200902229</v>
      </c>
      <c r="J4" s="36" t="n">
        <v>0.1004199828401713</v>
      </c>
      <c r="K4" s="36" t="n">
        <v>0.07242205283181805</v>
      </c>
      <c r="L4" s="36" t="n">
        <v>0.3634462176533883</v>
      </c>
    </row>
    <row r="5" ht="24" customHeight="1">
      <c r="A5" s="30" t="n">
        <v>2023</v>
      </c>
      <c r="B5" s="35" t="n">
        <v>-0.2365875862724292</v>
      </c>
      <c r="C5" s="35" t="n">
        <v>-0.4107488630495716</v>
      </c>
      <c r="D5" s="35" t="n">
        <v>0.1538055081341101</v>
      </c>
      <c r="E5" s="35" t="n">
        <v>0.1492628322625544</v>
      </c>
      <c r="F5" s="35" t="n">
        <v>0.1337856707389131</v>
      </c>
      <c r="G5" s="35" t="n">
        <v>0.1062315816190707</v>
      </c>
      <c r="H5" s="35" t="n">
        <v>0.2593775664439116</v>
      </c>
      <c r="I5" s="35" t="n">
        <v>0.7940430468550327</v>
      </c>
      <c r="J5" s="35" t="n">
        <v>0.142900375678353</v>
      </c>
      <c r="K5" s="35" t="n">
        <v>0.1424954377514845</v>
      </c>
      <c r="L5" s="35" t="n">
        <v>0.9264651148074369</v>
      </c>
    </row>
    <row r="6" ht="24" customHeight="1">
      <c r="A6" s="31" t="n">
        <v>2024</v>
      </c>
      <c r="B6" s="36" t="n">
        <v>0.131264344849787</v>
      </c>
      <c r="C6" s="36" t="n">
        <v>0.5507503254950479</v>
      </c>
      <c r="D6" s="36" t="n">
        <v>0.2108383799840992</v>
      </c>
      <c r="E6" s="36" t="n">
        <v>0.198789152000238</v>
      </c>
      <c r="F6" s="36" t="n">
        <v>0.1677451711108698</v>
      </c>
      <c r="G6" s="36" t="n">
        <v>0.1389783887281336</v>
      </c>
      <c r="H6" s="36" t="n">
        <v>0.2069874506820561</v>
      </c>
      <c r="I6" s="36" t="n">
        <v>0.8285090283539488</v>
      </c>
      <c r="J6" s="36" t="n">
        <v>0.1689266726655143</v>
      </c>
      <c r="K6" s="36" t="n">
        <v>0.1686183704456639</v>
      </c>
      <c r="L6" s="36" t="n">
        <v>0.7997517836097042</v>
      </c>
    </row>
    <row r="7" ht="24" customHeight="1">
      <c r="A7" s="30" t="n">
        <v>2025</v>
      </c>
      <c r="B7" s="35" t="n">
        <v>0.1486296421212854</v>
      </c>
      <c r="C7" s="35" t="n">
        <v>0.0544493918972766</v>
      </c>
      <c r="D7" s="35" t="n">
        <v>0.193550987550925</v>
      </c>
      <c r="E7" s="24" t="inlineStr">
        <is>
          <t>해당 없음</t>
        </is>
      </c>
      <c r="F7" s="24" t="inlineStr">
        <is>
          <t>해당 없음</t>
        </is>
      </c>
      <c r="G7" s="24" t="inlineStr">
        <is>
          <t>해당 없음</t>
        </is>
      </c>
      <c r="H7" s="35" t="n">
        <v>0.1984318367852004</v>
      </c>
      <c r="I7" s="35" t="n">
        <v>0.8344237605390267</v>
      </c>
      <c r="J7" s="35" t="n">
        <v>0.1350161005256282</v>
      </c>
      <c r="K7" s="35" t="n">
        <v>0.1350117261982677</v>
      </c>
      <c r="L7" s="35" t="n">
        <v>0.6975512132829853</v>
      </c>
    </row>
  </sheetData>
  <autoFilter ref="A2:L7"/>
  <mergeCells count="1">
    <mergeCell ref="A1:F1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18" customWidth="1" min="2" max="2"/>
    <col width="4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WACC 산정</t>
        </is>
      </c>
    </row>
    <row r="2" ht="28" customHeight="1">
      <c r="A2" s="17" t="inlineStr">
        <is>
          <t>노란 셀은 사용자가 시나리오별로 조정 가능한 입력값입니다.</t>
        </is>
      </c>
    </row>
    <row r="3" ht="24" customHeight="1"/>
    <row r="4" ht="24" customHeight="1">
      <c r="A4" s="37" t="inlineStr">
        <is>
          <t>무위험수익률</t>
        </is>
      </c>
      <c r="B4" s="38" t="n">
        <v>0.035</v>
      </c>
      <c r="C4" s="26" t="inlineStr">
        <is>
          <t>valuation_assumptions.json 또는 기본값</t>
        </is>
      </c>
    </row>
    <row r="5" ht="24" customHeight="1">
      <c r="A5" s="37" t="inlineStr">
        <is>
          <t>Beta</t>
        </is>
      </c>
      <c r="B5" s="38" t="n">
        <v>1.8</v>
      </c>
      <c r="C5" s="26" t="inlineStr">
        <is>
          <t>주가 변동성 proxy 또는 사용자 가정</t>
        </is>
      </c>
    </row>
    <row r="6" ht="24" customHeight="1">
      <c r="A6" s="37" t="inlineStr">
        <is>
          <t>시장위험프리미엄</t>
        </is>
      </c>
      <c r="B6" s="39" t="n">
        <v>0.06</v>
      </c>
      <c r="C6" s="26" t="inlineStr">
        <is>
          <t>사용자 조정 가능</t>
        </is>
      </c>
    </row>
    <row r="7" ht="24" customHeight="1">
      <c r="A7" s="37" t="inlineStr">
        <is>
          <t>자기자본비용</t>
        </is>
      </c>
      <c r="B7" s="40">
        <f>B4+B5*B6</f>
        <v/>
      </c>
      <c r="C7" s="26" t="inlineStr">
        <is>
          <t>공식: Rf + Beta × MRP</t>
        </is>
      </c>
    </row>
    <row r="8" ht="24" customHeight="1">
      <c r="A8" s="37" t="inlineStr">
        <is>
          <t>세전 차입비용</t>
        </is>
      </c>
      <c r="B8" s="39" t="n">
        <v>0.055</v>
      </c>
      <c r="C8" s="26" t="inlineStr">
        <is>
          <t>사용자 조정 가능</t>
        </is>
      </c>
    </row>
    <row r="9" ht="24" customHeight="1">
      <c r="A9" s="37" t="inlineStr">
        <is>
          <t>법인세율</t>
        </is>
      </c>
      <c r="B9" s="38" t="n">
        <v>0.24</v>
      </c>
      <c r="C9" s="26" t="inlineStr">
        <is>
          <t>사용자 조정 가능</t>
        </is>
      </c>
    </row>
    <row r="10" ht="24" customHeight="1">
      <c r="A10" s="37" t="inlineStr">
        <is>
          <t>세후 차입비용</t>
        </is>
      </c>
      <c r="B10" s="40">
        <f>B8*(1-B9)</f>
        <v/>
      </c>
      <c r="C10" s="26" t="inlineStr">
        <is>
          <t>공식</t>
        </is>
      </c>
    </row>
    <row r="11" ht="24" customHeight="1">
      <c r="A11" s="37" t="inlineStr">
        <is>
          <t>자기자본 비중</t>
        </is>
      </c>
      <c r="B11" s="38" t="n">
        <v>0.9667312755279646</v>
      </c>
      <c r="C11" s="26" t="inlineStr">
        <is>
          <t>시장가치/장부가치 기반</t>
        </is>
      </c>
    </row>
    <row r="12" ht="24" customHeight="1">
      <c r="A12" s="37" t="inlineStr">
        <is>
          <t>부채 비중</t>
        </is>
      </c>
      <c r="B12" s="38" t="n">
        <v>0.03326872447203544</v>
      </c>
      <c r="C12" s="26" t="inlineStr">
        <is>
          <t>부채 proxy 기반</t>
        </is>
      </c>
    </row>
    <row r="13" ht="24" customHeight="1">
      <c r="A13" s="37" t="inlineStr">
        <is>
          <t>WACC</t>
        </is>
      </c>
      <c r="B13" s="41">
        <f>B11*B7+B12*B10</f>
        <v/>
      </c>
      <c r="C13" s="26" t="inlineStr">
        <is>
          <t>공식: E/V×Ke + D/V×Kd(1-T)</t>
        </is>
      </c>
    </row>
    <row r="14" ht="24" customHeight="1">
      <c r="A14" s="37" t="inlineStr">
        <is>
          <t>사용한 시가총액</t>
        </is>
      </c>
      <c r="B14" s="27" t="n">
        <v>3108128412200</v>
      </c>
      <c r="C14" s="26" t="inlineStr">
        <is>
          <t>발행주식 수 intake 가능 시 반영</t>
        </is>
      </c>
    </row>
    <row r="15" ht="24" customHeight="1">
      <c r="A15" s="37" t="inlineStr">
        <is>
          <t>부채 proxy</t>
        </is>
      </c>
      <c r="B15" s="27" t="n">
        <v>106961955599</v>
      </c>
      <c r="C15" s="26" t="inlineStr">
        <is>
          <t>상세 차입금 데이터 전까지 부채총계 보수 proxy</t>
        </is>
      </c>
    </row>
  </sheetData>
  <mergeCells count="2">
    <mergeCell ref="A2:F2"/>
    <mergeCell ref="A1:F1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FCF 추정</t>
        </is>
      </c>
    </row>
    <row r="2" ht="24" customHeight="1">
      <c r="A2" s="25" t="inlineStr">
        <is>
          <t>연도</t>
        </is>
      </c>
      <c r="B2" s="25" t="inlineStr">
        <is>
          <t>매출성장률</t>
        </is>
      </c>
      <c r="C2" s="25" t="inlineStr">
        <is>
          <t>매출액</t>
        </is>
      </c>
      <c r="D2" s="25" t="inlineStr">
        <is>
          <t>영업이익률</t>
        </is>
      </c>
      <c r="E2" s="25" t="inlineStr">
        <is>
          <t>ebit</t>
        </is>
      </c>
      <c r="F2" s="25" t="inlineStr">
        <is>
          <t>nopat</t>
        </is>
      </c>
      <c r="G2" s="25" t="inlineStr">
        <is>
          <t>FCF margin</t>
        </is>
      </c>
      <c r="H2" s="25" t="inlineStr">
        <is>
          <t>FCF</t>
        </is>
      </c>
      <c r="I2" s="25" t="inlineStr">
        <is>
          <t>할인계수</t>
        </is>
      </c>
      <c r="J2" s="25" t="inlineStr">
        <is>
          <t>FCF 현재가치</t>
        </is>
      </c>
    </row>
    <row r="3" ht="24" customHeight="1">
      <c r="A3" s="30" t="n">
        <v>2026</v>
      </c>
      <c r="B3" s="35" t="n">
        <v>0.01454837351963819</v>
      </c>
      <c r="C3" s="30" t="n">
        <v>463864859630.1941</v>
      </c>
      <c r="D3" s="35" t="n">
        <v>0.1860649585563781</v>
      </c>
      <c r="E3" s="30" t="n">
        <v>86308995882.8522</v>
      </c>
      <c r="F3" s="30" t="n">
        <v>65594836870.96767</v>
      </c>
      <c r="G3" s="35" t="n">
        <v>0.1487085114651387</v>
      </c>
      <c r="H3" s="30" t="n">
        <v>68980652796.59167</v>
      </c>
      <c r="I3" s="35" t="n">
        <v>0.8774753100729389</v>
      </c>
      <c r="J3" s="30" t="n">
        <v>60528819701.72302</v>
      </c>
    </row>
    <row r="4" ht="24" customHeight="1">
      <c r="A4" s="31" t="n">
        <v>2027</v>
      </c>
      <c r="B4" s="36" t="n">
        <v>0.01466128013972864</v>
      </c>
      <c r="C4" s="31" t="n">
        <v>470665712284.2083</v>
      </c>
      <c r="D4" s="36" t="n">
        <v>0.1860649585563781</v>
      </c>
      <c r="E4" s="31" t="n">
        <v>87574396250.06938</v>
      </c>
      <c r="F4" s="31" t="n">
        <v>66556541150.05273</v>
      </c>
      <c r="G4" s="36" t="n">
        <v>0.1487085114651387</v>
      </c>
      <c r="H4" s="31" t="n">
        <v>69991997471.46385</v>
      </c>
      <c r="I4" s="36" t="n">
        <v>0.7699629197876002</v>
      </c>
      <c r="J4" s="31" t="n">
        <v>53891242734.89464</v>
      </c>
    </row>
    <row r="5" ht="24" customHeight="1">
      <c r="A5" s="30" t="n">
        <v>2028</v>
      </c>
      <c r="B5" s="35" t="n">
        <v>0.0147741867598191</v>
      </c>
      <c r="C5" s="30" t="n">
        <v>477619415418.9384</v>
      </c>
      <c r="D5" s="35" t="n">
        <v>0.1860649585563781</v>
      </c>
      <c r="E5" s="30" t="n">
        <v>88868236735.64629</v>
      </c>
      <c r="F5" s="30" t="n">
        <v>67539859919.09118</v>
      </c>
      <c r="G5" s="35" t="n">
        <v>0.1487085114651387</v>
      </c>
      <c r="H5" s="30" t="n">
        <v>71026072313.80003</v>
      </c>
      <c r="I5" s="35" t="n">
        <v>0.6756234517852898</v>
      </c>
      <c r="J5" s="30" t="n">
        <v>47986880143.40118</v>
      </c>
    </row>
    <row r="6" ht="24" customHeight="1">
      <c r="A6" s="31" t="n">
        <v>2029</v>
      </c>
      <c r="B6" s="36" t="n">
        <v>0.01488709337990955</v>
      </c>
      <c r="C6" s="31" t="n">
        <v>484729780256.3378</v>
      </c>
      <c r="D6" s="36" t="n">
        <v>0.1860649585563781</v>
      </c>
      <c r="E6" s="31" t="n">
        <v>90191226474.43776</v>
      </c>
      <c r="F6" s="31" t="n">
        <v>68545332120.5727</v>
      </c>
      <c r="G6" s="36" t="n">
        <v>0.1487085114651387</v>
      </c>
      <c r="H6" s="31" t="n">
        <v>72083444084.74377</v>
      </c>
      <c r="I6" s="36" t="n">
        <v>0.5928428978478465</v>
      </c>
      <c r="J6" s="31" t="n">
        <v>42734157878.05271</v>
      </c>
    </row>
    <row r="7" ht="24" customHeight="1">
      <c r="A7" s="30" t="n">
        <v>2030</v>
      </c>
      <c r="B7" s="35" t="n">
        <v>0.015</v>
      </c>
      <c r="C7" s="30" t="n">
        <v>492000726960.1829</v>
      </c>
      <c r="D7" s="35" t="n">
        <v>0.1860649585563781</v>
      </c>
      <c r="E7" s="30" t="n">
        <v>91544094871.55432</v>
      </c>
      <c r="F7" s="30" t="n">
        <v>69573512102.38129</v>
      </c>
      <c r="G7" s="35" t="n">
        <v>0.1487085114651387</v>
      </c>
      <c r="H7" s="30" t="n">
        <v>73164695746.01492</v>
      </c>
      <c r="I7" s="35" t="n">
        <v>0.5202050056135787</v>
      </c>
      <c r="J7" s="30" t="n">
        <v>38060640961.27148</v>
      </c>
    </row>
  </sheetData>
  <autoFilter ref="A2:J7"/>
  <mergeCells count="1">
    <mergeCell ref="A1:F1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14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DCF 가치평가</t>
        </is>
      </c>
    </row>
    <row r="2" ht="28" customHeight="1">
      <c r="A2" s="17" t="inlineStr">
        <is>
          <t>명시적 FCF + Terminal Value + 현금 - 부채 proxy</t>
        </is>
      </c>
    </row>
    <row r="3" ht="24" customHeight="1"/>
    <row r="4" ht="24" customHeight="1">
      <c r="A4" s="22" t="inlineStr">
        <is>
          <t>DCF 결과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  <c r="C5" s="25" t="inlineStr">
        <is>
          <t>비고</t>
        </is>
      </c>
    </row>
    <row r="6" ht="24" customHeight="1">
      <c r="A6" s="24" t="inlineStr">
        <is>
          <t>기준연도</t>
        </is>
      </c>
      <c r="B6" s="30" t="n">
        <v>2025</v>
      </c>
      <c r="C6" s="24" t="inlineStr">
        <is>
          <t>최근 정규화 재무제표 연도</t>
        </is>
      </c>
    </row>
    <row r="7" ht="24" customHeight="1">
      <c r="A7" s="29" t="inlineStr">
        <is>
          <t>기준 매출액</t>
        </is>
      </c>
      <c r="B7" s="31" t="n">
        <v>457213151918</v>
      </c>
      <c r="C7" s="29" t="inlineStr">
        <is>
          <t>DART 기반</t>
        </is>
      </c>
    </row>
    <row r="8" ht="24" customHeight="1">
      <c r="A8" s="24" t="inlineStr">
        <is>
          <t>매출 CAGR</t>
        </is>
      </c>
      <c r="B8" s="30" t="n">
        <v>0.006337728619329575</v>
      </c>
      <c r="C8" s="24" t="inlineStr">
        <is>
          <t>과거 재무제표 기반</t>
        </is>
      </c>
    </row>
    <row r="9" ht="24" customHeight="1">
      <c r="A9" s="29" t="inlineStr">
        <is>
          <t>추정 매출성장률</t>
        </is>
      </c>
      <c r="B9" s="31" t="n">
        <v>0.01443546689954774</v>
      </c>
      <c r="C9" s="29" t="inlineStr">
        <is>
          <t>최근 추세를 보수적으로 bounded</t>
        </is>
      </c>
    </row>
    <row r="10" ht="24" customHeight="1">
      <c r="A10" s="24" t="inlineStr">
        <is>
          <t>추정 FCF margin</t>
        </is>
      </c>
      <c r="B10" s="30" t="n">
        <v>0.1487085114651387</v>
      </c>
      <c r="C10" s="24" t="inlineStr">
        <is>
          <t>최근 3년 평균 기반</t>
        </is>
      </c>
    </row>
    <row r="11" ht="24" customHeight="1">
      <c r="A11" s="29" t="inlineStr">
        <is>
          <t>WACC</t>
        </is>
      </c>
      <c r="B11" s="31" t="n">
        <v>0.13963320508343</v>
      </c>
      <c r="C11" s="29" t="inlineStr">
        <is>
          <t>07_WACC 참조</t>
        </is>
      </c>
    </row>
    <row r="12" ht="24" customHeight="1">
      <c r="A12" s="24" t="inlineStr">
        <is>
          <t>영구성장률</t>
        </is>
      </c>
      <c r="B12" s="30" t="n">
        <v>0.015</v>
      </c>
      <c r="C12" s="24" t="inlineStr">
        <is>
          <t>valuation_assumptions.json</t>
        </is>
      </c>
    </row>
    <row r="13" ht="24" customHeight="1">
      <c r="A13" s="29" t="inlineStr">
        <is>
          <t>FCF 현재가치</t>
        </is>
      </c>
      <c r="B13" s="31" t="n">
        <v>243201741419.343</v>
      </c>
      <c r="C13" s="29" t="inlineStr">
        <is>
          <t>명시적 기간 FCF 할인</t>
        </is>
      </c>
    </row>
    <row r="14" ht="24" customHeight="1">
      <c r="A14" s="24" t="inlineStr">
        <is>
          <t>Terminal Value</t>
        </is>
      </c>
      <c r="B14" s="30" t="n">
        <v>595845755009.6198</v>
      </c>
      <c r="C14" s="24" t="inlineStr">
        <is>
          <t>Gordon Growth</t>
        </is>
      </c>
    </row>
    <row r="15" ht="24" customHeight="1">
      <c r="A15" s="29" t="inlineStr">
        <is>
          <t>Terminal 현재가치</t>
        </is>
      </c>
      <c r="B15" s="31" t="n">
        <v>309961944329.6063</v>
      </c>
      <c r="C15" s="29" t="inlineStr">
        <is>
          <t>Terminal Value 할인</t>
        </is>
      </c>
    </row>
    <row r="16" ht="24" customHeight="1">
      <c r="A16" s="24" t="inlineStr">
        <is>
          <t>기업가치(EV)</t>
        </is>
      </c>
      <c r="B16" s="30" t="n">
        <v>553163685748.9493</v>
      </c>
      <c r="C16" s="24" t="inlineStr">
        <is>
          <t>PV FCF + PV Terminal</t>
        </is>
      </c>
    </row>
    <row r="17" ht="24" customHeight="1">
      <c r="A17" s="29" t="inlineStr">
        <is>
          <t>지분가치</t>
        </is>
      </c>
      <c r="B17" s="31" t="n">
        <v>565623397487.9493</v>
      </c>
      <c r="C17" s="29" t="inlineStr">
        <is>
          <t>EV + 현금 - 부채 proxy</t>
        </is>
      </c>
    </row>
    <row r="18" ht="24" customHeight="1">
      <c r="A18" s="24" t="inlineStr">
        <is>
          <t>발행주식 수</t>
        </is>
      </c>
      <c r="B18" s="30" t="n">
        <v>28966714</v>
      </c>
      <c r="C18" s="24" t="inlineStr">
        <is>
          <t>DART stockTotqySttus 또는 해당 없음</t>
        </is>
      </c>
    </row>
    <row r="19" ht="24" customHeight="1">
      <c r="A19" s="29" t="inlineStr">
        <is>
          <t>현재가</t>
        </is>
      </c>
      <c r="B19" s="31" t="n">
        <v>107300</v>
      </c>
      <c r="C19" s="29" t="inlineStr">
        <is>
          <t>주가 intake</t>
        </is>
      </c>
    </row>
    <row r="20" ht="24" customHeight="1">
      <c r="A20" s="24" t="inlineStr">
        <is>
          <t>DCF 내재주가</t>
        </is>
      </c>
      <c r="B20" s="30" t="n">
        <v>19526.66766026514</v>
      </c>
      <c r="C20" s="24" t="inlineStr">
        <is>
          <t>지분가치 / 발행주식 수</t>
        </is>
      </c>
    </row>
    <row r="21" ht="24" customHeight="1">
      <c r="A21" s="29" t="inlineStr">
        <is>
          <t>현재가 대비 괴리율</t>
        </is>
      </c>
      <c r="B21" s="31" t="n">
        <v>-0.8180180087580137</v>
      </c>
      <c r="C21" s="29" t="inlineStr">
        <is>
          <t>내재주가 / 현재가 - 1</t>
        </is>
      </c>
    </row>
  </sheetData>
  <autoFilter ref="A5:C21"/>
  <mergeCells count="3">
    <mergeCell ref="A2:E2"/>
    <mergeCell ref="A1:E1"/>
    <mergeCell ref="A4:F4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I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22" customWidth="1" min="2" max="2"/>
    <col width="13" customWidth="1" min="3" max="3"/>
    <col width="13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40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 ht="24" customHeight="1">
      <c r="A1" s="22" t="inlineStr">
        <is>
          <t>피어 비교 / 상대가치</t>
        </is>
      </c>
    </row>
    <row r="2" ht="24" customHeight="1">
      <c r="A2" s="25" t="inlineStr">
        <is>
          <t>기업코드</t>
        </is>
      </c>
      <c r="B2" s="25" t="inlineStr">
        <is>
          <t>기업명</t>
        </is>
      </c>
      <c r="C2" s="25" t="inlineStr">
        <is>
          <t>종목코드</t>
        </is>
      </c>
      <c r="D2" s="25" t="inlineStr">
        <is>
          <t>시장</t>
        </is>
      </c>
      <c r="E2" s="25" t="inlineStr">
        <is>
          <t>분석대상</t>
        </is>
      </c>
      <c r="F2" s="25" t="inlineStr">
        <is>
          <t>최근연도</t>
        </is>
      </c>
      <c r="G2" s="25" t="inlineStr">
        <is>
          <t>latest_close</t>
        </is>
      </c>
      <c r="H2" s="25" t="inlineStr">
        <is>
          <t>발행주식 수</t>
        </is>
      </c>
      <c r="I2" s="25" t="inlineStr">
        <is>
          <t>시가총액</t>
        </is>
      </c>
      <c r="J2" s="25" t="inlineStr">
        <is>
          <t>매출액</t>
        </is>
      </c>
      <c r="K2" s="25" t="inlineStr">
        <is>
          <t>영업이익</t>
        </is>
      </c>
      <c r="L2" s="25" t="inlineStr">
        <is>
          <t>순이익</t>
        </is>
      </c>
      <c r="M2" s="25" t="inlineStr">
        <is>
          <t>자산총계</t>
        </is>
      </c>
      <c r="N2" s="25" t="inlineStr">
        <is>
          <t>부채총계</t>
        </is>
      </c>
      <c r="O2" s="25" t="inlineStr">
        <is>
          <t>자본총계</t>
        </is>
      </c>
      <c r="P2" s="25" t="inlineStr">
        <is>
          <t>FCF</t>
        </is>
      </c>
      <c r="Q2" s="25" t="inlineStr">
        <is>
          <t>FCF margin</t>
        </is>
      </c>
      <c r="R2" s="25" t="inlineStr">
        <is>
          <t>1년 수익률</t>
        </is>
      </c>
      <c r="S2" s="25" t="inlineStr">
        <is>
          <t>연환산 변동성</t>
        </is>
      </c>
      <c r="T2" s="25" t="inlineStr">
        <is>
          <t>MDD</t>
        </is>
      </c>
      <c r="U2" s="25" t="inlineStr">
        <is>
          <t>52주 고가</t>
        </is>
      </c>
      <c r="V2" s="25" t="inlineStr">
        <is>
          <t>52주 저가</t>
        </is>
      </c>
      <c r="W2" s="25" t="inlineStr">
        <is>
          <t>data_status</t>
        </is>
      </c>
      <c r="X2" s="25" t="inlineStr">
        <is>
          <t>diagnostics</t>
        </is>
      </c>
      <c r="Y2" s="25" t="inlineStr">
        <is>
          <t>EV proxy</t>
        </is>
      </c>
      <c r="Z2" s="25" t="inlineStr">
        <is>
          <t>P/S</t>
        </is>
      </c>
      <c r="AA2" s="25" t="inlineStr">
        <is>
          <t>PER</t>
        </is>
      </c>
      <c r="AB2" s="25" t="inlineStr">
        <is>
          <t>PBR</t>
        </is>
      </c>
      <c r="AC2" s="25" t="inlineStr">
        <is>
          <t>EV/Sales</t>
        </is>
      </c>
      <c r="AD2" s="25" t="inlineStr">
        <is>
          <t>EV/EBIT</t>
        </is>
      </c>
      <c r="AE2" s="25" t="inlineStr">
        <is>
          <t>P/FCF</t>
        </is>
      </c>
      <c r="AF2" s="25" t="inlineStr">
        <is>
          <t>영업이익률</t>
        </is>
      </c>
      <c r="AG2" s="25" t="inlineStr">
        <is>
          <t>ROE</t>
        </is>
      </c>
      <c r="AH2" s="25" t="inlineStr">
        <is>
          <t>부채/자본</t>
        </is>
      </c>
      <c r="AI2" s="25" t="inlineStr">
        <is>
          <t>psr_data_quality</t>
        </is>
      </c>
    </row>
    <row r="3" ht="24" customHeight="1">
      <c r="A3" s="24" t="inlineStr">
        <is>
          <t>nepes</t>
        </is>
      </c>
      <c r="B3" s="24" t="inlineStr">
        <is>
          <t>네패스</t>
        </is>
      </c>
      <c r="C3" s="24" t="inlineStr">
        <is>
          <t>033640</t>
        </is>
      </c>
      <c r="D3" s="24" t="inlineStr">
        <is>
          <t>KOSDAQ</t>
        </is>
      </c>
      <c r="E3" s="24" t="b">
        <v>0</v>
      </c>
      <c r="F3" s="24" t="inlineStr">
        <is>
          <t>2025</t>
        </is>
      </c>
      <c r="G3" s="24" t="inlineStr">
        <is>
          <t>27950.0</t>
        </is>
      </c>
      <c r="H3" s="24" t="inlineStr">
        <is>
          <t>23059202.0</t>
        </is>
      </c>
      <c r="I3" s="30" t="n">
        <v>644504695900</v>
      </c>
      <c r="J3" s="24" t="inlineStr">
        <is>
          <t>521439287008.0</t>
        </is>
      </c>
      <c r="K3" s="24" t="inlineStr">
        <is>
          <t>23761125843.0</t>
        </is>
      </c>
      <c r="L3" s="24" t="inlineStr">
        <is>
          <t>20158821632.0</t>
        </is>
      </c>
      <c r="M3" s="24" t="inlineStr">
        <is>
          <t>696198458357.0</t>
        </is>
      </c>
      <c r="N3" s="24" t="inlineStr">
        <is>
          <t>450773427582.0</t>
        </is>
      </c>
      <c r="O3" s="24" t="inlineStr">
        <is>
          <t>245425030775.0</t>
        </is>
      </c>
      <c r="P3" s="24" t="inlineStr">
        <is>
          <t>103117228706.0</t>
        </is>
      </c>
      <c r="Q3" s="24" t="inlineStr">
        <is>
          <t>0.19775500480158098</t>
        </is>
      </c>
      <c r="R3" s="24" t="inlineStr">
        <is>
          <t>2.5925449871465296</t>
        </is>
      </c>
      <c r="S3" s="24" t="inlineStr">
        <is>
          <t>0.6268067847584945</t>
        </is>
      </c>
      <c r="T3" s="24" t="inlineStr">
        <is>
          <t>-0.7436559139784946</t>
        </is>
      </c>
      <c r="U3" s="24" t="inlineStr">
        <is>
          <t>34800.0</t>
        </is>
      </c>
      <c r="V3" s="24" t="inlineStr">
        <is>
          <t>6890.0</t>
        </is>
      </c>
      <c r="W3" s="24" t="inlineStr">
        <is>
          <t>OK</t>
        </is>
      </c>
      <c r="X3" s="24" t="inlineStr">
        <is>
          <t>yfinance price rows for 033640.KQ: 728 | price provider selected: yfinance, rows=728 | DART corp_code resolved from cache for 네패스/033640.</t>
        </is>
      </c>
      <c r="Y3" s="30" t="n">
        <v>1095278123482</v>
      </c>
      <c r="Z3" s="42" t="n">
        <v>1.236011002542875</v>
      </c>
      <c r="AA3" s="42" t="n">
        <v>31.97134771394161</v>
      </c>
      <c r="AB3" s="42" t="n">
        <v>2.626075644626758</v>
      </c>
      <c r="AC3" s="42" t="n">
        <v>2.100490221530232</v>
      </c>
      <c r="AD3" s="42" t="n">
        <v>46.09537993775946</v>
      </c>
      <c r="AE3" s="42" t="n">
        <v>6.250213509301756</v>
      </c>
      <c r="AF3" s="35" t="n">
        <v>0.0455683459896942</v>
      </c>
      <c r="AG3" s="35" t="n">
        <v>0.0821384093070814</v>
      </c>
      <c r="AH3" s="35" t="n">
        <v>1.836705189191801</v>
      </c>
      <c r="AI3" s="24" t="inlineStr">
        <is>
          <t>OK</t>
        </is>
      </c>
    </row>
    <row r="4" ht="24" customHeight="1">
      <c r="A4" s="29" t="inlineStr">
        <is>
          <t>hanmi</t>
        </is>
      </c>
      <c r="B4" s="29" t="inlineStr">
        <is>
          <t>한미반도체</t>
        </is>
      </c>
      <c r="C4" s="29" t="inlineStr">
        <is>
          <t>042700</t>
        </is>
      </c>
      <c r="D4" s="29" t="inlineStr">
        <is>
          <t>KOSPI</t>
        </is>
      </c>
      <c r="E4" s="29" t="b">
        <v>0</v>
      </c>
      <c r="F4" s="29" t="inlineStr">
        <is>
          <t>2025</t>
        </is>
      </c>
      <c r="G4" s="29" t="inlineStr">
        <is>
          <t>288000.0</t>
        </is>
      </c>
      <c r="H4" s="29" t="inlineStr">
        <is>
          <t>95312200.0</t>
        </is>
      </c>
      <c r="I4" s="31" t="n">
        <v>27449913600000</v>
      </c>
      <c r="J4" s="29" t="inlineStr">
        <is>
          <t>576684619527.0</t>
        </is>
      </c>
      <c r="K4" s="29" t="inlineStr">
        <is>
          <t>251390142142.0</t>
        </is>
      </c>
      <c r="L4" s="29" t="inlineStr">
        <is>
          <t>214007548411.0</t>
        </is>
      </c>
      <c r="M4" s="29" t="inlineStr">
        <is>
          <t>813331626120.0</t>
        </is>
      </c>
      <c r="N4" s="29" t="inlineStr">
        <is>
          <t>123004106583.0</t>
        </is>
      </c>
      <c r="O4" s="29" t="inlineStr">
        <is>
          <t>690327519537.0</t>
        </is>
      </c>
      <c r="P4" s="29" t="inlineStr">
        <is>
          <t>209512898063.0</t>
        </is>
      </c>
      <c r="Q4" s="29" t="inlineStr">
        <is>
          <t>0.36330585378684743</t>
        </is>
      </c>
      <c r="R4" s="29" t="inlineStr">
        <is>
          <t>2.5164835164835164</t>
        </is>
      </c>
      <c r="S4" s="29" t="inlineStr">
        <is>
          <t>0.7592026521930156</t>
        </is>
      </c>
      <c r="T4" s="29" t="inlineStr">
        <is>
          <t>-0.6814814814814815</t>
        </is>
      </c>
      <c r="U4" s="29" t="inlineStr">
        <is>
          <t>409500.0</t>
        </is>
      </c>
      <c r="V4" s="29" t="inlineStr">
        <is>
          <t>77400.0</t>
        </is>
      </c>
      <c r="W4" s="29" t="inlineStr">
        <is>
          <t>OK</t>
        </is>
      </c>
      <c r="X4" s="29" t="inlineStr">
        <is>
          <t>yfinance price rows for 042700.KS: 728 | price provider selected: yfinance, rows=728 | DART corp_code resolved from cache for 한미반도체/042700.</t>
        </is>
      </c>
      <c r="Y4" s="31" t="n">
        <v>27572917706583</v>
      </c>
      <c r="Z4" s="43" t="n">
        <v>47.5995243683013</v>
      </c>
      <c r="AA4" s="43" t="n">
        <v>128.2660999755141</v>
      </c>
      <c r="AB4" s="43" t="n">
        <v>39.76360904518271</v>
      </c>
      <c r="AC4" s="43" t="n">
        <v>47.8128196468955</v>
      </c>
      <c r="AD4" s="43" t="n">
        <v>109.6817777803244</v>
      </c>
      <c r="AE4" s="43" t="n">
        <v>131.0177743412526</v>
      </c>
      <c r="AF4" s="36" t="n">
        <v>0.4359230914606178</v>
      </c>
      <c r="AG4" s="36" t="n">
        <v>0.3100087166661616</v>
      </c>
      <c r="AH4" s="36" t="n">
        <v>0.1781822440824876</v>
      </c>
      <c r="AI4" s="29" t="inlineStr">
        <is>
          <t>OK</t>
        </is>
      </c>
    </row>
    <row r="5" ht="24" customHeight="1">
      <c r="A5" s="24" t="inlineStr">
        <is>
          <t>hansol</t>
        </is>
      </c>
      <c r="B5" s="24" t="inlineStr">
        <is>
          <t>한솔케미칼</t>
        </is>
      </c>
      <c r="C5" s="24" t="inlineStr">
        <is>
          <t>014680</t>
        </is>
      </c>
      <c r="D5" s="24" t="inlineStr">
        <is>
          <t>KOSPI</t>
        </is>
      </c>
      <c r="E5" s="24" t="b">
        <v>0</v>
      </c>
      <c r="F5" s="24" t="inlineStr">
        <is>
          <t>2025</t>
        </is>
      </c>
      <c r="G5" s="24" t="inlineStr">
        <is>
          <t>268000.0</t>
        </is>
      </c>
      <c r="H5" s="24" t="inlineStr">
        <is>
          <t>11335195.0</t>
        </is>
      </c>
      <c r="I5" s="30" t="n">
        <v>3037832260000</v>
      </c>
      <c r="J5" s="24" t="inlineStr">
        <is>
          <t>883968714104.0</t>
        </is>
      </c>
      <c r="K5" s="24" t="inlineStr">
        <is>
          <t>156233146521.0</t>
        </is>
      </c>
      <c r="L5" s="24" t="inlineStr">
        <is>
          <t>148134823618.0</t>
        </is>
      </c>
      <c r="M5" s="24" t="inlineStr">
        <is>
          <t>1600348080121.0</t>
        </is>
      </c>
      <c r="N5" s="24" t="inlineStr">
        <is>
          <t>423081692446.0</t>
        </is>
      </c>
      <c r="O5" s="24" t="inlineStr">
        <is>
          <t>1177266387675.0</t>
        </is>
      </c>
      <c r="P5" s="24" t="inlineStr">
        <is>
          <t>200066983741.0</t>
        </is>
      </c>
      <c r="Q5" s="24" t="inlineStr">
        <is>
          <t>0.226328127397348</t>
        </is>
      </c>
      <c r="R5" s="24" t="inlineStr">
        <is>
          <t>1.1185770750988144</t>
        </is>
      </c>
      <c r="S5" s="24" t="inlineStr">
        <is>
          <t>0.485747372701078</t>
        </is>
      </c>
      <c r="T5" s="24" t="inlineStr">
        <is>
          <t>-0.6348547717842323</t>
        </is>
      </c>
      <c r="U5" s="24" t="inlineStr">
        <is>
          <t>338000.0</t>
        </is>
      </c>
      <c r="V5" s="24" t="inlineStr">
        <is>
          <t>112100.0</t>
        </is>
      </c>
      <c r="W5" s="24" t="inlineStr">
        <is>
          <t>OK</t>
        </is>
      </c>
      <c r="X5" s="24" t="inlineStr">
        <is>
          <t>yfinance price rows for 014680.KS: 728 | price provider selected: yfinance, rows=728 | DART corp_code resolved from cache for 한솔케미칼/014680.</t>
        </is>
      </c>
      <c r="Y5" s="30" t="n">
        <v>3460913952446</v>
      </c>
      <c r="Z5" s="42" t="n">
        <v>3.436583457683996</v>
      </c>
      <c r="AA5" s="42" t="n">
        <v>20.50721218552739</v>
      </c>
      <c r="AB5" s="42" t="n">
        <v>2.580411954170761</v>
      </c>
      <c r="AC5" s="42" t="n">
        <v>3.915199596123737</v>
      </c>
      <c r="AD5" s="42" t="n">
        <v>22.15223868630722</v>
      </c>
      <c r="AE5" s="42" t="n">
        <v>15.18407586897334</v>
      </c>
      <c r="AF5" s="35" t="n">
        <v>0.1767405837200467</v>
      </c>
      <c r="AG5" s="35" t="n">
        <v>0.1258294852964872</v>
      </c>
      <c r="AH5" s="35" t="n">
        <v>0.3593763458086576</v>
      </c>
      <c r="AI5" s="24" t="inlineStr">
        <is>
          <t>OK</t>
        </is>
      </c>
    </row>
    <row r="6" ht="24" customHeight="1">
      <c r="A6" s="29" t="inlineStr">
        <is>
          <t>duksan</t>
        </is>
      </c>
      <c r="B6" s="29" t="inlineStr">
        <is>
          <t>덕산테코피아</t>
        </is>
      </c>
      <c r="C6" s="29" t="inlineStr">
        <is>
          <t>317330</t>
        </is>
      </c>
      <c r="D6" s="29" t="inlineStr">
        <is>
          <t>KOSDAQ</t>
        </is>
      </c>
      <c r="E6" s="29" t="b">
        <v>0</v>
      </c>
      <c r="F6" s="29" t="inlineStr">
        <is>
          <t>2025</t>
        </is>
      </c>
      <c r="G6" s="29" t="inlineStr">
        <is>
          <t>20200.0</t>
        </is>
      </c>
      <c r="H6" s="29" t="inlineStr">
        <is>
          <t>20476584.0</t>
        </is>
      </c>
      <c r="I6" s="31" t="n">
        <v>413626996800</v>
      </c>
      <c r="J6" s="29" t="inlineStr">
        <is>
          <t>112078954483.0</t>
        </is>
      </c>
      <c r="K6" s="29" t="inlineStr">
        <is>
          <t>-43026410473.0</t>
        </is>
      </c>
      <c r="L6" s="29" t="inlineStr">
        <is>
          <t>-105550462258.0</t>
        </is>
      </c>
      <c r="M6" s="29" t="inlineStr">
        <is>
          <t>646705781509.0</t>
        </is>
      </c>
      <c r="N6" s="29" t="inlineStr">
        <is>
          <t>540230144773.0</t>
        </is>
      </c>
      <c r="O6" s="29" t="inlineStr">
        <is>
          <t>106475636736.0</t>
        </is>
      </c>
      <c r="P6" s="29" t="inlineStr">
        <is>
          <t>-21599848348.0</t>
        </is>
      </c>
      <c r="Q6" s="29" t="inlineStr">
        <is>
          <t>-0.19271993076341767</t>
        </is>
      </c>
      <c r="R6" s="29" t="inlineStr">
        <is>
          <t>0.010505252626313188</t>
        </is>
      </c>
      <c r="S6" s="29" t="inlineStr">
        <is>
          <t>0.7380070682204231</t>
        </is>
      </c>
      <c r="T6" s="29" t="inlineStr">
        <is>
          <t>-0.7666123778501629</t>
        </is>
      </c>
      <c r="U6" s="29" t="inlineStr">
        <is>
          <t>31250.0</t>
        </is>
      </c>
      <c r="V6" s="29" t="inlineStr">
        <is>
          <t>14330.0</t>
        </is>
      </c>
      <c r="W6" s="29" t="inlineStr">
        <is>
          <t>OK</t>
        </is>
      </c>
      <c r="X6" s="29" t="inlineStr">
        <is>
          <t>yfinance price rows for 317330.KQ: 728 | price provider selected: yfinance, rows=728 | DART corp_code resolved from cache for 덕산테코피아/317330.</t>
        </is>
      </c>
      <c r="Y6" s="31" t="n">
        <v>953857141573</v>
      </c>
      <c r="Z6" s="43" t="n">
        <v>3.690496567424158</v>
      </c>
      <c r="AA6" s="43" t="n">
        <v>-3.918760637816628</v>
      </c>
      <c r="AB6" s="43" t="n">
        <v>3.88471024433095</v>
      </c>
      <c r="AC6" s="43" t="n">
        <v>8.510582080043225</v>
      </c>
      <c r="AD6" s="43" t="n">
        <v>-22.16910802195702</v>
      </c>
      <c r="AE6" s="43" t="n">
        <v>-19.14953244744883</v>
      </c>
      <c r="AF6" s="36" t="n">
        <v>-0.3838937530375178</v>
      </c>
      <c r="AG6" s="36" t="n">
        <v>-0.9913109279609765</v>
      </c>
      <c r="AH6" s="36" t="n">
        <v>5.073744204155064</v>
      </c>
      <c r="AI6" s="29" t="inlineStr">
        <is>
          <t>OK</t>
        </is>
      </c>
    </row>
    <row r="7" ht="24" customHeight="1">
      <c r="A7" s="24" t="inlineStr">
        <is>
          <t>ltc</t>
        </is>
      </c>
      <c r="B7" s="24" t="inlineStr">
        <is>
          <t>엘티씨</t>
        </is>
      </c>
      <c r="C7" s="24" t="inlineStr">
        <is>
          <t>170920</t>
        </is>
      </c>
      <c r="D7" s="24" t="inlineStr">
        <is>
          <t>KOSDAQ</t>
        </is>
      </c>
      <c r="E7" s="24" t="b">
        <v>0</v>
      </c>
      <c r="F7" s="24" t="inlineStr">
        <is>
          <t>2025</t>
        </is>
      </c>
      <c r="G7" s="24" t="inlineStr">
        <is>
          <t>41000.0</t>
        </is>
      </c>
      <c r="H7" s="24" t="inlineStr">
        <is>
          <t>10564126.0</t>
        </is>
      </c>
      <c r="I7" s="30" t="n">
        <v>433129166000</v>
      </c>
      <c r="J7" s="24" t="inlineStr">
        <is>
          <t>310384726014.0</t>
        </is>
      </c>
      <c r="K7" s="24" t="inlineStr">
        <is>
          <t>29629435023.0</t>
        </is>
      </c>
      <c r="L7" s="24" t="inlineStr">
        <is>
          <t>18189648458.0</t>
        </is>
      </c>
      <c r="M7" s="24" t="inlineStr">
        <is>
          <t>383387868522.0</t>
        </is>
      </c>
      <c r="N7" s="24" t="inlineStr">
        <is>
          <t>159648759353.0</t>
        </is>
      </c>
      <c r="O7" s="24" t="inlineStr">
        <is>
          <t>223739109169.0</t>
        </is>
      </c>
      <c r="P7" s="24" t="inlineStr">
        <is>
          <t>24709885929.0</t>
        </is>
      </c>
      <c r="Q7" s="24" t="inlineStr">
        <is>
          <t>0.07961050869457234</t>
        </is>
      </c>
      <c r="R7" s="24" t="inlineStr">
        <is>
          <t>2.6059806508355323</t>
        </is>
      </c>
      <c r="S7" s="24" t="inlineStr">
        <is>
          <t>0.6759192143331165</t>
        </is>
      </c>
      <c r="T7" s="24" t="inlineStr">
        <is>
          <t>-0.5848765432098766</t>
        </is>
      </c>
      <c r="U7" s="24" t="inlineStr">
        <is>
          <t>49650.0</t>
        </is>
      </c>
      <c r="V7" s="24" t="inlineStr">
        <is>
          <t>9260.0</t>
        </is>
      </c>
      <c r="W7" s="24" t="inlineStr">
        <is>
          <t>OK</t>
        </is>
      </c>
      <c r="X7" s="24" t="inlineStr">
        <is>
          <t>yfinance price rows for 170920.KQ: 727 | price provider selected: yfinance, rows=727 | DART corp_code resolved from cache for 엘티씨/170920.</t>
        </is>
      </c>
      <c r="Y7" s="30" t="n">
        <v>592777925353</v>
      </c>
      <c r="Z7" s="42" t="n">
        <v>1.395459021332331</v>
      </c>
      <c r="AA7" s="42" t="n">
        <v>23.81184919544199</v>
      </c>
      <c r="AB7" s="42" t="n">
        <v>1.935867035533955</v>
      </c>
      <c r="AC7" s="42" t="n">
        <v>1.909816674826527</v>
      </c>
      <c r="AD7" s="42" t="n">
        <v>20.00638638208434</v>
      </c>
      <c r="AE7" s="42" t="n">
        <v>17.52857812636323</v>
      </c>
      <c r="AF7" s="35" t="n">
        <v>0.09546035142742029</v>
      </c>
      <c r="AG7" s="35" t="n">
        <v>0.08129847537857388</v>
      </c>
      <c r="AH7" s="35" t="n">
        <v>0.7135487396278595</v>
      </c>
      <c r="AI7" s="24" t="inlineStr">
        <is>
          <t>OK</t>
        </is>
      </c>
    </row>
  </sheetData>
  <autoFilter ref="A2:AI7"/>
  <mergeCells count="1">
    <mergeCell ref="A1:F1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ML 보조판단 요인</t>
        </is>
      </c>
    </row>
    <row r="2" ht="24" customHeight="1">
      <c r="A2" s="25" t="inlineStr">
        <is>
          <t>요인</t>
        </is>
      </c>
      <c r="B2" s="25" t="inlineStr">
        <is>
          <t>요인 코드</t>
        </is>
      </c>
      <c r="C2" s="25" t="inlineStr">
        <is>
          <t>점수</t>
        </is>
      </c>
      <c r="D2" s="25" t="inlineStr">
        <is>
          <t>해석</t>
        </is>
      </c>
    </row>
    <row r="3" ht="24" customHeight="1">
      <c r="A3" s="24" t="inlineStr">
        <is>
          <t>영업이익률 peer percentile</t>
        </is>
      </c>
      <c r="B3" s="24" t="inlineStr">
        <is>
          <t>operating_margin_percentile</t>
        </is>
      </c>
      <c r="C3" s="30" t="n">
        <v>80</v>
      </c>
      <c r="D3" s="24" t="inlineStr">
        <is>
          <t>높을수록 우수</t>
        </is>
      </c>
    </row>
    <row r="4" ht="24" customHeight="1">
      <c r="A4" s="29" t="inlineStr">
        <is>
          <t>ROE peer percentile</t>
        </is>
      </c>
      <c r="B4" s="29" t="inlineStr">
        <is>
          <t>roe_percentile</t>
        </is>
      </c>
      <c r="C4" s="29" t="inlineStr">
        <is>
          <t>해당 없음</t>
        </is>
      </c>
      <c r="D4" s="29" t="inlineStr">
        <is>
          <t>높을수록 우수</t>
        </is>
      </c>
    </row>
    <row r="5" ht="24" customHeight="1">
      <c r="A5" s="24" t="inlineStr">
        <is>
          <t>FCF margin peer percentile</t>
        </is>
      </c>
      <c r="B5" s="24" t="inlineStr">
        <is>
          <t>fcf_margin_percentile</t>
        </is>
      </c>
      <c r="C5" s="30" t="n">
        <v>40</v>
      </c>
      <c r="D5" s="24" t="inlineStr">
        <is>
          <t>높을수록 우수</t>
        </is>
      </c>
    </row>
    <row r="6" ht="24" customHeight="1">
      <c r="A6" s="29" t="inlineStr">
        <is>
          <t>부채비율 안정성</t>
        </is>
      </c>
      <c r="B6" s="29" t="inlineStr">
        <is>
          <t>debt_ratio_inverse_percentile</t>
        </is>
      </c>
      <c r="C6" s="31" t="n">
        <v>80</v>
      </c>
      <c r="D6" s="29" t="inlineStr">
        <is>
          <t>낮을수록 우수</t>
        </is>
      </c>
    </row>
    <row r="7" ht="24" customHeight="1">
      <c r="A7" s="24" t="inlineStr">
        <is>
          <t>PSR 상대 매력도</t>
        </is>
      </c>
      <c r="B7" s="24" t="inlineStr">
        <is>
          <t>psr_inverse_percentile</t>
        </is>
      </c>
      <c r="C7" s="30" t="n">
        <v>100</v>
      </c>
      <c r="D7" s="24" t="inlineStr">
        <is>
          <t>낮은 PSR일수록 상대가치 부담이 낮음</t>
        </is>
      </c>
    </row>
    <row r="8" ht="24" customHeight="1">
      <c r="A8" s="29" t="inlineStr">
        <is>
          <t>변동성 안정성</t>
        </is>
      </c>
      <c r="B8" s="29" t="inlineStr">
        <is>
          <t>volatility_inverse_score</t>
        </is>
      </c>
      <c r="C8" s="31" t="n">
        <v>12.22501141754879</v>
      </c>
      <c r="D8" s="29" t="inlineStr">
        <is>
          <t>낮을수록 우수</t>
        </is>
      </c>
    </row>
    <row r="9" ht="24" customHeight="1">
      <c r="A9" s="24" t="inlineStr">
        <is>
          <t>MDD 방어력</t>
        </is>
      </c>
      <c r="B9" s="24" t="inlineStr">
        <is>
          <t>mdd_resilience_score</t>
        </is>
      </c>
      <c r="C9" s="30" t="n">
        <v>19.33678756476684</v>
      </c>
      <c r="D9" s="24" t="inlineStr">
        <is>
          <t>낙폭이 작을수록 우수</t>
        </is>
      </c>
    </row>
    <row r="10" ht="24" customHeight="1">
      <c r="A10" s="29" t="inlineStr">
        <is>
          <t>208개 반도체 valuation proxy percentile</t>
        </is>
      </c>
      <c r="B10" s="29" t="inlineStr">
        <is>
          <t>reference_208_valuation_proxy_percentile</t>
        </is>
      </c>
      <c r="C10" s="31" t="n">
        <v>57.69</v>
      </c>
      <c r="D10" s="29" t="inlineStr">
        <is>
          <t>높을수록 universe 내 가치평가 proxy 우호</t>
        </is>
      </c>
    </row>
    <row r="11" ht="24" customHeight="1">
      <c r="A11" s="24" t="inlineStr">
        <is>
          <t>208개 반도체 credit risk inverse percentile</t>
        </is>
      </c>
      <c r="B11" s="24" t="inlineStr">
        <is>
          <t>reference_208_credit_risk_inverse_percentile</t>
        </is>
      </c>
      <c r="C11" s="30" t="n">
        <v>100</v>
      </c>
      <c r="D11" s="24" t="inlineStr">
        <is>
          <t>낮은 신용위험 proxy일수록 우수</t>
        </is>
      </c>
    </row>
    <row r="12" ht="24" customHeight="1">
      <c r="A12" s="29" t="inlineStr">
        <is>
          <t>208개 universe confidence</t>
        </is>
      </c>
      <c r="B12" s="29" t="inlineStr">
        <is>
          <t>reference_208_confidence_score</t>
        </is>
      </c>
      <c r="C12" s="31" t="n">
        <v>84.41566328703725</v>
      </c>
      <c r="D12" s="29" t="inlineStr">
        <is>
          <t>높을수록 보조판단 신뢰도 우수</t>
        </is>
      </c>
    </row>
    <row r="13" ht="24" customHeight="1"/>
    <row r="14" ht="24" customHeight="1"/>
    <row r="15" ht="24" customHeight="1">
      <c r="A15" s="22" t="inlineStr">
        <is>
          <t>ML 보조판단 요약</t>
        </is>
      </c>
    </row>
    <row r="16" ht="24" customHeight="1">
      <c r="A16" s="25" t="inlineStr">
        <is>
          <t>항목</t>
        </is>
      </c>
      <c r="B16" s="25" t="inlineStr">
        <is>
          <t>값</t>
        </is>
      </c>
    </row>
    <row r="17" ht="24" customHeight="1">
      <c r="A17" s="24" t="inlineStr">
        <is>
          <t>방법</t>
        </is>
      </c>
      <c r="B17" s="24" t="inlineStr">
        <is>
          <t>실시간 DART·주가 기반 PSR/Peer + 208개 반도체 reference universe 보조판단</t>
        </is>
      </c>
    </row>
    <row r="18" ht="24" customHeight="1">
      <c r="A18" s="29" t="inlineStr">
        <is>
          <t>종합점수</t>
        </is>
      </c>
      <c r="B18" s="31" t="n">
        <v>63.17</v>
      </c>
    </row>
    <row r="19" ht="24" customHeight="1">
      <c r="A19" s="24" t="inlineStr">
        <is>
          <t>라벨</t>
        </is>
      </c>
      <c r="B19" s="24" t="inlineStr">
        <is>
          <t>가치평가 보조근거 중립</t>
        </is>
      </c>
    </row>
    <row r="20" ht="24" customHeight="1">
      <c r="A20" s="29" t="inlineStr">
        <is>
          <t>클러스터</t>
        </is>
      </c>
      <c r="B20" s="29" t="inlineStr">
        <is>
          <t>장비</t>
        </is>
      </c>
    </row>
    <row r="21" ht="24" customHeight="1">
      <c r="A21" s="24" t="inlineStr">
        <is>
          <t>주의</t>
        </is>
      </c>
      <c r="B21" s="24" t="inlineStr">
        <is>
          <t>미래수익률 예측모델이 아니라 대시보드/Chair용 설명가능 보조 가치평가 점수입니다.</t>
        </is>
      </c>
    </row>
  </sheetData>
  <autoFilter ref="A16:B21"/>
  <mergeCells count="2">
    <mergeCell ref="A1:F1"/>
    <mergeCell ref="A15:F15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WACC × 영구성장률 민감도</t>
        </is>
      </c>
    </row>
    <row r="2" ht="24" customHeight="1">
      <c r="A2" s="25" t="inlineStr">
        <is>
          <t>WACC</t>
        </is>
      </c>
      <c r="B2" s="25" t="inlineStr">
        <is>
          <t>영구성장률</t>
        </is>
      </c>
      <c r="C2" s="25" t="inlineStr">
        <is>
          <t>기업가치(EV)</t>
        </is>
      </c>
    </row>
    <row r="3" ht="24" customHeight="1">
      <c r="A3" s="35" t="n">
        <v>0.12463320508343</v>
      </c>
      <c r="B3" s="35" t="n">
        <v>0.004999999999999999</v>
      </c>
      <c r="C3" s="30" t="n">
        <v>584835976357.0509</v>
      </c>
    </row>
    <row r="4" ht="24" customHeight="1">
      <c r="A4" s="36" t="n">
        <v>0.12463320508343</v>
      </c>
      <c r="B4" s="36" t="n">
        <v>0.009999999999999998</v>
      </c>
      <c r="C4" s="31" t="n">
        <v>601510974488.9343</v>
      </c>
    </row>
    <row r="5" ht="24" customHeight="1">
      <c r="A5" s="35" t="n">
        <v>0.12463320508343</v>
      </c>
      <c r="B5" s="35" t="n">
        <v>0.015</v>
      </c>
      <c r="C5" s="30" t="n">
        <v>619706953250.6547</v>
      </c>
    </row>
    <row r="6" ht="24" customHeight="1">
      <c r="A6" s="36" t="n">
        <v>0.12463320508343</v>
      </c>
      <c r="B6" s="36" t="n">
        <v>0.02</v>
      </c>
      <c r="C6" s="31" t="n">
        <v>639641957281.3815</v>
      </c>
    </row>
    <row r="7" ht="24" customHeight="1">
      <c r="A7" s="35" t="n">
        <v>0.12463320508343</v>
      </c>
      <c r="B7" s="35" t="n">
        <v>0.025</v>
      </c>
      <c r="C7" s="30" t="n">
        <v>661577800692.316</v>
      </c>
    </row>
    <row r="8" ht="24" customHeight="1">
      <c r="A8" s="36" t="n">
        <v>0.13463320508343</v>
      </c>
      <c r="B8" s="36" t="n">
        <v>0.004999999999999999</v>
      </c>
      <c r="C8" s="31" t="n">
        <v>544831320898.0863</v>
      </c>
    </row>
    <row r="9" ht="24" customHeight="1">
      <c r="A9" s="35" t="n">
        <v>0.13463320508343</v>
      </c>
      <c r="B9" s="35" t="n">
        <v>0.009999999999999998</v>
      </c>
      <c r="C9" s="30" t="n">
        <v>558492858969.2527</v>
      </c>
    </row>
    <row r="10" ht="24" customHeight="1">
      <c r="A10" s="36" t="n">
        <v>0.13463320508343</v>
      </c>
      <c r="B10" s="36" t="n">
        <v>0.015</v>
      </c>
      <c r="C10" s="31" t="n">
        <v>573296349064.6619</v>
      </c>
    </row>
    <row r="11" ht="24" customHeight="1">
      <c r="A11" s="35" t="n">
        <v>0.13463320508343</v>
      </c>
      <c r="B11" s="35" t="n">
        <v>0.02</v>
      </c>
      <c r="C11" s="30" t="n">
        <v>589391218048.4686</v>
      </c>
    </row>
    <row r="12" ht="24" customHeight="1">
      <c r="A12" s="36" t="n">
        <v>0.13463320508343</v>
      </c>
      <c r="B12" s="36" t="n">
        <v>0.025</v>
      </c>
      <c r="C12" s="31" t="n">
        <v>606954152202.0894</v>
      </c>
    </row>
    <row r="13" ht="24" customHeight="1">
      <c r="A13" s="35" t="n">
        <v>0.13963320508343</v>
      </c>
      <c r="B13" s="35" t="n">
        <v>0.004999999999999999</v>
      </c>
      <c r="C13" s="30" t="n">
        <v>527314001410.2891</v>
      </c>
    </row>
    <row r="14" ht="24" customHeight="1">
      <c r="A14" s="36" t="n">
        <v>0.13963320508343</v>
      </c>
      <c r="B14" s="36" t="n">
        <v>0.009999999999999998</v>
      </c>
      <c r="C14" s="31" t="n">
        <v>539740327703.1887</v>
      </c>
    </row>
    <row r="15" ht="24" customHeight="1">
      <c r="A15" s="35" t="n">
        <v>0.13963320508343</v>
      </c>
      <c r="B15" s="35" t="n">
        <v>0.015</v>
      </c>
      <c r="C15" s="30" t="n">
        <v>553163685748.9493</v>
      </c>
    </row>
    <row r="16" ht="24" customHeight="1">
      <c r="A16" s="36" t="n">
        <v>0.13963320508343</v>
      </c>
      <c r="B16" s="36" t="n">
        <v>0.02</v>
      </c>
      <c r="C16" s="31" t="n">
        <v>567709086628.587</v>
      </c>
    </row>
    <row r="17" ht="24" customHeight="1">
      <c r="A17" s="35" t="n">
        <v>0.13963320508343</v>
      </c>
      <c r="B17" s="35" t="n">
        <v>0.025</v>
      </c>
      <c r="C17" s="30" t="n">
        <v>583523352046.1262</v>
      </c>
    </row>
    <row r="18" ht="24" customHeight="1">
      <c r="A18" s="36" t="n">
        <v>0.14463320508343</v>
      </c>
      <c r="B18" s="36" t="n">
        <v>0.004999999999999999</v>
      </c>
      <c r="C18" s="31" t="n">
        <v>511209412050.586</v>
      </c>
    </row>
    <row r="19" ht="24" customHeight="1">
      <c r="A19" s="35" t="n">
        <v>0.14463320508343</v>
      </c>
      <c r="B19" s="35" t="n">
        <v>0.009999999999999998</v>
      </c>
      <c r="C19" s="30" t="n">
        <v>522545555223.5782</v>
      </c>
    </row>
    <row r="20" ht="24" customHeight="1">
      <c r="A20" s="36" t="n">
        <v>0.14463320508343</v>
      </c>
      <c r="B20" s="36" t="n">
        <v>0.015</v>
      </c>
      <c r="C20" s="31" t="n">
        <v>534756176749.9907</v>
      </c>
    </row>
    <row r="21" ht="24" customHeight="1">
      <c r="A21" s="35" t="n">
        <v>0.14463320508343</v>
      </c>
      <c r="B21" s="35" t="n">
        <v>0.02</v>
      </c>
      <c r="C21" s="30" t="n">
        <v>547946522862.4985</v>
      </c>
    </row>
    <row r="22" ht="24" customHeight="1">
      <c r="A22" s="36" t="n">
        <v>0.14463320508343</v>
      </c>
      <c r="B22" s="36" t="n">
        <v>0.025</v>
      </c>
      <c r="C22" s="31" t="n">
        <v>562239434613.3096</v>
      </c>
    </row>
    <row r="23" ht="24" customHeight="1">
      <c r="A23" s="35" t="n">
        <v>0.15463320508343</v>
      </c>
      <c r="B23" s="35" t="n">
        <v>0.004999999999999999</v>
      </c>
      <c r="C23" s="30" t="n">
        <v>482654276932.1899</v>
      </c>
    </row>
    <row r="24" ht="24" customHeight="1">
      <c r="A24" s="36" t="n">
        <v>0.15463320508343</v>
      </c>
      <c r="B24" s="36" t="n">
        <v>0.009999999999999998</v>
      </c>
      <c r="C24" s="31" t="n">
        <v>492164690766.6656</v>
      </c>
    </row>
    <row r="25" ht="24" customHeight="1">
      <c r="A25" s="35" t="n">
        <v>0.15463320508343</v>
      </c>
      <c r="B25" s="35" t="n">
        <v>0.015</v>
      </c>
      <c r="C25" s="30" t="n">
        <v>502356204331.5953</v>
      </c>
    </row>
    <row r="26" ht="24" customHeight="1">
      <c r="A26" s="36" t="n">
        <v>0.15463320508343</v>
      </c>
      <c r="B26" s="36" t="n">
        <v>0.02</v>
      </c>
      <c r="C26" s="31" t="n">
        <v>513304701551.383</v>
      </c>
    </row>
    <row r="27" ht="24" customHeight="1">
      <c r="A27" s="35" t="n">
        <v>0.15463320508343</v>
      </c>
      <c r="B27" s="35" t="n">
        <v>0.025</v>
      </c>
      <c r="C27" s="30" t="n">
        <v>525097773832.9954</v>
      </c>
    </row>
  </sheetData>
  <autoFilter ref="A2:C27"/>
  <mergeCells count="1">
    <mergeCell ref="A1:F1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검증 체크</t>
        </is>
      </c>
    </row>
    <row r="2" ht="24" customHeight="1">
      <c r="A2" s="25" t="inlineStr">
        <is>
          <t>중요도</t>
        </is>
      </c>
      <c r="B2" s="25" t="inlineStr">
        <is>
          <t>코드</t>
        </is>
      </c>
      <c r="C2" s="25" t="inlineStr">
        <is>
          <t>메시지</t>
        </is>
      </c>
    </row>
    <row r="3" ht="24" customHeight="1">
      <c r="A3" s="24" t="inlineStr">
        <is>
          <t>INFO</t>
        </is>
      </c>
      <c r="B3" s="24" t="inlineStr">
        <is>
          <t>NO_MAJOR_WARNINGS</t>
        </is>
      </c>
      <c r="C3" s="24" t="inlineStr">
        <is>
          <t>주요 validation warning 없음</t>
        </is>
      </c>
    </row>
  </sheetData>
  <autoFilter ref="A2:C3"/>
  <mergeCells count="1">
    <mergeCell ref="A1:F1"/>
  </mergeCells>
  <pageMargins left="0.75" right="0.75" top="1" bottom="1" header="0.5" footer="0.5"/>
  <pageSetup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20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대시보드 JSON 내보내기</t>
        </is>
      </c>
    </row>
    <row r="2" ht="24" customHeight="1">
      <c r="A2" s="25" t="inlineStr">
        <is>
          <t>구분</t>
        </is>
      </c>
      <c r="B2" s="25" t="inlineStr">
        <is>
          <t>항목</t>
        </is>
      </c>
      <c r="C2" s="25" t="inlineStr">
        <is>
          <t>값</t>
        </is>
      </c>
      <c r="D2" s="25" t="inlineStr">
        <is>
          <t>설명</t>
        </is>
      </c>
    </row>
    <row r="3" ht="24" customHeight="1">
      <c r="A3" s="24" t="inlineStr">
        <is>
          <t>agent</t>
        </is>
      </c>
      <c r="B3" s="24" t="inlineStr">
        <is>
          <t>값</t>
        </is>
      </c>
      <c r="C3" s="24" t="inlineStr">
        <is>
          <t>valuation</t>
        </is>
      </c>
      <c r="D3" s="24" t="inlineStr">
        <is>
          <t>대시보드 기본값</t>
        </is>
      </c>
    </row>
    <row r="4" ht="24" customHeight="1">
      <c r="A4" s="29" t="inlineStr">
        <is>
          <t>기업코드</t>
        </is>
      </c>
      <c r="B4" s="29" t="inlineStr">
        <is>
          <t>값</t>
        </is>
      </c>
      <c r="C4" s="29" t="inlineStr">
        <is>
          <t>psk</t>
        </is>
      </c>
      <c r="D4" s="29" t="inlineStr">
        <is>
          <t>대시보드 기본값</t>
        </is>
      </c>
    </row>
    <row r="5" ht="24" customHeight="1">
      <c r="A5" s="24" t="inlineStr">
        <is>
          <t>기업명</t>
        </is>
      </c>
      <c r="B5" s="24" t="inlineStr">
        <is>
          <t>값</t>
        </is>
      </c>
      <c r="C5" s="24" t="inlineStr">
        <is>
          <t>피에스케이</t>
        </is>
      </c>
      <c r="D5" s="24" t="inlineStr">
        <is>
          <t>대시보드 기본값</t>
        </is>
      </c>
    </row>
    <row r="6" ht="24" customHeight="1">
      <c r="A6" s="29" t="inlineStr">
        <is>
          <t>상태</t>
        </is>
      </c>
      <c r="B6" s="29" t="inlineStr">
        <is>
          <t>값</t>
        </is>
      </c>
      <c r="C6" s="29" t="inlineStr">
        <is>
          <t>PASS</t>
        </is>
      </c>
      <c r="D6" s="29" t="inlineStr">
        <is>
          <t>대시보드 기본값</t>
        </is>
      </c>
    </row>
    <row r="7" ht="24" customHeight="1">
      <c r="A7" s="24" t="inlineStr">
        <is>
          <t>korean_label</t>
        </is>
      </c>
      <c r="B7" s="24" t="inlineStr">
        <is>
          <t>값</t>
        </is>
      </c>
      <c r="C7" s="24" t="inlineStr">
        <is>
          <t>독립 가치평가 에이전트</t>
        </is>
      </c>
      <c r="D7" s="24" t="inlineStr">
        <is>
          <t>대시보드 기본값</t>
        </is>
      </c>
    </row>
    <row r="8" ht="24" customHeight="1">
      <c r="A8" s="29" t="inlineStr">
        <is>
          <t>요약 카드</t>
        </is>
      </c>
      <c r="B8" s="29" t="inlineStr">
        <is>
          <t>상위 블록</t>
        </is>
      </c>
      <c r="C8" s="29" t="inlineStr">
        <is>
          <t>31개 항목</t>
        </is>
      </c>
      <c r="D8" s="29" t="inlineStr">
        <is>
          <t>대시보드에서 객체로 사용</t>
        </is>
      </c>
    </row>
    <row r="9" ht="24" customHeight="1">
      <c r="A9" s="24" t="inlineStr">
        <is>
          <t>요약 카드</t>
        </is>
      </c>
      <c r="B9" s="24" t="inlineStr">
        <is>
          <t>WACC</t>
        </is>
      </c>
      <c r="C9" s="24" t="inlineStr">
        <is>
          <t>WACC</t>
        </is>
      </c>
      <c r="D9" s="24" t="inlineStr">
        <is>
          <t>JSON 상세는 dashboard_payload 파일 참조</t>
        </is>
      </c>
    </row>
    <row r="10" ht="24" customHeight="1">
      <c r="A10" s="29" t="inlineStr">
        <is>
          <t>요약 카드</t>
        </is>
      </c>
      <c r="B10" s="29" t="inlineStr">
        <is>
          <t>기업가치(EV)</t>
        </is>
      </c>
      <c r="C10" s="29" t="inlineStr">
        <is>
          <t>DCF 기업가치</t>
        </is>
      </c>
      <c r="D10" s="29" t="inlineStr">
        <is>
          <t>JSON 상세는 dashboard_payload 파일 참조</t>
        </is>
      </c>
    </row>
    <row r="11" ht="24" customHeight="1">
      <c r="A11" s="24" t="inlineStr">
        <is>
          <t>요약 카드</t>
        </is>
      </c>
      <c r="B11" s="24" t="inlineStr">
        <is>
          <t>equity_value</t>
        </is>
      </c>
      <c r="C11" s="24" t="inlineStr">
        <is>
          <t>DCF 지분가치</t>
        </is>
      </c>
      <c r="D11" s="24" t="inlineStr">
        <is>
          <t>JSON 상세는 dashboard_payload 파일 참조</t>
        </is>
      </c>
    </row>
    <row r="12" ht="24" customHeight="1">
      <c r="A12" s="29" t="inlineStr">
        <is>
          <t>요약 카드</t>
        </is>
      </c>
      <c r="B12" s="29" t="inlineStr">
        <is>
          <t>latest_close</t>
        </is>
      </c>
      <c r="C12" s="29" t="inlineStr">
        <is>
          <t>현재가</t>
        </is>
      </c>
      <c r="D12" s="29" t="inlineStr">
        <is>
          <t>JSON 상세는 dashboard_payload 파일 참조</t>
        </is>
      </c>
    </row>
    <row r="13" ht="24" customHeight="1">
      <c r="A13" s="24" t="inlineStr">
        <is>
          <t>요약 카드</t>
        </is>
      </c>
      <c r="B13" s="24" t="inlineStr">
        <is>
          <t>implied_price</t>
        </is>
      </c>
      <c r="C13" s="24" t="inlineStr">
        <is>
          <t>DCF 내재주가</t>
        </is>
      </c>
      <c r="D13" s="24" t="inlineStr">
        <is>
          <t>JSON 상세는 dashboard_payload 파일 참조</t>
        </is>
      </c>
    </row>
    <row r="14" ht="24" customHeight="1">
      <c r="A14" s="29" t="inlineStr">
        <is>
          <t>요약 카드</t>
        </is>
      </c>
      <c r="B14" s="29" t="inlineStr">
        <is>
          <t>현재가 대비</t>
        </is>
      </c>
      <c r="C14" s="29" t="inlineStr">
        <is>
          <t>현재가 대비 괴리율</t>
        </is>
      </c>
      <c r="D14" s="29" t="inlineStr">
        <is>
          <t>JSON 상세는 dashboard_payload 파일 참조</t>
        </is>
      </c>
    </row>
    <row r="15" ht="24" customHeight="1">
      <c r="A15" s="24" t="inlineStr">
        <is>
          <t>요약 카드</t>
        </is>
      </c>
      <c r="B15" s="24" t="inlineStr">
        <is>
          <t>분석대상 P/S</t>
        </is>
      </c>
      <c r="C15" s="24" t="inlineStr">
        <is>
          <t>P/S</t>
        </is>
      </c>
      <c r="D15" s="24" t="inlineStr">
        <is>
          <t>JSON 상세는 dashboard_payload 파일 참조</t>
        </is>
      </c>
    </row>
    <row r="16" ht="24" customHeight="1">
      <c r="A16" s="29" t="inlineStr">
        <is>
          <t>요약 카드</t>
        </is>
      </c>
      <c r="B16" s="29" t="inlineStr">
        <is>
          <t>Peer P/S 중앙값</t>
        </is>
      </c>
      <c r="C16" s="29" t="inlineStr">
        <is>
          <t>비교기업 P/S 중앙값</t>
        </is>
      </c>
      <c r="D16" s="29" t="inlineStr">
        <is>
          <t>JSON 상세는 dashboard_payload 파일 참조</t>
        </is>
      </c>
    </row>
    <row r="17" ht="24" customHeight="1">
      <c r="A17" s="24" t="inlineStr">
        <is>
          <t>요약 카드</t>
        </is>
      </c>
      <c r="B17" s="24" t="inlineStr">
        <is>
          <t>psr_gap</t>
        </is>
      </c>
      <c r="C17" s="24" t="inlineStr">
        <is>
          <t>P/S 중앙값 대비</t>
        </is>
      </c>
      <c r="D17" s="24" t="inlineStr">
        <is>
          <t>JSON 상세는 dashboard_payload 파일 참조</t>
        </is>
      </c>
    </row>
    <row r="18" ht="24" customHeight="1">
      <c r="A18" s="29" t="inlineStr">
        <is>
          <t>요약 카드</t>
        </is>
      </c>
      <c r="B18" s="29" t="inlineStr">
        <is>
          <t>reference_rows</t>
        </is>
      </c>
      <c r="C18" s="29" t="inlineStr">
        <is>
          <t>208개 반도체 비교군</t>
        </is>
      </c>
      <c r="D18" s="29" t="inlineStr">
        <is>
          <t>JSON 상세는 dashboard_payload 파일 참조</t>
        </is>
      </c>
    </row>
    <row r="19" ht="24" customHeight="1">
      <c r="A19" s="24" t="inlineStr">
        <is>
          <t>요약 카드</t>
        </is>
      </c>
      <c r="B19" s="24" t="inlineStr">
        <is>
          <t>reference_peer_group</t>
        </is>
      </c>
      <c r="C19" s="24" t="inlineStr">
        <is>
          <t>기준 비교군 그룹</t>
        </is>
      </c>
      <c r="D19" s="24" t="inlineStr">
        <is>
          <t>JSON 상세는 dashboard_payload 파일 참조</t>
        </is>
      </c>
    </row>
    <row r="20" ht="24" customHeight="1">
      <c r="A20" s="29" t="inlineStr">
        <is>
          <t>요약 카드</t>
        </is>
      </c>
      <c r="B20" s="29" t="inlineStr">
        <is>
          <t>1년 수익률</t>
        </is>
      </c>
      <c r="C20" s="29" t="inlineStr">
        <is>
          <t>1년 수익률</t>
        </is>
      </c>
      <c r="D20" s="29" t="inlineStr">
        <is>
          <t>JSON 상세는 dashboard_payload 파일 참조</t>
        </is>
      </c>
    </row>
    <row r="21" ht="24" customHeight="1">
      <c r="A21" s="24" t="inlineStr">
        <is>
          <t>요약 카드</t>
        </is>
      </c>
      <c r="B21" s="24" t="inlineStr">
        <is>
          <t>MDD</t>
        </is>
      </c>
      <c r="C21" s="24" t="inlineStr">
        <is>
          <t>MDD</t>
        </is>
      </c>
      <c r="D21" s="24" t="inlineStr">
        <is>
          <t>JSON 상세는 dashboard_payload 파일 참조</t>
        </is>
      </c>
    </row>
    <row r="22" ht="24" customHeight="1">
      <c r="A22" s="29" t="inlineStr">
        <is>
          <t>요약 카드</t>
        </is>
      </c>
      <c r="B22" s="29" t="inlineStr">
        <is>
          <t>volatility</t>
        </is>
      </c>
      <c r="C22" s="29" t="inlineStr">
        <is>
          <t>연환산 변동성</t>
        </is>
      </c>
      <c r="D22" s="29" t="inlineStr">
        <is>
          <t>JSON 상세는 dashboard_payload 파일 참조</t>
        </is>
      </c>
    </row>
    <row r="23" ht="24" customHeight="1">
      <c r="A23" s="24" t="inlineStr">
        <is>
          <t>요약 카드</t>
        </is>
      </c>
      <c r="B23" s="24" t="inlineStr">
        <is>
          <t>시가총액</t>
        </is>
      </c>
      <c r="C23" s="24" t="inlineStr">
        <is>
          <t>시가총액</t>
        </is>
      </c>
      <c r="D23" s="24" t="inlineStr">
        <is>
          <t>JSON 상세는 dashboard_payload 파일 참조</t>
        </is>
      </c>
    </row>
    <row r="24" ht="24" customHeight="1">
      <c r="A24" s="29" t="inlineStr">
        <is>
          <t>요약 카드</t>
        </is>
      </c>
      <c r="B24" s="29" t="inlineStr">
        <is>
          <t>발행주식 수</t>
        </is>
      </c>
      <c r="C24" s="29" t="inlineStr">
        <is>
          <t>발행주식 수</t>
        </is>
      </c>
      <c r="D24" s="29" t="inlineStr">
        <is>
          <t>JSON 상세는 dashboard_payload 파일 참조</t>
        </is>
      </c>
    </row>
    <row r="25" ht="24" customHeight="1">
      <c r="A25" s="24" t="inlineStr">
        <is>
          <t>요약 카드</t>
        </is>
      </c>
      <c r="B25" s="24" t="inlineStr">
        <is>
          <t>20일 평균 거래대금</t>
        </is>
      </c>
      <c r="C25" s="24" t="inlineStr">
        <is>
          <t>20일 평균 거래대금</t>
        </is>
      </c>
      <c r="D25" s="24" t="inlineStr">
        <is>
          <t>JSON 상세는 dashboard_payload 파일 참조</t>
        </is>
      </c>
    </row>
    <row r="26" ht="24" customHeight="1">
      <c r="A26" s="29" t="inlineStr">
        <is>
          <t>요약 카드</t>
        </is>
      </c>
      <c r="B26" s="29" t="inlineStr">
        <is>
          <t>최근 거래회전율</t>
        </is>
      </c>
      <c r="C26" s="29" t="inlineStr">
        <is>
          <t>최근 거래회전율</t>
        </is>
      </c>
      <c r="D26" s="29" t="inlineStr">
        <is>
          <t>JSON 상세는 dashboard_payload 파일 참조</t>
        </is>
      </c>
    </row>
    <row r="27" ht="24" customHeight="1">
      <c r="A27" s="24" t="inlineStr">
        <is>
          <t>latest_financials</t>
        </is>
      </c>
      <c r="B27" s="24" t="inlineStr">
        <is>
          <t>상위 블록</t>
        </is>
      </c>
      <c r="C27" s="24" t="inlineStr">
        <is>
          <t>36개 항목</t>
        </is>
      </c>
      <c r="D27" s="24" t="inlineStr">
        <is>
          <t>대시보드에서 객체로 사용</t>
        </is>
      </c>
    </row>
    <row r="28" ht="24" customHeight="1">
      <c r="A28" s="29" t="inlineStr">
        <is>
          <t>latest_financials</t>
        </is>
      </c>
      <c r="B28" s="29" t="inlineStr">
        <is>
          <t>연도</t>
        </is>
      </c>
      <c r="C28" s="31" t="n">
        <v>2025</v>
      </c>
      <c r="D28" s="29" t="inlineStr">
        <is>
          <t>JSON 상세는 dashboard_payload 파일 참조</t>
        </is>
      </c>
    </row>
    <row r="29" ht="24" customHeight="1">
      <c r="A29" s="24" t="inlineStr">
        <is>
          <t>latest_financials</t>
        </is>
      </c>
      <c r="B29" s="24" t="inlineStr">
        <is>
          <t>매출액</t>
        </is>
      </c>
      <c r="C29" s="30" t="n">
        <v>457213151918</v>
      </c>
      <c r="D29" s="24" t="inlineStr">
        <is>
          <t>JSON 상세는 dashboard_payload 파일 참조</t>
        </is>
      </c>
    </row>
    <row r="30" ht="24" customHeight="1">
      <c r="A30" s="29" t="inlineStr">
        <is>
          <t>latest_financials</t>
        </is>
      </c>
      <c r="B30" s="29" t="inlineStr">
        <is>
          <t>영업이익</t>
        </is>
      </c>
      <c r="C30" s="31" t="n">
        <v>88494057075</v>
      </c>
      <c r="D30" s="29" t="inlineStr">
        <is>
          <t>JSON 상세는 dashboard_payload 파일 참조</t>
        </is>
      </c>
    </row>
    <row r="31" ht="24" customHeight="1">
      <c r="A31" s="24" t="inlineStr">
        <is>
          <t>latest_financials</t>
        </is>
      </c>
      <c r="B31" s="24" t="inlineStr">
        <is>
          <t>순이익</t>
        </is>
      </c>
      <c r="C31" s="24" t="inlineStr">
        <is>
          <t>해당 없음</t>
        </is>
      </c>
      <c r="D31" s="24" t="inlineStr">
        <is>
          <t>JSON 상세는 dashboard_payload 파일 참조</t>
        </is>
      </c>
    </row>
    <row r="32" ht="24" customHeight="1">
      <c r="A32" s="29" t="inlineStr">
        <is>
          <t>latest_financials</t>
        </is>
      </c>
      <c r="B32" s="29" t="inlineStr">
        <is>
          <t>자산총계</t>
        </is>
      </c>
      <c r="C32" s="31" t="n">
        <v>645998217783</v>
      </c>
      <c r="D32" s="29" t="inlineStr">
        <is>
          <t>JSON 상세는 dashboard_payload 파일 참조</t>
        </is>
      </c>
    </row>
    <row r="33" ht="24" customHeight="1">
      <c r="A33" s="24" t="inlineStr">
        <is>
          <t>latest_financials</t>
        </is>
      </c>
      <c r="B33" s="24" t="inlineStr">
        <is>
          <t>부채총계</t>
        </is>
      </c>
      <c r="C33" s="30" t="n">
        <v>106961955599</v>
      </c>
      <c r="D33" s="24" t="inlineStr">
        <is>
          <t>JSON 상세는 dashboard_payload 파일 참조</t>
        </is>
      </c>
    </row>
    <row r="34" ht="24" customHeight="1">
      <c r="A34" s="29" t="inlineStr">
        <is>
          <t>latest_financials</t>
        </is>
      </c>
      <c r="B34" s="29" t="inlineStr">
        <is>
          <t>자본총계</t>
        </is>
      </c>
      <c r="C34" s="31" t="n">
        <v>539036262184</v>
      </c>
      <c r="D34" s="29" t="inlineStr">
        <is>
          <t>JSON 상세는 dashboard_payload 파일 참조</t>
        </is>
      </c>
    </row>
    <row r="35" ht="24" customHeight="1">
      <c r="A35" s="24" t="inlineStr">
        <is>
          <t>latest_financials</t>
        </is>
      </c>
      <c r="B35" s="24" t="inlineStr">
        <is>
          <t>현금성자산</t>
        </is>
      </c>
      <c r="C35" s="30" t="n">
        <v>119421667338</v>
      </c>
      <c r="D35" s="24" t="inlineStr">
        <is>
          <t>JSON 상세는 dashboard_payload 파일 참조</t>
        </is>
      </c>
    </row>
    <row r="36" ht="24" customHeight="1">
      <c r="A36" s="29" t="inlineStr">
        <is>
          <t>latest_financials</t>
        </is>
      </c>
      <c r="B36" s="29" t="inlineStr">
        <is>
          <t>영업현금흐름</t>
        </is>
      </c>
      <c r="C36" s="31" t="n">
        <v>61731136881</v>
      </c>
      <c r="D36" s="29" t="inlineStr">
        <is>
          <t>JSON 상세는 dashboard_payload 파일 참조</t>
        </is>
      </c>
    </row>
    <row r="37" ht="24" customHeight="1">
      <c r="A37" s="24" t="inlineStr">
        <is>
          <t>latest_financials</t>
        </is>
      </c>
      <c r="B37" s="24" t="inlineStr">
        <is>
          <t>CAPEX</t>
        </is>
      </c>
      <c r="C37" s="30" t="n">
        <v>2000000</v>
      </c>
      <c r="D37" s="24" t="inlineStr">
        <is>
          <t>JSON 상세는 dashboard_payload 파일 참조</t>
        </is>
      </c>
    </row>
    <row r="38" ht="24" customHeight="1">
      <c r="A38" s="29" t="inlineStr">
        <is>
          <t>latest_financials</t>
        </is>
      </c>
      <c r="B38" s="29" t="inlineStr">
        <is>
          <t>FCF</t>
        </is>
      </c>
      <c r="C38" s="31" t="n">
        <v>61729136881</v>
      </c>
      <c r="D38" s="29" t="inlineStr">
        <is>
          <t>JSON 상세는 dashboard_payload 파일 참조</t>
        </is>
      </c>
    </row>
    <row r="39" ht="24" customHeight="1">
      <c r="A39" s="24" t="inlineStr">
        <is>
          <t>latest_financials</t>
        </is>
      </c>
      <c r="B39" s="24" t="inlineStr">
        <is>
          <t>투자현금흐름</t>
        </is>
      </c>
      <c r="C39" s="30" t="n">
        <v>-17161223038</v>
      </c>
      <c r="D39" s="24" t="inlineStr">
        <is>
          <t>JSON 상세는 dashboard_payload 파일 참조</t>
        </is>
      </c>
    </row>
    <row r="40" ht="24" customHeight="1">
      <c r="A40" s="29" t="inlineStr">
        <is>
          <t>latest_financials</t>
        </is>
      </c>
      <c r="B40" s="29" t="inlineStr">
        <is>
          <t>원천계정수</t>
        </is>
      </c>
      <c r="C40" s="31" t="n">
        <v>130</v>
      </c>
      <c r="D40" s="29" t="inlineStr">
        <is>
          <t>JSON 상세는 dashboard_payload 파일 참조</t>
        </is>
      </c>
    </row>
    <row r="41" ht="24" customHeight="1">
      <c r="A41" s="24" t="inlineStr">
        <is>
          <t>latest_financials</t>
        </is>
      </c>
      <c r="B41" s="24" t="inlineStr">
        <is>
          <t>매출 원천계정</t>
        </is>
      </c>
      <c r="C41" s="24" t="inlineStr">
        <is>
          <t>매출액</t>
        </is>
      </c>
      <c r="D41" s="24" t="inlineStr">
        <is>
          <t>JSON 상세는 dashboard_payload 파일 참조</t>
        </is>
      </c>
    </row>
    <row r="42" ht="24" customHeight="1">
      <c r="A42" s="29" t="inlineStr">
        <is>
          <t>latest_financials</t>
        </is>
      </c>
      <c r="B42" s="29" t="inlineStr">
        <is>
          <t>영업이익 원천계정</t>
        </is>
      </c>
      <c r="C42" s="29" t="inlineStr">
        <is>
          <t>영업이익(손실)</t>
        </is>
      </c>
      <c r="D42" s="29" t="inlineStr">
        <is>
          <t>JSON 상세는 dashboard_payload 파일 참조</t>
        </is>
      </c>
    </row>
    <row r="43" ht="24" customHeight="1">
      <c r="A43" s="24" t="inlineStr">
        <is>
          <t>latest_financials</t>
        </is>
      </c>
      <c r="B43" s="24" t="inlineStr">
        <is>
          <t>자산 원천계정</t>
        </is>
      </c>
      <c r="C43" s="24" t="inlineStr">
        <is>
          <t>자산총계</t>
        </is>
      </c>
      <c r="D43" s="24" t="inlineStr">
        <is>
          <t>JSON 상세는 dashboard_payload 파일 참조</t>
        </is>
      </c>
    </row>
    <row r="44" ht="24" customHeight="1">
      <c r="A44" s="29" t="inlineStr">
        <is>
          <t>latest_financials</t>
        </is>
      </c>
      <c r="B44" s="29" t="inlineStr">
        <is>
          <t>부채 원천계정</t>
        </is>
      </c>
      <c r="C44" s="29" t="inlineStr">
        <is>
          <t>부채총계</t>
        </is>
      </c>
      <c r="D44" s="29" t="inlineStr">
        <is>
          <t>JSON 상세는 dashboard_payload 파일 참조</t>
        </is>
      </c>
    </row>
    <row r="45" ht="24" customHeight="1">
      <c r="A45" s="24" t="inlineStr">
        <is>
          <t>latest_financials</t>
        </is>
      </c>
      <c r="B45" s="24" t="inlineStr">
        <is>
          <t>자본 원천계정</t>
        </is>
      </c>
      <c r="C45" s="24" t="inlineStr">
        <is>
          <t>자본총계</t>
        </is>
      </c>
      <c r="D45" s="24" t="inlineStr">
        <is>
          <t>JSON 상세는 dashboard_payload 파일 참조</t>
        </is>
      </c>
    </row>
    <row r="46" ht="24" customHeight="1">
      <c r="A46" s="29" t="inlineStr">
        <is>
          <t>주가 요약</t>
        </is>
      </c>
      <c r="B46" s="29" t="inlineStr">
        <is>
          <t>상위 블록</t>
        </is>
      </c>
      <c r="C46" s="29" t="inlineStr">
        <is>
          <t>19개 항목</t>
        </is>
      </c>
      <c r="D46" s="29" t="inlineStr">
        <is>
          <t>대시보드에서 객체로 사용</t>
        </is>
      </c>
    </row>
    <row r="47" ht="24" customHeight="1">
      <c r="A47" s="24" t="inlineStr">
        <is>
          <t>주가 요약</t>
        </is>
      </c>
      <c r="B47" s="24" t="inlineStr">
        <is>
          <t>latest_close</t>
        </is>
      </c>
      <c r="C47" s="30" t="n">
        <v>107300</v>
      </c>
      <c r="D47" s="24" t="inlineStr">
        <is>
          <t>JSON 상세는 dashboard_payload 파일 참조</t>
        </is>
      </c>
    </row>
    <row r="48" ht="24" customHeight="1">
      <c r="A48" s="29" t="inlineStr">
        <is>
          <t>주가 요약</t>
        </is>
      </c>
      <c r="B48" s="29" t="inlineStr">
        <is>
          <t>first_close</t>
        </is>
      </c>
      <c r="C48" s="31" t="n">
        <v>22850</v>
      </c>
      <c r="D48" s="29" t="inlineStr">
        <is>
          <t>JSON 상세는 dashboard_payload 파일 참조</t>
        </is>
      </c>
    </row>
    <row r="49" ht="24" customHeight="1">
      <c r="A49" s="24" t="inlineStr">
        <is>
          <t>주가 요약</t>
        </is>
      </c>
      <c r="B49" s="24" t="inlineStr">
        <is>
          <t>return_total</t>
        </is>
      </c>
      <c r="C49" s="30" t="n">
        <v>3.695842450765864</v>
      </c>
      <c r="D49" s="24" t="inlineStr">
        <is>
          <t>JSON 상세는 dashboard_payload 파일 참조</t>
        </is>
      </c>
    </row>
    <row r="50" ht="24" customHeight="1">
      <c r="A50" s="29" t="inlineStr">
        <is>
          <t>주가 요약</t>
        </is>
      </c>
      <c r="B50" s="29" t="inlineStr">
        <is>
          <t>1년 수익률</t>
        </is>
      </c>
      <c r="C50" s="31" t="n">
        <v>4.611924686192468</v>
      </c>
      <c r="D50" s="29" t="inlineStr">
        <is>
          <t>JSON 상세는 dashboard_payload 파일 참조</t>
        </is>
      </c>
    </row>
    <row r="51" ht="24" customHeight="1">
      <c r="A51" s="24" t="inlineStr">
        <is>
          <t>주가 요약</t>
        </is>
      </c>
      <c r="B51" s="24" t="inlineStr">
        <is>
          <t>연환산 변동성</t>
        </is>
      </c>
      <c r="C51" s="30" t="n">
        <v>0.54859367864032</v>
      </c>
      <c r="D51" s="24" t="inlineStr">
        <is>
          <t>JSON 상세는 dashboard_payload 파일 참조</t>
        </is>
      </c>
    </row>
    <row r="52" ht="24" customHeight="1">
      <c r="A52" s="29" t="inlineStr">
        <is>
          <t>주가 요약</t>
        </is>
      </c>
      <c r="B52" s="29" t="inlineStr">
        <is>
          <t>MDD</t>
        </is>
      </c>
      <c r="C52" s="31" t="n">
        <v>-0.5761658031088083</v>
      </c>
      <c r="D52" s="29" t="inlineStr">
        <is>
          <t>JSON 상세는 dashboard_payload 파일 참조</t>
        </is>
      </c>
    </row>
    <row r="53" ht="24" customHeight="1">
      <c r="A53" s="24" t="inlineStr">
        <is>
          <t>주가 요약</t>
        </is>
      </c>
      <c r="B53" s="24" t="inlineStr">
        <is>
          <t>52주 고가</t>
        </is>
      </c>
      <c r="C53" s="30" t="n">
        <v>114200</v>
      </c>
      <c r="D53" s="24" t="inlineStr">
        <is>
          <t>JSON 상세는 dashboard_payload 파일 참조</t>
        </is>
      </c>
    </row>
    <row r="54" ht="24" customHeight="1">
      <c r="A54" s="29" t="inlineStr">
        <is>
          <t>주가 요약</t>
        </is>
      </c>
      <c r="B54" s="29" t="inlineStr">
        <is>
          <t>52주 저가</t>
        </is>
      </c>
      <c r="C54" s="31" t="n">
        <v>17760</v>
      </c>
      <c r="D54" s="29" t="inlineStr">
        <is>
          <t>JSON 상세는 dashboard_payload 파일 참조</t>
        </is>
      </c>
    </row>
    <row r="55" ht="24" customHeight="1">
      <c r="A55" s="24" t="inlineStr">
        <is>
          <t>주가 요약</t>
        </is>
      </c>
      <c r="B55" s="24" t="inlineStr">
        <is>
          <t>발행주식 수</t>
        </is>
      </c>
      <c r="C55" s="30" t="n">
        <v>28966714</v>
      </c>
      <c r="D55" s="24" t="inlineStr">
        <is>
          <t>JSON 상세는 dashboard_payload 파일 참조</t>
        </is>
      </c>
    </row>
    <row r="56" ht="24" customHeight="1">
      <c r="A56" s="29" t="inlineStr">
        <is>
          <t>주가 요약</t>
        </is>
      </c>
      <c r="B56" s="29" t="inlineStr">
        <is>
          <t>시가총액</t>
        </is>
      </c>
      <c r="C56" s="31" t="n">
        <v>3108128412200</v>
      </c>
      <c r="D56" s="29" t="inlineStr">
        <is>
          <t>JSON 상세는 dashboard_payload 파일 참조</t>
        </is>
      </c>
    </row>
    <row r="57" ht="24" customHeight="1">
      <c r="A57" s="24" t="inlineStr">
        <is>
          <t>주가 요약</t>
        </is>
      </c>
      <c r="B57" s="24" t="inlineStr">
        <is>
          <t>최근 거래량</t>
        </is>
      </c>
      <c r="C57" s="30" t="n">
        <v>217726</v>
      </c>
      <c r="D57" s="24" t="inlineStr">
        <is>
          <t>JSON 상세는 dashboard_payload 파일 참조</t>
        </is>
      </c>
    </row>
    <row r="58" ht="24" customHeight="1">
      <c r="A58" s="29" t="inlineStr">
        <is>
          <t>주가 요약</t>
        </is>
      </c>
      <c r="B58" s="29" t="inlineStr">
        <is>
          <t>최근 거래대금</t>
        </is>
      </c>
      <c r="C58" s="31" t="n">
        <v>23361999800</v>
      </c>
      <c r="D58" s="29" t="inlineStr">
        <is>
          <t>JSON 상세는 dashboard_payload 파일 참조</t>
        </is>
      </c>
    </row>
    <row r="59" ht="24" customHeight="1">
      <c r="A59" s="24" t="inlineStr">
        <is>
          <t>주가 요약</t>
        </is>
      </c>
      <c r="B59" s="24" t="inlineStr">
        <is>
          <t>20일 평균 거래대금</t>
        </is>
      </c>
      <c r="C59" s="30" t="n">
        <v>33996845420</v>
      </c>
      <c r="D59" s="24" t="inlineStr">
        <is>
          <t>JSON 상세는 dashboard_payload 파일 참조</t>
        </is>
      </c>
    </row>
    <row r="60" ht="24" customHeight="1">
      <c r="A60" s="29" t="inlineStr">
        <is>
          <t>주가 요약</t>
        </is>
      </c>
      <c r="B60" s="29" t="inlineStr">
        <is>
          <t>20일 평균 거래량</t>
        </is>
      </c>
      <c r="C60" s="31" t="n">
        <v>339087.4</v>
      </c>
      <c r="D60" s="29" t="inlineStr">
        <is>
          <t>JSON 상세는 dashboard_payload 파일 참조</t>
        </is>
      </c>
    </row>
    <row r="61" ht="24" customHeight="1">
      <c r="A61" s="24" t="inlineStr">
        <is>
          <t>주가 요약</t>
        </is>
      </c>
      <c r="B61" s="24" t="inlineStr">
        <is>
          <t>최근 거래회전율</t>
        </is>
      </c>
      <c r="C61" s="30" t="n">
        <v>0.007516420398944803</v>
      </c>
      <c r="D61" s="24" t="inlineStr">
        <is>
          <t>JSON 상세는 dashboard_payload 파일 참조</t>
        </is>
      </c>
    </row>
    <row r="62" ht="24" customHeight="1">
      <c r="A62" s="29" t="inlineStr">
        <is>
          <t>주가 요약</t>
        </is>
      </c>
      <c r="B62" s="29" t="inlineStr">
        <is>
          <t>20일 평균 거래회전율</t>
        </is>
      </c>
      <c r="C62" s="31" t="n">
        <v>0.01170610515227927</v>
      </c>
      <c r="D62" s="29" t="inlineStr">
        <is>
          <t>JSON 상세는 dashboard_payload 파일 참조</t>
        </is>
      </c>
    </row>
    <row r="63" ht="24" customHeight="1">
      <c r="A63" s="24" t="inlineStr">
        <is>
          <t>주가 요약</t>
        </is>
      </c>
      <c r="B63" s="24" t="inlineStr">
        <is>
          <t>price_rows</t>
        </is>
      </c>
      <c r="C63" s="30" t="n">
        <v>1222</v>
      </c>
      <c r="D63" s="24" t="inlineStr">
        <is>
          <t>JSON 상세는 dashboard_payload 파일 참조</t>
        </is>
      </c>
    </row>
    <row r="64" ht="24" customHeight="1">
      <c r="A64" s="29" t="inlineStr">
        <is>
          <t>주가 요약</t>
        </is>
      </c>
      <c r="B64" s="29" t="inlineStr">
        <is>
          <t>price_start</t>
        </is>
      </c>
      <c r="C64" s="29" t="inlineStr">
        <is>
          <t>2021-05-20</t>
        </is>
      </c>
      <c r="D64" s="29" t="inlineStr">
        <is>
          <t>JSON 상세는 dashboard_payload 파일 참조</t>
        </is>
      </c>
    </row>
    <row r="65" ht="24" customHeight="1">
      <c r="A65" s="24" t="inlineStr">
        <is>
          <t>WACC</t>
        </is>
      </c>
      <c r="B65" s="24" t="inlineStr">
        <is>
          <t>상위 블록</t>
        </is>
      </c>
      <c r="C65" s="24" t="inlineStr">
        <is>
          <t>14개 항목</t>
        </is>
      </c>
      <c r="D65" s="24" t="inlineStr">
        <is>
          <t>대시보드에서 객체로 사용</t>
        </is>
      </c>
    </row>
    <row r="66" ht="24" customHeight="1">
      <c r="A66" s="29" t="inlineStr">
        <is>
          <t>WACC</t>
        </is>
      </c>
      <c r="B66" s="29" t="inlineStr">
        <is>
          <t>risk_free_rate</t>
        </is>
      </c>
      <c r="C66" s="31" t="n">
        <v>0.035</v>
      </c>
      <c r="D66" s="29" t="inlineStr">
        <is>
          <t>JSON 상세는 dashboard_payload 파일 참조</t>
        </is>
      </c>
    </row>
    <row r="67" ht="24" customHeight="1">
      <c r="A67" s="24" t="inlineStr">
        <is>
          <t>WACC</t>
        </is>
      </c>
      <c r="B67" s="24" t="inlineStr">
        <is>
          <t>market_risk_premium</t>
        </is>
      </c>
      <c r="C67" s="30" t="n">
        <v>0.06</v>
      </c>
      <c r="D67" s="24" t="inlineStr">
        <is>
          <t>JSON 상세는 dashboard_payload 파일 참조</t>
        </is>
      </c>
    </row>
    <row r="68" ht="24" customHeight="1">
      <c r="A68" s="29" t="inlineStr">
        <is>
          <t>WACC</t>
        </is>
      </c>
      <c r="B68" s="29" t="inlineStr">
        <is>
          <t>beta</t>
        </is>
      </c>
      <c r="C68" s="31" t="n">
        <v>1.8</v>
      </c>
      <c r="D68" s="29" t="inlineStr">
        <is>
          <t>JSON 상세는 dashboard_payload 파일 참조</t>
        </is>
      </c>
    </row>
    <row r="69" ht="24" customHeight="1">
      <c r="A69" s="24" t="inlineStr">
        <is>
          <t>WACC</t>
        </is>
      </c>
      <c r="B69" s="24" t="inlineStr">
        <is>
          <t>cost_of_equity</t>
        </is>
      </c>
      <c r="C69" s="30" t="n">
        <v>0.143</v>
      </c>
      <c r="D69" s="24" t="inlineStr">
        <is>
          <t>JSON 상세는 dashboard_payload 파일 참조</t>
        </is>
      </c>
    </row>
    <row r="70" ht="24" customHeight="1">
      <c r="A70" s="29" t="inlineStr">
        <is>
          <t>WACC</t>
        </is>
      </c>
      <c r="B70" s="29" t="inlineStr">
        <is>
          <t>pre_tax_cost_of_debt</t>
        </is>
      </c>
      <c r="C70" s="31" t="n">
        <v>0.055</v>
      </c>
      <c r="D70" s="29" t="inlineStr">
        <is>
          <t>JSON 상세는 dashboard_payload 파일 참조</t>
        </is>
      </c>
    </row>
    <row r="71" ht="24" customHeight="1">
      <c r="A71" s="24" t="inlineStr">
        <is>
          <t>WACC</t>
        </is>
      </c>
      <c r="B71" s="24" t="inlineStr">
        <is>
          <t>tax_rate</t>
        </is>
      </c>
      <c r="C71" s="30" t="n">
        <v>0.24</v>
      </c>
      <c r="D71" s="24" t="inlineStr">
        <is>
          <t>JSON 상세는 dashboard_payload 파일 참조</t>
        </is>
      </c>
    </row>
    <row r="72" ht="24" customHeight="1">
      <c r="A72" s="29" t="inlineStr">
        <is>
          <t>WACC</t>
        </is>
      </c>
      <c r="B72" s="29" t="inlineStr">
        <is>
          <t>after_tax_cost_of_debt</t>
        </is>
      </c>
      <c r="C72" s="31" t="n">
        <v>0.0418</v>
      </c>
      <c r="D72" s="29" t="inlineStr">
        <is>
          <t>JSON 상세는 dashboard_payload 파일 참조</t>
        </is>
      </c>
    </row>
    <row r="73" ht="24" customHeight="1">
      <c r="A73" s="24" t="inlineStr">
        <is>
          <t>WACC</t>
        </is>
      </c>
      <c r="B73" s="24" t="inlineStr">
        <is>
          <t>debt_weight</t>
        </is>
      </c>
      <c r="C73" s="30" t="n">
        <v>0.03326872447203544</v>
      </c>
      <c r="D73" s="24" t="inlineStr">
        <is>
          <t>JSON 상세는 dashboard_payload 파일 참조</t>
        </is>
      </c>
    </row>
    <row r="74" ht="24" customHeight="1">
      <c r="A74" s="29" t="inlineStr">
        <is>
          <t>WACC</t>
        </is>
      </c>
      <c r="B74" s="29" t="inlineStr">
        <is>
          <t>equity_weight</t>
        </is>
      </c>
      <c r="C74" s="31" t="n">
        <v>0.9667312755279646</v>
      </c>
      <c r="D74" s="29" t="inlineStr">
        <is>
          <t>JSON 상세는 dashboard_payload 파일 참조</t>
        </is>
      </c>
    </row>
    <row r="75" ht="24" customHeight="1">
      <c r="A75" s="24" t="inlineStr">
        <is>
          <t>WACC</t>
        </is>
      </c>
      <c r="B75" s="24" t="inlineStr">
        <is>
          <t>book_equity</t>
        </is>
      </c>
      <c r="C75" s="30" t="n">
        <v>539036262184</v>
      </c>
      <c r="D75" s="24" t="inlineStr">
        <is>
          <t>JSON 상세는 dashboard_payload 파일 참조</t>
        </is>
      </c>
    </row>
    <row r="76" ht="24" customHeight="1">
      <c r="A76" s="29" t="inlineStr">
        <is>
          <t>WACC</t>
        </is>
      </c>
      <c r="B76" s="29" t="inlineStr">
        <is>
          <t>market_cap_used_for_equity_weight</t>
        </is>
      </c>
      <c r="C76" s="31" t="n">
        <v>3108128412200</v>
      </c>
      <c r="D76" s="29" t="inlineStr">
        <is>
          <t>JSON 상세는 dashboard_payload 파일 참조</t>
        </is>
      </c>
    </row>
    <row r="77" ht="24" customHeight="1">
      <c r="A77" s="24" t="inlineStr">
        <is>
          <t>WACC</t>
        </is>
      </c>
      <c r="B77" s="24" t="inlineStr">
        <is>
          <t>debt_proxy_liabilities</t>
        </is>
      </c>
      <c r="C77" s="30" t="n">
        <v>106961955599</v>
      </c>
      <c r="D77" s="24" t="inlineStr">
        <is>
          <t>JSON 상세는 dashboard_payload 파일 참조</t>
        </is>
      </c>
    </row>
    <row r="78" ht="24" customHeight="1">
      <c r="A78" s="29" t="inlineStr">
        <is>
          <t>WACC</t>
        </is>
      </c>
      <c r="B78" s="29" t="inlineStr">
        <is>
          <t>WACC</t>
        </is>
      </c>
      <c r="C78" s="31" t="n">
        <v>0.13963320508343</v>
      </c>
      <c r="D78" s="29" t="inlineStr">
        <is>
          <t>JSON 상세는 dashboard_payload 파일 참조</t>
        </is>
      </c>
    </row>
    <row r="79" ht="24" customHeight="1">
      <c r="A79" s="24" t="inlineStr">
        <is>
          <t>WACC</t>
        </is>
      </c>
      <c r="B79" s="24" t="inlineStr">
        <is>
          <t>weighting_note</t>
        </is>
      </c>
      <c r="C79" s="24" t="inlineStr">
        <is>
          <t>Uses market cap when share-count intake is available; otherwise uses book equity.</t>
        </is>
      </c>
      <c r="D79" s="24" t="inlineStr">
        <is>
          <t>JSON 상세는 dashboard_payload 파일 참조</t>
        </is>
      </c>
    </row>
    <row r="80" ht="24" customHeight="1">
      <c r="A80" s="29" t="inlineStr">
        <is>
          <t>dcf</t>
        </is>
      </c>
      <c r="B80" s="29" t="inlineStr">
        <is>
          <t>상위 블록</t>
        </is>
      </c>
      <c r="C80" s="29" t="inlineStr">
        <is>
          <t>23개 항목</t>
        </is>
      </c>
      <c r="D80" s="29" t="inlineStr">
        <is>
          <t>대시보드에서 객체로 사용</t>
        </is>
      </c>
    </row>
    <row r="81" ht="24" customHeight="1">
      <c r="A81" s="24" t="inlineStr">
        <is>
          <t>dcf</t>
        </is>
      </c>
      <c r="B81" s="24" t="inlineStr">
        <is>
          <t>상태</t>
        </is>
      </c>
      <c r="C81" s="24" t="inlineStr">
        <is>
          <t>OK</t>
        </is>
      </c>
      <c r="D81" s="24" t="inlineStr">
        <is>
          <t>JSON 상세는 dashboard_payload 파일 참조</t>
        </is>
      </c>
    </row>
    <row r="82" ht="24" customHeight="1">
      <c r="A82" s="29" t="inlineStr">
        <is>
          <t>dcf</t>
        </is>
      </c>
      <c r="B82" s="29" t="inlineStr">
        <is>
          <t>base_year</t>
        </is>
      </c>
      <c r="C82" s="31" t="n">
        <v>2025</v>
      </c>
      <c r="D82" s="29" t="inlineStr">
        <is>
          <t>JSON 상세는 dashboard_payload 파일 참조</t>
        </is>
      </c>
    </row>
    <row r="83" ht="24" customHeight="1">
      <c r="A83" s="24" t="inlineStr">
        <is>
          <t>dcf</t>
        </is>
      </c>
      <c r="B83" s="24" t="inlineStr">
        <is>
          <t>base_revenue</t>
        </is>
      </c>
      <c r="C83" s="30" t="n">
        <v>457213151918</v>
      </c>
      <c r="D83" s="24" t="inlineStr">
        <is>
          <t>JSON 상세는 dashboard_payload 파일 참조</t>
        </is>
      </c>
    </row>
    <row r="84" ht="24" customHeight="1">
      <c r="A84" s="29" t="inlineStr">
        <is>
          <t>dcf</t>
        </is>
      </c>
      <c r="B84" s="29" t="inlineStr">
        <is>
          <t>historical_revenue_cagr</t>
        </is>
      </c>
      <c r="C84" s="31" t="n">
        <v>0.006337728619329575</v>
      </c>
      <c r="D84" s="29" t="inlineStr">
        <is>
          <t>JSON 상세는 dashboard_payload 파일 참조</t>
        </is>
      </c>
    </row>
    <row r="85" ht="24" customHeight="1">
      <c r="A85" s="24" t="inlineStr">
        <is>
          <t>dcf</t>
        </is>
      </c>
      <c r="B85" s="24" t="inlineStr">
        <is>
          <t>assumed_revenue_growth</t>
        </is>
      </c>
      <c r="C85" s="30" t="n">
        <v>0.01443546689954774</v>
      </c>
      <c r="D85" s="24" t="inlineStr">
        <is>
          <t>JSON 상세는 dashboard_payload 파일 참조</t>
        </is>
      </c>
    </row>
    <row r="86" ht="24" customHeight="1">
      <c r="A86" s="29" t="inlineStr">
        <is>
          <t>dcf</t>
        </is>
      </c>
      <c r="B86" s="29" t="inlineStr">
        <is>
          <t>assumed_op_margin</t>
        </is>
      </c>
      <c r="C86" s="31" t="n">
        <v>0.1860649585563781</v>
      </c>
      <c r="D86" s="29" t="inlineStr">
        <is>
          <t>JSON 상세는 dashboard_payload 파일 참조</t>
        </is>
      </c>
    </row>
    <row r="87" ht="24" customHeight="1">
      <c r="A87" s="24" t="inlineStr">
        <is>
          <t>dcf</t>
        </is>
      </c>
      <c r="B87" s="24" t="inlineStr">
        <is>
          <t>assumed_fcf_margin</t>
        </is>
      </c>
      <c r="C87" s="30" t="n">
        <v>0.1487085114651387</v>
      </c>
      <c r="D87" s="24" t="inlineStr">
        <is>
          <t>JSON 상세는 dashboard_payload 파일 참조</t>
        </is>
      </c>
    </row>
    <row r="88" ht="24" customHeight="1">
      <c r="A88" s="29" t="inlineStr">
        <is>
          <t>dcf</t>
        </is>
      </c>
      <c r="B88" s="29" t="inlineStr">
        <is>
          <t>WACC</t>
        </is>
      </c>
      <c r="C88" s="31" t="n">
        <v>0.13963320508343</v>
      </c>
      <c r="D88" s="29" t="inlineStr">
        <is>
          <t>JSON 상세는 dashboard_payload 파일 참조</t>
        </is>
      </c>
    </row>
    <row r="89" ht="24" customHeight="1">
      <c r="A89" s="24" t="inlineStr">
        <is>
          <t>dcf</t>
        </is>
      </c>
      <c r="B89" s="24" t="inlineStr">
        <is>
          <t>terminal_growth_rate</t>
        </is>
      </c>
      <c r="C89" s="30" t="n">
        <v>0.015</v>
      </c>
      <c r="D89" s="24" t="inlineStr">
        <is>
          <t>JSON 상세는 dashboard_payload 파일 참조</t>
        </is>
      </c>
    </row>
    <row r="90" ht="24" customHeight="1">
      <c r="A90" s="29" t="inlineStr">
        <is>
          <t>dcf</t>
        </is>
      </c>
      <c r="B90" s="29" t="inlineStr">
        <is>
          <t>projection_years</t>
        </is>
      </c>
      <c r="C90" s="31" t="n">
        <v>5</v>
      </c>
      <c r="D90" s="29" t="inlineStr">
        <is>
          <t>JSON 상세는 dashboard_payload 파일 참조</t>
        </is>
      </c>
    </row>
    <row r="91" ht="24" customHeight="1">
      <c r="A91" s="24" t="inlineStr">
        <is>
          <t>dcf</t>
        </is>
      </c>
      <c r="B91" s="24" t="inlineStr">
        <is>
          <t>FCF 현재가치</t>
        </is>
      </c>
      <c r="C91" s="30" t="n">
        <v>243201741419.343</v>
      </c>
      <c r="D91" s="24" t="inlineStr">
        <is>
          <t>JSON 상세는 dashboard_payload 파일 참조</t>
        </is>
      </c>
    </row>
    <row r="92" ht="24" customHeight="1">
      <c r="A92" s="29" t="inlineStr">
        <is>
          <t>dcf</t>
        </is>
      </c>
      <c r="B92" s="29" t="inlineStr">
        <is>
          <t>terminal_value</t>
        </is>
      </c>
      <c r="C92" s="31" t="n">
        <v>595845755009.6198</v>
      </c>
      <c r="D92" s="29" t="inlineStr">
        <is>
          <t>JSON 상세는 dashboard_payload 파일 참조</t>
        </is>
      </c>
    </row>
    <row r="93" ht="24" customHeight="1">
      <c r="A93" s="24" t="inlineStr">
        <is>
          <t>dcf</t>
        </is>
      </c>
      <c r="B93" s="24" t="inlineStr">
        <is>
          <t>Terminal 현재가치</t>
        </is>
      </c>
      <c r="C93" s="30" t="n">
        <v>309961944329.6063</v>
      </c>
      <c r="D93" s="24" t="inlineStr">
        <is>
          <t>JSON 상세는 dashboard_payload 파일 참조</t>
        </is>
      </c>
    </row>
    <row r="94" ht="24" customHeight="1">
      <c r="A94" s="29" t="inlineStr">
        <is>
          <t>dcf</t>
        </is>
      </c>
      <c r="B94" s="29" t="inlineStr">
        <is>
          <t>기업가치(EV)</t>
        </is>
      </c>
      <c r="C94" s="31" t="n">
        <v>553163685748.9493</v>
      </c>
      <c r="D94" s="29" t="inlineStr">
        <is>
          <t>JSON 상세는 dashboard_payload 파일 참조</t>
        </is>
      </c>
    </row>
    <row r="95" ht="24" customHeight="1">
      <c r="A95" s="24" t="inlineStr">
        <is>
          <t>dcf</t>
        </is>
      </c>
      <c r="B95" s="24" t="inlineStr">
        <is>
          <t>현금성자산</t>
        </is>
      </c>
      <c r="C95" s="30" t="n">
        <v>119421667338</v>
      </c>
      <c r="D95" s="24" t="inlineStr">
        <is>
          <t>JSON 상세는 dashboard_payload 파일 참조</t>
        </is>
      </c>
    </row>
    <row r="96" ht="24" customHeight="1">
      <c r="A96" s="29" t="inlineStr">
        <is>
          <t>dcf</t>
        </is>
      </c>
      <c r="B96" s="29" t="inlineStr">
        <is>
          <t>debt_proxy_liabilities</t>
        </is>
      </c>
      <c r="C96" s="31" t="n">
        <v>106961955599</v>
      </c>
      <c r="D96" s="29" t="inlineStr">
        <is>
          <t>JSON 상세는 dashboard_payload 파일 참조</t>
        </is>
      </c>
    </row>
    <row r="97" ht="24" customHeight="1">
      <c r="A97" s="24" t="inlineStr">
        <is>
          <t>dcf</t>
        </is>
      </c>
      <c r="B97" s="24" t="inlineStr">
        <is>
          <t>equity_value</t>
        </is>
      </c>
      <c r="C97" s="30" t="n">
        <v>565623397487.9493</v>
      </c>
      <c r="D97" s="24" t="inlineStr">
        <is>
          <t>JSON 상세는 dashboard_payload 파일 참조</t>
        </is>
      </c>
    </row>
    <row r="98" ht="24" customHeight="1">
      <c r="A98" s="29" t="inlineStr">
        <is>
          <t>dcf</t>
        </is>
      </c>
      <c r="B98" s="29" t="inlineStr">
        <is>
          <t>발행주식 수</t>
        </is>
      </c>
      <c r="C98" s="31" t="n">
        <v>28966714</v>
      </c>
      <c r="D98" s="29" t="inlineStr">
        <is>
          <t>JSON 상세는 dashboard_payload 파일 참조</t>
        </is>
      </c>
    </row>
    <row r="99" ht="24" customHeight="1">
      <c r="A99" s="24" t="inlineStr">
        <is>
          <t>chart_series</t>
        </is>
      </c>
      <c r="B99" s="24" t="inlineStr">
        <is>
          <t>상위 블록</t>
        </is>
      </c>
      <c r="C99" s="24" t="inlineStr">
        <is>
          <t>5개 항목</t>
        </is>
      </c>
      <c r="D99" s="24" t="inlineStr">
        <is>
          <t>대시보드에서 객체로 사용</t>
        </is>
      </c>
    </row>
    <row r="100" ht="24" customHeight="1">
      <c r="A100" s="29" t="inlineStr">
        <is>
          <t>chart_series</t>
        </is>
      </c>
      <c r="B100" s="29" t="inlineStr">
        <is>
          <t>historical_financials</t>
        </is>
      </c>
      <c r="C100" s="29" t="inlineStr">
        <is>
          <t>5개 행</t>
        </is>
      </c>
      <c r="D100" s="29" t="inlineStr">
        <is>
          <t>JSON 상세는 dashboard_payload 파일 참조</t>
        </is>
      </c>
    </row>
    <row r="101" ht="24" customHeight="1">
      <c r="A101" s="24" t="inlineStr">
        <is>
          <t>chart_series</t>
        </is>
      </c>
      <c r="B101" s="24" t="inlineStr">
        <is>
          <t>price_history</t>
        </is>
      </c>
      <c r="C101" s="24" t="inlineStr">
        <is>
          <t>260개 행</t>
        </is>
      </c>
      <c r="D101" s="24" t="inlineStr">
        <is>
          <t>JSON 상세는 dashboard_payload 파일 참조</t>
        </is>
      </c>
    </row>
    <row r="102" ht="24" customHeight="1">
      <c r="A102" s="29" t="inlineStr">
        <is>
          <t>chart_series</t>
        </is>
      </c>
      <c r="B102" s="29" t="inlineStr">
        <is>
          <t>fcf_projection</t>
        </is>
      </c>
      <c r="C102" s="29" t="inlineStr">
        <is>
          <t>5개 행</t>
        </is>
      </c>
      <c r="D102" s="29" t="inlineStr">
        <is>
          <t>JSON 상세는 dashboard_payload 파일 참조</t>
        </is>
      </c>
    </row>
    <row r="103" ht="24" customHeight="1">
      <c r="A103" s="24" t="inlineStr">
        <is>
          <t>chart_series</t>
        </is>
      </c>
      <c r="B103" s="24" t="inlineStr">
        <is>
          <t>peer_multiples</t>
        </is>
      </c>
      <c r="C103" s="24" t="inlineStr">
        <is>
          <t>5개 행</t>
        </is>
      </c>
      <c r="D103" s="24" t="inlineStr">
        <is>
          <t>JSON 상세는 dashboard_payload 파일 참조</t>
        </is>
      </c>
    </row>
    <row r="104" ht="24" customHeight="1">
      <c r="A104" s="29" t="inlineStr">
        <is>
          <t>chart_series</t>
        </is>
      </c>
      <c r="B104" s="29" t="inlineStr">
        <is>
          <t>reference_universe_focus</t>
        </is>
      </c>
      <c r="C104" s="29" t="inlineStr">
        <is>
          <t>40개 행</t>
        </is>
      </c>
      <c r="D104" s="29" t="inlineStr">
        <is>
          <t>JSON 상세는 dashboard_payload 파일 참조</t>
        </is>
      </c>
    </row>
    <row r="105" ht="24" customHeight="1">
      <c r="A105" s="24" t="inlineStr">
        <is>
          <t>peer_comps</t>
        </is>
      </c>
      <c r="B105" s="24" t="inlineStr">
        <is>
          <t>상위 블록</t>
        </is>
      </c>
      <c r="C105" s="24" t="inlineStr">
        <is>
          <t>23개 항목</t>
        </is>
      </c>
      <c r="D105" s="24" t="inlineStr">
        <is>
          <t>대시보드에서 객체로 사용</t>
        </is>
      </c>
    </row>
    <row r="106" ht="24" customHeight="1">
      <c r="A106" s="29" t="inlineStr">
        <is>
          <t>peer_comps</t>
        </is>
      </c>
      <c r="B106" s="29" t="inlineStr">
        <is>
          <t>peer_rows</t>
        </is>
      </c>
      <c r="C106" s="29" t="inlineStr">
        <is>
          <t>5개 행</t>
        </is>
      </c>
      <c r="D106" s="29" t="inlineStr">
        <is>
          <t>JSON 상세는 dashboard_payload 파일 참조</t>
        </is>
      </c>
    </row>
    <row r="107" ht="24" customHeight="1">
      <c r="A107" s="24" t="inlineStr">
        <is>
          <t>peer_comps</t>
        </is>
      </c>
      <c r="B107" s="24" t="inlineStr">
        <is>
          <t>target_row</t>
        </is>
      </c>
      <c r="C107" s="24" t="inlineStr">
        <is>
          <t>35개 항목</t>
        </is>
      </c>
      <c r="D107" s="24" t="inlineStr">
        <is>
          <t>JSON 상세는 dashboard_payload 파일 참조</t>
        </is>
      </c>
    </row>
    <row r="108" ht="24" customHeight="1">
      <c r="A108" s="29" t="inlineStr">
        <is>
          <t>peer_comps</t>
        </is>
      </c>
      <c r="B108" s="29" t="inlineStr">
        <is>
          <t>target_company_key</t>
        </is>
      </c>
      <c r="C108" s="29" t="inlineStr">
        <is>
          <t>nepes</t>
        </is>
      </c>
      <c r="D108" s="29" t="inlineStr">
        <is>
          <t>JSON 상세는 dashboard_payload 파일 참조</t>
        </is>
      </c>
    </row>
    <row r="109" ht="24" customHeight="1">
      <c r="A109" s="24" t="inlineStr">
        <is>
          <t>peer_comps</t>
        </is>
      </c>
      <c r="B109" s="24" t="inlineStr">
        <is>
          <t>분석대상 P/S</t>
        </is>
      </c>
      <c r="C109" s="30" t="n">
        <v>1.236011002542875</v>
      </c>
      <c r="D109" s="24" t="inlineStr">
        <is>
          <t>JSON 상세는 dashboard_payload 파일 참조</t>
        </is>
      </c>
    </row>
    <row r="110" ht="24" customHeight="1">
      <c r="A110" s="29" t="inlineStr">
        <is>
          <t>peer_comps</t>
        </is>
      </c>
      <c r="B110" s="29" t="inlineStr">
        <is>
          <t>target_per</t>
        </is>
      </c>
      <c r="C110" s="31" t="n">
        <v>31.97134771394161</v>
      </c>
      <c r="D110" s="29" t="inlineStr">
        <is>
          <t>JSON 상세는 dashboard_payload 파일 참조</t>
        </is>
      </c>
    </row>
    <row r="111" ht="24" customHeight="1">
      <c r="A111" s="24" t="inlineStr">
        <is>
          <t>peer_comps</t>
        </is>
      </c>
      <c r="B111" s="24" t="inlineStr">
        <is>
          <t>target_pbr</t>
        </is>
      </c>
      <c r="C111" s="30" t="n">
        <v>2.626075644626758</v>
      </c>
      <c r="D111" s="24" t="inlineStr">
        <is>
          <t>JSON 상세는 dashboard_payload 파일 참조</t>
        </is>
      </c>
    </row>
    <row r="112" ht="24" customHeight="1">
      <c r="A112" s="29" t="inlineStr">
        <is>
          <t>peer_comps</t>
        </is>
      </c>
      <c r="B112" s="29" t="inlineStr">
        <is>
          <t>target_ev_sales</t>
        </is>
      </c>
      <c r="C112" s="31" t="n">
        <v>2.100490221530232</v>
      </c>
      <c r="D112" s="29" t="inlineStr">
        <is>
          <t>JSON 상세는 dashboard_payload 파일 참조</t>
        </is>
      </c>
    </row>
    <row r="113" ht="24" customHeight="1">
      <c r="A113" s="24" t="inlineStr">
        <is>
          <t>peer_comps</t>
        </is>
      </c>
      <c r="B113" s="24" t="inlineStr">
        <is>
          <t>target_market_cap</t>
        </is>
      </c>
      <c r="C113" s="30" t="n">
        <v>644504695900</v>
      </c>
      <c r="D113" s="24" t="inlineStr">
        <is>
          <t>JSON 상세는 dashboard_payload 파일 참조</t>
        </is>
      </c>
    </row>
    <row r="114" ht="24" customHeight="1">
      <c r="A114" s="29" t="inlineStr">
        <is>
          <t>peer_comps</t>
        </is>
      </c>
      <c r="B114" s="29" t="inlineStr">
        <is>
          <t>target_revenue</t>
        </is>
      </c>
      <c r="C114" s="31" t="n">
        <v>521439287008</v>
      </c>
      <c r="D114" s="29" t="inlineStr">
        <is>
          <t>JSON 상세는 dashboard_payload 파일 참조</t>
        </is>
      </c>
    </row>
    <row r="115" ht="24" customHeight="1">
      <c r="A115" s="24" t="inlineStr">
        <is>
          <t>peer_comps</t>
        </is>
      </c>
      <c r="B115" s="24" t="inlineStr">
        <is>
          <t>Peer P/S 중앙값</t>
        </is>
      </c>
      <c r="C115" s="30" t="n">
        <v>3.436583457683996</v>
      </c>
      <c r="D115" s="24" t="inlineStr">
        <is>
          <t>JSON 상세는 dashboard_payload 파일 참조</t>
        </is>
      </c>
    </row>
    <row r="116" ht="24" customHeight="1">
      <c r="A116" s="29" t="inlineStr">
        <is>
          <t>peer_comps</t>
        </is>
      </c>
      <c r="B116" s="29" t="inlineStr">
        <is>
          <t>median_per</t>
        </is>
      </c>
      <c r="C116" s="31" t="n">
        <v>23.81184919544199</v>
      </c>
      <c r="D116" s="29" t="inlineStr">
        <is>
          <t>JSON 상세는 dashboard_payload 파일 참조</t>
        </is>
      </c>
    </row>
    <row r="117" ht="24" customHeight="1">
      <c r="A117" s="24" t="inlineStr">
        <is>
          <t>peer_comps</t>
        </is>
      </c>
      <c r="B117" s="24" t="inlineStr">
        <is>
          <t>median_pbr</t>
        </is>
      </c>
      <c r="C117" s="30" t="n">
        <v>2.626075644626758</v>
      </c>
      <c r="D117" s="24" t="inlineStr">
        <is>
          <t>JSON 상세는 dashboard_payload 파일 참조</t>
        </is>
      </c>
    </row>
    <row r="118" ht="24" customHeight="1">
      <c r="A118" s="29" t="inlineStr">
        <is>
          <t>peer_comps</t>
        </is>
      </c>
      <c r="B118" s="29" t="inlineStr">
        <is>
          <t>median_ev_sales</t>
        </is>
      </c>
      <c r="C118" s="31" t="n">
        <v>3.915199596123737</v>
      </c>
      <c r="D118" s="29" t="inlineStr">
        <is>
          <t>JSON 상세는 dashboard_payload 파일 참조</t>
        </is>
      </c>
    </row>
    <row r="119" ht="24" customHeight="1">
      <c r="A119" s="24" t="inlineStr">
        <is>
          <t>peer_comps</t>
        </is>
      </c>
      <c r="B119" s="24" t="inlineStr">
        <is>
          <t>median_ev_ebit</t>
        </is>
      </c>
      <c r="C119" s="30" t="n">
        <v>22.15223868630722</v>
      </c>
      <c r="D119" s="24" t="inlineStr">
        <is>
          <t>JSON 상세는 dashboard_payload 파일 참조</t>
        </is>
      </c>
    </row>
    <row r="120" ht="24" customHeight="1">
      <c r="A120" s="29" t="inlineStr">
        <is>
          <t>peer_comps</t>
        </is>
      </c>
      <c r="B120" s="29" t="inlineStr">
        <is>
          <t>median_p_fcf</t>
        </is>
      </c>
      <c r="C120" s="31" t="n">
        <v>15.18407586897334</v>
      </c>
      <c r="D120" s="29" t="inlineStr">
        <is>
          <t>JSON 상세는 dashboard_payload 파일 참조</t>
        </is>
      </c>
    </row>
    <row r="121" ht="24" customHeight="1">
      <c r="A121" s="24" t="inlineStr">
        <is>
          <t>peer_comps</t>
        </is>
      </c>
      <c r="B121" s="24" t="inlineStr">
        <is>
          <t>median_op_margin</t>
        </is>
      </c>
      <c r="C121" s="30" t="n">
        <v>0.09546035142742029</v>
      </c>
      <c r="D121" s="24" t="inlineStr">
        <is>
          <t>JSON 상세는 dashboard_payload 파일 참조</t>
        </is>
      </c>
    </row>
    <row r="122" ht="24" customHeight="1">
      <c r="A122" s="29" t="inlineStr">
        <is>
          <t>peer_comps</t>
        </is>
      </c>
      <c r="B122" s="29" t="inlineStr">
        <is>
          <t>median_roe</t>
        </is>
      </c>
      <c r="C122" s="31" t="n">
        <v>0.0821384093070814</v>
      </c>
      <c r="D122" s="29" t="inlineStr">
        <is>
          <t>JSON 상세는 dashboard_payload 파일 참조</t>
        </is>
      </c>
    </row>
    <row r="123" ht="24" customHeight="1">
      <c r="A123" s="24" t="inlineStr">
        <is>
          <t>peer_comps</t>
        </is>
      </c>
      <c r="B123" s="24" t="inlineStr">
        <is>
          <t>P/S 중앙값 대비</t>
        </is>
      </c>
      <c r="C123" s="30" t="n">
        <v>-0.640337265844882</v>
      </c>
      <c r="D123" s="24" t="inlineStr">
        <is>
          <t>JSON 상세는 dashboard_payload 파일 참조</t>
        </is>
      </c>
    </row>
    <row r="124" ht="24" customHeight="1">
      <c r="A124" s="29" t="inlineStr">
        <is>
          <t>reference_universe_summary</t>
        </is>
      </c>
      <c r="B124" s="29" t="inlineStr">
        <is>
          <t>상위 블록</t>
        </is>
      </c>
      <c r="C124" s="29" t="inlineStr">
        <is>
          <t>14개 항목</t>
        </is>
      </c>
      <c r="D124" s="29" t="inlineStr">
        <is>
          <t>대시보드에서 객체로 사용</t>
        </is>
      </c>
    </row>
    <row r="125" ht="24" customHeight="1">
      <c r="A125" s="24" t="inlineStr">
        <is>
          <t>reference_universe_summary</t>
        </is>
      </c>
      <c r="B125" s="24" t="inlineStr">
        <is>
          <t>상태</t>
        </is>
      </c>
      <c r="C125" s="24" t="inlineStr">
        <is>
          <t>OK</t>
        </is>
      </c>
      <c r="D125" s="24" t="inlineStr">
        <is>
          <t>JSON 상세는 dashboard_payload 파일 참조</t>
        </is>
      </c>
    </row>
    <row r="126" ht="24" customHeight="1">
      <c r="A126" s="29" t="inlineStr">
        <is>
          <t>reference_universe_summary</t>
        </is>
      </c>
      <c r="B126" s="29" t="inlineStr">
        <is>
          <t>created_at</t>
        </is>
      </c>
      <c r="C126" s="29" t="inlineStr">
        <is>
          <t>2026-05-20T12:30:50</t>
        </is>
      </c>
      <c r="D126" s="29" t="inlineStr">
        <is>
          <t>JSON 상세는 dashboard_payload 파일 참조</t>
        </is>
      </c>
    </row>
    <row r="127" ht="24" customHeight="1">
      <c r="A127" s="24" t="inlineStr">
        <is>
          <t>reference_universe_summary</t>
        </is>
      </c>
      <c r="B127" s="24" t="inlineStr">
        <is>
          <t>reference_universe_rows</t>
        </is>
      </c>
      <c r="C127" s="30" t="n">
        <v>208</v>
      </c>
      <c r="D127" s="24" t="inlineStr">
        <is>
          <t>JSON 상세는 dashboard_payload 파일 참조</t>
        </is>
      </c>
    </row>
    <row r="128" ht="24" customHeight="1">
      <c r="A128" s="29" t="inlineStr">
        <is>
          <t>reference_universe_summary</t>
        </is>
      </c>
      <c r="B128" s="29" t="inlineStr">
        <is>
          <t>focus_rows</t>
        </is>
      </c>
      <c r="C128" s="31" t="n">
        <v>40</v>
      </c>
      <c r="D128" s="29" t="inlineStr">
        <is>
          <t>JSON 상세는 dashboard_payload 파일 참조</t>
        </is>
      </c>
    </row>
    <row r="129" ht="24" customHeight="1">
      <c r="A129" s="24" t="inlineStr">
        <is>
          <t>reference_universe_summary</t>
        </is>
      </c>
      <c r="B129" s="24" t="inlineStr">
        <is>
          <t>focal_5_rows</t>
        </is>
      </c>
      <c r="C129" s="30" t="n">
        <v>5</v>
      </c>
      <c r="D129" s="24" t="inlineStr">
        <is>
          <t>JSON 상세는 dashboard_payload 파일 참조</t>
        </is>
      </c>
    </row>
    <row r="130" ht="24" customHeight="1">
      <c r="A130" s="29" t="inlineStr">
        <is>
          <t>reference_universe_summary</t>
        </is>
      </c>
      <c r="B130" s="29" t="inlineStr">
        <is>
          <t>target_company</t>
        </is>
      </c>
      <c r="C130" s="29" t="inlineStr">
        <is>
          <t>피에스케이</t>
        </is>
      </c>
      <c r="D130" s="29" t="inlineStr">
        <is>
          <t>JSON 상세는 dashboard_payload 파일 참조</t>
        </is>
      </c>
    </row>
    <row r="131" ht="24" customHeight="1">
      <c r="A131" s="24" t="inlineStr">
        <is>
          <t>reference_universe_summary</t>
        </is>
      </c>
      <c r="B131" s="24" t="inlineStr">
        <is>
          <t>target_peer_group</t>
        </is>
      </c>
      <c r="C131" s="24" t="inlineStr">
        <is>
          <t>장비</t>
        </is>
      </c>
      <c r="D131" s="24" t="inlineStr">
        <is>
          <t>JSON 상세는 dashboard_payload 파일 참조</t>
        </is>
      </c>
    </row>
    <row r="132" ht="24" customHeight="1">
      <c r="A132" s="29" t="inlineStr">
        <is>
          <t>reference_universe_summary</t>
        </is>
      </c>
      <c r="B132" s="29" t="inlineStr">
        <is>
          <t>target_peer_group_size</t>
        </is>
      </c>
      <c r="C132" s="31" t="n">
        <v>50</v>
      </c>
      <c r="D132" s="29" t="inlineStr">
        <is>
          <t>JSON 상세는 dashboard_payload 파일 참조</t>
        </is>
      </c>
    </row>
    <row r="133" ht="24" customHeight="1">
      <c r="A133" s="24" t="inlineStr">
        <is>
          <t>reference_universe_summary</t>
        </is>
      </c>
      <c r="B133" s="24" t="inlineStr">
        <is>
          <t>attractive_rows</t>
        </is>
      </c>
      <c r="C133" s="30" t="n">
        <v>43</v>
      </c>
      <c r="D133" s="24" t="inlineStr">
        <is>
          <t>JSON 상세는 dashboard_payload 파일 참조</t>
        </is>
      </c>
    </row>
    <row r="134" ht="24" customHeight="1">
      <c r="A134" s="29" t="inlineStr">
        <is>
          <t>reference_universe_summary</t>
        </is>
      </c>
      <c r="B134" s="29" t="inlineStr">
        <is>
          <t>high_risk_rows</t>
        </is>
      </c>
      <c r="C134" s="31" t="n">
        <v>67</v>
      </c>
      <c r="D134" s="29" t="inlineStr">
        <is>
          <t>JSON 상세는 dashboard_payload 파일 참조</t>
        </is>
      </c>
    </row>
    <row r="135" ht="24" customHeight="1">
      <c r="A135" s="24" t="inlineStr">
        <is>
          <t>reference_universe_summary</t>
        </is>
      </c>
      <c r="B135" s="24" t="inlineStr">
        <is>
          <t>target_reference_row</t>
        </is>
      </c>
      <c r="C135" s="24" t="inlineStr">
        <is>
          <t>32개 항목</t>
        </is>
      </c>
      <c r="D135" s="24" t="inlineStr">
        <is>
          <t>JSON 상세는 dashboard_payload 파일 참조</t>
        </is>
      </c>
    </row>
    <row r="136" ht="24" customHeight="1">
      <c r="A136" s="29" t="inlineStr">
        <is>
          <t>reference_universe_summary</t>
        </is>
      </c>
      <c r="B136" s="29" t="inlineStr">
        <is>
          <t>비고</t>
        </is>
      </c>
      <c r="C136" s="29" t="inlineStr">
        <is>
          <t>Valuation Agent는 live DCF/PSR 산출과 별도로 208개 반도체 universe의 proxy score를 활용해 상대 위치를 보조 판단합니다.</t>
        </is>
      </c>
      <c r="D136" s="29" t="inlineStr">
        <is>
          <t>JSON 상세는 dashboard_payload 파일 참조</t>
        </is>
      </c>
    </row>
    <row r="137" ht="24" customHeight="1">
      <c r="A137" s="24" t="inlineStr">
        <is>
          <t>reference_universe_summary</t>
        </is>
      </c>
      <c r="B137" s="24" t="inlineStr">
        <is>
          <t>source_path</t>
        </is>
      </c>
      <c r="C137" s="24" t="inlineStr">
        <is>
          <t>data/반도체/_sector_common/ml_universe/valuation_credit_ml_overlay_candidate.csv</t>
        </is>
      </c>
      <c r="D137" s="24" t="inlineStr">
        <is>
          <t>JSON 상세는 dashboard_payload 파일 참조</t>
        </is>
      </c>
    </row>
    <row r="138" ht="24" customHeight="1">
      <c r="A138" s="29" t="inlineStr">
        <is>
          <t>reference_universe_summary</t>
        </is>
      </c>
      <c r="B138" s="29" t="inlineStr">
        <is>
          <t>exported_at</t>
        </is>
      </c>
      <c r="C138" s="29" t="inlineStr">
        <is>
          <t>2026-05-20T12:30:50</t>
        </is>
      </c>
      <c r="D138" s="29" t="inlineStr">
        <is>
          <t>JSON 상세는 dashboard_payload 파일 참조</t>
        </is>
      </c>
    </row>
    <row r="139" ht="24" customHeight="1">
      <c r="A139" s="24" t="inlineStr">
        <is>
          <t>reference_universe_focus_rows</t>
        </is>
      </c>
      <c r="B139" s="24" t="inlineStr">
        <is>
          <t>목록</t>
        </is>
      </c>
      <c r="C139" s="24" t="inlineStr">
        <is>
          <t>40개 행</t>
        </is>
      </c>
      <c r="D139" s="24" t="inlineStr">
        <is>
          <t>대시보드 표/차트 원천</t>
        </is>
      </c>
    </row>
    <row r="140" ht="24" customHeight="1">
      <c r="A140" s="29" t="inlineStr">
        <is>
          <t>ml_overlay</t>
        </is>
      </c>
      <c r="B140" s="29" t="inlineStr">
        <is>
          <t>상위 블록</t>
        </is>
      </c>
      <c r="C140" s="29" t="inlineStr">
        <is>
          <t>12개 항목</t>
        </is>
      </c>
      <c r="D140" s="29" t="inlineStr">
        <is>
          <t>대시보드에서 객체로 사용</t>
        </is>
      </c>
    </row>
    <row r="141" ht="24" customHeight="1">
      <c r="A141" s="24" t="inlineStr">
        <is>
          <t>ml_overlay</t>
        </is>
      </c>
      <c r="B141" s="24" t="inlineStr">
        <is>
          <t>산출 방식</t>
        </is>
      </c>
      <c r="C141" s="24" t="inlineStr">
        <is>
          <t>deterministic_live_peer_psr_plus_208_reference_universe_overlay</t>
        </is>
      </c>
      <c r="D141" s="24" t="inlineStr">
        <is>
          <t>JSON 상세는 dashboard_payload 파일 참조</t>
        </is>
      </c>
    </row>
    <row r="142" ht="24" customHeight="1">
      <c r="A142" s="29" t="inlineStr">
        <is>
          <t>ml_overlay</t>
        </is>
      </c>
      <c r="B142" s="29" t="inlineStr">
        <is>
          <t>가치평가 방법</t>
        </is>
      </c>
      <c r="C142" s="29" t="inlineStr">
        <is>
          <t>실시간 DART·주가 기반 PSR/Peer + 208개 반도체 reference universe 보조판단</t>
        </is>
      </c>
      <c r="D142" s="29" t="inlineStr">
        <is>
          <t>JSON 상세는 dashboard_payload 파일 참조</t>
        </is>
      </c>
    </row>
    <row r="143" ht="24" customHeight="1">
      <c r="A143" s="24" t="inlineStr">
        <is>
          <t>ml_overlay</t>
        </is>
      </c>
      <c r="B143" s="24" t="inlineStr">
        <is>
          <t>종합 점수</t>
        </is>
      </c>
      <c r="C143" s="30" t="n">
        <v>63.17</v>
      </c>
      <c r="D143" s="24" t="inlineStr">
        <is>
          <t>JSON 상세는 dashboard_payload 파일 참조</t>
        </is>
      </c>
    </row>
    <row r="144" ht="24" customHeight="1">
      <c r="A144" s="29" t="inlineStr">
        <is>
          <t>ml_overlay</t>
        </is>
      </c>
      <c r="B144" s="29" t="inlineStr">
        <is>
          <t>라벨</t>
        </is>
      </c>
      <c r="C144" s="29" t="inlineStr">
        <is>
          <t>VALUATION_NEUTRAL</t>
        </is>
      </c>
      <c r="D144" s="29" t="inlineStr">
        <is>
          <t>JSON 상세는 dashboard_payload 파일 참조</t>
        </is>
      </c>
    </row>
    <row r="145" ht="24" customHeight="1">
      <c r="A145" s="24" t="inlineStr">
        <is>
          <t>ml_overlay</t>
        </is>
      </c>
      <c r="B145" s="24" t="inlineStr">
        <is>
          <t>한글 라벨</t>
        </is>
      </c>
      <c r="C145" s="24" t="inlineStr">
        <is>
          <t>가치평가 보조근거 중립</t>
        </is>
      </c>
      <c r="D145" s="24" t="inlineStr">
        <is>
          <t>JSON 상세는 dashboard_payload 파일 참조</t>
        </is>
      </c>
    </row>
    <row r="146" ht="24" customHeight="1">
      <c r="A146" s="29" t="inlineStr">
        <is>
          <t>ml_overlay</t>
        </is>
      </c>
      <c r="B146" s="29" t="inlineStr">
        <is>
          <t>factors</t>
        </is>
      </c>
      <c r="C146" s="29" t="inlineStr">
        <is>
          <t>10개 행</t>
        </is>
      </c>
      <c r="D146" s="29" t="inlineStr">
        <is>
          <t>JSON 상세는 dashboard_payload 파일 참조</t>
        </is>
      </c>
    </row>
    <row r="147" ht="24" customHeight="1">
      <c r="A147" s="24" t="inlineStr">
        <is>
          <t>ml_overlay</t>
        </is>
      </c>
      <c r="B147" s="24" t="inlineStr">
        <is>
          <t>kmeans_peer_cluster</t>
        </is>
      </c>
      <c r="C147" s="24" t="inlineStr">
        <is>
          <t>장비</t>
        </is>
      </c>
      <c r="D147" s="24" t="inlineStr">
        <is>
          <t>JSON 상세는 dashboard_payload 파일 참조</t>
        </is>
      </c>
    </row>
    <row r="148" ht="24" customHeight="1">
      <c r="A148" s="29" t="inlineStr">
        <is>
          <t>ml_overlay</t>
        </is>
      </c>
      <c r="B148" s="29" t="inlineStr">
        <is>
          <t>reference_cluster</t>
        </is>
      </c>
      <c r="C148" s="29" t="inlineStr">
        <is>
          <t>6개 항목</t>
        </is>
      </c>
      <c r="D148" s="29" t="inlineStr">
        <is>
          <t>JSON 상세는 dashboard_payload 파일 참조</t>
        </is>
      </c>
    </row>
    <row r="149" ht="24" customHeight="1">
      <c r="A149" s="24" t="inlineStr">
        <is>
          <t>ml_overlay</t>
        </is>
      </c>
      <c r="B149" s="24" t="inlineStr">
        <is>
          <t>reference_universe_summary</t>
        </is>
      </c>
      <c r="C149" s="24" t="inlineStr">
        <is>
          <t>4개 항목</t>
        </is>
      </c>
      <c r="D149" s="24" t="inlineStr">
        <is>
          <t>JSON 상세는 dashboard_payload 파일 참조</t>
        </is>
      </c>
    </row>
    <row r="150" ht="24" customHeight="1">
      <c r="A150" s="29" t="inlineStr">
        <is>
          <t>ml_overlay</t>
        </is>
      </c>
      <c r="B150" s="29" t="inlineStr">
        <is>
          <t>psr_overlay</t>
        </is>
      </c>
      <c r="C150" s="29" t="inlineStr">
        <is>
          <t>5개 항목</t>
        </is>
      </c>
      <c r="D150" s="29" t="inlineStr">
        <is>
          <t>JSON 상세는 dashboard_payload 파일 참조</t>
        </is>
      </c>
    </row>
    <row r="151" ht="24" customHeight="1">
      <c r="A151" s="24" t="inlineStr">
        <is>
          <t>ml_overlay</t>
        </is>
      </c>
      <c r="B151" s="24" t="inlineStr">
        <is>
          <t>비고</t>
        </is>
      </c>
      <c r="C151" s="24" t="inlineStr">
        <is>
          <t>This overlay is a deterministic decision-quality helper, not a realized-return predictor.</t>
        </is>
      </c>
      <c r="D151" s="24" t="inlineStr">
        <is>
          <t>JSON 상세는 dashboard_payload 파일 참조</t>
        </is>
      </c>
    </row>
    <row r="152" ht="24" customHeight="1">
      <c r="A152" s="29" t="inlineStr">
        <is>
          <t>ml_overlay</t>
        </is>
      </c>
      <c r="B152" s="29" t="inlineStr">
        <is>
          <t>note_kr</t>
        </is>
      </c>
      <c r="C152" s="29" t="inlineStr">
        <is>
          <t>미래수익률 예측모델이 아니라 대시보드/Chair용 설명가능 보조 가치평가 점수입니다.</t>
        </is>
      </c>
      <c r="D152" s="29" t="inlineStr">
        <is>
          <t>JSON 상세는 dashboard_payload 파일 참조</t>
        </is>
      </c>
    </row>
    <row r="153" ht="24" customHeight="1">
      <c r="A153" s="24" t="inlineStr">
        <is>
          <t>valuation_scorecard</t>
        </is>
      </c>
      <c r="B153" s="24" t="inlineStr">
        <is>
          <t>상위 블록</t>
        </is>
      </c>
      <c r="C153" s="24" t="inlineStr">
        <is>
          <t>8개 항목</t>
        </is>
      </c>
      <c r="D153" s="24" t="inlineStr">
        <is>
          <t>대시보드에서 객체로 사용</t>
        </is>
      </c>
    </row>
    <row r="154" ht="24" customHeight="1">
      <c r="A154" s="29" t="inlineStr">
        <is>
          <t>valuation_scorecard</t>
        </is>
      </c>
      <c r="B154" s="29" t="inlineStr">
        <is>
          <t>산출 방식</t>
        </is>
      </c>
      <c r="C154" s="29" t="inlineStr">
        <is>
          <t>DCF_25_PSR_15_QUALITY_15_REFERENCE_10_ADVANCED_20_LIQUIDITY_10_VALIDATION_5</t>
        </is>
      </c>
      <c r="D154" s="29" t="inlineStr">
        <is>
          <t>JSON 상세는 dashboard_payload 파일 참조</t>
        </is>
      </c>
    </row>
    <row r="155" ht="24" customHeight="1">
      <c r="A155" s="24" t="inlineStr">
        <is>
          <t>valuation_scorecard</t>
        </is>
      </c>
      <c r="B155" s="24" t="inlineStr">
        <is>
          <t>가치평가 방법</t>
        </is>
      </c>
      <c r="C155" s="24" t="inlineStr">
        <is>
          <t>DCF 25% + Peer P/S 15% + 품질 ML 15% + 208개 Universe 10% + 가치범위표/역산 DCF/오너 이익 20% + 유동성/리스크 10% + 검증 5%</t>
        </is>
      </c>
      <c r="D155" s="24" t="inlineStr">
        <is>
          <t>JSON 상세는 dashboard_payload 파일 참조</t>
        </is>
      </c>
    </row>
    <row r="156" ht="24" customHeight="1">
      <c r="A156" s="29" t="inlineStr">
        <is>
          <t>valuation_scorecard</t>
        </is>
      </c>
      <c r="B156" s="29" t="inlineStr">
        <is>
          <t>점수</t>
        </is>
      </c>
      <c r="C156" s="31" t="n">
        <v>47.03</v>
      </c>
      <c r="D156" s="29" t="inlineStr">
        <is>
          <t>JSON 상세는 dashboard_payload 파일 참조</t>
        </is>
      </c>
    </row>
    <row r="157" ht="24" customHeight="1">
      <c r="A157" s="24" t="inlineStr">
        <is>
          <t>valuation_scorecard</t>
        </is>
      </c>
      <c r="B157" s="24" t="inlineStr">
        <is>
          <t>라벨</t>
        </is>
      </c>
      <c r="C157" s="24" t="inlineStr">
        <is>
          <t>VALUATION_NEUTRAL</t>
        </is>
      </c>
      <c r="D157" s="24" t="inlineStr">
        <is>
          <t>JSON 상세는 dashboard_payload 파일 참조</t>
        </is>
      </c>
    </row>
    <row r="158" ht="24" customHeight="1">
      <c r="A158" s="29" t="inlineStr">
        <is>
          <t>valuation_scorecard</t>
        </is>
      </c>
      <c r="B158" s="29" t="inlineStr">
        <is>
          <t>한글 라벨</t>
        </is>
      </c>
      <c r="C158" s="29" t="inlineStr">
        <is>
          <t>중립</t>
        </is>
      </c>
      <c r="D158" s="29" t="inlineStr">
        <is>
          <t>JSON 상세는 dashboard_payload 파일 참조</t>
        </is>
      </c>
    </row>
    <row r="159" ht="24" customHeight="1">
      <c r="A159" s="24" t="inlineStr">
        <is>
          <t>valuation_scorecard</t>
        </is>
      </c>
      <c r="B159" s="24" t="inlineStr">
        <is>
          <t>종합 해석</t>
        </is>
      </c>
      <c r="C159" s="24" t="inlineStr">
        <is>
          <t>현 가격과 내재가치·상대가치가 크게 벌어지지 않은 구간입니다.</t>
        </is>
      </c>
      <c r="D159" s="24" t="inlineStr">
        <is>
          <t>JSON 상세는 dashboard_payload 파일 참조</t>
        </is>
      </c>
    </row>
    <row r="160" ht="24" customHeight="1">
      <c r="A160" s="29" t="inlineStr">
        <is>
          <t>valuation_scorecard</t>
        </is>
      </c>
      <c r="B160" s="29" t="inlineStr">
        <is>
          <t>factors</t>
        </is>
      </c>
      <c r="C160" s="29" t="inlineStr">
        <is>
          <t>7개 행</t>
        </is>
      </c>
      <c r="D160" s="29" t="inlineStr">
        <is>
          <t>JSON 상세는 dashboard_payload 파일 참조</t>
        </is>
      </c>
    </row>
    <row r="161" ht="24" customHeight="1">
      <c r="A161" s="24" t="inlineStr">
        <is>
          <t>valuation_scorecard</t>
        </is>
      </c>
      <c r="B161" s="24" t="inlineStr">
        <is>
          <t>dashboard_note_kr</t>
        </is>
      </c>
      <c r="C161" s="24" t="inlineStr">
        <is>
          <t>Chair 최종 가중합을 대체하지 않는 보조 밸류에이션 스코어입니다. DCF 단일값보다 다중 방법 검증을 우선합니다. 대시보드/엑셀 다운로드/투자자 요약에서 사용합니다.</t>
        </is>
      </c>
      <c r="D161" s="24" t="inlineStr">
        <is>
          <t>JSON 상세는 dashboard_payload 파일 참조</t>
        </is>
      </c>
    </row>
    <row r="162" ht="24" customHeight="1">
      <c r="A162" s="29" t="inlineStr">
        <is>
          <t>종합 가치평가</t>
        </is>
      </c>
      <c r="B162" s="29" t="inlineStr">
        <is>
          <t>상위 블록</t>
        </is>
      </c>
      <c r="C162" s="29" t="inlineStr">
        <is>
          <t>12개 항목</t>
        </is>
      </c>
      <c r="D162" s="29" t="inlineStr">
        <is>
          <t>대시보드에서 객체로 사용</t>
        </is>
      </c>
    </row>
    <row r="163" ht="24" customHeight="1">
      <c r="A163" s="24" t="inlineStr">
        <is>
          <t>종합 가치평가</t>
        </is>
      </c>
      <c r="B163" s="24" t="inlineStr">
        <is>
          <t>가치평가 방법</t>
        </is>
      </c>
      <c r="C163" s="24" t="inlineStr">
        <is>
          <t>DCF + 피어 멀티플 가치범위표 + 역산 DCF + 오너 이익/EPV + 시장내재 배수 + 데이터 커버리지</t>
        </is>
      </c>
      <c r="D163" s="24" t="inlineStr">
        <is>
          <t>JSON 상세는 dashboard_payload 파일 참조</t>
        </is>
      </c>
    </row>
    <row r="164" ht="24" customHeight="1">
      <c r="A164" s="29" t="inlineStr">
        <is>
          <t>종합 가치평가</t>
        </is>
      </c>
      <c r="B164" s="29" t="inlineStr">
        <is>
          <t>종합 가치평가 점수</t>
        </is>
      </c>
      <c r="C164" s="31" t="n">
        <v>38</v>
      </c>
      <c r="D164" s="29" t="inlineStr">
        <is>
          <t>JSON 상세는 dashboard_payload 파일 참조</t>
        </is>
      </c>
    </row>
    <row r="165" ht="24" customHeight="1">
      <c r="A165" s="24" t="inlineStr">
        <is>
          <t>종합 가치평가</t>
        </is>
      </c>
      <c r="B165" s="24" t="inlineStr">
        <is>
          <t>신뢰도 등급</t>
        </is>
      </c>
      <c r="C165" s="24" t="inlineStr">
        <is>
          <t>낮음</t>
        </is>
      </c>
      <c r="D165" s="24" t="inlineStr">
        <is>
          <t>JSON 상세는 dashboard_payload 파일 참조</t>
        </is>
      </c>
    </row>
    <row r="166" ht="24" customHeight="1">
      <c r="A166" s="29" t="inlineStr">
        <is>
          <t>종합 가치평가</t>
        </is>
      </c>
      <c r="B166" s="29" t="inlineStr">
        <is>
          <t>가치범위표</t>
        </is>
      </c>
      <c r="C166" s="29" t="inlineStr">
        <is>
          <t>7개 항목</t>
        </is>
      </c>
      <c r="D166" s="29" t="inlineStr">
        <is>
          <t>JSON 상세는 dashboard_payload 파일 참조</t>
        </is>
      </c>
    </row>
    <row r="167" ht="24" customHeight="1">
      <c r="A167" s="24" t="inlineStr">
        <is>
          <t>종합 가치평가</t>
        </is>
      </c>
      <c r="B167" s="24" t="inlineStr">
        <is>
          <t>가치평가 방법</t>
        </is>
      </c>
      <c r="C167" s="24" t="inlineStr">
        <is>
          <t>6개 행</t>
        </is>
      </c>
      <c r="D167" s="24" t="inlineStr">
        <is>
          <t>JSON 상세는 dashboard_payload 파일 참조</t>
        </is>
      </c>
    </row>
    <row r="168" ht="24" customHeight="1">
      <c r="A168" s="29" t="inlineStr">
        <is>
          <t>종합 가치평가</t>
        </is>
      </c>
      <c r="B168" s="29" t="inlineStr">
        <is>
          <t>역산 DCF</t>
        </is>
      </c>
      <c r="C168" s="29" t="inlineStr">
        <is>
          <t>9개 항목</t>
        </is>
      </c>
      <c r="D168" s="29" t="inlineStr">
        <is>
          <t>JSON 상세는 dashboard_payload 파일 참조</t>
        </is>
      </c>
    </row>
    <row r="169" ht="24" customHeight="1">
      <c r="A169" s="24" t="inlineStr">
        <is>
          <t>종합 가치평가</t>
        </is>
      </c>
      <c r="B169" s="24" t="inlineStr">
        <is>
          <t>오너 이익</t>
        </is>
      </c>
      <c r="C169" s="24" t="inlineStr">
        <is>
          <t>11개 항목</t>
        </is>
      </c>
      <c r="D169" s="24" t="inlineStr">
        <is>
          <t>JSON 상세는 dashboard_payload 파일 참조</t>
        </is>
      </c>
    </row>
    <row r="170" ht="24" customHeight="1">
      <c r="A170" s="29" t="inlineStr">
        <is>
          <t>종합 가치평가</t>
        </is>
      </c>
      <c r="B170" s="29" t="inlineStr">
        <is>
          <t>시장내재 배수</t>
        </is>
      </c>
      <c r="C170" s="29" t="inlineStr">
        <is>
          <t>14개 항목</t>
        </is>
      </c>
      <c r="D170" s="29" t="inlineStr">
        <is>
          <t>JSON 상세는 dashboard_payload 파일 참조</t>
        </is>
      </c>
    </row>
    <row r="171" ht="24" customHeight="1">
      <c r="A171" s="24" t="inlineStr">
        <is>
          <t>종합 가치평가</t>
        </is>
      </c>
      <c r="B171" s="24" t="inlineStr">
        <is>
          <t>품질 진단</t>
        </is>
      </c>
      <c r="C171" s="24" t="inlineStr">
        <is>
          <t>8개 행</t>
        </is>
      </c>
      <c r="D171" s="24" t="inlineStr">
        <is>
          <t>JSON 상세는 dashboard_payload 파일 참조</t>
        </is>
      </c>
    </row>
    <row r="172" ht="24" customHeight="1">
      <c r="A172" s="29" t="inlineStr">
        <is>
          <t>종합 가치평가</t>
        </is>
      </c>
      <c r="B172" s="29" t="inlineStr">
        <is>
          <t>source_completion_plan</t>
        </is>
      </c>
      <c r="C172" s="29" t="inlineStr">
        <is>
          <t>6개 행</t>
        </is>
      </c>
      <c r="D172" s="29" t="inlineStr">
        <is>
          <t>JSON 상세는 dashboard_payload 파일 참조</t>
        </is>
      </c>
    </row>
    <row r="173" ht="24" customHeight="1">
      <c r="A173" s="24" t="inlineStr">
        <is>
          <t>종합 가치평가</t>
        </is>
      </c>
      <c r="B173" s="24" t="inlineStr">
        <is>
          <t>market_snapshot</t>
        </is>
      </c>
      <c r="C173" s="24" t="inlineStr">
        <is>
          <t>30개 항목</t>
        </is>
      </c>
      <c r="D173" s="24" t="inlineStr">
        <is>
          <t>JSON 상세는 dashboard_payload 파일 참조</t>
        </is>
      </c>
    </row>
    <row r="174" ht="24" customHeight="1">
      <c r="A174" s="29" t="inlineStr">
        <is>
          <t>종합 가치평가</t>
        </is>
      </c>
      <c r="B174" s="29" t="inlineStr">
        <is>
          <t>dashboard_note_kr</t>
        </is>
      </c>
      <c r="C174" s="29" t="inlineStr">
        <is>
          <t>투자은행식 valuation pack에서 자주 쓰는 DCF·Comps·역산 DCF·오너 이익·시장내재배수 교차검증을 제공합니다.</t>
        </is>
      </c>
      <c r="D174" s="29" t="inlineStr">
        <is>
          <t>JSON 상세는 dashboard_payload 파일 참조</t>
        </is>
      </c>
    </row>
    <row r="175" ht="24" customHeight="1">
      <c r="A175" s="24" t="inlineStr">
        <is>
          <t>시장내재 배수</t>
        </is>
      </c>
      <c r="B175" s="24" t="inlineStr">
        <is>
          <t>상위 블록</t>
        </is>
      </c>
      <c r="C175" s="24" t="inlineStr">
        <is>
          <t>14개 항목</t>
        </is>
      </c>
      <c r="D175" s="24" t="inlineStr">
        <is>
          <t>대시보드에서 객체로 사용</t>
        </is>
      </c>
    </row>
    <row r="176" ht="24" customHeight="1">
      <c r="A176" s="29" t="inlineStr">
        <is>
          <t>시장내재 배수</t>
        </is>
      </c>
      <c r="B176" s="29" t="inlineStr">
        <is>
          <t>latest_close</t>
        </is>
      </c>
      <c r="C176" s="31" t="n">
        <v>107300</v>
      </c>
      <c r="D176" s="29" t="inlineStr">
        <is>
          <t>JSON 상세는 dashboard_payload 파일 참조</t>
        </is>
      </c>
    </row>
    <row r="177" ht="24" customHeight="1">
      <c r="A177" s="24" t="inlineStr">
        <is>
          <t>시장내재 배수</t>
        </is>
      </c>
      <c r="B177" s="24" t="inlineStr">
        <is>
          <t>시가총액</t>
        </is>
      </c>
      <c r="C177" s="30" t="n">
        <v>3108128412200</v>
      </c>
      <c r="D177" s="24" t="inlineStr">
        <is>
          <t>JSON 상세는 dashboard_payload 파일 참조</t>
        </is>
      </c>
    </row>
    <row r="178" ht="24" customHeight="1">
      <c r="A178" s="29" t="inlineStr">
        <is>
          <t>시장내재 배수</t>
        </is>
      </c>
      <c r="B178" s="29" t="inlineStr">
        <is>
          <t>EV proxy</t>
        </is>
      </c>
      <c r="C178" s="31" t="n">
        <v>3095668700461</v>
      </c>
      <c r="D178" s="29" t="inlineStr">
        <is>
          <t>JSON 상세는 dashboard_payload 파일 참조</t>
        </is>
      </c>
    </row>
    <row r="179" ht="24" customHeight="1">
      <c r="A179" s="24" t="inlineStr">
        <is>
          <t>시장내재 배수</t>
        </is>
      </c>
      <c r="B179" s="24" t="inlineStr">
        <is>
          <t>psr_market</t>
        </is>
      </c>
      <c r="C179" s="30" t="n">
        <v>6.797985576664765</v>
      </c>
      <c r="D179" s="24" t="inlineStr">
        <is>
          <t>JSON 상세는 dashboard_payload 파일 참조</t>
        </is>
      </c>
    </row>
    <row r="180" ht="24" customHeight="1">
      <c r="A180" s="29" t="inlineStr">
        <is>
          <t>시장내재 배수</t>
        </is>
      </c>
      <c r="B180" s="29" t="inlineStr">
        <is>
          <t>pbr_market</t>
        </is>
      </c>
      <c r="C180" s="31" t="n">
        <v>5.766084084226305</v>
      </c>
      <c r="D180" s="29" t="inlineStr">
        <is>
          <t>JSON 상세는 dashboard_payload 파일 참조</t>
        </is>
      </c>
    </row>
    <row r="181" ht="24" customHeight="1">
      <c r="A181" s="24" t="inlineStr">
        <is>
          <t>시장내재 배수</t>
        </is>
      </c>
      <c r="B181" s="24" t="inlineStr">
        <is>
          <t>per_market</t>
        </is>
      </c>
      <c r="C181" s="24" t="inlineStr">
        <is>
          <t>해당 없음</t>
        </is>
      </c>
      <c r="D181" s="24" t="inlineStr">
        <is>
          <t>JSON 상세는 dashboard_payload 파일 참조</t>
        </is>
      </c>
    </row>
    <row r="182" ht="24" customHeight="1">
      <c r="A182" s="29" t="inlineStr">
        <is>
          <t>시장내재 배수</t>
        </is>
      </c>
      <c r="B182" s="29" t="inlineStr">
        <is>
          <t>p_fcf_market</t>
        </is>
      </c>
      <c r="C182" s="31" t="n">
        <v>50.35107518499373</v>
      </c>
      <c r="D182" s="29" t="inlineStr">
        <is>
          <t>JSON 상세는 dashboard_payload 파일 참조</t>
        </is>
      </c>
    </row>
    <row r="183" ht="24" customHeight="1">
      <c r="A183" s="24" t="inlineStr">
        <is>
          <t>시장내재 배수</t>
        </is>
      </c>
      <c r="B183" s="24" t="inlineStr">
        <is>
          <t>ev_sales_market</t>
        </is>
      </c>
      <c r="C183" s="30" t="n">
        <v>6.770734147683049</v>
      </c>
      <c r="D183" s="24" t="inlineStr">
        <is>
          <t>JSON 상세는 dashboard_payload 파일 참조</t>
        </is>
      </c>
    </row>
    <row r="184" ht="24" customHeight="1">
      <c r="A184" s="29" t="inlineStr">
        <is>
          <t>시장내재 배수</t>
        </is>
      </c>
      <c r="B184" s="29" t="inlineStr">
        <is>
          <t>ev_ebit_market</t>
        </is>
      </c>
      <c r="C184" s="31" t="n">
        <v>34.98165642736185</v>
      </c>
      <c r="D184" s="29" t="inlineStr">
        <is>
          <t>JSON 상세는 dashboard_payload 파일 참조</t>
        </is>
      </c>
    </row>
    <row r="185" ht="24" customHeight="1">
      <c r="A185" s="24" t="inlineStr">
        <is>
          <t>시장내재 배수</t>
        </is>
      </c>
      <c r="B185" s="24" t="inlineStr">
        <is>
          <t>eps_derived</t>
        </is>
      </c>
      <c r="C185" s="24" t="inlineStr">
        <is>
          <t>해당 없음</t>
        </is>
      </c>
      <c r="D185" s="24" t="inlineStr">
        <is>
          <t>JSON 상세는 dashboard_payload 파일 참조</t>
        </is>
      </c>
    </row>
    <row r="186" ht="24" customHeight="1">
      <c r="A186" s="29" t="inlineStr">
        <is>
          <t>시장내재 배수</t>
        </is>
      </c>
      <c r="B186" s="29" t="inlineStr">
        <is>
          <t>bps_derived</t>
        </is>
      </c>
      <c r="C186" s="31" t="n">
        <v>18608.81638780291</v>
      </c>
      <c r="D186" s="29" t="inlineStr">
        <is>
          <t>JSON 상세는 dashboard_payload 파일 참조</t>
        </is>
      </c>
    </row>
    <row r="187" ht="24" customHeight="1">
      <c r="A187" s="24" t="inlineStr">
        <is>
          <t>시장내재 배수</t>
        </is>
      </c>
      <c r="B187" s="24" t="inlineStr">
        <is>
          <t>fcf_yield_market</t>
        </is>
      </c>
      <c r="C187" s="30" t="n">
        <v>0.0198605490811452</v>
      </c>
      <c r="D187" s="24" t="inlineStr">
        <is>
          <t>JSON 상세는 dashboard_payload 파일 참조</t>
        </is>
      </c>
    </row>
    <row r="188" ht="24" customHeight="1">
      <c r="A188" s="29" t="inlineStr">
        <is>
          <t>시장내재 배수</t>
        </is>
      </c>
      <c r="B188" s="29" t="inlineStr">
        <is>
          <t>sales_yield_market</t>
        </is>
      </c>
      <c r="C188" s="31" t="n">
        <v>0.147102400957229</v>
      </c>
      <c r="D188" s="29" t="inlineStr">
        <is>
          <t>JSON 상세는 dashboard_payload 파일 참조</t>
        </is>
      </c>
    </row>
    <row r="189" ht="24" customHeight="1">
      <c r="A189" s="24" t="inlineStr">
        <is>
          <t>시장내재 배수</t>
        </is>
      </c>
      <c r="B189" s="24" t="inlineStr">
        <is>
          <t>source_kr</t>
        </is>
      </c>
      <c r="C189" s="24" t="inlineStr">
        <is>
          <t>DART 정규화 재무제표 + Valuation Agent 주가/발행주식 수 intake로 자동 산출</t>
        </is>
      </c>
      <c r="D189" s="24" t="inlineStr">
        <is>
          <t>JSON 상세는 dashboard_payload 파일 참조</t>
        </is>
      </c>
    </row>
    <row r="190" ht="24" customHeight="1">
      <c r="A190" s="29" t="inlineStr">
        <is>
          <t>품질 진단</t>
        </is>
      </c>
      <c r="B190" s="29" t="inlineStr">
        <is>
          <t>목록</t>
        </is>
      </c>
      <c r="C190" s="29" t="inlineStr">
        <is>
          <t>8개 행</t>
        </is>
      </c>
      <c r="D190" s="29" t="inlineStr">
        <is>
          <t>대시보드 표/차트 원천</t>
        </is>
      </c>
    </row>
    <row r="191" ht="24" customHeight="1">
      <c r="A191" s="24" t="inlineStr">
        <is>
          <t>검증 결과</t>
        </is>
      </c>
      <c r="B191" s="24" t="inlineStr">
        <is>
          <t>상위 블록</t>
        </is>
      </c>
      <c r="C191" s="24" t="inlineStr">
        <is>
          <t>4개 항목</t>
        </is>
      </c>
      <c r="D191" s="24" t="inlineStr">
        <is>
          <t>대시보드에서 객체로 사용</t>
        </is>
      </c>
    </row>
    <row r="192" ht="24" customHeight="1">
      <c r="A192" s="29" t="inlineStr">
        <is>
          <t>검증 결과</t>
        </is>
      </c>
      <c r="B192" s="29" t="inlineStr">
        <is>
          <t>상태</t>
        </is>
      </c>
      <c r="C192" s="29" t="inlineStr">
        <is>
          <t>PASS</t>
        </is>
      </c>
      <c r="D192" s="29" t="inlineStr">
        <is>
          <t>JSON 상세는 dashboard_payload 파일 참조</t>
        </is>
      </c>
    </row>
    <row r="193" ht="24" customHeight="1">
      <c r="A193" s="24" t="inlineStr">
        <is>
          <t>검증 결과</t>
        </is>
      </c>
      <c r="B193" s="24" t="inlineStr">
        <is>
          <t>issues</t>
        </is>
      </c>
      <c r="C193" s="24" t="inlineStr">
        <is>
          <t>1개 행</t>
        </is>
      </c>
      <c r="D193" s="24" t="inlineStr">
        <is>
          <t>JSON 상세는 dashboard_payload 파일 참조</t>
        </is>
      </c>
    </row>
    <row r="194" ht="24" customHeight="1">
      <c r="A194" s="29" t="inlineStr">
        <is>
          <t>검증 결과</t>
        </is>
      </c>
      <c r="B194" s="29" t="inlineStr">
        <is>
          <t>audit_trail</t>
        </is>
      </c>
      <c r="C194" s="29" t="inlineStr">
        <is>
          <t>6개 행</t>
        </is>
      </c>
      <c r="D194" s="29" t="inlineStr">
        <is>
          <t>JSON 상세는 dashboard_payload 파일 참조</t>
        </is>
      </c>
    </row>
    <row r="195" ht="24" customHeight="1">
      <c r="A195" s="24" t="inlineStr">
        <is>
          <t>검증 결과</t>
        </is>
      </c>
      <c r="B195" s="24" t="inlineStr">
        <is>
          <t>principle</t>
        </is>
      </c>
      <c r="C195" s="24" t="inlineStr">
        <is>
          <t>valuation_agent 자체 데이터/모델 일관성 검증; 기존 web-auditor 의존 없음</t>
        </is>
      </c>
      <c r="D195" s="24" t="inlineStr">
        <is>
          <t>JSON 상세는 dashboard_payload 파일 참조</t>
        </is>
      </c>
    </row>
    <row r="196" ht="24" customHeight="1">
      <c r="A196" s="29" t="inlineStr">
        <is>
          <t>display_labels_kr</t>
        </is>
      </c>
      <c r="B196" s="29" t="inlineStr">
        <is>
          <t>상위 블록</t>
        </is>
      </c>
      <c r="C196" s="29" t="inlineStr">
        <is>
          <t>8개 항목</t>
        </is>
      </c>
      <c r="D196" s="29" t="inlineStr">
        <is>
          <t>대시보드에서 객체로 사용</t>
        </is>
      </c>
    </row>
    <row r="197" ht="24" customHeight="1">
      <c r="A197" s="24" t="inlineStr">
        <is>
          <t>display_labels_kr</t>
        </is>
      </c>
      <c r="B197" s="24" t="inlineStr">
        <is>
          <t>summary_cards</t>
        </is>
      </c>
      <c r="C197" s="24" t="inlineStr">
        <is>
          <t>핵심 요약 카드</t>
        </is>
      </c>
      <c r="D197" s="24" t="inlineStr">
        <is>
          <t>JSON 상세는 dashboard_payload 파일 참조</t>
        </is>
      </c>
    </row>
    <row r="198" ht="24" customHeight="1">
      <c r="A198" s="29" t="inlineStr">
        <is>
          <t>display_labels_kr</t>
        </is>
      </c>
      <c r="B198" s="29" t="inlineStr">
        <is>
          <t>price_history</t>
        </is>
      </c>
      <c r="C198" s="29" t="inlineStr">
        <is>
          <t>주가 차트</t>
        </is>
      </c>
      <c r="D198" s="29" t="inlineStr">
        <is>
          <t>JSON 상세는 dashboard_payload 파일 참조</t>
        </is>
      </c>
    </row>
    <row r="199" ht="24" customHeight="1">
      <c r="A199" s="24" t="inlineStr">
        <is>
          <t>display_labels_kr</t>
        </is>
      </c>
      <c r="B199" s="24" t="inlineStr">
        <is>
          <t>historical_financials</t>
        </is>
      </c>
      <c r="C199" s="24" t="inlineStr">
        <is>
          <t>재무 추이</t>
        </is>
      </c>
      <c r="D199" s="24" t="inlineStr">
        <is>
          <t>JSON 상세는 dashboard_payload 파일 참조</t>
        </is>
      </c>
    </row>
    <row r="200" ht="24" customHeight="1">
      <c r="A200" s="29" t="inlineStr">
        <is>
          <t>display_labels_kr</t>
        </is>
      </c>
      <c r="B200" s="29" t="inlineStr">
        <is>
          <t>fcf_projection</t>
        </is>
      </c>
      <c r="C200" s="29" t="inlineStr">
        <is>
          <t>FCF 추정</t>
        </is>
      </c>
      <c r="D200" s="29" t="inlineStr">
        <is>
          <t>JSON 상세는 dashboard_payload 파일 참조</t>
        </is>
      </c>
    </row>
    <row r="201" ht="24" customHeight="1">
      <c r="A201" s="24" t="inlineStr">
        <is>
          <t>display_labels_kr</t>
        </is>
      </c>
      <c r="B201" s="24" t="inlineStr">
        <is>
          <t>peer_multiples</t>
        </is>
      </c>
      <c r="C201" s="24" t="inlineStr">
        <is>
          <t>비교기업 멀티플 비교</t>
        </is>
      </c>
      <c r="D201" s="24" t="inlineStr">
        <is>
          <t>JSON 상세는 dashboard_payload 파일 참조</t>
        </is>
      </c>
    </row>
    <row r="202" ht="24" customHeight="1">
      <c r="A202" s="29" t="inlineStr">
        <is>
          <t>display_labels_kr</t>
        </is>
      </c>
      <c r="B202" s="29" t="inlineStr">
        <is>
          <t>reference_universe_focus</t>
        </is>
      </c>
      <c r="C202" s="29" t="inlineStr">
        <is>
          <t>208개 반도체 비교군 상대위치</t>
        </is>
      </c>
      <c r="D202" s="29" t="inlineStr">
        <is>
          <t>JSON 상세는 dashboard_payload 파일 참조</t>
        </is>
      </c>
    </row>
    <row r="203" ht="24" customHeight="1">
      <c r="A203" s="24" t="inlineStr">
        <is>
          <t>display_labels_kr</t>
        </is>
      </c>
      <c r="B203" s="24" t="inlineStr">
        <is>
          <t>advanced_valuation</t>
        </is>
      </c>
      <c r="C203" s="24" t="inlineStr">
        <is>
          <t>종합 가치평가</t>
        </is>
      </c>
      <c r="D203" s="24" t="inlineStr">
        <is>
          <t>JSON 상세는 dashboard_payload 파일 참조</t>
        </is>
      </c>
    </row>
    <row r="204" ht="24" customHeight="1">
      <c r="A204" s="29" t="inlineStr">
        <is>
          <t>display_labels_kr</t>
        </is>
      </c>
      <c r="B204" s="29" t="inlineStr">
        <is>
          <t>download_workbook</t>
        </is>
      </c>
      <c r="C204" s="29" t="inlineStr">
        <is>
          <t>엑셀 다운로드</t>
        </is>
      </c>
      <c r="D204" s="29" t="inlineStr">
        <is>
          <t>JSON 상세는 dashboard_payload 파일 참조</t>
        </is>
      </c>
    </row>
    <row r="205" ht="24" customHeight="1">
      <c r="A205" s="24" t="inlineStr">
        <is>
          <t>dashboard_usage_note</t>
        </is>
      </c>
      <c r="B205" s="24" t="inlineStr">
        <is>
          <t>값</t>
        </is>
      </c>
      <c r="C205" s="24" t="inlineStr">
        <is>
          <t>Streamlit/React 대시보드에서 한국어 카드, 주가 차트, DCF·P/S·P/B·PER·가치범위표, 208개 기준 비교군 표/산점도, 검증 배지, 엑셀 다운로드 버튼에 바로 연결할 수 있습니다.</t>
        </is>
      </c>
      <c r="D205" s="24" t="inlineStr">
        <is>
          <t>대시보드 기본값</t>
        </is>
      </c>
    </row>
  </sheetData>
  <autoFilter ref="A2:D205"/>
  <mergeCells count="1">
    <mergeCell ref="A1:F1"/>
  </mergeCells>
  <pageMargins left="0.75" right="0.75" top="1" bottom="1" header="0.5" footer="0.5"/>
  <pageSetup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감사 추적</t>
        </is>
      </c>
    </row>
    <row r="2" ht="24" customHeight="1">
      <c r="A2" s="25" t="inlineStr">
        <is>
          <t>단계</t>
        </is>
      </c>
      <c r="B2" s="25" t="inlineStr">
        <is>
          <t>상태</t>
        </is>
      </c>
      <c r="C2" s="25" t="inlineStr">
        <is>
          <t>rows</t>
        </is>
      </c>
      <c r="D2" s="25" t="inlineStr">
        <is>
          <t>발행주식 수</t>
        </is>
      </c>
      <c r="E2" s="25" t="inlineStr">
        <is>
          <t>시가총액</t>
        </is>
      </c>
      <c r="F2" s="25" t="inlineStr">
        <is>
          <t>20일 평균 거래대금</t>
        </is>
      </c>
    </row>
    <row r="3" ht="24" customHeight="1">
      <c r="A3" s="24" t="inlineStr">
        <is>
          <t>normalized_financials</t>
        </is>
      </c>
      <c r="B3" s="24" t="inlineStr">
        <is>
          <t>OK</t>
        </is>
      </c>
      <c r="C3" s="30" t="n">
        <v>5</v>
      </c>
      <c r="D3" s="24" t="inlineStr">
        <is>
          <t>해당 없음</t>
        </is>
      </c>
      <c r="E3" s="24" t="inlineStr">
        <is>
          <t>해당 없음</t>
        </is>
      </c>
      <c r="F3" s="24" t="inlineStr">
        <is>
          <t>해당 없음</t>
        </is>
      </c>
    </row>
    <row r="4" ht="24" customHeight="1">
      <c r="A4" s="29" t="inlineStr">
        <is>
          <t>price_history</t>
        </is>
      </c>
      <c r="B4" s="29" t="inlineStr">
        <is>
          <t>OK</t>
        </is>
      </c>
      <c r="C4" s="31" t="n">
        <v>1222</v>
      </c>
      <c r="D4" s="29" t="inlineStr">
        <is>
          <t>해당 없음</t>
        </is>
      </c>
      <c r="E4" s="29" t="inlineStr">
        <is>
          <t>해당 없음</t>
        </is>
      </c>
      <c r="F4" s="29" t="inlineStr">
        <is>
          <t>해당 없음</t>
        </is>
      </c>
    </row>
    <row r="5" ht="24" customHeight="1">
      <c r="A5" s="24" t="inlineStr">
        <is>
          <t>share_count</t>
        </is>
      </c>
      <c r="B5" s="24" t="inlineStr">
        <is>
          <t>OK</t>
        </is>
      </c>
      <c r="C5" s="24" t="inlineStr">
        <is>
          <t>해당 없음</t>
        </is>
      </c>
      <c r="D5" s="30" t="n">
        <v>28966714</v>
      </c>
      <c r="E5" s="24" t="inlineStr">
        <is>
          <t>해당 없음</t>
        </is>
      </c>
      <c r="F5" s="24" t="inlineStr">
        <is>
          <t>해당 없음</t>
        </is>
      </c>
    </row>
    <row r="6" ht="24" customHeight="1">
      <c r="A6" s="29" t="inlineStr">
        <is>
          <t>reference_universe</t>
        </is>
      </c>
      <c r="B6" s="29" t="inlineStr">
        <is>
          <t>OK</t>
        </is>
      </c>
      <c r="C6" s="31" t="n">
        <v>208</v>
      </c>
      <c r="D6" s="29" t="inlineStr">
        <is>
          <t>해당 없음</t>
        </is>
      </c>
      <c r="E6" s="29" t="inlineStr">
        <is>
          <t>해당 없음</t>
        </is>
      </c>
      <c r="F6" s="29" t="inlineStr">
        <is>
          <t>해당 없음</t>
        </is>
      </c>
    </row>
    <row r="7" ht="24" customHeight="1">
      <c r="A7" s="24" t="inlineStr">
        <is>
          <t>market_cap</t>
        </is>
      </c>
      <c r="B7" s="24" t="inlineStr">
        <is>
          <t>OK</t>
        </is>
      </c>
      <c r="C7" s="24" t="inlineStr">
        <is>
          <t>해당 없음</t>
        </is>
      </c>
      <c r="D7" s="24" t="inlineStr">
        <is>
          <t>해당 없음</t>
        </is>
      </c>
      <c r="E7" s="30" t="n">
        <v>3108128412200</v>
      </c>
      <c r="F7" s="24" t="inlineStr">
        <is>
          <t>해당 없음</t>
        </is>
      </c>
    </row>
    <row r="8" ht="24" customHeight="1">
      <c r="A8" s="29" t="inlineStr">
        <is>
          <t>liquidity_proxy</t>
        </is>
      </c>
      <c r="B8" s="29" t="inlineStr">
        <is>
          <t>OK</t>
        </is>
      </c>
      <c r="C8" s="29" t="inlineStr">
        <is>
          <t>해당 없음</t>
        </is>
      </c>
      <c r="D8" s="29" t="inlineStr">
        <is>
          <t>해당 없음</t>
        </is>
      </c>
      <c r="E8" s="29" t="inlineStr">
        <is>
          <t>해당 없음</t>
        </is>
      </c>
      <c r="F8" s="31" t="n">
        <v>33996845420</v>
      </c>
    </row>
  </sheetData>
  <autoFilter ref="A2:F8"/>
  <mergeCells count="1">
    <mergeCell ref="A1:F1"/>
  </mergeCells>
  <pageMargins left="0.75" right="0.75" top="1" bottom="1" header="0.5" footer="0.5"/>
  <pageSetup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업로드 파이낸셜 모델링 파일에서 추출한 설계 archetype</t>
        </is>
      </c>
    </row>
    <row r="2" ht="24" customHeight="1">
      <c r="A2" s="25" t="inlineStr">
        <is>
          <t>모델 유형</t>
        </is>
      </c>
      <c r="B2" s="25" t="inlineStr">
        <is>
          <t>설명</t>
        </is>
      </c>
      <c r="C2" s="25" t="inlineStr">
        <is>
          <t>참조 파일 패턴</t>
        </is>
      </c>
      <c r="D2" s="25" t="inlineStr">
        <is>
          <t>관찰된 시트</t>
        </is>
      </c>
      <c r="E2" s="25" t="inlineStr">
        <is>
          <t>권장 시트</t>
        </is>
      </c>
      <c r="F2" s="25" t="inlineStr">
        <is>
          <t>필요 데이터</t>
        </is>
      </c>
      <c r="G2" s="25" t="inlineStr">
        <is>
          <t>키워드</t>
        </is>
      </c>
    </row>
    <row r="3" ht="24" customHeight="1">
      <c r="A3" s="24" t="inlineStr">
        <is>
          <t>DCF_CORE</t>
        </is>
      </c>
      <c r="B3" s="24" t="inlineStr">
        <is>
          <t>DCF 핵심 모델: 가정, 정규화 재무제표, WACC, FCF 추정, DCF, 검증체크.</t>
        </is>
      </c>
      <c r="C3" s="24" t="inlineStr">
        <is>
          <t>파이낸셜 모델링 플레이북 / DCF, Value, Valuation, FCF, WACC 실습형 파일</t>
        </is>
      </c>
      <c r="D3" s="24" t="inlineStr">
        <is>
          <t>DCF | Summary | Sales | COGS | SG&amp;A | CAPEX Dep. | WC | Debt | FCF | WACC | Value</t>
        </is>
      </c>
      <c r="E3" s="24" t="inlineStr">
        <is>
          <t>01_ReadMe | 02_Assumptions | 03_Raw_Financials | 04_Normalized_FS | 05_Key_Ratios | 06_WACC | 07_FCF_Projection | 08_DCF | 09_Sensitivity | 10_Checks</t>
        </is>
      </c>
      <c r="F3" s="24" t="inlineStr">
        <is>
          <t>financial_statements | price_history | capital_structure | macro_assumptions | shares_outstanding</t>
        </is>
      </c>
      <c r="G3" s="24" t="inlineStr">
        <is>
          <t>dcf | wacc | fcf | valuation | value | capex | debt</t>
        </is>
      </c>
    </row>
    <row r="4" ht="24" customHeight="1">
      <c r="A4" s="29" t="inlineStr">
        <is>
          <t>THREE_STATEMENT_MODEL</t>
        </is>
      </c>
      <c r="B4" s="29" t="inlineStr">
        <is>
          <t>Three-statement style model: PL/BS/CF raw data normalization and operating driver projection.</t>
        </is>
      </c>
      <c r="C4" s="29" t="inlineStr">
        <is>
          <t>재무모델링/재무기획 자료 중 FS, BS, PL, CF, Raw data, Normalized 형태</t>
        </is>
      </c>
      <c r="D4" s="29" t="inlineStr">
        <is>
          <t>FS | BS | PL | CF | Raw data | Input | Output | Check</t>
        </is>
      </c>
      <c r="E4" s="29" t="inlineStr">
        <is>
          <t>01_ReadMe | 02_Source_Map | 03_Raw_Financials | 04_Normalized_FS | 05_Ratio_Drivers | 06_Projection | 07_Checks</t>
        </is>
      </c>
      <c r="F4" s="29" t="inlineStr">
        <is>
          <t>financial_statements | account_mapping | historical_ratios | projection_drivers</t>
        </is>
      </c>
      <c r="G4" s="29" t="inlineStr">
        <is>
          <t>fs | bs | pl | cf | raw | normalized | projection</t>
        </is>
      </c>
    </row>
    <row r="5" ht="24" customHeight="1">
      <c r="A5" s="24" t="inlineStr">
        <is>
          <t>PEER_COMPS</t>
        </is>
      </c>
      <c r="B5" s="24" t="inlineStr">
        <is>
          <t>Comparable-company workbook for peer multiples and relative valuation.</t>
        </is>
      </c>
      <c r="C5" s="24" t="inlineStr">
        <is>
          <t>Peer Analysis, 시장/산업 비교, valuation multiple 관련 시트</t>
        </is>
      </c>
      <c r="D5" s="24" t="inlineStr">
        <is>
          <t>Peer Analysis | Comps | Market | Industry | Output</t>
        </is>
      </c>
      <c r="E5" s="24" t="inlineStr">
        <is>
          <t>01_ReadMe | 02_Peer_Universe | 03_Peer_Raw_Data | 04_Peer_Multiples | 05_Relative_Value | 06_Checks</t>
        </is>
      </c>
      <c r="F5" s="24" t="inlineStr">
        <is>
          <t>peer_financials | peer_prices | market_cap | revenue | net_income | equity</t>
        </is>
      </c>
      <c r="G5" s="24" t="inlineStr">
        <is>
          <t>peer | comps | multiple | per | pbr | psr | ev</t>
        </is>
      </c>
    </row>
    <row r="6" ht="24" customHeight="1">
      <c r="A6" s="29" t="inlineStr">
        <is>
          <t>SCENARIO_SENSITIVITY</t>
        </is>
      </c>
      <c r="B6" s="29" t="inlineStr">
        <is>
          <t>Scenario workbook: base/bull/bear assumptions and DCF sensitivity table.</t>
        </is>
      </c>
      <c r="C6" s="29" t="inlineStr">
        <is>
          <t>Scenario, Sensitivity, 가정별 변화 보기, Check 관련 시트</t>
        </is>
      </c>
      <c r="D6" s="29" t="inlineStr">
        <is>
          <t>Scenario | Sensitivity | Input | Check | Output</t>
        </is>
      </c>
      <c r="E6" s="29" t="inlineStr">
        <is>
          <t>01_ReadMe | 02_Assumptions | 03_Scenario_Setup | 04_DCF_Base | 05_Sensitivity | 06_Checks</t>
        </is>
      </c>
      <c r="F6" s="29" t="inlineStr">
        <is>
          <t>base_assumptions | wacc_range | terminal_growth_range | growth_scenarios</t>
        </is>
      </c>
      <c r="G6" s="29" t="inlineStr">
        <is>
          <t>scenario | sensitivity | case | bear | bull | check</t>
        </is>
      </c>
    </row>
    <row r="7" ht="24" customHeight="1">
      <c r="A7" s="24" t="inlineStr">
        <is>
          <t>MANUFACTURING_DRIVER_MODEL</t>
        </is>
      </c>
      <c r="B7" s="24" t="inlineStr">
        <is>
          <t>Manufacturing-style driver model inferred from sheets such as Sales, COGS, CAPEX, SG&amp;A, WC, TAX, DEBT and Backdata.</t>
        </is>
      </c>
      <c r="C7" s="24" t="inlineStr">
        <is>
          <t>제조업/DCF Valuation_after_22ver/DCF+CoCo Valuation+reporting 등 driver-based workbook</t>
        </is>
      </c>
      <c r="D7" s="24" t="inlineStr">
        <is>
          <t>DCF Results | Output☞ | Report | CoCo | DCF | FCST BS | FCST IS | FCST CF | WP☞ | Assumption | Sales | COGS | CAPEX | Payroll | SG&amp;A | DEBT | TAX | WC | WACC | Backdata☞</t>
        </is>
      </c>
      <c r="E7" s="24" t="inlineStr">
        <is>
          <t>01_ReadMe | 02_Assumptions | 03_Raw_Financials | 04_Driver_Input | 05_Revenue_COGS_SGA | 06_CAPEX_WC_Tax | 07_Forecast_FS | 08_WACC | 09_DCF | 10_CoCo | 11_Report</t>
        </is>
      </c>
      <c r="F7" s="24" t="inlineStr">
        <is>
          <t>historical_fs | sales_driver | margin_driver | capex_driver | working_capital_driver | tax_assumption | debt_assumption</t>
        </is>
      </c>
      <c r="G7" s="24" t="inlineStr">
        <is>
          <t>manufacturing | driver | sales | cogs | capex | wc | tax | coco</t>
        </is>
      </c>
    </row>
    <row r="8" ht="24" customHeight="1">
      <c r="A8" s="29" t="inlineStr">
        <is>
          <t>FPNA_BUDGET_FORECAST</t>
        </is>
      </c>
      <c r="B8" s="29" t="inlineStr">
        <is>
          <t>FP&amp;A budget/forecast model inferred from Legend, Scenario, Input, Inventory, Cost, Working Capital and Financial Statement sheets.</t>
        </is>
      </c>
      <c r="C8" s="29" t="inlineStr">
        <is>
          <t>FP&amp;A / Budget &amp; Forecast xlsm examples</t>
        </is>
      </c>
      <c r="D8" s="29" t="inlineStr">
        <is>
          <t>Legend | Scenario | Input | Inventory | Cost | Working capital | Dep &amp; Tax | Debt &amp; Equity | Financial Statement | Valuation | Check | Actual</t>
        </is>
      </c>
      <c r="E8" s="29" t="inlineStr">
        <is>
          <t>01_ReadMe | 02_Scenario | 03_Input | 04_Actual | 05_Budget_Forecast | 06_Working_Capital | 07_Debt_Equity | 08_Financial_Statement | 09_Valuation | 10_Check</t>
        </is>
      </c>
      <c r="F8" s="29" t="inlineStr">
        <is>
          <t>actual_fs | budget_assumptions | scenario_assumptions | inventory_driver | cost_driver | debt_equity_driver</t>
        </is>
      </c>
      <c r="G8" s="29" t="inlineStr">
        <is>
          <t>fp&amp;a | budget | forecast | scenario | inventory | cost | working capital</t>
        </is>
      </c>
    </row>
    <row r="9" ht="24" customHeight="1">
      <c r="A9" s="24" t="inlineStr">
        <is>
          <t>M_AND_A_DEAL_STRUCTURING</t>
        </is>
      </c>
      <c r="B9" s="24" t="inlineStr">
        <is>
          <t>M&amp;A/deal structuring workbook pattern for merger, secondary sale, rights offering and CB issuance outputs.</t>
        </is>
      </c>
      <c r="C9" s="24" t="inlineStr">
        <is>
          <t>M&amp;A modeling pack / deal structuring exercise</t>
        </is>
      </c>
      <c r="D9" s="24" t="inlineStr">
        <is>
          <t>합병 | 구주매각 | 유상증자 | CB발행 | Peer Analysis | FS (dart) | Peer data (CapIQ) | 참고) Peer List (네이버증권)</t>
        </is>
      </c>
      <c r="E9" s="24" t="inlineStr">
        <is>
          <t>01_ReadMe | 02_Deal_Assumptions | 03_Target_FS | 04_Peer_Comps | 05_Merger | 06_Equity_Issuance | 07_CB_Issuance | 08_Value_Impact | 09_Checks</t>
        </is>
      </c>
      <c r="F9" s="24" t="inlineStr">
        <is>
          <t>target_fs | peer_multiples | deal_assumptions | share_price | capital_structure</t>
        </is>
      </c>
      <c r="G9" s="24" t="inlineStr">
        <is>
          <t>m&amp;a | deal | merger | cb | issuance | peer analysis</t>
        </is>
      </c>
    </row>
    <row r="10" ht="24" customHeight="1">
      <c r="A10" s="29" t="inlineStr">
        <is>
          <t>LBO_CREDIT_CASE</t>
        </is>
      </c>
      <c r="B10" s="29" t="inlineStr">
        <is>
          <t>LBO/debt capacity style model inferred from assumptions, covenants, FCFF, debt and country/rate sheets.</t>
        </is>
      </c>
      <c r="C10" s="29" t="inlineStr">
        <is>
          <t>part10 LBO modeling pack</t>
        </is>
      </c>
      <c r="D10" s="29" t="inlineStr">
        <is>
          <t>Assumptions | Covenants | FCFF (Hold Co) | FCFF(Op) | 추정PL | Sales | PL | BS | Summary | 채권수익률</t>
        </is>
      </c>
      <c r="E10" s="29" t="inlineStr">
        <is>
          <t>01_ReadMe | 02_Assumptions | 03_FCFF | 04_Debt_Schedule | 05_Covenants | 06_Returns | 07_Credit_Checks</t>
        </is>
      </c>
      <c r="F10" s="29" t="inlineStr">
        <is>
          <t>fcff | debt_assumption | interest_rate | covenant_threshold | exit_multiple</t>
        </is>
      </c>
      <c r="G10" s="29" t="inlineStr">
        <is>
          <t>lbo | covenant | debt | fcff | exit | credit</t>
        </is>
      </c>
    </row>
    <row r="11" ht="24" customHeight="1">
      <c r="A11" s="24" t="inlineStr">
        <is>
          <t>RISK_DASHBOARD_EXPORT</t>
        </is>
      </c>
      <c r="B11" s="24" t="inlineStr">
        <is>
          <t>Dashboard/export workbook for investor-facing outputs, risk checks and downloadable payloads.</t>
        </is>
      </c>
      <c r="C11" s="24" t="inlineStr">
        <is>
          <t>ChatGPT로 완성하는 파이낸셜 모델링 및 재무기획 / 수업개요, 엑셀함수, 데이터베이스 스키마, Dashboard/Output</t>
        </is>
      </c>
      <c r="D11" s="24" t="inlineStr">
        <is>
          <t>수업개요 | 엑셀함수소개 | Sheet1 | Dashboard | Output</t>
        </is>
      </c>
      <c r="E11" s="24" t="inlineStr">
        <is>
          <t>01_ReadMe | 02_Raw_Data | 03_Normalized | 04_Output | 05_Dashboard_Export | 06_Checks</t>
        </is>
      </c>
      <c r="F11" s="24" t="inlineStr">
        <is>
          <t>valuation_metrics | risk_flags | chart_series | dashboard_payload | validation_status</t>
        </is>
      </c>
      <c r="G11" s="24" t="inlineStr">
        <is>
          <t>dashboard | output | export | risk | schema | check</t>
        </is>
      </c>
    </row>
  </sheetData>
  <autoFilter ref="A2:G11"/>
  <mergeCells count="1">
    <mergeCell ref="A1:F1"/>
  </mergeCells>
  <pageMargins left="0.75" right="0.75" top="1" bottom="1" header="0.5" footer="0.5"/>
  <pageSetup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18" customWidth="1" min="2" max="2"/>
    <col width="45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피에스케이 투자자용 요약</t>
        </is>
      </c>
    </row>
    <row r="2" ht="28" customHeight="1">
      <c r="A2" s="17" t="inlineStr">
        <is>
          <t>Valuation Agent 단독 산출: 재무 원천·주가·DCF·Peer·ML 보조판단을 한 장으로 요약</t>
        </is>
      </c>
    </row>
    <row r="3" ht="24" customHeight="1"/>
    <row r="4" ht="24" customHeight="1">
      <c r="A4" s="22" t="inlineStr">
        <is>
          <t>투자자 핵심 요약</t>
        </is>
      </c>
    </row>
    <row r="5" ht="24" customHeight="1">
      <c r="A5" s="25" t="inlineStr">
        <is>
          <t>구분</t>
        </is>
      </c>
      <c r="B5" s="25" t="inlineStr">
        <is>
          <t>핵심값</t>
        </is>
      </c>
      <c r="C5" s="25" t="inlineStr">
        <is>
          <t>해석</t>
        </is>
      </c>
    </row>
    <row r="6" ht="24" customHeight="1">
      <c r="A6" s="24" t="inlineStr">
        <is>
          <t>데이터 상태</t>
        </is>
      </c>
      <c r="B6" s="24" t="inlineStr">
        <is>
          <t>PASS</t>
        </is>
      </c>
      <c r="C6" s="24" t="inlineStr">
        <is>
          <t>PASS이면 workbook/dashboard용 주요 입력값이 준비된 상태</t>
        </is>
      </c>
    </row>
    <row r="7" ht="24" customHeight="1">
      <c r="A7" s="29" t="inlineStr">
        <is>
          <t>현재가</t>
        </is>
      </c>
      <c r="B7" s="31" t="n">
        <v>107300</v>
      </c>
      <c r="C7" s="29" t="inlineStr">
        <is>
          <t>주가 intake 기준 최근 종가</t>
        </is>
      </c>
    </row>
    <row r="8" ht="24" customHeight="1">
      <c r="A8" s="24" t="inlineStr">
        <is>
          <t>시가총액</t>
        </is>
      </c>
      <c r="B8" s="30" t="n">
        <v>3108128412200</v>
      </c>
      <c r="C8" s="24" t="inlineStr">
        <is>
          <t>현재가 × 발행주식 수</t>
        </is>
      </c>
    </row>
    <row r="9" ht="24" customHeight="1">
      <c r="A9" s="29" t="inlineStr">
        <is>
          <t>최근 매출액</t>
        </is>
      </c>
      <c r="B9" s="31" t="n">
        <v>457213151918</v>
      </c>
      <c r="C9" s="29" t="inlineStr">
        <is>
          <t>DART 기반 정규화 재무제표</t>
        </is>
      </c>
    </row>
    <row r="10" ht="24" customHeight="1">
      <c r="A10" s="24" t="inlineStr">
        <is>
          <t>최근 영업이익률</t>
        </is>
      </c>
      <c r="B10" s="30" t="n">
        <v>0.193550987550925</v>
      </c>
      <c r="C10" s="24" t="inlineStr">
        <is>
          <t>영업이익 / 매출액</t>
        </is>
      </c>
    </row>
    <row r="11" ht="24" customHeight="1">
      <c r="A11" s="29" t="inlineStr">
        <is>
          <t>최근 FCF margin</t>
        </is>
      </c>
      <c r="B11" s="31" t="n">
        <v>0.1350117261982677</v>
      </c>
      <c r="C11" s="29" t="inlineStr">
        <is>
          <t>FCF / 매출액</t>
        </is>
      </c>
    </row>
    <row r="12" ht="24" customHeight="1">
      <c r="A12" s="24" t="inlineStr">
        <is>
          <t>WACC</t>
        </is>
      </c>
      <c r="B12" s="30" t="n">
        <v>0.13963320508343</v>
      </c>
      <c r="C12" s="24" t="inlineStr">
        <is>
          <t>DCF 할인율</t>
        </is>
      </c>
    </row>
    <row r="13" ht="24" customHeight="1">
      <c r="A13" s="29" t="inlineStr">
        <is>
          <t>DCF 기업가치</t>
        </is>
      </c>
      <c r="B13" s="31" t="n">
        <v>553163685748.9493</v>
      </c>
      <c r="C13" s="29" t="inlineStr">
        <is>
          <t>명시기간 FCF + Terminal Value 현재가치</t>
        </is>
      </c>
    </row>
    <row r="14" ht="24" customHeight="1">
      <c r="A14" s="24" t="inlineStr">
        <is>
          <t>DCF 내재주가</t>
        </is>
      </c>
      <c r="B14" s="30" t="n">
        <v>19526.66766026514</v>
      </c>
      <c r="C14" s="24" t="inlineStr">
        <is>
          <t>지분가치 / 발행주식 수</t>
        </is>
      </c>
    </row>
    <row r="15" ht="24" customHeight="1">
      <c r="A15" s="29" t="inlineStr">
        <is>
          <t>현재가 대비 괴리율</t>
        </is>
      </c>
      <c r="B15" s="31" t="n">
        <v>-0.8180180087580137</v>
      </c>
      <c r="C15" s="29" t="inlineStr">
        <is>
          <t>내재주가 / 현재가 - 1</t>
        </is>
      </c>
    </row>
    <row r="16" ht="24" customHeight="1">
      <c r="A16" s="24" t="inlineStr">
        <is>
          <t>P/S</t>
        </is>
      </c>
      <c r="B16" s="30" t="n">
        <v>1.236011002542875</v>
      </c>
      <c r="C16" s="24" t="inlineStr">
        <is>
          <t>피어 대비 저PSR 구간: 상대 저평가 가능성</t>
        </is>
      </c>
    </row>
    <row r="17" ht="24" customHeight="1">
      <c r="A17" s="29" t="inlineStr">
        <is>
          <t>Peer P/S 중앙값</t>
        </is>
      </c>
      <c r="B17" s="31" t="n">
        <v>3.436583457683996</v>
      </c>
      <c r="C17" s="29" t="inlineStr">
        <is>
          <t>5개 live peer 기준 상대가치 비교</t>
        </is>
      </c>
    </row>
    <row r="18" ht="24" customHeight="1">
      <c r="A18" s="24" t="inlineStr">
        <is>
          <t>208개 Universe</t>
        </is>
      </c>
      <c r="B18" s="30" t="n">
        <v>208</v>
      </c>
      <c r="C18" s="24" t="inlineStr">
        <is>
          <t>장비</t>
        </is>
      </c>
    </row>
    <row r="19" ht="24" customHeight="1">
      <c r="A19" s="29" t="inlineStr">
        <is>
          <t>1년 수익률</t>
        </is>
      </c>
      <c r="B19" s="31" t="n">
        <v>4.611924686192468</v>
      </c>
      <c r="C19" s="29" t="inlineStr">
        <is>
          <t>최근 약 1년 주가 변화</t>
        </is>
      </c>
    </row>
    <row r="20" ht="24" customHeight="1">
      <c r="A20" s="24" t="inlineStr">
        <is>
          <t>MDD</t>
        </is>
      </c>
      <c r="B20" s="30" t="n">
        <v>-0.5761658031088083</v>
      </c>
      <c r="C20" s="24" t="inlineStr">
        <is>
          <t>수집 기간 중 최대 낙폭</t>
        </is>
      </c>
    </row>
    <row r="21" ht="24" customHeight="1">
      <c r="A21" s="29" t="inlineStr">
        <is>
          <t>20일 평균 거래대금</t>
        </is>
      </c>
      <c r="B21" s="31" t="n">
        <v>33996845420</v>
      </c>
      <c r="C21" s="29" t="inlineStr">
        <is>
          <t>거래 유동성 proxy</t>
        </is>
      </c>
    </row>
    <row r="22" ht="24" customHeight="1">
      <c r="A22" s="22" t="inlineStr">
        <is>
          <t>활용 체크포인트</t>
        </is>
      </c>
      <c r="B22" s="32" t="n"/>
      <c r="C22" s="32" t="n"/>
      <c r="D22" s="32" t="n"/>
      <c r="E22" s="32" t="n"/>
      <c r="F22" s="33" t="n"/>
    </row>
    <row r="23" ht="24" customHeight="1">
      <c r="A23" s="25" t="inlineStr">
        <is>
          <t>체크포인트</t>
        </is>
      </c>
      <c r="B23" s="34" t="inlineStr">
        <is>
          <t>내용</t>
        </is>
      </c>
      <c r="C23" s="29" t="inlineStr">
        <is>
          <t>반도체 5개 focal universe</t>
        </is>
      </c>
    </row>
    <row r="24" ht="24" customHeight="1">
      <c r="A24" s="24" t="inlineStr">
        <is>
          <t>가중합 반영</t>
        </is>
      </c>
      <c r="B24" s="24" t="inlineStr">
        <is>
          <t>기존 Chair 5개 에이전트 가중합에는 미반영. 보조 가치평가·다운로드 산출물로 사용</t>
        </is>
      </c>
    </row>
    <row r="25" ht="24" customHeight="1">
      <c r="A25" s="29" t="inlineStr">
        <is>
          <t>Finance와 중복 방지</t>
        </is>
      </c>
      <c r="B25" s="29" t="inlineStr">
        <is>
          <t>finance_agent 산출물을 읽지 않고 valuation/intake 산출물만 사용</t>
        </is>
      </c>
    </row>
    <row r="26" ht="24" customHeight="1">
      <c r="A26" s="24" t="inlineStr">
        <is>
          <t>대시보드 연결</t>
        </is>
      </c>
      <c r="B26" s="24" t="inlineStr">
        <is>
          <t>dashboard_payload.json과 workbook 시트를 그대로 Streamlit/React 다운로드 영역에 연결 가능</t>
        </is>
      </c>
    </row>
    <row r="27" ht="24" customHeight="1">
      <c r="A27" s="29" t="inlineStr">
        <is>
          <t>PSR/208개 Universe</t>
        </is>
      </c>
      <c r="B27" s="29" t="inlineStr">
        <is>
          <t>P/S와 208개 반도체 reference universe를 함께 보여줘 단순 DCF보다 비교 설명력을 강화</t>
        </is>
      </c>
    </row>
    <row r="28" ht="24" customHeight="1">
      <c r="A28" s="24" t="inlineStr">
        <is>
          <t>해석 주의</t>
        </is>
      </c>
      <c r="B28" s="24" t="inlineStr">
        <is>
          <t>DCF는 가정 민감도가 크므로 WACC·성장률·FCF margin 민감도 시트와 함께 확인</t>
        </is>
      </c>
    </row>
  </sheetData>
  <autoFilter ref="A23:B28"/>
  <mergeCells count="4">
    <mergeCell ref="A1:J1"/>
    <mergeCell ref="A22:F22"/>
    <mergeCell ref="A4:F4"/>
    <mergeCell ref="A2:J2"/>
  </mergeCells>
  <pageMargins left="0.75" right="0.75" top="1" bottom="1" header="0.5" footer="0.5"/>
  <pageSetup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AH2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 ht="30" customHeight="1">
      <c r="A1" s="16" t="inlineStr">
        <is>
          <t>208개 반도체 Reference Universe</t>
        </is>
      </c>
    </row>
    <row r="2" ht="28" customHeight="1">
      <c r="A2" s="17" t="inlineStr">
        <is>
          <t>Tech의 대규모 반도체 universe와 같은 축을 Valuation Agent가 자체 intake로 복제해 PSR/ML 보조판단에 활용</t>
        </is>
      </c>
    </row>
    <row r="3" ht="24" customHeight="1"/>
    <row r="4" ht="24" customHeight="1">
      <c r="A4" s="22" t="inlineStr">
        <is>
          <t>Universe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</row>
    <row r="6" ht="24" customHeight="1">
      <c r="A6" s="24" t="inlineStr">
        <is>
          <t>status</t>
        </is>
      </c>
      <c r="B6" s="24" t="inlineStr">
        <is>
          <t>OK</t>
        </is>
      </c>
    </row>
    <row r="7" ht="24" customHeight="1">
      <c r="A7" s="29" t="inlineStr">
        <is>
          <t>created_at</t>
        </is>
      </c>
      <c r="B7" s="29" t="inlineStr">
        <is>
          <t>2026-05-20T12:30:50</t>
        </is>
      </c>
    </row>
    <row r="8" ht="24" customHeight="1">
      <c r="A8" s="24" t="inlineStr">
        <is>
          <t>reference_universe_rows</t>
        </is>
      </c>
      <c r="B8" s="30" t="n">
        <v>208</v>
      </c>
    </row>
    <row r="9" ht="24" customHeight="1">
      <c r="A9" s="29" t="inlineStr">
        <is>
          <t>focus_rows</t>
        </is>
      </c>
      <c r="B9" s="31" t="n">
        <v>40</v>
      </c>
    </row>
    <row r="10" ht="24" customHeight="1">
      <c r="A10" s="24" t="inlineStr">
        <is>
          <t>focal_5_rows</t>
        </is>
      </c>
      <c r="B10" s="30" t="n">
        <v>5</v>
      </c>
    </row>
    <row r="11" ht="24" customHeight="1">
      <c r="A11" s="29" t="inlineStr">
        <is>
          <t>target_company</t>
        </is>
      </c>
      <c r="B11" s="29" t="inlineStr">
        <is>
          <t>피에스케이</t>
        </is>
      </c>
    </row>
    <row r="12" ht="24" customHeight="1">
      <c r="A12" s="24" t="inlineStr">
        <is>
          <t>target_peer_group</t>
        </is>
      </c>
      <c r="B12" s="24" t="inlineStr">
        <is>
          <t>장비</t>
        </is>
      </c>
    </row>
    <row r="13" ht="24" customHeight="1">
      <c r="A13" s="29" t="inlineStr">
        <is>
          <t>target_peer_group_size</t>
        </is>
      </c>
      <c r="B13" s="31" t="n">
        <v>50</v>
      </c>
    </row>
    <row r="14" ht="24" customHeight="1">
      <c r="A14" s="24" t="inlineStr">
        <is>
          <t>attractive_rows</t>
        </is>
      </c>
      <c r="B14" s="30" t="n">
        <v>43</v>
      </c>
    </row>
    <row r="15" ht="24" customHeight="1">
      <c r="A15" s="29" t="inlineStr">
        <is>
          <t>high_risk_rows</t>
        </is>
      </c>
      <c r="B15" s="31" t="n">
        <v>67</v>
      </c>
    </row>
    <row r="16" ht="24" customHeight="1">
      <c r="A16" s="24" t="inlineStr">
        <is>
          <t>note</t>
        </is>
      </c>
      <c r="B16" s="24" t="inlineStr">
        <is>
          <t>Valuation Agent는 live DCF/PSR 산출과 별도로 208개 반도체 universe의 proxy score를 활용해 상대 위치를 보조 판단합니다.</t>
        </is>
      </c>
    </row>
    <row r="17" ht="24" customHeight="1">
      <c r="A17" s="29" t="inlineStr">
        <is>
          <t>source_path</t>
        </is>
      </c>
      <c r="B17" s="29" t="inlineStr">
        <is>
          <t>data/반도체/_sector_common/ml_universe/valuation_credit_ml_overlay_candidate.csv</t>
        </is>
      </c>
    </row>
    <row r="18" ht="24" customHeight="1">
      <c r="A18" s="24" t="inlineStr">
        <is>
          <t>exported_at</t>
        </is>
      </c>
      <c r="B18" s="24" t="inlineStr">
        <is>
          <t>2026-05-20T12:30:50</t>
        </is>
      </c>
    </row>
    <row r="19" ht="24" customHeight="1"/>
    <row r="20" ht="24" customHeight="1"/>
    <row r="21" ht="24" customHeight="1">
      <c r="A21" s="22" t="inlineStr">
        <is>
          <t>Target 중심 비교군</t>
        </is>
      </c>
    </row>
    <row r="22" ht="24" customHeight="1">
      <c r="A22" s="25" t="inlineStr">
        <is>
          <t>Universe 순번</t>
        </is>
      </c>
      <c r="B22" s="25" t="inlineStr">
        <is>
          <t>기업코드</t>
        </is>
      </c>
      <c r="C22" s="25" t="inlineStr">
        <is>
          <t>기업명</t>
        </is>
      </c>
      <c r="D22" s="25" t="inlineStr">
        <is>
          <t>종목코드</t>
        </is>
      </c>
      <c r="E22" s="25" t="inlineStr">
        <is>
          <t>시장</t>
        </is>
      </c>
      <c r="F22" s="25" t="inlineStr">
        <is>
          <t>피어 그룹</t>
        </is>
      </c>
      <c r="G22" s="25" t="inlineStr">
        <is>
          <t>반도체 세부군</t>
        </is>
      </c>
      <c r="H22" s="25" t="inlineStr">
        <is>
          <t>5개 핵심기업</t>
        </is>
      </c>
      <c r="I22" s="25" t="inlineStr">
        <is>
          <t>market_data_available</t>
        </is>
      </c>
      <c r="J22" s="25" t="inlineStr">
        <is>
          <t>데이터 품질</t>
        </is>
      </c>
      <c r="K22" s="25" t="inlineStr">
        <is>
          <t>데이터 품질 해석</t>
        </is>
      </c>
      <c r="L22" s="25" t="inlineStr">
        <is>
          <t>수동검토 우선순위</t>
        </is>
      </c>
      <c r="M22" s="25" t="inlineStr">
        <is>
          <t>수동검토 우선순위 해석</t>
        </is>
      </c>
      <c r="N22" s="25" t="inlineStr">
        <is>
          <t>Valuation Proxy 점수</t>
        </is>
      </c>
      <c r="O22" s="25" t="inlineStr">
        <is>
          <t>Valuation Proxy 라벨</t>
        </is>
      </c>
      <c r="P22" s="25" t="inlineStr">
        <is>
          <t>가치 라벨</t>
        </is>
      </c>
      <c r="Q22" s="25" t="inlineStr">
        <is>
          <t>valuation_pred_label</t>
        </is>
      </c>
      <c r="R22" s="25" t="inlineStr">
        <is>
          <t>Valuation 신뢰도</t>
        </is>
      </c>
      <c r="S22" s="25" t="inlineStr">
        <is>
          <t>valuation_confidence_bucket</t>
        </is>
      </c>
      <c r="T22" s="25" t="inlineStr">
        <is>
          <t>valuation_confidence_bucket_kr</t>
        </is>
      </c>
      <c r="U22" s="25" t="inlineStr">
        <is>
          <t>Credit Risk 점수</t>
        </is>
      </c>
      <c r="V22" s="25" t="inlineStr">
        <is>
          <t>Credit Risk 라벨</t>
        </is>
      </c>
      <c r="W22" s="25" t="inlineStr">
        <is>
          <t>신용위험 라벨</t>
        </is>
      </c>
      <c r="X22" s="25" t="inlineStr">
        <is>
          <t>credit_pred_label</t>
        </is>
      </c>
      <c r="Y22" s="25" t="inlineStr">
        <is>
          <t>Credit 신뢰도</t>
        </is>
      </c>
      <c r="Z22" s="25" t="inlineStr">
        <is>
          <t>credit_confidence_bucket</t>
        </is>
      </c>
      <c r="AA22" s="25" t="inlineStr">
        <is>
          <t>credit_confidence_bucket_kr</t>
        </is>
      </c>
      <c r="AB22" s="25" t="inlineStr">
        <is>
          <t>Credit 이상치 점수</t>
        </is>
      </c>
      <c r="AC22" s="25" t="inlineStr">
        <is>
          <t>credit_anomaly_flag_top15pct</t>
        </is>
      </c>
      <c r="AD22" s="25" t="inlineStr">
        <is>
          <t>auditor_requires_human_review</t>
        </is>
      </c>
      <c r="AE22" s="25" t="inlineStr">
        <is>
          <t>출처 유형</t>
        </is>
      </c>
      <c r="AF22" s="25" t="inlineStr">
        <is>
          <t>출처 설명</t>
        </is>
      </c>
      <c r="AG22" s="25" t="inlineStr">
        <is>
          <t>포함 사유</t>
        </is>
      </c>
      <c r="AH22" s="25" t="inlineStr">
        <is>
          <t>분석대상</t>
        </is>
      </c>
    </row>
    <row r="23" ht="24" customHeight="1">
      <c r="A23" s="24" t="inlineStr">
        <is>
          <t>120</t>
        </is>
      </c>
      <c r="B23" s="24" t="inlineStr">
        <is>
          <t>해당 없음</t>
        </is>
      </c>
      <c r="C23" s="24" t="inlineStr">
        <is>
          <t>피에스케이</t>
        </is>
      </c>
      <c r="D23" s="24" t="inlineStr">
        <is>
          <t>319660</t>
        </is>
      </c>
      <c r="E23" s="24" t="inlineStr">
        <is>
          <t>KOSDAQ GLOBAL</t>
        </is>
      </c>
      <c r="F23" s="24" t="inlineStr">
        <is>
          <t>장비</t>
        </is>
      </c>
      <c r="G23" s="24" t="inlineStr">
        <is>
          <t>장비</t>
        </is>
      </c>
      <c r="H23" s="24" t="inlineStr">
        <is>
          <t>False</t>
        </is>
      </c>
      <c r="I23" s="24" t="inlineStr">
        <is>
          <t>True</t>
        </is>
      </c>
      <c r="J23" s="24" t="inlineStr">
        <is>
          <t>OK</t>
        </is>
      </c>
      <c r="K23" s="24" t="inlineStr">
        <is>
          <t>데이터 사용 가능</t>
        </is>
      </c>
      <c r="L23" s="24" t="inlineStr">
        <is>
          <t>LOW</t>
        </is>
      </c>
      <c r="M23" s="24" t="inlineStr">
        <is>
          <t>LOW</t>
        </is>
      </c>
      <c r="N23" s="24" t="inlineStr">
        <is>
          <t>0.5357333333333333</t>
        </is>
      </c>
      <c r="O23" s="24" t="inlineStr">
        <is>
          <t>FAIR</t>
        </is>
      </c>
      <c r="P23" s="24" t="inlineStr">
        <is>
          <t>FAIR</t>
        </is>
      </c>
      <c r="Q23" s="24" t="inlineStr">
        <is>
          <t>FAIR</t>
        </is>
      </c>
      <c r="R23" s="24" t="inlineStr">
        <is>
          <t>0.7072072873445469</t>
        </is>
      </c>
      <c r="S23" s="24" t="inlineStr">
        <is>
          <t>HIGH</t>
        </is>
      </c>
      <c r="T23" s="24" t="inlineStr">
        <is>
          <t>HIGH</t>
        </is>
      </c>
      <c r="U23" s="24" t="inlineStr">
        <is>
          <t>0.0</t>
        </is>
      </c>
      <c r="V23" s="24" t="inlineStr">
        <is>
          <t>LOW_RISK</t>
        </is>
      </c>
      <c r="W23" s="24" t="inlineStr">
        <is>
          <t>저위험</t>
        </is>
      </c>
      <c r="X23" s="24" t="inlineStr">
        <is>
          <t>LOW_RISK</t>
        </is>
      </c>
      <c r="Y23" s="24" t="inlineStr">
        <is>
          <t>0.9811059783961981</t>
        </is>
      </c>
      <c r="Z23" s="24" t="inlineStr">
        <is>
          <t>HIGH</t>
        </is>
      </c>
      <c r="AA23" s="24" t="inlineStr">
        <is>
          <t>HIGH</t>
        </is>
      </c>
      <c r="AB23" s="24" t="inlineStr">
        <is>
          <t>0.06486271422414225</t>
        </is>
      </c>
      <c r="AC23" s="24" t="inlineStr">
        <is>
          <t>False</t>
        </is>
      </c>
      <c r="AD23" s="24" t="inlineStr">
        <is>
          <t>False</t>
        </is>
      </c>
      <c r="AE23" s="24" t="inlineStr">
        <is>
          <t>valuation_credit_ml_overlay_candidate.csv</t>
        </is>
      </c>
      <c r="AF23" s="24" t="inlineStr">
        <is>
          <t>208개 반도체 reference universe. Valuation Agent가 자체 intake 폴더로 복제해 Peer/ML/대시보드 비교에 사용.</t>
        </is>
      </c>
      <c r="AG23" s="24" t="inlineStr">
        <is>
          <t>TARGET</t>
        </is>
      </c>
      <c r="AH23" s="24" t="inlineStr">
        <is>
          <t>True</t>
        </is>
      </c>
    </row>
    <row r="24" ht="24" customHeight="1">
      <c r="A24" s="29" t="inlineStr">
        <is>
          <t>99</t>
        </is>
      </c>
      <c r="B24" s="29" t="inlineStr">
        <is>
          <t>해당 없음</t>
        </is>
      </c>
      <c r="C24" s="29" t="inlineStr">
        <is>
          <t>엔투텍</t>
        </is>
      </c>
      <c r="D24" s="29" t="inlineStr">
        <is>
          <t>227950</t>
        </is>
      </c>
      <c r="E24" s="29" t="inlineStr">
        <is>
          <t>KOSDAQ</t>
        </is>
      </c>
      <c r="F24" s="29" t="inlineStr">
        <is>
          <t>장비</t>
        </is>
      </c>
      <c r="G24" s="29" t="inlineStr">
        <is>
          <t>장비</t>
        </is>
      </c>
      <c r="H24" s="29" t="inlineStr">
        <is>
          <t>False</t>
        </is>
      </c>
      <c r="I24" s="29" t="inlineStr">
        <is>
          <t>True</t>
        </is>
      </c>
      <c r="J24" s="29" t="inlineStr">
        <is>
          <t>OK</t>
        </is>
      </c>
      <c r="K24" s="29" t="inlineStr">
        <is>
          <t>데이터 사용 가능</t>
        </is>
      </c>
      <c r="L24" s="29" t="inlineStr">
        <is>
          <t>LOW</t>
        </is>
      </c>
      <c r="M24" s="29" t="inlineStr">
        <is>
          <t>LOW</t>
        </is>
      </c>
      <c r="N24" s="29" t="inlineStr">
        <is>
          <t>0.8128666666666667</t>
        </is>
      </c>
      <c r="O24" s="29" t="inlineStr">
        <is>
          <t>ATTRACTIVE</t>
        </is>
      </c>
      <c r="P24" s="29" t="inlineStr">
        <is>
          <t>가치 매력</t>
        </is>
      </c>
      <c r="Q24" s="29" t="inlineStr">
        <is>
          <t>ATTRACTIVE</t>
        </is>
      </c>
      <c r="R24" s="29" t="inlineStr">
        <is>
          <t>0.8347222629406851</t>
        </is>
      </c>
      <c r="S24" s="29" t="inlineStr">
        <is>
          <t>HIGH</t>
        </is>
      </c>
      <c r="T24" s="29" t="inlineStr">
        <is>
          <t>HIGH</t>
        </is>
      </c>
      <c r="U24" s="29" t="inlineStr">
        <is>
          <t>0.2142857142857142</t>
        </is>
      </c>
      <c r="V24" s="29" t="inlineStr">
        <is>
          <t>MEDIUM_RISK</t>
        </is>
      </c>
      <c r="W24" s="29" t="inlineStr">
        <is>
          <t>중위험</t>
        </is>
      </c>
      <c r="X24" s="29" t="inlineStr">
        <is>
          <t>MEDIUM_RISK</t>
        </is>
      </c>
      <c r="Y24" s="29" t="inlineStr">
        <is>
          <t>0.5142933547274794</t>
        </is>
      </c>
      <c r="Z24" s="29" t="inlineStr">
        <is>
          <t>MEDIUM</t>
        </is>
      </c>
      <c r="AA24" s="29" t="inlineStr">
        <is>
          <t>MEDIUM</t>
        </is>
      </c>
      <c r="AB24" s="29" t="inlineStr">
        <is>
          <t>0.21193857896314997</t>
        </is>
      </c>
      <c r="AC24" s="29" t="inlineStr">
        <is>
          <t>False</t>
        </is>
      </c>
      <c r="AD24" s="29" t="inlineStr">
        <is>
          <t>False</t>
        </is>
      </c>
      <c r="AE24" s="29" t="inlineStr">
        <is>
          <t>valuation_credit_ml_overlay_candidate.csv</t>
        </is>
      </c>
      <c r="AF24" s="29" t="inlineStr">
        <is>
          <t>208개 반도체 reference universe. Valuation Agent가 자체 intake 폴더로 복제해 Peer/ML/대시보드 비교에 사용.</t>
        </is>
      </c>
      <c r="AG24" s="29" t="inlineStr">
        <is>
          <t>SAME_PEER_GROUP</t>
        </is>
      </c>
      <c r="AH24" s="29" t="inlineStr">
        <is>
          <t>False</t>
        </is>
      </c>
    </row>
    <row r="25" ht="24" customHeight="1">
      <c r="A25" s="24" t="inlineStr">
        <is>
          <t>88</t>
        </is>
      </c>
      <c r="B25" s="24" t="inlineStr">
        <is>
          <t>해당 없음</t>
        </is>
      </c>
      <c r="C25" s="24" t="inlineStr">
        <is>
          <t>비아트론</t>
        </is>
      </c>
      <c r="D25" s="24" t="inlineStr">
        <is>
          <t>141000</t>
        </is>
      </c>
      <c r="E25" s="24" t="inlineStr">
        <is>
          <t>KOSDAQ</t>
        </is>
      </c>
      <c r="F25" s="24" t="inlineStr">
        <is>
          <t>장비</t>
        </is>
      </c>
      <c r="G25" s="24" t="inlineStr">
        <is>
          <t>장비</t>
        </is>
      </c>
      <c r="H25" s="24" t="inlineStr">
        <is>
          <t>False</t>
        </is>
      </c>
      <c r="I25" s="24" t="inlineStr">
        <is>
          <t>True</t>
        </is>
      </c>
      <c r="J25" s="24" t="inlineStr">
        <is>
          <t>OK</t>
        </is>
      </c>
      <c r="K25" s="24" t="inlineStr">
        <is>
          <t>데이터 사용 가능</t>
        </is>
      </c>
      <c r="L25" s="24" t="inlineStr">
        <is>
          <t>LOW</t>
        </is>
      </c>
      <c r="M25" s="24" t="inlineStr">
        <is>
          <t>LOW</t>
        </is>
      </c>
      <c r="N25" s="24" t="inlineStr">
        <is>
          <t>0.7105333333333335</t>
        </is>
      </c>
      <c r="O25" s="24" t="inlineStr">
        <is>
          <t>ATTRACTIVE</t>
        </is>
      </c>
      <c r="P25" s="24" t="inlineStr">
        <is>
          <t>가치 매력</t>
        </is>
      </c>
      <c r="Q25" s="24" t="inlineStr">
        <is>
          <t>ATTRACTIVE</t>
        </is>
      </c>
      <c r="R25" s="24" t="inlineStr">
        <is>
          <t>0.934708213344448</t>
        </is>
      </c>
      <c r="S25" s="24" t="inlineStr">
        <is>
          <t>HIGH</t>
        </is>
      </c>
      <c r="T25" s="24" t="inlineStr">
        <is>
          <t>HIGH</t>
        </is>
      </c>
      <c r="U25" s="24" t="inlineStr">
        <is>
          <t>0.0</t>
        </is>
      </c>
      <c r="V25" s="24" t="inlineStr">
        <is>
          <t>LOW_RISK</t>
        </is>
      </c>
      <c r="W25" s="24" t="inlineStr">
        <is>
          <t>저위험</t>
        </is>
      </c>
      <c r="X25" s="24" t="inlineStr">
        <is>
          <t>LOW_RISK</t>
        </is>
      </c>
      <c r="Y25" s="24" t="inlineStr">
        <is>
          <t>0.9411184099481913</t>
        </is>
      </c>
      <c r="Z25" s="24" t="inlineStr">
        <is>
          <t>HIGH</t>
        </is>
      </c>
      <c r="AA25" s="24" t="inlineStr">
        <is>
          <t>HIGH</t>
        </is>
      </c>
      <c r="AB25" s="24" t="inlineStr">
        <is>
          <t>0.11715633071246634</t>
        </is>
      </c>
      <c r="AC25" s="24" t="inlineStr">
        <is>
          <t>False</t>
        </is>
      </c>
      <c r="AD25" s="24" t="inlineStr">
        <is>
          <t>False</t>
        </is>
      </c>
      <c r="AE25" s="24" t="inlineStr">
        <is>
          <t>valuation_credit_ml_overlay_candidate.csv</t>
        </is>
      </c>
      <c r="AF25" s="24" t="inlineStr">
        <is>
          <t>208개 반도체 reference universe. Valuation Agent가 자체 intake 폴더로 복제해 Peer/ML/대시보드 비교에 사용.</t>
        </is>
      </c>
      <c r="AG25" s="24" t="inlineStr">
        <is>
          <t>SAME_PEER_GROUP</t>
        </is>
      </c>
      <c r="AH25" s="24" t="inlineStr">
        <is>
          <t>False</t>
        </is>
      </c>
    </row>
    <row r="26" ht="24" customHeight="1">
      <c r="A26" s="29" t="inlineStr">
        <is>
          <t>112</t>
        </is>
      </c>
      <c r="B26" s="29" t="inlineStr">
        <is>
          <t>해당 없음</t>
        </is>
      </c>
      <c r="C26" s="29" t="inlineStr">
        <is>
          <t>케이씨</t>
        </is>
      </c>
      <c r="D26" s="29" t="inlineStr">
        <is>
          <t>029460</t>
        </is>
      </c>
      <c r="E26" s="29" t="inlineStr">
        <is>
          <t>KOSPI</t>
        </is>
      </c>
      <c r="F26" s="29" t="inlineStr">
        <is>
          <t>장비</t>
        </is>
      </c>
      <c r="G26" s="29" t="inlineStr">
        <is>
          <t>장비</t>
        </is>
      </c>
      <c r="H26" s="29" t="inlineStr">
        <is>
          <t>False</t>
        </is>
      </c>
      <c r="I26" s="29" t="inlineStr">
        <is>
          <t>True</t>
        </is>
      </c>
      <c r="J26" s="29" t="inlineStr">
        <is>
          <t>OK</t>
        </is>
      </c>
      <c r="K26" s="29" t="inlineStr">
        <is>
          <t>데이터 사용 가능</t>
        </is>
      </c>
      <c r="L26" s="29" t="inlineStr">
        <is>
          <t>LOW</t>
        </is>
      </c>
      <c r="M26" s="29" t="inlineStr">
        <is>
          <t>LOW</t>
        </is>
      </c>
      <c r="N26" s="29" t="inlineStr">
        <is>
          <t>0.7065333333333332</t>
        </is>
      </c>
      <c r="O26" s="29" t="inlineStr">
        <is>
          <t>ATTRACTIVE</t>
        </is>
      </c>
      <c r="P26" s="29" t="inlineStr">
        <is>
          <t>가치 매력</t>
        </is>
      </c>
      <c r="Q26" s="29" t="inlineStr">
        <is>
          <t>ATTRACTIVE</t>
        </is>
      </c>
      <c r="R26" s="29" t="inlineStr">
        <is>
          <t>0.9151708177015135</t>
        </is>
      </c>
      <c r="S26" s="29" t="inlineStr">
        <is>
          <t>HIGH</t>
        </is>
      </c>
      <c r="T26" s="29" t="inlineStr">
        <is>
          <t>HIGH</t>
        </is>
      </c>
      <c r="U26" s="29" t="inlineStr">
        <is>
          <t>0.0</t>
        </is>
      </c>
      <c r="V26" s="29" t="inlineStr">
        <is>
          <t>LOW_RISK</t>
        </is>
      </c>
      <c r="W26" s="29" t="inlineStr">
        <is>
          <t>저위험</t>
        </is>
      </c>
      <c r="X26" s="29" t="inlineStr">
        <is>
          <t>LOW_RISK</t>
        </is>
      </c>
      <c r="Y26" s="29" t="inlineStr">
        <is>
          <t>0.883115363364621</t>
        </is>
      </c>
      <c r="Z26" s="29" t="inlineStr">
        <is>
          <t>HIGH</t>
        </is>
      </c>
      <c r="AA26" s="29" t="inlineStr">
        <is>
          <t>HIGH</t>
        </is>
      </c>
      <c r="AB26" s="29" t="inlineStr">
        <is>
          <t>0.07036651203602409</t>
        </is>
      </c>
      <c r="AC26" s="29" t="inlineStr">
        <is>
          <t>False</t>
        </is>
      </c>
      <c r="AD26" s="29" t="inlineStr">
        <is>
          <t>False</t>
        </is>
      </c>
      <c r="AE26" s="29" t="inlineStr">
        <is>
          <t>valuation_credit_ml_overlay_candidate.csv</t>
        </is>
      </c>
      <c r="AF26" s="29" t="inlineStr">
        <is>
          <t>208개 반도체 reference universe. Valuation Agent가 자체 intake 폴더로 복제해 Peer/ML/대시보드 비교에 사용.</t>
        </is>
      </c>
      <c r="AG26" s="29" t="inlineStr">
        <is>
          <t>SAME_PEER_GROUP</t>
        </is>
      </c>
      <c r="AH26" s="29" t="inlineStr">
        <is>
          <t>False</t>
        </is>
      </c>
    </row>
    <row r="27" ht="24" customHeight="1">
      <c r="A27" s="24" t="inlineStr">
        <is>
          <t>81</t>
        </is>
      </c>
      <c r="B27" s="24" t="inlineStr">
        <is>
          <t>해당 없음</t>
        </is>
      </c>
      <c r="C27" s="24" t="inlineStr">
        <is>
          <t>더코디</t>
        </is>
      </c>
      <c r="D27" s="24" t="inlineStr">
        <is>
          <t>224060</t>
        </is>
      </c>
      <c r="E27" s="24" t="inlineStr">
        <is>
          <t>KOSDAQ</t>
        </is>
      </c>
      <c r="F27" s="24" t="inlineStr">
        <is>
          <t>장비</t>
        </is>
      </c>
      <c r="G27" s="24" t="inlineStr">
        <is>
          <t>장비</t>
        </is>
      </c>
      <c r="H27" s="24" t="inlineStr">
        <is>
          <t>False</t>
        </is>
      </c>
      <c r="I27" s="24" t="inlineStr">
        <is>
          <t>True</t>
        </is>
      </c>
      <c r="J27" s="24" t="inlineStr">
        <is>
          <t>OK</t>
        </is>
      </c>
      <c r="K27" s="24" t="inlineStr">
        <is>
          <t>데이터 사용 가능</t>
        </is>
      </c>
      <c r="L27" s="24" t="inlineStr">
        <is>
          <t>LOW</t>
        </is>
      </c>
      <c r="M27" s="24" t="inlineStr">
        <is>
          <t>LOW</t>
        </is>
      </c>
      <c r="N27" s="24" t="inlineStr">
        <is>
          <t>0.6908666666666667</t>
        </is>
      </c>
      <c r="O27" s="24" t="inlineStr">
        <is>
          <t>FAIR</t>
        </is>
      </c>
      <c r="P27" s="24" t="inlineStr">
        <is>
          <t>FAIR</t>
        </is>
      </c>
      <c r="Q27" s="24" t="inlineStr">
        <is>
          <t>FAIR</t>
        </is>
      </c>
      <c r="R27" s="24" t="inlineStr">
        <is>
          <t>0.6613330626239345</t>
        </is>
      </c>
      <c r="S27" s="24" t="inlineStr">
        <is>
          <t>MEDIUM</t>
        </is>
      </c>
      <c r="T27" s="24" t="inlineStr">
        <is>
          <t>MEDIUM</t>
        </is>
      </c>
      <c r="U27" s="24" t="inlineStr">
        <is>
          <t>0.8571428571428571</t>
        </is>
      </c>
      <c r="V27" s="24" t="inlineStr">
        <is>
          <t>HIGH_RISK</t>
        </is>
      </c>
      <c r="W27" s="24" t="inlineStr">
        <is>
          <t>고위험</t>
        </is>
      </c>
      <c r="X27" s="24" t="inlineStr">
        <is>
          <t>HIGH_RISK</t>
        </is>
      </c>
      <c r="Y27" s="24" t="inlineStr">
        <is>
          <t>0.5690179270143122</t>
        </is>
      </c>
      <c r="Z27" s="24" t="inlineStr">
        <is>
          <t>MEDIUM</t>
        </is>
      </c>
      <c r="AA27" s="24" t="inlineStr">
        <is>
          <t>MEDIUM</t>
        </is>
      </c>
      <c r="AB27" s="24" t="inlineStr">
        <is>
          <t>0.3728446721783581</t>
        </is>
      </c>
      <c r="AC27" s="24" t="inlineStr">
        <is>
          <t>True</t>
        </is>
      </c>
      <c r="AD27" s="24" t="inlineStr">
        <is>
          <t>True</t>
        </is>
      </c>
      <c r="AE27" s="24" t="inlineStr">
        <is>
          <t>valuation_credit_ml_overlay_candidate.csv</t>
        </is>
      </c>
      <c r="AF27" s="24" t="inlineStr">
        <is>
          <t>208개 반도체 reference universe. Valuation Agent가 자체 intake 폴더로 복제해 Peer/ML/대시보드 비교에 사용.</t>
        </is>
      </c>
      <c r="AG27" s="24" t="inlineStr">
        <is>
          <t>SAME_PEER_GROUP</t>
        </is>
      </c>
      <c r="AH27" s="24" t="inlineStr">
        <is>
          <t>False</t>
        </is>
      </c>
    </row>
    <row r="28" ht="24" customHeight="1">
      <c r="A28" s="29" t="inlineStr">
        <is>
          <t>76</t>
        </is>
      </c>
      <c r="B28" s="29" t="inlineStr">
        <is>
          <t>해당 없음</t>
        </is>
      </c>
      <c r="C28" s="29" t="inlineStr">
        <is>
          <t>KPX케미칼</t>
        </is>
      </c>
      <c r="D28" s="29" t="inlineStr">
        <is>
          <t>025000</t>
        </is>
      </c>
      <c r="E28" s="29" t="inlineStr">
        <is>
          <t>KOSPI</t>
        </is>
      </c>
      <c r="F28" s="29" t="inlineStr">
        <is>
          <t>장비</t>
        </is>
      </c>
      <c r="G28" s="29" t="inlineStr">
        <is>
          <t>장비</t>
        </is>
      </c>
      <c r="H28" s="29" t="inlineStr">
        <is>
          <t>False</t>
        </is>
      </c>
      <c r="I28" s="29" t="inlineStr">
        <is>
          <t>True</t>
        </is>
      </c>
      <c r="J28" s="29" t="inlineStr">
        <is>
          <t>OK</t>
        </is>
      </c>
      <c r="K28" s="29" t="inlineStr">
        <is>
          <t>데이터 사용 가능</t>
        </is>
      </c>
      <c r="L28" s="29" t="inlineStr">
        <is>
          <t>LOW</t>
        </is>
      </c>
      <c r="M28" s="29" t="inlineStr">
        <is>
          <t>LOW</t>
        </is>
      </c>
      <c r="N28" s="29" t="inlineStr">
        <is>
          <t>0.6876</t>
        </is>
      </c>
      <c r="O28" s="29" t="inlineStr">
        <is>
          <t>ATTRACTIVE</t>
        </is>
      </c>
      <c r="P28" s="29" t="inlineStr">
        <is>
          <t>가치 매력</t>
        </is>
      </c>
      <c r="Q28" s="29" t="inlineStr">
        <is>
          <t>ATTRACTIVE</t>
        </is>
      </c>
      <c r="R28" s="29" t="inlineStr">
        <is>
          <t>0.9091955435785402</t>
        </is>
      </c>
      <c r="S28" s="29" t="inlineStr">
        <is>
          <t>HIGH</t>
        </is>
      </c>
      <c r="T28" s="29" t="inlineStr">
        <is>
          <t>HIGH</t>
        </is>
      </c>
      <c r="U28" s="29" t="inlineStr">
        <is>
          <t>0.0</t>
        </is>
      </c>
      <c r="V28" s="29" t="inlineStr">
        <is>
          <t>LOW_RISK</t>
        </is>
      </c>
      <c r="W28" s="29" t="inlineStr">
        <is>
          <t>저위험</t>
        </is>
      </c>
      <c r="X28" s="29" t="inlineStr">
        <is>
          <t>LOW_RISK</t>
        </is>
      </c>
      <c r="Y28" s="29" t="inlineStr">
        <is>
          <t>0.9222174142026104</t>
        </is>
      </c>
      <c r="Z28" s="29" t="inlineStr">
        <is>
          <t>HIGH</t>
        </is>
      </c>
      <c r="AA28" s="29" t="inlineStr">
        <is>
          <t>HIGH</t>
        </is>
      </c>
      <c r="AB28" s="29" t="inlineStr">
        <is>
          <t>0.13901835477996793</t>
        </is>
      </c>
      <c r="AC28" s="29" t="inlineStr">
        <is>
          <t>False</t>
        </is>
      </c>
      <c r="AD28" s="29" t="inlineStr">
        <is>
          <t>False</t>
        </is>
      </c>
      <c r="AE28" s="29" t="inlineStr">
        <is>
          <t>valuation_credit_ml_overlay_candidate.csv</t>
        </is>
      </c>
      <c r="AF28" s="29" t="inlineStr">
        <is>
          <t>208개 반도체 reference universe. Valuation Agent가 자체 intake 폴더로 복제해 Peer/ML/대시보드 비교에 사용.</t>
        </is>
      </c>
      <c r="AG28" s="29" t="inlineStr">
        <is>
          <t>SAME_PEER_GROUP</t>
        </is>
      </c>
      <c r="AH28" s="29" t="inlineStr">
        <is>
          <t>False</t>
        </is>
      </c>
    </row>
    <row r="29" ht="24" customHeight="1">
      <c r="A29" s="24" t="inlineStr">
        <is>
          <t>91</t>
        </is>
      </c>
      <c r="B29" s="24" t="inlineStr">
        <is>
          <t>해당 없음</t>
        </is>
      </c>
      <c r="C29" s="24" t="inlineStr">
        <is>
          <t>성도이엔지</t>
        </is>
      </c>
      <c r="D29" s="24" t="inlineStr">
        <is>
          <t>037350</t>
        </is>
      </c>
      <c r="E29" s="24" t="inlineStr">
        <is>
          <t>KOSDAQ</t>
        </is>
      </c>
      <c r="F29" s="24" t="inlineStr">
        <is>
          <t>장비</t>
        </is>
      </c>
      <c r="G29" s="24" t="inlineStr">
        <is>
          <t>장비</t>
        </is>
      </c>
      <c r="H29" s="24" t="inlineStr">
        <is>
          <t>False</t>
        </is>
      </c>
      <c r="I29" s="24" t="inlineStr">
        <is>
          <t>True</t>
        </is>
      </c>
      <c r="J29" s="24" t="inlineStr">
        <is>
          <t>OK</t>
        </is>
      </c>
      <c r="K29" s="24" t="inlineStr">
        <is>
          <t>데이터 사용 가능</t>
        </is>
      </c>
      <c r="L29" s="24" t="inlineStr">
        <is>
          <t>LOW</t>
        </is>
      </c>
      <c r="M29" s="24" t="inlineStr">
        <is>
          <t>LOW</t>
        </is>
      </c>
      <c r="N29" s="24" t="inlineStr">
        <is>
          <t>0.6874666666666667</t>
        </is>
      </c>
      <c r="O29" s="24" t="inlineStr">
        <is>
          <t>ATTRACTIVE</t>
        </is>
      </c>
      <c r="P29" s="24" t="inlineStr">
        <is>
          <t>가치 매력</t>
        </is>
      </c>
      <c r="Q29" s="24" t="inlineStr">
        <is>
          <t>ATTRACTIVE</t>
        </is>
      </c>
      <c r="R29" s="24" t="inlineStr">
        <is>
          <t>0.9250659167833418</t>
        </is>
      </c>
      <c r="S29" s="24" t="inlineStr">
        <is>
          <t>HIGH</t>
        </is>
      </c>
      <c r="T29" s="24" t="inlineStr">
        <is>
          <t>HIGH</t>
        </is>
      </c>
      <c r="U29" s="24" t="inlineStr">
        <is>
          <t>0.0</t>
        </is>
      </c>
      <c r="V29" s="24" t="inlineStr">
        <is>
          <t>LOW_RISK</t>
        </is>
      </c>
      <c r="W29" s="24" t="inlineStr">
        <is>
          <t>저위험</t>
        </is>
      </c>
      <c r="X29" s="24" t="inlineStr">
        <is>
          <t>LOW_RISK</t>
        </is>
      </c>
      <c r="Y29" s="24" t="inlineStr">
        <is>
          <t>0.7848826000183735</t>
        </is>
      </c>
      <c r="Z29" s="24" t="inlineStr">
        <is>
          <t>HIGH</t>
        </is>
      </c>
      <c r="AA29" s="24" t="inlineStr">
        <is>
          <t>HIGH</t>
        </is>
      </c>
      <c r="AB29" s="24" t="inlineStr">
        <is>
          <t>0.02320770424808947</t>
        </is>
      </c>
      <c r="AC29" s="24" t="inlineStr">
        <is>
          <t>False</t>
        </is>
      </c>
      <c r="AD29" s="24" t="inlineStr">
        <is>
          <t>False</t>
        </is>
      </c>
      <c r="AE29" s="24" t="inlineStr">
        <is>
          <t>valuation_credit_ml_overlay_candidate.csv</t>
        </is>
      </c>
      <c r="AF29" s="24" t="inlineStr">
        <is>
          <t>208개 반도체 reference universe. Valuation Agent가 자체 intake 폴더로 복제해 Peer/ML/대시보드 비교에 사용.</t>
        </is>
      </c>
      <c r="AG29" s="24" t="inlineStr">
        <is>
          <t>SAME_PEER_GROUP</t>
        </is>
      </c>
      <c r="AH29" s="24" t="inlineStr">
        <is>
          <t>False</t>
        </is>
      </c>
    </row>
    <row r="30" ht="24" customHeight="1">
      <c r="A30" s="29" t="inlineStr">
        <is>
          <t>105</t>
        </is>
      </c>
      <c r="B30" s="29" t="inlineStr">
        <is>
          <t>해당 없음</t>
        </is>
      </c>
      <c r="C30" s="29" t="inlineStr">
        <is>
          <t>유니퀘스트</t>
        </is>
      </c>
      <c r="D30" s="29" t="inlineStr">
        <is>
          <t>077500</t>
        </is>
      </c>
      <c r="E30" s="29" t="inlineStr">
        <is>
          <t>KOSPI</t>
        </is>
      </c>
      <c r="F30" s="29" t="inlineStr">
        <is>
          <t>장비</t>
        </is>
      </c>
      <c r="G30" s="29" t="inlineStr">
        <is>
          <t>장비</t>
        </is>
      </c>
      <c r="H30" s="29" t="inlineStr">
        <is>
          <t>False</t>
        </is>
      </c>
      <c r="I30" s="29" t="inlineStr">
        <is>
          <t>True</t>
        </is>
      </c>
      <c r="J30" s="29" t="inlineStr">
        <is>
          <t>OK</t>
        </is>
      </c>
      <c r="K30" s="29" t="inlineStr">
        <is>
          <t>데이터 사용 가능</t>
        </is>
      </c>
      <c r="L30" s="29" t="inlineStr">
        <is>
          <t>LOW</t>
        </is>
      </c>
      <c r="M30" s="29" t="inlineStr">
        <is>
          <t>LOW</t>
        </is>
      </c>
      <c r="N30" s="29" t="inlineStr">
        <is>
          <t>0.6784</t>
        </is>
      </c>
      <c r="O30" s="29" t="inlineStr">
        <is>
          <t>ATTRACTIVE</t>
        </is>
      </c>
      <c r="P30" s="29" t="inlineStr">
        <is>
          <t>가치 매력</t>
        </is>
      </c>
      <c r="Q30" s="29" t="inlineStr">
        <is>
          <t>ATTRACTIVE</t>
        </is>
      </c>
      <c r="R30" s="29" t="inlineStr">
        <is>
          <t>0.8881603628406226</t>
        </is>
      </c>
      <c r="S30" s="29" t="inlineStr">
        <is>
          <t>HIGH</t>
        </is>
      </c>
      <c r="T30" s="29" t="inlineStr">
        <is>
          <t>HIGH</t>
        </is>
      </c>
      <c r="U30" s="29" t="inlineStr">
        <is>
          <t>0.0</t>
        </is>
      </c>
      <c r="V30" s="29" t="inlineStr">
        <is>
          <t>LOW_RISK</t>
        </is>
      </c>
      <c r="W30" s="29" t="inlineStr">
        <is>
          <t>저위험</t>
        </is>
      </c>
      <c r="X30" s="29" t="inlineStr">
        <is>
          <t>LOW_RISK</t>
        </is>
      </c>
      <c r="Y30" s="29" t="inlineStr">
        <is>
          <t>0.8138676885332061</t>
        </is>
      </c>
      <c r="Z30" s="29" t="inlineStr">
        <is>
          <t>HIGH</t>
        </is>
      </c>
      <c r="AA30" s="29" t="inlineStr">
        <is>
          <t>HIGH</t>
        </is>
      </c>
      <c r="AB30" s="29" t="inlineStr">
        <is>
          <t>0.042139285734196785</t>
        </is>
      </c>
      <c r="AC30" s="29" t="inlineStr">
        <is>
          <t>False</t>
        </is>
      </c>
      <c r="AD30" s="29" t="inlineStr">
        <is>
          <t>False</t>
        </is>
      </c>
      <c r="AE30" s="29" t="inlineStr">
        <is>
          <t>valuation_credit_ml_overlay_candidate.csv</t>
        </is>
      </c>
      <c r="AF30" s="29" t="inlineStr">
        <is>
          <t>208개 반도체 reference universe. Valuation Agent가 자체 intake 폴더로 복제해 Peer/ML/대시보드 비교에 사용.</t>
        </is>
      </c>
      <c r="AG30" s="29" t="inlineStr">
        <is>
          <t>SAME_PEER_GROUP</t>
        </is>
      </c>
      <c r="AH30" s="29" t="inlineStr">
        <is>
          <t>False</t>
        </is>
      </c>
    </row>
    <row r="31" ht="24" customHeight="1">
      <c r="A31" s="24" t="inlineStr">
        <is>
          <t>123</t>
        </is>
      </c>
      <c r="B31" s="24" t="inlineStr">
        <is>
          <t>해당 없음</t>
        </is>
      </c>
      <c r="C31" s="24" t="inlineStr">
        <is>
          <t>한솔아이원스</t>
        </is>
      </c>
      <c r="D31" s="24" t="inlineStr">
        <is>
          <t>114810</t>
        </is>
      </c>
      <c r="E31" s="24" t="inlineStr">
        <is>
          <t>KOSDAQ</t>
        </is>
      </c>
      <c r="F31" s="24" t="inlineStr">
        <is>
          <t>장비</t>
        </is>
      </c>
      <c r="G31" s="24" t="inlineStr">
        <is>
          <t>장비</t>
        </is>
      </c>
      <c r="H31" s="24" t="inlineStr">
        <is>
          <t>False</t>
        </is>
      </c>
      <c r="I31" s="24" t="inlineStr">
        <is>
          <t>True</t>
        </is>
      </c>
      <c r="J31" s="24" t="inlineStr">
        <is>
          <t>OK</t>
        </is>
      </c>
      <c r="K31" s="24" t="inlineStr">
        <is>
          <t>데이터 사용 가능</t>
        </is>
      </c>
      <c r="L31" s="24" t="inlineStr">
        <is>
          <t>LOW</t>
        </is>
      </c>
      <c r="M31" s="24" t="inlineStr">
        <is>
          <t>LOW</t>
        </is>
      </c>
      <c r="N31" s="24" t="inlineStr">
        <is>
          <t>0.6648</t>
        </is>
      </c>
      <c r="O31" s="24" t="inlineStr">
        <is>
          <t>ATTRACTIVE</t>
        </is>
      </c>
      <c r="P31" s="24" t="inlineStr">
        <is>
          <t>가치 매력</t>
        </is>
      </c>
      <c r="Q31" s="24" t="inlineStr">
        <is>
          <t>ATTRACTIVE</t>
        </is>
      </c>
      <c r="R31" s="24" t="inlineStr">
        <is>
          <t>0.9031428820161691</t>
        </is>
      </c>
      <c r="S31" s="24" t="inlineStr">
        <is>
          <t>HIGH</t>
        </is>
      </c>
      <c r="T31" s="24" t="inlineStr">
        <is>
          <t>HIGH</t>
        </is>
      </c>
      <c r="U31" s="24" t="inlineStr">
        <is>
          <t>0.1428571428571428</t>
        </is>
      </c>
      <c r="V31" s="24" t="inlineStr">
        <is>
          <t>LOW_RISK</t>
        </is>
      </c>
      <c r="W31" s="24" t="inlineStr">
        <is>
          <t>저위험</t>
        </is>
      </c>
      <c r="X31" s="24" t="inlineStr">
        <is>
          <t>LOW_RISK</t>
        </is>
      </c>
      <c r="Y31" s="24" t="inlineStr">
        <is>
          <t>0.8626763542915618</t>
        </is>
      </c>
      <c r="Z31" s="24" t="inlineStr">
        <is>
          <t>HIGH</t>
        </is>
      </c>
      <c r="AA31" s="24" t="inlineStr">
        <is>
          <t>HIGH</t>
        </is>
      </c>
      <c r="AB31" s="24" t="inlineStr">
        <is>
          <t>0.040357003305963514</t>
        </is>
      </c>
      <c r="AC31" s="24" t="inlineStr">
        <is>
          <t>False</t>
        </is>
      </c>
      <c r="AD31" s="24" t="inlineStr">
        <is>
          <t>False</t>
        </is>
      </c>
      <c r="AE31" s="24" t="inlineStr">
        <is>
          <t>valuation_credit_ml_overlay_candidate.csv</t>
        </is>
      </c>
      <c r="AF31" s="24" t="inlineStr">
        <is>
          <t>208개 반도체 reference universe. Valuation Agent가 자체 intake 폴더로 복제해 Peer/ML/대시보드 비교에 사용.</t>
        </is>
      </c>
      <c r="AG31" s="24" t="inlineStr">
        <is>
          <t>SAME_PEER_GROUP</t>
        </is>
      </c>
      <c r="AH31" s="24" t="inlineStr">
        <is>
          <t>False</t>
        </is>
      </c>
    </row>
    <row r="32" ht="24" customHeight="1">
      <c r="A32" s="29" t="inlineStr">
        <is>
          <t>74</t>
        </is>
      </c>
      <c r="B32" s="29" t="inlineStr">
        <is>
          <t>해당 없음</t>
        </is>
      </c>
      <c r="C32" s="29" t="inlineStr">
        <is>
          <t>GST</t>
        </is>
      </c>
      <c r="D32" s="29" t="inlineStr">
        <is>
          <t>083450</t>
        </is>
      </c>
      <c r="E32" s="29" t="inlineStr">
        <is>
          <t>KOSDAQ</t>
        </is>
      </c>
      <c r="F32" s="29" t="inlineStr">
        <is>
          <t>장비</t>
        </is>
      </c>
      <c r="G32" s="29" t="inlineStr">
        <is>
          <t>장비</t>
        </is>
      </c>
      <c r="H32" s="29" t="inlineStr">
        <is>
          <t>False</t>
        </is>
      </c>
      <c r="I32" s="29" t="inlineStr">
        <is>
          <t>True</t>
        </is>
      </c>
      <c r="J32" s="29" t="inlineStr">
        <is>
          <t>OK</t>
        </is>
      </c>
      <c r="K32" s="29" t="inlineStr">
        <is>
          <t>데이터 사용 가능</t>
        </is>
      </c>
      <c r="L32" s="29" t="inlineStr">
        <is>
          <t>LOW</t>
        </is>
      </c>
      <c r="M32" s="29" t="inlineStr">
        <is>
          <t>LOW</t>
        </is>
      </c>
      <c r="N32" s="29" t="inlineStr">
        <is>
          <t>0.6474666666666666</t>
        </is>
      </c>
      <c r="O32" s="29" t="inlineStr">
        <is>
          <t>ATTRACTIVE</t>
        </is>
      </c>
      <c r="P32" s="29" t="inlineStr">
        <is>
          <t>가치 매력</t>
        </is>
      </c>
      <c r="Q32" s="29" t="inlineStr">
        <is>
          <t>ATTRACTIVE</t>
        </is>
      </c>
      <c r="R32" s="29" t="inlineStr">
        <is>
          <t>0.900491542853433</t>
        </is>
      </c>
      <c r="S32" s="29" t="inlineStr">
        <is>
          <t>HIGH</t>
        </is>
      </c>
      <c r="T32" s="29" t="inlineStr">
        <is>
          <t>HIGH</t>
        </is>
      </c>
      <c r="U32" s="29" t="inlineStr">
        <is>
          <t>0.0</t>
        </is>
      </c>
      <c r="V32" s="29" t="inlineStr">
        <is>
          <t>LOW_RISK</t>
        </is>
      </c>
      <c r="W32" s="29" t="inlineStr">
        <is>
          <t>저위험</t>
        </is>
      </c>
      <c r="X32" s="29" t="inlineStr">
        <is>
          <t>LOW_RISK</t>
        </is>
      </c>
      <c r="Y32" s="29" t="inlineStr">
        <is>
          <t>0.9914514013000448</t>
        </is>
      </c>
      <c r="Z32" s="29" t="inlineStr">
        <is>
          <t>HIGH</t>
        </is>
      </c>
      <c r="AA32" s="29" t="inlineStr">
        <is>
          <t>HIGH</t>
        </is>
      </c>
      <c r="AB32" s="29" t="inlineStr">
        <is>
          <t>0.030956097033645616</t>
        </is>
      </c>
      <c r="AC32" s="29" t="inlineStr">
        <is>
          <t>False</t>
        </is>
      </c>
      <c r="AD32" s="29" t="inlineStr">
        <is>
          <t>False</t>
        </is>
      </c>
      <c r="AE32" s="29" t="inlineStr">
        <is>
          <t>valuation_credit_ml_overlay_candidate.csv</t>
        </is>
      </c>
      <c r="AF32" s="29" t="inlineStr">
        <is>
          <t>208개 반도체 reference universe. Valuation Agent가 자체 intake 폴더로 복제해 Peer/ML/대시보드 비교에 사용.</t>
        </is>
      </c>
      <c r="AG32" s="29" t="inlineStr">
        <is>
          <t>SAME_PEER_GROUP</t>
        </is>
      </c>
      <c r="AH32" s="29" t="inlineStr">
        <is>
          <t>False</t>
        </is>
      </c>
    </row>
    <row r="33" ht="24" customHeight="1">
      <c r="A33" s="24" t="inlineStr">
        <is>
          <t>117</t>
        </is>
      </c>
      <c r="B33" s="24" t="inlineStr">
        <is>
          <t>해당 없음</t>
        </is>
      </c>
      <c r="C33" s="24" t="inlineStr">
        <is>
          <t>티이엠씨씨엔에스</t>
        </is>
      </c>
      <c r="D33" s="24" t="inlineStr">
        <is>
          <t>241790</t>
        </is>
      </c>
      <c r="E33" s="24" t="inlineStr">
        <is>
          <t>KOSDAQ</t>
        </is>
      </c>
      <c r="F33" s="24" t="inlineStr">
        <is>
          <t>장비</t>
        </is>
      </c>
      <c r="G33" s="24" t="inlineStr">
        <is>
          <t>장비</t>
        </is>
      </c>
      <c r="H33" s="24" t="inlineStr">
        <is>
          <t>False</t>
        </is>
      </c>
      <c r="I33" s="24" t="inlineStr">
        <is>
          <t>True</t>
        </is>
      </c>
      <c r="J33" s="24" t="inlineStr">
        <is>
          <t>OK</t>
        </is>
      </c>
      <c r="K33" s="24" t="inlineStr">
        <is>
          <t>데이터 사용 가능</t>
        </is>
      </c>
      <c r="L33" s="24" t="inlineStr">
        <is>
          <t>LOW</t>
        </is>
      </c>
      <c r="M33" s="24" t="inlineStr">
        <is>
          <t>LOW</t>
        </is>
      </c>
      <c r="N33" s="24" t="inlineStr">
        <is>
          <t>0.6393333333333333</t>
        </is>
      </c>
      <c r="O33" s="24" t="inlineStr">
        <is>
          <t>ATTRACTIVE</t>
        </is>
      </c>
      <c r="P33" s="24" t="inlineStr">
        <is>
          <t>가치 매력</t>
        </is>
      </c>
      <c r="Q33" s="24" t="inlineStr">
        <is>
          <t>ATTRACTIVE</t>
        </is>
      </c>
      <c r="R33" s="24" t="inlineStr">
        <is>
          <t>0.8915695356337118</t>
        </is>
      </c>
      <c r="S33" s="24" t="inlineStr">
        <is>
          <t>HIGH</t>
        </is>
      </c>
      <c r="T33" s="24" t="inlineStr">
        <is>
          <t>HIGH</t>
        </is>
      </c>
      <c r="U33" s="24" t="inlineStr">
        <is>
          <t>0.0714285714285714</t>
        </is>
      </c>
      <c r="V33" s="24" t="inlineStr">
        <is>
          <t>LOW_RISK</t>
        </is>
      </c>
      <c r="W33" s="24" t="inlineStr">
        <is>
          <t>저위험</t>
        </is>
      </c>
      <c r="X33" s="24" t="inlineStr">
        <is>
          <t>LOW_RISK</t>
        </is>
      </c>
      <c r="Y33" s="24" t="inlineStr">
        <is>
          <t>0.8390932561788113</t>
        </is>
      </c>
      <c r="Z33" s="24" t="inlineStr">
        <is>
          <t>HIGH</t>
        </is>
      </c>
      <c r="AA33" s="24" t="inlineStr">
        <is>
          <t>HIGH</t>
        </is>
      </c>
      <c r="AB33" s="24" t="inlineStr">
        <is>
          <t>0.02833353868990863</t>
        </is>
      </c>
      <c r="AC33" s="24" t="inlineStr">
        <is>
          <t>False</t>
        </is>
      </c>
      <c r="AD33" s="24" t="inlineStr">
        <is>
          <t>False</t>
        </is>
      </c>
      <c r="AE33" s="24" t="inlineStr">
        <is>
          <t>valuation_credit_ml_overlay_candidate.csv</t>
        </is>
      </c>
      <c r="AF33" s="24" t="inlineStr">
        <is>
          <t>208개 반도체 reference universe. Valuation Agent가 자체 intake 폴더로 복제해 Peer/ML/대시보드 비교에 사용.</t>
        </is>
      </c>
      <c r="AG33" s="24" t="inlineStr">
        <is>
          <t>SAME_PEER_GROUP</t>
        </is>
      </c>
      <c r="AH33" s="24" t="inlineStr">
        <is>
          <t>False</t>
        </is>
      </c>
    </row>
    <row r="34" ht="24" customHeight="1">
      <c r="A34" s="29" t="inlineStr">
        <is>
          <t>82</t>
        </is>
      </c>
      <c r="B34" s="29" t="inlineStr">
        <is>
          <t>해당 없음</t>
        </is>
      </c>
      <c r="C34" s="29" t="inlineStr">
        <is>
          <t>디아이티</t>
        </is>
      </c>
      <c r="D34" s="29" t="inlineStr">
        <is>
          <t>110990</t>
        </is>
      </c>
      <c r="E34" s="29" t="inlineStr">
        <is>
          <t>KOSDAQ</t>
        </is>
      </c>
      <c r="F34" s="29" t="inlineStr">
        <is>
          <t>장비</t>
        </is>
      </c>
      <c r="G34" s="29" t="inlineStr">
        <is>
          <t>장비</t>
        </is>
      </c>
      <c r="H34" s="29" t="inlineStr">
        <is>
          <t>False</t>
        </is>
      </c>
      <c r="I34" s="29" t="inlineStr">
        <is>
          <t>True</t>
        </is>
      </c>
      <c r="J34" s="29" t="inlineStr">
        <is>
          <t>OK</t>
        </is>
      </c>
      <c r="K34" s="29" t="inlineStr">
        <is>
          <t>데이터 사용 가능</t>
        </is>
      </c>
      <c r="L34" s="29" t="inlineStr">
        <is>
          <t>LOW</t>
        </is>
      </c>
      <c r="M34" s="29" t="inlineStr">
        <is>
          <t>LOW</t>
        </is>
      </c>
      <c r="N34" s="29" t="inlineStr">
        <is>
          <t>0.6341333333333333</t>
        </is>
      </c>
      <c r="O34" s="29" t="inlineStr">
        <is>
          <t>ATTRACTIVE</t>
        </is>
      </c>
      <c r="P34" s="29" t="inlineStr">
        <is>
          <t>가치 매력</t>
        </is>
      </c>
      <c r="Q34" s="29" t="inlineStr">
        <is>
          <t>ATTRACTIVE</t>
        </is>
      </c>
      <c r="R34" s="29" t="inlineStr">
        <is>
          <t>0.8847780199048246</t>
        </is>
      </c>
      <c r="S34" s="29" t="inlineStr">
        <is>
          <t>HIGH</t>
        </is>
      </c>
      <c r="T34" s="29" t="inlineStr">
        <is>
          <t>HIGH</t>
        </is>
      </c>
      <c r="U34" s="29" t="inlineStr">
        <is>
          <t>0.0</t>
        </is>
      </c>
      <c r="V34" s="29" t="inlineStr">
        <is>
          <t>LOW_RISK</t>
        </is>
      </c>
      <c r="W34" s="29" t="inlineStr">
        <is>
          <t>저위험</t>
        </is>
      </c>
      <c r="X34" s="29" t="inlineStr">
        <is>
          <t>LOW_RISK</t>
        </is>
      </c>
      <c r="Y34" s="29" t="inlineStr">
        <is>
          <t>0.9680387620928</t>
        </is>
      </c>
      <c r="Z34" s="29" t="inlineStr">
        <is>
          <t>HIGH</t>
        </is>
      </c>
      <c r="AA34" s="29" t="inlineStr">
        <is>
          <t>HIGH</t>
        </is>
      </c>
      <c r="AB34" s="29" t="inlineStr">
        <is>
          <t>0.10339551954594055</t>
        </is>
      </c>
      <c r="AC34" s="29" t="inlineStr">
        <is>
          <t>False</t>
        </is>
      </c>
      <c r="AD34" s="29" t="inlineStr">
        <is>
          <t>False</t>
        </is>
      </c>
      <c r="AE34" s="29" t="inlineStr">
        <is>
          <t>valuation_credit_ml_overlay_candidate.csv</t>
        </is>
      </c>
      <c r="AF34" s="29" t="inlineStr">
        <is>
          <t>208개 반도체 reference universe. Valuation Agent가 자체 intake 폴더로 복제해 Peer/ML/대시보드 비교에 사용.</t>
        </is>
      </c>
      <c r="AG34" s="29" t="inlineStr">
        <is>
          <t>SAME_PEER_GROUP</t>
        </is>
      </c>
      <c r="AH34" s="29" t="inlineStr">
        <is>
          <t>False</t>
        </is>
      </c>
    </row>
    <row r="35" ht="24" customHeight="1">
      <c r="A35" s="24" t="inlineStr">
        <is>
          <t>113</t>
        </is>
      </c>
      <c r="B35" s="24" t="inlineStr">
        <is>
          <t>해당 없음</t>
        </is>
      </c>
      <c r="C35" s="24" t="inlineStr">
        <is>
          <t>케이씨텍</t>
        </is>
      </c>
      <c r="D35" s="24" t="inlineStr">
        <is>
          <t>281820</t>
        </is>
      </c>
      <c r="E35" s="24" t="inlineStr">
        <is>
          <t>KOSPI</t>
        </is>
      </c>
      <c r="F35" s="24" t="inlineStr">
        <is>
          <t>장비</t>
        </is>
      </c>
      <c r="G35" s="24" t="inlineStr">
        <is>
          <t>장비</t>
        </is>
      </c>
      <c r="H35" s="24" t="inlineStr">
        <is>
          <t>False</t>
        </is>
      </c>
      <c r="I35" s="24" t="inlineStr">
        <is>
          <t>True</t>
        </is>
      </c>
      <c r="J35" s="24" t="inlineStr">
        <is>
          <t>OK</t>
        </is>
      </c>
      <c r="K35" s="24" t="inlineStr">
        <is>
          <t>데이터 사용 가능</t>
        </is>
      </c>
      <c r="L35" s="24" t="inlineStr">
        <is>
          <t>LOW</t>
        </is>
      </c>
      <c r="M35" s="24" t="inlineStr">
        <is>
          <t>LOW</t>
        </is>
      </c>
      <c r="N35" s="24" t="inlineStr">
        <is>
          <t>0.6314666666666666</t>
        </is>
      </c>
      <c r="O35" s="24" t="inlineStr">
        <is>
          <t>ATTRACTIVE</t>
        </is>
      </c>
      <c r="P35" s="24" t="inlineStr">
        <is>
          <t>가치 매력</t>
        </is>
      </c>
      <c r="Q35" s="24" t="inlineStr">
        <is>
          <t>ATTRACTIVE</t>
        </is>
      </c>
      <c r="R35" s="24" t="inlineStr">
        <is>
          <t>0.8895261430914092</t>
        </is>
      </c>
      <c r="S35" s="24" t="inlineStr">
        <is>
          <t>HIGH</t>
        </is>
      </c>
      <c r="T35" s="24" t="inlineStr">
        <is>
          <t>HIGH</t>
        </is>
      </c>
      <c r="U35" s="24" t="inlineStr">
        <is>
          <t>0.0</t>
        </is>
      </c>
      <c r="V35" s="24" t="inlineStr">
        <is>
          <t>LOW_RISK</t>
        </is>
      </c>
      <c r="W35" s="24" t="inlineStr">
        <is>
          <t>저위험</t>
        </is>
      </c>
      <c r="X35" s="24" t="inlineStr">
        <is>
          <t>LOW_RISK</t>
        </is>
      </c>
      <c r="Y35" s="24" t="inlineStr">
        <is>
          <t>0.9840164809601727</t>
        </is>
      </c>
      <c r="Z35" s="24" t="inlineStr">
        <is>
          <t>HIGH</t>
        </is>
      </c>
      <c r="AA35" s="24" t="inlineStr">
        <is>
          <t>HIGH</t>
        </is>
      </c>
      <c r="AB35" s="24" t="inlineStr">
        <is>
          <t>0.08604596455969397</t>
        </is>
      </c>
      <c r="AC35" s="24" t="inlineStr">
        <is>
          <t>False</t>
        </is>
      </c>
      <c r="AD35" s="24" t="inlineStr">
        <is>
          <t>False</t>
        </is>
      </c>
      <c r="AE35" s="24" t="inlineStr">
        <is>
          <t>valuation_credit_ml_overlay_candidate.csv</t>
        </is>
      </c>
      <c r="AF35" s="24" t="inlineStr">
        <is>
          <t>208개 반도체 reference universe. Valuation Agent가 자체 intake 폴더로 복제해 Peer/ML/대시보드 비교에 사용.</t>
        </is>
      </c>
      <c r="AG35" s="24" t="inlineStr">
        <is>
          <t>SAME_PEER_GROUP</t>
        </is>
      </c>
      <c r="AH35" s="24" t="inlineStr">
        <is>
          <t>False</t>
        </is>
      </c>
    </row>
    <row r="36" ht="24" customHeight="1">
      <c r="A36" s="29" t="inlineStr">
        <is>
          <t>85</t>
        </is>
      </c>
      <c r="B36" s="29" t="inlineStr">
        <is>
          <t>해당 없음</t>
        </is>
      </c>
      <c r="C36" s="29" t="inlineStr">
        <is>
          <t>로체시스템즈</t>
        </is>
      </c>
      <c r="D36" s="29" t="inlineStr">
        <is>
          <t>071280</t>
        </is>
      </c>
      <c r="E36" s="29" t="inlineStr">
        <is>
          <t>KOSDAQ</t>
        </is>
      </c>
      <c r="F36" s="29" t="inlineStr">
        <is>
          <t>장비</t>
        </is>
      </c>
      <c r="G36" s="29" t="inlineStr">
        <is>
          <t>장비</t>
        </is>
      </c>
      <c r="H36" s="29" t="inlineStr">
        <is>
          <t>False</t>
        </is>
      </c>
      <c r="I36" s="29" t="inlineStr">
        <is>
          <t>True</t>
        </is>
      </c>
      <c r="J36" s="29" t="inlineStr">
        <is>
          <t>OK</t>
        </is>
      </c>
      <c r="K36" s="29" t="inlineStr">
        <is>
          <t>데이터 사용 가능</t>
        </is>
      </c>
      <c r="L36" s="29" t="inlineStr">
        <is>
          <t>LOW</t>
        </is>
      </c>
      <c r="M36" s="29" t="inlineStr">
        <is>
          <t>LOW</t>
        </is>
      </c>
      <c r="N36" s="29" t="inlineStr">
        <is>
          <t>0.6258666666666667</t>
        </is>
      </c>
      <c r="O36" s="29" t="inlineStr">
        <is>
          <t>ATTRACTIVE</t>
        </is>
      </c>
      <c r="P36" s="29" t="inlineStr">
        <is>
          <t>가치 매력</t>
        </is>
      </c>
      <c r="Q36" s="29" t="inlineStr">
        <is>
          <t>ATTRACTIVE</t>
        </is>
      </c>
      <c r="R36" s="29" t="inlineStr">
        <is>
          <t>0.9642438845844894</t>
        </is>
      </c>
      <c r="S36" s="29" t="inlineStr">
        <is>
          <t>HIGH</t>
        </is>
      </c>
      <c r="T36" s="29" t="inlineStr">
        <is>
          <t>HIGH</t>
        </is>
      </c>
      <c r="U36" s="29" t="inlineStr">
        <is>
          <t>0.0714285714285714</t>
        </is>
      </c>
      <c r="V36" s="29" t="inlineStr">
        <is>
          <t>LOW_RISK</t>
        </is>
      </c>
      <c r="W36" s="29" t="inlineStr">
        <is>
          <t>저위험</t>
        </is>
      </c>
      <c r="X36" s="29" t="inlineStr">
        <is>
          <t>LOW_RISK</t>
        </is>
      </c>
      <c r="Y36" s="29" t="inlineStr">
        <is>
          <t>0.865361141095959</t>
        </is>
      </c>
      <c r="Z36" s="29" t="inlineStr">
        <is>
          <t>HIGH</t>
        </is>
      </c>
      <c r="AA36" s="29" t="inlineStr">
        <is>
          <t>HIGH</t>
        </is>
      </c>
      <c r="AB36" s="29" t="inlineStr">
        <is>
          <t>0.12835380231692475</t>
        </is>
      </c>
      <c r="AC36" s="29" t="inlineStr">
        <is>
          <t>False</t>
        </is>
      </c>
      <c r="AD36" s="29" t="inlineStr">
        <is>
          <t>False</t>
        </is>
      </c>
      <c r="AE36" s="29" t="inlineStr">
        <is>
          <t>valuation_credit_ml_overlay_candidate.csv</t>
        </is>
      </c>
      <c r="AF36" s="29" t="inlineStr">
        <is>
          <t>208개 반도체 reference universe. Valuation Agent가 자체 intake 폴더로 복제해 Peer/ML/대시보드 비교에 사용.</t>
        </is>
      </c>
      <c r="AG36" s="29" t="inlineStr">
        <is>
          <t>SAME_PEER_GROUP</t>
        </is>
      </c>
      <c r="AH36" s="29" t="inlineStr">
        <is>
          <t>False</t>
        </is>
      </c>
    </row>
    <row r="37" ht="24" customHeight="1">
      <c r="A37" s="24" t="inlineStr">
        <is>
          <t>95</t>
        </is>
      </c>
      <c r="B37" s="24" t="inlineStr">
        <is>
          <t>해당 없음</t>
        </is>
      </c>
      <c r="C37" s="24" t="inlineStr">
        <is>
          <t>아이씨디</t>
        </is>
      </c>
      <c r="D37" s="24" t="inlineStr">
        <is>
          <t>040910</t>
        </is>
      </c>
      <c r="E37" s="24" t="inlineStr">
        <is>
          <t>KOSDAQ</t>
        </is>
      </c>
      <c r="F37" s="24" t="inlineStr">
        <is>
          <t>장비</t>
        </is>
      </c>
      <c r="G37" s="24" t="inlineStr">
        <is>
          <t>장비</t>
        </is>
      </c>
      <c r="H37" s="24" t="inlineStr">
        <is>
          <t>False</t>
        </is>
      </c>
      <c r="I37" s="24" t="inlineStr">
        <is>
          <t>True</t>
        </is>
      </c>
      <c r="J37" s="24" t="inlineStr">
        <is>
          <t>OK</t>
        </is>
      </c>
      <c r="K37" s="24" t="inlineStr">
        <is>
          <t>데이터 사용 가능</t>
        </is>
      </c>
      <c r="L37" s="24" t="inlineStr">
        <is>
          <t>LOW</t>
        </is>
      </c>
      <c r="M37" s="24" t="inlineStr">
        <is>
          <t>LOW</t>
        </is>
      </c>
      <c r="N37" s="24" t="inlineStr">
        <is>
          <t>0.6158666666666667</t>
        </is>
      </c>
      <c r="O37" s="24" t="inlineStr">
        <is>
          <t>FAIR</t>
        </is>
      </c>
      <c r="P37" s="24" t="inlineStr">
        <is>
          <t>FAIR</t>
        </is>
      </c>
      <c r="Q37" s="24" t="inlineStr">
        <is>
          <t>FAIR</t>
        </is>
      </c>
      <c r="R37" s="24" t="inlineStr">
        <is>
          <t>0.692546582663732</t>
        </is>
      </c>
      <c r="S37" s="24" t="inlineStr">
        <is>
          <t>MEDIUM</t>
        </is>
      </c>
      <c r="T37" s="24" t="inlineStr">
        <is>
          <t>MEDIUM</t>
        </is>
      </c>
      <c r="U37" s="24" t="inlineStr">
        <is>
          <t>0.0714285714285714</t>
        </is>
      </c>
      <c r="V37" s="24" t="inlineStr">
        <is>
          <t>LOW_RISK</t>
        </is>
      </c>
      <c r="W37" s="24" t="inlineStr">
        <is>
          <t>저위험</t>
        </is>
      </c>
      <c r="X37" s="24" t="inlineStr">
        <is>
          <t>LOW_RISK</t>
        </is>
      </c>
      <c r="Y37" s="24" t="inlineStr">
        <is>
          <t>0.44849044524296083</t>
        </is>
      </c>
      <c r="Z37" s="24" t="inlineStr">
        <is>
          <t>LOW</t>
        </is>
      </c>
      <c r="AA37" s="24" t="inlineStr">
        <is>
          <t>LOW</t>
        </is>
      </c>
      <c r="AB37" s="24" t="inlineStr">
        <is>
          <t>0.036739402266510075</t>
        </is>
      </c>
      <c r="AC37" s="24" t="inlineStr">
        <is>
          <t>False</t>
        </is>
      </c>
      <c r="AD37" s="24" t="inlineStr">
        <is>
          <t>True</t>
        </is>
      </c>
      <c r="AE37" s="24" t="inlineStr">
        <is>
          <t>valuation_credit_ml_overlay_candidate.csv</t>
        </is>
      </c>
      <c r="AF37" s="24" t="inlineStr">
        <is>
          <t>208개 반도체 reference universe. Valuation Agent가 자체 intake 폴더로 복제해 Peer/ML/대시보드 비교에 사용.</t>
        </is>
      </c>
      <c r="AG37" s="24" t="inlineStr">
        <is>
          <t>SAME_PEER_GROUP</t>
        </is>
      </c>
      <c r="AH37" s="24" t="inlineStr">
        <is>
          <t>False</t>
        </is>
      </c>
    </row>
    <row r="38" ht="24" customHeight="1">
      <c r="A38" s="29" t="inlineStr">
        <is>
          <t>96</t>
        </is>
      </c>
      <c r="B38" s="29" t="inlineStr">
        <is>
          <t>해당 없음</t>
        </is>
      </c>
      <c r="C38" s="29" t="inlineStr">
        <is>
          <t>에스에프에이</t>
        </is>
      </c>
      <c r="D38" s="29" t="inlineStr">
        <is>
          <t>056190</t>
        </is>
      </c>
      <c r="E38" s="29" t="inlineStr">
        <is>
          <t>KOSDAQ GLOBAL</t>
        </is>
      </c>
      <c r="F38" s="29" t="inlineStr">
        <is>
          <t>장비</t>
        </is>
      </c>
      <c r="G38" s="29" t="inlineStr">
        <is>
          <t>장비</t>
        </is>
      </c>
      <c r="H38" s="29" t="inlineStr">
        <is>
          <t>False</t>
        </is>
      </c>
      <c r="I38" s="29" t="inlineStr">
        <is>
          <t>True</t>
        </is>
      </c>
      <c r="J38" s="29" t="inlineStr">
        <is>
          <t>OK</t>
        </is>
      </c>
      <c r="K38" s="29" t="inlineStr">
        <is>
          <t>데이터 사용 가능</t>
        </is>
      </c>
      <c r="L38" s="29" t="inlineStr">
        <is>
          <t>LOW</t>
        </is>
      </c>
      <c r="M38" s="29" t="inlineStr">
        <is>
          <t>LOW</t>
        </is>
      </c>
      <c r="N38" s="29" t="inlineStr">
        <is>
          <t>0.6098666666666667</t>
        </is>
      </c>
      <c r="O38" s="29" t="inlineStr">
        <is>
          <t>ATTRACTIVE</t>
        </is>
      </c>
      <c r="P38" s="29" t="inlineStr">
        <is>
          <t>가치 매력</t>
        </is>
      </c>
      <c r="Q38" s="29" t="inlineStr">
        <is>
          <t>ATTRACTIVE</t>
        </is>
      </c>
      <c r="R38" s="29" t="inlineStr">
        <is>
          <t>0.8690882589557657</t>
        </is>
      </c>
      <c r="S38" s="29" t="inlineStr">
        <is>
          <t>HIGH</t>
        </is>
      </c>
      <c r="T38" s="29" t="inlineStr">
        <is>
          <t>HIGH</t>
        </is>
      </c>
      <c r="U38" s="29" t="inlineStr">
        <is>
          <t>0.0</t>
        </is>
      </c>
      <c r="V38" s="29" t="inlineStr">
        <is>
          <t>LOW_RISK</t>
        </is>
      </c>
      <c r="W38" s="29" t="inlineStr">
        <is>
          <t>저위험</t>
        </is>
      </c>
      <c r="X38" s="29" t="inlineStr">
        <is>
          <t>LOW_RISK</t>
        </is>
      </c>
      <c r="Y38" s="29" t="inlineStr">
        <is>
          <t>0.9436125736629892</t>
        </is>
      </c>
      <c r="Z38" s="29" t="inlineStr">
        <is>
          <t>HIGH</t>
        </is>
      </c>
      <c r="AA38" s="29" t="inlineStr">
        <is>
          <t>HIGH</t>
        </is>
      </c>
      <c r="AB38" s="29" t="inlineStr">
        <is>
          <t>0.014784178233183152</t>
        </is>
      </c>
      <c r="AC38" s="29" t="inlineStr">
        <is>
          <t>False</t>
        </is>
      </c>
      <c r="AD38" s="29" t="inlineStr">
        <is>
          <t>False</t>
        </is>
      </c>
      <c r="AE38" s="29" t="inlineStr">
        <is>
          <t>valuation_credit_ml_overlay_candidate.csv</t>
        </is>
      </c>
      <c r="AF38" s="29" t="inlineStr">
        <is>
          <t>208개 반도체 reference universe. Valuation Agent가 자체 intake 폴더로 복제해 Peer/ML/대시보드 비교에 사용.</t>
        </is>
      </c>
      <c r="AG38" s="29" t="inlineStr">
        <is>
          <t>SAME_PEER_GROUP</t>
        </is>
      </c>
      <c r="AH38" s="29" t="inlineStr">
        <is>
          <t>False</t>
        </is>
      </c>
    </row>
    <row r="39" ht="24" customHeight="1">
      <c r="A39" s="24" t="inlineStr">
        <is>
          <t>89</t>
        </is>
      </c>
      <c r="B39" s="24" t="inlineStr">
        <is>
          <t>해당 없음</t>
        </is>
      </c>
      <c r="C39" s="24" t="inlineStr">
        <is>
          <t>삼양엔씨켐</t>
        </is>
      </c>
      <c r="D39" s="24" t="inlineStr">
        <is>
          <t>482630</t>
        </is>
      </c>
      <c r="E39" s="24" t="inlineStr">
        <is>
          <t>KOSDAQ</t>
        </is>
      </c>
      <c r="F39" s="24" t="inlineStr">
        <is>
          <t>장비</t>
        </is>
      </c>
      <c r="G39" s="24" t="inlineStr">
        <is>
          <t>장비</t>
        </is>
      </c>
      <c r="H39" s="24" t="inlineStr">
        <is>
          <t>False</t>
        </is>
      </c>
      <c r="I39" s="24" t="inlineStr">
        <is>
          <t>True</t>
        </is>
      </c>
      <c r="J39" s="24" t="inlineStr">
        <is>
          <t>OK_LIMITED_HISTORY_OR_GROWTH_NA</t>
        </is>
      </c>
      <c r="K39" s="24" t="inlineStr">
        <is>
          <t>데이터 사용 가능</t>
        </is>
      </c>
      <c r="L39" s="24" t="inlineStr">
        <is>
          <t>LOW</t>
        </is>
      </c>
      <c r="M39" s="24" t="inlineStr">
        <is>
          <t>LOW</t>
        </is>
      </c>
      <c r="N39" s="24" t="inlineStr">
        <is>
          <t>0.5993333333333333</t>
        </is>
      </c>
      <c r="O39" s="24" t="inlineStr">
        <is>
          <t>ATTRACTIVE</t>
        </is>
      </c>
      <c r="P39" s="24" t="inlineStr">
        <is>
          <t>가치 매력</t>
        </is>
      </c>
      <c r="Q39" s="24" t="inlineStr">
        <is>
          <t>ATTRACTIVE</t>
        </is>
      </c>
      <c r="R39" s="24" t="inlineStr">
        <is>
          <t>0.6408467710997098</t>
        </is>
      </c>
      <c r="S39" s="24" t="inlineStr">
        <is>
          <t>MEDIUM</t>
        </is>
      </c>
      <c r="T39" s="24" t="inlineStr">
        <is>
          <t>MEDIUM</t>
        </is>
      </c>
      <c r="U39" s="24" t="inlineStr">
        <is>
          <t>0.0714285714285714</t>
        </is>
      </c>
      <c r="V39" s="24" t="inlineStr">
        <is>
          <t>LOW_RISK</t>
        </is>
      </c>
      <c r="W39" s="24" t="inlineStr">
        <is>
          <t>저위험</t>
        </is>
      </c>
      <c r="X39" s="24" t="inlineStr">
        <is>
          <t>LOW_RISK</t>
        </is>
      </c>
      <c r="Y39" s="24" t="inlineStr">
        <is>
          <t>0.9401160844253347</t>
        </is>
      </c>
      <c r="Z39" s="24" t="inlineStr">
        <is>
          <t>HIGH</t>
        </is>
      </c>
      <c r="AA39" s="24" t="inlineStr">
        <is>
          <t>HIGH</t>
        </is>
      </c>
      <c r="AB39" s="24" t="inlineStr">
        <is>
          <t>0.028901776832829695</t>
        </is>
      </c>
      <c r="AC39" s="24" t="inlineStr">
        <is>
          <t>False</t>
        </is>
      </c>
      <c r="AD39" s="24" t="inlineStr">
        <is>
          <t>True</t>
        </is>
      </c>
      <c r="AE39" s="24" t="inlineStr">
        <is>
          <t>valuation_credit_ml_overlay_candidate.csv</t>
        </is>
      </c>
      <c r="AF39" s="24" t="inlineStr">
        <is>
          <t>208개 반도체 reference universe. Valuation Agent가 자체 intake 폴더로 복제해 Peer/ML/대시보드 비교에 사용.</t>
        </is>
      </c>
      <c r="AG39" s="24" t="inlineStr">
        <is>
          <t>SAME_PEER_GROUP</t>
        </is>
      </c>
      <c r="AH39" s="24" t="inlineStr">
        <is>
          <t>False</t>
        </is>
      </c>
    </row>
    <row r="40" ht="24" customHeight="1">
      <c r="A40" s="29" t="inlineStr">
        <is>
          <t>92</t>
        </is>
      </c>
      <c r="B40" s="29" t="inlineStr">
        <is>
          <t>해당 없음</t>
        </is>
      </c>
      <c r="C40" s="29" t="inlineStr">
        <is>
          <t>싸이맥스</t>
        </is>
      </c>
      <c r="D40" s="29" t="inlineStr">
        <is>
          <t>160980</t>
        </is>
      </c>
      <c r="E40" s="29" t="inlineStr">
        <is>
          <t>KOSDAQ</t>
        </is>
      </c>
      <c r="F40" s="29" t="inlineStr">
        <is>
          <t>장비</t>
        </is>
      </c>
      <c r="G40" s="29" t="inlineStr">
        <is>
          <t>장비</t>
        </is>
      </c>
      <c r="H40" s="29" t="inlineStr">
        <is>
          <t>False</t>
        </is>
      </c>
      <c r="I40" s="29" t="inlineStr">
        <is>
          <t>True</t>
        </is>
      </c>
      <c r="J40" s="29" t="inlineStr">
        <is>
          <t>OK</t>
        </is>
      </c>
      <c r="K40" s="29" t="inlineStr">
        <is>
          <t>데이터 사용 가능</t>
        </is>
      </c>
      <c r="L40" s="29" t="inlineStr">
        <is>
          <t>LOW</t>
        </is>
      </c>
      <c r="M40" s="29" t="inlineStr">
        <is>
          <t>LOW</t>
        </is>
      </c>
      <c r="N40" s="29" t="inlineStr">
        <is>
          <t>0.5961333333333334</t>
        </is>
      </c>
      <c r="O40" s="29" t="inlineStr">
        <is>
          <t>ATTRACTIVE</t>
        </is>
      </c>
      <c r="P40" s="29" t="inlineStr">
        <is>
          <t>가치 매력</t>
        </is>
      </c>
      <c r="Q40" s="29" t="inlineStr">
        <is>
          <t>ATTRACTIVE</t>
        </is>
      </c>
      <c r="R40" s="29" t="inlineStr">
        <is>
          <t>0.8128181122496774</t>
        </is>
      </c>
      <c r="S40" s="29" t="inlineStr">
        <is>
          <t>HIGH</t>
        </is>
      </c>
      <c r="T40" s="29" t="inlineStr">
        <is>
          <t>HIGH</t>
        </is>
      </c>
      <c r="U40" s="29" t="inlineStr">
        <is>
          <t>0.0</t>
        </is>
      </c>
      <c r="V40" s="29" t="inlineStr">
        <is>
          <t>LOW_RISK</t>
        </is>
      </c>
      <c r="W40" s="29" t="inlineStr">
        <is>
          <t>저위험</t>
        </is>
      </c>
      <c r="X40" s="29" t="inlineStr">
        <is>
          <t>LOW_RISK</t>
        </is>
      </c>
      <c r="Y40" s="29" t="inlineStr">
        <is>
          <t>0.9687749577011366</t>
        </is>
      </c>
      <c r="Z40" s="29" t="inlineStr">
        <is>
          <t>HIGH</t>
        </is>
      </c>
      <c r="AA40" s="29" t="inlineStr">
        <is>
          <t>HIGH</t>
        </is>
      </c>
      <c r="AB40" s="29" t="inlineStr">
        <is>
          <t>0.14360930410301745</t>
        </is>
      </c>
      <c r="AC40" s="29" t="inlineStr">
        <is>
          <t>False</t>
        </is>
      </c>
      <c r="AD40" s="29" t="inlineStr">
        <is>
          <t>False</t>
        </is>
      </c>
      <c r="AE40" s="29" t="inlineStr">
        <is>
          <t>valuation_credit_ml_overlay_candidate.csv</t>
        </is>
      </c>
      <c r="AF40" s="29" t="inlineStr">
        <is>
          <t>208개 반도체 reference universe. Valuation Agent가 자체 intake 폴더로 복제해 Peer/ML/대시보드 비교에 사용.</t>
        </is>
      </c>
      <c r="AG40" s="29" t="inlineStr">
        <is>
          <t>SAME_PEER_GROUP</t>
        </is>
      </c>
      <c r="AH40" s="29" t="inlineStr">
        <is>
          <t>False</t>
        </is>
      </c>
    </row>
    <row r="41" ht="24" customHeight="1">
      <c r="A41" s="24" t="inlineStr">
        <is>
          <t>80</t>
        </is>
      </c>
      <c r="B41" s="24" t="inlineStr">
        <is>
          <t>해당 없음</t>
        </is>
      </c>
      <c r="C41" s="24" t="inlineStr">
        <is>
          <t>뉴파워프라즈마</t>
        </is>
      </c>
      <c r="D41" s="24" t="inlineStr">
        <is>
          <t>144960</t>
        </is>
      </c>
      <c r="E41" s="24" t="inlineStr">
        <is>
          <t>KOSDAQ</t>
        </is>
      </c>
      <c r="F41" s="24" t="inlineStr">
        <is>
          <t>장비</t>
        </is>
      </c>
      <c r="G41" s="24" t="inlineStr">
        <is>
          <t>장비</t>
        </is>
      </c>
      <c r="H41" s="24" t="inlineStr">
        <is>
          <t>False</t>
        </is>
      </c>
      <c r="I41" s="24" t="inlineStr">
        <is>
          <t>True</t>
        </is>
      </c>
      <c r="J41" s="24" t="inlineStr">
        <is>
          <t>OK</t>
        </is>
      </c>
      <c r="K41" s="24" t="inlineStr">
        <is>
          <t>데이터 사용 가능</t>
        </is>
      </c>
      <c r="L41" s="24" t="inlineStr">
        <is>
          <t>LOW</t>
        </is>
      </c>
      <c r="M41" s="24" t="inlineStr">
        <is>
          <t>LOW</t>
        </is>
      </c>
      <c r="N41" s="24" t="inlineStr">
        <is>
          <t>0.5749333333333334</t>
        </is>
      </c>
      <c r="O41" s="24" t="inlineStr">
        <is>
          <t>FAIR</t>
        </is>
      </c>
      <c r="P41" s="24" t="inlineStr">
        <is>
          <t>FAIR</t>
        </is>
      </c>
      <c r="Q41" s="24" t="inlineStr">
        <is>
          <t>FAIR</t>
        </is>
      </c>
      <c r="R41" s="24" t="inlineStr">
        <is>
          <t>0.868464354966477</t>
        </is>
      </c>
      <c r="S41" s="24" t="inlineStr">
        <is>
          <t>HIGH</t>
        </is>
      </c>
      <c r="T41" s="24" t="inlineStr">
        <is>
          <t>HIGH</t>
        </is>
      </c>
      <c r="U41" s="24" t="inlineStr">
        <is>
          <t>0.2142857142857142</t>
        </is>
      </c>
      <c r="V41" s="24" t="inlineStr">
        <is>
          <t>MEDIUM_RISK</t>
        </is>
      </c>
      <c r="W41" s="24" t="inlineStr">
        <is>
          <t>중위험</t>
        </is>
      </c>
      <c r="X41" s="24" t="inlineStr">
        <is>
          <t>MEDIUM_RISK</t>
        </is>
      </c>
      <c r="Y41" s="24" t="inlineStr">
        <is>
          <t>0.7046290499893975</t>
        </is>
      </c>
      <c r="Z41" s="24" t="inlineStr">
        <is>
          <t>HIGH</t>
        </is>
      </c>
      <c r="AA41" s="24" t="inlineStr">
        <is>
          <t>HIGH</t>
        </is>
      </c>
      <c r="AB41" s="24" t="inlineStr">
        <is>
          <t>0.04196333332906741</t>
        </is>
      </c>
      <c r="AC41" s="24" t="inlineStr">
        <is>
          <t>False</t>
        </is>
      </c>
      <c r="AD41" s="24" t="inlineStr">
        <is>
          <t>False</t>
        </is>
      </c>
      <c r="AE41" s="24" t="inlineStr">
        <is>
          <t>valuation_credit_ml_overlay_candidate.csv</t>
        </is>
      </c>
      <c r="AF41" s="24" t="inlineStr">
        <is>
          <t>208개 반도체 reference universe. Valuation Agent가 자체 intake 폴더로 복제해 Peer/ML/대시보드 비교에 사용.</t>
        </is>
      </c>
      <c r="AG41" s="24" t="inlineStr">
        <is>
          <t>SAME_PEER_GROUP</t>
        </is>
      </c>
      <c r="AH41" s="24" t="inlineStr">
        <is>
          <t>False</t>
        </is>
      </c>
    </row>
    <row r="42" ht="24" customHeight="1">
      <c r="A42" s="29" t="inlineStr">
        <is>
          <t>107</t>
        </is>
      </c>
      <c r="B42" s="29" t="inlineStr">
        <is>
          <t>해당 없음</t>
        </is>
      </c>
      <c r="C42" s="29" t="inlineStr">
        <is>
          <t>이엘씨</t>
        </is>
      </c>
      <c r="D42" s="29" t="inlineStr">
        <is>
          <t>041520</t>
        </is>
      </c>
      <c r="E42" s="29" t="inlineStr">
        <is>
          <t>KOSDAQ</t>
        </is>
      </c>
      <c r="F42" s="29" t="inlineStr">
        <is>
          <t>장비</t>
        </is>
      </c>
      <c r="G42" s="29" t="inlineStr">
        <is>
          <t>장비</t>
        </is>
      </c>
      <c r="H42" s="29" t="inlineStr">
        <is>
          <t>False</t>
        </is>
      </c>
      <c r="I42" s="29" t="inlineStr">
        <is>
          <t>True</t>
        </is>
      </c>
      <c r="J42" s="29" t="inlineStr">
        <is>
          <t>OK</t>
        </is>
      </c>
      <c r="K42" s="29" t="inlineStr">
        <is>
          <t>데이터 사용 가능</t>
        </is>
      </c>
      <c r="L42" s="29" t="inlineStr">
        <is>
          <t>LOW</t>
        </is>
      </c>
      <c r="M42" s="29" t="inlineStr">
        <is>
          <t>LOW</t>
        </is>
      </c>
      <c r="N42" s="29" t="inlineStr">
        <is>
          <t>0.5722</t>
        </is>
      </c>
      <c r="O42" s="29" t="inlineStr">
        <is>
          <t>FAIR</t>
        </is>
      </c>
      <c r="P42" s="29" t="inlineStr">
        <is>
          <t>FAIR</t>
        </is>
      </c>
      <c r="Q42" s="29" t="inlineStr">
        <is>
          <t>FAIR</t>
        </is>
      </c>
      <c r="R42" s="29" t="inlineStr">
        <is>
          <t>0.7059172837936919</t>
        </is>
      </c>
      <c r="S42" s="29" t="inlineStr">
        <is>
          <t>HIGH</t>
        </is>
      </c>
      <c r="T42" s="29" t="inlineStr">
        <is>
          <t>HIGH</t>
        </is>
      </c>
      <c r="U42" s="29" t="inlineStr">
        <is>
          <t>0.3571428571428571</t>
        </is>
      </c>
      <c r="V42" s="29" t="inlineStr">
        <is>
          <t>MEDIUM_RISK</t>
        </is>
      </c>
      <c r="W42" s="29" t="inlineStr">
        <is>
          <t>중위험</t>
        </is>
      </c>
      <c r="X42" s="29" t="inlineStr">
        <is>
          <t>MEDIUM_RISK</t>
        </is>
      </c>
      <c r="Y42" s="29" t="inlineStr">
        <is>
          <t>0.6140431256310129</t>
        </is>
      </c>
      <c r="Z42" s="29" t="inlineStr">
        <is>
          <t>MEDIUM</t>
        </is>
      </c>
      <c r="AA42" s="29" t="inlineStr">
        <is>
          <t>MEDIUM</t>
        </is>
      </c>
      <c r="AB42" s="29" t="inlineStr">
        <is>
          <t>0.48123065048868763</t>
        </is>
      </c>
      <c r="AC42" s="29" t="inlineStr">
        <is>
          <t>True</t>
        </is>
      </c>
      <c r="AD42" s="29" t="inlineStr">
        <is>
          <t>True</t>
        </is>
      </c>
      <c r="AE42" s="29" t="inlineStr">
        <is>
          <t>valuation_credit_ml_overlay_candidate.csv</t>
        </is>
      </c>
      <c r="AF42" s="29" t="inlineStr">
        <is>
          <t>208개 반도체 reference universe. Valuation Agent가 자체 intake 폴더로 복제해 Peer/ML/대시보드 비교에 사용.</t>
        </is>
      </c>
      <c r="AG42" s="29" t="inlineStr">
        <is>
          <t>SAME_PEER_GROUP</t>
        </is>
      </c>
      <c r="AH42" s="29" t="inlineStr">
        <is>
          <t>False</t>
        </is>
      </c>
    </row>
    <row r="43" ht="24" customHeight="1">
      <c r="A43" s="24" t="inlineStr">
        <is>
          <t>119</t>
        </is>
      </c>
      <c r="B43" s="24" t="inlineStr">
        <is>
          <t>해당 없음</t>
        </is>
      </c>
      <c r="C43" s="24" t="inlineStr">
        <is>
          <t>포인트엔지니어링</t>
        </is>
      </c>
      <c r="D43" s="24" t="inlineStr">
        <is>
          <t>256630</t>
        </is>
      </c>
      <c r="E43" s="24" t="inlineStr">
        <is>
          <t>KOSDAQ</t>
        </is>
      </c>
      <c r="F43" s="24" t="inlineStr">
        <is>
          <t>장비</t>
        </is>
      </c>
      <c r="G43" s="24" t="inlineStr">
        <is>
          <t>장비</t>
        </is>
      </c>
      <c r="H43" s="24" t="inlineStr">
        <is>
          <t>False</t>
        </is>
      </c>
      <c r="I43" s="24" t="inlineStr">
        <is>
          <t>True</t>
        </is>
      </c>
      <c r="J43" s="24" t="inlineStr">
        <is>
          <t>OK</t>
        </is>
      </c>
      <c r="K43" s="24" t="inlineStr">
        <is>
          <t>데이터 사용 가능</t>
        </is>
      </c>
      <c r="L43" s="24" t="inlineStr">
        <is>
          <t>LOW</t>
        </is>
      </c>
      <c r="M43" s="24" t="inlineStr">
        <is>
          <t>LOW</t>
        </is>
      </c>
      <c r="N43" s="24" t="inlineStr">
        <is>
          <t>0.5648666666666666</t>
        </is>
      </c>
      <c r="O43" s="24" t="inlineStr">
        <is>
          <t>FAIR</t>
        </is>
      </c>
      <c r="P43" s="24" t="inlineStr">
        <is>
          <t>FAIR</t>
        </is>
      </c>
      <c r="Q43" s="24" t="inlineStr">
        <is>
          <t>FAIR</t>
        </is>
      </c>
      <c r="R43" s="24" t="inlineStr">
        <is>
          <t>0.735270480034121</t>
        </is>
      </c>
      <c r="S43" s="24" t="inlineStr">
        <is>
          <t>HIGH</t>
        </is>
      </c>
      <c r="T43" s="24" t="inlineStr">
        <is>
          <t>HIGH</t>
        </is>
      </c>
      <c r="U43" s="24" t="inlineStr">
        <is>
          <t>0.1428571428571428</t>
        </is>
      </c>
      <c r="V43" s="24" t="inlineStr">
        <is>
          <t>LOW_RISK</t>
        </is>
      </c>
      <c r="W43" s="24" t="inlineStr">
        <is>
          <t>저위험</t>
        </is>
      </c>
      <c r="X43" s="24" t="inlineStr">
        <is>
          <t>LOW_RISK</t>
        </is>
      </c>
      <c r="Y43" s="24" t="inlineStr">
        <is>
          <t>0.46973098100913</t>
        </is>
      </c>
      <c r="Z43" s="24" t="inlineStr">
        <is>
          <t>LOW</t>
        </is>
      </c>
      <c r="AA43" s="24" t="inlineStr">
        <is>
          <t>LOW</t>
        </is>
      </c>
      <c r="AB43" s="24" t="inlineStr">
        <is>
          <t>0.13639895278143657</t>
        </is>
      </c>
      <c r="AC43" s="24" t="inlineStr">
        <is>
          <t>False</t>
        </is>
      </c>
      <c r="AD43" s="24" t="inlineStr">
        <is>
          <t>True</t>
        </is>
      </c>
      <c r="AE43" s="24" t="inlineStr">
        <is>
          <t>valuation_credit_ml_overlay_candidate.csv</t>
        </is>
      </c>
      <c r="AF43" s="24" t="inlineStr">
        <is>
          <t>208개 반도체 reference universe. Valuation Agent가 자체 intake 폴더로 복제해 Peer/ML/대시보드 비교에 사용.</t>
        </is>
      </c>
      <c r="AG43" s="24" t="inlineStr">
        <is>
          <t>SAME_PEER_GROUP</t>
        </is>
      </c>
      <c r="AH43" s="24" t="inlineStr">
        <is>
          <t>False</t>
        </is>
      </c>
    </row>
    <row r="44" ht="24" customHeight="1">
      <c r="A44" s="29" t="inlineStr">
        <is>
          <t>148</t>
        </is>
      </c>
      <c r="B44" s="29" t="inlineStr">
        <is>
          <t>hansol</t>
        </is>
      </c>
      <c r="C44" s="29" t="inlineStr">
        <is>
          <t>한솔케미칼</t>
        </is>
      </c>
      <c r="D44" s="29" t="inlineStr">
        <is>
          <t>014680</t>
        </is>
      </c>
      <c r="E44" s="29" t="inlineStr">
        <is>
          <t>KOSPI</t>
        </is>
      </c>
      <c r="F44" s="29" t="inlineStr">
        <is>
          <t>소재</t>
        </is>
      </c>
      <c r="G44" s="29" t="inlineStr">
        <is>
          <t>소재</t>
        </is>
      </c>
      <c r="H44" s="29" t="inlineStr">
        <is>
          <t>True</t>
        </is>
      </c>
      <c r="I44" s="29" t="inlineStr">
        <is>
          <t>True</t>
        </is>
      </c>
      <c r="J44" s="29" t="inlineStr">
        <is>
          <t>OK</t>
        </is>
      </c>
      <c r="K44" s="29" t="inlineStr">
        <is>
          <t>데이터 사용 가능</t>
        </is>
      </c>
      <c r="L44" s="29" t="inlineStr">
        <is>
          <t>LOW</t>
        </is>
      </c>
      <c r="M44" s="29" t="inlineStr">
        <is>
          <t>LOW</t>
        </is>
      </c>
      <c r="N44" s="29" t="inlineStr">
        <is>
          <t>0.6330769230769231</t>
        </is>
      </c>
      <c r="O44" s="29" t="inlineStr">
        <is>
          <t>ATTRACTIVE</t>
        </is>
      </c>
      <c r="P44" s="29" t="inlineStr">
        <is>
          <t>가치 매력</t>
        </is>
      </c>
      <c r="Q44" s="29" t="inlineStr">
        <is>
          <t>ATTRACTIVE</t>
        </is>
      </c>
      <c r="R44" s="29" t="inlineStr">
        <is>
          <t>0.8364696976606926</t>
        </is>
      </c>
      <c r="S44" s="29" t="inlineStr">
        <is>
          <t>HIGH</t>
        </is>
      </c>
      <c r="T44" s="29" t="inlineStr">
        <is>
          <t>HIGH</t>
        </is>
      </c>
      <c r="U44" s="29" t="inlineStr">
        <is>
          <t>0.0</t>
        </is>
      </c>
      <c r="V44" s="29" t="inlineStr">
        <is>
          <t>LOW_RISK</t>
        </is>
      </c>
      <c r="W44" s="29" t="inlineStr">
        <is>
          <t>저위험</t>
        </is>
      </c>
      <c r="X44" s="29" t="inlineStr">
        <is>
          <t>LOW_RISK</t>
        </is>
      </c>
      <c r="Y44" s="29" t="inlineStr">
        <is>
          <t>0.9711543901439185</t>
        </is>
      </c>
      <c r="Z44" s="29" t="inlineStr">
        <is>
          <t>HIGH</t>
        </is>
      </c>
      <c r="AA44" s="29" t="inlineStr">
        <is>
          <t>HIGH</t>
        </is>
      </c>
      <c r="AB44" s="29" t="inlineStr">
        <is>
          <t>0.058190310497948615</t>
        </is>
      </c>
      <c r="AC44" s="29" t="inlineStr">
        <is>
          <t>False</t>
        </is>
      </c>
      <c r="AD44" s="29" t="inlineStr">
        <is>
          <t>False</t>
        </is>
      </c>
      <c r="AE44" s="29" t="inlineStr">
        <is>
          <t>valuation_credit_ml_overlay_candidate.csv</t>
        </is>
      </c>
      <c r="AF44" s="29" t="inlineStr">
        <is>
          <t>208개 반도체 reference universe. Valuation Agent가 자체 intake 폴더로 복제해 Peer/ML/대시보드 비교에 사용.</t>
        </is>
      </c>
      <c r="AG44" s="29" t="inlineStr">
        <is>
          <t>FOCAL_5</t>
        </is>
      </c>
      <c r="AH44" s="29" t="inlineStr">
        <is>
          <t>False</t>
        </is>
      </c>
    </row>
    <row r="45" ht="24" customHeight="1">
      <c r="A45" s="24" t="inlineStr">
        <is>
          <t>133</t>
        </is>
      </c>
      <c r="B45" s="24" t="inlineStr">
        <is>
          <t>ltc</t>
        </is>
      </c>
      <c r="C45" s="24" t="inlineStr">
        <is>
          <t>엘티씨</t>
        </is>
      </c>
      <c r="D45" s="24" t="inlineStr">
        <is>
          <t>170920</t>
        </is>
      </c>
      <c r="E45" s="24" t="inlineStr">
        <is>
          <t>KOSDAQ</t>
        </is>
      </c>
      <c r="F45" s="24" t="inlineStr">
        <is>
          <t>소재</t>
        </is>
      </c>
      <c r="G45" s="24" t="inlineStr">
        <is>
          <t>소재</t>
        </is>
      </c>
      <c r="H45" s="24" t="inlineStr">
        <is>
          <t>True</t>
        </is>
      </c>
      <c r="I45" s="24" t="inlineStr">
        <is>
          <t>True</t>
        </is>
      </c>
      <c r="J45" s="24" t="inlineStr">
        <is>
          <t>OK</t>
        </is>
      </c>
      <c r="K45" s="24" t="inlineStr">
        <is>
          <t>데이터 사용 가능</t>
        </is>
      </c>
      <c r="L45" s="24" t="inlineStr">
        <is>
          <t>LOW</t>
        </is>
      </c>
      <c r="M45" s="24" t="inlineStr">
        <is>
          <t>LOW</t>
        </is>
      </c>
      <c r="N45" s="24" t="inlineStr">
        <is>
          <t>0.5838461538461538</t>
        </is>
      </c>
      <c r="O45" s="24" t="inlineStr">
        <is>
          <t>FAIR</t>
        </is>
      </c>
      <c r="P45" s="24" t="inlineStr">
        <is>
          <t>FAIR</t>
        </is>
      </c>
      <c r="Q45" s="24" t="inlineStr">
        <is>
          <t>ATTRACTIVE</t>
        </is>
      </c>
      <c r="R45" s="24" t="inlineStr">
        <is>
          <t>0.6353016273848794</t>
        </is>
      </c>
      <c r="S45" s="24" t="inlineStr">
        <is>
          <t>MEDIUM</t>
        </is>
      </c>
      <c r="T45" s="24" t="inlineStr">
        <is>
          <t>MEDIUM</t>
        </is>
      </c>
      <c r="U45" s="24" t="inlineStr">
        <is>
          <t>0.0</t>
        </is>
      </c>
      <c r="V45" s="24" t="inlineStr">
        <is>
          <t>LOW_RISK</t>
        </is>
      </c>
      <c r="W45" s="24" t="inlineStr">
        <is>
          <t>저위험</t>
        </is>
      </c>
      <c r="X45" s="24" t="inlineStr">
        <is>
          <t>LOW_RISK</t>
        </is>
      </c>
      <c r="Y45" s="24" t="inlineStr">
        <is>
          <t>0.9205018564538214</t>
        </is>
      </c>
      <c r="Z45" s="24" t="inlineStr">
        <is>
          <t>HIGH</t>
        </is>
      </c>
      <c r="AA45" s="24" t="inlineStr">
        <is>
          <t>HIGH</t>
        </is>
      </c>
      <c r="AB45" s="24" t="inlineStr">
        <is>
          <t>0.0038993876391341673</t>
        </is>
      </c>
      <c r="AC45" s="24" t="inlineStr">
        <is>
          <t>False</t>
        </is>
      </c>
      <c r="AD45" s="24" t="inlineStr">
        <is>
          <t>False</t>
        </is>
      </c>
      <c r="AE45" s="24" t="inlineStr">
        <is>
          <t>valuation_credit_ml_overlay_candidate.csv</t>
        </is>
      </c>
      <c r="AF45" s="24" t="inlineStr">
        <is>
          <t>208개 반도체 reference universe. Valuation Agent가 자체 intake 폴더로 복제해 Peer/ML/대시보드 비교에 사용.</t>
        </is>
      </c>
      <c r="AG45" s="24" t="inlineStr">
        <is>
          <t>FOCAL_5</t>
        </is>
      </c>
      <c r="AH45" s="24" t="inlineStr">
        <is>
          <t>False</t>
        </is>
      </c>
    </row>
    <row r="46" ht="24" customHeight="1">
      <c r="A46" s="29" t="inlineStr">
        <is>
          <t>125</t>
        </is>
      </c>
      <c r="B46" s="29" t="inlineStr">
        <is>
          <t>duksan</t>
        </is>
      </c>
      <c r="C46" s="29" t="inlineStr">
        <is>
          <t>덕산테코피아</t>
        </is>
      </c>
      <c r="D46" s="29" t="inlineStr">
        <is>
          <t>317330</t>
        </is>
      </c>
      <c r="E46" s="29" t="inlineStr">
        <is>
          <t>KOSDAQ</t>
        </is>
      </c>
      <c r="F46" s="29" t="inlineStr">
        <is>
          <t>소재</t>
        </is>
      </c>
      <c r="G46" s="29" t="inlineStr">
        <is>
          <t>소재</t>
        </is>
      </c>
      <c r="H46" s="29" t="inlineStr">
        <is>
          <t>True</t>
        </is>
      </c>
      <c r="I46" s="29" t="inlineStr">
        <is>
          <t>True</t>
        </is>
      </c>
      <c r="J46" s="29" t="inlineStr">
        <is>
          <t>OK</t>
        </is>
      </c>
      <c r="K46" s="29" t="inlineStr">
        <is>
          <t>데이터 사용 가능</t>
        </is>
      </c>
      <c r="L46" s="29" t="inlineStr">
        <is>
          <t>LOW</t>
        </is>
      </c>
      <c r="M46" s="29" t="inlineStr">
        <is>
          <t>LOW</t>
        </is>
      </c>
      <c r="N46" s="29" t="inlineStr">
        <is>
          <t>0.251025641025641</t>
        </is>
      </c>
      <c r="O46" s="29" t="inlineStr">
        <is>
          <t>EXPENSIVE</t>
        </is>
      </c>
      <c r="P46" s="29" t="inlineStr">
        <is>
          <t>EXPENSIVE</t>
        </is>
      </c>
      <c r="Q46" s="29" t="inlineStr">
        <is>
          <t>EXPENSIVE</t>
        </is>
      </c>
      <c r="R46" s="29" t="inlineStr">
        <is>
          <t>0.9683283970250778</t>
        </is>
      </c>
      <c r="S46" s="29" t="inlineStr">
        <is>
          <t>HIGH</t>
        </is>
      </c>
      <c r="T46" s="29" t="inlineStr">
        <is>
          <t>HIGH</t>
        </is>
      </c>
      <c r="U46" s="29" t="inlineStr">
        <is>
          <t>0.7142857142857143</t>
        </is>
      </c>
      <c r="V46" s="29" t="inlineStr">
        <is>
          <t>HIGH_RISK</t>
        </is>
      </c>
      <c r="W46" s="29" t="inlineStr">
        <is>
          <t>고위험</t>
        </is>
      </c>
      <c r="X46" s="29" t="inlineStr">
        <is>
          <t>HIGH_RISK</t>
        </is>
      </c>
      <c r="Y46" s="29" t="inlineStr">
        <is>
          <t>0.9663044353705786</t>
        </is>
      </c>
      <c r="Z46" s="29" t="inlineStr">
        <is>
          <t>HIGH</t>
        </is>
      </c>
      <c r="AA46" s="29" t="inlineStr">
        <is>
          <t>HIGH</t>
        </is>
      </c>
      <c r="AB46" s="29" t="inlineStr">
        <is>
          <t>0.3843555232614074</t>
        </is>
      </c>
      <c r="AC46" s="29" t="inlineStr">
        <is>
          <t>True</t>
        </is>
      </c>
      <c r="AD46" s="29" t="inlineStr">
        <is>
          <t>True</t>
        </is>
      </c>
      <c r="AE46" s="29" t="inlineStr">
        <is>
          <t>valuation_credit_ml_overlay_candidate.csv</t>
        </is>
      </c>
      <c r="AF46" s="29" t="inlineStr">
        <is>
          <t>208개 반도체 reference universe. Valuation Agent가 자체 intake 폴더로 복제해 Peer/ML/대시보드 비교에 사용.</t>
        </is>
      </c>
      <c r="AG46" s="29" t="inlineStr">
        <is>
          <t>FOCAL_5</t>
        </is>
      </c>
      <c r="AH46" s="29" t="inlineStr">
        <is>
          <t>False</t>
        </is>
      </c>
    </row>
    <row r="47" ht="24" customHeight="1">
      <c r="A47" s="24" t="inlineStr">
        <is>
          <t>157</t>
        </is>
      </c>
      <c r="B47" s="24" t="inlineStr">
        <is>
          <t>nepes</t>
        </is>
      </c>
      <c r="C47" s="24" t="inlineStr">
        <is>
          <t>네패스</t>
        </is>
      </c>
      <c r="D47" s="24" t="inlineStr">
        <is>
          <t>033640</t>
        </is>
      </c>
      <c r="E47" s="24" t="inlineStr">
        <is>
          <t>KOSDAQ</t>
        </is>
      </c>
      <c r="F47" s="24" t="inlineStr">
        <is>
          <t>후공정/패키징/테스트</t>
        </is>
      </c>
      <c r="G47" s="24" t="inlineStr">
        <is>
          <t>후공정/패키징/테스트</t>
        </is>
      </c>
      <c r="H47" s="24" t="inlineStr">
        <is>
          <t>True</t>
        </is>
      </c>
      <c r="I47" s="24" t="inlineStr">
        <is>
          <t>True</t>
        </is>
      </c>
      <c r="J47" s="24" t="inlineStr">
        <is>
          <t>OK</t>
        </is>
      </c>
      <c r="K47" s="24" t="inlineStr">
        <is>
          <t>데이터 사용 가능</t>
        </is>
      </c>
      <c r="L47" s="24" t="inlineStr">
        <is>
          <t>LOW</t>
        </is>
      </c>
      <c r="M47" s="24" t="inlineStr">
        <is>
          <t>LOW</t>
        </is>
      </c>
      <c r="N47" s="24" t="inlineStr">
        <is>
          <t>0.6385185185185186</t>
        </is>
      </c>
      <c r="O47" s="24" t="inlineStr">
        <is>
          <t>ATTRACTIVE</t>
        </is>
      </c>
      <c r="P47" s="24" t="inlineStr">
        <is>
          <t>가치 매력</t>
        </is>
      </c>
      <c r="Q47" s="24" t="inlineStr">
        <is>
          <t>ATTRACTIVE</t>
        </is>
      </c>
      <c r="R47" s="24" t="inlineStr">
        <is>
          <t>0.8763685947958789</t>
        </is>
      </c>
      <c r="S47" s="24" t="inlineStr">
        <is>
          <t>HIGH</t>
        </is>
      </c>
      <c r="T47" s="24" t="inlineStr">
        <is>
          <t>HIGH</t>
        </is>
      </c>
      <c r="U47" s="24" t="inlineStr">
        <is>
          <t>0.2857142857142857</t>
        </is>
      </c>
      <c r="V47" s="24" t="inlineStr">
        <is>
          <t>MEDIUM_RISK</t>
        </is>
      </c>
      <c r="W47" s="24" t="inlineStr">
        <is>
          <t>중위험</t>
        </is>
      </c>
      <c r="X47" s="24" t="inlineStr">
        <is>
          <t>MEDIUM_RISK</t>
        </is>
      </c>
      <c r="Y47" s="24" t="inlineStr">
        <is>
          <t>0.5963458259503356</t>
        </is>
      </c>
      <c r="Z47" s="24" t="inlineStr">
        <is>
          <t>MEDIUM</t>
        </is>
      </c>
      <c r="AA47" s="24" t="inlineStr">
        <is>
          <t>MEDIUM</t>
        </is>
      </c>
      <c r="AB47" s="24" t="inlineStr">
        <is>
          <t>0.07896643996759804</t>
        </is>
      </c>
      <c r="AC47" s="24" t="inlineStr">
        <is>
          <t>False</t>
        </is>
      </c>
      <c r="AD47" s="24" t="inlineStr">
        <is>
          <t>False</t>
        </is>
      </c>
      <c r="AE47" s="24" t="inlineStr">
        <is>
          <t>valuation_credit_ml_overlay_candidate.csv</t>
        </is>
      </c>
      <c r="AF47" s="24" t="inlineStr">
        <is>
          <t>208개 반도체 reference universe. Valuation Agent가 자체 intake 폴더로 복제해 Peer/ML/대시보드 비교에 사용.</t>
        </is>
      </c>
      <c r="AG47" s="24" t="inlineStr">
        <is>
          <t>FOCAL_5</t>
        </is>
      </c>
      <c r="AH47" s="24" t="inlineStr">
        <is>
          <t>False</t>
        </is>
      </c>
    </row>
    <row r="48" ht="24" customHeight="1">
      <c r="A48" s="29" t="inlineStr">
        <is>
          <t>192</t>
        </is>
      </c>
      <c r="B48" s="29" t="inlineStr">
        <is>
          <t>hanmi</t>
        </is>
      </c>
      <c r="C48" s="29" t="inlineStr">
        <is>
          <t>한미반도체</t>
        </is>
      </c>
      <c r="D48" s="29" t="inlineStr">
        <is>
          <t>042700</t>
        </is>
      </c>
      <c r="E48" s="29" t="inlineStr">
        <is>
          <t>KOSPI</t>
        </is>
      </c>
      <c r="F48" s="29" t="inlineStr">
        <is>
          <t>후공정/패키징/테스트</t>
        </is>
      </c>
      <c r="G48" s="29" t="inlineStr">
        <is>
          <t>후공정/패키징/테스트</t>
        </is>
      </c>
      <c r="H48" s="29" t="inlineStr">
        <is>
          <t>True</t>
        </is>
      </c>
      <c r="I48" s="29" t="inlineStr">
        <is>
          <t>True</t>
        </is>
      </c>
      <c r="J48" s="29" t="inlineStr">
        <is>
          <t>OK</t>
        </is>
      </c>
      <c r="K48" s="29" t="inlineStr">
        <is>
          <t>데이터 사용 가능</t>
        </is>
      </c>
      <c r="L48" s="29" t="inlineStr">
        <is>
          <t>LOW</t>
        </is>
      </c>
      <c r="M48" s="29" t="inlineStr">
        <is>
          <t>LOW</t>
        </is>
      </c>
      <c r="N48" s="29" t="inlineStr">
        <is>
          <t>0.4712592592592592</t>
        </is>
      </c>
      <c r="O48" s="29" t="inlineStr">
        <is>
          <t>FAIR</t>
        </is>
      </c>
      <c r="P48" s="29" t="inlineStr">
        <is>
          <t>FAIR</t>
        </is>
      </c>
      <c r="Q48" s="29" t="inlineStr">
        <is>
          <t>FAIR</t>
        </is>
      </c>
      <c r="R48" s="29" t="inlineStr">
        <is>
          <t>0.618072727307107</t>
        </is>
      </c>
      <c r="S48" s="29" t="inlineStr">
        <is>
          <t>MEDIUM</t>
        </is>
      </c>
      <c r="T48" s="29" t="inlineStr">
        <is>
          <t>MEDIUM</t>
        </is>
      </c>
      <c r="U48" s="29" t="inlineStr">
        <is>
          <t>0.0</t>
        </is>
      </c>
      <c r="V48" s="29" t="inlineStr">
        <is>
          <t>LOW_RISK</t>
        </is>
      </c>
      <c r="W48" s="29" t="inlineStr">
        <is>
          <t>저위험</t>
        </is>
      </c>
      <c r="X48" s="29" t="inlineStr">
        <is>
          <t>LOW_RISK</t>
        </is>
      </c>
      <c r="Y48" s="29" t="inlineStr">
        <is>
          <t>0.9350232170644448</t>
        </is>
      </c>
      <c r="Z48" s="29" t="inlineStr">
        <is>
          <t>HIGH</t>
        </is>
      </c>
      <c r="AA48" s="29" t="inlineStr">
        <is>
          <t>HIGH</t>
        </is>
      </c>
      <c r="AB48" s="29" t="inlineStr">
        <is>
          <t>0.2707179947680644</t>
        </is>
      </c>
      <c r="AC48" s="29" t="inlineStr">
        <is>
          <t>True</t>
        </is>
      </c>
      <c r="AD48" s="29" t="inlineStr">
        <is>
          <t>True</t>
        </is>
      </c>
      <c r="AE48" s="29" t="inlineStr">
        <is>
          <t>valuation_credit_ml_overlay_candidate.csv</t>
        </is>
      </c>
      <c r="AF48" s="29" t="inlineStr">
        <is>
          <t>208개 반도체 reference universe. Valuation Agent가 자체 intake 폴더로 복제해 Peer/ML/대시보드 비교에 사용.</t>
        </is>
      </c>
      <c r="AG48" s="29" t="inlineStr">
        <is>
          <t>FOCAL_5</t>
        </is>
      </c>
      <c r="AH48" s="29" t="inlineStr">
        <is>
          <t>False</t>
        </is>
      </c>
    </row>
    <row r="49" ht="24" customHeight="1">
      <c r="A49" s="24" t="inlineStr">
        <is>
          <t>62</t>
        </is>
      </c>
      <c r="B49" s="24" t="inlineStr">
        <is>
          <t>해당 없음</t>
        </is>
      </c>
      <c r="C49" s="24" t="inlineStr">
        <is>
          <t>에스에이엠티</t>
        </is>
      </c>
      <c r="D49" s="24" t="inlineStr">
        <is>
          <t>031330</t>
        </is>
      </c>
      <c r="E49" s="24" t="inlineStr">
        <is>
          <t>KOSDAQ</t>
        </is>
      </c>
      <c r="F49" s="24" t="inlineStr">
        <is>
          <t>팹리스/설계</t>
        </is>
      </c>
      <c r="G49" s="24" t="inlineStr">
        <is>
          <t>팹리스/설계</t>
        </is>
      </c>
      <c r="H49" s="24" t="inlineStr">
        <is>
          <t>False</t>
        </is>
      </c>
      <c r="I49" s="24" t="inlineStr">
        <is>
          <t>True</t>
        </is>
      </c>
      <c r="J49" s="24" t="inlineStr">
        <is>
          <t>OK</t>
        </is>
      </c>
      <c r="K49" s="24" t="inlineStr">
        <is>
          <t>데이터 사용 가능</t>
        </is>
      </c>
      <c r="L49" s="24" t="inlineStr">
        <is>
          <t>LOW</t>
        </is>
      </c>
      <c r="M49" s="24" t="inlineStr">
        <is>
          <t>LOW</t>
        </is>
      </c>
      <c r="N49" s="24" t="inlineStr">
        <is>
          <t>0.7838383838383839</t>
        </is>
      </c>
      <c r="O49" s="24" t="inlineStr">
        <is>
          <t>FAIR</t>
        </is>
      </c>
      <c r="P49" s="24" t="inlineStr">
        <is>
          <t>FAIR</t>
        </is>
      </c>
      <c r="Q49" s="24" t="inlineStr">
        <is>
          <t>FAIR</t>
        </is>
      </c>
      <c r="R49" s="24" t="inlineStr">
        <is>
          <t>0.8575928985222669</t>
        </is>
      </c>
      <c r="S49" s="24" t="inlineStr">
        <is>
          <t>HIGH</t>
        </is>
      </c>
      <c r="T49" s="24" t="inlineStr">
        <is>
          <t>HIGH</t>
        </is>
      </c>
      <c r="U49" s="24" t="inlineStr">
        <is>
          <t>0.5</t>
        </is>
      </c>
      <c r="V49" s="24" t="inlineStr">
        <is>
          <t>HIGH_RISK</t>
        </is>
      </c>
      <c r="W49" s="24" t="inlineStr">
        <is>
          <t>고위험</t>
        </is>
      </c>
      <c r="X49" s="24" t="inlineStr">
        <is>
          <t>HIGH_RISK</t>
        </is>
      </c>
      <c r="Y49" s="24" t="inlineStr">
        <is>
          <t>0.5021487096911619</t>
        </is>
      </c>
      <c r="Z49" s="24" t="inlineStr">
        <is>
          <t>MEDIUM</t>
        </is>
      </c>
      <c r="AA49" s="24" t="inlineStr">
        <is>
          <t>MEDIUM</t>
        </is>
      </c>
      <c r="AB49" s="24" t="inlineStr">
        <is>
          <t>0.11372149345925425</t>
        </is>
      </c>
      <c r="AC49" s="24" t="inlineStr">
        <is>
          <t>False</t>
        </is>
      </c>
      <c r="AD49" s="24" t="inlineStr">
        <is>
          <t>False</t>
        </is>
      </c>
      <c r="AE49" s="24" t="inlineStr">
        <is>
          <t>valuation_credit_ml_overlay_candidate.csv</t>
        </is>
      </c>
      <c r="AF49" s="24" t="inlineStr">
        <is>
          <t>208개 반도체 reference universe. Valuation Agent가 자체 intake 폴더로 복제해 Peer/ML/대시보드 비교에 사용.</t>
        </is>
      </c>
      <c r="AG49" s="24" t="inlineStr">
        <is>
          <t>TOP_REFERENCE</t>
        </is>
      </c>
      <c r="AH49" s="24" t="inlineStr">
        <is>
          <t>False</t>
        </is>
      </c>
    </row>
    <row r="50" ht="24" customHeight="1">
      <c r="A50" s="29" t="inlineStr">
        <is>
          <t>168</t>
        </is>
      </c>
      <c r="B50" s="29" t="inlineStr">
        <is>
          <t>해당 없음</t>
        </is>
      </c>
      <c r="C50" s="29" t="inlineStr">
        <is>
          <t>성우테크론</t>
        </is>
      </c>
      <c r="D50" s="29" t="inlineStr">
        <is>
          <t>045300</t>
        </is>
      </c>
      <c r="E50" s="29" t="inlineStr">
        <is>
          <t>KOSDAQ</t>
        </is>
      </c>
      <c r="F50" s="29" t="inlineStr">
        <is>
          <t>후공정/패키징/테스트</t>
        </is>
      </c>
      <c r="G50" s="29" t="inlineStr">
        <is>
          <t>후공정/패키징/테스트</t>
        </is>
      </c>
      <c r="H50" s="29" t="inlineStr">
        <is>
          <t>False</t>
        </is>
      </c>
      <c r="I50" s="29" t="inlineStr">
        <is>
          <t>True</t>
        </is>
      </c>
      <c r="J50" s="29" t="inlineStr">
        <is>
          <t>OK</t>
        </is>
      </c>
      <c r="K50" s="29" t="inlineStr">
        <is>
          <t>데이터 사용 가능</t>
        </is>
      </c>
      <c r="L50" s="29" t="inlineStr">
        <is>
          <t>LOW</t>
        </is>
      </c>
      <c r="M50" s="29" t="inlineStr">
        <is>
          <t>LOW</t>
        </is>
      </c>
      <c r="N50" s="29" t="inlineStr">
        <is>
          <t>0.7764444444444445</t>
        </is>
      </c>
      <c r="O50" s="29" t="inlineStr">
        <is>
          <t>ATTRACTIVE</t>
        </is>
      </c>
      <c r="P50" s="29" t="inlineStr">
        <is>
          <t>가치 매력</t>
        </is>
      </c>
      <c r="Q50" s="29" t="inlineStr">
        <is>
          <t>ATTRACTIVE</t>
        </is>
      </c>
      <c r="R50" s="29" t="inlineStr">
        <is>
          <t>0.9526864248076319</t>
        </is>
      </c>
      <c r="S50" s="29" t="inlineStr">
        <is>
          <t>HIGH</t>
        </is>
      </c>
      <c r="T50" s="29" t="inlineStr">
        <is>
          <t>HIGH</t>
        </is>
      </c>
      <c r="U50" s="29" t="inlineStr">
        <is>
          <t>0.0714285714285714</t>
        </is>
      </c>
      <c r="V50" s="29" t="inlineStr">
        <is>
          <t>LOW_RISK</t>
        </is>
      </c>
      <c r="W50" s="29" t="inlineStr">
        <is>
          <t>저위험</t>
        </is>
      </c>
      <c r="X50" s="29" t="inlineStr">
        <is>
          <t>LOW_RISK</t>
        </is>
      </c>
      <c r="Y50" s="29" t="inlineStr">
        <is>
          <t>0.869939352370702</t>
        </is>
      </c>
      <c r="Z50" s="29" t="inlineStr">
        <is>
          <t>HIGH</t>
        </is>
      </c>
      <c r="AA50" s="29" t="inlineStr">
        <is>
          <t>HIGH</t>
        </is>
      </c>
      <c r="AB50" s="29" t="inlineStr">
        <is>
          <t>0.10286671144812394</t>
        </is>
      </c>
      <c r="AC50" s="29" t="inlineStr">
        <is>
          <t>False</t>
        </is>
      </c>
      <c r="AD50" s="29" t="inlineStr">
        <is>
          <t>False</t>
        </is>
      </c>
      <c r="AE50" s="29" t="inlineStr">
        <is>
          <t>valuation_credit_ml_overlay_candidate.csv</t>
        </is>
      </c>
      <c r="AF50" s="29" t="inlineStr">
        <is>
          <t>208개 반도체 reference universe. Valuation Agent가 자체 intake 폴더로 복제해 Peer/ML/대시보드 비교에 사용.</t>
        </is>
      </c>
      <c r="AG50" s="29" t="inlineStr">
        <is>
          <t>TOP_REFERENCE</t>
        </is>
      </c>
      <c r="AH50" s="29" t="inlineStr">
        <is>
          <t>False</t>
        </is>
      </c>
    </row>
    <row r="51" ht="24" customHeight="1">
      <c r="A51" s="24" t="inlineStr">
        <is>
          <t>165</t>
        </is>
      </c>
      <c r="B51" s="24" t="inlineStr">
        <is>
          <t>해당 없음</t>
        </is>
      </c>
      <c r="C51" s="24" t="inlineStr">
        <is>
          <t>미래산업</t>
        </is>
      </c>
      <c r="D51" s="24" t="inlineStr">
        <is>
          <t>025560</t>
        </is>
      </c>
      <c r="E51" s="24" t="inlineStr">
        <is>
          <t>KOSPI</t>
        </is>
      </c>
      <c r="F51" s="24" t="inlineStr">
        <is>
          <t>후공정/패키징/테스트</t>
        </is>
      </c>
      <c r="G51" s="24" t="inlineStr">
        <is>
          <t>후공정/패키징/테스트</t>
        </is>
      </c>
      <c r="H51" s="24" t="inlineStr">
        <is>
          <t>False</t>
        </is>
      </c>
      <c r="I51" s="24" t="inlineStr">
        <is>
          <t>True</t>
        </is>
      </c>
      <c r="J51" s="24" t="inlineStr">
        <is>
          <t>OK</t>
        </is>
      </c>
      <c r="K51" s="24" t="inlineStr">
        <is>
          <t>데이터 사용 가능</t>
        </is>
      </c>
      <c r="L51" s="24" t="inlineStr">
        <is>
          <t>LOW</t>
        </is>
      </c>
      <c r="M51" s="24" t="inlineStr">
        <is>
          <t>LOW</t>
        </is>
      </c>
      <c r="N51" s="24" t="inlineStr">
        <is>
          <t>0.7748148148148148</t>
        </is>
      </c>
      <c r="O51" s="24" t="inlineStr">
        <is>
          <t>FAIR</t>
        </is>
      </c>
      <c r="P51" s="24" t="inlineStr">
        <is>
          <t>FAIR</t>
        </is>
      </c>
      <c r="Q51" s="24" t="inlineStr">
        <is>
          <t>FAIR</t>
        </is>
      </c>
      <c r="R51" s="24" t="inlineStr">
        <is>
          <t>0.883291104654336</t>
        </is>
      </c>
      <c r="S51" s="24" t="inlineStr">
        <is>
          <t>HIGH</t>
        </is>
      </c>
      <c r="T51" s="24" t="inlineStr">
        <is>
          <t>HIGH</t>
        </is>
      </c>
      <c r="U51" s="24" t="inlineStr">
        <is>
          <t>0.2857142857142857</t>
        </is>
      </c>
      <c r="V51" s="24" t="inlineStr">
        <is>
          <t>MEDIUM_RISK</t>
        </is>
      </c>
      <c r="W51" s="24" t="inlineStr">
        <is>
          <t>중위험</t>
        </is>
      </c>
      <c r="X51" s="24" t="inlineStr">
        <is>
          <t>MEDIUM_RISK</t>
        </is>
      </c>
      <c r="Y51" s="24" t="inlineStr">
        <is>
          <t>0.695536763680257</t>
        </is>
      </c>
      <c r="Z51" s="24" t="inlineStr">
        <is>
          <t>MEDIUM</t>
        </is>
      </c>
      <c r="AA51" s="24" t="inlineStr">
        <is>
          <t>MEDIUM</t>
        </is>
      </c>
      <c r="AB51" s="24" t="inlineStr">
        <is>
          <t>0.08100242357773374</t>
        </is>
      </c>
      <c r="AC51" s="24" t="inlineStr">
        <is>
          <t>False</t>
        </is>
      </c>
      <c r="AD51" s="24" t="inlineStr">
        <is>
          <t>False</t>
        </is>
      </c>
      <c r="AE51" s="24" t="inlineStr">
        <is>
          <t>valuation_credit_ml_overlay_candidate.csv</t>
        </is>
      </c>
      <c r="AF51" s="24" t="inlineStr">
        <is>
          <t>208개 반도체 reference universe. Valuation Agent가 자체 intake 폴더로 복제해 Peer/ML/대시보드 비교에 사용.</t>
        </is>
      </c>
      <c r="AG51" s="24" t="inlineStr">
        <is>
          <t>TOP_REFERENCE</t>
        </is>
      </c>
      <c r="AH51" s="24" t="inlineStr">
        <is>
          <t>False</t>
        </is>
      </c>
    </row>
    <row r="52" ht="24" customHeight="1">
      <c r="A52" s="29" t="inlineStr">
        <is>
          <t>10</t>
        </is>
      </c>
      <c r="B52" s="29" t="inlineStr">
        <is>
          <t>해당 없음</t>
        </is>
      </c>
      <c r="C52" s="29" t="inlineStr">
        <is>
          <t>미코</t>
        </is>
      </c>
      <c r="D52" s="29" t="inlineStr">
        <is>
          <t>059090</t>
        </is>
      </c>
      <c r="E52" s="29" t="inlineStr">
        <is>
          <t>KOSDAQ</t>
        </is>
      </c>
      <c r="F52" s="29" t="inlineStr">
        <is>
          <t>IDM/제조/메모리</t>
        </is>
      </c>
      <c r="G52" s="29" t="inlineStr">
        <is>
          <t>IDM/제조/메모리</t>
        </is>
      </c>
      <c r="H52" s="29" t="inlineStr">
        <is>
          <t>False</t>
        </is>
      </c>
      <c r="I52" s="29" t="inlineStr">
        <is>
          <t>True</t>
        </is>
      </c>
      <c r="J52" s="29" t="inlineStr">
        <is>
          <t>OK</t>
        </is>
      </c>
      <c r="K52" s="29" t="inlineStr">
        <is>
          <t>데이터 사용 가능</t>
        </is>
      </c>
      <c r="L52" s="29" t="inlineStr">
        <is>
          <t>LOW</t>
        </is>
      </c>
      <c r="M52" s="29" t="inlineStr">
        <is>
          <t>LOW</t>
        </is>
      </c>
      <c r="N52" s="29" t="inlineStr">
        <is>
          <t>0.7733333333333334</t>
        </is>
      </c>
      <c r="O52" s="29" t="inlineStr">
        <is>
          <t>FAIR</t>
        </is>
      </c>
      <c r="P52" s="29" t="inlineStr">
        <is>
          <t>FAIR</t>
        </is>
      </c>
      <c r="Q52" s="29" t="inlineStr">
        <is>
          <t>FAIR</t>
        </is>
      </c>
      <c r="R52" s="29" t="inlineStr">
        <is>
          <t>0.9066669659525092</t>
        </is>
      </c>
      <c r="S52" s="29" t="inlineStr">
        <is>
          <t>HIGH</t>
        </is>
      </c>
      <c r="T52" s="29" t="inlineStr">
        <is>
          <t>HIGH</t>
        </is>
      </c>
      <c r="U52" s="29" t="inlineStr">
        <is>
          <t>0.2142857142857142</t>
        </is>
      </c>
      <c r="V52" s="29" t="inlineStr">
        <is>
          <t>MEDIUM_RISK</t>
        </is>
      </c>
      <c r="W52" s="29" t="inlineStr">
        <is>
          <t>중위험</t>
        </is>
      </c>
      <c r="X52" s="29" t="inlineStr">
        <is>
          <t>MEDIUM_RISK</t>
        </is>
      </c>
      <c r="Y52" s="29" t="inlineStr">
        <is>
          <t>0.6769145960065608</t>
        </is>
      </c>
      <c r="Z52" s="29" t="inlineStr">
        <is>
          <t>MEDIUM</t>
        </is>
      </c>
      <c r="AA52" s="29" t="inlineStr">
        <is>
          <t>MEDIUM</t>
        </is>
      </c>
      <c r="AB52" s="29" t="inlineStr">
        <is>
          <t>0.10646038380774528</t>
        </is>
      </c>
      <c r="AC52" s="29" t="inlineStr">
        <is>
          <t>False</t>
        </is>
      </c>
      <c r="AD52" s="29" t="inlineStr">
        <is>
          <t>False</t>
        </is>
      </c>
      <c r="AE52" s="29" t="inlineStr">
        <is>
          <t>valuation_credit_ml_overlay_candidate.csv</t>
        </is>
      </c>
      <c r="AF52" s="29" t="inlineStr">
        <is>
          <t>208개 반도체 reference universe. Valuation Agent가 자체 intake 폴더로 복제해 Peer/ML/대시보드 비교에 사용.</t>
        </is>
      </c>
      <c r="AG52" s="29" t="inlineStr">
        <is>
          <t>TOP_REFERENCE</t>
        </is>
      </c>
      <c r="AH52" s="29" t="inlineStr">
        <is>
          <t>False</t>
        </is>
      </c>
    </row>
    <row r="53" ht="24" customHeight="1">
      <c r="A53" s="24" t="inlineStr">
        <is>
          <t>163</t>
        </is>
      </c>
      <c r="B53" s="24" t="inlineStr">
        <is>
          <t>해당 없음</t>
        </is>
      </c>
      <c r="C53" s="24" t="inlineStr">
        <is>
          <t>링크제니시스</t>
        </is>
      </c>
      <c r="D53" s="24" t="inlineStr">
        <is>
          <t>219420</t>
        </is>
      </c>
      <c r="E53" s="24" t="inlineStr">
        <is>
          <t>KOSDAQ</t>
        </is>
      </c>
      <c r="F53" s="24" t="inlineStr">
        <is>
          <t>후공정/패키징/테스트</t>
        </is>
      </c>
      <c r="G53" s="24" t="inlineStr">
        <is>
          <t>후공정/패키징/테스트</t>
        </is>
      </c>
      <c r="H53" s="24" t="inlineStr">
        <is>
          <t>False</t>
        </is>
      </c>
      <c r="I53" s="24" t="inlineStr">
        <is>
          <t>True</t>
        </is>
      </c>
      <c r="J53" s="24" t="inlineStr">
        <is>
          <t>OK</t>
        </is>
      </c>
      <c r="K53" s="24" t="inlineStr">
        <is>
          <t>데이터 사용 가능</t>
        </is>
      </c>
      <c r="L53" s="24" t="inlineStr">
        <is>
          <t>LOW</t>
        </is>
      </c>
      <c r="M53" s="24" t="inlineStr">
        <is>
          <t>LOW</t>
        </is>
      </c>
      <c r="N53" s="24" t="inlineStr">
        <is>
          <t>0.7522962962962964</t>
        </is>
      </c>
      <c r="O53" s="24" t="inlineStr">
        <is>
          <t>ATTRACTIVE</t>
        </is>
      </c>
      <c r="P53" s="24" t="inlineStr">
        <is>
          <t>가치 매력</t>
        </is>
      </c>
      <c r="Q53" s="24" t="inlineStr">
        <is>
          <t>ATTRACTIVE</t>
        </is>
      </c>
      <c r="R53" s="24" t="inlineStr">
        <is>
          <t>0.8724992666433111</t>
        </is>
      </c>
      <c r="S53" s="24" t="inlineStr">
        <is>
          <t>HIGH</t>
        </is>
      </c>
      <c r="T53" s="24" t="inlineStr">
        <is>
          <t>HIGH</t>
        </is>
      </c>
      <c r="U53" s="24" t="inlineStr">
        <is>
          <t>0.0714285714285714</t>
        </is>
      </c>
      <c r="V53" s="24" t="inlineStr">
        <is>
          <t>LOW_RISK</t>
        </is>
      </c>
      <c r="W53" s="24" t="inlineStr">
        <is>
          <t>저위험</t>
        </is>
      </c>
      <c r="X53" s="24" t="inlineStr">
        <is>
          <t>LOW_RISK</t>
        </is>
      </c>
      <c r="Y53" s="24" t="inlineStr">
        <is>
          <t>0.8663667518810074</t>
        </is>
      </c>
      <c r="Z53" s="24" t="inlineStr">
        <is>
          <t>HIGH</t>
        </is>
      </c>
      <c r="AA53" s="24" t="inlineStr">
        <is>
          <t>HIGH</t>
        </is>
      </c>
      <c r="AB53" s="24" t="inlineStr">
        <is>
          <t>0.1247344063934745</t>
        </is>
      </c>
      <c r="AC53" s="24" t="inlineStr">
        <is>
          <t>False</t>
        </is>
      </c>
      <c r="AD53" s="24" t="inlineStr">
        <is>
          <t>False</t>
        </is>
      </c>
      <c r="AE53" s="24" t="inlineStr">
        <is>
          <t>valuation_credit_ml_overlay_candidate.csv</t>
        </is>
      </c>
      <c r="AF53" s="24" t="inlineStr">
        <is>
          <t>208개 반도체 reference universe. Valuation Agent가 자체 intake 폴더로 복제해 Peer/ML/대시보드 비교에 사용.</t>
        </is>
      </c>
      <c r="AG53" s="24" t="inlineStr">
        <is>
          <t>TOP_REFERENCE</t>
        </is>
      </c>
      <c r="AH53" s="24" t="inlineStr">
        <is>
          <t>False</t>
        </is>
      </c>
    </row>
    <row r="54" ht="24" customHeight="1">
      <c r="A54" s="29" t="inlineStr">
        <is>
          <t>22</t>
        </is>
      </c>
      <c r="B54" s="29" t="inlineStr">
        <is>
          <t>해당 없음</t>
        </is>
      </c>
      <c r="C54" s="29" t="inlineStr">
        <is>
          <t>엘디티</t>
        </is>
      </c>
      <c r="D54" s="29" t="inlineStr">
        <is>
          <t>096870</t>
        </is>
      </c>
      <c r="E54" s="29" t="inlineStr">
        <is>
          <t>KOSDAQ</t>
        </is>
      </c>
      <c r="F54" s="29" t="inlineStr">
        <is>
          <t>IDM/제조/메모리</t>
        </is>
      </c>
      <c r="G54" s="29" t="inlineStr">
        <is>
          <t>IDM/제조/메모리</t>
        </is>
      </c>
      <c r="H54" s="29" t="inlineStr">
        <is>
          <t>False</t>
        </is>
      </c>
      <c r="I54" s="29" t="inlineStr">
        <is>
          <t>True</t>
        </is>
      </c>
      <c r="J54" s="29" t="inlineStr">
        <is>
          <t>OK</t>
        </is>
      </c>
      <c r="K54" s="29" t="inlineStr">
        <is>
          <t>데이터 사용 가능</t>
        </is>
      </c>
      <c r="L54" s="29" t="inlineStr">
        <is>
          <t>LOW</t>
        </is>
      </c>
      <c r="M54" s="29" t="inlineStr">
        <is>
          <t>LOW</t>
        </is>
      </c>
      <c r="N54" s="29" t="inlineStr">
        <is>
          <t>0.7518333333333332</t>
        </is>
      </c>
      <c r="O54" s="29" t="inlineStr">
        <is>
          <t>ATTRACTIVE</t>
        </is>
      </c>
      <c r="P54" s="29" t="inlineStr">
        <is>
          <t>가치 매력</t>
        </is>
      </c>
      <c r="Q54" s="29" t="inlineStr">
        <is>
          <t>ATTRACTIVE</t>
        </is>
      </c>
      <c r="R54" s="29" t="inlineStr">
        <is>
          <t>0.8817908899004964</t>
        </is>
      </c>
      <c r="S54" s="29" t="inlineStr">
        <is>
          <t>HIGH</t>
        </is>
      </c>
      <c r="T54" s="29" t="inlineStr">
        <is>
          <t>HIGH</t>
        </is>
      </c>
      <c r="U54" s="29" t="inlineStr">
        <is>
          <t>0.0714285714285714</t>
        </is>
      </c>
      <c r="V54" s="29" t="inlineStr">
        <is>
          <t>LOW_RISK</t>
        </is>
      </c>
      <c r="W54" s="29" t="inlineStr">
        <is>
          <t>저위험</t>
        </is>
      </c>
      <c r="X54" s="29" t="inlineStr">
        <is>
          <t>LOW_RISK</t>
        </is>
      </c>
      <c r="Y54" s="29" t="inlineStr">
        <is>
          <t>0.8068970516192283</t>
        </is>
      </c>
      <c r="Z54" s="29" t="inlineStr">
        <is>
          <t>HIGH</t>
        </is>
      </c>
      <c r="AA54" s="29" t="inlineStr">
        <is>
          <t>HIGH</t>
        </is>
      </c>
      <c r="AB54" s="29" t="inlineStr">
        <is>
          <t>0.2312715560027526</t>
        </is>
      </c>
      <c r="AC54" s="29" t="inlineStr">
        <is>
          <t>False</t>
        </is>
      </c>
      <c r="AD54" s="29" t="inlineStr">
        <is>
          <t>False</t>
        </is>
      </c>
      <c r="AE54" s="29" t="inlineStr">
        <is>
          <t>valuation_credit_ml_overlay_candidate.csv</t>
        </is>
      </c>
      <c r="AF54" s="29" t="inlineStr">
        <is>
          <t>208개 반도체 reference universe. Valuation Agent가 자체 intake 폴더로 복제해 Peer/ML/대시보드 비교에 사용.</t>
        </is>
      </c>
      <c r="AG54" s="29" t="inlineStr">
        <is>
          <t>TOP_REFERENCE</t>
        </is>
      </c>
      <c r="AH54" s="29" t="inlineStr">
        <is>
          <t>False</t>
        </is>
      </c>
    </row>
    <row r="55" ht="24" customHeight="1">
      <c r="A55" s="24" t="inlineStr">
        <is>
          <t>65</t>
        </is>
      </c>
      <c r="B55" s="24" t="inlineStr">
        <is>
          <t>해당 없음</t>
        </is>
      </c>
      <c r="C55" s="24" t="inlineStr">
        <is>
          <t>유니트론텍</t>
        </is>
      </c>
      <c r="D55" s="24" t="inlineStr">
        <is>
          <t>142210</t>
        </is>
      </c>
      <c r="E55" s="24" t="inlineStr">
        <is>
          <t>KOSDAQ</t>
        </is>
      </c>
      <c r="F55" s="24" t="inlineStr">
        <is>
          <t>팹리스/설계</t>
        </is>
      </c>
      <c r="G55" s="24" t="inlineStr">
        <is>
          <t>팹리스/설계</t>
        </is>
      </c>
      <c r="H55" s="24" t="inlineStr">
        <is>
          <t>False</t>
        </is>
      </c>
      <c r="I55" s="24" t="inlineStr">
        <is>
          <t>True</t>
        </is>
      </c>
      <c r="J55" s="24" t="inlineStr">
        <is>
          <t>OK</t>
        </is>
      </c>
      <c r="K55" s="24" t="inlineStr">
        <is>
          <t>데이터 사용 가능</t>
        </is>
      </c>
      <c r="L55" s="24" t="inlineStr">
        <is>
          <t>LOW</t>
        </is>
      </c>
      <c r="M55" s="24" t="inlineStr">
        <is>
          <t>LOW</t>
        </is>
      </c>
      <c r="N55" s="24" t="inlineStr">
        <is>
          <t>0.7478787878787879</t>
        </is>
      </c>
      <c r="O55" s="24" t="inlineStr">
        <is>
          <t>FAIR</t>
        </is>
      </c>
      <c r="P55" s="24" t="inlineStr">
        <is>
          <t>FAIR</t>
        </is>
      </c>
      <c r="Q55" s="24" t="inlineStr">
        <is>
          <t>FAIR</t>
        </is>
      </c>
      <c r="R55" s="24" t="inlineStr">
        <is>
          <t>0.8593164302034415</t>
        </is>
      </c>
      <c r="S55" s="24" t="inlineStr">
        <is>
          <t>HIGH</t>
        </is>
      </c>
      <c r="T55" s="24" t="inlineStr">
        <is>
          <t>HIGH</t>
        </is>
      </c>
      <c r="U55" s="24" t="inlineStr">
        <is>
          <t>0.3571428571428571</t>
        </is>
      </c>
      <c r="V55" s="24" t="inlineStr">
        <is>
          <t>MEDIUM_RISK</t>
        </is>
      </c>
      <c r="W55" s="24" t="inlineStr">
        <is>
          <t>중위험</t>
        </is>
      </c>
      <c r="X55" s="24" t="inlineStr">
        <is>
          <t>MEDIUM_RISK</t>
        </is>
      </c>
      <c r="Y55" s="24" t="inlineStr">
        <is>
          <t>0.6687746551665015</t>
        </is>
      </c>
      <c r="Z55" s="24" t="inlineStr">
        <is>
          <t>MEDIUM</t>
        </is>
      </c>
      <c r="AA55" s="24" t="inlineStr">
        <is>
          <t>MEDIUM</t>
        </is>
      </c>
      <c r="AB55" s="24" t="inlineStr">
        <is>
          <t>0.05354194050015521</t>
        </is>
      </c>
      <c r="AC55" s="24" t="inlineStr">
        <is>
          <t>False</t>
        </is>
      </c>
      <c r="AD55" s="24" t="inlineStr">
        <is>
          <t>False</t>
        </is>
      </c>
      <c r="AE55" s="24" t="inlineStr">
        <is>
          <t>valuation_credit_ml_overlay_candidate.csv</t>
        </is>
      </c>
      <c r="AF55" s="24" t="inlineStr">
        <is>
          <t>208개 반도체 reference universe. Valuation Agent가 자체 intake 폴더로 복제해 Peer/ML/대시보드 비교에 사용.</t>
        </is>
      </c>
      <c r="AG55" s="24" t="inlineStr">
        <is>
          <t>TOP_REFERENCE</t>
        </is>
      </c>
      <c r="AH55" s="24" t="inlineStr">
        <is>
          <t>False</t>
        </is>
      </c>
    </row>
    <row r="56" ht="24" customHeight="1">
      <c r="A56" s="29" t="inlineStr">
        <is>
          <t>9</t>
        </is>
      </c>
      <c r="B56" s="29" t="inlineStr">
        <is>
          <t>해당 없음</t>
        </is>
      </c>
      <c r="C56" s="29" t="inlineStr">
        <is>
          <t>메카로</t>
        </is>
      </c>
      <c r="D56" s="29" t="inlineStr">
        <is>
          <t>241770</t>
        </is>
      </c>
      <c r="E56" s="29" t="inlineStr">
        <is>
          <t>KOSDAQ</t>
        </is>
      </c>
      <c r="F56" s="29" t="inlineStr">
        <is>
          <t>IDM/제조/메모리</t>
        </is>
      </c>
      <c r="G56" s="29" t="inlineStr">
        <is>
          <t>IDM/제조/메모리</t>
        </is>
      </c>
      <c r="H56" s="29" t="inlineStr">
        <is>
          <t>False</t>
        </is>
      </c>
      <c r="I56" s="29" t="inlineStr">
        <is>
          <t>True</t>
        </is>
      </c>
      <c r="J56" s="29" t="inlineStr">
        <is>
          <t>OK</t>
        </is>
      </c>
      <c r="K56" s="29" t="inlineStr">
        <is>
          <t>데이터 사용 가능</t>
        </is>
      </c>
      <c r="L56" s="29" t="inlineStr">
        <is>
          <t>LOW</t>
        </is>
      </c>
      <c r="M56" s="29" t="inlineStr">
        <is>
          <t>LOW</t>
        </is>
      </c>
      <c r="N56" s="29" t="inlineStr">
        <is>
          <t>0.7476666666666667</t>
        </is>
      </c>
      <c r="O56" s="29" t="inlineStr">
        <is>
          <t>ATTRACTIVE</t>
        </is>
      </c>
      <c r="P56" s="29" t="inlineStr">
        <is>
          <t>가치 매력</t>
        </is>
      </c>
      <c r="Q56" s="29" t="inlineStr">
        <is>
          <t>ATTRACTIVE</t>
        </is>
      </c>
      <c r="R56" s="29" t="inlineStr">
        <is>
          <t>0.9154158498128573</t>
        </is>
      </c>
      <c r="S56" s="29" t="inlineStr">
        <is>
          <t>HIGH</t>
        </is>
      </c>
      <c r="T56" s="29" t="inlineStr">
        <is>
          <t>HIGH</t>
        </is>
      </c>
      <c r="U56" s="29" t="inlineStr">
        <is>
          <t>0.0</t>
        </is>
      </c>
      <c r="V56" s="29" t="inlineStr">
        <is>
          <t>LOW_RISK</t>
        </is>
      </c>
      <c r="W56" s="29" t="inlineStr">
        <is>
          <t>저위험</t>
        </is>
      </c>
      <c r="X56" s="29" t="inlineStr">
        <is>
          <t>LOW_RISK</t>
        </is>
      </c>
      <c r="Y56" s="29" t="inlineStr">
        <is>
          <t>0.9196609311939408</t>
        </is>
      </c>
      <c r="Z56" s="29" t="inlineStr">
        <is>
          <t>HIGH</t>
        </is>
      </c>
      <c r="AA56" s="29" t="inlineStr">
        <is>
          <t>HIGH</t>
        </is>
      </c>
      <c r="AB56" s="29" t="inlineStr">
        <is>
          <t>0.12775877727770685</t>
        </is>
      </c>
      <c r="AC56" s="29" t="inlineStr">
        <is>
          <t>False</t>
        </is>
      </c>
      <c r="AD56" s="29" t="inlineStr">
        <is>
          <t>False</t>
        </is>
      </c>
      <c r="AE56" s="29" t="inlineStr">
        <is>
          <t>valuation_credit_ml_overlay_candidate.csv</t>
        </is>
      </c>
      <c r="AF56" s="29" t="inlineStr">
        <is>
          <t>208개 반도체 reference universe. Valuation Agent가 자체 intake 폴더로 복제해 Peer/ML/대시보드 비교에 사용.</t>
        </is>
      </c>
      <c r="AG56" s="29" t="inlineStr">
        <is>
          <t>TOP_REFERENCE</t>
        </is>
      </c>
      <c r="AH56" s="29" t="inlineStr">
        <is>
          <t>False</t>
        </is>
      </c>
    </row>
    <row r="57" ht="24" customHeight="1">
      <c r="A57" s="24" t="inlineStr">
        <is>
          <t>139</t>
        </is>
      </c>
      <c r="B57" s="24" t="inlineStr">
        <is>
          <t>해당 없음</t>
        </is>
      </c>
      <c r="C57" s="24" t="inlineStr">
        <is>
          <t>월덱스</t>
        </is>
      </c>
      <c r="D57" s="24" t="inlineStr">
        <is>
          <t>101160</t>
        </is>
      </c>
      <c r="E57" s="24" t="inlineStr">
        <is>
          <t>KOSDAQ</t>
        </is>
      </c>
      <c r="F57" s="24" t="inlineStr">
        <is>
          <t>소재</t>
        </is>
      </c>
      <c r="G57" s="24" t="inlineStr">
        <is>
          <t>소재</t>
        </is>
      </c>
      <c r="H57" s="24" t="inlineStr">
        <is>
          <t>False</t>
        </is>
      </c>
      <c r="I57" s="24" t="inlineStr">
        <is>
          <t>True</t>
        </is>
      </c>
      <c r="J57" s="24" t="inlineStr">
        <is>
          <t>OK</t>
        </is>
      </c>
      <c r="K57" s="24" t="inlineStr">
        <is>
          <t>데이터 사용 가능</t>
        </is>
      </c>
      <c r="L57" s="24" t="inlineStr">
        <is>
          <t>LOW</t>
        </is>
      </c>
      <c r="M57" s="24" t="inlineStr">
        <is>
          <t>LOW</t>
        </is>
      </c>
      <c r="N57" s="24" t="inlineStr">
        <is>
          <t>0.745897435897436</t>
        </is>
      </c>
      <c r="O57" s="24" t="inlineStr">
        <is>
          <t>ATTRACTIVE</t>
        </is>
      </c>
      <c r="P57" s="24" t="inlineStr">
        <is>
          <t>가치 매력</t>
        </is>
      </c>
      <c r="Q57" s="24" t="inlineStr">
        <is>
          <t>ATTRACTIVE</t>
        </is>
      </c>
      <c r="R57" s="24" t="inlineStr">
        <is>
          <t>0.9476922450763601</t>
        </is>
      </c>
      <c r="S57" s="24" t="inlineStr">
        <is>
          <t>HIGH</t>
        </is>
      </c>
      <c r="T57" s="24" t="inlineStr">
        <is>
          <t>HIGH</t>
        </is>
      </c>
      <c r="U57" s="24" t="inlineStr">
        <is>
          <t>0.0</t>
        </is>
      </c>
      <c r="V57" s="24" t="inlineStr">
        <is>
          <t>LOW_RISK</t>
        </is>
      </c>
      <c r="W57" s="24" t="inlineStr">
        <is>
          <t>저위험</t>
        </is>
      </c>
      <c r="X57" s="24" t="inlineStr">
        <is>
          <t>LOW_RISK</t>
        </is>
      </c>
      <c r="Y57" s="24" t="inlineStr">
        <is>
          <t>0.9681016473230849</t>
        </is>
      </c>
      <c r="Z57" s="24" t="inlineStr">
        <is>
          <t>HIGH</t>
        </is>
      </c>
      <c r="AA57" s="24" t="inlineStr">
        <is>
          <t>HIGH</t>
        </is>
      </c>
      <c r="AB57" s="24" t="inlineStr">
        <is>
          <t>0.15527064195126172</t>
        </is>
      </c>
      <c r="AC57" s="24" t="inlineStr">
        <is>
          <t>False</t>
        </is>
      </c>
      <c r="AD57" s="24" t="inlineStr">
        <is>
          <t>False</t>
        </is>
      </c>
      <c r="AE57" s="24" t="inlineStr">
        <is>
          <t>valuation_credit_ml_overlay_candidate.csv</t>
        </is>
      </c>
      <c r="AF57" s="24" t="inlineStr">
        <is>
          <t>208개 반도체 reference universe. Valuation Agent가 자체 intake 폴더로 복제해 Peer/ML/대시보드 비교에 사용.</t>
        </is>
      </c>
      <c r="AG57" s="24" t="inlineStr">
        <is>
          <t>TOP_REFERENCE</t>
        </is>
      </c>
      <c r="AH57" s="24" t="inlineStr">
        <is>
          <t>False</t>
        </is>
      </c>
    </row>
    <row r="58" ht="24" customHeight="1">
      <c r="A58" s="29" t="inlineStr">
        <is>
          <t>60</t>
        </is>
      </c>
      <c r="B58" s="29" t="inlineStr">
        <is>
          <t>해당 없음</t>
        </is>
      </c>
      <c r="C58" s="29" t="inlineStr">
        <is>
          <t>앤씨앤</t>
        </is>
      </c>
      <c r="D58" s="29" t="inlineStr">
        <is>
          <t>092600</t>
        </is>
      </c>
      <c r="E58" s="29" t="inlineStr">
        <is>
          <t>KOSDAQ</t>
        </is>
      </c>
      <c r="F58" s="29" t="inlineStr">
        <is>
          <t>팹리스/설계</t>
        </is>
      </c>
      <c r="G58" s="29" t="inlineStr">
        <is>
          <t>팹리스/설계</t>
        </is>
      </c>
      <c r="H58" s="29" t="inlineStr">
        <is>
          <t>False</t>
        </is>
      </c>
      <c r="I58" s="29" t="inlineStr">
        <is>
          <t>True</t>
        </is>
      </c>
      <c r="J58" s="29" t="inlineStr">
        <is>
          <t>OK</t>
        </is>
      </c>
      <c r="K58" s="29" t="inlineStr">
        <is>
          <t>데이터 사용 가능</t>
        </is>
      </c>
      <c r="L58" s="29" t="inlineStr">
        <is>
          <t>LOW</t>
        </is>
      </c>
      <c r="M58" s="29" t="inlineStr">
        <is>
          <t>LOW</t>
        </is>
      </c>
      <c r="N58" s="29" t="inlineStr">
        <is>
          <t>0.7450505050505051</t>
        </is>
      </c>
      <c r="O58" s="29" t="inlineStr">
        <is>
          <t>FAIR</t>
        </is>
      </c>
      <c r="P58" s="29" t="inlineStr">
        <is>
          <t>FAIR</t>
        </is>
      </c>
      <c r="Q58" s="29" t="inlineStr">
        <is>
          <t>FAIR</t>
        </is>
      </c>
      <c r="R58" s="29" t="inlineStr">
        <is>
          <t>0.8450252323777523</t>
        </is>
      </c>
      <c r="S58" s="29" t="inlineStr">
        <is>
          <t>HIGH</t>
        </is>
      </c>
      <c r="T58" s="29" t="inlineStr">
        <is>
          <t>HIGH</t>
        </is>
      </c>
      <c r="U58" s="29" t="inlineStr">
        <is>
          <t>0.5</t>
        </is>
      </c>
      <c r="V58" s="29" t="inlineStr">
        <is>
          <t>HIGH_RISK</t>
        </is>
      </c>
      <c r="W58" s="29" t="inlineStr">
        <is>
          <t>고위험</t>
        </is>
      </c>
      <c r="X58" s="29" t="inlineStr">
        <is>
          <t>HIGH_RISK</t>
        </is>
      </c>
      <c r="Y58" s="29" t="inlineStr">
        <is>
          <t>0.6852720703017778</t>
        </is>
      </c>
      <c r="Z58" s="29" t="inlineStr">
        <is>
          <t>MEDIUM</t>
        </is>
      </c>
      <c r="AA58" s="29" t="inlineStr">
        <is>
          <t>MEDIUM</t>
        </is>
      </c>
      <c r="AB58" s="29" t="inlineStr">
        <is>
          <t>0.05126917274476802</t>
        </is>
      </c>
      <c r="AC58" s="29" t="inlineStr">
        <is>
          <t>False</t>
        </is>
      </c>
      <c r="AD58" s="29" t="inlineStr">
        <is>
          <t>False</t>
        </is>
      </c>
      <c r="AE58" s="29" t="inlineStr">
        <is>
          <t>valuation_credit_ml_overlay_candidate.csv</t>
        </is>
      </c>
      <c r="AF58" s="29" t="inlineStr">
        <is>
          <t>208개 반도체 reference universe. Valuation Agent가 자체 intake 폴더로 복제해 Peer/ML/대시보드 비교에 사용.</t>
        </is>
      </c>
      <c r="AG58" s="29" t="inlineStr">
        <is>
          <t>TOP_REFERENCE</t>
        </is>
      </c>
      <c r="AH58" s="29" t="inlineStr">
        <is>
          <t>False</t>
        </is>
      </c>
    </row>
    <row r="59" ht="24" customHeight="1">
      <c r="A59" s="24" t="inlineStr">
        <is>
          <t>147</t>
        </is>
      </c>
      <c r="B59" s="24" t="inlineStr">
        <is>
          <t>해당 없음</t>
        </is>
      </c>
      <c r="C59" s="24" t="inlineStr">
        <is>
          <t>퓨릿</t>
        </is>
      </c>
      <c r="D59" s="24" t="inlineStr">
        <is>
          <t>445180</t>
        </is>
      </c>
      <c r="E59" s="24" t="inlineStr">
        <is>
          <t>KOSDAQ</t>
        </is>
      </c>
      <c r="F59" s="24" t="inlineStr">
        <is>
          <t>소재</t>
        </is>
      </c>
      <c r="G59" s="24" t="inlineStr">
        <is>
          <t>소재</t>
        </is>
      </c>
      <c r="H59" s="24" t="inlineStr">
        <is>
          <t>False</t>
        </is>
      </c>
      <c r="I59" s="24" t="inlineStr">
        <is>
          <t>True</t>
        </is>
      </c>
      <c r="J59" s="24" t="inlineStr">
        <is>
          <t>OK_LIMITED_HISTORY_OR_GROWTH_NA</t>
        </is>
      </c>
      <c r="K59" s="24" t="inlineStr">
        <is>
          <t>데이터 사용 가능</t>
        </is>
      </c>
      <c r="L59" s="24" t="inlineStr">
        <is>
          <t>LOW</t>
        </is>
      </c>
      <c r="M59" s="24" t="inlineStr">
        <is>
          <t>LOW</t>
        </is>
      </c>
      <c r="N59" s="24" t="inlineStr">
        <is>
          <t>0.7448717948717948</t>
        </is>
      </c>
      <c r="O59" s="24" t="inlineStr">
        <is>
          <t>ATTRACTIVE</t>
        </is>
      </c>
      <c r="P59" s="24" t="inlineStr">
        <is>
          <t>가치 매력</t>
        </is>
      </c>
      <c r="Q59" s="24" t="inlineStr">
        <is>
          <t>ATTRACTIVE</t>
        </is>
      </c>
      <c r="R59" s="24" t="inlineStr">
        <is>
          <t>0.8817607106455689</t>
        </is>
      </c>
      <c r="S59" s="24" t="inlineStr">
        <is>
          <t>HIGH</t>
        </is>
      </c>
      <c r="T59" s="24" t="inlineStr">
        <is>
          <t>HIGH</t>
        </is>
      </c>
      <c r="U59" s="24" t="inlineStr">
        <is>
          <t>0.0714285714285714</t>
        </is>
      </c>
      <c r="V59" s="24" t="inlineStr">
        <is>
          <t>LOW_RISK</t>
        </is>
      </c>
      <c r="W59" s="24" t="inlineStr">
        <is>
          <t>저위험</t>
        </is>
      </c>
      <c r="X59" s="24" t="inlineStr">
        <is>
          <t>LOW_RISK</t>
        </is>
      </c>
      <c r="Y59" s="24" t="inlineStr">
        <is>
          <t>0.9587686707140917</t>
        </is>
      </c>
      <c r="Z59" s="24" t="inlineStr">
        <is>
          <t>HIGH</t>
        </is>
      </c>
      <c r="AA59" s="24" t="inlineStr">
        <is>
          <t>HIGH</t>
        </is>
      </c>
      <c r="AB59" s="24" t="inlineStr">
        <is>
          <t>0.09055441585311619</t>
        </is>
      </c>
      <c r="AC59" s="24" t="inlineStr">
        <is>
          <t>False</t>
        </is>
      </c>
      <c r="AD59" s="24" t="inlineStr">
        <is>
          <t>True</t>
        </is>
      </c>
      <c r="AE59" s="24" t="inlineStr">
        <is>
          <t>valuation_credit_ml_overlay_candidate.csv</t>
        </is>
      </c>
      <c r="AF59" s="24" t="inlineStr">
        <is>
          <t>208개 반도체 reference universe. Valuation Agent가 자체 intake 폴더로 복제해 Peer/ML/대시보드 비교에 사용.</t>
        </is>
      </c>
      <c r="AG59" s="24" t="inlineStr">
        <is>
          <t>TOP_REFERENCE</t>
        </is>
      </c>
      <c r="AH59" s="24" t="inlineStr">
        <is>
          <t>False</t>
        </is>
      </c>
    </row>
    <row r="60" ht="24" customHeight="1">
      <c r="A60" s="29" t="inlineStr">
        <is>
          <t>47</t>
        </is>
      </c>
      <c r="B60" s="29" t="inlineStr">
        <is>
          <t>해당 없음</t>
        </is>
      </c>
      <c r="C60" s="29" t="inlineStr">
        <is>
          <t>마이크로컨텍솔</t>
        </is>
      </c>
      <c r="D60" s="29" t="inlineStr">
        <is>
          <t>098120</t>
        </is>
      </c>
      <c r="E60" s="29" t="inlineStr">
        <is>
          <t>KOSDAQ</t>
        </is>
      </c>
      <c r="F60" s="29" t="inlineStr">
        <is>
          <t>팹리스/설계</t>
        </is>
      </c>
      <c r="G60" s="29" t="inlineStr">
        <is>
          <t>팹리스/설계</t>
        </is>
      </c>
      <c r="H60" s="29" t="inlineStr">
        <is>
          <t>False</t>
        </is>
      </c>
      <c r="I60" s="29" t="inlineStr">
        <is>
          <t>True</t>
        </is>
      </c>
      <c r="J60" s="29" t="inlineStr">
        <is>
          <t>OK</t>
        </is>
      </c>
      <c r="K60" s="29" t="inlineStr">
        <is>
          <t>데이터 사용 가능</t>
        </is>
      </c>
      <c r="L60" s="29" t="inlineStr">
        <is>
          <t>LOW</t>
        </is>
      </c>
      <c r="M60" s="29" t="inlineStr">
        <is>
          <t>LOW</t>
        </is>
      </c>
      <c r="N60" s="29" t="inlineStr">
        <is>
          <t>0.7383838383838384</t>
        </is>
      </c>
      <c r="O60" s="29" t="inlineStr">
        <is>
          <t>ATTRACTIVE</t>
        </is>
      </c>
      <c r="P60" s="29" t="inlineStr">
        <is>
          <t>가치 매력</t>
        </is>
      </c>
      <c r="Q60" s="29" t="inlineStr">
        <is>
          <t>ATTRACTIVE</t>
        </is>
      </c>
      <c r="R60" s="29" t="inlineStr">
        <is>
          <t>0.8262966149459129</t>
        </is>
      </c>
      <c r="S60" s="29" t="inlineStr">
        <is>
          <t>HIGH</t>
        </is>
      </c>
      <c r="T60" s="29" t="inlineStr">
        <is>
          <t>HIGH</t>
        </is>
      </c>
      <c r="U60" s="29" t="inlineStr">
        <is>
          <t>0.1428571428571428</t>
        </is>
      </c>
      <c r="V60" s="29" t="inlineStr">
        <is>
          <t>LOW_RISK</t>
        </is>
      </c>
      <c r="W60" s="29" t="inlineStr">
        <is>
          <t>저위험</t>
        </is>
      </c>
      <c r="X60" s="29" t="inlineStr">
        <is>
          <t>LOW_RISK</t>
        </is>
      </c>
      <c r="Y60" s="29" t="inlineStr">
        <is>
          <t>0.7491981695245683</t>
        </is>
      </c>
      <c r="Z60" s="29" t="inlineStr">
        <is>
          <t>HIGH</t>
        </is>
      </c>
      <c r="AA60" s="29" t="inlineStr">
        <is>
          <t>HIGH</t>
        </is>
      </c>
      <c r="AB60" s="29" t="inlineStr">
        <is>
          <t>0.08427857084894262</t>
        </is>
      </c>
      <c r="AC60" s="29" t="inlineStr">
        <is>
          <t>False</t>
        </is>
      </c>
      <c r="AD60" s="29" t="inlineStr">
        <is>
          <t>False</t>
        </is>
      </c>
      <c r="AE60" s="29" t="inlineStr">
        <is>
          <t>valuation_credit_ml_overlay_candidate.csv</t>
        </is>
      </c>
      <c r="AF60" s="29" t="inlineStr">
        <is>
          <t>208개 반도체 reference universe. Valuation Agent가 자체 intake 폴더로 복제해 Peer/ML/대시보드 비교에 사용.</t>
        </is>
      </c>
      <c r="AG60" s="29" t="inlineStr">
        <is>
          <t>TOP_REFERENCE</t>
        </is>
      </c>
      <c r="AH60" s="29" t="inlineStr">
        <is>
          <t>False</t>
        </is>
      </c>
    </row>
    <row r="61" ht="24" customHeight="1">
      <c r="A61" s="24" t="inlineStr">
        <is>
          <t>189</t>
        </is>
      </c>
      <c r="B61" s="24" t="inlineStr">
        <is>
          <t>해당 없음</t>
        </is>
      </c>
      <c r="C61" s="24" t="inlineStr">
        <is>
          <t>프로텍</t>
        </is>
      </c>
      <c r="D61" s="24" t="inlineStr">
        <is>
          <t>053610</t>
        </is>
      </c>
      <c r="E61" s="24" t="inlineStr">
        <is>
          <t>KOSDAQ</t>
        </is>
      </c>
      <c r="F61" s="24" t="inlineStr">
        <is>
          <t>후공정/패키징/테스트</t>
        </is>
      </c>
      <c r="G61" s="24" t="inlineStr">
        <is>
          <t>후공정/패키징/테스트</t>
        </is>
      </c>
      <c r="H61" s="24" t="inlineStr">
        <is>
          <t>False</t>
        </is>
      </c>
      <c r="I61" s="24" t="inlineStr">
        <is>
          <t>True</t>
        </is>
      </c>
      <c r="J61" s="24" t="inlineStr">
        <is>
          <t>OK</t>
        </is>
      </c>
      <c r="K61" s="24" t="inlineStr">
        <is>
          <t>데이터 사용 가능</t>
        </is>
      </c>
      <c r="L61" s="24" t="inlineStr">
        <is>
          <t>LOW</t>
        </is>
      </c>
      <c r="M61" s="24" t="inlineStr">
        <is>
          <t>LOW</t>
        </is>
      </c>
      <c r="N61" s="24" t="inlineStr">
        <is>
          <t>0.7342222222222222</t>
        </is>
      </c>
      <c r="O61" s="24" t="inlineStr">
        <is>
          <t>FAIR</t>
        </is>
      </c>
      <c r="P61" s="24" t="inlineStr">
        <is>
          <t>FAIR</t>
        </is>
      </c>
      <c r="Q61" s="24" t="inlineStr">
        <is>
          <t>FAIR</t>
        </is>
      </c>
      <c r="R61" s="24" t="inlineStr">
        <is>
          <t>0.8971257561900263</t>
        </is>
      </c>
      <c r="S61" s="24" t="inlineStr">
        <is>
          <t>HIGH</t>
        </is>
      </c>
      <c r="T61" s="24" t="inlineStr">
        <is>
          <t>HIGH</t>
        </is>
      </c>
      <c r="U61" s="24" t="inlineStr">
        <is>
          <t>0.0714285714285714</t>
        </is>
      </c>
      <c r="V61" s="24" t="inlineStr">
        <is>
          <t>LOW_RISK</t>
        </is>
      </c>
      <c r="W61" s="24" t="inlineStr">
        <is>
          <t>저위험</t>
        </is>
      </c>
      <c r="X61" s="24" t="inlineStr">
        <is>
          <t>LOW_RISK</t>
        </is>
      </c>
      <c r="Y61" s="24" t="inlineStr">
        <is>
          <t>0.9163768919768406</t>
        </is>
      </c>
      <c r="Z61" s="24" t="inlineStr">
        <is>
          <t>HIGH</t>
        </is>
      </c>
      <c r="AA61" s="24" t="inlineStr">
        <is>
          <t>HIGH</t>
        </is>
      </c>
      <c r="AB61" s="24" t="inlineStr">
        <is>
          <t>0.04594870251712977</t>
        </is>
      </c>
      <c r="AC61" s="24" t="inlineStr">
        <is>
          <t>False</t>
        </is>
      </c>
      <c r="AD61" s="24" t="inlineStr">
        <is>
          <t>False</t>
        </is>
      </c>
      <c r="AE61" s="24" t="inlineStr">
        <is>
          <t>valuation_credit_ml_overlay_candidate.csv</t>
        </is>
      </c>
      <c r="AF61" s="24" t="inlineStr">
        <is>
          <t>208개 반도체 reference universe. Valuation Agent가 자체 intake 폴더로 복제해 Peer/ML/대시보드 비교에 사용.</t>
        </is>
      </c>
      <c r="AG61" s="24" t="inlineStr">
        <is>
          <t>TOP_REFERENCE</t>
        </is>
      </c>
      <c r="AH61" s="24" t="inlineStr">
        <is>
          <t>False</t>
        </is>
      </c>
    </row>
    <row r="62" ht="24" customHeight="1">
      <c r="A62" s="29" t="inlineStr">
        <is>
          <t>55</t>
        </is>
      </c>
      <c r="B62" s="29" t="inlineStr">
        <is>
          <t>해당 없음</t>
        </is>
      </c>
      <c r="C62" s="29" t="inlineStr">
        <is>
          <t>아이앤씨</t>
        </is>
      </c>
      <c r="D62" s="29" t="inlineStr">
        <is>
          <t>052860</t>
        </is>
      </c>
      <c r="E62" s="29" t="inlineStr">
        <is>
          <t>KOSDAQ</t>
        </is>
      </c>
      <c r="F62" s="29" t="inlineStr">
        <is>
          <t>팹리스/설계</t>
        </is>
      </c>
      <c r="G62" s="29" t="inlineStr">
        <is>
          <t>팹리스/설계</t>
        </is>
      </c>
      <c r="H62" s="29" t="inlineStr">
        <is>
          <t>False</t>
        </is>
      </c>
      <c r="I62" s="29" t="inlineStr">
        <is>
          <t>True</t>
        </is>
      </c>
      <c r="J62" s="29" t="inlineStr">
        <is>
          <t>OK</t>
        </is>
      </c>
      <c r="K62" s="29" t="inlineStr">
        <is>
          <t>데이터 사용 가능</t>
        </is>
      </c>
      <c r="L62" s="29" t="inlineStr">
        <is>
          <t>LOW</t>
        </is>
      </c>
      <c r="M62" s="29" t="inlineStr">
        <is>
          <t>LOW</t>
        </is>
      </c>
      <c r="N62" s="29" t="inlineStr">
        <is>
          <t>0.7325252525252526</t>
        </is>
      </c>
      <c r="O62" s="29" t="inlineStr">
        <is>
          <t>ATTRACTIVE</t>
        </is>
      </c>
      <c r="P62" s="29" t="inlineStr">
        <is>
          <t>가치 매력</t>
        </is>
      </c>
      <c r="Q62" s="29" t="inlineStr">
        <is>
          <t>ATTRACTIVE</t>
        </is>
      </c>
      <c r="R62" s="29" t="inlineStr">
        <is>
          <t>0.9267130449922303</t>
        </is>
      </c>
      <c r="S62" s="29" t="inlineStr">
        <is>
          <t>HIGH</t>
        </is>
      </c>
      <c r="T62" s="29" t="inlineStr">
        <is>
          <t>HIGH</t>
        </is>
      </c>
      <c r="U62" s="29" t="inlineStr">
        <is>
          <t>0.0</t>
        </is>
      </c>
      <c r="V62" s="29" t="inlineStr">
        <is>
          <t>LOW_RISK</t>
        </is>
      </c>
      <c r="W62" s="29" t="inlineStr">
        <is>
          <t>저위험</t>
        </is>
      </c>
      <c r="X62" s="29" t="inlineStr">
        <is>
          <t>LOW_RISK</t>
        </is>
      </c>
      <c r="Y62" s="29" t="inlineStr">
        <is>
          <t>0.8920304728976969</t>
        </is>
      </c>
      <c r="Z62" s="29" t="inlineStr">
        <is>
          <t>HIGH</t>
        </is>
      </c>
      <c r="AA62" s="29" t="inlineStr">
        <is>
          <t>HIGH</t>
        </is>
      </c>
      <c r="AB62" s="29" t="inlineStr">
        <is>
          <t>0.022475117759514655</t>
        </is>
      </c>
      <c r="AC62" s="29" t="inlineStr">
        <is>
          <t>False</t>
        </is>
      </c>
      <c r="AD62" s="29" t="inlineStr">
        <is>
          <t>False</t>
        </is>
      </c>
      <c r="AE62" s="29" t="inlineStr">
        <is>
          <t>valuation_credit_ml_overlay_candidate.csv</t>
        </is>
      </c>
      <c r="AF62" s="29" t="inlineStr">
        <is>
          <t>208개 반도체 reference universe. Valuation Agent가 자체 intake 폴더로 복제해 Peer/ML/대시보드 비교에 사용.</t>
        </is>
      </c>
      <c r="AG62" s="29" t="inlineStr">
        <is>
          <t>TOP_REFERENCE</t>
        </is>
      </c>
      <c r="AH62" s="29" t="inlineStr">
        <is>
          <t>False</t>
        </is>
      </c>
    </row>
    <row r="63" ht="24" customHeight="1"/>
    <row r="64" ht="24" customHeight="1"/>
    <row r="65" ht="24" customHeight="1">
      <c r="A65" s="22" t="inlineStr">
        <is>
          <t>208개 전체 Universe</t>
        </is>
      </c>
    </row>
    <row r="66" ht="24" customHeight="1">
      <c r="A66" s="25" t="inlineStr">
        <is>
          <t>Universe 순번</t>
        </is>
      </c>
      <c r="B66" s="25" t="inlineStr">
        <is>
          <t>기업코드</t>
        </is>
      </c>
      <c r="C66" s="25" t="inlineStr">
        <is>
          <t>기업명</t>
        </is>
      </c>
      <c r="D66" s="25" t="inlineStr">
        <is>
          <t>종목코드</t>
        </is>
      </c>
      <c r="E66" s="25" t="inlineStr">
        <is>
          <t>시장</t>
        </is>
      </c>
      <c r="F66" s="25" t="inlineStr">
        <is>
          <t>피어 그룹</t>
        </is>
      </c>
      <c r="G66" s="25" t="inlineStr">
        <is>
          <t>반도체 세부군</t>
        </is>
      </c>
      <c r="H66" s="25" t="inlineStr">
        <is>
          <t>5개 핵심기업</t>
        </is>
      </c>
      <c r="I66" s="25" t="inlineStr">
        <is>
          <t>market_data_available</t>
        </is>
      </c>
      <c r="J66" s="25" t="inlineStr">
        <is>
          <t>데이터 품질</t>
        </is>
      </c>
      <c r="K66" s="25" t="inlineStr">
        <is>
          <t>데이터 품질 해석</t>
        </is>
      </c>
      <c r="L66" s="25" t="inlineStr">
        <is>
          <t>수동검토 우선순위</t>
        </is>
      </c>
      <c r="M66" s="25" t="inlineStr">
        <is>
          <t>수동검토 우선순위 해석</t>
        </is>
      </c>
      <c r="N66" s="25" t="inlineStr">
        <is>
          <t>Valuation Proxy 점수</t>
        </is>
      </c>
      <c r="O66" s="25" t="inlineStr">
        <is>
          <t>Valuation Proxy 라벨</t>
        </is>
      </c>
      <c r="P66" s="25" t="inlineStr">
        <is>
          <t>가치 라벨</t>
        </is>
      </c>
      <c r="Q66" s="25" t="inlineStr">
        <is>
          <t>valuation_pred_label</t>
        </is>
      </c>
      <c r="R66" s="25" t="inlineStr">
        <is>
          <t>Valuation 신뢰도</t>
        </is>
      </c>
      <c r="S66" s="25" t="inlineStr">
        <is>
          <t>valuation_confidence_bucket</t>
        </is>
      </c>
      <c r="T66" s="25" t="inlineStr">
        <is>
          <t>valuation_confidence_bucket_kr</t>
        </is>
      </c>
      <c r="U66" s="25" t="inlineStr">
        <is>
          <t>Credit Risk 점수</t>
        </is>
      </c>
      <c r="V66" s="25" t="inlineStr">
        <is>
          <t>Credit Risk 라벨</t>
        </is>
      </c>
      <c r="W66" s="25" t="inlineStr">
        <is>
          <t>신용위험 라벨</t>
        </is>
      </c>
      <c r="X66" s="25" t="inlineStr">
        <is>
          <t>credit_pred_label</t>
        </is>
      </c>
      <c r="Y66" s="25" t="inlineStr">
        <is>
          <t>Credit 신뢰도</t>
        </is>
      </c>
      <c r="Z66" s="25" t="inlineStr">
        <is>
          <t>credit_confidence_bucket</t>
        </is>
      </c>
      <c r="AA66" s="25" t="inlineStr">
        <is>
          <t>credit_confidence_bucket_kr</t>
        </is>
      </c>
      <c r="AB66" s="25" t="inlineStr">
        <is>
          <t>Credit 이상치 점수</t>
        </is>
      </c>
      <c r="AC66" s="25" t="inlineStr">
        <is>
          <t>credit_anomaly_flag_top15pct</t>
        </is>
      </c>
      <c r="AD66" s="25" t="inlineStr">
        <is>
          <t>auditor_requires_human_review</t>
        </is>
      </c>
      <c r="AE66" s="25" t="inlineStr">
        <is>
          <t>출처 유형</t>
        </is>
      </c>
      <c r="AF66" s="25" t="inlineStr">
        <is>
          <t>출처 설명</t>
        </is>
      </c>
    </row>
    <row r="67" ht="24" customHeight="1">
      <c r="A67" s="24" t="inlineStr">
        <is>
          <t>10</t>
        </is>
      </c>
      <c r="B67" s="24" t="inlineStr">
        <is>
          <t>해당 없음</t>
        </is>
      </c>
      <c r="C67" s="24" t="inlineStr">
        <is>
          <t>미코</t>
        </is>
      </c>
      <c r="D67" s="24" t="inlineStr">
        <is>
          <t>059090</t>
        </is>
      </c>
      <c r="E67" s="24" t="inlineStr">
        <is>
          <t>KOSDAQ</t>
        </is>
      </c>
      <c r="F67" s="24" t="inlineStr">
        <is>
          <t>IDM/제조/메모리</t>
        </is>
      </c>
      <c r="G67" s="24" t="inlineStr">
        <is>
          <t>IDM/제조/메모리</t>
        </is>
      </c>
      <c r="H67" s="24" t="inlineStr">
        <is>
          <t>False</t>
        </is>
      </c>
      <c r="I67" s="24" t="inlineStr">
        <is>
          <t>True</t>
        </is>
      </c>
      <c r="J67" s="24" t="inlineStr">
        <is>
          <t>OK</t>
        </is>
      </c>
      <c r="K67" s="24" t="inlineStr">
        <is>
          <t>데이터 사용 가능</t>
        </is>
      </c>
      <c r="L67" s="24" t="inlineStr">
        <is>
          <t>LOW</t>
        </is>
      </c>
      <c r="M67" s="24" t="inlineStr">
        <is>
          <t>LOW</t>
        </is>
      </c>
      <c r="N67" s="24" t="inlineStr">
        <is>
          <t>0.7733333333333334</t>
        </is>
      </c>
      <c r="O67" s="24" t="inlineStr">
        <is>
          <t>FAIR</t>
        </is>
      </c>
      <c r="P67" s="24" t="inlineStr">
        <is>
          <t>FAIR</t>
        </is>
      </c>
      <c r="Q67" s="24" t="inlineStr">
        <is>
          <t>FAIR</t>
        </is>
      </c>
      <c r="R67" s="24" t="inlineStr">
        <is>
          <t>0.9066669659525092</t>
        </is>
      </c>
      <c r="S67" s="24" t="inlineStr">
        <is>
          <t>HIGH</t>
        </is>
      </c>
      <c r="T67" s="24" t="inlineStr">
        <is>
          <t>HIGH</t>
        </is>
      </c>
      <c r="U67" s="24" t="inlineStr">
        <is>
          <t>0.2142857142857142</t>
        </is>
      </c>
      <c r="V67" s="24" t="inlineStr">
        <is>
          <t>MEDIUM_RISK</t>
        </is>
      </c>
      <c r="W67" s="24" t="inlineStr">
        <is>
          <t>중위험</t>
        </is>
      </c>
      <c r="X67" s="24" t="inlineStr">
        <is>
          <t>MEDIUM_RISK</t>
        </is>
      </c>
      <c r="Y67" s="24" t="inlineStr">
        <is>
          <t>0.6769145960065608</t>
        </is>
      </c>
      <c r="Z67" s="24" t="inlineStr">
        <is>
          <t>MEDIUM</t>
        </is>
      </c>
      <c r="AA67" s="24" t="inlineStr">
        <is>
          <t>MEDIUM</t>
        </is>
      </c>
      <c r="AB67" s="24" t="inlineStr">
        <is>
          <t>0.10646038380774528</t>
        </is>
      </c>
      <c r="AC67" s="24" t="inlineStr">
        <is>
          <t>False</t>
        </is>
      </c>
      <c r="AD67" s="24" t="inlineStr">
        <is>
          <t>False</t>
        </is>
      </c>
      <c r="AE67" s="24" t="inlineStr">
        <is>
          <t>valuation_credit_ml_overlay_candidate.csv</t>
        </is>
      </c>
      <c r="AF67" s="24" t="inlineStr">
        <is>
          <t>208개 반도체 reference universe. Valuation Agent가 자체 intake 폴더로 복제해 Peer/ML/대시보드 비교에 사용.</t>
        </is>
      </c>
    </row>
    <row r="68" ht="24" customHeight="1">
      <c r="A68" s="29" t="inlineStr">
        <is>
          <t>22</t>
        </is>
      </c>
      <c r="B68" s="29" t="inlineStr">
        <is>
          <t>해당 없음</t>
        </is>
      </c>
      <c r="C68" s="29" t="inlineStr">
        <is>
          <t>엘디티</t>
        </is>
      </c>
      <c r="D68" s="29" t="inlineStr">
        <is>
          <t>096870</t>
        </is>
      </c>
      <c r="E68" s="29" t="inlineStr">
        <is>
          <t>KOSDAQ</t>
        </is>
      </c>
      <c r="F68" s="29" t="inlineStr">
        <is>
          <t>IDM/제조/메모리</t>
        </is>
      </c>
      <c r="G68" s="29" t="inlineStr">
        <is>
          <t>IDM/제조/메모리</t>
        </is>
      </c>
      <c r="H68" s="29" t="inlineStr">
        <is>
          <t>False</t>
        </is>
      </c>
      <c r="I68" s="29" t="inlineStr">
        <is>
          <t>True</t>
        </is>
      </c>
      <c r="J68" s="29" t="inlineStr">
        <is>
          <t>OK</t>
        </is>
      </c>
      <c r="K68" s="29" t="inlineStr">
        <is>
          <t>데이터 사용 가능</t>
        </is>
      </c>
      <c r="L68" s="29" t="inlineStr">
        <is>
          <t>LOW</t>
        </is>
      </c>
      <c r="M68" s="29" t="inlineStr">
        <is>
          <t>LOW</t>
        </is>
      </c>
      <c r="N68" s="29" t="inlineStr">
        <is>
          <t>0.7518333333333332</t>
        </is>
      </c>
      <c r="O68" s="29" t="inlineStr">
        <is>
          <t>ATTRACTIVE</t>
        </is>
      </c>
      <c r="P68" s="29" t="inlineStr">
        <is>
          <t>가치 매력</t>
        </is>
      </c>
      <c r="Q68" s="29" t="inlineStr">
        <is>
          <t>ATTRACTIVE</t>
        </is>
      </c>
      <c r="R68" s="29" t="inlineStr">
        <is>
          <t>0.8817908899004964</t>
        </is>
      </c>
      <c r="S68" s="29" t="inlineStr">
        <is>
          <t>HIGH</t>
        </is>
      </c>
      <c r="T68" s="29" t="inlineStr">
        <is>
          <t>HIGH</t>
        </is>
      </c>
      <c r="U68" s="29" t="inlineStr">
        <is>
          <t>0.0714285714285714</t>
        </is>
      </c>
      <c r="V68" s="29" t="inlineStr">
        <is>
          <t>LOW_RISK</t>
        </is>
      </c>
      <c r="W68" s="29" t="inlineStr">
        <is>
          <t>저위험</t>
        </is>
      </c>
      <c r="X68" s="29" t="inlineStr">
        <is>
          <t>LOW_RISK</t>
        </is>
      </c>
      <c r="Y68" s="29" t="inlineStr">
        <is>
          <t>0.8068970516192283</t>
        </is>
      </c>
      <c r="Z68" s="29" t="inlineStr">
        <is>
          <t>HIGH</t>
        </is>
      </c>
      <c r="AA68" s="29" t="inlineStr">
        <is>
          <t>HIGH</t>
        </is>
      </c>
      <c r="AB68" s="29" t="inlineStr">
        <is>
          <t>0.2312715560027526</t>
        </is>
      </c>
      <c r="AC68" s="29" t="inlineStr">
        <is>
          <t>False</t>
        </is>
      </c>
      <c r="AD68" s="29" t="inlineStr">
        <is>
          <t>False</t>
        </is>
      </c>
      <c r="AE68" s="29" t="inlineStr">
        <is>
          <t>valuation_credit_ml_overlay_candidate.csv</t>
        </is>
      </c>
      <c r="AF68" s="29" t="inlineStr">
        <is>
          <t>208개 반도체 reference universe. Valuation Agent가 자체 intake 폴더로 복제해 Peer/ML/대시보드 비교에 사용.</t>
        </is>
      </c>
    </row>
    <row r="69" ht="24" customHeight="1">
      <c r="A69" s="24" t="inlineStr">
        <is>
          <t>9</t>
        </is>
      </c>
      <c r="B69" s="24" t="inlineStr">
        <is>
          <t>해당 없음</t>
        </is>
      </c>
      <c r="C69" s="24" t="inlineStr">
        <is>
          <t>메카로</t>
        </is>
      </c>
      <c r="D69" s="24" t="inlineStr">
        <is>
          <t>241770</t>
        </is>
      </c>
      <c r="E69" s="24" t="inlineStr">
        <is>
          <t>KOSDAQ</t>
        </is>
      </c>
      <c r="F69" s="24" t="inlineStr">
        <is>
          <t>IDM/제조/메모리</t>
        </is>
      </c>
      <c r="G69" s="24" t="inlineStr">
        <is>
          <t>IDM/제조/메모리</t>
        </is>
      </c>
      <c r="H69" s="24" t="inlineStr">
        <is>
          <t>False</t>
        </is>
      </c>
      <c r="I69" s="24" t="inlineStr">
        <is>
          <t>True</t>
        </is>
      </c>
      <c r="J69" s="24" t="inlineStr">
        <is>
          <t>OK</t>
        </is>
      </c>
      <c r="K69" s="24" t="inlineStr">
        <is>
          <t>데이터 사용 가능</t>
        </is>
      </c>
      <c r="L69" s="24" t="inlineStr">
        <is>
          <t>LOW</t>
        </is>
      </c>
      <c r="M69" s="24" t="inlineStr">
        <is>
          <t>LOW</t>
        </is>
      </c>
      <c r="N69" s="24" t="inlineStr">
        <is>
          <t>0.7476666666666667</t>
        </is>
      </c>
      <c r="O69" s="24" t="inlineStr">
        <is>
          <t>ATTRACTIVE</t>
        </is>
      </c>
      <c r="P69" s="24" t="inlineStr">
        <is>
          <t>가치 매력</t>
        </is>
      </c>
      <c r="Q69" s="24" t="inlineStr">
        <is>
          <t>ATTRACTIVE</t>
        </is>
      </c>
      <c r="R69" s="24" t="inlineStr">
        <is>
          <t>0.9154158498128573</t>
        </is>
      </c>
      <c r="S69" s="24" t="inlineStr">
        <is>
          <t>HIGH</t>
        </is>
      </c>
      <c r="T69" s="24" t="inlineStr">
        <is>
          <t>HIGH</t>
        </is>
      </c>
      <c r="U69" s="24" t="inlineStr">
        <is>
          <t>0.0</t>
        </is>
      </c>
      <c r="V69" s="24" t="inlineStr">
        <is>
          <t>LOW_RISK</t>
        </is>
      </c>
      <c r="W69" s="24" t="inlineStr">
        <is>
          <t>저위험</t>
        </is>
      </c>
      <c r="X69" s="24" t="inlineStr">
        <is>
          <t>LOW_RISK</t>
        </is>
      </c>
      <c r="Y69" s="24" t="inlineStr">
        <is>
          <t>0.9196609311939408</t>
        </is>
      </c>
      <c r="Z69" s="24" t="inlineStr">
        <is>
          <t>HIGH</t>
        </is>
      </c>
      <c r="AA69" s="24" t="inlineStr">
        <is>
          <t>HIGH</t>
        </is>
      </c>
      <c r="AB69" s="24" t="inlineStr">
        <is>
          <t>0.12775877727770685</t>
        </is>
      </c>
      <c r="AC69" s="24" t="inlineStr">
        <is>
          <t>False</t>
        </is>
      </c>
      <c r="AD69" s="24" t="inlineStr">
        <is>
          <t>False</t>
        </is>
      </c>
      <c r="AE69" s="24" t="inlineStr">
        <is>
          <t>valuation_credit_ml_overlay_candidate.csv</t>
        </is>
      </c>
      <c r="AF69" s="24" t="inlineStr">
        <is>
          <t>208개 반도체 reference universe. Valuation Agent가 자체 intake 폴더로 복제해 Peer/ML/대시보드 비교에 사용.</t>
        </is>
      </c>
    </row>
    <row r="70" ht="24" customHeight="1">
      <c r="A70" s="29" t="inlineStr">
        <is>
          <t>12</t>
        </is>
      </c>
      <c r="B70" s="29" t="inlineStr">
        <is>
          <t>해당 없음</t>
        </is>
      </c>
      <c r="C70" s="29" t="inlineStr">
        <is>
          <t>삼성전자</t>
        </is>
      </c>
      <c r="D70" s="29" t="inlineStr">
        <is>
          <t>005930</t>
        </is>
      </c>
      <c r="E70" s="29" t="inlineStr">
        <is>
          <t>KOSPI</t>
        </is>
      </c>
      <c r="F70" s="29" t="inlineStr">
        <is>
          <t>IDM/제조/메모리</t>
        </is>
      </c>
      <c r="G70" s="29" t="inlineStr">
        <is>
          <t>IDM/제조/메모리</t>
        </is>
      </c>
      <c r="H70" s="29" t="inlineStr">
        <is>
          <t>False</t>
        </is>
      </c>
      <c r="I70" s="29" t="inlineStr">
        <is>
          <t>True</t>
        </is>
      </c>
      <c r="J70" s="29" t="inlineStr">
        <is>
          <t>OK</t>
        </is>
      </c>
      <c r="K70" s="29" t="inlineStr">
        <is>
          <t>데이터 사용 가능</t>
        </is>
      </c>
      <c r="L70" s="29" t="inlineStr">
        <is>
          <t>LOW</t>
        </is>
      </c>
      <c r="M70" s="29" t="inlineStr">
        <is>
          <t>LOW</t>
        </is>
      </c>
      <c r="N70" s="29" t="inlineStr">
        <is>
          <t>0.7078333333333333</t>
        </is>
      </c>
      <c r="O70" s="29" t="inlineStr">
        <is>
          <t>ATTRACTIVE</t>
        </is>
      </c>
      <c r="P70" s="29" t="inlineStr">
        <is>
          <t>가치 매력</t>
        </is>
      </c>
      <c r="Q70" s="29" t="inlineStr">
        <is>
          <t>ATTRACTIVE</t>
        </is>
      </c>
      <c r="R70" s="29" t="inlineStr">
        <is>
          <t>0.9371541027950523</t>
        </is>
      </c>
      <c r="S70" s="29" t="inlineStr">
        <is>
          <t>HIGH</t>
        </is>
      </c>
      <c r="T70" s="29" t="inlineStr">
        <is>
          <t>HIGH</t>
        </is>
      </c>
      <c r="U70" s="29" t="inlineStr">
        <is>
          <t>0.0</t>
        </is>
      </c>
      <c r="V70" s="29" t="inlineStr">
        <is>
          <t>LOW_RISK</t>
        </is>
      </c>
      <c r="W70" s="29" t="inlineStr">
        <is>
          <t>저위험</t>
        </is>
      </c>
      <c r="X70" s="29" t="inlineStr">
        <is>
          <t>LOW_RISK</t>
        </is>
      </c>
      <c r="Y70" s="29" t="inlineStr">
        <is>
          <t>0.9760796731366836</t>
        </is>
      </c>
      <c r="Z70" s="29" t="inlineStr">
        <is>
          <t>HIGH</t>
        </is>
      </c>
      <c r="AA70" s="29" t="inlineStr">
        <is>
          <t>HIGH</t>
        </is>
      </c>
      <c r="AB70" s="29" t="inlineStr">
        <is>
          <t>0.4140062883705867</t>
        </is>
      </c>
      <c r="AC70" s="29" t="inlineStr">
        <is>
          <t>True</t>
        </is>
      </c>
      <c r="AD70" s="29" t="inlineStr">
        <is>
          <t>True</t>
        </is>
      </c>
      <c r="AE70" s="29" t="inlineStr">
        <is>
          <t>valuation_credit_ml_overlay_candidate.csv</t>
        </is>
      </c>
      <c r="AF70" s="29" t="inlineStr">
        <is>
          <t>208개 반도체 reference universe. Valuation Agent가 자체 intake 폴더로 복제해 Peer/ML/대시보드 비교에 사용.</t>
        </is>
      </c>
    </row>
    <row r="71" ht="24" customHeight="1">
      <c r="A71" s="24" t="inlineStr">
        <is>
          <t>4</t>
        </is>
      </c>
      <c r="B71" s="24" t="inlineStr">
        <is>
          <t>해당 없음</t>
        </is>
      </c>
      <c r="C71" s="24" t="inlineStr">
        <is>
          <t>SK하이닉스</t>
        </is>
      </c>
      <c r="D71" s="24" t="inlineStr">
        <is>
          <t>000660</t>
        </is>
      </c>
      <c r="E71" s="24" t="inlineStr">
        <is>
          <t>KOSPI</t>
        </is>
      </c>
      <c r="F71" s="24" t="inlineStr">
        <is>
          <t>IDM/제조/메모리</t>
        </is>
      </c>
      <c r="G71" s="24" t="inlineStr">
        <is>
          <t>IDM/제조/메모리</t>
        </is>
      </c>
      <c r="H71" s="24" t="inlineStr">
        <is>
          <t>False</t>
        </is>
      </c>
      <c r="I71" s="24" t="inlineStr">
        <is>
          <t>True</t>
        </is>
      </c>
      <c r="J71" s="24" t="inlineStr">
        <is>
          <t>OK</t>
        </is>
      </c>
      <c r="K71" s="24" t="inlineStr">
        <is>
          <t>데이터 사용 가능</t>
        </is>
      </c>
      <c r="L71" s="24" t="inlineStr">
        <is>
          <t>LOW</t>
        </is>
      </c>
      <c r="M71" s="24" t="inlineStr">
        <is>
          <t>LOW</t>
        </is>
      </c>
      <c r="N71" s="24" t="inlineStr">
        <is>
          <t>0.6933333333333334</t>
        </is>
      </c>
      <c r="O71" s="24" t="inlineStr">
        <is>
          <t>ATTRACTIVE</t>
        </is>
      </c>
      <c r="P71" s="24" t="inlineStr">
        <is>
          <t>가치 매력</t>
        </is>
      </c>
      <c r="Q71" s="24" t="inlineStr">
        <is>
          <t>ATTRACTIVE</t>
        </is>
      </c>
      <c r="R71" s="24" t="inlineStr">
        <is>
          <t>0.8582250965188642</t>
        </is>
      </c>
      <c r="S71" s="24" t="inlineStr">
        <is>
          <t>HIGH</t>
        </is>
      </c>
      <c r="T71" s="24" t="inlineStr">
        <is>
          <t>HIGH</t>
        </is>
      </c>
      <c r="U71" s="24" t="inlineStr">
        <is>
          <t>0.0</t>
        </is>
      </c>
      <c r="V71" s="24" t="inlineStr">
        <is>
          <t>LOW_RISK</t>
        </is>
      </c>
      <c r="W71" s="24" t="inlineStr">
        <is>
          <t>저위험</t>
        </is>
      </c>
      <c r="X71" s="24" t="inlineStr">
        <is>
          <t>LOW_RISK</t>
        </is>
      </c>
      <c r="Y71" s="24" t="inlineStr">
        <is>
          <t>0.9246810687108324</t>
        </is>
      </c>
      <c r="Z71" s="24" t="inlineStr">
        <is>
          <t>HIGH</t>
        </is>
      </c>
      <c r="AA71" s="24" t="inlineStr">
        <is>
          <t>HIGH</t>
        </is>
      </c>
      <c r="AB71" s="24" t="inlineStr">
        <is>
          <t>0.4530741670429333</t>
        </is>
      </c>
      <c r="AC71" s="24" t="inlineStr">
        <is>
          <t>True</t>
        </is>
      </c>
      <c r="AD71" s="24" t="inlineStr">
        <is>
          <t>True</t>
        </is>
      </c>
      <c r="AE71" s="24" t="inlineStr">
        <is>
          <t>valuation_credit_ml_overlay_candidate.csv</t>
        </is>
      </c>
      <c r="AF71" s="24" t="inlineStr">
        <is>
          <t>208개 반도체 reference universe. Valuation Agent가 자체 intake 폴더로 복제해 Peer/ML/대시보드 비교에 사용.</t>
        </is>
      </c>
    </row>
    <row r="72" ht="24" customHeight="1">
      <c r="A72" s="29" t="inlineStr">
        <is>
          <t>32</t>
        </is>
      </c>
      <c r="B72" s="29" t="inlineStr">
        <is>
          <t>해당 없음</t>
        </is>
      </c>
      <c r="C72" s="29" t="inlineStr">
        <is>
          <t>케이엔제이</t>
        </is>
      </c>
      <c r="D72" s="29" t="inlineStr">
        <is>
          <t>272110</t>
        </is>
      </c>
      <c r="E72" s="29" t="inlineStr">
        <is>
          <t>KOSDAQ</t>
        </is>
      </c>
      <c r="F72" s="29" t="inlineStr">
        <is>
          <t>IDM/제조/메모리</t>
        </is>
      </c>
      <c r="G72" s="29" t="inlineStr">
        <is>
          <t>IDM/제조/메모리</t>
        </is>
      </c>
      <c r="H72" s="29" t="inlineStr">
        <is>
          <t>False</t>
        </is>
      </c>
      <c r="I72" s="29" t="inlineStr">
        <is>
          <t>True</t>
        </is>
      </c>
      <c r="J72" s="29" t="inlineStr">
        <is>
          <t>OK</t>
        </is>
      </c>
      <c r="K72" s="29" t="inlineStr">
        <is>
          <t>데이터 사용 가능</t>
        </is>
      </c>
      <c r="L72" s="29" t="inlineStr">
        <is>
          <t>LOW</t>
        </is>
      </c>
      <c r="M72" s="29" t="inlineStr">
        <is>
          <t>LOW</t>
        </is>
      </c>
      <c r="N72" s="29" t="inlineStr">
        <is>
          <t>0.69</t>
        </is>
      </c>
      <c r="O72" s="29" t="inlineStr">
        <is>
          <t>FAIR</t>
        </is>
      </c>
      <c r="P72" s="29" t="inlineStr">
        <is>
          <t>FAIR</t>
        </is>
      </c>
      <c r="Q72" s="29" t="inlineStr">
        <is>
          <t>FAIR</t>
        </is>
      </c>
      <c r="R72" s="29" t="inlineStr">
        <is>
          <t>0.8941431334693103</t>
        </is>
      </c>
      <c r="S72" s="29" t="inlineStr">
        <is>
          <t>HIGH</t>
        </is>
      </c>
      <c r="T72" s="29" t="inlineStr">
        <is>
          <t>HIGH</t>
        </is>
      </c>
      <c r="U72" s="29" t="inlineStr">
        <is>
          <t>0.3571428571428571</t>
        </is>
      </c>
      <c r="V72" s="29" t="inlineStr">
        <is>
          <t>MEDIUM_RISK</t>
        </is>
      </c>
      <c r="W72" s="29" t="inlineStr">
        <is>
          <t>중위험</t>
        </is>
      </c>
      <c r="X72" s="29" t="inlineStr">
        <is>
          <t>MEDIUM_RISK</t>
        </is>
      </c>
      <c r="Y72" s="29" t="inlineStr">
        <is>
          <t>0.6916505304322266</t>
        </is>
      </c>
      <c r="Z72" s="29" t="inlineStr">
        <is>
          <t>MEDIUM</t>
        </is>
      </c>
      <c r="AA72" s="29" t="inlineStr">
        <is>
          <t>MEDIUM</t>
        </is>
      </c>
      <c r="AB72" s="29" t="inlineStr">
        <is>
          <t>0.08026450343217886</t>
        </is>
      </c>
      <c r="AC72" s="29" t="inlineStr">
        <is>
          <t>False</t>
        </is>
      </c>
      <c r="AD72" s="29" t="inlineStr">
        <is>
          <t>False</t>
        </is>
      </c>
      <c r="AE72" s="29" t="inlineStr">
        <is>
          <t>valuation_credit_ml_overlay_candidate.csv</t>
        </is>
      </c>
      <c r="AF72" s="29" t="inlineStr">
        <is>
          <t>208개 반도체 reference universe. Valuation Agent가 자체 intake 폴더로 복제해 Peer/ML/대시보드 비교에 사용.</t>
        </is>
      </c>
    </row>
    <row r="73" ht="24" customHeight="1">
      <c r="A73" s="24" t="inlineStr">
        <is>
          <t>40</t>
        </is>
      </c>
      <c r="B73" s="24" t="inlineStr">
        <is>
          <t>해당 없음</t>
        </is>
      </c>
      <c r="C73" s="24" t="inlineStr">
        <is>
          <t>한양디지텍</t>
        </is>
      </c>
      <c r="D73" s="24" t="inlineStr">
        <is>
          <t>078350</t>
        </is>
      </c>
      <c r="E73" s="24" t="inlineStr">
        <is>
          <t>KOSDAQ</t>
        </is>
      </c>
      <c r="F73" s="24" t="inlineStr">
        <is>
          <t>IDM/제조/메모리</t>
        </is>
      </c>
      <c r="G73" s="24" t="inlineStr">
        <is>
          <t>IDM/제조/메모리</t>
        </is>
      </c>
      <c r="H73" s="24" t="inlineStr">
        <is>
          <t>False</t>
        </is>
      </c>
      <c r="I73" s="24" t="inlineStr">
        <is>
          <t>True</t>
        </is>
      </c>
      <c r="J73" s="24" t="inlineStr">
        <is>
          <t>OK</t>
        </is>
      </c>
      <c r="K73" s="24" t="inlineStr">
        <is>
          <t>데이터 사용 가능</t>
        </is>
      </c>
      <c r="L73" s="24" t="inlineStr">
        <is>
          <t>LOW</t>
        </is>
      </c>
      <c r="M73" s="24" t="inlineStr">
        <is>
          <t>LOW</t>
        </is>
      </c>
      <c r="N73" s="24" t="inlineStr">
        <is>
          <t>0.6805000000000001</t>
        </is>
      </c>
      <c r="O73" s="24" t="inlineStr">
        <is>
          <t>ATTRACTIVE</t>
        </is>
      </c>
      <c r="P73" s="24" t="inlineStr">
        <is>
          <t>가치 매력</t>
        </is>
      </c>
      <c r="Q73" s="24" t="inlineStr">
        <is>
          <t>ATTRACTIVE</t>
        </is>
      </c>
      <c r="R73" s="24" t="inlineStr">
        <is>
          <t>0.8705426081647281</t>
        </is>
      </c>
      <c r="S73" s="24" t="inlineStr">
        <is>
          <t>HIGH</t>
        </is>
      </c>
      <c r="T73" s="24" t="inlineStr">
        <is>
          <t>HIGH</t>
        </is>
      </c>
      <c r="U73" s="24" t="inlineStr">
        <is>
          <t>0.0714285714285714</t>
        </is>
      </c>
      <c r="V73" s="24" t="inlineStr">
        <is>
          <t>LOW_RISK</t>
        </is>
      </c>
      <c r="W73" s="24" t="inlineStr">
        <is>
          <t>저위험</t>
        </is>
      </c>
      <c r="X73" s="24" t="inlineStr">
        <is>
          <t>LOW_RISK</t>
        </is>
      </c>
      <c r="Y73" s="24" t="inlineStr">
        <is>
          <t>0.7978732006060483</t>
        </is>
      </c>
      <c r="Z73" s="24" t="inlineStr">
        <is>
          <t>HIGH</t>
        </is>
      </c>
      <c r="AA73" s="24" t="inlineStr">
        <is>
          <t>HIGH</t>
        </is>
      </c>
      <c r="AB73" s="24" t="inlineStr">
        <is>
          <t>0.008155150389343335</t>
        </is>
      </c>
      <c r="AC73" s="24" t="inlineStr">
        <is>
          <t>False</t>
        </is>
      </c>
      <c r="AD73" s="24" t="inlineStr">
        <is>
          <t>False</t>
        </is>
      </c>
      <c r="AE73" s="24" t="inlineStr">
        <is>
          <t>valuation_credit_ml_overlay_candidate.csv</t>
        </is>
      </c>
      <c r="AF73" s="24" t="inlineStr">
        <is>
          <t>208개 반도체 reference universe. Valuation Agent가 자체 intake 폴더로 복제해 Peer/ML/대시보드 비교에 사용.</t>
        </is>
      </c>
    </row>
    <row r="74" ht="24" customHeight="1">
      <c r="A74" s="29" t="inlineStr">
        <is>
          <t>1</t>
        </is>
      </c>
      <c r="B74" s="29" t="inlineStr">
        <is>
          <t>해당 없음</t>
        </is>
      </c>
      <c r="C74" s="29" t="inlineStr">
        <is>
          <t>DB하이텍</t>
        </is>
      </c>
      <c r="D74" s="29" t="inlineStr">
        <is>
          <t>000990</t>
        </is>
      </c>
      <c r="E74" s="29" t="inlineStr">
        <is>
          <t>KOSPI</t>
        </is>
      </c>
      <c r="F74" s="29" t="inlineStr">
        <is>
          <t>IDM/제조/메모리</t>
        </is>
      </c>
      <c r="G74" s="29" t="inlineStr">
        <is>
          <t>IDM/제조/메모리</t>
        </is>
      </c>
      <c r="H74" s="29" t="inlineStr">
        <is>
          <t>False</t>
        </is>
      </c>
      <c r="I74" s="29" t="inlineStr">
        <is>
          <t>True</t>
        </is>
      </c>
      <c r="J74" s="29" t="inlineStr">
        <is>
          <t>OK</t>
        </is>
      </c>
      <c r="K74" s="29" t="inlineStr">
        <is>
          <t>데이터 사용 가능</t>
        </is>
      </c>
      <c r="L74" s="29" t="inlineStr">
        <is>
          <t>LOW</t>
        </is>
      </c>
      <c r="M74" s="29" t="inlineStr">
        <is>
          <t>LOW</t>
        </is>
      </c>
      <c r="N74" s="29" t="inlineStr">
        <is>
          <t>0.6653333333333333</t>
        </is>
      </c>
      <c r="O74" s="29" t="inlineStr">
        <is>
          <t>ATTRACTIVE</t>
        </is>
      </c>
      <c r="P74" s="29" t="inlineStr">
        <is>
          <t>가치 매력</t>
        </is>
      </c>
      <c r="Q74" s="29" t="inlineStr">
        <is>
          <t>ATTRACTIVE</t>
        </is>
      </c>
      <c r="R74" s="29" t="inlineStr">
        <is>
          <t>0.9104444876024207</t>
        </is>
      </c>
      <c r="S74" s="29" t="inlineStr">
        <is>
          <t>HIGH</t>
        </is>
      </c>
      <c r="T74" s="29" t="inlineStr">
        <is>
          <t>HIGH</t>
        </is>
      </c>
      <c r="U74" s="29" t="inlineStr">
        <is>
          <t>0.0</t>
        </is>
      </c>
      <c r="V74" s="29" t="inlineStr">
        <is>
          <t>LOW_RISK</t>
        </is>
      </c>
      <c r="W74" s="29" t="inlineStr">
        <is>
          <t>저위험</t>
        </is>
      </c>
      <c r="X74" s="29" t="inlineStr">
        <is>
          <t>LOW_RISK</t>
        </is>
      </c>
      <c r="Y74" s="29" t="inlineStr">
        <is>
          <t>0.9880726272379208</t>
        </is>
      </c>
      <c r="Z74" s="29" t="inlineStr">
        <is>
          <t>HIGH</t>
        </is>
      </c>
      <c r="AA74" s="29" t="inlineStr">
        <is>
          <t>HIGH</t>
        </is>
      </c>
      <c r="AB74" s="29" t="inlineStr">
        <is>
          <t>0.04988685023425709</t>
        </is>
      </c>
      <c r="AC74" s="29" t="inlineStr">
        <is>
          <t>False</t>
        </is>
      </c>
      <c r="AD74" s="29" t="inlineStr">
        <is>
          <t>False</t>
        </is>
      </c>
      <c r="AE74" s="29" t="inlineStr">
        <is>
          <t>valuation_credit_ml_overlay_candidate.csv</t>
        </is>
      </c>
      <c r="AF74" s="29" t="inlineStr">
        <is>
          <t>208개 반도체 reference universe. Valuation Agent가 자체 intake 폴더로 복제해 Peer/ML/대시보드 비교에 사용.</t>
        </is>
      </c>
    </row>
    <row r="75" ht="24" customHeight="1">
      <c r="A75" s="24" t="inlineStr">
        <is>
          <t>24</t>
        </is>
      </c>
      <c r="B75" s="24" t="inlineStr">
        <is>
          <t>해당 없음</t>
        </is>
      </c>
      <c r="C75" s="24" t="inlineStr">
        <is>
          <t>오디텍</t>
        </is>
      </c>
      <c r="D75" s="24" t="inlineStr">
        <is>
          <t>080520</t>
        </is>
      </c>
      <c r="E75" s="24" t="inlineStr">
        <is>
          <t>KOSDAQ</t>
        </is>
      </c>
      <c r="F75" s="24" t="inlineStr">
        <is>
          <t>IDM/제조/메모리</t>
        </is>
      </c>
      <c r="G75" s="24" t="inlineStr">
        <is>
          <t>IDM/제조/메모리</t>
        </is>
      </c>
      <c r="H75" s="24" t="inlineStr">
        <is>
          <t>False</t>
        </is>
      </c>
      <c r="I75" s="24" t="inlineStr">
        <is>
          <t>True</t>
        </is>
      </c>
      <c r="J75" s="24" t="inlineStr">
        <is>
          <t>OK</t>
        </is>
      </c>
      <c r="K75" s="24" t="inlineStr">
        <is>
          <t>데이터 사용 가능</t>
        </is>
      </c>
      <c r="L75" s="24" t="inlineStr">
        <is>
          <t>LOW</t>
        </is>
      </c>
      <c r="M75" s="24" t="inlineStr">
        <is>
          <t>LOW</t>
        </is>
      </c>
      <c r="N75" s="24" t="inlineStr">
        <is>
          <t>0.6083333333333334</t>
        </is>
      </c>
      <c r="O75" s="24" t="inlineStr">
        <is>
          <t>FAIR</t>
        </is>
      </c>
      <c r="P75" s="24" t="inlineStr">
        <is>
          <t>FAIR</t>
        </is>
      </c>
      <c r="Q75" s="24" t="inlineStr">
        <is>
          <t>FAIR</t>
        </is>
      </c>
      <c r="R75" s="24" t="inlineStr">
        <is>
          <t>0.8328575689014174</t>
        </is>
      </c>
      <c r="S75" s="24" t="inlineStr">
        <is>
          <t>HIGH</t>
        </is>
      </c>
      <c r="T75" s="24" t="inlineStr">
        <is>
          <t>HIGH</t>
        </is>
      </c>
      <c r="U75" s="24" t="inlineStr">
        <is>
          <t>0.4285714285714285</t>
        </is>
      </c>
      <c r="V75" s="24" t="inlineStr">
        <is>
          <t>HIGH_RISK</t>
        </is>
      </c>
      <c r="W75" s="24" t="inlineStr">
        <is>
          <t>고위험</t>
        </is>
      </c>
      <c r="X75" s="24" t="inlineStr">
        <is>
          <t>HIGH_RISK</t>
        </is>
      </c>
      <c r="Y75" s="24" t="inlineStr">
        <is>
          <t>0.5607063964580236</t>
        </is>
      </c>
      <c r="Z75" s="24" t="inlineStr">
        <is>
          <t>MEDIUM</t>
        </is>
      </c>
      <c r="AA75" s="24" t="inlineStr">
        <is>
          <t>MEDIUM</t>
        </is>
      </c>
      <c r="AB75" s="24" t="inlineStr">
        <is>
          <t>0.4397907707686155</t>
        </is>
      </c>
      <c r="AC75" s="24" t="inlineStr">
        <is>
          <t>True</t>
        </is>
      </c>
      <c r="AD75" s="24" t="inlineStr">
        <is>
          <t>True</t>
        </is>
      </c>
      <c r="AE75" s="24" t="inlineStr">
        <is>
          <t>valuation_credit_ml_overlay_candidate.csv</t>
        </is>
      </c>
      <c r="AF75" s="24" t="inlineStr">
        <is>
          <t>208개 반도체 reference universe. Valuation Agent가 자체 intake 폴더로 복제해 Peer/ML/대시보드 비교에 사용.</t>
        </is>
      </c>
    </row>
    <row r="76" ht="24" customHeight="1">
      <c r="A76" s="29" t="inlineStr">
        <is>
          <t>6</t>
        </is>
      </c>
      <c r="B76" s="29" t="inlineStr">
        <is>
          <t>해당 없음</t>
        </is>
      </c>
      <c r="C76" s="29" t="inlineStr">
        <is>
          <t>그린리소스</t>
        </is>
      </c>
      <c r="D76" s="29" t="inlineStr">
        <is>
          <t>402490</t>
        </is>
      </c>
      <c r="E76" s="29" t="inlineStr">
        <is>
          <t>KOSDAQ</t>
        </is>
      </c>
      <c r="F76" s="29" t="inlineStr">
        <is>
          <t>IDM/제조/메모리</t>
        </is>
      </c>
      <c r="G76" s="29" t="inlineStr">
        <is>
          <t>IDM/제조/메모리</t>
        </is>
      </c>
      <c r="H76" s="29" t="inlineStr">
        <is>
          <t>False</t>
        </is>
      </c>
      <c r="I76" s="29" t="inlineStr">
        <is>
          <t>True</t>
        </is>
      </c>
      <c r="J76" s="29" t="inlineStr">
        <is>
          <t>OK_LIMITED_HISTORY_OR_GROWTH_NA</t>
        </is>
      </c>
      <c r="K76" s="29" t="inlineStr">
        <is>
          <t>데이터 사용 가능</t>
        </is>
      </c>
      <c r="L76" s="29" t="inlineStr">
        <is>
          <t>LOW</t>
        </is>
      </c>
      <c r="M76" s="29" t="inlineStr">
        <is>
          <t>LOW</t>
        </is>
      </c>
      <c r="N76" s="29" t="inlineStr">
        <is>
          <t>0.6021666666666667</t>
        </is>
      </c>
      <c r="O76" s="29" t="inlineStr">
        <is>
          <t>FAIR</t>
        </is>
      </c>
      <c r="P76" s="29" t="inlineStr">
        <is>
          <t>FAIR</t>
        </is>
      </c>
      <c r="Q76" s="29" t="inlineStr">
        <is>
          <t>FAIR</t>
        </is>
      </c>
      <c r="R76" s="29" t="inlineStr">
        <is>
          <t>0.7869051998623771</t>
        </is>
      </c>
      <c r="S76" s="29" t="inlineStr">
        <is>
          <t>HIGH</t>
        </is>
      </c>
      <c r="T76" s="29" t="inlineStr">
        <is>
          <t>HIGH</t>
        </is>
      </c>
      <c r="U76" s="29" t="inlineStr">
        <is>
          <t>0.4285714285714285</t>
        </is>
      </c>
      <c r="V76" s="29" t="inlineStr">
        <is>
          <t>HIGH_RISK</t>
        </is>
      </c>
      <c r="W76" s="29" t="inlineStr">
        <is>
          <t>고위험</t>
        </is>
      </c>
      <c r="X76" s="29" t="inlineStr">
        <is>
          <t>HIGH_RISK</t>
        </is>
      </c>
      <c r="Y76" s="29" t="inlineStr">
        <is>
          <t>0.5860253292011965</t>
        </is>
      </c>
      <c r="Z76" s="29" t="inlineStr">
        <is>
          <t>MEDIUM</t>
        </is>
      </c>
      <c r="AA76" s="29" t="inlineStr">
        <is>
          <t>MEDIUM</t>
        </is>
      </c>
      <c r="AB76" s="29" t="inlineStr">
        <is>
          <t>0.04512954873345755</t>
        </is>
      </c>
      <c r="AC76" s="29" t="inlineStr">
        <is>
          <t>False</t>
        </is>
      </c>
      <c r="AD76" s="29" t="inlineStr">
        <is>
          <t>True</t>
        </is>
      </c>
      <c r="AE76" s="29" t="inlineStr">
        <is>
          <t>valuation_credit_ml_overlay_candidate.csv</t>
        </is>
      </c>
      <c r="AF76" s="29" t="inlineStr">
        <is>
          <t>208개 반도체 reference universe. Valuation Agent가 자체 intake 폴더로 복제해 Peer/ML/대시보드 비교에 사용.</t>
        </is>
      </c>
    </row>
    <row r="77" ht="24" customHeight="1">
      <c r="A77" s="24" t="inlineStr">
        <is>
          <t>8</t>
        </is>
      </c>
      <c r="B77" s="24" t="inlineStr">
        <is>
          <t>해당 없음</t>
        </is>
      </c>
      <c r="C77" s="24" t="inlineStr">
        <is>
          <t>루멘스</t>
        </is>
      </c>
      <c r="D77" s="24" t="inlineStr">
        <is>
          <t>038060</t>
        </is>
      </c>
      <c r="E77" s="24" t="inlineStr">
        <is>
          <t>KOSDAQ</t>
        </is>
      </c>
      <c r="F77" s="24" t="inlineStr">
        <is>
          <t>IDM/제조/메모리</t>
        </is>
      </c>
      <c r="G77" s="24" t="inlineStr">
        <is>
          <t>IDM/제조/메모리</t>
        </is>
      </c>
      <c r="H77" s="24" t="inlineStr">
        <is>
          <t>False</t>
        </is>
      </c>
      <c r="I77" s="24" t="inlineStr">
        <is>
          <t>True</t>
        </is>
      </c>
      <c r="J77" s="24" t="inlineStr">
        <is>
          <t>OK</t>
        </is>
      </c>
      <c r="K77" s="24" t="inlineStr">
        <is>
          <t>데이터 사용 가능</t>
        </is>
      </c>
      <c r="L77" s="24" t="inlineStr">
        <is>
          <t>LOW</t>
        </is>
      </c>
      <c r="M77" s="24" t="inlineStr">
        <is>
          <t>LOW</t>
        </is>
      </c>
      <c r="N77" s="24" t="inlineStr">
        <is>
          <t>0.5970000000000001</t>
        </is>
      </c>
      <c r="O77" s="24" t="inlineStr">
        <is>
          <t>FAIR</t>
        </is>
      </c>
      <c r="P77" s="24" t="inlineStr">
        <is>
          <t>FAIR</t>
        </is>
      </c>
      <c r="Q77" s="24" t="inlineStr">
        <is>
          <t>FAIR</t>
        </is>
      </c>
      <c r="R77" s="24" t="inlineStr">
        <is>
          <t>0.8437683700786414</t>
        </is>
      </c>
      <c r="S77" s="24" t="inlineStr">
        <is>
          <t>HIGH</t>
        </is>
      </c>
      <c r="T77" s="24" t="inlineStr">
        <is>
          <t>HIGH</t>
        </is>
      </c>
      <c r="U77" s="24" t="inlineStr">
        <is>
          <t>0.3571428571428571</t>
        </is>
      </c>
      <c r="V77" s="24" t="inlineStr">
        <is>
          <t>MEDIUM_RISK</t>
        </is>
      </c>
      <c r="W77" s="24" t="inlineStr">
        <is>
          <t>중위험</t>
        </is>
      </c>
      <c r="X77" s="24" t="inlineStr">
        <is>
          <t>MEDIUM_RISK</t>
        </is>
      </c>
      <c r="Y77" s="24" t="inlineStr">
        <is>
          <t>0.7365544810444915</t>
        </is>
      </c>
      <c r="Z77" s="24" t="inlineStr">
        <is>
          <t>HIGH</t>
        </is>
      </c>
      <c r="AA77" s="24" t="inlineStr">
        <is>
          <t>HIGH</t>
        </is>
      </c>
      <c r="AB77" s="24" t="inlineStr">
        <is>
          <t>0.0791711120821534</t>
        </is>
      </c>
      <c r="AC77" s="24" t="inlineStr">
        <is>
          <t>False</t>
        </is>
      </c>
      <c r="AD77" s="24" t="inlineStr">
        <is>
          <t>False</t>
        </is>
      </c>
      <c r="AE77" s="24" t="inlineStr">
        <is>
          <t>valuation_credit_ml_overlay_candidate.csv</t>
        </is>
      </c>
      <c r="AF77" s="24" t="inlineStr">
        <is>
          <t>208개 반도체 reference universe. Valuation Agent가 자체 intake 폴더로 복제해 Peer/ML/대시보드 비교에 사용.</t>
        </is>
      </c>
    </row>
    <row r="78" ht="24" customHeight="1">
      <c r="A78" s="29" t="inlineStr">
        <is>
          <t>37</t>
        </is>
      </c>
      <c r="B78" s="29" t="inlineStr">
        <is>
          <t>해당 없음</t>
        </is>
      </c>
      <c r="C78" s="29" t="inlineStr">
        <is>
          <t>피델릭스</t>
        </is>
      </c>
      <c r="D78" s="29" t="inlineStr">
        <is>
          <t>032580</t>
        </is>
      </c>
      <c r="E78" s="29" t="inlineStr">
        <is>
          <t>KOSDAQ</t>
        </is>
      </c>
      <c r="F78" s="29" t="inlineStr">
        <is>
          <t>IDM/제조/메모리</t>
        </is>
      </c>
      <c r="G78" s="29" t="inlineStr">
        <is>
          <t>IDM/제조/메모리</t>
        </is>
      </c>
      <c r="H78" s="29" t="inlineStr">
        <is>
          <t>False</t>
        </is>
      </c>
      <c r="I78" s="29" t="inlineStr">
        <is>
          <t>True</t>
        </is>
      </c>
      <c r="J78" s="29" t="inlineStr">
        <is>
          <t>OK</t>
        </is>
      </c>
      <c r="K78" s="29" t="inlineStr">
        <is>
          <t>데이터 사용 가능</t>
        </is>
      </c>
      <c r="L78" s="29" t="inlineStr">
        <is>
          <t>LOW</t>
        </is>
      </c>
      <c r="M78" s="29" t="inlineStr">
        <is>
          <t>LOW</t>
        </is>
      </c>
      <c r="N78" s="29" t="inlineStr">
        <is>
          <t>0.5873333333333334</t>
        </is>
      </c>
      <c r="O78" s="29" t="inlineStr">
        <is>
          <t>FAIR</t>
        </is>
      </c>
      <c r="P78" s="29" t="inlineStr">
        <is>
          <t>FAIR</t>
        </is>
      </c>
      <c r="Q78" s="29" t="inlineStr">
        <is>
          <t>FAIR</t>
        </is>
      </c>
      <c r="R78" s="29" t="inlineStr">
        <is>
          <t>0.8604826019551013</t>
        </is>
      </c>
      <c r="S78" s="29" t="inlineStr">
        <is>
          <t>HIGH</t>
        </is>
      </c>
      <c r="T78" s="29" t="inlineStr">
        <is>
          <t>HIGH</t>
        </is>
      </c>
      <c r="U78" s="29" t="inlineStr">
        <is>
          <t>0.5</t>
        </is>
      </c>
      <c r="V78" s="29" t="inlineStr">
        <is>
          <t>HIGH_RISK</t>
        </is>
      </c>
      <c r="W78" s="29" t="inlineStr">
        <is>
          <t>고위험</t>
        </is>
      </c>
      <c r="X78" s="29" t="inlineStr">
        <is>
          <t>HIGH_RISK</t>
        </is>
      </c>
      <c r="Y78" s="29" t="inlineStr">
        <is>
          <t>0.9138628953549666</t>
        </is>
      </c>
      <c r="Z78" s="29" t="inlineStr">
        <is>
          <t>HIGH</t>
        </is>
      </c>
      <c r="AA78" s="29" t="inlineStr">
        <is>
          <t>HIGH</t>
        </is>
      </c>
      <c r="AB78" s="29" t="inlineStr">
        <is>
          <t>0.0765288896391056</t>
        </is>
      </c>
      <c r="AC78" s="29" t="inlineStr">
        <is>
          <t>False</t>
        </is>
      </c>
      <c r="AD78" s="29" t="inlineStr">
        <is>
          <t>False</t>
        </is>
      </c>
      <c r="AE78" s="29" t="inlineStr">
        <is>
          <t>valuation_credit_ml_overlay_candidate.csv</t>
        </is>
      </c>
      <c r="AF78" s="29" t="inlineStr">
        <is>
          <t>208개 반도체 reference universe. Valuation Agent가 자체 intake 폴더로 복제해 Peer/ML/대시보드 비교에 사용.</t>
        </is>
      </c>
    </row>
    <row r="79" ht="24" customHeight="1">
      <c r="A79" s="24" t="inlineStr">
        <is>
          <t>21</t>
        </is>
      </c>
      <c r="B79" s="24" t="inlineStr">
        <is>
          <t>해당 없음</t>
        </is>
      </c>
      <c r="C79" s="24" t="inlineStr">
        <is>
          <t>엔시트론</t>
        </is>
      </c>
      <c r="D79" s="24" t="inlineStr">
        <is>
          <t>101400</t>
        </is>
      </c>
      <c r="E79" s="24" t="inlineStr">
        <is>
          <t>KOSDAQ</t>
        </is>
      </c>
      <c r="F79" s="24" t="inlineStr">
        <is>
          <t>IDM/제조/메모리</t>
        </is>
      </c>
      <c r="G79" s="24" t="inlineStr">
        <is>
          <t>IDM/제조/메모리</t>
        </is>
      </c>
      <c r="H79" s="24" t="inlineStr">
        <is>
          <t>False</t>
        </is>
      </c>
      <c r="I79" s="24" t="inlineStr">
        <is>
          <t>True</t>
        </is>
      </c>
      <c r="J79" s="24" t="inlineStr">
        <is>
          <t>OK</t>
        </is>
      </c>
      <c r="K79" s="24" t="inlineStr">
        <is>
          <t>데이터 사용 가능</t>
        </is>
      </c>
      <c r="L79" s="24" t="inlineStr">
        <is>
          <t>LOW</t>
        </is>
      </c>
      <c r="M79" s="24" t="inlineStr">
        <is>
          <t>LOW</t>
        </is>
      </c>
      <c r="N79" s="24" t="inlineStr">
        <is>
          <t>0.5773333333333333</t>
        </is>
      </c>
      <c r="O79" s="24" t="inlineStr">
        <is>
          <t>FAIR</t>
        </is>
      </c>
      <c r="P79" s="24" t="inlineStr">
        <is>
          <t>FAIR</t>
        </is>
      </c>
      <c r="Q79" s="24" t="inlineStr">
        <is>
          <t>FAIR</t>
        </is>
      </c>
      <c r="R79" s="24" t="inlineStr">
        <is>
          <t>0.8173941540342667</t>
        </is>
      </c>
      <c r="S79" s="24" t="inlineStr">
        <is>
          <t>HIGH</t>
        </is>
      </c>
      <c r="T79" s="24" t="inlineStr">
        <is>
          <t>HIGH</t>
        </is>
      </c>
      <c r="U79" s="24" t="inlineStr">
        <is>
          <t>0.3571428571428571</t>
        </is>
      </c>
      <c r="V79" s="24" t="inlineStr">
        <is>
          <t>MEDIUM_RISK</t>
        </is>
      </c>
      <c r="W79" s="24" t="inlineStr">
        <is>
          <t>중위험</t>
        </is>
      </c>
      <c r="X79" s="24" t="inlineStr">
        <is>
          <t>MEDIUM_RISK</t>
        </is>
      </c>
      <c r="Y79" s="24" t="inlineStr">
        <is>
          <t>0.7799614337035685</t>
        </is>
      </c>
      <c r="Z79" s="24" t="inlineStr">
        <is>
          <t>HIGH</t>
        </is>
      </c>
      <c r="AA79" s="24" t="inlineStr">
        <is>
          <t>HIGH</t>
        </is>
      </c>
      <c r="AB79" s="24" t="inlineStr">
        <is>
          <t>0.08202020185637905</t>
        </is>
      </c>
      <c r="AC79" s="24" t="inlineStr">
        <is>
          <t>False</t>
        </is>
      </c>
      <c r="AD79" s="24" t="inlineStr">
        <is>
          <t>False</t>
        </is>
      </c>
      <c r="AE79" s="24" t="inlineStr">
        <is>
          <t>valuation_credit_ml_overlay_candidate.csv</t>
        </is>
      </c>
      <c r="AF79" s="24" t="inlineStr">
        <is>
          <t>208개 반도체 reference universe. Valuation Agent가 자체 intake 폴더로 복제해 Peer/ML/대시보드 비교에 사용.</t>
        </is>
      </c>
    </row>
    <row r="80" ht="24" customHeight="1">
      <c r="A80" s="29" t="inlineStr">
        <is>
          <t>13</t>
        </is>
      </c>
      <c r="B80" s="29" t="inlineStr">
        <is>
          <t>해당 없음</t>
        </is>
      </c>
      <c r="C80" s="29" t="inlineStr">
        <is>
          <t>서울바이오시스</t>
        </is>
      </c>
      <c r="D80" s="29" t="inlineStr">
        <is>
          <t>092190</t>
        </is>
      </c>
      <c r="E80" s="29" t="inlineStr">
        <is>
          <t>KOSDAQ</t>
        </is>
      </c>
      <c r="F80" s="29" t="inlineStr">
        <is>
          <t>IDM/제조/메모리</t>
        </is>
      </c>
      <c r="G80" s="29" t="inlineStr">
        <is>
          <t>IDM/제조/메모리</t>
        </is>
      </c>
      <c r="H80" s="29" t="inlineStr">
        <is>
          <t>False</t>
        </is>
      </c>
      <c r="I80" s="29" t="inlineStr">
        <is>
          <t>True</t>
        </is>
      </c>
      <c r="J80" s="29" t="inlineStr">
        <is>
          <t>OK</t>
        </is>
      </c>
      <c r="K80" s="29" t="inlineStr">
        <is>
          <t>데이터 사용 가능</t>
        </is>
      </c>
      <c r="L80" s="29" t="inlineStr">
        <is>
          <t>LOW</t>
        </is>
      </c>
      <c r="M80" s="29" t="inlineStr">
        <is>
          <t>LOW</t>
        </is>
      </c>
      <c r="N80" s="29" t="inlineStr">
        <is>
          <t>0.5655</t>
        </is>
      </c>
      <c r="O80" s="29" t="inlineStr">
        <is>
          <t>FAIR</t>
        </is>
      </c>
      <c r="P80" s="29" t="inlineStr">
        <is>
          <t>FAIR</t>
        </is>
      </c>
      <c r="Q80" s="29" t="inlineStr">
        <is>
          <t>FAIR</t>
        </is>
      </c>
      <c r="R80" s="29" t="inlineStr">
        <is>
          <t>0.7336783523450653</t>
        </is>
      </c>
      <c r="S80" s="29" t="inlineStr">
        <is>
          <t>HIGH</t>
        </is>
      </c>
      <c r="T80" s="29" t="inlineStr">
        <is>
          <t>HIGH</t>
        </is>
      </c>
      <c r="U80" s="29" t="inlineStr">
        <is>
          <t>0.4285714285714285</t>
        </is>
      </c>
      <c r="V80" s="29" t="inlineStr">
        <is>
          <t>HIGH_RISK</t>
        </is>
      </c>
      <c r="W80" s="29" t="inlineStr">
        <is>
          <t>고위험</t>
        </is>
      </c>
      <c r="X80" s="29" t="inlineStr">
        <is>
          <t>MEDIUM_RISK</t>
        </is>
      </c>
      <c r="Y80" s="29" t="inlineStr">
        <is>
          <t>0.420701328500417</t>
        </is>
      </c>
      <c r="Z80" s="29" t="inlineStr">
        <is>
          <t>LOW</t>
        </is>
      </c>
      <c r="AA80" s="29" t="inlineStr">
        <is>
          <t>LOW</t>
        </is>
      </c>
      <c r="AB80" s="29" t="inlineStr">
        <is>
          <t>0.22867438374329632</t>
        </is>
      </c>
      <c r="AC80" s="29" t="inlineStr">
        <is>
          <t>False</t>
        </is>
      </c>
      <c r="AD80" s="29" t="inlineStr">
        <is>
          <t>True</t>
        </is>
      </c>
      <c r="AE80" s="29" t="inlineStr">
        <is>
          <t>valuation_credit_ml_overlay_candidate.csv</t>
        </is>
      </c>
      <c r="AF80" s="29" t="inlineStr">
        <is>
          <t>208개 반도체 reference universe. Valuation Agent가 자체 intake 폴더로 복제해 Peer/ML/대시보드 비교에 사용.</t>
        </is>
      </c>
    </row>
    <row r="81" ht="24" customHeight="1">
      <c r="A81" s="24" t="inlineStr">
        <is>
          <t>34</t>
        </is>
      </c>
      <c r="B81" s="24" t="inlineStr">
        <is>
          <t>해당 없음</t>
        </is>
      </c>
      <c r="C81" s="24" t="inlineStr">
        <is>
          <t>큐에스아이</t>
        </is>
      </c>
      <c r="D81" s="24" t="inlineStr">
        <is>
          <t>066310</t>
        </is>
      </c>
      <c r="E81" s="24" t="inlineStr">
        <is>
          <t>KOSDAQ</t>
        </is>
      </c>
      <c r="F81" s="24" t="inlineStr">
        <is>
          <t>IDM/제조/메모리</t>
        </is>
      </c>
      <c r="G81" s="24" t="inlineStr">
        <is>
          <t>IDM/제조/메모리</t>
        </is>
      </c>
      <c r="H81" s="24" t="inlineStr">
        <is>
          <t>False</t>
        </is>
      </c>
      <c r="I81" s="24" t="inlineStr">
        <is>
          <t>True</t>
        </is>
      </c>
      <c r="J81" s="24" t="inlineStr">
        <is>
          <t>OK</t>
        </is>
      </c>
      <c r="K81" s="24" t="inlineStr">
        <is>
          <t>데이터 사용 가능</t>
        </is>
      </c>
      <c r="L81" s="24" t="inlineStr">
        <is>
          <t>LOW</t>
        </is>
      </c>
      <c r="M81" s="24" t="inlineStr">
        <is>
          <t>LOW</t>
        </is>
      </c>
      <c r="N81" s="24" t="inlineStr">
        <is>
          <t>0.5423333333333333</t>
        </is>
      </c>
      <c r="O81" s="24" t="inlineStr">
        <is>
          <t>FAIR</t>
        </is>
      </c>
      <c r="P81" s="24" t="inlineStr">
        <is>
          <t>FAIR</t>
        </is>
      </c>
      <c r="Q81" s="24" t="inlineStr">
        <is>
          <t>FAIR</t>
        </is>
      </c>
      <c r="R81" s="24" t="inlineStr">
        <is>
          <t>0.5496283015517583</t>
        </is>
      </c>
      <c r="S81" s="24" t="inlineStr">
        <is>
          <t>MEDIUM</t>
        </is>
      </c>
      <c r="T81" s="24" t="inlineStr">
        <is>
          <t>MEDIUM</t>
        </is>
      </c>
      <c r="U81" s="24" t="inlineStr">
        <is>
          <t>0.0714285714285714</t>
        </is>
      </c>
      <c r="V81" s="24" t="inlineStr">
        <is>
          <t>LOW_RISK</t>
        </is>
      </c>
      <c r="W81" s="24" t="inlineStr">
        <is>
          <t>저위험</t>
        </is>
      </c>
      <c r="X81" s="24" t="inlineStr">
        <is>
          <t>LOW_RISK</t>
        </is>
      </c>
      <c r="Y81" s="24" t="inlineStr">
        <is>
          <t>0.8341403016587674</t>
        </is>
      </c>
      <c r="Z81" s="24" t="inlineStr">
        <is>
          <t>HIGH</t>
        </is>
      </c>
      <c r="AA81" s="24" t="inlineStr">
        <is>
          <t>HIGH</t>
        </is>
      </c>
      <c r="AB81" s="24" t="inlineStr">
        <is>
          <t>0.21446147407494193</t>
        </is>
      </c>
      <c r="AC81" s="24" t="inlineStr">
        <is>
          <t>False</t>
        </is>
      </c>
      <c r="AD81" s="24" t="inlineStr">
        <is>
          <t>False</t>
        </is>
      </c>
      <c r="AE81" s="24" t="inlineStr">
        <is>
          <t>valuation_credit_ml_overlay_candidate.csv</t>
        </is>
      </c>
      <c r="AF81" s="24" t="inlineStr">
        <is>
          <t>208개 반도체 reference universe. Valuation Agent가 자체 intake 폴더로 복제해 Peer/ML/대시보드 비교에 사용.</t>
        </is>
      </c>
    </row>
    <row r="82" ht="24" customHeight="1">
      <c r="A82" s="29" t="inlineStr">
        <is>
          <t>23</t>
        </is>
      </c>
      <c r="B82" s="29" t="inlineStr">
        <is>
          <t>해당 없음</t>
        </is>
      </c>
      <c r="C82" s="29" t="inlineStr">
        <is>
          <t>엘오티베큠</t>
        </is>
      </c>
      <c r="D82" s="29" t="inlineStr">
        <is>
          <t>083310</t>
        </is>
      </c>
      <c r="E82" s="29" t="inlineStr">
        <is>
          <t>KOSDAQ</t>
        </is>
      </c>
      <c r="F82" s="29" t="inlineStr">
        <is>
          <t>IDM/제조/메모리</t>
        </is>
      </c>
      <c r="G82" s="29" t="inlineStr">
        <is>
          <t>IDM/제조/메모리</t>
        </is>
      </c>
      <c r="H82" s="29" t="inlineStr">
        <is>
          <t>False</t>
        </is>
      </c>
      <c r="I82" s="29" t="inlineStr">
        <is>
          <t>True</t>
        </is>
      </c>
      <c r="J82" s="29" t="inlineStr">
        <is>
          <t>OK</t>
        </is>
      </c>
      <c r="K82" s="29" t="inlineStr">
        <is>
          <t>데이터 사용 가능</t>
        </is>
      </c>
      <c r="L82" s="29" t="inlineStr">
        <is>
          <t>LOW</t>
        </is>
      </c>
      <c r="M82" s="29" t="inlineStr">
        <is>
          <t>LOW</t>
        </is>
      </c>
      <c r="N82" s="29" t="inlineStr">
        <is>
          <t>0.538</t>
        </is>
      </c>
      <c r="O82" s="29" t="inlineStr">
        <is>
          <t>FAIR</t>
        </is>
      </c>
      <c r="P82" s="29" t="inlineStr">
        <is>
          <t>FAIR</t>
        </is>
      </c>
      <c r="Q82" s="29" t="inlineStr">
        <is>
          <t>FAIR</t>
        </is>
      </c>
      <c r="R82" s="29" t="inlineStr">
        <is>
          <t>0.860578291373445</t>
        </is>
      </c>
      <c r="S82" s="29" t="inlineStr">
        <is>
          <t>HIGH</t>
        </is>
      </c>
      <c r="T82" s="29" t="inlineStr">
        <is>
          <t>HIGH</t>
        </is>
      </c>
      <c r="U82" s="29" t="inlineStr">
        <is>
          <t>0.2142857142857142</t>
        </is>
      </c>
      <c r="V82" s="29" t="inlineStr">
        <is>
          <t>MEDIUM_RISK</t>
        </is>
      </c>
      <c r="W82" s="29" t="inlineStr">
        <is>
          <t>중위험</t>
        </is>
      </c>
      <c r="X82" s="29" t="inlineStr">
        <is>
          <t>MEDIUM_RISK</t>
        </is>
      </c>
      <c r="Y82" s="29" t="inlineStr">
        <is>
          <t>0.8356274138697954</t>
        </is>
      </c>
      <c r="Z82" s="29" t="inlineStr">
        <is>
          <t>HIGH</t>
        </is>
      </c>
      <c r="AA82" s="29" t="inlineStr">
        <is>
          <t>HIGH</t>
        </is>
      </c>
      <c r="AB82" s="29" t="inlineStr">
        <is>
          <t>0.04088276425948358</t>
        </is>
      </c>
      <c r="AC82" s="29" t="inlineStr">
        <is>
          <t>False</t>
        </is>
      </c>
      <c r="AD82" s="29" t="inlineStr">
        <is>
          <t>False</t>
        </is>
      </c>
      <c r="AE82" s="29" t="inlineStr">
        <is>
          <t>valuation_credit_ml_overlay_candidate.csv</t>
        </is>
      </c>
      <c r="AF82" s="29" t="inlineStr">
        <is>
          <t>208개 반도체 reference universe. Valuation Agent가 자체 intake 폴더로 복제해 Peer/ML/대시보드 비교에 사용.</t>
        </is>
      </c>
    </row>
    <row r="83" ht="24" customHeight="1">
      <c r="A83" s="24" t="inlineStr">
        <is>
          <t>11</t>
        </is>
      </c>
      <c r="B83" s="24" t="inlineStr">
        <is>
          <t>해당 없음</t>
        </is>
      </c>
      <c r="C83" s="24" t="inlineStr">
        <is>
          <t>비씨엔씨</t>
        </is>
      </c>
      <c r="D83" s="24" t="inlineStr">
        <is>
          <t>146320</t>
        </is>
      </c>
      <c r="E83" s="24" t="inlineStr">
        <is>
          <t>KOSDAQ</t>
        </is>
      </c>
      <c r="F83" s="24" t="inlineStr">
        <is>
          <t>IDM/제조/메모리</t>
        </is>
      </c>
      <c r="G83" s="24" t="inlineStr">
        <is>
          <t>IDM/제조/메모리</t>
        </is>
      </c>
      <c r="H83" s="24" t="inlineStr">
        <is>
          <t>False</t>
        </is>
      </c>
      <c r="I83" s="24" t="inlineStr">
        <is>
          <t>True</t>
        </is>
      </c>
      <c r="J83" s="24" t="inlineStr">
        <is>
          <t>KEY_ACCOUNT_PARTIAL_MISSING</t>
        </is>
      </c>
      <c r="K83" s="24" t="inlineStr">
        <is>
          <t>데이터 사용 가능</t>
        </is>
      </c>
      <c r="L83" s="24" t="inlineStr">
        <is>
          <t>MEDIUM</t>
        </is>
      </c>
      <c r="M83" s="24" t="inlineStr">
        <is>
          <t>MEDIUM</t>
        </is>
      </c>
      <c r="N83" s="24" t="inlineStr">
        <is>
          <t>0.5365833333333333</t>
        </is>
      </c>
      <c r="O83" s="24" t="inlineStr">
        <is>
          <t>FAIR</t>
        </is>
      </c>
      <c r="P83" s="24" t="inlineStr">
        <is>
          <t>FAIR</t>
        </is>
      </c>
      <c r="Q83" s="24" t="inlineStr">
        <is>
          <t>FAIR</t>
        </is>
      </c>
      <c r="R83" s="24" t="inlineStr">
        <is>
          <t>0.7033805368548921</t>
        </is>
      </c>
      <c r="S83" s="24" t="inlineStr">
        <is>
          <t>HIGH</t>
        </is>
      </c>
      <c r="T83" s="24" t="inlineStr">
        <is>
          <t>HIGH</t>
        </is>
      </c>
      <c r="U83" s="24" t="inlineStr">
        <is>
          <t>0.2857142857142857</t>
        </is>
      </c>
      <c r="V83" s="24" t="inlineStr">
        <is>
          <t>MEDIUM_RISK</t>
        </is>
      </c>
      <c r="W83" s="24" t="inlineStr">
        <is>
          <t>중위험</t>
        </is>
      </c>
      <c r="X83" s="24" t="inlineStr">
        <is>
          <t>MEDIUM_RISK</t>
        </is>
      </c>
      <c r="Y83" s="24" t="inlineStr">
        <is>
          <t>0.7333342608471988</t>
        </is>
      </c>
      <c r="Z83" s="24" t="inlineStr">
        <is>
          <t>HIGH</t>
        </is>
      </c>
      <c r="AA83" s="24" t="inlineStr">
        <is>
          <t>HIGH</t>
        </is>
      </c>
      <c r="AB83" s="24" t="inlineStr">
        <is>
          <t>0.031762409510830696</t>
        </is>
      </c>
      <c r="AC83" s="24" t="inlineStr">
        <is>
          <t>False</t>
        </is>
      </c>
      <c r="AD83" s="24" t="inlineStr">
        <is>
          <t>True</t>
        </is>
      </c>
      <c r="AE83" s="24" t="inlineStr">
        <is>
          <t>valuation_credit_ml_overlay_candidate.csv</t>
        </is>
      </c>
      <c r="AF83" s="24" t="inlineStr">
        <is>
          <t>208개 반도체 reference universe. Valuation Agent가 자체 intake 폴더로 복제해 Peer/ML/대시보드 비교에 사용.</t>
        </is>
      </c>
    </row>
    <row r="84" ht="24" customHeight="1">
      <c r="A84" s="29" t="inlineStr">
        <is>
          <t>36</t>
        </is>
      </c>
      <c r="B84" s="29" t="inlineStr">
        <is>
          <t>해당 없음</t>
        </is>
      </c>
      <c r="C84" s="29" t="inlineStr">
        <is>
          <t>티엘비</t>
        </is>
      </c>
      <c r="D84" s="29" t="inlineStr">
        <is>
          <t>356860</t>
        </is>
      </c>
      <c r="E84" s="29" t="inlineStr">
        <is>
          <t>KOSDAQ</t>
        </is>
      </c>
      <c r="F84" s="29" t="inlineStr">
        <is>
          <t>IDM/제조/메모리</t>
        </is>
      </c>
      <c r="G84" s="29" t="inlineStr">
        <is>
          <t>IDM/제조/메모리</t>
        </is>
      </c>
      <c r="H84" s="29" t="inlineStr">
        <is>
          <t>False</t>
        </is>
      </c>
      <c r="I84" s="29" t="inlineStr">
        <is>
          <t>True</t>
        </is>
      </c>
      <c r="J84" s="29" t="inlineStr">
        <is>
          <t>OK</t>
        </is>
      </c>
      <c r="K84" s="29" t="inlineStr">
        <is>
          <t>데이터 사용 가능</t>
        </is>
      </c>
      <c r="L84" s="29" t="inlineStr">
        <is>
          <t>LOW</t>
        </is>
      </c>
      <c r="M84" s="29" t="inlineStr">
        <is>
          <t>LOW</t>
        </is>
      </c>
      <c r="N84" s="29" t="inlineStr">
        <is>
          <t>0.5361666666666667</t>
        </is>
      </c>
      <c r="O84" s="29" t="inlineStr">
        <is>
          <t>FAIR</t>
        </is>
      </c>
      <c r="P84" s="29" t="inlineStr">
        <is>
          <t>FAIR</t>
        </is>
      </c>
      <c r="Q84" s="29" t="inlineStr">
        <is>
          <t>FAIR</t>
        </is>
      </c>
      <c r="R84" s="29" t="inlineStr">
        <is>
          <t>0.8509295904965918</t>
        </is>
      </c>
      <c r="S84" s="29" t="inlineStr">
        <is>
          <t>HIGH</t>
        </is>
      </c>
      <c r="T84" s="29" t="inlineStr">
        <is>
          <t>HIGH</t>
        </is>
      </c>
      <c r="U84" s="29" t="inlineStr">
        <is>
          <t>0.0714285714285714</t>
        </is>
      </c>
      <c r="V84" s="29" t="inlineStr">
        <is>
          <t>LOW_RISK</t>
        </is>
      </c>
      <c r="W84" s="29" t="inlineStr">
        <is>
          <t>저위험</t>
        </is>
      </c>
      <c r="X84" s="29" t="inlineStr">
        <is>
          <t>LOW_RISK</t>
        </is>
      </c>
      <c r="Y84" s="29" t="inlineStr">
        <is>
          <t>0.6625834729097503</t>
        </is>
      </c>
      <c r="Z84" s="29" t="inlineStr">
        <is>
          <t>MEDIUM</t>
        </is>
      </c>
      <c r="AA84" s="29" t="inlineStr">
        <is>
          <t>MEDIUM</t>
        </is>
      </c>
      <c r="AB84" s="29" t="inlineStr">
        <is>
          <t>0.01843936297746685</t>
        </is>
      </c>
      <c r="AC84" s="29" t="inlineStr">
        <is>
          <t>False</t>
        </is>
      </c>
      <c r="AD84" s="29" t="inlineStr">
        <is>
          <t>False</t>
        </is>
      </c>
      <c r="AE84" s="29" t="inlineStr">
        <is>
          <t>valuation_credit_ml_overlay_candidate.csv</t>
        </is>
      </c>
      <c r="AF84" s="29" t="inlineStr">
        <is>
          <t>208개 반도체 reference universe. Valuation Agent가 자체 intake 폴더로 복제해 Peer/ML/대시보드 비교에 사용.</t>
        </is>
      </c>
    </row>
    <row r="85" ht="24" customHeight="1">
      <c r="A85" s="24" t="inlineStr">
        <is>
          <t>38</t>
        </is>
      </c>
      <c r="B85" s="24" t="inlineStr">
        <is>
          <t>해당 없음</t>
        </is>
      </c>
      <c r="C85" s="24" t="inlineStr">
        <is>
          <t>하나머티리얼즈</t>
        </is>
      </c>
      <c r="D85" s="24" t="inlineStr">
        <is>
          <t>166090</t>
        </is>
      </c>
      <c r="E85" s="24" t="inlineStr">
        <is>
          <t>KOSDAQ GLOBAL</t>
        </is>
      </c>
      <c r="F85" s="24" t="inlineStr">
        <is>
          <t>IDM/제조/메모리</t>
        </is>
      </c>
      <c r="G85" s="24" t="inlineStr">
        <is>
          <t>IDM/제조/메모리</t>
        </is>
      </c>
      <c r="H85" s="24" t="inlineStr">
        <is>
          <t>False</t>
        </is>
      </c>
      <c r="I85" s="24" t="inlineStr">
        <is>
          <t>True</t>
        </is>
      </c>
      <c r="J85" s="24" t="inlineStr">
        <is>
          <t>OK</t>
        </is>
      </c>
      <c r="K85" s="24" t="inlineStr">
        <is>
          <t>데이터 사용 가능</t>
        </is>
      </c>
      <c r="L85" s="24" t="inlineStr">
        <is>
          <t>LOW</t>
        </is>
      </c>
      <c r="M85" s="24" t="inlineStr">
        <is>
          <t>LOW</t>
        </is>
      </c>
      <c r="N85" s="24" t="inlineStr">
        <is>
          <t>0.5321666666666667</t>
        </is>
      </c>
      <c r="O85" s="24" t="inlineStr">
        <is>
          <t>FAIR</t>
        </is>
      </c>
      <c r="P85" s="24" t="inlineStr">
        <is>
          <t>FAIR</t>
        </is>
      </c>
      <c r="Q85" s="24" t="inlineStr">
        <is>
          <t>ATTRACTIVE</t>
        </is>
      </c>
      <c r="R85" s="24" t="inlineStr">
        <is>
          <t>0.6425667923365267</t>
        </is>
      </c>
      <c r="S85" s="24" t="inlineStr">
        <is>
          <t>MEDIUM</t>
        </is>
      </c>
      <c r="T85" s="24" t="inlineStr">
        <is>
          <t>MEDIUM</t>
        </is>
      </c>
      <c r="U85" s="24" t="inlineStr">
        <is>
          <t>0.0</t>
        </is>
      </c>
      <c r="V85" s="24" t="inlineStr">
        <is>
          <t>LOW_RISK</t>
        </is>
      </c>
      <c r="W85" s="24" t="inlineStr">
        <is>
          <t>저위험</t>
        </is>
      </c>
      <c r="X85" s="24" t="inlineStr">
        <is>
          <t>LOW_RISK</t>
        </is>
      </c>
      <c r="Y85" s="24" t="inlineStr">
        <is>
          <t>0.9093779024453453</t>
        </is>
      </c>
      <c r="Z85" s="24" t="inlineStr">
        <is>
          <t>HIGH</t>
        </is>
      </c>
      <c r="AA85" s="24" t="inlineStr">
        <is>
          <t>HIGH</t>
        </is>
      </c>
      <c r="AB85" s="24" t="inlineStr">
        <is>
          <t>0.030620686282363033</t>
        </is>
      </c>
      <c r="AC85" s="24" t="inlineStr">
        <is>
          <t>False</t>
        </is>
      </c>
      <c r="AD85" s="24" t="inlineStr">
        <is>
          <t>False</t>
        </is>
      </c>
      <c r="AE85" s="24" t="inlineStr">
        <is>
          <t>valuation_credit_ml_overlay_candidate.csv</t>
        </is>
      </c>
      <c r="AF85" s="24" t="inlineStr">
        <is>
          <t>208개 반도체 reference universe. Valuation Agent가 자체 intake 폴더로 복제해 Peer/ML/대시보드 비교에 사용.</t>
        </is>
      </c>
    </row>
    <row r="86" ht="24" customHeight="1">
      <c r="A86" s="29" t="inlineStr">
        <is>
          <t>26</t>
        </is>
      </c>
      <c r="B86" s="29" t="inlineStr">
        <is>
          <t>해당 없음</t>
        </is>
      </c>
      <c r="C86" s="29" t="inlineStr">
        <is>
          <t>웰킵스하이텍</t>
        </is>
      </c>
      <c r="D86" s="29" t="inlineStr">
        <is>
          <t>043590</t>
        </is>
      </c>
      <c r="E86" s="29" t="inlineStr">
        <is>
          <t>KOSDAQ</t>
        </is>
      </c>
      <c r="F86" s="29" t="inlineStr">
        <is>
          <t>IDM/제조/메모리</t>
        </is>
      </c>
      <c r="G86" s="29" t="inlineStr">
        <is>
          <t>IDM/제조/메모리</t>
        </is>
      </c>
      <c r="H86" s="29" t="inlineStr">
        <is>
          <t>False</t>
        </is>
      </c>
      <c r="I86" s="29" t="inlineStr">
        <is>
          <t>True</t>
        </is>
      </c>
      <c r="J86" s="29" t="inlineStr">
        <is>
          <t>OK</t>
        </is>
      </c>
      <c r="K86" s="29" t="inlineStr">
        <is>
          <t>데이터 사용 가능</t>
        </is>
      </c>
      <c r="L86" s="29" t="inlineStr">
        <is>
          <t>LOW</t>
        </is>
      </c>
      <c r="M86" s="29" t="inlineStr">
        <is>
          <t>LOW</t>
        </is>
      </c>
      <c r="N86" s="29" t="inlineStr">
        <is>
          <t>0.5086666666666667</t>
        </is>
      </c>
      <c r="O86" s="29" t="inlineStr">
        <is>
          <t>FAIR</t>
        </is>
      </c>
      <c r="P86" s="29" t="inlineStr">
        <is>
          <t>FAIR</t>
        </is>
      </c>
      <c r="Q86" s="29" t="inlineStr">
        <is>
          <t>FAIR</t>
        </is>
      </c>
      <c r="R86" s="29" t="inlineStr">
        <is>
          <t>0.7753200487478359</t>
        </is>
      </c>
      <c r="S86" s="29" t="inlineStr">
        <is>
          <t>HIGH</t>
        </is>
      </c>
      <c r="T86" s="29" t="inlineStr">
        <is>
          <t>HIGH</t>
        </is>
      </c>
      <c r="U86" s="29" t="inlineStr">
        <is>
          <t>0.7142857142857143</t>
        </is>
      </c>
      <c r="V86" s="29" t="inlineStr">
        <is>
          <t>HIGH_RISK</t>
        </is>
      </c>
      <c r="W86" s="29" t="inlineStr">
        <is>
          <t>고위험</t>
        </is>
      </c>
      <c r="X86" s="29" t="inlineStr">
        <is>
          <t>HIGH_RISK</t>
        </is>
      </c>
      <c r="Y86" s="29" t="inlineStr">
        <is>
          <t>0.947839296487721</t>
        </is>
      </c>
      <c r="Z86" s="29" t="inlineStr">
        <is>
          <t>HIGH</t>
        </is>
      </c>
      <c r="AA86" s="29" t="inlineStr">
        <is>
          <t>HIGH</t>
        </is>
      </c>
      <c r="AB86" s="29" t="inlineStr">
        <is>
          <t>0.081041930024575</t>
        </is>
      </c>
      <c r="AC86" s="29" t="inlineStr">
        <is>
          <t>False</t>
        </is>
      </c>
      <c r="AD86" s="29" t="inlineStr">
        <is>
          <t>False</t>
        </is>
      </c>
      <c r="AE86" s="29" t="inlineStr">
        <is>
          <t>valuation_credit_ml_overlay_candidate.csv</t>
        </is>
      </c>
      <c r="AF86" s="29" t="inlineStr">
        <is>
          <t>208개 반도체 reference universe. Valuation Agent가 자체 intake 폴더로 복제해 Peer/ML/대시보드 비교에 사용.</t>
        </is>
      </c>
    </row>
    <row r="87" ht="24" customHeight="1">
      <c r="A87" s="24" t="inlineStr">
        <is>
          <t>35</t>
        </is>
      </c>
      <c r="B87" s="24" t="inlineStr">
        <is>
          <t>해당 없음</t>
        </is>
      </c>
      <c r="C87" s="24" t="inlineStr">
        <is>
          <t>테크엘</t>
        </is>
      </c>
      <c r="D87" s="24" t="inlineStr">
        <is>
          <t>064520</t>
        </is>
      </c>
      <c r="E87" s="24" t="inlineStr">
        <is>
          <t>KOSDAQ</t>
        </is>
      </c>
      <c r="F87" s="24" t="inlineStr">
        <is>
          <t>IDM/제조/메모리</t>
        </is>
      </c>
      <c r="G87" s="24" t="inlineStr">
        <is>
          <t>IDM/제조/메모리</t>
        </is>
      </c>
      <c r="H87" s="24" t="inlineStr">
        <is>
          <t>False</t>
        </is>
      </c>
      <c r="I87" s="24" t="inlineStr">
        <is>
          <t>True</t>
        </is>
      </c>
      <c r="J87" s="24" t="inlineStr">
        <is>
          <t>OK</t>
        </is>
      </c>
      <c r="K87" s="24" t="inlineStr">
        <is>
          <t>데이터 사용 가능</t>
        </is>
      </c>
      <c r="L87" s="24" t="inlineStr">
        <is>
          <t>LOW</t>
        </is>
      </c>
      <c r="M87" s="24" t="inlineStr">
        <is>
          <t>LOW</t>
        </is>
      </c>
      <c r="N87" s="24" t="inlineStr">
        <is>
          <t>0.4756666666666667</t>
        </is>
      </c>
      <c r="O87" s="24" t="inlineStr">
        <is>
          <t>FAIR</t>
        </is>
      </c>
      <c r="P87" s="24" t="inlineStr">
        <is>
          <t>FAIR</t>
        </is>
      </c>
      <c r="Q87" s="24" t="inlineStr">
        <is>
          <t>FAIR</t>
        </is>
      </c>
      <c r="R87" s="24" t="inlineStr">
        <is>
          <t>0.7806095936743286</t>
        </is>
      </c>
      <c r="S87" s="24" t="inlineStr">
        <is>
          <t>HIGH</t>
        </is>
      </c>
      <c r="T87" s="24" t="inlineStr">
        <is>
          <t>HIGH</t>
        </is>
      </c>
      <c r="U87" s="24" t="inlineStr">
        <is>
          <t>0.5</t>
        </is>
      </c>
      <c r="V87" s="24" t="inlineStr">
        <is>
          <t>HIGH_RISK</t>
        </is>
      </c>
      <c r="W87" s="24" t="inlineStr">
        <is>
          <t>고위험</t>
        </is>
      </c>
      <c r="X87" s="24" t="inlineStr">
        <is>
          <t>HIGH_RISK</t>
        </is>
      </c>
      <c r="Y87" s="24" t="inlineStr">
        <is>
          <t>0.8561648968032103</t>
        </is>
      </c>
      <c r="Z87" s="24" t="inlineStr">
        <is>
          <t>HIGH</t>
        </is>
      </c>
      <c r="AA87" s="24" t="inlineStr">
        <is>
          <t>HIGH</t>
        </is>
      </c>
      <c r="AB87" s="24" t="inlineStr">
        <is>
          <t>0.5330742789427354</t>
        </is>
      </c>
      <c r="AC87" s="24" t="inlineStr">
        <is>
          <t>True</t>
        </is>
      </c>
      <c r="AD87" s="24" t="inlineStr">
        <is>
          <t>True</t>
        </is>
      </c>
      <c r="AE87" s="24" t="inlineStr">
        <is>
          <t>valuation_credit_ml_overlay_candidate.csv</t>
        </is>
      </c>
      <c r="AF87" s="24" t="inlineStr">
        <is>
          <t>208개 반도체 reference universe. Valuation Agent가 자체 intake 폴더로 복제해 Peer/ML/대시보드 비교에 사용.</t>
        </is>
      </c>
    </row>
    <row r="88" ht="24" customHeight="1">
      <c r="A88" s="29" t="inlineStr">
        <is>
          <t>14</t>
        </is>
      </c>
      <c r="B88" s="29" t="inlineStr">
        <is>
          <t>해당 없음</t>
        </is>
      </c>
      <c r="C88" s="29" t="inlineStr">
        <is>
          <t>서울반도체</t>
        </is>
      </c>
      <c r="D88" s="29" t="inlineStr">
        <is>
          <t>046890</t>
        </is>
      </c>
      <c r="E88" s="29" t="inlineStr">
        <is>
          <t>KOSDAQ GLOBAL</t>
        </is>
      </c>
      <c r="F88" s="29" t="inlineStr">
        <is>
          <t>IDM/제조/메모리</t>
        </is>
      </c>
      <c r="G88" s="29" t="inlineStr">
        <is>
          <t>IDM/제조/메모리</t>
        </is>
      </c>
      <c r="H88" s="29" t="inlineStr">
        <is>
          <t>False</t>
        </is>
      </c>
      <c r="I88" s="29" t="inlineStr">
        <is>
          <t>True</t>
        </is>
      </c>
      <c r="J88" s="29" t="inlineStr">
        <is>
          <t>OK</t>
        </is>
      </c>
      <c r="K88" s="29" t="inlineStr">
        <is>
          <t>데이터 사용 가능</t>
        </is>
      </c>
      <c r="L88" s="29" t="inlineStr">
        <is>
          <t>LOW</t>
        </is>
      </c>
      <c r="M88" s="29" t="inlineStr">
        <is>
          <t>LOW</t>
        </is>
      </c>
      <c r="N88" s="29" t="inlineStr">
        <is>
          <t>0.4713333333333333</t>
        </is>
      </c>
      <c r="O88" s="29" t="inlineStr">
        <is>
          <t>FAIR</t>
        </is>
      </c>
      <c r="P88" s="29" t="inlineStr">
        <is>
          <t>FAIR</t>
        </is>
      </c>
      <c r="Q88" s="29" t="inlineStr">
        <is>
          <t>FAIR</t>
        </is>
      </c>
      <c r="R88" s="29" t="inlineStr">
        <is>
          <t>0.8223266790603506</t>
        </is>
      </c>
      <c r="S88" s="29" t="inlineStr">
        <is>
          <t>HIGH</t>
        </is>
      </c>
      <c r="T88" s="29" t="inlineStr">
        <is>
          <t>HIGH</t>
        </is>
      </c>
      <c r="U88" s="29" t="inlineStr">
        <is>
          <t>0.4285714285714285</t>
        </is>
      </c>
      <c r="V88" s="29" t="inlineStr">
        <is>
          <t>HIGH_RISK</t>
        </is>
      </c>
      <c r="W88" s="29" t="inlineStr">
        <is>
          <t>고위험</t>
        </is>
      </c>
      <c r="X88" s="29" t="inlineStr">
        <is>
          <t>HIGH_RISK</t>
        </is>
      </c>
      <c r="Y88" s="29" t="inlineStr">
        <is>
          <t>0.4638497062404094</t>
        </is>
      </c>
      <c r="Z88" s="29" t="inlineStr">
        <is>
          <t>LOW</t>
        </is>
      </c>
      <c r="AA88" s="29" t="inlineStr">
        <is>
          <t>LOW</t>
        </is>
      </c>
      <c r="AB88" s="29" t="inlineStr">
        <is>
          <t>0.03475805140959721</t>
        </is>
      </c>
      <c r="AC88" s="29" t="inlineStr">
        <is>
          <t>False</t>
        </is>
      </c>
      <c r="AD88" s="29" t="inlineStr">
        <is>
          <t>True</t>
        </is>
      </c>
      <c r="AE88" s="29" t="inlineStr">
        <is>
          <t>valuation_credit_ml_overlay_candidate.csv</t>
        </is>
      </c>
      <c r="AF88" s="29" t="inlineStr">
        <is>
          <t>208개 반도체 reference universe. Valuation Agent가 자체 intake 폴더로 복제해 Peer/ML/대시보드 비교에 사용.</t>
        </is>
      </c>
    </row>
    <row r="89" ht="24" customHeight="1">
      <c r="A89" s="24" t="inlineStr">
        <is>
          <t>2</t>
        </is>
      </c>
      <c r="B89" s="24" t="inlineStr">
        <is>
          <t>해당 없음</t>
        </is>
      </c>
      <c r="C89" s="24" t="inlineStr">
        <is>
          <t>HD현대에너지솔루션</t>
        </is>
      </c>
      <c r="D89" s="24" t="inlineStr">
        <is>
          <t>322000</t>
        </is>
      </c>
      <c r="E89" s="24" t="inlineStr">
        <is>
          <t>KOSPI</t>
        </is>
      </c>
      <c r="F89" s="24" t="inlineStr">
        <is>
          <t>IDM/제조/메모리</t>
        </is>
      </c>
      <c r="G89" s="24" t="inlineStr">
        <is>
          <t>IDM/제조/메모리</t>
        </is>
      </c>
      <c r="H89" s="24" t="inlineStr">
        <is>
          <t>False</t>
        </is>
      </c>
      <c r="I89" s="24" t="inlineStr">
        <is>
          <t>True</t>
        </is>
      </c>
      <c r="J89" s="24" t="inlineStr">
        <is>
          <t>OK</t>
        </is>
      </c>
      <c r="K89" s="24" t="inlineStr">
        <is>
          <t>데이터 사용 가능</t>
        </is>
      </c>
      <c r="L89" s="24" t="inlineStr">
        <is>
          <t>LOW</t>
        </is>
      </c>
      <c r="M89" s="24" t="inlineStr">
        <is>
          <t>LOW</t>
        </is>
      </c>
      <c r="N89" s="24" t="inlineStr">
        <is>
          <t>0.465</t>
        </is>
      </c>
      <c r="O89" s="24" t="inlineStr">
        <is>
          <t>FAIR</t>
        </is>
      </c>
      <c r="P89" s="24" t="inlineStr">
        <is>
          <t>FAIR</t>
        </is>
      </c>
      <c r="Q89" s="24" t="inlineStr">
        <is>
          <t>FAIR</t>
        </is>
      </c>
      <c r="R89" s="24" t="inlineStr">
        <is>
          <t>0.6226975287022534</t>
        </is>
      </c>
      <c r="S89" s="24" t="inlineStr">
        <is>
          <t>MEDIUM</t>
        </is>
      </c>
      <c r="T89" s="24" t="inlineStr">
        <is>
          <t>MEDIUM</t>
        </is>
      </c>
      <c r="U89" s="24" t="inlineStr">
        <is>
          <t>0.1428571428571428</t>
        </is>
      </c>
      <c r="V89" s="24" t="inlineStr">
        <is>
          <t>LOW_RISK</t>
        </is>
      </c>
      <c r="W89" s="24" t="inlineStr">
        <is>
          <t>저위험</t>
        </is>
      </c>
      <c r="X89" s="24" t="inlineStr">
        <is>
          <t>LOW_RISK</t>
        </is>
      </c>
      <c r="Y89" s="24" t="inlineStr">
        <is>
          <t>0.7991918320073205</t>
        </is>
      </c>
      <c r="Z89" s="24" t="inlineStr">
        <is>
          <t>HIGH</t>
        </is>
      </c>
      <c r="AA89" s="24" t="inlineStr">
        <is>
          <t>HIGH</t>
        </is>
      </c>
      <c r="AB89" s="24" t="inlineStr">
        <is>
          <t>0.09437249653360377</t>
        </is>
      </c>
      <c r="AC89" s="24" t="inlineStr">
        <is>
          <t>False</t>
        </is>
      </c>
      <c r="AD89" s="24" t="inlineStr">
        <is>
          <t>False</t>
        </is>
      </c>
      <c r="AE89" s="24" t="inlineStr">
        <is>
          <t>valuation_credit_ml_overlay_candidate.csv</t>
        </is>
      </c>
      <c r="AF89" s="24" t="inlineStr">
        <is>
          <t>208개 반도체 reference universe. Valuation Agent가 자체 intake 폴더로 복제해 Peer/ML/대시보드 비교에 사용.</t>
        </is>
      </c>
    </row>
    <row r="90" ht="24" customHeight="1">
      <c r="A90" s="29" t="inlineStr">
        <is>
          <t>25</t>
        </is>
      </c>
      <c r="B90" s="29" t="inlineStr">
        <is>
          <t>해당 없음</t>
        </is>
      </c>
      <c r="C90" s="29" t="inlineStr">
        <is>
          <t>와이투솔루션</t>
        </is>
      </c>
      <c r="D90" s="29" t="inlineStr">
        <is>
          <t>011690</t>
        </is>
      </c>
      <c r="E90" s="29" t="inlineStr">
        <is>
          <t>KOSPI</t>
        </is>
      </c>
      <c r="F90" s="29" t="inlineStr">
        <is>
          <t>IDM/제조/메모리</t>
        </is>
      </c>
      <c r="G90" s="29" t="inlineStr">
        <is>
          <t>IDM/제조/메모리</t>
        </is>
      </c>
      <c r="H90" s="29" t="inlineStr">
        <is>
          <t>False</t>
        </is>
      </c>
      <c r="I90" s="29" t="inlineStr">
        <is>
          <t>True</t>
        </is>
      </c>
      <c r="J90" s="29" t="inlineStr">
        <is>
          <t>OK</t>
        </is>
      </c>
      <c r="K90" s="29" t="inlineStr">
        <is>
          <t>데이터 사용 가능</t>
        </is>
      </c>
      <c r="L90" s="29" t="inlineStr">
        <is>
          <t>LOW</t>
        </is>
      </c>
      <c r="M90" s="29" t="inlineStr">
        <is>
          <t>LOW</t>
        </is>
      </c>
      <c r="N90" s="29" t="inlineStr">
        <is>
          <t>0.4601666666666666</t>
        </is>
      </c>
      <c r="O90" s="29" t="inlineStr">
        <is>
          <t>FAIR</t>
        </is>
      </c>
      <c r="P90" s="29" t="inlineStr">
        <is>
          <t>FAIR</t>
        </is>
      </c>
      <c r="Q90" s="29" t="inlineStr">
        <is>
          <t>FAIR</t>
        </is>
      </c>
      <c r="R90" s="29" t="inlineStr">
        <is>
          <t>0.7379153959384467</t>
        </is>
      </c>
      <c r="S90" s="29" t="inlineStr">
        <is>
          <t>HIGH</t>
        </is>
      </c>
      <c r="T90" s="29" t="inlineStr">
        <is>
          <t>HIGH</t>
        </is>
      </c>
      <c r="U90" s="29" t="inlineStr">
        <is>
          <t>0.5714285714285714</t>
        </is>
      </c>
      <c r="V90" s="29" t="inlineStr">
        <is>
          <t>HIGH_RISK</t>
        </is>
      </c>
      <c r="W90" s="29" t="inlineStr">
        <is>
          <t>고위험</t>
        </is>
      </c>
      <c r="X90" s="29" t="inlineStr">
        <is>
          <t>HIGH_RISK</t>
        </is>
      </c>
      <c r="Y90" s="29" t="inlineStr">
        <is>
          <t>0.8423633310679534</t>
        </is>
      </c>
      <c r="Z90" s="29" t="inlineStr">
        <is>
          <t>HIGH</t>
        </is>
      </c>
      <c r="AA90" s="29" t="inlineStr">
        <is>
          <t>HIGH</t>
        </is>
      </c>
      <c r="AB90" s="29" t="inlineStr">
        <is>
          <t>0.03670855345736708</t>
        </is>
      </c>
      <c r="AC90" s="29" t="inlineStr">
        <is>
          <t>False</t>
        </is>
      </c>
      <c r="AD90" s="29" t="inlineStr">
        <is>
          <t>False</t>
        </is>
      </c>
      <c r="AE90" s="29" t="inlineStr">
        <is>
          <t>valuation_credit_ml_overlay_candidate.csv</t>
        </is>
      </c>
      <c r="AF90" s="29" t="inlineStr">
        <is>
          <t>208개 반도체 reference universe. Valuation Agent가 자체 intake 폴더로 복제해 Peer/ML/대시보드 비교에 사용.</t>
        </is>
      </c>
    </row>
    <row r="91" ht="24" customHeight="1">
      <c r="A91" s="24" t="inlineStr">
        <is>
          <t>16</t>
        </is>
      </c>
      <c r="B91" s="24" t="inlineStr">
        <is>
          <t>해당 없음</t>
        </is>
      </c>
      <c r="C91" s="24" t="inlineStr">
        <is>
          <t>신성이엔지</t>
        </is>
      </c>
      <c r="D91" s="24" t="inlineStr">
        <is>
          <t>011930</t>
        </is>
      </c>
      <c r="E91" s="24" t="inlineStr">
        <is>
          <t>KOSPI</t>
        </is>
      </c>
      <c r="F91" s="24" t="inlineStr">
        <is>
          <t>IDM/제조/메모리</t>
        </is>
      </c>
      <c r="G91" s="24" t="inlineStr">
        <is>
          <t>IDM/제조/메모리</t>
        </is>
      </c>
      <c r="H91" s="24" t="inlineStr">
        <is>
          <t>False</t>
        </is>
      </c>
      <c r="I91" s="24" t="inlineStr">
        <is>
          <t>True</t>
        </is>
      </c>
      <c r="J91" s="24" t="inlineStr">
        <is>
          <t>OK</t>
        </is>
      </c>
      <c r="K91" s="24" t="inlineStr">
        <is>
          <t>데이터 사용 가능</t>
        </is>
      </c>
      <c r="L91" s="24" t="inlineStr">
        <is>
          <t>LOW</t>
        </is>
      </c>
      <c r="M91" s="24" t="inlineStr">
        <is>
          <t>LOW</t>
        </is>
      </c>
      <c r="N91" s="24" t="inlineStr">
        <is>
          <t>0.4551666666666667</t>
        </is>
      </c>
      <c r="O91" s="24" t="inlineStr">
        <is>
          <t>FAIR</t>
        </is>
      </c>
      <c r="P91" s="24" t="inlineStr">
        <is>
          <t>FAIR</t>
        </is>
      </c>
      <c r="Q91" s="24" t="inlineStr">
        <is>
          <t>FAIR</t>
        </is>
      </c>
      <c r="R91" s="24" t="inlineStr">
        <is>
          <t>0.7610157176994289</t>
        </is>
      </c>
      <c r="S91" s="24" t="inlineStr">
        <is>
          <t>HIGH</t>
        </is>
      </c>
      <c r="T91" s="24" t="inlineStr">
        <is>
          <t>HIGH</t>
        </is>
      </c>
      <c r="U91" s="24" t="inlineStr">
        <is>
          <t>0.5714285714285714</t>
        </is>
      </c>
      <c r="V91" s="24" t="inlineStr">
        <is>
          <t>HIGH_RISK</t>
        </is>
      </c>
      <c r="W91" s="24" t="inlineStr">
        <is>
          <t>고위험</t>
        </is>
      </c>
      <c r="X91" s="24" t="inlineStr">
        <is>
          <t>HIGH_RISK</t>
        </is>
      </c>
      <c r="Y91" s="24" t="inlineStr">
        <is>
          <t>0.8294308064443926</t>
        </is>
      </c>
      <c r="Z91" s="24" t="inlineStr">
        <is>
          <t>HIGH</t>
        </is>
      </c>
      <c r="AA91" s="24" t="inlineStr">
        <is>
          <t>HIGH</t>
        </is>
      </c>
      <c r="AB91" s="24" t="inlineStr">
        <is>
          <t>0.06151448502214275</t>
        </is>
      </c>
      <c r="AC91" s="24" t="inlineStr">
        <is>
          <t>False</t>
        </is>
      </c>
      <c r="AD91" s="24" t="inlineStr">
        <is>
          <t>False</t>
        </is>
      </c>
      <c r="AE91" s="24" t="inlineStr">
        <is>
          <t>valuation_credit_ml_overlay_candidate.csv</t>
        </is>
      </c>
      <c r="AF91" s="24" t="inlineStr">
        <is>
          <t>208개 반도체 reference universe. Valuation Agent가 자체 intake 폴더로 복제해 Peer/ML/대시보드 비교에 사용.</t>
        </is>
      </c>
    </row>
    <row r="92" ht="24" customHeight="1">
      <c r="A92" s="29" t="inlineStr">
        <is>
          <t>3</t>
        </is>
      </c>
      <c r="B92" s="29" t="inlineStr">
        <is>
          <t>해당 없음</t>
        </is>
      </c>
      <c r="C92" s="29" t="inlineStr">
        <is>
          <t>KEC</t>
        </is>
      </c>
      <c r="D92" s="29" t="inlineStr">
        <is>
          <t>092220</t>
        </is>
      </c>
      <c r="E92" s="29" t="inlineStr">
        <is>
          <t>KOSPI</t>
        </is>
      </c>
      <c r="F92" s="29" t="inlineStr">
        <is>
          <t>IDM/제조/메모리</t>
        </is>
      </c>
      <c r="G92" s="29" t="inlineStr">
        <is>
          <t>IDM/제조/메모리</t>
        </is>
      </c>
      <c r="H92" s="29" t="inlineStr">
        <is>
          <t>False</t>
        </is>
      </c>
      <c r="I92" s="29" t="inlineStr">
        <is>
          <t>True</t>
        </is>
      </c>
      <c r="J92" s="29" t="inlineStr">
        <is>
          <t>OK</t>
        </is>
      </c>
      <c r="K92" s="29" t="inlineStr">
        <is>
          <t>데이터 사용 가능</t>
        </is>
      </c>
      <c r="L92" s="29" t="inlineStr">
        <is>
          <t>LOW</t>
        </is>
      </c>
      <c r="M92" s="29" t="inlineStr">
        <is>
          <t>LOW</t>
        </is>
      </c>
      <c r="N92" s="29" t="inlineStr">
        <is>
          <t>0.4550000000000001</t>
        </is>
      </c>
      <c r="O92" s="29" t="inlineStr">
        <is>
          <t>FAIR</t>
        </is>
      </c>
      <c r="P92" s="29" t="inlineStr">
        <is>
          <t>FAIR</t>
        </is>
      </c>
      <c r="Q92" s="29" t="inlineStr">
        <is>
          <t>FAIR</t>
        </is>
      </c>
      <c r="R92" s="29" t="inlineStr">
        <is>
          <t>0.7937660338126779</t>
        </is>
      </c>
      <c r="S92" s="29" t="inlineStr">
        <is>
          <t>HIGH</t>
        </is>
      </c>
      <c r="T92" s="29" t="inlineStr">
        <is>
          <t>HIGH</t>
        </is>
      </c>
      <c r="U92" s="29" t="inlineStr">
        <is>
          <t>0.5</t>
        </is>
      </c>
      <c r="V92" s="29" t="inlineStr">
        <is>
          <t>HIGH_RISK</t>
        </is>
      </c>
      <c r="W92" s="29" t="inlineStr">
        <is>
          <t>고위험</t>
        </is>
      </c>
      <c r="X92" s="29" t="inlineStr">
        <is>
          <t>HIGH_RISK</t>
        </is>
      </c>
      <c r="Y92" s="29" t="inlineStr">
        <is>
          <t>0.7303610104178266</t>
        </is>
      </c>
      <c r="Z92" s="29" t="inlineStr">
        <is>
          <t>HIGH</t>
        </is>
      </c>
      <c r="AA92" s="29" t="inlineStr">
        <is>
          <t>HIGH</t>
        </is>
      </c>
      <c r="AB92" s="29" t="inlineStr">
        <is>
          <t>0.053989845114113894</t>
        </is>
      </c>
      <c r="AC92" s="29" t="inlineStr">
        <is>
          <t>False</t>
        </is>
      </c>
      <c r="AD92" s="29" t="inlineStr">
        <is>
          <t>False</t>
        </is>
      </c>
      <c r="AE92" s="29" t="inlineStr">
        <is>
          <t>valuation_credit_ml_overlay_candidate.csv</t>
        </is>
      </c>
      <c r="AF92" s="29" t="inlineStr">
        <is>
          <t>208개 반도체 reference universe. Valuation Agent가 자체 intake 폴더로 복제해 Peer/ML/대시보드 비교에 사용.</t>
        </is>
      </c>
    </row>
    <row r="93" ht="24" customHeight="1">
      <c r="A93" s="24" t="inlineStr">
        <is>
          <t>28</t>
        </is>
      </c>
      <c r="B93" s="24" t="inlineStr">
        <is>
          <t>해당 없음</t>
        </is>
      </c>
      <c r="C93" s="24" t="inlineStr">
        <is>
          <t>일진디스플</t>
        </is>
      </c>
      <c r="D93" s="24" t="inlineStr">
        <is>
          <t>020760</t>
        </is>
      </c>
      <c r="E93" s="24" t="inlineStr">
        <is>
          <t>KOSPI</t>
        </is>
      </c>
      <c r="F93" s="24" t="inlineStr">
        <is>
          <t>IDM/제조/메모리</t>
        </is>
      </c>
      <c r="G93" s="24" t="inlineStr">
        <is>
          <t>IDM/제조/메모리</t>
        </is>
      </c>
      <c r="H93" s="24" t="inlineStr">
        <is>
          <t>False</t>
        </is>
      </c>
      <c r="I93" s="24" t="inlineStr">
        <is>
          <t>True</t>
        </is>
      </c>
      <c r="J93" s="24" t="inlineStr">
        <is>
          <t>OK</t>
        </is>
      </c>
      <c r="K93" s="24" t="inlineStr">
        <is>
          <t>데이터 사용 가능</t>
        </is>
      </c>
      <c r="L93" s="24" t="inlineStr">
        <is>
          <t>LOW</t>
        </is>
      </c>
      <c r="M93" s="24" t="inlineStr">
        <is>
          <t>LOW</t>
        </is>
      </c>
      <c r="N93" s="24" t="inlineStr">
        <is>
          <t>0.4335</t>
        </is>
      </c>
      <c r="O93" s="24" t="inlineStr">
        <is>
          <t>FAIR</t>
        </is>
      </c>
      <c r="P93" s="24" t="inlineStr">
        <is>
          <t>FAIR</t>
        </is>
      </c>
      <c r="Q93" s="24" t="inlineStr">
        <is>
          <t>FAIR</t>
        </is>
      </c>
      <c r="R93" s="24" t="inlineStr">
        <is>
          <t>0.7887205359697603</t>
        </is>
      </c>
      <c r="S93" s="24" t="inlineStr">
        <is>
          <t>HIGH</t>
        </is>
      </c>
      <c r="T93" s="24" t="inlineStr">
        <is>
          <t>HIGH</t>
        </is>
      </c>
      <c r="U93" s="24" t="inlineStr">
        <is>
          <t>0.6428571428571429</t>
        </is>
      </c>
      <c r="V93" s="24" t="inlineStr">
        <is>
          <t>HIGH_RISK</t>
        </is>
      </c>
      <c r="W93" s="24" t="inlineStr">
        <is>
          <t>고위험</t>
        </is>
      </c>
      <c r="X93" s="24" t="inlineStr">
        <is>
          <t>HIGH_RISK</t>
        </is>
      </c>
      <c r="Y93" s="24" t="inlineStr">
        <is>
          <t>0.8165793827285804</t>
        </is>
      </c>
      <c r="Z93" s="24" t="inlineStr">
        <is>
          <t>HIGH</t>
        </is>
      </c>
      <c r="AA93" s="24" t="inlineStr">
        <is>
          <t>HIGH</t>
        </is>
      </c>
      <c r="AB93" s="24" t="inlineStr">
        <is>
          <t>0.21528045597611217</t>
        </is>
      </c>
      <c r="AC93" s="24" t="inlineStr">
        <is>
          <t>False</t>
        </is>
      </c>
      <c r="AD93" s="24" t="inlineStr">
        <is>
          <t>False</t>
        </is>
      </c>
      <c r="AE93" s="24" t="inlineStr">
        <is>
          <t>valuation_credit_ml_overlay_candidate.csv</t>
        </is>
      </c>
      <c r="AF93" s="24" t="inlineStr">
        <is>
          <t>208개 반도체 reference universe. Valuation Agent가 자체 intake 폴더로 복제해 Peer/ML/대시보드 비교에 사용.</t>
        </is>
      </c>
    </row>
    <row r="94" ht="24" customHeight="1">
      <c r="A94" s="29" t="inlineStr">
        <is>
          <t>7</t>
        </is>
      </c>
      <c r="B94" s="29" t="inlineStr">
        <is>
          <t>해당 없음</t>
        </is>
      </c>
      <c r="C94" s="29" t="inlineStr">
        <is>
          <t>덕산하이메탈</t>
        </is>
      </c>
      <c r="D94" s="29" t="inlineStr">
        <is>
          <t>077360</t>
        </is>
      </c>
      <c r="E94" s="29" t="inlineStr">
        <is>
          <t>KOSDAQ</t>
        </is>
      </c>
      <c r="F94" s="29" t="inlineStr">
        <is>
          <t>IDM/제조/메모리</t>
        </is>
      </c>
      <c r="G94" s="29" t="inlineStr">
        <is>
          <t>IDM/제조/메모리</t>
        </is>
      </c>
      <c r="H94" s="29" t="inlineStr">
        <is>
          <t>False</t>
        </is>
      </c>
      <c r="I94" s="29" t="inlineStr">
        <is>
          <t>True</t>
        </is>
      </c>
      <c r="J94" s="29" t="inlineStr">
        <is>
          <t>OK</t>
        </is>
      </c>
      <c r="K94" s="29" t="inlineStr">
        <is>
          <t>데이터 사용 가능</t>
        </is>
      </c>
      <c r="L94" s="29" t="inlineStr">
        <is>
          <t>LOW</t>
        </is>
      </c>
      <c r="M94" s="29" t="inlineStr">
        <is>
          <t>LOW</t>
        </is>
      </c>
      <c r="N94" s="29" t="inlineStr">
        <is>
          <t>0.4333333333333333</t>
        </is>
      </c>
      <c r="O94" s="29" t="inlineStr">
        <is>
          <t>FAIR</t>
        </is>
      </c>
      <c r="P94" s="29" t="inlineStr">
        <is>
          <t>FAIR</t>
        </is>
      </c>
      <c r="Q94" s="29" t="inlineStr">
        <is>
          <t>FAIR</t>
        </is>
      </c>
      <c r="R94" s="29" t="inlineStr">
        <is>
          <t>0.6698541971057747</t>
        </is>
      </c>
      <c r="S94" s="29" t="inlineStr">
        <is>
          <t>MEDIUM</t>
        </is>
      </c>
      <c r="T94" s="29" t="inlineStr">
        <is>
          <t>MEDIUM</t>
        </is>
      </c>
      <c r="U94" s="29" t="inlineStr">
        <is>
          <t>0.2857142857142857</t>
        </is>
      </c>
      <c r="V94" s="29" t="inlineStr">
        <is>
          <t>MEDIUM_RISK</t>
        </is>
      </c>
      <c r="W94" s="29" t="inlineStr">
        <is>
          <t>중위험</t>
        </is>
      </c>
      <c r="X94" s="29" t="inlineStr">
        <is>
          <t>MEDIUM_RISK</t>
        </is>
      </c>
      <c r="Y94" s="29" t="inlineStr">
        <is>
          <t>0.6576042698954024</t>
        </is>
      </c>
      <c r="Z94" s="29" t="inlineStr">
        <is>
          <t>MEDIUM</t>
        </is>
      </c>
      <c r="AA94" s="29" t="inlineStr">
        <is>
          <t>MEDIUM</t>
        </is>
      </c>
      <c r="AB94" s="29" t="inlineStr">
        <is>
          <t>0.07260471392088348</t>
        </is>
      </c>
      <c r="AC94" s="29" t="inlineStr">
        <is>
          <t>False</t>
        </is>
      </c>
      <c r="AD94" s="29" t="inlineStr">
        <is>
          <t>False</t>
        </is>
      </c>
      <c r="AE94" s="29" t="inlineStr">
        <is>
          <t>valuation_credit_ml_overlay_candidate.csv</t>
        </is>
      </c>
      <c r="AF94" s="29" t="inlineStr">
        <is>
          <t>208개 반도체 reference universe. Valuation Agent가 자체 intake 폴더로 복제해 Peer/ML/대시보드 비교에 사용.</t>
        </is>
      </c>
    </row>
    <row r="95" ht="24" customHeight="1">
      <c r="A95" s="24" t="inlineStr">
        <is>
          <t>20</t>
        </is>
      </c>
      <c r="B95" s="24" t="inlineStr">
        <is>
          <t>해당 없음</t>
        </is>
      </c>
      <c r="C95" s="24" t="inlineStr">
        <is>
          <t>에이디테크놀로지</t>
        </is>
      </c>
      <c r="D95" s="24" t="inlineStr">
        <is>
          <t>200710</t>
        </is>
      </c>
      <c r="E95" s="24" t="inlineStr">
        <is>
          <t>KOSDAQ</t>
        </is>
      </c>
      <c r="F95" s="24" t="inlineStr">
        <is>
          <t>IDM/제조/메모리</t>
        </is>
      </c>
      <c r="G95" s="24" t="inlineStr">
        <is>
          <t>IDM/제조/메모리</t>
        </is>
      </c>
      <c r="H95" s="24" t="inlineStr">
        <is>
          <t>False</t>
        </is>
      </c>
      <c r="I95" s="24" t="inlineStr">
        <is>
          <t>True</t>
        </is>
      </c>
      <c r="J95" s="24" t="inlineStr">
        <is>
          <t>OK</t>
        </is>
      </c>
      <c r="K95" s="24" t="inlineStr">
        <is>
          <t>데이터 사용 가능</t>
        </is>
      </c>
      <c r="L95" s="24" t="inlineStr">
        <is>
          <t>LOW</t>
        </is>
      </c>
      <c r="M95" s="24" t="inlineStr">
        <is>
          <t>LOW</t>
        </is>
      </c>
      <c r="N95" s="24" t="inlineStr">
        <is>
          <t>0.4271666666666666</t>
        </is>
      </c>
      <c r="O95" s="24" t="inlineStr">
        <is>
          <t>FAIR</t>
        </is>
      </c>
      <c r="P95" s="24" t="inlineStr">
        <is>
          <t>FAIR</t>
        </is>
      </c>
      <c r="Q95" s="24" t="inlineStr">
        <is>
          <t>FAIR</t>
        </is>
      </c>
      <c r="R95" s="24" t="inlineStr">
        <is>
          <t>0.6637416757093363</t>
        </is>
      </c>
      <c r="S95" s="24" t="inlineStr">
        <is>
          <t>MEDIUM</t>
        </is>
      </c>
      <c r="T95" s="24" t="inlineStr">
        <is>
          <t>MEDIUM</t>
        </is>
      </c>
      <c r="U95" s="24" t="inlineStr">
        <is>
          <t>0.2857142857142857</t>
        </is>
      </c>
      <c r="V95" s="24" t="inlineStr">
        <is>
          <t>MEDIUM_RISK</t>
        </is>
      </c>
      <c r="W95" s="24" t="inlineStr">
        <is>
          <t>중위험</t>
        </is>
      </c>
      <c r="X95" s="24" t="inlineStr">
        <is>
          <t>MEDIUM_RISK</t>
        </is>
      </c>
      <c r="Y95" s="24" t="inlineStr">
        <is>
          <t>0.4528354914042248</t>
        </is>
      </c>
      <c r="Z95" s="24" t="inlineStr">
        <is>
          <t>LOW</t>
        </is>
      </c>
      <c r="AA95" s="24" t="inlineStr">
        <is>
          <t>LOW</t>
        </is>
      </c>
      <c r="AB95" s="24" t="inlineStr">
        <is>
          <t>0.0588627097981607</t>
        </is>
      </c>
      <c r="AC95" s="24" t="inlineStr">
        <is>
          <t>False</t>
        </is>
      </c>
      <c r="AD95" s="24" t="inlineStr">
        <is>
          <t>True</t>
        </is>
      </c>
      <c r="AE95" s="24" t="inlineStr">
        <is>
          <t>valuation_credit_ml_overlay_candidate.csv</t>
        </is>
      </c>
      <c r="AF95" s="24" t="inlineStr">
        <is>
          <t>208개 반도체 reference universe. Valuation Agent가 자체 intake 폴더로 복제해 Peer/ML/대시보드 비교에 사용.</t>
        </is>
      </c>
    </row>
    <row r="96" ht="24" customHeight="1">
      <c r="A96" s="29" t="inlineStr">
        <is>
          <t>5</t>
        </is>
      </c>
      <c r="B96" s="29" t="inlineStr">
        <is>
          <t>해당 없음</t>
        </is>
      </c>
      <c r="C96" s="29" t="inlineStr">
        <is>
          <t>광전자</t>
        </is>
      </c>
      <c r="D96" s="29" t="inlineStr">
        <is>
          <t>017900</t>
        </is>
      </c>
      <c r="E96" s="29" t="inlineStr">
        <is>
          <t>KOSPI</t>
        </is>
      </c>
      <c r="F96" s="29" t="inlineStr">
        <is>
          <t>IDM/제조/메모리</t>
        </is>
      </c>
      <c r="G96" s="29" t="inlineStr">
        <is>
          <t>IDM/제조/메모리</t>
        </is>
      </c>
      <c r="H96" s="29" t="inlineStr">
        <is>
          <t>False</t>
        </is>
      </c>
      <c r="I96" s="29" t="inlineStr">
        <is>
          <t>True</t>
        </is>
      </c>
      <c r="J96" s="29" t="inlineStr">
        <is>
          <t>OK</t>
        </is>
      </c>
      <c r="K96" s="29" t="inlineStr">
        <is>
          <t>데이터 사용 가능</t>
        </is>
      </c>
      <c r="L96" s="29" t="inlineStr">
        <is>
          <t>LOW</t>
        </is>
      </c>
      <c r="M96" s="29" t="inlineStr">
        <is>
          <t>LOW</t>
        </is>
      </c>
      <c r="N96" s="29" t="inlineStr">
        <is>
          <t>0.4184166666666666</t>
        </is>
      </c>
      <c r="O96" s="29" t="inlineStr">
        <is>
          <t>EXPENSIVE</t>
        </is>
      </c>
      <c r="P96" s="29" t="inlineStr">
        <is>
          <t>EXPENSIVE</t>
        </is>
      </c>
      <c r="Q96" s="29" t="inlineStr">
        <is>
          <t>EXPENSIVE</t>
        </is>
      </c>
      <c r="R96" s="29" t="inlineStr">
        <is>
          <t>0.6817751829328556</t>
        </is>
      </c>
      <c r="S96" s="29" t="inlineStr">
        <is>
          <t>MEDIUM</t>
        </is>
      </c>
      <c r="T96" s="29" t="inlineStr">
        <is>
          <t>MEDIUM</t>
        </is>
      </c>
      <c r="U96" s="29" t="inlineStr">
        <is>
          <t>0.2142857142857142</t>
        </is>
      </c>
      <c r="V96" s="29" t="inlineStr">
        <is>
          <t>MEDIUM_RISK</t>
        </is>
      </c>
      <c r="W96" s="29" t="inlineStr">
        <is>
          <t>중위험</t>
        </is>
      </c>
      <c r="X96" s="29" t="inlineStr">
        <is>
          <t>LOW_RISK</t>
        </is>
      </c>
      <c r="Y96" s="29" t="inlineStr">
        <is>
          <t>0.4656539331033742</t>
        </is>
      </c>
      <c r="Z96" s="29" t="inlineStr">
        <is>
          <t>LOW</t>
        </is>
      </c>
      <c r="AA96" s="29" t="inlineStr">
        <is>
          <t>LOW</t>
        </is>
      </c>
      <c r="AB96" s="29" t="inlineStr">
        <is>
          <t>0.24789843408919227</t>
        </is>
      </c>
      <c r="AC96" s="29" t="inlineStr">
        <is>
          <t>True</t>
        </is>
      </c>
      <c r="AD96" s="29" t="inlineStr">
        <is>
          <t>True</t>
        </is>
      </c>
      <c r="AE96" s="29" t="inlineStr">
        <is>
          <t>valuation_credit_ml_overlay_candidate.csv</t>
        </is>
      </c>
      <c r="AF96" s="29" t="inlineStr">
        <is>
          <t>208개 반도체 reference universe. Valuation Agent가 자체 intake 폴더로 복제해 Peer/ML/대시보드 비교에 사용.</t>
        </is>
      </c>
    </row>
    <row r="97" ht="24" customHeight="1">
      <c r="A97" s="24" t="inlineStr">
        <is>
          <t>19</t>
        </is>
      </c>
      <c r="B97" s="24" t="inlineStr">
        <is>
          <t>해당 없음</t>
        </is>
      </c>
      <c r="C97" s="24" t="inlineStr">
        <is>
          <t>아진엑스텍</t>
        </is>
      </c>
      <c r="D97" s="24" t="inlineStr">
        <is>
          <t>059120</t>
        </is>
      </c>
      <c r="E97" s="24" t="inlineStr">
        <is>
          <t>KOSDAQ</t>
        </is>
      </c>
      <c r="F97" s="24" t="inlineStr">
        <is>
          <t>IDM/제조/메모리</t>
        </is>
      </c>
      <c r="G97" s="24" t="inlineStr">
        <is>
          <t>IDM/제조/메모리</t>
        </is>
      </c>
      <c r="H97" s="24" t="inlineStr">
        <is>
          <t>False</t>
        </is>
      </c>
      <c r="I97" s="24" t="inlineStr">
        <is>
          <t>True</t>
        </is>
      </c>
      <c r="J97" s="24" t="inlineStr">
        <is>
          <t>OK</t>
        </is>
      </c>
      <c r="K97" s="24" t="inlineStr">
        <is>
          <t>데이터 사용 가능</t>
        </is>
      </c>
      <c r="L97" s="24" t="inlineStr">
        <is>
          <t>LOW</t>
        </is>
      </c>
      <c r="M97" s="24" t="inlineStr">
        <is>
          <t>LOW</t>
        </is>
      </c>
      <c r="N97" s="24" t="inlineStr">
        <is>
          <t>0.4128333333333333</t>
        </is>
      </c>
      <c r="O97" s="24" t="inlineStr">
        <is>
          <t>EXPENSIVE</t>
        </is>
      </c>
      <c r="P97" s="24" t="inlineStr">
        <is>
          <t>EXPENSIVE</t>
        </is>
      </c>
      <c r="Q97" s="24" t="inlineStr">
        <is>
          <t>EXPENSIVE</t>
        </is>
      </c>
      <c r="R97" s="24" t="inlineStr">
        <is>
          <t>0.6635799672057409</t>
        </is>
      </c>
      <c r="S97" s="24" t="inlineStr">
        <is>
          <t>MEDIUM</t>
        </is>
      </c>
      <c r="T97" s="24" t="inlineStr">
        <is>
          <t>MEDIUM</t>
        </is>
      </c>
      <c r="U97" s="24" t="inlineStr">
        <is>
          <t>0.0714285714285714</t>
        </is>
      </c>
      <c r="V97" s="24" t="inlineStr">
        <is>
          <t>LOW_RISK</t>
        </is>
      </c>
      <c r="W97" s="24" t="inlineStr">
        <is>
          <t>저위험</t>
        </is>
      </c>
      <c r="X97" s="24" t="inlineStr">
        <is>
          <t>LOW_RISK</t>
        </is>
      </c>
      <c r="Y97" s="24" t="inlineStr">
        <is>
          <t>0.8000764213249202</t>
        </is>
      </c>
      <c r="Z97" s="24" t="inlineStr">
        <is>
          <t>HIGH</t>
        </is>
      </c>
      <c r="AA97" s="24" t="inlineStr">
        <is>
          <t>HIGH</t>
        </is>
      </c>
      <c r="AB97" s="24" t="inlineStr">
        <is>
          <t>0.21158533556078782</t>
        </is>
      </c>
      <c r="AC97" s="24" t="inlineStr">
        <is>
          <t>False</t>
        </is>
      </c>
      <c r="AD97" s="24" t="inlineStr">
        <is>
          <t>False</t>
        </is>
      </c>
      <c r="AE97" s="24" t="inlineStr">
        <is>
          <t>valuation_credit_ml_overlay_candidate.csv</t>
        </is>
      </c>
      <c r="AF97" s="24" t="inlineStr">
        <is>
          <t>208개 반도체 reference universe. Valuation Agent가 자체 intake 폴더로 복제해 Peer/ML/대시보드 비교에 사용.</t>
        </is>
      </c>
    </row>
    <row r="98" ht="24" customHeight="1">
      <c r="A98" s="29" t="inlineStr">
        <is>
          <t>33</t>
        </is>
      </c>
      <c r="B98" s="29" t="inlineStr">
        <is>
          <t>해당 없음</t>
        </is>
      </c>
      <c r="C98" s="29" t="inlineStr">
        <is>
          <t>코스텍시스</t>
        </is>
      </c>
      <c r="D98" s="29" t="inlineStr">
        <is>
          <t>355150</t>
        </is>
      </c>
      <c r="E98" s="29" t="inlineStr">
        <is>
          <t>KOSDAQ</t>
        </is>
      </c>
      <c r="F98" s="29" t="inlineStr">
        <is>
          <t>IDM/제조/메모리</t>
        </is>
      </c>
      <c r="G98" s="29" t="inlineStr">
        <is>
          <t>IDM/제조/메모리</t>
        </is>
      </c>
      <c r="H98" s="29" t="inlineStr">
        <is>
          <t>False</t>
        </is>
      </c>
      <c r="I98" s="29" t="inlineStr">
        <is>
          <t>True</t>
        </is>
      </c>
      <c r="J98" s="29" t="inlineStr">
        <is>
          <t>OK_LIMITED_HISTORY_OR_GROWTH_NA</t>
        </is>
      </c>
      <c r="K98" s="29" t="inlineStr">
        <is>
          <t>데이터 사용 가능</t>
        </is>
      </c>
      <c r="L98" s="29" t="inlineStr">
        <is>
          <t>LOW</t>
        </is>
      </c>
      <c r="M98" s="29" t="inlineStr">
        <is>
          <t>LOW</t>
        </is>
      </c>
      <c r="N98" s="29" t="inlineStr">
        <is>
          <t>0.4096666666666666</t>
        </is>
      </c>
      <c r="O98" s="29" t="inlineStr">
        <is>
          <t>EXPENSIVE</t>
        </is>
      </c>
      <c r="P98" s="29" t="inlineStr">
        <is>
          <t>EXPENSIVE</t>
        </is>
      </c>
      <c r="Q98" s="29" t="inlineStr">
        <is>
          <t>EXPENSIVE</t>
        </is>
      </c>
      <c r="R98" s="29" t="inlineStr">
        <is>
          <t>0.7518748972741711</t>
        </is>
      </c>
      <c r="S98" s="29" t="inlineStr">
        <is>
          <t>HIGH</t>
        </is>
      </c>
      <c r="T98" s="29" t="inlineStr">
        <is>
          <t>HIGH</t>
        </is>
      </c>
      <c r="U98" s="29" t="inlineStr">
        <is>
          <t>0.5</t>
        </is>
      </c>
      <c r="V98" s="29" t="inlineStr">
        <is>
          <t>HIGH_RISK</t>
        </is>
      </c>
      <c r="W98" s="29" t="inlineStr">
        <is>
          <t>고위험</t>
        </is>
      </c>
      <c r="X98" s="29" t="inlineStr">
        <is>
          <t>MEDIUM_RISK</t>
        </is>
      </c>
      <c r="Y98" s="29" t="inlineStr">
        <is>
          <t>0.4364687611213146</t>
        </is>
      </c>
      <c r="Z98" s="29" t="inlineStr">
        <is>
          <t>LOW</t>
        </is>
      </c>
      <c r="AA98" s="29" t="inlineStr">
        <is>
          <t>LOW</t>
        </is>
      </c>
      <c r="AB98" s="29" t="inlineStr">
        <is>
          <t>0.06817918975036392</t>
        </is>
      </c>
      <c r="AC98" s="29" t="inlineStr">
        <is>
          <t>False</t>
        </is>
      </c>
      <c r="AD98" s="29" t="inlineStr">
        <is>
          <t>True</t>
        </is>
      </c>
      <c r="AE98" s="29" t="inlineStr">
        <is>
          <t>valuation_credit_ml_overlay_candidate.csv</t>
        </is>
      </c>
      <c r="AF98" s="29" t="inlineStr">
        <is>
          <t>208개 반도체 reference universe. Valuation Agent가 자체 intake 폴더로 복제해 Peer/ML/대시보드 비교에 사용.</t>
        </is>
      </c>
    </row>
    <row r="99" ht="24" customHeight="1">
      <c r="A99" s="24" t="inlineStr">
        <is>
          <t>27</t>
        </is>
      </c>
      <c r="B99" s="24" t="inlineStr">
        <is>
          <t>해당 없음</t>
        </is>
      </c>
      <c r="C99" s="24" t="inlineStr">
        <is>
          <t>이미지스</t>
        </is>
      </c>
      <c r="D99" s="24" t="inlineStr">
        <is>
          <t>115610</t>
        </is>
      </c>
      <c r="E99" s="24" t="inlineStr">
        <is>
          <t>KOSDAQ</t>
        </is>
      </c>
      <c r="F99" s="24" t="inlineStr">
        <is>
          <t>IDM/제조/메모리</t>
        </is>
      </c>
      <c r="G99" s="24" t="inlineStr">
        <is>
          <t>IDM/제조/메모리</t>
        </is>
      </c>
      <c r="H99" s="24" t="inlineStr">
        <is>
          <t>False</t>
        </is>
      </c>
      <c r="I99" s="24" t="inlineStr">
        <is>
          <t>True</t>
        </is>
      </c>
      <c r="J99" s="24" t="inlineStr">
        <is>
          <t>OK</t>
        </is>
      </c>
      <c r="K99" s="24" t="inlineStr">
        <is>
          <t>데이터 사용 가능</t>
        </is>
      </c>
      <c r="L99" s="24" t="inlineStr">
        <is>
          <t>LOW</t>
        </is>
      </c>
      <c r="M99" s="24" t="inlineStr">
        <is>
          <t>LOW</t>
        </is>
      </c>
      <c r="N99" s="24" t="inlineStr">
        <is>
          <t>0.3633333333333334</t>
        </is>
      </c>
      <c r="O99" s="24" t="inlineStr">
        <is>
          <t>EXPENSIVE</t>
        </is>
      </c>
      <c r="P99" s="24" t="inlineStr">
        <is>
          <t>EXPENSIVE</t>
        </is>
      </c>
      <c r="Q99" s="24" t="inlineStr">
        <is>
          <t>EXPENSIVE</t>
        </is>
      </c>
      <c r="R99" s="24" t="inlineStr">
        <is>
          <t>0.7470098487547145</t>
        </is>
      </c>
      <c r="S99" s="24" t="inlineStr">
        <is>
          <t>HIGH</t>
        </is>
      </c>
      <c r="T99" s="24" t="inlineStr">
        <is>
          <t>HIGH</t>
        </is>
      </c>
      <c r="U99" s="24" t="inlineStr">
        <is>
          <t>0.6428571428571429</t>
        </is>
      </c>
      <c r="V99" s="24" t="inlineStr">
        <is>
          <t>HIGH_RISK</t>
        </is>
      </c>
      <c r="W99" s="24" t="inlineStr">
        <is>
          <t>고위험</t>
        </is>
      </c>
      <c r="X99" s="24" t="inlineStr">
        <is>
          <t>HIGH_RISK</t>
        </is>
      </c>
      <c r="Y99" s="24" t="inlineStr">
        <is>
          <t>0.935919815850912</t>
        </is>
      </c>
      <c r="Z99" s="24" t="inlineStr">
        <is>
          <t>HIGH</t>
        </is>
      </c>
      <c r="AA99" s="24" t="inlineStr">
        <is>
          <t>HIGH</t>
        </is>
      </c>
      <c r="AB99" s="24" t="inlineStr">
        <is>
          <t>0.1192433333650954</t>
        </is>
      </c>
      <c r="AC99" s="24" t="inlineStr">
        <is>
          <t>False</t>
        </is>
      </c>
      <c r="AD99" s="24" t="inlineStr">
        <is>
          <t>False</t>
        </is>
      </c>
      <c r="AE99" s="24" t="inlineStr">
        <is>
          <t>valuation_credit_ml_overlay_candidate.csv</t>
        </is>
      </c>
      <c r="AF99" s="24" t="inlineStr">
        <is>
          <t>208개 반도체 reference universe. Valuation Agent가 자체 intake 폴더로 복제해 Peer/ML/대시보드 비교에 사용.</t>
        </is>
      </c>
    </row>
    <row r="100" ht="24" customHeight="1">
      <c r="A100" s="29" t="inlineStr">
        <is>
          <t>15</t>
        </is>
      </c>
      <c r="B100" s="29" t="inlineStr">
        <is>
          <t>해당 없음</t>
        </is>
      </c>
      <c r="C100" s="29" t="inlineStr">
        <is>
          <t>시지트로닉스</t>
        </is>
      </c>
      <c r="D100" s="29" t="inlineStr">
        <is>
          <t>429270</t>
        </is>
      </c>
      <c r="E100" s="29" t="inlineStr">
        <is>
          <t>KOSDAQ</t>
        </is>
      </c>
      <c r="F100" s="29" t="inlineStr">
        <is>
          <t>IDM/제조/메모리</t>
        </is>
      </c>
      <c r="G100" s="29" t="inlineStr">
        <is>
          <t>IDM/제조/메모리</t>
        </is>
      </c>
      <c r="H100" s="29" t="inlineStr">
        <is>
          <t>False</t>
        </is>
      </c>
      <c r="I100" s="29" t="inlineStr">
        <is>
          <t>True</t>
        </is>
      </c>
      <c r="J100" s="29" t="inlineStr">
        <is>
          <t>OK_LIMITED_HISTORY_OR_GROWTH_NA</t>
        </is>
      </c>
      <c r="K100" s="29" t="inlineStr">
        <is>
          <t>데이터 사용 가능</t>
        </is>
      </c>
      <c r="L100" s="29" t="inlineStr">
        <is>
          <t>LOW</t>
        </is>
      </c>
      <c r="M100" s="29" t="inlineStr">
        <is>
          <t>LOW</t>
        </is>
      </c>
      <c r="N100" s="29" t="inlineStr">
        <is>
          <t>0.3513333333333333</t>
        </is>
      </c>
      <c r="O100" s="29" t="inlineStr">
        <is>
          <t>EXPENSIVE</t>
        </is>
      </c>
      <c r="P100" s="29" t="inlineStr">
        <is>
          <t>EXPENSIVE</t>
        </is>
      </c>
      <c r="Q100" s="29" t="inlineStr">
        <is>
          <t>EXPENSIVE</t>
        </is>
      </c>
      <c r="R100" s="29" t="inlineStr">
        <is>
          <t>0.8423539115807104</t>
        </is>
      </c>
      <c r="S100" s="29" t="inlineStr">
        <is>
          <t>HIGH</t>
        </is>
      </c>
      <c r="T100" s="29" t="inlineStr">
        <is>
          <t>HIGH</t>
        </is>
      </c>
      <c r="U100" s="29" t="inlineStr">
        <is>
          <t>0.7142857142857143</t>
        </is>
      </c>
      <c r="V100" s="29" t="inlineStr">
        <is>
          <t>HIGH_RISK</t>
        </is>
      </c>
      <c r="W100" s="29" t="inlineStr">
        <is>
          <t>고위험</t>
        </is>
      </c>
      <c r="X100" s="29" t="inlineStr">
        <is>
          <t>HIGH_RISK</t>
        </is>
      </c>
      <c r="Y100" s="29" t="inlineStr">
        <is>
          <t>0.981613431413146</t>
        </is>
      </c>
      <c r="Z100" s="29" t="inlineStr">
        <is>
          <t>HIGH</t>
        </is>
      </c>
      <c r="AA100" s="29" t="inlineStr">
        <is>
          <t>HIGH</t>
        </is>
      </c>
      <c r="AB100" s="29" t="inlineStr">
        <is>
          <t>0.19555712998632233</t>
        </is>
      </c>
      <c r="AC100" s="29" t="inlineStr">
        <is>
          <t>False</t>
        </is>
      </c>
      <c r="AD100" s="29" t="inlineStr">
        <is>
          <t>True</t>
        </is>
      </c>
      <c r="AE100" s="29" t="inlineStr">
        <is>
          <t>valuation_credit_ml_overlay_candidate.csv</t>
        </is>
      </c>
      <c r="AF100" s="29" t="inlineStr">
        <is>
          <t>208개 반도체 reference universe. Valuation Agent가 자체 intake 폴더로 복제해 Peer/ML/대시보드 비교에 사용.</t>
        </is>
      </c>
    </row>
    <row r="101" ht="24" customHeight="1">
      <c r="A101" s="24" t="inlineStr">
        <is>
          <t>30</t>
        </is>
      </c>
      <c r="B101" s="24" t="inlineStr">
        <is>
          <t>해당 없음</t>
        </is>
      </c>
      <c r="C101" s="24" t="inlineStr">
        <is>
          <t>지니틱스</t>
        </is>
      </c>
      <c r="D101" s="24" t="inlineStr">
        <is>
          <t>303030</t>
        </is>
      </c>
      <c r="E101" s="24" t="inlineStr">
        <is>
          <t>KOSDAQ</t>
        </is>
      </c>
      <c r="F101" s="24" t="inlineStr">
        <is>
          <t>IDM/제조/메모리</t>
        </is>
      </c>
      <c r="G101" s="24" t="inlineStr">
        <is>
          <t>IDM/제조/메모리</t>
        </is>
      </c>
      <c r="H101" s="24" t="inlineStr">
        <is>
          <t>False</t>
        </is>
      </c>
      <c r="I101" s="24" t="inlineStr">
        <is>
          <t>True</t>
        </is>
      </c>
      <c r="J101" s="24" t="inlineStr">
        <is>
          <t>OK</t>
        </is>
      </c>
      <c r="K101" s="24" t="inlineStr">
        <is>
          <t>데이터 사용 가능</t>
        </is>
      </c>
      <c r="L101" s="24" t="inlineStr">
        <is>
          <t>LOW</t>
        </is>
      </c>
      <c r="M101" s="24" t="inlineStr">
        <is>
          <t>LOW</t>
        </is>
      </c>
      <c r="N101" s="24" t="inlineStr">
        <is>
          <t>0.3293333333333333</t>
        </is>
      </c>
      <c r="O101" s="24" t="inlineStr">
        <is>
          <t>EXPENSIVE</t>
        </is>
      </c>
      <c r="P101" s="24" t="inlineStr">
        <is>
          <t>EXPENSIVE</t>
        </is>
      </c>
      <c r="Q101" s="24" t="inlineStr">
        <is>
          <t>EXPENSIVE</t>
        </is>
      </c>
      <c r="R101" s="24" t="inlineStr">
        <is>
          <t>0.6029464801919612</t>
        </is>
      </c>
      <c r="S101" s="24" t="inlineStr">
        <is>
          <t>MEDIUM</t>
        </is>
      </c>
      <c r="T101" s="24" t="inlineStr">
        <is>
          <t>MEDIUM</t>
        </is>
      </c>
      <c r="U101" s="24" t="inlineStr">
        <is>
          <t>0.7142857142857143</t>
        </is>
      </c>
      <c r="V101" s="24" t="inlineStr">
        <is>
          <t>HIGH_RISK</t>
        </is>
      </c>
      <c r="W101" s="24" t="inlineStr">
        <is>
          <t>고위험</t>
        </is>
      </c>
      <c r="X101" s="24" t="inlineStr">
        <is>
          <t>HIGH_RISK</t>
        </is>
      </c>
      <c r="Y101" s="24" t="inlineStr">
        <is>
          <t>0.9659545889371735</t>
        </is>
      </c>
      <c r="Z101" s="24" t="inlineStr">
        <is>
          <t>HIGH</t>
        </is>
      </c>
      <c r="AA101" s="24" t="inlineStr">
        <is>
          <t>HIGH</t>
        </is>
      </c>
      <c r="AB101" s="24" t="inlineStr">
        <is>
          <t>0.16363869698938038</t>
        </is>
      </c>
      <c r="AC101" s="24" t="inlineStr">
        <is>
          <t>False</t>
        </is>
      </c>
      <c r="AD101" s="24" t="inlineStr">
        <is>
          <t>False</t>
        </is>
      </c>
      <c r="AE101" s="24" t="inlineStr">
        <is>
          <t>valuation_credit_ml_overlay_candidate.csv</t>
        </is>
      </c>
      <c r="AF101" s="24" t="inlineStr">
        <is>
          <t>208개 반도체 reference universe. Valuation Agent가 자체 intake 폴더로 복제해 Peer/ML/대시보드 비교에 사용.</t>
        </is>
      </c>
    </row>
    <row r="102" ht="24" customHeight="1">
      <c r="A102" s="29" t="inlineStr">
        <is>
          <t>18</t>
        </is>
      </c>
      <c r="B102" s="29" t="inlineStr">
        <is>
          <t>해당 없음</t>
        </is>
      </c>
      <c r="C102" s="29" t="inlineStr">
        <is>
          <t>아이에스티이</t>
        </is>
      </c>
      <c r="D102" s="29" t="inlineStr">
        <is>
          <t>212710</t>
        </is>
      </c>
      <c r="E102" s="29" t="inlineStr">
        <is>
          <t>KOSDAQ</t>
        </is>
      </c>
      <c r="F102" s="29" t="inlineStr">
        <is>
          <t>IDM/제조/메모리</t>
        </is>
      </c>
      <c r="G102" s="29" t="inlineStr">
        <is>
          <t>IDM/제조/메모리</t>
        </is>
      </c>
      <c r="H102" s="29" t="inlineStr">
        <is>
          <t>False</t>
        </is>
      </c>
      <c r="I102" s="29" t="inlineStr">
        <is>
          <t>True</t>
        </is>
      </c>
      <c r="J102" s="29" t="inlineStr">
        <is>
          <t>OK_LIMITED_HISTORY_OR_GROWTH_NA</t>
        </is>
      </c>
      <c r="K102" s="29" t="inlineStr">
        <is>
          <t>데이터 사용 가능</t>
        </is>
      </c>
      <c r="L102" s="29" t="inlineStr">
        <is>
          <t>LOW</t>
        </is>
      </c>
      <c r="M102" s="29" t="inlineStr">
        <is>
          <t>LOW</t>
        </is>
      </c>
      <c r="N102" s="29" t="inlineStr">
        <is>
          <t>0.3126666666666666</t>
        </is>
      </c>
      <c r="O102" s="29" t="inlineStr">
        <is>
          <t>EXPENSIVE</t>
        </is>
      </c>
      <c r="P102" s="29" t="inlineStr">
        <is>
          <t>EXPENSIVE</t>
        </is>
      </c>
      <c r="Q102" s="29" t="inlineStr">
        <is>
          <t>EXPENSIVE</t>
        </is>
      </c>
      <c r="R102" s="29" t="inlineStr">
        <is>
          <t>0.6642993493743579</t>
        </is>
      </c>
      <c r="S102" s="29" t="inlineStr">
        <is>
          <t>MEDIUM</t>
        </is>
      </c>
      <c r="T102" s="29" t="inlineStr">
        <is>
          <t>MEDIUM</t>
        </is>
      </c>
      <c r="U102" s="29" t="inlineStr">
        <is>
          <t>0.7142857142857143</t>
        </is>
      </c>
      <c r="V102" s="29" t="inlineStr">
        <is>
          <t>HIGH_RISK</t>
        </is>
      </c>
      <c r="W102" s="29" t="inlineStr">
        <is>
          <t>고위험</t>
        </is>
      </c>
      <c r="X102" s="29" t="inlineStr">
        <is>
          <t>HIGH_RISK</t>
        </is>
      </c>
      <c r="Y102" s="29" t="inlineStr">
        <is>
          <t>0.7912115569930538</t>
        </is>
      </c>
      <c r="Z102" s="29" t="inlineStr">
        <is>
          <t>HIGH</t>
        </is>
      </c>
      <c r="AA102" s="29" t="inlineStr">
        <is>
          <t>HIGH</t>
        </is>
      </c>
      <c r="AB102" s="29" t="inlineStr">
        <is>
          <t>0.13664093420882184</t>
        </is>
      </c>
      <c r="AC102" s="29" t="inlineStr">
        <is>
          <t>False</t>
        </is>
      </c>
      <c r="AD102" s="29" t="inlineStr">
        <is>
          <t>True</t>
        </is>
      </c>
      <c r="AE102" s="29" t="inlineStr">
        <is>
          <t>valuation_credit_ml_overlay_candidate.csv</t>
        </is>
      </c>
      <c r="AF102" s="29" t="inlineStr">
        <is>
          <t>208개 반도체 reference universe. Valuation Agent가 자체 intake 폴더로 복제해 Peer/ML/대시보드 비교에 사용.</t>
        </is>
      </c>
    </row>
    <row r="103" ht="24" customHeight="1">
      <c r="A103" s="24" t="inlineStr">
        <is>
          <t>31</t>
        </is>
      </c>
      <c r="B103" s="24" t="inlineStr">
        <is>
          <t>해당 없음</t>
        </is>
      </c>
      <c r="C103" s="24" t="inlineStr">
        <is>
          <t>케이알엠</t>
        </is>
      </c>
      <c r="D103" s="24" t="inlineStr">
        <is>
          <t>093640</t>
        </is>
      </c>
      <c r="E103" s="24" t="inlineStr">
        <is>
          <t>KOSDAQ</t>
        </is>
      </c>
      <c r="F103" s="24" t="inlineStr">
        <is>
          <t>IDM/제조/메모리</t>
        </is>
      </c>
      <c r="G103" s="24" t="inlineStr">
        <is>
          <t>IDM/제조/메모리</t>
        </is>
      </c>
      <c r="H103" s="24" t="inlineStr">
        <is>
          <t>False</t>
        </is>
      </c>
      <c r="I103" s="24" t="inlineStr">
        <is>
          <t>True</t>
        </is>
      </c>
      <c r="J103" s="24" t="inlineStr">
        <is>
          <t>OK</t>
        </is>
      </c>
      <c r="K103" s="24" t="inlineStr">
        <is>
          <t>데이터 사용 가능</t>
        </is>
      </c>
      <c r="L103" s="24" t="inlineStr">
        <is>
          <t>LOW</t>
        </is>
      </c>
      <c r="M103" s="24" t="inlineStr">
        <is>
          <t>LOW</t>
        </is>
      </c>
      <c r="N103" s="24" t="inlineStr">
        <is>
          <t>0.301</t>
        </is>
      </c>
      <c r="O103" s="24" t="inlineStr">
        <is>
          <t>EXPENSIVE</t>
        </is>
      </c>
      <c r="P103" s="24" t="inlineStr">
        <is>
          <t>EXPENSIVE</t>
        </is>
      </c>
      <c r="Q103" s="24" t="inlineStr">
        <is>
          <t>EXPENSIVE</t>
        </is>
      </c>
      <c r="R103" s="24" t="inlineStr">
        <is>
          <t>0.7957205872008264</t>
        </is>
      </c>
      <c r="S103" s="24" t="inlineStr">
        <is>
          <t>HIGH</t>
        </is>
      </c>
      <c r="T103" s="24" t="inlineStr">
        <is>
          <t>HIGH</t>
        </is>
      </c>
      <c r="U103" s="24" t="inlineStr">
        <is>
          <t>0.4285714285714285</t>
        </is>
      </c>
      <c r="V103" s="24" t="inlineStr">
        <is>
          <t>HIGH_RISK</t>
        </is>
      </c>
      <c r="W103" s="24" t="inlineStr">
        <is>
          <t>고위험</t>
        </is>
      </c>
      <c r="X103" s="24" t="inlineStr">
        <is>
          <t>HIGH_RISK</t>
        </is>
      </c>
      <c r="Y103" s="24" t="inlineStr">
        <is>
          <t>0.9569765609780977</t>
        </is>
      </c>
      <c r="Z103" s="24" t="inlineStr">
        <is>
          <t>HIGH</t>
        </is>
      </c>
      <c r="AA103" s="24" t="inlineStr">
        <is>
          <t>HIGH</t>
        </is>
      </c>
      <c r="AB103" s="24" t="inlineStr">
        <is>
          <t>0.2926124347647049</t>
        </is>
      </c>
      <c r="AC103" s="24" t="inlineStr">
        <is>
          <t>True</t>
        </is>
      </c>
      <c r="AD103" s="24" t="inlineStr">
        <is>
          <t>True</t>
        </is>
      </c>
      <c r="AE103" s="24" t="inlineStr">
        <is>
          <t>valuation_credit_ml_overlay_candidate.csv</t>
        </is>
      </c>
      <c r="AF103" s="24" t="inlineStr">
        <is>
          <t>208개 반도체 reference universe. Valuation Agent가 자체 intake 폴더로 복제해 Peer/ML/대시보드 비교에 사용.</t>
        </is>
      </c>
    </row>
    <row r="104" ht="24" customHeight="1">
      <c r="A104" s="29" t="inlineStr">
        <is>
          <t>17</t>
        </is>
      </c>
      <c r="B104" s="29" t="inlineStr">
        <is>
          <t>해당 없음</t>
        </is>
      </c>
      <c r="C104" s="29" t="inlineStr">
        <is>
          <t>쏘닉스</t>
        </is>
      </c>
      <c r="D104" s="29" t="inlineStr">
        <is>
          <t>088280</t>
        </is>
      </c>
      <c r="E104" s="29" t="inlineStr">
        <is>
          <t>KOSDAQ</t>
        </is>
      </c>
      <c r="F104" s="29" t="inlineStr">
        <is>
          <t>IDM/제조/메모리</t>
        </is>
      </c>
      <c r="G104" s="29" t="inlineStr">
        <is>
          <t>IDM/제조/메모리</t>
        </is>
      </c>
      <c r="H104" s="29" t="inlineStr">
        <is>
          <t>False</t>
        </is>
      </c>
      <c r="I104" s="29" t="inlineStr">
        <is>
          <t>True</t>
        </is>
      </c>
      <c r="J104" s="29" t="inlineStr">
        <is>
          <t>OK_LIMITED_HISTORY_OR_GROWTH_NA</t>
        </is>
      </c>
      <c r="K104" s="29" t="inlineStr">
        <is>
          <t>데이터 사용 가능</t>
        </is>
      </c>
      <c r="L104" s="29" t="inlineStr">
        <is>
          <t>LOW</t>
        </is>
      </c>
      <c r="M104" s="29" t="inlineStr">
        <is>
          <t>LOW</t>
        </is>
      </c>
      <c r="N104" s="29" t="inlineStr">
        <is>
          <t>0.2925</t>
        </is>
      </c>
      <c r="O104" s="29" t="inlineStr">
        <is>
          <t>EXPENSIVE</t>
        </is>
      </c>
      <c r="P104" s="29" t="inlineStr">
        <is>
          <t>EXPENSIVE</t>
        </is>
      </c>
      <c r="Q104" s="29" t="inlineStr">
        <is>
          <t>EXPENSIVE</t>
        </is>
      </c>
      <c r="R104" s="29" t="inlineStr">
        <is>
          <t>0.9167677788852596</t>
        </is>
      </c>
      <c r="S104" s="29" t="inlineStr">
        <is>
          <t>HIGH</t>
        </is>
      </c>
      <c r="T104" s="29" t="inlineStr">
        <is>
          <t>HIGH</t>
        </is>
      </c>
      <c r="U104" s="29" t="inlineStr">
        <is>
          <t>0.5714285714285714</t>
        </is>
      </c>
      <c r="V104" s="29" t="inlineStr">
        <is>
          <t>HIGH_RISK</t>
        </is>
      </c>
      <c r="W104" s="29" t="inlineStr">
        <is>
          <t>고위험</t>
        </is>
      </c>
      <c r="X104" s="29" t="inlineStr">
        <is>
          <t>HIGH_RISK</t>
        </is>
      </c>
      <c r="Y104" s="29" t="inlineStr">
        <is>
          <t>0.9751947390683402</t>
        </is>
      </c>
      <c r="Z104" s="29" t="inlineStr">
        <is>
          <t>HIGH</t>
        </is>
      </c>
      <c r="AA104" s="29" t="inlineStr">
        <is>
          <t>HIGH</t>
        </is>
      </c>
      <c r="AB104" s="29" t="inlineStr">
        <is>
          <t>0.11312412490832129</t>
        </is>
      </c>
      <c r="AC104" s="29" t="inlineStr">
        <is>
          <t>False</t>
        </is>
      </c>
      <c r="AD104" s="29" t="inlineStr">
        <is>
          <t>True</t>
        </is>
      </c>
      <c r="AE104" s="29" t="inlineStr">
        <is>
          <t>valuation_credit_ml_overlay_candidate.csv</t>
        </is>
      </c>
      <c r="AF104" s="29" t="inlineStr">
        <is>
          <t>208개 반도체 reference universe. Valuation Agent가 자체 intake 폴더로 복제해 Peer/ML/대시보드 비교에 사용.</t>
        </is>
      </c>
    </row>
    <row r="105" ht="24" customHeight="1">
      <c r="A105" s="24" t="inlineStr">
        <is>
          <t>29</t>
        </is>
      </c>
      <c r="B105" s="24" t="inlineStr">
        <is>
          <t>해당 없음</t>
        </is>
      </c>
      <c r="C105" s="24" t="inlineStr">
        <is>
          <t>자람테크놀로지</t>
        </is>
      </c>
      <c r="D105" s="24" t="inlineStr">
        <is>
          <t>389020</t>
        </is>
      </c>
      <c r="E105" s="24" t="inlineStr">
        <is>
          <t>KOSDAQ</t>
        </is>
      </c>
      <c r="F105" s="24" t="inlineStr">
        <is>
          <t>IDM/제조/메모리</t>
        </is>
      </c>
      <c r="G105" s="24" t="inlineStr">
        <is>
          <t>IDM/제조/메모리</t>
        </is>
      </c>
      <c r="H105" s="24" t="inlineStr">
        <is>
          <t>False</t>
        </is>
      </c>
      <c r="I105" s="24" t="inlineStr">
        <is>
          <t>True</t>
        </is>
      </c>
      <c r="J105" s="24" t="inlineStr">
        <is>
          <t>OK</t>
        </is>
      </c>
      <c r="K105" s="24" t="inlineStr">
        <is>
          <t>데이터 사용 가능</t>
        </is>
      </c>
      <c r="L105" s="24" t="inlineStr">
        <is>
          <t>LOW</t>
        </is>
      </c>
      <c r="M105" s="24" t="inlineStr">
        <is>
          <t>LOW</t>
        </is>
      </c>
      <c r="N105" s="24" t="inlineStr">
        <is>
          <t>0.1995</t>
        </is>
      </c>
      <c r="O105" s="24" t="inlineStr">
        <is>
          <t>EXPENSIVE</t>
        </is>
      </c>
      <c r="P105" s="24" t="inlineStr">
        <is>
          <t>EXPENSIVE</t>
        </is>
      </c>
      <c r="Q105" s="24" t="inlineStr">
        <is>
          <t>EXPENSIVE</t>
        </is>
      </c>
      <c r="R105" s="24" t="inlineStr">
        <is>
          <t>0.6873284389381621</t>
        </is>
      </c>
      <c r="S105" s="24" t="inlineStr">
        <is>
          <t>MEDIUM</t>
        </is>
      </c>
      <c r="T105" s="24" t="inlineStr">
        <is>
          <t>MEDIUM</t>
        </is>
      </c>
      <c r="U105" s="24" t="inlineStr">
        <is>
          <t>0.2142857142857142</t>
        </is>
      </c>
      <c r="V105" s="24" t="inlineStr">
        <is>
          <t>MEDIUM_RISK</t>
        </is>
      </c>
      <c r="W105" s="24" t="inlineStr">
        <is>
          <t>중위험</t>
        </is>
      </c>
      <c r="X105" s="24" t="inlineStr">
        <is>
          <t>MEDIUM_RISK</t>
        </is>
      </c>
      <c r="Y105" s="24" t="inlineStr">
        <is>
          <t>0.7087592263635621</t>
        </is>
      </c>
      <c r="Z105" s="24" t="inlineStr">
        <is>
          <t>HIGH</t>
        </is>
      </c>
      <c r="AA105" s="24" t="inlineStr">
        <is>
          <t>HIGH</t>
        </is>
      </c>
      <c r="AB105" s="24" t="inlineStr">
        <is>
          <t>0.14222896108498048</t>
        </is>
      </c>
      <c r="AC105" s="24" t="inlineStr">
        <is>
          <t>False</t>
        </is>
      </c>
      <c r="AD105" s="24" t="inlineStr">
        <is>
          <t>False</t>
        </is>
      </c>
      <c r="AE105" s="24" t="inlineStr">
        <is>
          <t>valuation_credit_ml_overlay_candidate.csv</t>
        </is>
      </c>
      <c r="AF105" s="24" t="inlineStr">
        <is>
          <t>208개 반도체 reference universe. Valuation Agent가 자체 intake 폴더로 복제해 Peer/ML/대시보드 비교에 사용.</t>
        </is>
      </c>
    </row>
    <row r="106" ht="24" customHeight="1">
      <c r="A106" s="29" t="inlineStr">
        <is>
          <t>39</t>
        </is>
      </c>
      <c r="B106" s="29" t="inlineStr">
        <is>
          <t>해당 없음</t>
        </is>
      </c>
      <c r="C106" s="29" t="inlineStr">
        <is>
          <t>하이딥</t>
        </is>
      </c>
      <c r="D106" s="29" t="inlineStr">
        <is>
          <t>365590</t>
        </is>
      </c>
      <c r="E106" s="29" t="inlineStr">
        <is>
          <t>KOSDAQ</t>
        </is>
      </c>
      <c r="F106" s="29" t="inlineStr">
        <is>
          <t>IDM/제조/메모리</t>
        </is>
      </c>
      <c r="G106" s="29" t="inlineStr">
        <is>
          <t>IDM/제조/메모리</t>
        </is>
      </c>
      <c r="H106" s="29" t="inlineStr">
        <is>
          <t>False</t>
        </is>
      </c>
      <c r="I106" s="29" t="inlineStr">
        <is>
          <t>True</t>
        </is>
      </c>
      <c r="J106" s="29" t="inlineStr">
        <is>
          <t>OK</t>
        </is>
      </c>
      <c r="K106" s="29" t="inlineStr">
        <is>
          <t>데이터 사용 가능</t>
        </is>
      </c>
      <c r="L106" s="29" t="inlineStr">
        <is>
          <t>LOW</t>
        </is>
      </c>
      <c r="M106" s="29" t="inlineStr">
        <is>
          <t>LOW</t>
        </is>
      </c>
      <c r="N106" s="29" t="inlineStr">
        <is>
          <t>0.125</t>
        </is>
      </c>
      <c r="O106" s="29" t="inlineStr">
        <is>
          <t>EXPENSIVE</t>
        </is>
      </c>
      <c r="P106" s="29" t="inlineStr">
        <is>
          <t>EXPENSIVE</t>
        </is>
      </c>
      <c r="Q106" s="29" t="inlineStr">
        <is>
          <t>EXPENSIVE</t>
        </is>
      </c>
      <c r="R106" s="29" t="inlineStr">
        <is>
          <t>0.93355514861914</t>
        </is>
      </c>
      <c r="S106" s="29" t="inlineStr">
        <is>
          <t>HIGH</t>
        </is>
      </c>
      <c r="T106" s="29" t="inlineStr">
        <is>
          <t>HIGH</t>
        </is>
      </c>
      <c r="U106" s="29" t="inlineStr">
        <is>
          <t>0.8571428571428571</t>
        </is>
      </c>
      <c r="V106" s="29" t="inlineStr">
        <is>
          <t>HIGH_RISK</t>
        </is>
      </c>
      <c r="W106" s="29" t="inlineStr">
        <is>
          <t>고위험</t>
        </is>
      </c>
      <c r="X106" s="29" t="inlineStr">
        <is>
          <t>HIGH_RISK</t>
        </is>
      </c>
      <c r="Y106" s="29" t="inlineStr">
        <is>
          <t>0.9622719553866781</t>
        </is>
      </c>
      <c r="Z106" s="29" t="inlineStr">
        <is>
          <t>HIGH</t>
        </is>
      </c>
      <c r="AA106" s="29" t="inlineStr">
        <is>
          <t>HIGH</t>
        </is>
      </c>
      <c r="AB106" s="29" t="inlineStr">
        <is>
          <t>0.9999999977412558</t>
        </is>
      </c>
      <c r="AC106" s="29" t="inlineStr">
        <is>
          <t>True</t>
        </is>
      </c>
      <c r="AD106" s="29" t="inlineStr">
        <is>
          <t>True</t>
        </is>
      </c>
      <c r="AE106" s="29" t="inlineStr">
        <is>
          <t>valuation_credit_ml_overlay_candidate.csv</t>
        </is>
      </c>
      <c r="AF106" s="29" t="inlineStr">
        <is>
          <t>208개 반도체 reference universe. Valuation Agent가 자체 intake 폴더로 복제해 Peer/ML/대시보드 비교에 사용.</t>
        </is>
      </c>
    </row>
    <row r="107" ht="24" customHeight="1">
      <c r="A107" s="24" t="inlineStr">
        <is>
          <t>203</t>
        </is>
      </c>
      <c r="B107" s="24" t="inlineStr">
        <is>
          <t>해당 없음</t>
        </is>
      </c>
      <c r="C107" s="24" t="inlineStr">
        <is>
          <t>인터플렉스</t>
        </is>
      </c>
      <c r="D107" s="24" t="inlineStr">
        <is>
          <t>051370</t>
        </is>
      </c>
      <c r="E107" s="24" t="inlineStr">
        <is>
          <t>KOSDAQ</t>
        </is>
      </c>
      <c r="F107" s="24" t="inlineStr">
        <is>
          <t>부품/기판</t>
        </is>
      </c>
      <c r="G107" s="24" t="inlineStr">
        <is>
          <t>부품/기판</t>
        </is>
      </c>
      <c r="H107" s="24" t="inlineStr">
        <is>
          <t>False</t>
        </is>
      </c>
      <c r="I107" s="24" t="inlineStr">
        <is>
          <t>True</t>
        </is>
      </c>
      <c r="J107" s="24" t="inlineStr">
        <is>
          <t>OK</t>
        </is>
      </c>
      <c r="K107" s="24" t="inlineStr">
        <is>
          <t>데이터 사용 가능</t>
        </is>
      </c>
      <c r="L107" s="24" t="inlineStr">
        <is>
          <t>LOW</t>
        </is>
      </c>
      <c r="M107" s="24" t="inlineStr">
        <is>
          <t>LOW</t>
        </is>
      </c>
      <c r="N107" s="24" t="inlineStr">
        <is>
          <t>0.709047619047619</t>
        </is>
      </c>
      <c r="O107" s="24" t="inlineStr">
        <is>
          <t>FAIR</t>
        </is>
      </c>
      <c r="P107" s="24" t="inlineStr">
        <is>
          <t>FAIR</t>
        </is>
      </c>
      <c r="Q107" s="24" t="inlineStr">
        <is>
          <t>FAIR</t>
        </is>
      </c>
      <c r="R107" s="24" t="inlineStr">
        <is>
          <t>0.904555257888918</t>
        </is>
      </c>
      <c r="S107" s="24" t="inlineStr">
        <is>
          <t>HIGH</t>
        </is>
      </c>
      <c r="T107" s="24" t="inlineStr">
        <is>
          <t>HIGH</t>
        </is>
      </c>
      <c r="U107" s="24" t="inlineStr">
        <is>
          <t>0.0714285714285714</t>
        </is>
      </c>
      <c r="V107" s="24" t="inlineStr">
        <is>
          <t>LOW_RISK</t>
        </is>
      </c>
      <c r="W107" s="24" t="inlineStr">
        <is>
          <t>저위험</t>
        </is>
      </c>
      <c r="X107" s="24" t="inlineStr">
        <is>
          <t>LOW_RISK</t>
        </is>
      </c>
      <c r="Y107" s="24" t="inlineStr">
        <is>
          <t>0.8421993774288782</t>
        </is>
      </c>
      <c r="Z107" s="24" t="inlineStr">
        <is>
          <t>HIGH</t>
        </is>
      </c>
      <c r="AA107" s="24" t="inlineStr">
        <is>
          <t>HIGH</t>
        </is>
      </c>
      <c r="AB107" s="24" t="inlineStr">
        <is>
          <t>0.04875174090091772</t>
        </is>
      </c>
      <c r="AC107" s="24" t="inlineStr">
        <is>
          <t>False</t>
        </is>
      </c>
      <c r="AD107" s="24" t="inlineStr">
        <is>
          <t>False</t>
        </is>
      </c>
      <c r="AE107" s="24" t="inlineStr">
        <is>
          <t>valuation_credit_ml_overlay_candidate.csv</t>
        </is>
      </c>
      <c r="AF107" s="24" t="inlineStr">
        <is>
          <t>208개 반도체 reference universe. Valuation Agent가 자체 intake 폴더로 복제해 Peer/ML/대시보드 비교에 사용.</t>
        </is>
      </c>
    </row>
    <row r="108" ht="24" customHeight="1">
      <c r="A108" s="29" t="inlineStr">
        <is>
          <t>204</t>
        </is>
      </c>
      <c r="B108" s="29" t="inlineStr">
        <is>
          <t>해당 없음</t>
        </is>
      </c>
      <c r="C108" s="29" t="inlineStr">
        <is>
          <t>자화전자</t>
        </is>
      </c>
      <c r="D108" s="29" t="inlineStr">
        <is>
          <t>033240</t>
        </is>
      </c>
      <c r="E108" s="29" t="inlineStr">
        <is>
          <t>KOSPI</t>
        </is>
      </c>
      <c r="F108" s="29" t="inlineStr">
        <is>
          <t>부품/기판</t>
        </is>
      </c>
      <c r="G108" s="29" t="inlineStr">
        <is>
          <t>부품/기판</t>
        </is>
      </c>
      <c r="H108" s="29" t="inlineStr">
        <is>
          <t>False</t>
        </is>
      </c>
      <c r="I108" s="29" t="inlineStr">
        <is>
          <t>True</t>
        </is>
      </c>
      <c r="J108" s="29" t="inlineStr">
        <is>
          <t>OK</t>
        </is>
      </c>
      <c r="K108" s="29" t="inlineStr">
        <is>
          <t>데이터 사용 가능</t>
        </is>
      </c>
      <c r="L108" s="29" t="inlineStr">
        <is>
          <t>LOW</t>
        </is>
      </c>
      <c r="M108" s="29" t="inlineStr">
        <is>
          <t>LOW</t>
        </is>
      </c>
      <c r="N108" s="29" t="inlineStr">
        <is>
          <t>0.6647619047619049</t>
        </is>
      </c>
      <c r="O108" s="29" t="inlineStr">
        <is>
          <t>FAIR</t>
        </is>
      </c>
      <c r="P108" s="29" t="inlineStr">
        <is>
          <t>FAIR</t>
        </is>
      </c>
      <c r="Q108" s="29" t="inlineStr">
        <is>
          <t>FAIR</t>
        </is>
      </c>
      <c r="R108" s="29" t="inlineStr">
        <is>
          <t>0.9380223994723259</t>
        </is>
      </c>
      <c r="S108" s="29" t="inlineStr">
        <is>
          <t>HIGH</t>
        </is>
      </c>
      <c r="T108" s="29" t="inlineStr">
        <is>
          <t>HIGH</t>
        </is>
      </c>
      <c r="U108" s="29" t="inlineStr">
        <is>
          <t>0.0714285714285714</t>
        </is>
      </c>
      <c r="V108" s="29" t="inlineStr">
        <is>
          <t>LOW_RISK</t>
        </is>
      </c>
      <c r="W108" s="29" t="inlineStr">
        <is>
          <t>저위험</t>
        </is>
      </c>
      <c r="X108" s="29" t="inlineStr">
        <is>
          <t>LOW_RISK</t>
        </is>
      </c>
      <c r="Y108" s="29" t="inlineStr">
        <is>
          <t>0.7827117376718701</t>
        </is>
      </c>
      <c r="Z108" s="29" t="inlineStr">
        <is>
          <t>HIGH</t>
        </is>
      </c>
      <c r="AA108" s="29" t="inlineStr">
        <is>
          <t>HIGH</t>
        </is>
      </c>
      <c r="AB108" s="29" t="inlineStr">
        <is>
          <t>0.004560941446629287</t>
        </is>
      </c>
      <c r="AC108" s="29" t="inlineStr">
        <is>
          <t>False</t>
        </is>
      </c>
      <c r="AD108" s="29" t="inlineStr">
        <is>
          <t>False</t>
        </is>
      </c>
      <c r="AE108" s="29" t="inlineStr">
        <is>
          <t>valuation_credit_ml_overlay_candidate.csv</t>
        </is>
      </c>
      <c r="AF108" s="29" t="inlineStr">
        <is>
          <t>208개 반도체 reference universe. Valuation Agent가 자체 intake 폴더로 복제해 Peer/ML/대시보드 비교에 사용.</t>
        </is>
      </c>
    </row>
    <row r="109" ht="24" customHeight="1">
      <c r="A109" s="24" t="inlineStr">
        <is>
          <t>206</t>
        </is>
      </c>
      <c r="B109" s="24" t="inlineStr">
        <is>
          <t>해당 없음</t>
        </is>
      </c>
      <c r="C109" s="24" t="inlineStr">
        <is>
          <t>코미코</t>
        </is>
      </c>
      <c r="D109" s="24" t="inlineStr">
        <is>
          <t>183300</t>
        </is>
      </c>
      <c r="E109" s="24" t="inlineStr">
        <is>
          <t>KOSDAQ GLOBAL</t>
        </is>
      </c>
      <c r="F109" s="24" t="inlineStr">
        <is>
          <t>부품/기판</t>
        </is>
      </c>
      <c r="G109" s="24" t="inlineStr">
        <is>
          <t>부품/기판</t>
        </is>
      </c>
      <c r="H109" s="24" t="inlineStr">
        <is>
          <t>False</t>
        </is>
      </c>
      <c r="I109" s="24" t="inlineStr">
        <is>
          <t>True</t>
        </is>
      </c>
      <c r="J109" s="24" t="inlineStr">
        <is>
          <t>OK</t>
        </is>
      </c>
      <c r="K109" s="24" t="inlineStr">
        <is>
          <t>데이터 사용 가능</t>
        </is>
      </c>
      <c r="L109" s="24" t="inlineStr">
        <is>
          <t>LOW</t>
        </is>
      </c>
      <c r="M109" s="24" t="inlineStr">
        <is>
          <t>LOW</t>
        </is>
      </c>
      <c r="N109" s="24" t="inlineStr">
        <is>
          <t>0.6342857142857143</t>
        </is>
      </c>
      <c r="O109" s="24" t="inlineStr">
        <is>
          <t>FAIR</t>
        </is>
      </c>
      <c r="P109" s="24" t="inlineStr">
        <is>
          <t>FAIR</t>
        </is>
      </c>
      <c r="Q109" s="24" t="inlineStr">
        <is>
          <t>FAIR</t>
        </is>
      </c>
      <c r="R109" s="24" t="inlineStr">
        <is>
          <t>0.8305894153326006</t>
        </is>
      </c>
      <c r="S109" s="24" t="inlineStr">
        <is>
          <t>HIGH</t>
        </is>
      </c>
      <c r="T109" s="24" t="inlineStr">
        <is>
          <t>HIGH</t>
        </is>
      </c>
      <c r="U109" s="24" t="inlineStr">
        <is>
          <t>0.3571428571428571</t>
        </is>
      </c>
      <c r="V109" s="24" t="inlineStr">
        <is>
          <t>MEDIUM_RISK</t>
        </is>
      </c>
      <c r="W109" s="24" t="inlineStr">
        <is>
          <t>중위험</t>
        </is>
      </c>
      <c r="X109" s="24" t="inlineStr">
        <is>
          <t>MEDIUM_RISK</t>
        </is>
      </c>
      <c r="Y109" s="24" t="inlineStr">
        <is>
          <t>0.6510391794232897</t>
        </is>
      </c>
      <c r="Z109" s="24" t="inlineStr">
        <is>
          <t>MEDIUM</t>
        </is>
      </c>
      <c r="AA109" s="24" t="inlineStr">
        <is>
          <t>MEDIUM</t>
        </is>
      </c>
      <c r="AB109" s="24" t="inlineStr">
        <is>
          <t>0.08075637337557524</t>
        </is>
      </c>
      <c r="AC109" s="24" t="inlineStr">
        <is>
          <t>False</t>
        </is>
      </c>
      <c r="AD109" s="24" t="inlineStr">
        <is>
          <t>False</t>
        </is>
      </c>
      <c r="AE109" s="24" t="inlineStr">
        <is>
          <t>valuation_credit_ml_overlay_candidate.csv</t>
        </is>
      </c>
      <c r="AF109" s="24" t="inlineStr">
        <is>
          <t>208개 반도체 reference universe. Valuation Agent가 자체 intake 폴더로 복제해 Peer/ML/대시보드 비교에 사용.</t>
        </is>
      </c>
    </row>
    <row r="110" ht="24" customHeight="1">
      <c r="A110" s="29" t="inlineStr">
        <is>
          <t>196</t>
        </is>
      </c>
      <c r="B110" s="29" t="inlineStr">
        <is>
          <t>해당 없음</t>
        </is>
      </c>
      <c r="C110" s="29" t="inlineStr">
        <is>
          <t>비에이치</t>
        </is>
      </c>
      <c r="D110" s="29" t="inlineStr">
        <is>
          <t>090460</t>
        </is>
      </c>
      <c r="E110" s="29" t="inlineStr">
        <is>
          <t>KOSPI</t>
        </is>
      </c>
      <c r="F110" s="29" t="inlineStr">
        <is>
          <t>부품/기판</t>
        </is>
      </c>
      <c r="G110" s="29" t="inlineStr">
        <is>
          <t>부품/기판</t>
        </is>
      </c>
      <c r="H110" s="29" t="inlineStr">
        <is>
          <t>False</t>
        </is>
      </c>
      <c r="I110" s="29" t="inlineStr">
        <is>
          <t>True</t>
        </is>
      </c>
      <c r="J110" s="29" t="inlineStr">
        <is>
          <t>OK</t>
        </is>
      </c>
      <c r="K110" s="29" t="inlineStr">
        <is>
          <t>데이터 사용 가능</t>
        </is>
      </c>
      <c r="L110" s="29" t="inlineStr">
        <is>
          <t>LOW</t>
        </is>
      </c>
      <c r="M110" s="29" t="inlineStr">
        <is>
          <t>LOW</t>
        </is>
      </c>
      <c r="N110" s="29" t="inlineStr">
        <is>
          <t>0.5752380952380951</t>
        </is>
      </c>
      <c r="O110" s="29" t="inlineStr">
        <is>
          <t>FAIR</t>
        </is>
      </c>
      <c r="P110" s="29" t="inlineStr">
        <is>
          <t>FAIR</t>
        </is>
      </c>
      <c r="Q110" s="29" t="inlineStr">
        <is>
          <t>FAIR</t>
        </is>
      </c>
      <c r="R110" s="29" t="inlineStr">
        <is>
          <t>0.5078538652826</t>
        </is>
      </c>
      <c r="S110" s="29" t="inlineStr">
        <is>
          <t>MEDIUM</t>
        </is>
      </c>
      <c r="T110" s="29" t="inlineStr">
        <is>
          <t>MEDIUM</t>
        </is>
      </c>
      <c r="U110" s="29" t="inlineStr">
        <is>
          <t>0.0</t>
        </is>
      </c>
      <c r="V110" s="29" t="inlineStr">
        <is>
          <t>LOW_RISK</t>
        </is>
      </c>
      <c r="W110" s="29" t="inlineStr">
        <is>
          <t>저위험</t>
        </is>
      </c>
      <c r="X110" s="29" t="inlineStr">
        <is>
          <t>LOW_RISK</t>
        </is>
      </c>
      <c r="Y110" s="29" t="inlineStr">
        <is>
          <t>0.8498731799769995</t>
        </is>
      </c>
      <c r="Z110" s="29" t="inlineStr">
        <is>
          <t>HIGH</t>
        </is>
      </c>
      <c r="AA110" s="29" t="inlineStr">
        <is>
          <t>HIGH</t>
        </is>
      </c>
      <c r="AB110" s="29" t="inlineStr">
        <is>
          <t>0.004189789054000619</t>
        </is>
      </c>
      <c r="AC110" s="29" t="inlineStr">
        <is>
          <t>False</t>
        </is>
      </c>
      <c r="AD110" s="29" t="inlineStr">
        <is>
          <t>False</t>
        </is>
      </c>
      <c r="AE110" s="29" t="inlineStr">
        <is>
          <t>valuation_credit_ml_overlay_candidate.csv</t>
        </is>
      </c>
      <c r="AF110" s="29" t="inlineStr">
        <is>
          <t>208개 반도체 reference universe. Valuation Agent가 자체 intake 폴더로 복제해 Peer/ML/대시보드 비교에 사용.</t>
        </is>
      </c>
    </row>
    <row r="111" ht="24" customHeight="1">
      <c r="A111" s="24" t="inlineStr">
        <is>
          <t>198</t>
        </is>
      </c>
      <c r="B111" s="24" t="inlineStr">
        <is>
          <t>해당 없음</t>
        </is>
      </c>
      <c r="C111" s="24" t="inlineStr">
        <is>
          <t>심텍홀딩스</t>
        </is>
      </c>
      <c r="D111" s="24" t="inlineStr">
        <is>
          <t>036710</t>
        </is>
      </c>
      <c r="E111" s="24" t="inlineStr">
        <is>
          <t>KOSDAQ</t>
        </is>
      </c>
      <c r="F111" s="24" t="inlineStr">
        <is>
          <t>부품/기판</t>
        </is>
      </c>
      <c r="G111" s="24" t="inlineStr">
        <is>
          <t>부품/기판</t>
        </is>
      </c>
      <c r="H111" s="24" t="inlineStr">
        <is>
          <t>False</t>
        </is>
      </c>
      <c r="I111" s="24" t="inlineStr">
        <is>
          <t>True</t>
        </is>
      </c>
      <c r="J111" s="24" t="inlineStr">
        <is>
          <t>OK</t>
        </is>
      </c>
      <c r="K111" s="24" t="inlineStr">
        <is>
          <t>데이터 사용 가능</t>
        </is>
      </c>
      <c r="L111" s="24" t="inlineStr">
        <is>
          <t>LOW</t>
        </is>
      </c>
      <c r="M111" s="24" t="inlineStr">
        <is>
          <t>LOW</t>
        </is>
      </c>
      <c r="N111" s="24" t="inlineStr">
        <is>
          <t>0.5323809523809524</t>
        </is>
      </c>
      <c r="O111" s="24" t="inlineStr">
        <is>
          <t>FAIR</t>
        </is>
      </c>
      <c r="P111" s="24" t="inlineStr">
        <is>
          <t>FAIR</t>
        </is>
      </c>
      <c r="Q111" s="24" t="inlineStr">
        <is>
          <t>FAIR</t>
        </is>
      </c>
      <c r="R111" s="24" t="inlineStr">
        <is>
          <t>0.726519318190825</t>
        </is>
      </c>
      <c r="S111" s="24" t="inlineStr">
        <is>
          <t>HIGH</t>
        </is>
      </c>
      <c r="T111" s="24" t="inlineStr">
        <is>
          <t>HIGH</t>
        </is>
      </c>
      <c r="U111" s="24" t="inlineStr">
        <is>
          <t>0.7857142857142857</t>
        </is>
      </c>
      <c r="V111" s="24" t="inlineStr">
        <is>
          <t>HIGH_RISK</t>
        </is>
      </c>
      <c r="W111" s="24" t="inlineStr">
        <is>
          <t>고위험</t>
        </is>
      </c>
      <c r="X111" s="24" t="inlineStr">
        <is>
          <t>HIGH_RISK</t>
        </is>
      </c>
      <c r="Y111" s="24" t="inlineStr">
        <is>
          <t>0.9494990496511118</t>
        </is>
      </c>
      <c r="Z111" s="24" t="inlineStr">
        <is>
          <t>HIGH</t>
        </is>
      </c>
      <c r="AA111" s="24" t="inlineStr">
        <is>
          <t>HIGH</t>
        </is>
      </c>
      <c r="AB111" s="24" t="inlineStr">
        <is>
          <t>0.2133344405871512</t>
        </is>
      </c>
      <c r="AC111" s="24" t="inlineStr">
        <is>
          <t>False</t>
        </is>
      </c>
      <c r="AD111" s="24" t="inlineStr">
        <is>
          <t>False</t>
        </is>
      </c>
      <c r="AE111" s="24" t="inlineStr">
        <is>
          <t>valuation_credit_ml_overlay_candidate.csv</t>
        </is>
      </c>
      <c r="AF111" s="24" t="inlineStr">
        <is>
          <t>208개 반도체 reference universe. Valuation Agent가 자체 intake 폴더로 복제해 Peer/ML/대시보드 비교에 사용.</t>
        </is>
      </c>
    </row>
    <row r="112" ht="24" customHeight="1">
      <c r="A112" s="29" t="inlineStr">
        <is>
          <t>201</t>
        </is>
      </c>
      <c r="B112" s="29" t="inlineStr">
        <is>
          <t>해당 없음</t>
        </is>
      </c>
      <c r="C112" s="29" t="inlineStr">
        <is>
          <t>엠디바이스</t>
        </is>
      </c>
      <c r="D112" s="29" t="inlineStr">
        <is>
          <t>226590</t>
        </is>
      </c>
      <c r="E112" s="29" t="inlineStr">
        <is>
          <t>KOSDAQ</t>
        </is>
      </c>
      <c r="F112" s="29" t="inlineStr">
        <is>
          <t>부품/기판</t>
        </is>
      </c>
      <c r="G112" s="29" t="inlineStr">
        <is>
          <t>부품/기판</t>
        </is>
      </c>
      <c r="H112" s="29" t="inlineStr">
        <is>
          <t>False</t>
        </is>
      </c>
      <c r="I112" s="29" t="inlineStr">
        <is>
          <t>True</t>
        </is>
      </c>
      <c r="J112" s="29" t="inlineStr">
        <is>
          <t>OK_LIMITED_HISTORY_OR_GROWTH_NA</t>
        </is>
      </c>
      <c r="K112" s="29" t="inlineStr">
        <is>
          <t>데이터 사용 가능</t>
        </is>
      </c>
      <c r="L112" s="29" t="inlineStr">
        <is>
          <t>LOW</t>
        </is>
      </c>
      <c r="M112" s="29" t="inlineStr">
        <is>
          <t>LOW</t>
        </is>
      </c>
      <c r="N112" s="29" t="inlineStr">
        <is>
          <t>0.531904761904762</t>
        </is>
      </c>
      <c r="O112" s="29" t="inlineStr">
        <is>
          <t>FAIR</t>
        </is>
      </c>
      <c r="P112" s="29" t="inlineStr">
        <is>
          <t>FAIR</t>
        </is>
      </c>
      <c r="Q112" s="29" t="inlineStr">
        <is>
          <t>FAIR</t>
        </is>
      </c>
      <c r="R112" s="29" t="inlineStr">
        <is>
          <t>0.7655361666958056</t>
        </is>
      </c>
      <c r="S112" s="29" t="inlineStr">
        <is>
          <t>HIGH</t>
        </is>
      </c>
      <c r="T112" s="29" t="inlineStr">
        <is>
          <t>HIGH</t>
        </is>
      </c>
      <c r="U112" s="29" t="inlineStr">
        <is>
          <t>0.4285714285714285</t>
        </is>
      </c>
      <c r="V112" s="29" t="inlineStr">
        <is>
          <t>HIGH_RISK</t>
        </is>
      </c>
      <c r="W112" s="29" t="inlineStr">
        <is>
          <t>고위험</t>
        </is>
      </c>
      <c r="X112" s="29" t="inlineStr">
        <is>
          <t>HIGH_RISK</t>
        </is>
      </c>
      <c r="Y112" s="29" t="inlineStr">
        <is>
          <t>0.5435613311923726</t>
        </is>
      </c>
      <c r="Z112" s="29" t="inlineStr">
        <is>
          <t>MEDIUM</t>
        </is>
      </c>
      <c r="AA112" s="29" t="inlineStr">
        <is>
          <t>MEDIUM</t>
        </is>
      </c>
      <c r="AB112" s="29" t="inlineStr">
        <is>
          <t>0.09953338023728169</t>
        </is>
      </c>
      <c r="AC112" s="29" t="inlineStr">
        <is>
          <t>False</t>
        </is>
      </c>
      <c r="AD112" s="29" t="inlineStr">
        <is>
          <t>True</t>
        </is>
      </c>
      <c r="AE112" s="29" t="inlineStr">
        <is>
          <t>valuation_credit_ml_overlay_candidate.csv</t>
        </is>
      </c>
      <c r="AF112" s="29" t="inlineStr">
        <is>
          <t>208개 반도체 reference universe. Valuation Agent가 자체 intake 폴더로 복제해 Peer/ML/대시보드 비교에 사용.</t>
        </is>
      </c>
    </row>
    <row r="113" ht="24" customHeight="1">
      <c r="A113" s="24" t="inlineStr">
        <is>
          <t>207</t>
        </is>
      </c>
      <c r="B113" s="24" t="inlineStr">
        <is>
          <t>해당 없음</t>
        </is>
      </c>
      <c r="C113" s="24" t="inlineStr">
        <is>
          <t>타이거일렉</t>
        </is>
      </c>
      <c r="D113" s="24" t="inlineStr">
        <is>
          <t>219130</t>
        </is>
      </c>
      <c r="E113" s="24" t="inlineStr">
        <is>
          <t>KOSDAQ</t>
        </is>
      </c>
      <c r="F113" s="24" t="inlineStr">
        <is>
          <t>부품/기판</t>
        </is>
      </c>
      <c r="G113" s="24" t="inlineStr">
        <is>
          <t>부품/기판</t>
        </is>
      </c>
      <c r="H113" s="24" t="inlineStr">
        <is>
          <t>False</t>
        </is>
      </c>
      <c r="I113" s="24" t="inlineStr">
        <is>
          <t>True</t>
        </is>
      </c>
      <c r="J113" s="24" t="inlineStr">
        <is>
          <t>OK</t>
        </is>
      </c>
      <c r="K113" s="24" t="inlineStr">
        <is>
          <t>데이터 사용 가능</t>
        </is>
      </c>
      <c r="L113" s="24" t="inlineStr">
        <is>
          <t>LOW</t>
        </is>
      </c>
      <c r="M113" s="24" t="inlineStr">
        <is>
          <t>LOW</t>
        </is>
      </c>
      <c r="N113" s="24" t="inlineStr">
        <is>
          <t>0.5066666666666667</t>
        </is>
      </c>
      <c r="O113" s="24" t="inlineStr">
        <is>
          <t>FAIR</t>
        </is>
      </c>
      <c r="P113" s="24" t="inlineStr">
        <is>
          <t>FAIR</t>
        </is>
      </c>
      <c r="Q113" s="24" t="inlineStr">
        <is>
          <t>FAIR</t>
        </is>
      </c>
      <c r="R113" s="24" t="inlineStr">
        <is>
          <t>0.6463040733623892</t>
        </is>
      </c>
      <c r="S113" s="24" t="inlineStr">
        <is>
          <t>MEDIUM</t>
        </is>
      </c>
      <c r="T113" s="24" t="inlineStr">
        <is>
          <t>MEDIUM</t>
        </is>
      </c>
      <c r="U113" s="24" t="inlineStr">
        <is>
          <t>0.1428571428571428</t>
        </is>
      </c>
      <c r="V113" s="24" t="inlineStr">
        <is>
          <t>LOW_RISK</t>
        </is>
      </c>
      <c r="W113" s="24" t="inlineStr">
        <is>
          <t>저위험</t>
        </is>
      </c>
      <c r="X113" s="24" t="inlineStr">
        <is>
          <t>LOW_RISK</t>
        </is>
      </c>
      <c r="Y113" s="24" t="inlineStr">
        <is>
          <t>0.6693838501840603</t>
        </is>
      </c>
      <c r="Z113" s="24" t="inlineStr">
        <is>
          <t>MEDIUM</t>
        </is>
      </c>
      <c r="AA113" s="24" t="inlineStr">
        <is>
          <t>MEDIUM</t>
        </is>
      </c>
      <c r="AB113" s="24" t="inlineStr">
        <is>
          <t>0.019101509586453232</t>
        </is>
      </c>
      <c r="AC113" s="24" t="inlineStr">
        <is>
          <t>False</t>
        </is>
      </c>
      <c r="AD113" s="24" t="inlineStr">
        <is>
          <t>False</t>
        </is>
      </c>
      <c r="AE113" s="24" t="inlineStr">
        <is>
          <t>valuation_credit_ml_overlay_candidate.csv</t>
        </is>
      </c>
      <c r="AF113" s="24" t="inlineStr">
        <is>
          <t>208개 반도체 reference universe. Valuation Agent가 자체 intake 폴더로 복제해 Peer/ML/대시보드 비교에 사용.</t>
        </is>
      </c>
    </row>
    <row r="114" ht="24" customHeight="1">
      <c r="A114" s="29" t="inlineStr">
        <is>
          <t>202</t>
        </is>
      </c>
      <c r="B114" s="29" t="inlineStr">
        <is>
          <t>해당 없음</t>
        </is>
      </c>
      <c r="C114" s="29" t="inlineStr">
        <is>
          <t>이수페타시스</t>
        </is>
      </c>
      <c r="D114" s="29" t="inlineStr">
        <is>
          <t>007660</t>
        </is>
      </c>
      <c r="E114" s="29" t="inlineStr">
        <is>
          <t>KOSPI</t>
        </is>
      </c>
      <c r="F114" s="29" t="inlineStr">
        <is>
          <t>부품/기판</t>
        </is>
      </c>
      <c r="G114" s="29" t="inlineStr">
        <is>
          <t>부품/기판</t>
        </is>
      </c>
      <c r="H114" s="29" t="inlineStr">
        <is>
          <t>False</t>
        </is>
      </c>
      <c r="I114" s="29" t="inlineStr">
        <is>
          <t>True</t>
        </is>
      </c>
      <c r="J114" s="29" t="inlineStr">
        <is>
          <t>OK</t>
        </is>
      </c>
      <c r="K114" s="29" t="inlineStr">
        <is>
          <t>데이터 사용 가능</t>
        </is>
      </c>
      <c r="L114" s="29" t="inlineStr">
        <is>
          <t>LOW</t>
        </is>
      </c>
      <c r="M114" s="29" t="inlineStr">
        <is>
          <t>LOW</t>
        </is>
      </c>
      <c r="N114" s="29" t="inlineStr">
        <is>
          <t>0.5061904761904762</t>
        </is>
      </c>
      <c r="O114" s="29" t="inlineStr">
        <is>
          <t>FAIR</t>
        </is>
      </c>
      <c r="P114" s="29" t="inlineStr">
        <is>
          <t>FAIR</t>
        </is>
      </c>
      <c r="Q114" s="29" t="inlineStr">
        <is>
          <t>FAIR</t>
        </is>
      </c>
      <c r="R114" s="29" t="inlineStr">
        <is>
          <t>0.599589540069591</t>
        </is>
      </c>
      <c r="S114" s="29" t="inlineStr">
        <is>
          <t>MEDIUM</t>
        </is>
      </c>
      <c r="T114" s="29" t="inlineStr">
        <is>
          <t>MEDIUM</t>
        </is>
      </c>
      <c r="U114" s="29" t="inlineStr">
        <is>
          <t>0.0</t>
        </is>
      </c>
      <c r="V114" s="29" t="inlineStr">
        <is>
          <t>LOW_RISK</t>
        </is>
      </c>
      <c r="W114" s="29" t="inlineStr">
        <is>
          <t>저위험</t>
        </is>
      </c>
      <c r="X114" s="29" t="inlineStr">
        <is>
          <t>LOW_RISK</t>
        </is>
      </c>
      <c r="Y114" s="29" t="inlineStr">
        <is>
          <t>0.8732919913777979</t>
        </is>
      </c>
      <c r="Z114" s="29" t="inlineStr">
        <is>
          <t>HIGH</t>
        </is>
      </c>
      <c r="AA114" s="29" t="inlineStr">
        <is>
          <t>HIGH</t>
        </is>
      </c>
      <c r="AB114" s="29" t="inlineStr">
        <is>
          <t>0.038896158054804106</t>
        </is>
      </c>
      <c r="AC114" s="29" t="inlineStr">
        <is>
          <t>False</t>
        </is>
      </c>
      <c r="AD114" s="29" t="inlineStr">
        <is>
          <t>False</t>
        </is>
      </c>
      <c r="AE114" s="29" t="inlineStr">
        <is>
          <t>valuation_credit_ml_overlay_candidate.csv</t>
        </is>
      </c>
      <c r="AF114" s="29" t="inlineStr">
        <is>
          <t>208개 반도체 reference universe. Valuation Agent가 자체 intake 폴더로 복제해 Peer/ML/대시보드 비교에 사용.</t>
        </is>
      </c>
    </row>
    <row r="115" ht="24" customHeight="1">
      <c r="A115" s="24" t="inlineStr">
        <is>
          <t>205</t>
        </is>
      </c>
      <c r="B115" s="24" t="inlineStr">
        <is>
          <t>해당 없음</t>
        </is>
      </c>
      <c r="C115" s="24" t="inlineStr">
        <is>
          <t>코리아써키트</t>
        </is>
      </c>
      <c r="D115" s="24" t="inlineStr">
        <is>
          <t>007810</t>
        </is>
      </c>
      <c r="E115" s="24" t="inlineStr">
        <is>
          <t>KOSPI</t>
        </is>
      </c>
      <c r="F115" s="24" t="inlineStr">
        <is>
          <t>부품/기판</t>
        </is>
      </c>
      <c r="G115" s="24" t="inlineStr">
        <is>
          <t>부품/기판</t>
        </is>
      </c>
      <c r="H115" s="24" t="inlineStr">
        <is>
          <t>False</t>
        </is>
      </c>
      <c r="I115" s="24" t="inlineStr">
        <is>
          <t>True</t>
        </is>
      </c>
      <c r="J115" s="24" t="inlineStr">
        <is>
          <t>OK</t>
        </is>
      </c>
      <c r="K115" s="24" t="inlineStr">
        <is>
          <t>데이터 사용 가능</t>
        </is>
      </c>
      <c r="L115" s="24" t="inlineStr">
        <is>
          <t>LOW</t>
        </is>
      </c>
      <c r="M115" s="24" t="inlineStr">
        <is>
          <t>LOW</t>
        </is>
      </c>
      <c r="N115" s="24" t="inlineStr">
        <is>
          <t>0.4676190476190476</t>
        </is>
      </c>
      <c r="O115" s="24" t="inlineStr">
        <is>
          <t>FAIR</t>
        </is>
      </c>
      <c r="P115" s="24" t="inlineStr">
        <is>
          <t>FAIR</t>
        </is>
      </c>
      <c r="Q115" s="24" t="inlineStr">
        <is>
          <t>FAIR</t>
        </is>
      </c>
      <c r="R115" s="24" t="inlineStr">
        <is>
          <t>0.8409076697911426</t>
        </is>
      </c>
      <c r="S115" s="24" t="inlineStr">
        <is>
          <t>HIGH</t>
        </is>
      </c>
      <c r="T115" s="24" t="inlineStr">
        <is>
          <t>HIGH</t>
        </is>
      </c>
      <c r="U115" s="24" t="inlineStr">
        <is>
          <t>0.2857142857142857</t>
        </is>
      </c>
      <c r="V115" s="24" t="inlineStr">
        <is>
          <t>MEDIUM_RISK</t>
        </is>
      </c>
      <c r="W115" s="24" t="inlineStr">
        <is>
          <t>중위험</t>
        </is>
      </c>
      <c r="X115" s="24" t="inlineStr">
        <is>
          <t>LOW_RISK</t>
        </is>
      </c>
      <c r="Y115" s="24" t="inlineStr">
        <is>
          <t>0.5792263126697852</t>
        </is>
      </c>
      <c r="Z115" s="24" t="inlineStr">
        <is>
          <t>MEDIUM</t>
        </is>
      </c>
      <c r="AA115" s="24" t="inlineStr">
        <is>
          <t>MEDIUM</t>
        </is>
      </c>
      <c r="AB115" s="24" t="inlineStr">
        <is>
          <t>0.03298450854390864</t>
        </is>
      </c>
      <c r="AC115" s="24" t="inlineStr">
        <is>
          <t>False</t>
        </is>
      </c>
      <c r="AD115" s="24" t="inlineStr">
        <is>
          <t>False</t>
        </is>
      </c>
      <c r="AE115" s="24" t="inlineStr">
        <is>
          <t>valuation_credit_ml_overlay_candidate.csv</t>
        </is>
      </c>
      <c r="AF115" s="24" t="inlineStr">
        <is>
          <t>208개 반도체 reference universe. Valuation Agent가 자체 intake 폴더로 복제해 Peer/ML/대시보드 비교에 사용.</t>
        </is>
      </c>
    </row>
    <row r="116" ht="24" customHeight="1">
      <c r="A116" s="29" t="inlineStr">
        <is>
          <t>200</t>
        </is>
      </c>
      <c r="B116" s="29" t="inlineStr">
        <is>
          <t>해당 없음</t>
        </is>
      </c>
      <c r="C116" s="29" t="inlineStr">
        <is>
          <t>아이티엠반도체</t>
        </is>
      </c>
      <c r="D116" s="29" t="inlineStr">
        <is>
          <t>084850</t>
        </is>
      </c>
      <c r="E116" s="29" t="inlineStr">
        <is>
          <t>KOSDAQ GLOBAL</t>
        </is>
      </c>
      <c r="F116" s="29" t="inlineStr">
        <is>
          <t>부품/기판</t>
        </is>
      </c>
      <c r="G116" s="29" t="inlineStr">
        <is>
          <t>부품/기판</t>
        </is>
      </c>
      <c r="H116" s="29" t="inlineStr">
        <is>
          <t>False</t>
        </is>
      </c>
      <c r="I116" s="29" t="inlineStr">
        <is>
          <t>True</t>
        </is>
      </c>
      <c r="J116" s="29" t="inlineStr">
        <is>
          <t>OK</t>
        </is>
      </c>
      <c r="K116" s="29" t="inlineStr">
        <is>
          <t>데이터 사용 가능</t>
        </is>
      </c>
      <c r="L116" s="29" t="inlineStr">
        <is>
          <t>LOW</t>
        </is>
      </c>
      <c r="M116" s="29" t="inlineStr">
        <is>
          <t>LOW</t>
        </is>
      </c>
      <c r="N116" s="29" t="inlineStr">
        <is>
          <t>0.4123809523809524</t>
        </is>
      </c>
      <c r="O116" s="29" t="inlineStr">
        <is>
          <t>EXPENSIVE</t>
        </is>
      </c>
      <c r="P116" s="29" t="inlineStr">
        <is>
          <t>EXPENSIVE</t>
        </is>
      </c>
      <c r="Q116" s="29" t="inlineStr">
        <is>
          <t>EXPENSIVE</t>
        </is>
      </c>
      <c r="R116" s="29" t="inlineStr">
        <is>
          <t>0.599341656390115</t>
        </is>
      </c>
      <c r="S116" s="29" t="inlineStr">
        <is>
          <t>MEDIUM</t>
        </is>
      </c>
      <c r="T116" s="29" t="inlineStr">
        <is>
          <t>MEDIUM</t>
        </is>
      </c>
      <c r="U116" s="29" t="inlineStr">
        <is>
          <t>0.5</t>
        </is>
      </c>
      <c r="V116" s="29" t="inlineStr">
        <is>
          <t>HIGH_RISK</t>
        </is>
      </c>
      <c r="W116" s="29" t="inlineStr">
        <is>
          <t>고위험</t>
        </is>
      </c>
      <c r="X116" s="29" t="inlineStr">
        <is>
          <t>HIGH_RISK</t>
        </is>
      </c>
      <c r="Y116" s="29" t="inlineStr">
        <is>
          <t>0.5842218052758918</t>
        </is>
      </c>
      <c r="Z116" s="29" t="inlineStr">
        <is>
          <t>MEDIUM</t>
        </is>
      </c>
      <c r="AA116" s="29" t="inlineStr">
        <is>
          <t>MEDIUM</t>
        </is>
      </c>
      <c r="AB116" s="29" t="inlineStr">
        <is>
          <t>0.24031195088694401</t>
        </is>
      </c>
      <c r="AC116" s="29" t="inlineStr">
        <is>
          <t>True</t>
        </is>
      </c>
      <c r="AD116" s="29" t="inlineStr">
        <is>
          <t>True</t>
        </is>
      </c>
      <c r="AE116" s="29" t="inlineStr">
        <is>
          <t>valuation_credit_ml_overlay_candidate.csv</t>
        </is>
      </c>
      <c r="AF116" s="29" t="inlineStr">
        <is>
          <t>208개 반도체 reference universe. Valuation Agent가 자체 intake 폴더로 복제해 Peer/ML/대시보드 비교에 사용.</t>
        </is>
      </c>
    </row>
    <row r="117" ht="24" customHeight="1">
      <c r="A117" s="24" t="inlineStr">
        <is>
          <t>195</t>
        </is>
      </c>
      <c r="B117" s="24" t="inlineStr">
        <is>
          <t>해당 없음</t>
        </is>
      </c>
      <c r="C117" s="24" t="inlineStr">
        <is>
          <t>대덕전자</t>
        </is>
      </c>
      <c r="D117" s="24" t="inlineStr">
        <is>
          <t>353200</t>
        </is>
      </c>
      <c r="E117" s="24" t="inlineStr">
        <is>
          <t>KOSPI</t>
        </is>
      </c>
      <c r="F117" s="24" t="inlineStr">
        <is>
          <t>부품/기판</t>
        </is>
      </c>
      <c r="G117" s="24" t="inlineStr">
        <is>
          <t>부품/기판</t>
        </is>
      </c>
      <c r="H117" s="24" t="inlineStr">
        <is>
          <t>False</t>
        </is>
      </c>
      <c r="I117" s="24" t="inlineStr">
        <is>
          <t>True</t>
        </is>
      </c>
      <c r="J117" s="24" t="inlineStr">
        <is>
          <t>OK</t>
        </is>
      </c>
      <c r="K117" s="24" t="inlineStr">
        <is>
          <t>데이터 사용 가능</t>
        </is>
      </c>
      <c r="L117" s="24" t="inlineStr">
        <is>
          <t>LOW</t>
        </is>
      </c>
      <c r="M117" s="24" t="inlineStr">
        <is>
          <t>LOW</t>
        </is>
      </c>
      <c r="N117" s="24" t="inlineStr">
        <is>
          <t>0.3966666666666666</t>
        </is>
      </c>
      <c r="O117" s="24" t="inlineStr">
        <is>
          <t>EXPENSIVE</t>
        </is>
      </c>
      <c r="P117" s="24" t="inlineStr">
        <is>
          <t>EXPENSIVE</t>
        </is>
      </c>
      <c r="Q117" s="24" t="inlineStr">
        <is>
          <t>EXPENSIVE</t>
        </is>
      </c>
      <c r="R117" s="24" t="inlineStr">
        <is>
          <t>0.6645756407915718</t>
        </is>
      </c>
      <c r="S117" s="24" t="inlineStr">
        <is>
          <t>MEDIUM</t>
        </is>
      </c>
      <c r="T117" s="24" t="inlineStr">
        <is>
          <t>MEDIUM</t>
        </is>
      </c>
      <c r="U117" s="24" t="inlineStr">
        <is>
          <t>0.1428571428571428</t>
        </is>
      </c>
      <c r="V117" s="24" t="inlineStr">
        <is>
          <t>LOW_RISK</t>
        </is>
      </c>
      <c r="W117" s="24" t="inlineStr">
        <is>
          <t>저위험</t>
        </is>
      </c>
      <c r="X117" s="24" t="inlineStr">
        <is>
          <t>LOW_RISK</t>
        </is>
      </c>
      <c r="Y117" s="24" t="inlineStr">
        <is>
          <t>0.8790575945794377</t>
        </is>
      </c>
      <c r="Z117" s="24" t="inlineStr">
        <is>
          <t>HIGH</t>
        </is>
      </c>
      <c r="AA117" s="24" t="inlineStr">
        <is>
          <t>HIGH</t>
        </is>
      </c>
      <c r="AB117" s="24" t="inlineStr">
        <is>
          <t>0.04079572535822507</t>
        </is>
      </c>
      <c r="AC117" s="24" t="inlineStr">
        <is>
          <t>False</t>
        </is>
      </c>
      <c r="AD117" s="24" t="inlineStr">
        <is>
          <t>False</t>
        </is>
      </c>
      <c r="AE117" s="24" t="inlineStr">
        <is>
          <t>valuation_credit_ml_overlay_candidate.csv</t>
        </is>
      </c>
      <c r="AF117" s="24" t="inlineStr">
        <is>
          <t>208개 반도체 reference universe. Valuation Agent가 자체 intake 폴더로 복제해 Peer/ML/대시보드 비교에 사용.</t>
        </is>
      </c>
    </row>
    <row r="118" ht="24" customHeight="1">
      <c r="A118" s="29" t="inlineStr">
        <is>
          <t>197</t>
        </is>
      </c>
      <c r="B118" s="29" t="inlineStr">
        <is>
          <t>해당 없음</t>
        </is>
      </c>
      <c r="C118" s="29" t="inlineStr">
        <is>
          <t>심텍</t>
        </is>
      </c>
      <c r="D118" s="29" t="inlineStr">
        <is>
          <t>222800</t>
        </is>
      </c>
      <c r="E118" s="29" t="inlineStr">
        <is>
          <t>KOSDAQ GLOBAL</t>
        </is>
      </c>
      <c r="F118" s="29" t="inlineStr">
        <is>
          <t>부품/기판</t>
        </is>
      </c>
      <c r="G118" s="29" t="inlineStr">
        <is>
          <t>부품/기판</t>
        </is>
      </c>
      <c r="H118" s="29" t="inlineStr">
        <is>
          <t>False</t>
        </is>
      </c>
      <c r="I118" s="29" t="inlineStr">
        <is>
          <t>True</t>
        </is>
      </c>
      <c r="J118" s="29" t="inlineStr">
        <is>
          <t>OK</t>
        </is>
      </c>
      <c r="K118" s="29" t="inlineStr">
        <is>
          <t>데이터 사용 가능</t>
        </is>
      </c>
      <c r="L118" s="29" t="inlineStr">
        <is>
          <t>LOW</t>
        </is>
      </c>
      <c r="M118" s="29" t="inlineStr">
        <is>
          <t>LOW</t>
        </is>
      </c>
      <c r="N118" s="29" t="inlineStr">
        <is>
          <t>0.3776190476190476</t>
        </is>
      </c>
      <c r="O118" s="29" t="inlineStr">
        <is>
          <t>EXPENSIVE</t>
        </is>
      </c>
      <c r="P118" s="29" t="inlineStr">
        <is>
          <t>EXPENSIVE</t>
        </is>
      </c>
      <c r="Q118" s="29" t="inlineStr">
        <is>
          <t>EXPENSIVE</t>
        </is>
      </c>
      <c r="R118" s="29" t="inlineStr">
        <is>
          <t>0.5170784842162837</t>
        </is>
      </c>
      <c r="S118" s="29" t="inlineStr">
        <is>
          <t>MEDIUM</t>
        </is>
      </c>
      <c r="T118" s="29" t="inlineStr">
        <is>
          <t>MEDIUM</t>
        </is>
      </c>
      <c r="U118" s="29" t="inlineStr">
        <is>
          <t>0.5714285714285714</t>
        </is>
      </c>
      <c r="V118" s="29" t="inlineStr">
        <is>
          <t>HIGH_RISK</t>
        </is>
      </c>
      <c r="W118" s="29" t="inlineStr">
        <is>
          <t>고위험</t>
        </is>
      </c>
      <c r="X118" s="29" t="inlineStr">
        <is>
          <t>HIGH_RISK</t>
        </is>
      </c>
      <c r="Y118" s="29" t="inlineStr">
        <is>
          <t>0.8465973773812472</t>
        </is>
      </c>
      <c r="Z118" s="29" t="inlineStr">
        <is>
          <t>HIGH</t>
        </is>
      </c>
      <c r="AA118" s="29" t="inlineStr">
        <is>
          <t>HIGH</t>
        </is>
      </c>
      <c r="AB118" s="29" t="inlineStr">
        <is>
          <t>0.10596332114746113</t>
        </is>
      </c>
      <c r="AC118" s="29" t="inlineStr">
        <is>
          <t>False</t>
        </is>
      </c>
      <c r="AD118" s="29" t="inlineStr">
        <is>
          <t>False</t>
        </is>
      </c>
      <c r="AE118" s="29" t="inlineStr">
        <is>
          <t>valuation_credit_ml_overlay_candidate.csv</t>
        </is>
      </c>
      <c r="AF118" s="29" t="inlineStr">
        <is>
          <t>208개 반도체 reference universe. Valuation Agent가 자체 intake 폴더로 복제해 Peer/ML/대시보드 비교에 사용.</t>
        </is>
      </c>
    </row>
    <row r="119" ht="24" customHeight="1">
      <c r="A119" s="24" t="inlineStr">
        <is>
          <t>199</t>
        </is>
      </c>
      <c r="B119" s="24" t="inlineStr">
        <is>
          <t>해당 없음</t>
        </is>
      </c>
      <c r="C119" s="24" t="inlineStr">
        <is>
          <t>아이에이</t>
        </is>
      </c>
      <c r="D119" s="24" t="inlineStr">
        <is>
          <t>038880</t>
        </is>
      </c>
      <c r="E119" s="24" t="inlineStr">
        <is>
          <t>KOSDAQ</t>
        </is>
      </c>
      <c r="F119" s="24" t="inlineStr">
        <is>
          <t>부품/기판</t>
        </is>
      </c>
      <c r="G119" s="24" t="inlineStr">
        <is>
          <t>부품/기판</t>
        </is>
      </c>
      <c r="H119" s="24" t="inlineStr">
        <is>
          <t>False</t>
        </is>
      </c>
      <c r="I119" s="24" t="inlineStr">
        <is>
          <t>True</t>
        </is>
      </c>
      <c r="J119" s="24" t="inlineStr">
        <is>
          <t>OK</t>
        </is>
      </c>
      <c r="K119" s="24" t="inlineStr">
        <is>
          <t>데이터 사용 가능</t>
        </is>
      </c>
      <c r="L119" s="24" t="inlineStr">
        <is>
          <t>LOW</t>
        </is>
      </c>
      <c r="M119" s="24" t="inlineStr">
        <is>
          <t>LOW</t>
        </is>
      </c>
      <c r="N119" s="24" t="inlineStr">
        <is>
          <t>0.3776190476190476</t>
        </is>
      </c>
      <c r="O119" s="24" t="inlineStr">
        <is>
          <t>EXPENSIVE</t>
        </is>
      </c>
      <c r="P119" s="24" t="inlineStr">
        <is>
          <t>EXPENSIVE</t>
        </is>
      </c>
      <c r="Q119" s="24" t="inlineStr">
        <is>
          <t>EXPENSIVE</t>
        </is>
      </c>
      <c r="R119" s="24" t="inlineStr">
        <is>
          <t>0.7739089828714508</t>
        </is>
      </c>
      <c r="S119" s="24" t="inlineStr">
        <is>
          <t>HIGH</t>
        </is>
      </c>
      <c r="T119" s="24" t="inlineStr">
        <is>
          <t>HIGH</t>
        </is>
      </c>
      <c r="U119" s="24" t="inlineStr">
        <is>
          <t>0.7142857142857143</t>
        </is>
      </c>
      <c r="V119" s="24" t="inlineStr">
        <is>
          <t>HIGH_RISK</t>
        </is>
      </c>
      <c r="W119" s="24" t="inlineStr">
        <is>
          <t>고위험</t>
        </is>
      </c>
      <c r="X119" s="24" t="inlineStr">
        <is>
          <t>HIGH_RISK</t>
        </is>
      </c>
      <c r="Y119" s="24" t="inlineStr">
        <is>
          <t>0.9768034906818953</t>
        </is>
      </c>
      <c r="Z119" s="24" t="inlineStr">
        <is>
          <t>HIGH</t>
        </is>
      </c>
      <c r="AA119" s="24" t="inlineStr">
        <is>
          <t>HIGH</t>
        </is>
      </c>
      <c r="AB119" s="24" t="inlineStr">
        <is>
          <t>0.2681205370430481</t>
        </is>
      </c>
      <c r="AC119" s="24" t="inlineStr">
        <is>
          <t>True</t>
        </is>
      </c>
      <c r="AD119" s="24" t="inlineStr">
        <is>
          <t>True</t>
        </is>
      </c>
      <c r="AE119" s="24" t="inlineStr">
        <is>
          <t>valuation_credit_ml_overlay_candidate.csv</t>
        </is>
      </c>
      <c r="AF119" s="24" t="inlineStr">
        <is>
          <t>208개 반도체 reference universe. Valuation Agent가 자체 intake 폴더로 복제해 Peer/ML/대시보드 비교에 사용.</t>
        </is>
      </c>
    </row>
    <row r="120" ht="24" customHeight="1">
      <c r="A120" s="29" t="inlineStr">
        <is>
          <t>208</t>
        </is>
      </c>
      <c r="B120" s="29" t="inlineStr">
        <is>
          <t>해당 없음</t>
        </is>
      </c>
      <c r="C120" s="29" t="inlineStr">
        <is>
          <t>3S</t>
        </is>
      </c>
      <c r="D120" s="29" t="inlineStr">
        <is>
          <t>060310</t>
        </is>
      </c>
      <c r="E120" s="29" t="inlineStr">
        <is>
          <t>KOSDAQ</t>
        </is>
      </c>
      <c r="F120" s="29" t="inlineStr">
        <is>
          <t>부품/기판</t>
        </is>
      </c>
      <c r="G120" s="29" t="inlineStr">
        <is>
          <t>부품/웨이퍼캐리어</t>
        </is>
      </c>
      <c r="H120" s="29" t="inlineStr">
        <is>
          <t>False</t>
        </is>
      </c>
      <c r="I120" s="29" t="inlineStr">
        <is>
          <t>True</t>
        </is>
      </c>
      <c r="J120" s="29" t="inlineStr">
        <is>
          <t>OK</t>
        </is>
      </c>
      <c r="K120" s="29" t="inlineStr">
        <is>
          <t>데이터 사용 가능</t>
        </is>
      </c>
      <c r="L120" s="29" t="inlineStr">
        <is>
          <t>LOW</t>
        </is>
      </c>
      <c r="M120" s="29" t="inlineStr">
        <is>
          <t>LOW</t>
        </is>
      </c>
      <c r="N120" s="29" t="inlineStr">
        <is>
          <t>0.3409523809523809</t>
        </is>
      </c>
      <c r="O120" s="29" t="inlineStr">
        <is>
          <t>EXPENSIVE</t>
        </is>
      </c>
      <c r="P120" s="29" t="inlineStr">
        <is>
          <t>EXPENSIVE</t>
        </is>
      </c>
      <c r="Q120" s="29" t="inlineStr">
        <is>
          <t>EXPENSIVE</t>
        </is>
      </c>
      <c r="R120" s="29" t="inlineStr">
        <is>
          <t>0.8755971854841007</t>
        </is>
      </c>
      <c r="S120" s="29" t="inlineStr">
        <is>
          <t>HIGH</t>
        </is>
      </c>
      <c r="T120" s="29" t="inlineStr">
        <is>
          <t>HIGH</t>
        </is>
      </c>
      <c r="U120" s="29" t="inlineStr">
        <is>
          <t>0.5714285714285714</t>
        </is>
      </c>
      <c r="V120" s="29" t="inlineStr">
        <is>
          <t>HIGH_RISK</t>
        </is>
      </c>
      <c r="W120" s="29" t="inlineStr">
        <is>
          <t>고위험</t>
        </is>
      </c>
      <c r="X120" s="29" t="inlineStr">
        <is>
          <t>HIGH_RISK</t>
        </is>
      </c>
      <c r="Y120" s="29" t="inlineStr">
        <is>
          <t>0.9688627439088098</t>
        </is>
      </c>
      <c r="Z120" s="29" t="inlineStr">
        <is>
          <t>HIGH</t>
        </is>
      </c>
      <c r="AA120" s="29" t="inlineStr">
        <is>
          <t>HIGH</t>
        </is>
      </c>
      <c r="AB120" s="29" t="inlineStr">
        <is>
          <t>0.13174199880530135</t>
        </is>
      </c>
      <c r="AC120" s="29" t="inlineStr">
        <is>
          <t>False</t>
        </is>
      </c>
      <c r="AD120" s="29" t="inlineStr">
        <is>
          <t>False</t>
        </is>
      </c>
      <c r="AE120" s="29" t="inlineStr">
        <is>
          <t>valuation_credit_ml_overlay_candidate.csv</t>
        </is>
      </c>
      <c r="AF120" s="29" t="inlineStr">
        <is>
          <t>208개 반도체 reference universe. Valuation Agent가 자체 intake 폴더로 복제해 Peer/ML/대시보드 비교에 사용.</t>
        </is>
      </c>
    </row>
    <row r="121" ht="24" customHeight="1">
      <c r="A121" s="24" t="inlineStr">
        <is>
          <t>139</t>
        </is>
      </c>
      <c r="B121" s="24" t="inlineStr">
        <is>
          <t>해당 없음</t>
        </is>
      </c>
      <c r="C121" s="24" t="inlineStr">
        <is>
          <t>월덱스</t>
        </is>
      </c>
      <c r="D121" s="24" t="inlineStr">
        <is>
          <t>101160</t>
        </is>
      </c>
      <c r="E121" s="24" t="inlineStr">
        <is>
          <t>KOSDAQ</t>
        </is>
      </c>
      <c r="F121" s="24" t="inlineStr">
        <is>
          <t>소재</t>
        </is>
      </c>
      <c r="G121" s="24" t="inlineStr">
        <is>
          <t>소재</t>
        </is>
      </c>
      <c r="H121" s="24" t="inlineStr">
        <is>
          <t>False</t>
        </is>
      </c>
      <c r="I121" s="24" t="inlineStr">
        <is>
          <t>True</t>
        </is>
      </c>
      <c r="J121" s="24" t="inlineStr">
        <is>
          <t>OK</t>
        </is>
      </c>
      <c r="K121" s="24" t="inlineStr">
        <is>
          <t>데이터 사용 가능</t>
        </is>
      </c>
      <c r="L121" s="24" t="inlineStr">
        <is>
          <t>LOW</t>
        </is>
      </c>
      <c r="M121" s="24" t="inlineStr">
        <is>
          <t>LOW</t>
        </is>
      </c>
      <c r="N121" s="24" t="inlineStr">
        <is>
          <t>0.745897435897436</t>
        </is>
      </c>
      <c r="O121" s="24" t="inlineStr">
        <is>
          <t>ATTRACTIVE</t>
        </is>
      </c>
      <c r="P121" s="24" t="inlineStr">
        <is>
          <t>가치 매력</t>
        </is>
      </c>
      <c r="Q121" s="24" t="inlineStr">
        <is>
          <t>ATTRACTIVE</t>
        </is>
      </c>
      <c r="R121" s="24" t="inlineStr">
        <is>
          <t>0.9476922450763601</t>
        </is>
      </c>
      <c r="S121" s="24" t="inlineStr">
        <is>
          <t>HIGH</t>
        </is>
      </c>
      <c r="T121" s="24" t="inlineStr">
        <is>
          <t>HIGH</t>
        </is>
      </c>
      <c r="U121" s="24" t="inlineStr">
        <is>
          <t>0.0</t>
        </is>
      </c>
      <c r="V121" s="24" t="inlineStr">
        <is>
          <t>LOW_RISK</t>
        </is>
      </c>
      <c r="W121" s="24" t="inlineStr">
        <is>
          <t>저위험</t>
        </is>
      </c>
      <c r="X121" s="24" t="inlineStr">
        <is>
          <t>LOW_RISK</t>
        </is>
      </c>
      <c r="Y121" s="24" t="inlineStr">
        <is>
          <t>0.9681016473230849</t>
        </is>
      </c>
      <c r="Z121" s="24" t="inlineStr">
        <is>
          <t>HIGH</t>
        </is>
      </c>
      <c r="AA121" s="24" t="inlineStr">
        <is>
          <t>HIGH</t>
        </is>
      </c>
      <c r="AB121" s="24" t="inlineStr">
        <is>
          <t>0.15527064195126172</t>
        </is>
      </c>
      <c r="AC121" s="24" t="inlineStr">
        <is>
          <t>False</t>
        </is>
      </c>
      <c r="AD121" s="24" t="inlineStr">
        <is>
          <t>False</t>
        </is>
      </c>
      <c r="AE121" s="24" t="inlineStr">
        <is>
          <t>valuation_credit_ml_overlay_candidate.csv</t>
        </is>
      </c>
      <c r="AF121" s="24" t="inlineStr">
        <is>
          <t>208개 반도체 reference universe. Valuation Agent가 자체 intake 폴더로 복제해 Peer/ML/대시보드 비교에 사용.</t>
        </is>
      </c>
    </row>
    <row r="122" ht="24" customHeight="1">
      <c r="A122" s="29" t="inlineStr">
        <is>
          <t>147</t>
        </is>
      </c>
      <c r="B122" s="29" t="inlineStr">
        <is>
          <t>해당 없음</t>
        </is>
      </c>
      <c r="C122" s="29" t="inlineStr">
        <is>
          <t>퓨릿</t>
        </is>
      </c>
      <c r="D122" s="29" t="inlineStr">
        <is>
          <t>445180</t>
        </is>
      </c>
      <c r="E122" s="29" t="inlineStr">
        <is>
          <t>KOSDAQ</t>
        </is>
      </c>
      <c r="F122" s="29" t="inlineStr">
        <is>
          <t>소재</t>
        </is>
      </c>
      <c r="G122" s="29" t="inlineStr">
        <is>
          <t>소재</t>
        </is>
      </c>
      <c r="H122" s="29" t="inlineStr">
        <is>
          <t>False</t>
        </is>
      </c>
      <c r="I122" s="29" t="inlineStr">
        <is>
          <t>True</t>
        </is>
      </c>
      <c r="J122" s="29" t="inlineStr">
        <is>
          <t>OK_LIMITED_HISTORY_OR_GROWTH_NA</t>
        </is>
      </c>
      <c r="K122" s="29" t="inlineStr">
        <is>
          <t>데이터 사용 가능</t>
        </is>
      </c>
      <c r="L122" s="29" t="inlineStr">
        <is>
          <t>LOW</t>
        </is>
      </c>
      <c r="M122" s="29" t="inlineStr">
        <is>
          <t>LOW</t>
        </is>
      </c>
      <c r="N122" s="29" t="inlineStr">
        <is>
          <t>0.7448717948717948</t>
        </is>
      </c>
      <c r="O122" s="29" t="inlineStr">
        <is>
          <t>ATTRACTIVE</t>
        </is>
      </c>
      <c r="P122" s="29" t="inlineStr">
        <is>
          <t>가치 매력</t>
        </is>
      </c>
      <c r="Q122" s="29" t="inlineStr">
        <is>
          <t>ATTRACTIVE</t>
        </is>
      </c>
      <c r="R122" s="29" t="inlineStr">
        <is>
          <t>0.8817607106455689</t>
        </is>
      </c>
      <c r="S122" s="29" t="inlineStr">
        <is>
          <t>HIGH</t>
        </is>
      </c>
      <c r="T122" s="29" t="inlineStr">
        <is>
          <t>HIGH</t>
        </is>
      </c>
      <c r="U122" s="29" t="inlineStr">
        <is>
          <t>0.0714285714285714</t>
        </is>
      </c>
      <c r="V122" s="29" t="inlineStr">
        <is>
          <t>LOW_RISK</t>
        </is>
      </c>
      <c r="W122" s="29" t="inlineStr">
        <is>
          <t>저위험</t>
        </is>
      </c>
      <c r="X122" s="29" t="inlineStr">
        <is>
          <t>LOW_RISK</t>
        </is>
      </c>
      <c r="Y122" s="29" t="inlineStr">
        <is>
          <t>0.9587686707140917</t>
        </is>
      </c>
      <c r="Z122" s="29" t="inlineStr">
        <is>
          <t>HIGH</t>
        </is>
      </c>
      <c r="AA122" s="29" t="inlineStr">
        <is>
          <t>HIGH</t>
        </is>
      </c>
      <c r="AB122" s="29" t="inlineStr">
        <is>
          <t>0.09055441585311619</t>
        </is>
      </c>
      <c r="AC122" s="29" t="inlineStr">
        <is>
          <t>False</t>
        </is>
      </c>
      <c r="AD122" s="29" t="inlineStr">
        <is>
          <t>True</t>
        </is>
      </c>
      <c r="AE122" s="29" t="inlineStr">
        <is>
          <t>valuation_credit_ml_overlay_candidate.csv</t>
        </is>
      </c>
      <c r="AF122" s="29" t="inlineStr">
        <is>
          <t>208개 반도체 reference universe. Valuation Agent가 자체 intake 폴더로 복제해 Peer/ML/대시보드 비교에 사용.</t>
        </is>
      </c>
    </row>
    <row r="123" ht="24" customHeight="1">
      <c r="A123" s="24" t="inlineStr">
        <is>
          <t>141</t>
        </is>
      </c>
      <c r="B123" s="24" t="inlineStr">
        <is>
          <t>해당 없음</t>
        </is>
      </c>
      <c r="C123" s="24" t="inlineStr">
        <is>
          <t>이엔에프테크놀로지</t>
        </is>
      </c>
      <c r="D123" s="24" t="inlineStr">
        <is>
          <t>102710</t>
        </is>
      </c>
      <c r="E123" s="24" t="inlineStr">
        <is>
          <t>KOSDAQ</t>
        </is>
      </c>
      <c r="F123" s="24" t="inlineStr">
        <is>
          <t>소재</t>
        </is>
      </c>
      <c r="G123" s="24" t="inlineStr">
        <is>
          <t>소재</t>
        </is>
      </c>
      <c r="H123" s="24" t="inlineStr">
        <is>
          <t>False</t>
        </is>
      </c>
      <c r="I123" s="24" t="inlineStr">
        <is>
          <t>True</t>
        </is>
      </c>
      <c r="J123" s="24" t="inlineStr">
        <is>
          <t>OK</t>
        </is>
      </c>
      <c r="K123" s="24" t="inlineStr">
        <is>
          <t>데이터 사용 가능</t>
        </is>
      </c>
      <c r="L123" s="24" t="inlineStr">
        <is>
          <t>LOW</t>
        </is>
      </c>
      <c r="M123" s="24" t="inlineStr">
        <is>
          <t>LOW</t>
        </is>
      </c>
      <c r="N123" s="24" t="inlineStr">
        <is>
          <t>0.7061538461538462</t>
        </is>
      </c>
      <c r="O123" s="24" t="inlineStr">
        <is>
          <t>ATTRACTIVE</t>
        </is>
      </c>
      <c r="P123" s="24" t="inlineStr">
        <is>
          <t>가치 매력</t>
        </is>
      </c>
      <c r="Q123" s="24" t="inlineStr">
        <is>
          <t>ATTRACTIVE</t>
        </is>
      </c>
      <c r="R123" s="24" t="inlineStr">
        <is>
          <t>0.9371627732042065</t>
        </is>
      </c>
      <c r="S123" s="24" t="inlineStr">
        <is>
          <t>HIGH</t>
        </is>
      </c>
      <c r="T123" s="24" t="inlineStr">
        <is>
          <t>HIGH</t>
        </is>
      </c>
      <c r="U123" s="24" t="inlineStr">
        <is>
          <t>0.0</t>
        </is>
      </c>
      <c r="V123" s="24" t="inlineStr">
        <is>
          <t>LOW_RISK</t>
        </is>
      </c>
      <c r="W123" s="24" t="inlineStr">
        <is>
          <t>저위험</t>
        </is>
      </c>
      <c r="X123" s="24" t="inlineStr">
        <is>
          <t>LOW_RISK</t>
        </is>
      </c>
      <c r="Y123" s="24" t="inlineStr">
        <is>
          <t>0.8730332003988217</t>
        </is>
      </c>
      <c r="Z123" s="24" t="inlineStr">
        <is>
          <t>HIGH</t>
        </is>
      </c>
      <c r="AA123" s="24" t="inlineStr">
        <is>
          <t>HIGH</t>
        </is>
      </c>
      <c r="AB123" s="24" t="inlineStr">
        <is>
          <t>0.01762692878431683</t>
        </is>
      </c>
      <c r="AC123" s="24" t="inlineStr">
        <is>
          <t>False</t>
        </is>
      </c>
      <c r="AD123" s="24" t="inlineStr">
        <is>
          <t>False</t>
        </is>
      </c>
      <c r="AE123" s="24" t="inlineStr">
        <is>
          <t>valuation_credit_ml_overlay_candidate.csv</t>
        </is>
      </c>
      <c r="AF123" s="24" t="inlineStr">
        <is>
          <t>208개 반도체 reference universe. Valuation Agent가 자체 intake 폴더로 복제해 Peer/ML/대시보드 비교에 사용.</t>
        </is>
      </c>
    </row>
    <row r="124" ht="24" customHeight="1">
      <c r="A124" s="29" t="inlineStr">
        <is>
          <t>138</t>
        </is>
      </c>
      <c r="B124" s="29" t="inlineStr">
        <is>
          <t>해당 없음</t>
        </is>
      </c>
      <c r="C124" s="29" t="inlineStr">
        <is>
          <t>원익머트리얼즈</t>
        </is>
      </c>
      <c r="D124" s="29" t="inlineStr">
        <is>
          <t>104830</t>
        </is>
      </c>
      <c r="E124" s="29" t="inlineStr">
        <is>
          <t>KOSDAQ</t>
        </is>
      </c>
      <c r="F124" s="29" t="inlineStr">
        <is>
          <t>소재</t>
        </is>
      </c>
      <c r="G124" s="29" t="inlineStr">
        <is>
          <t>소재</t>
        </is>
      </c>
      <c r="H124" s="29" t="inlineStr">
        <is>
          <t>False</t>
        </is>
      </c>
      <c r="I124" s="29" t="inlineStr">
        <is>
          <t>True</t>
        </is>
      </c>
      <c r="J124" s="29" t="inlineStr">
        <is>
          <t>OK</t>
        </is>
      </c>
      <c r="K124" s="29" t="inlineStr">
        <is>
          <t>데이터 사용 가능</t>
        </is>
      </c>
      <c r="L124" s="29" t="inlineStr">
        <is>
          <t>LOW</t>
        </is>
      </c>
      <c r="M124" s="29" t="inlineStr">
        <is>
          <t>LOW</t>
        </is>
      </c>
      <c r="N124" s="29" t="inlineStr">
        <is>
          <t>0.6682051282051282</t>
        </is>
      </c>
      <c r="O124" s="29" t="inlineStr">
        <is>
          <t>FAIR</t>
        </is>
      </c>
      <c r="P124" s="29" t="inlineStr">
        <is>
          <t>FAIR</t>
        </is>
      </c>
      <c r="Q124" s="29" t="inlineStr">
        <is>
          <t>FAIR</t>
        </is>
      </c>
      <c r="R124" s="29" t="inlineStr">
        <is>
          <t>0.9160049727267536</t>
        </is>
      </c>
      <c r="S124" s="29" t="inlineStr">
        <is>
          <t>HIGH</t>
        </is>
      </c>
      <c r="T124" s="29" t="inlineStr">
        <is>
          <t>HIGH</t>
        </is>
      </c>
      <c r="U124" s="29" t="inlineStr">
        <is>
          <t>0.0714285714285714</t>
        </is>
      </c>
      <c r="V124" s="29" t="inlineStr">
        <is>
          <t>LOW_RISK</t>
        </is>
      </c>
      <c r="W124" s="29" t="inlineStr">
        <is>
          <t>저위험</t>
        </is>
      </c>
      <c r="X124" s="29" t="inlineStr">
        <is>
          <t>LOW_RISK</t>
        </is>
      </c>
      <c r="Y124" s="29" t="inlineStr">
        <is>
          <t>0.9269592012859288</t>
        </is>
      </c>
      <c r="Z124" s="29" t="inlineStr">
        <is>
          <t>HIGH</t>
        </is>
      </c>
      <c r="AA124" s="29" t="inlineStr">
        <is>
          <t>HIGH</t>
        </is>
      </c>
      <c r="AB124" s="29" t="inlineStr">
        <is>
          <t>0.08809933839296093</t>
        </is>
      </c>
      <c r="AC124" s="29" t="inlineStr">
        <is>
          <t>False</t>
        </is>
      </c>
      <c r="AD124" s="29" t="inlineStr">
        <is>
          <t>False</t>
        </is>
      </c>
      <c r="AE124" s="29" t="inlineStr">
        <is>
          <t>valuation_credit_ml_overlay_candidate.csv</t>
        </is>
      </c>
      <c r="AF124" s="29" t="inlineStr">
        <is>
          <t>208개 반도체 reference universe. Valuation Agent가 자체 intake 폴더로 복제해 Peer/ML/대시보드 비교에 사용.</t>
        </is>
      </c>
    </row>
    <row r="125" ht="24" customHeight="1">
      <c r="A125" s="24" t="inlineStr">
        <is>
          <t>130</t>
        </is>
      </c>
      <c r="B125" s="24" t="inlineStr">
        <is>
          <t>해당 없음</t>
        </is>
      </c>
      <c r="C125" s="24" t="inlineStr">
        <is>
          <t>솔브레인홀딩스</t>
        </is>
      </c>
      <c r="D125" s="24" t="inlineStr">
        <is>
          <t>036830</t>
        </is>
      </c>
      <c r="E125" s="24" t="inlineStr">
        <is>
          <t>KOSDAQ GLOBAL</t>
        </is>
      </c>
      <c r="F125" s="24" t="inlineStr">
        <is>
          <t>소재</t>
        </is>
      </c>
      <c r="G125" s="24" t="inlineStr">
        <is>
          <t>소재</t>
        </is>
      </c>
      <c r="H125" s="24" t="inlineStr">
        <is>
          <t>False</t>
        </is>
      </c>
      <c r="I125" s="24" t="inlineStr">
        <is>
          <t>True</t>
        </is>
      </c>
      <c r="J125" s="24" t="inlineStr">
        <is>
          <t>OK</t>
        </is>
      </c>
      <c r="K125" s="24" t="inlineStr">
        <is>
          <t>데이터 사용 가능</t>
        </is>
      </c>
      <c r="L125" s="24" t="inlineStr">
        <is>
          <t>LOW</t>
        </is>
      </c>
      <c r="M125" s="24" t="inlineStr">
        <is>
          <t>LOW</t>
        </is>
      </c>
      <c r="N125" s="24" t="inlineStr">
        <is>
          <t>0.6666666666666667</t>
        </is>
      </c>
      <c r="O125" s="24" t="inlineStr">
        <is>
          <t>ATTRACTIVE</t>
        </is>
      </c>
      <c r="P125" s="24" t="inlineStr">
        <is>
          <t>가치 매력</t>
        </is>
      </c>
      <c r="Q125" s="24" t="inlineStr">
        <is>
          <t>ATTRACTIVE</t>
        </is>
      </c>
      <c r="R125" s="24" t="inlineStr">
        <is>
          <t>0.5229115612060397</t>
        </is>
      </c>
      <c r="S125" s="24" t="inlineStr">
        <is>
          <t>MEDIUM</t>
        </is>
      </c>
      <c r="T125" s="24" t="inlineStr">
        <is>
          <t>MEDIUM</t>
        </is>
      </c>
      <c r="U125" s="24" t="inlineStr">
        <is>
          <t>0.0</t>
        </is>
      </c>
      <c r="V125" s="24" t="inlineStr">
        <is>
          <t>LOW_RISK</t>
        </is>
      </c>
      <c r="W125" s="24" t="inlineStr">
        <is>
          <t>저위험</t>
        </is>
      </c>
      <c r="X125" s="24" t="inlineStr">
        <is>
          <t>LOW_RISK</t>
        </is>
      </c>
      <c r="Y125" s="24" t="inlineStr">
        <is>
          <t>0.8942479649490351</t>
        </is>
      </c>
      <c r="Z125" s="24" t="inlineStr">
        <is>
          <t>HIGH</t>
        </is>
      </c>
      <c r="AA125" s="24" t="inlineStr">
        <is>
          <t>HIGH</t>
        </is>
      </c>
      <c r="AB125" s="24" t="inlineStr">
        <is>
          <t>0.13058276838656327</t>
        </is>
      </c>
      <c r="AC125" s="24" t="inlineStr">
        <is>
          <t>False</t>
        </is>
      </c>
      <c r="AD125" s="24" t="inlineStr">
        <is>
          <t>False</t>
        </is>
      </c>
      <c r="AE125" s="24" t="inlineStr">
        <is>
          <t>valuation_credit_ml_overlay_candidate.csv</t>
        </is>
      </c>
      <c r="AF125" s="24" t="inlineStr">
        <is>
          <t>208개 반도체 reference universe. Valuation Agent가 자체 intake 폴더로 복제해 Peer/ML/대시보드 비교에 사용.</t>
        </is>
      </c>
    </row>
    <row r="126" ht="24" customHeight="1">
      <c r="A126" s="29" t="inlineStr">
        <is>
          <t>148</t>
        </is>
      </c>
      <c r="B126" s="29" t="inlineStr">
        <is>
          <t>hansol</t>
        </is>
      </c>
      <c r="C126" s="29" t="inlineStr">
        <is>
          <t>한솔케미칼</t>
        </is>
      </c>
      <c r="D126" s="29" t="inlineStr">
        <is>
          <t>014680</t>
        </is>
      </c>
      <c r="E126" s="29" t="inlineStr">
        <is>
          <t>KOSPI</t>
        </is>
      </c>
      <c r="F126" s="29" t="inlineStr">
        <is>
          <t>소재</t>
        </is>
      </c>
      <c r="G126" s="29" t="inlineStr">
        <is>
          <t>소재</t>
        </is>
      </c>
      <c r="H126" s="29" t="inlineStr">
        <is>
          <t>True</t>
        </is>
      </c>
      <c r="I126" s="29" t="inlineStr">
        <is>
          <t>True</t>
        </is>
      </c>
      <c r="J126" s="29" t="inlineStr">
        <is>
          <t>OK</t>
        </is>
      </c>
      <c r="K126" s="29" t="inlineStr">
        <is>
          <t>데이터 사용 가능</t>
        </is>
      </c>
      <c r="L126" s="29" t="inlineStr">
        <is>
          <t>LOW</t>
        </is>
      </c>
      <c r="M126" s="29" t="inlineStr">
        <is>
          <t>LOW</t>
        </is>
      </c>
      <c r="N126" s="29" t="inlineStr">
        <is>
          <t>0.6330769230769231</t>
        </is>
      </c>
      <c r="O126" s="29" t="inlineStr">
        <is>
          <t>ATTRACTIVE</t>
        </is>
      </c>
      <c r="P126" s="29" t="inlineStr">
        <is>
          <t>가치 매력</t>
        </is>
      </c>
      <c r="Q126" s="29" t="inlineStr">
        <is>
          <t>ATTRACTIVE</t>
        </is>
      </c>
      <c r="R126" s="29" t="inlineStr">
        <is>
          <t>0.8364696976606926</t>
        </is>
      </c>
      <c r="S126" s="29" t="inlineStr">
        <is>
          <t>HIGH</t>
        </is>
      </c>
      <c r="T126" s="29" t="inlineStr">
        <is>
          <t>HIGH</t>
        </is>
      </c>
      <c r="U126" s="29" t="inlineStr">
        <is>
          <t>0.0</t>
        </is>
      </c>
      <c r="V126" s="29" t="inlineStr">
        <is>
          <t>LOW_RISK</t>
        </is>
      </c>
      <c r="W126" s="29" t="inlineStr">
        <is>
          <t>저위험</t>
        </is>
      </c>
      <c r="X126" s="29" t="inlineStr">
        <is>
          <t>LOW_RISK</t>
        </is>
      </c>
      <c r="Y126" s="29" t="inlineStr">
        <is>
          <t>0.9711543901439185</t>
        </is>
      </c>
      <c r="Z126" s="29" t="inlineStr">
        <is>
          <t>HIGH</t>
        </is>
      </c>
      <c r="AA126" s="29" t="inlineStr">
        <is>
          <t>HIGH</t>
        </is>
      </c>
      <c r="AB126" s="29" t="inlineStr">
        <is>
          <t>0.058190310497948615</t>
        </is>
      </c>
      <c r="AC126" s="29" t="inlineStr">
        <is>
          <t>False</t>
        </is>
      </c>
      <c r="AD126" s="29" t="inlineStr">
        <is>
          <t>False</t>
        </is>
      </c>
      <c r="AE126" s="29" t="inlineStr">
        <is>
          <t>valuation_credit_ml_overlay_candidate.csv</t>
        </is>
      </c>
      <c r="AF126" s="29" t="inlineStr">
        <is>
          <t>208개 반도체 reference universe. Valuation Agent가 자체 intake 폴더로 복제해 Peer/ML/대시보드 비교에 사용.</t>
        </is>
      </c>
    </row>
    <row r="127" ht="24" customHeight="1">
      <c r="A127" s="24" t="inlineStr">
        <is>
          <t>140</t>
        </is>
      </c>
      <c r="B127" s="24" t="inlineStr">
        <is>
          <t>해당 없음</t>
        </is>
      </c>
      <c r="C127" s="24" t="inlineStr">
        <is>
          <t>이녹스첨단소재</t>
        </is>
      </c>
      <c r="D127" s="24" t="inlineStr">
        <is>
          <t>272290</t>
        </is>
      </c>
      <c r="E127" s="24" t="inlineStr">
        <is>
          <t>KOSDAQ GLOBAL</t>
        </is>
      </c>
      <c r="F127" s="24" t="inlineStr">
        <is>
          <t>소재</t>
        </is>
      </c>
      <c r="G127" s="24" t="inlineStr">
        <is>
          <t>소재</t>
        </is>
      </c>
      <c r="H127" s="24" t="inlineStr">
        <is>
          <t>False</t>
        </is>
      </c>
      <c r="I127" s="24" t="inlineStr">
        <is>
          <t>True</t>
        </is>
      </c>
      <c r="J127" s="24" t="inlineStr">
        <is>
          <t>OK</t>
        </is>
      </c>
      <c r="K127" s="24" t="inlineStr">
        <is>
          <t>데이터 사용 가능</t>
        </is>
      </c>
      <c r="L127" s="24" t="inlineStr">
        <is>
          <t>LOW</t>
        </is>
      </c>
      <c r="M127" s="24" t="inlineStr">
        <is>
          <t>LOW</t>
        </is>
      </c>
      <c r="N127" s="24" t="inlineStr">
        <is>
          <t>0.6312820512820514</t>
        </is>
      </c>
      <c r="O127" s="24" t="inlineStr">
        <is>
          <t>FAIR</t>
        </is>
      </c>
      <c r="P127" s="24" t="inlineStr">
        <is>
          <t>FAIR</t>
        </is>
      </c>
      <c r="Q127" s="24" t="inlineStr">
        <is>
          <t>FAIR</t>
        </is>
      </c>
      <c r="R127" s="24" t="inlineStr">
        <is>
          <t>0.900184891106931</t>
        </is>
      </c>
      <c r="S127" s="24" t="inlineStr">
        <is>
          <t>HIGH</t>
        </is>
      </c>
      <c r="T127" s="24" t="inlineStr">
        <is>
          <t>HIGH</t>
        </is>
      </c>
      <c r="U127" s="24" t="inlineStr">
        <is>
          <t>0.0714285714285714</t>
        </is>
      </c>
      <c r="V127" s="24" t="inlineStr">
        <is>
          <t>LOW_RISK</t>
        </is>
      </c>
      <c r="W127" s="24" t="inlineStr">
        <is>
          <t>저위험</t>
        </is>
      </c>
      <c r="X127" s="24" t="inlineStr">
        <is>
          <t>LOW_RISK</t>
        </is>
      </c>
      <c r="Y127" s="24" t="inlineStr">
        <is>
          <t>0.7417939360948919</t>
        </is>
      </c>
      <c r="Z127" s="24" t="inlineStr">
        <is>
          <t>HIGH</t>
        </is>
      </c>
      <c r="AA127" s="24" t="inlineStr">
        <is>
          <t>HIGH</t>
        </is>
      </c>
      <c r="AB127" s="24" t="inlineStr">
        <is>
          <t>0.06763542968359648</t>
        </is>
      </c>
      <c r="AC127" s="24" t="inlineStr">
        <is>
          <t>False</t>
        </is>
      </c>
      <c r="AD127" s="24" t="inlineStr">
        <is>
          <t>False</t>
        </is>
      </c>
      <c r="AE127" s="24" t="inlineStr">
        <is>
          <t>valuation_credit_ml_overlay_candidate.csv</t>
        </is>
      </c>
      <c r="AF127" s="24" t="inlineStr">
        <is>
          <t>208개 반도체 reference universe. Valuation Agent가 자체 intake 폴더로 복제해 Peer/ML/대시보드 비교에 사용.</t>
        </is>
      </c>
    </row>
    <row r="128" ht="24" customHeight="1">
      <c r="A128" s="29" t="inlineStr">
        <is>
          <t>133</t>
        </is>
      </c>
      <c r="B128" s="29" t="inlineStr">
        <is>
          <t>ltc</t>
        </is>
      </c>
      <c r="C128" s="29" t="inlineStr">
        <is>
          <t>엘티씨</t>
        </is>
      </c>
      <c r="D128" s="29" t="inlineStr">
        <is>
          <t>170920</t>
        </is>
      </c>
      <c r="E128" s="29" t="inlineStr">
        <is>
          <t>KOSDAQ</t>
        </is>
      </c>
      <c r="F128" s="29" t="inlineStr">
        <is>
          <t>소재</t>
        </is>
      </c>
      <c r="G128" s="29" t="inlineStr">
        <is>
          <t>소재</t>
        </is>
      </c>
      <c r="H128" s="29" t="inlineStr">
        <is>
          <t>True</t>
        </is>
      </c>
      <c r="I128" s="29" t="inlineStr">
        <is>
          <t>True</t>
        </is>
      </c>
      <c r="J128" s="29" t="inlineStr">
        <is>
          <t>OK</t>
        </is>
      </c>
      <c r="K128" s="29" t="inlineStr">
        <is>
          <t>데이터 사용 가능</t>
        </is>
      </c>
      <c r="L128" s="29" t="inlineStr">
        <is>
          <t>LOW</t>
        </is>
      </c>
      <c r="M128" s="29" t="inlineStr">
        <is>
          <t>LOW</t>
        </is>
      </c>
      <c r="N128" s="29" t="inlineStr">
        <is>
          <t>0.5838461538461538</t>
        </is>
      </c>
      <c r="O128" s="29" t="inlineStr">
        <is>
          <t>FAIR</t>
        </is>
      </c>
      <c r="P128" s="29" t="inlineStr">
        <is>
          <t>FAIR</t>
        </is>
      </c>
      <c r="Q128" s="29" t="inlineStr">
        <is>
          <t>ATTRACTIVE</t>
        </is>
      </c>
      <c r="R128" s="29" t="inlineStr">
        <is>
          <t>0.6353016273848794</t>
        </is>
      </c>
      <c r="S128" s="29" t="inlineStr">
        <is>
          <t>MEDIUM</t>
        </is>
      </c>
      <c r="T128" s="29" t="inlineStr">
        <is>
          <t>MEDIUM</t>
        </is>
      </c>
      <c r="U128" s="29" t="inlineStr">
        <is>
          <t>0.0</t>
        </is>
      </c>
      <c r="V128" s="29" t="inlineStr">
        <is>
          <t>LOW_RISK</t>
        </is>
      </c>
      <c r="W128" s="29" t="inlineStr">
        <is>
          <t>저위험</t>
        </is>
      </c>
      <c r="X128" s="29" t="inlineStr">
        <is>
          <t>LOW_RISK</t>
        </is>
      </c>
      <c r="Y128" s="29" t="inlineStr">
        <is>
          <t>0.9205018564538214</t>
        </is>
      </c>
      <c r="Z128" s="29" t="inlineStr">
        <is>
          <t>HIGH</t>
        </is>
      </c>
      <c r="AA128" s="29" t="inlineStr">
        <is>
          <t>HIGH</t>
        </is>
      </c>
      <c r="AB128" s="29" t="inlineStr">
        <is>
          <t>0.0038993876391341673</t>
        </is>
      </c>
      <c r="AC128" s="29" t="inlineStr">
        <is>
          <t>False</t>
        </is>
      </c>
      <c r="AD128" s="29" t="inlineStr">
        <is>
          <t>False</t>
        </is>
      </c>
      <c r="AE128" s="29" t="inlineStr">
        <is>
          <t>valuation_credit_ml_overlay_candidate.csv</t>
        </is>
      </c>
      <c r="AF128" s="29" t="inlineStr">
        <is>
          <t>208개 반도체 reference universe. Valuation Agent가 자체 intake 폴더로 복제해 Peer/ML/대시보드 비교에 사용.</t>
        </is>
      </c>
    </row>
    <row r="129" ht="24" customHeight="1">
      <c r="A129" s="24" t="inlineStr">
        <is>
          <t>146</t>
        </is>
      </c>
      <c r="B129" s="24" t="inlineStr">
        <is>
          <t>해당 없음</t>
        </is>
      </c>
      <c r="C129" s="24" t="inlineStr">
        <is>
          <t>티이엠씨</t>
        </is>
      </c>
      <c r="D129" s="24" t="inlineStr">
        <is>
          <t>425040</t>
        </is>
      </c>
      <c r="E129" s="24" t="inlineStr">
        <is>
          <t>KOSDAQ</t>
        </is>
      </c>
      <c r="F129" s="24" t="inlineStr">
        <is>
          <t>소재</t>
        </is>
      </c>
      <c r="G129" s="24" t="inlineStr">
        <is>
          <t>소재</t>
        </is>
      </c>
      <c r="H129" s="24" t="inlineStr">
        <is>
          <t>False</t>
        </is>
      </c>
      <c r="I129" s="24" t="inlineStr">
        <is>
          <t>True</t>
        </is>
      </c>
      <c r="J129" s="24" t="inlineStr">
        <is>
          <t>OK</t>
        </is>
      </c>
      <c r="K129" s="24" t="inlineStr">
        <is>
          <t>데이터 사용 가능</t>
        </is>
      </c>
      <c r="L129" s="24" t="inlineStr">
        <is>
          <t>LOW</t>
        </is>
      </c>
      <c r="M129" s="24" t="inlineStr">
        <is>
          <t>LOW</t>
        </is>
      </c>
      <c r="N129" s="24" t="inlineStr">
        <is>
          <t>0.5666666666666668</t>
        </is>
      </c>
      <c r="O129" s="24" t="inlineStr">
        <is>
          <t>FAIR</t>
        </is>
      </c>
      <c r="P129" s="24" t="inlineStr">
        <is>
          <t>FAIR</t>
        </is>
      </c>
      <c r="Q129" s="24" t="inlineStr">
        <is>
          <t>FAIR</t>
        </is>
      </c>
      <c r="R129" s="24" t="inlineStr">
        <is>
          <t>0.8720430887980049</t>
        </is>
      </c>
      <c r="S129" s="24" t="inlineStr">
        <is>
          <t>HIGH</t>
        </is>
      </c>
      <c r="T129" s="24" t="inlineStr">
        <is>
          <t>HIGH</t>
        </is>
      </c>
      <c r="U129" s="24" t="inlineStr">
        <is>
          <t>0.0714285714285714</t>
        </is>
      </c>
      <c r="V129" s="24" t="inlineStr">
        <is>
          <t>LOW_RISK</t>
        </is>
      </c>
      <c r="W129" s="24" t="inlineStr">
        <is>
          <t>저위험</t>
        </is>
      </c>
      <c r="X129" s="24" t="inlineStr">
        <is>
          <t>LOW_RISK</t>
        </is>
      </c>
      <c r="Y129" s="24" t="inlineStr">
        <is>
          <t>0.7252297088077002</t>
        </is>
      </c>
      <c r="Z129" s="24" t="inlineStr">
        <is>
          <t>HIGH</t>
        </is>
      </c>
      <c r="AA129" s="24" t="inlineStr">
        <is>
          <t>HIGH</t>
        </is>
      </c>
      <c r="AB129" s="24" t="inlineStr">
        <is>
          <t>0.006424650558916757</t>
        </is>
      </c>
      <c r="AC129" s="24" t="inlineStr">
        <is>
          <t>False</t>
        </is>
      </c>
      <c r="AD129" s="24" t="inlineStr">
        <is>
          <t>False</t>
        </is>
      </c>
      <c r="AE129" s="24" t="inlineStr">
        <is>
          <t>valuation_credit_ml_overlay_candidate.csv</t>
        </is>
      </c>
      <c r="AF129" s="24" t="inlineStr">
        <is>
          <t>208개 반도체 reference universe. Valuation Agent가 자체 intake 폴더로 복제해 Peer/ML/대시보드 비교에 사용.</t>
        </is>
      </c>
    </row>
    <row r="130" ht="24" customHeight="1">
      <c r="A130" s="29" t="inlineStr">
        <is>
          <t>131</t>
        </is>
      </c>
      <c r="B130" s="29" t="inlineStr">
        <is>
          <t>해당 없음</t>
        </is>
      </c>
      <c r="C130" s="29" t="inlineStr">
        <is>
          <t>에스앤에스텍</t>
        </is>
      </c>
      <c r="D130" s="29" t="inlineStr">
        <is>
          <t>101490</t>
        </is>
      </c>
      <c r="E130" s="29" t="inlineStr">
        <is>
          <t>KOSDAQ</t>
        </is>
      </c>
      <c r="F130" s="29" t="inlineStr">
        <is>
          <t>소재</t>
        </is>
      </c>
      <c r="G130" s="29" t="inlineStr">
        <is>
          <t>소재</t>
        </is>
      </c>
      <c r="H130" s="29" t="inlineStr">
        <is>
          <t>False</t>
        </is>
      </c>
      <c r="I130" s="29" t="inlineStr">
        <is>
          <t>True</t>
        </is>
      </c>
      <c r="J130" s="29" t="inlineStr">
        <is>
          <t>OK</t>
        </is>
      </c>
      <c r="K130" s="29" t="inlineStr">
        <is>
          <t>데이터 사용 가능</t>
        </is>
      </c>
      <c r="L130" s="29" t="inlineStr">
        <is>
          <t>LOW</t>
        </is>
      </c>
      <c r="M130" s="29" t="inlineStr">
        <is>
          <t>LOW</t>
        </is>
      </c>
      <c r="N130" s="29" t="inlineStr">
        <is>
          <t>0.5653846153846155</t>
        </is>
      </c>
      <c r="O130" s="29" t="inlineStr">
        <is>
          <t>FAIR</t>
        </is>
      </c>
      <c r="P130" s="29" t="inlineStr">
        <is>
          <t>FAIR</t>
        </is>
      </c>
      <c r="Q130" s="29" t="inlineStr">
        <is>
          <t>FAIR</t>
        </is>
      </c>
      <c r="R130" s="29" t="inlineStr">
        <is>
          <t>0.7907123507381016</t>
        </is>
      </c>
      <c r="S130" s="29" t="inlineStr">
        <is>
          <t>HIGH</t>
        </is>
      </c>
      <c r="T130" s="29" t="inlineStr">
        <is>
          <t>HIGH</t>
        </is>
      </c>
      <c r="U130" s="29" t="inlineStr">
        <is>
          <t>0.0714285714285714</t>
        </is>
      </c>
      <c r="V130" s="29" t="inlineStr">
        <is>
          <t>LOW_RISK</t>
        </is>
      </c>
      <c r="W130" s="29" t="inlineStr">
        <is>
          <t>저위험</t>
        </is>
      </c>
      <c r="X130" s="29" t="inlineStr">
        <is>
          <t>LOW_RISK</t>
        </is>
      </c>
      <c r="Y130" s="29" t="inlineStr">
        <is>
          <t>0.877704032267338</t>
        </is>
      </c>
      <c r="Z130" s="29" t="inlineStr">
        <is>
          <t>HIGH</t>
        </is>
      </c>
      <c r="AA130" s="29" t="inlineStr">
        <is>
          <t>HIGH</t>
        </is>
      </c>
      <c r="AB130" s="29" t="inlineStr">
        <is>
          <t>0.05130595484789171</t>
        </is>
      </c>
      <c r="AC130" s="29" t="inlineStr">
        <is>
          <t>False</t>
        </is>
      </c>
      <c r="AD130" s="29" t="inlineStr">
        <is>
          <t>False</t>
        </is>
      </c>
      <c r="AE130" s="29" t="inlineStr">
        <is>
          <t>valuation_credit_ml_overlay_candidate.csv</t>
        </is>
      </c>
      <c r="AF130" s="29" t="inlineStr">
        <is>
          <t>208개 반도체 reference universe. Valuation Agent가 자체 intake 폴더로 복제해 Peer/ML/대시보드 비교에 사용.</t>
        </is>
      </c>
    </row>
    <row r="131" ht="24" customHeight="1">
      <c r="A131" s="24" t="inlineStr">
        <is>
          <t>142</t>
        </is>
      </c>
      <c r="B131" s="24" t="inlineStr">
        <is>
          <t>해당 없음</t>
        </is>
      </c>
      <c r="C131" s="24" t="inlineStr">
        <is>
          <t>제이아이테크</t>
        </is>
      </c>
      <c r="D131" s="24" t="inlineStr">
        <is>
          <t>417500</t>
        </is>
      </c>
      <c r="E131" s="24" t="inlineStr">
        <is>
          <t>KOSDAQ</t>
        </is>
      </c>
      <c r="F131" s="24" t="inlineStr">
        <is>
          <t>소재</t>
        </is>
      </c>
      <c r="G131" s="24" t="inlineStr">
        <is>
          <t>소재</t>
        </is>
      </c>
      <c r="H131" s="24" t="inlineStr">
        <is>
          <t>False</t>
        </is>
      </c>
      <c r="I131" s="24" t="inlineStr">
        <is>
          <t>True</t>
        </is>
      </c>
      <c r="J131" s="24" t="inlineStr">
        <is>
          <t>OK</t>
        </is>
      </c>
      <c r="K131" s="24" t="inlineStr">
        <is>
          <t>데이터 사용 가능</t>
        </is>
      </c>
      <c r="L131" s="24" t="inlineStr">
        <is>
          <t>LOW</t>
        </is>
      </c>
      <c r="M131" s="24" t="inlineStr">
        <is>
          <t>LOW</t>
        </is>
      </c>
      <c r="N131" s="24" t="inlineStr">
        <is>
          <t>0.5264102564102564</t>
        </is>
      </c>
      <c r="O131" s="24" t="inlineStr">
        <is>
          <t>FAIR</t>
        </is>
      </c>
      <c r="P131" s="24" t="inlineStr">
        <is>
          <t>FAIR</t>
        </is>
      </c>
      <c r="Q131" s="24" t="inlineStr">
        <is>
          <t>FAIR</t>
        </is>
      </c>
      <c r="R131" s="24" t="inlineStr">
        <is>
          <t>0.8525733569966568</t>
        </is>
      </c>
      <c r="S131" s="24" t="inlineStr">
        <is>
          <t>HIGH</t>
        </is>
      </c>
      <c r="T131" s="24" t="inlineStr">
        <is>
          <t>HIGH</t>
        </is>
      </c>
      <c r="U131" s="24" t="inlineStr">
        <is>
          <t>0.0714285714285714</t>
        </is>
      </c>
      <c r="V131" s="24" t="inlineStr">
        <is>
          <t>LOW_RISK</t>
        </is>
      </c>
      <c r="W131" s="24" t="inlineStr">
        <is>
          <t>저위험</t>
        </is>
      </c>
      <c r="X131" s="24" t="inlineStr">
        <is>
          <t>LOW_RISK</t>
        </is>
      </c>
      <c r="Y131" s="24" t="inlineStr">
        <is>
          <t>0.7562204122456074</t>
        </is>
      </c>
      <c r="Z131" s="24" t="inlineStr">
        <is>
          <t>HIGH</t>
        </is>
      </c>
      <c r="AA131" s="24" t="inlineStr">
        <is>
          <t>HIGH</t>
        </is>
      </c>
      <c r="AB131" s="24" t="inlineStr">
        <is>
          <t>0.026961826720125225</t>
        </is>
      </c>
      <c r="AC131" s="24" t="inlineStr">
        <is>
          <t>False</t>
        </is>
      </c>
      <c r="AD131" s="24" t="inlineStr">
        <is>
          <t>False</t>
        </is>
      </c>
      <c r="AE131" s="24" t="inlineStr">
        <is>
          <t>valuation_credit_ml_overlay_candidate.csv</t>
        </is>
      </c>
      <c r="AF131" s="24" t="inlineStr">
        <is>
          <t>208개 반도체 reference universe. Valuation Agent가 자체 intake 폴더로 복제해 Peer/ML/대시보드 비교에 사용.</t>
        </is>
      </c>
    </row>
    <row r="132" ht="24" customHeight="1">
      <c r="A132" s="29" t="inlineStr">
        <is>
          <t>137</t>
        </is>
      </c>
      <c r="B132" s="29" t="inlineStr">
        <is>
          <t>해당 없음</t>
        </is>
      </c>
      <c r="C132" s="29" t="inlineStr">
        <is>
          <t>원익QnC</t>
        </is>
      </c>
      <c r="D132" s="29" t="inlineStr">
        <is>
          <t>074600</t>
        </is>
      </c>
      <c r="E132" s="29" t="inlineStr">
        <is>
          <t>KOSDAQ GLOBAL</t>
        </is>
      </c>
      <c r="F132" s="29" t="inlineStr">
        <is>
          <t>소재</t>
        </is>
      </c>
      <c r="G132" s="29" t="inlineStr">
        <is>
          <t>소재</t>
        </is>
      </c>
      <c r="H132" s="29" t="inlineStr">
        <is>
          <t>False</t>
        </is>
      </c>
      <c r="I132" s="29" t="inlineStr">
        <is>
          <t>True</t>
        </is>
      </c>
      <c r="J132" s="29" t="inlineStr">
        <is>
          <t>OK</t>
        </is>
      </c>
      <c r="K132" s="29" t="inlineStr">
        <is>
          <t>데이터 사용 가능</t>
        </is>
      </c>
      <c r="L132" s="29" t="inlineStr">
        <is>
          <t>LOW</t>
        </is>
      </c>
      <c r="M132" s="29" t="inlineStr">
        <is>
          <t>LOW</t>
        </is>
      </c>
      <c r="N132" s="29" t="inlineStr">
        <is>
          <t>0.5156410256410257</t>
        </is>
      </c>
      <c r="O132" s="29" t="inlineStr">
        <is>
          <t>FAIR</t>
        </is>
      </c>
      <c r="P132" s="29" t="inlineStr">
        <is>
          <t>FAIR</t>
        </is>
      </c>
      <c r="Q132" s="29" t="inlineStr">
        <is>
          <t>ATTRACTIVE</t>
        </is>
      </c>
      <c r="R132" s="29" t="inlineStr">
        <is>
          <t>0.4211836082778998</t>
        </is>
      </c>
      <c r="S132" s="29" t="inlineStr">
        <is>
          <t>LOW</t>
        </is>
      </c>
      <c r="T132" s="29" t="inlineStr">
        <is>
          <t>LOW</t>
        </is>
      </c>
      <c r="U132" s="29" t="inlineStr">
        <is>
          <t>0.2857142857142857</t>
        </is>
      </c>
      <c r="V132" s="29" t="inlineStr">
        <is>
          <t>MEDIUM_RISK</t>
        </is>
      </c>
      <c r="W132" s="29" t="inlineStr">
        <is>
          <t>중위험</t>
        </is>
      </c>
      <c r="X132" s="29" t="inlineStr">
        <is>
          <t>MEDIUM_RISK</t>
        </is>
      </c>
      <c r="Y132" s="29" t="inlineStr">
        <is>
          <t>0.6182675579184692</t>
        </is>
      </c>
      <c r="Z132" s="29" t="inlineStr">
        <is>
          <t>MEDIUM</t>
        </is>
      </c>
      <c r="AA132" s="29" t="inlineStr">
        <is>
          <t>MEDIUM</t>
        </is>
      </c>
      <c r="AB132" s="29" t="inlineStr">
        <is>
          <t>0.07153695388648715</t>
        </is>
      </c>
      <c r="AC132" s="29" t="inlineStr">
        <is>
          <t>False</t>
        </is>
      </c>
      <c r="AD132" s="29" t="inlineStr">
        <is>
          <t>True</t>
        </is>
      </c>
      <c r="AE132" s="29" t="inlineStr">
        <is>
          <t>valuation_credit_ml_overlay_candidate.csv</t>
        </is>
      </c>
      <c r="AF132" s="29" t="inlineStr">
        <is>
          <t>208개 반도체 reference universe. Valuation Agent가 자체 intake 폴더로 복제해 Peer/ML/대시보드 비교에 사용.</t>
        </is>
      </c>
    </row>
    <row r="133" ht="24" customHeight="1">
      <c r="A133" s="24" t="inlineStr">
        <is>
          <t>134</t>
        </is>
      </c>
      <c r="B133" s="24" t="inlineStr">
        <is>
          <t>해당 없음</t>
        </is>
      </c>
      <c r="C133" s="24" t="inlineStr">
        <is>
          <t>엠케이전자</t>
        </is>
      </c>
      <c r="D133" s="24" t="inlineStr">
        <is>
          <t>033160</t>
        </is>
      </c>
      <c r="E133" s="24" t="inlineStr">
        <is>
          <t>KOSDAQ</t>
        </is>
      </c>
      <c r="F133" s="24" t="inlineStr">
        <is>
          <t>소재</t>
        </is>
      </c>
      <c r="G133" s="24" t="inlineStr">
        <is>
          <t>소재</t>
        </is>
      </c>
      <c r="H133" s="24" t="inlineStr">
        <is>
          <t>False</t>
        </is>
      </c>
      <c r="I133" s="24" t="inlineStr">
        <is>
          <t>True</t>
        </is>
      </c>
      <c r="J133" s="24" t="inlineStr">
        <is>
          <t>OK</t>
        </is>
      </c>
      <c r="K133" s="24" t="inlineStr">
        <is>
          <t>데이터 사용 가능</t>
        </is>
      </c>
      <c r="L133" s="24" t="inlineStr">
        <is>
          <t>LOW</t>
        </is>
      </c>
      <c r="M133" s="24" t="inlineStr">
        <is>
          <t>LOW</t>
        </is>
      </c>
      <c r="N133" s="24" t="inlineStr">
        <is>
          <t>0.5105128205128205</t>
        </is>
      </c>
      <c r="O133" s="24" t="inlineStr">
        <is>
          <t>FAIR</t>
        </is>
      </c>
      <c r="P133" s="24" t="inlineStr">
        <is>
          <t>FAIR</t>
        </is>
      </c>
      <c r="Q133" s="24" t="inlineStr">
        <is>
          <t>FAIR</t>
        </is>
      </c>
      <c r="R133" s="24" t="inlineStr">
        <is>
          <t>0.801168459079624</t>
        </is>
      </c>
      <c r="S133" s="24" t="inlineStr">
        <is>
          <t>HIGH</t>
        </is>
      </c>
      <c r="T133" s="24" t="inlineStr">
        <is>
          <t>HIGH</t>
        </is>
      </c>
      <c r="U133" s="24" t="inlineStr">
        <is>
          <t>0.5714285714285714</t>
        </is>
      </c>
      <c r="V133" s="24" t="inlineStr">
        <is>
          <t>HIGH_RISK</t>
        </is>
      </c>
      <c r="W133" s="24" t="inlineStr">
        <is>
          <t>고위험</t>
        </is>
      </c>
      <c r="X133" s="24" t="inlineStr">
        <is>
          <t>HIGH_RISK</t>
        </is>
      </c>
      <c r="Y133" s="24" t="inlineStr">
        <is>
          <t>0.6458821552404778</t>
        </is>
      </c>
      <c r="Z133" s="24" t="inlineStr">
        <is>
          <t>MEDIUM</t>
        </is>
      </c>
      <c r="AA133" s="24" t="inlineStr">
        <is>
          <t>MEDIUM</t>
        </is>
      </c>
      <c r="AB133" s="24" t="inlineStr">
        <is>
          <t>0.06935231891152775</t>
        </is>
      </c>
      <c r="AC133" s="24" t="inlineStr">
        <is>
          <t>False</t>
        </is>
      </c>
      <c r="AD133" s="24" t="inlineStr">
        <is>
          <t>False</t>
        </is>
      </c>
      <c r="AE133" s="24" t="inlineStr">
        <is>
          <t>valuation_credit_ml_overlay_candidate.csv</t>
        </is>
      </c>
      <c r="AF133" s="24" t="inlineStr">
        <is>
          <t>208개 반도체 reference universe. Valuation Agent가 자체 intake 폴더로 복제해 Peer/ML/대시보드 비교에 사용.</t>
        </is>
      </c>
    </row>
    <row r="134" ht="24" customHeight="1">
      <c r="A134" s="29" t="inlineStr">
        <is>
          <t>136</t>
        </is>
      </c>
      <c r="B134" s="29" t="inlineStr">
        <is>
          <t>해당 없음</t>
        </is>
      </c>
      <c r="C134" s="29" t="inlineStr">
        <is>
          <t>와이엠티</t>
        </is>
      </c>
      <c r="D134" s="29" t="inlineStr">
        <is>
          <t>251370</t>
        </is>
      </c>
      <c r="E134" s="29" t="inlineStr">
        <is>
          <t>KOSDAQ</t>
        </is>
      </c>
      <c r="F134" s="29" t="inlineStr">
        <is>
          <t>소재</t>
        </is>
      </c>
      <c r="G134" s="29" t="inlineStr">
        <is>
          <t>소재</t>
        </is>
      </c>
      <c r="H134" s="29" t="inlineStr">
        <is>
          <t>False</t>
        </is>
      </c>
      <c r="I134" s="29" t="inlineStr">
        <is>
          <t>True</t>
        </is>
      </c>
      <c r="J134" s="29" t="inlineStr">
        <is>
          <t>OK</t>
        </is>
      </c>
      <c r="K134" s="29" t="inlineStr">
        <is>
          <t>데이터 사용 가능</t>
        </is>
      </c>
      <c r="L134" s="29" t="inlineStr">
        <is>
          <t>LOW</t>
        </is>
      </c>
      <c r="M134" s="29" t="inlineStr">
        <is>
          <t>LOW</t>
        </is>
      </c>
      <c r="N134" s="29" t="inlineStr">
        <is>
          <t>0.4989743589743589</t>
        </is>
      </c>
      <c r="O134" s="29" t="inlineStr">
        <is>
          <t>FAIR</t>
        </is>
      </c>
      <c r="P134" s="29" t="inlineStr">
        <is>
          <t>FAIR</t>
        </is>
      </c>
      <c r="Q134" s="29" t="inlineStr">
        <is>
          <t>FAIR</t>
        </is>
      </c>
      <c r="R134" s="29" t="inlineStr">
        <is>
          <t>0.730943868859095</t>
        </is>
      </c>
      <c r="S134" s="29" t="inlineStr">
        <is>
          <t>HIGH</t>
        </is>
      </c>
      <c r="T134" s="29" t="inlineStr">
        <is>
          <t>HIGH</t>
        </is>
      </c>
      <c r="U134" s="29" t="inlineStr">
        <is>
          <t>0.2142857142857142</t>
        </is>
      </c>
      <c r="V134" s="29" t="inlineStr">
        <is>
          <t>MEDIUM_RISK</t>
        </is>
      </c>
      <c r="W134" s="29" t="inlineStr">
        <is>
          <t>중위험</t>
        </is>
      </c>
      <c r="X134" s="29" t="inlineStr">
        <is>
          <t>MEDIUM_RISK</t>
        </is>
      </c>
      <c r="Y134" s="29" t="inlineStr">
        <is>
          <t>0.4510396871808976</t>
        </is>
      </c>
      <c r="Z134" s="29" t="inlineStr">
        <is>
          <t>LOW</t>
        </is>
      </c>
      <c r="AA134" s="29" t="inlineStr">
        <is>
          <t>LOW</t>
        </is>
      </c>
      <c r="AB134" s="29" t="inlineStr">
        <is>
          <t>0.021802364937517606</t>
        </is>
      </c>
      <c r="AC134" s="29" t="inlineStr">
        <is>
          <t>False</t>
        </is>
      </c>
      <c r="AD134" s="29" t="inlineStr">
        <is>
          <t>True</t>
        </is>
      </c>
      <c r="AE134" s="29" t="inlineStr">
        <is>
          <t>valuation_credit_ml_overlay_candidate.csv</t>
        </is>
      </c>
      <c r="AF134" s="29" t="inlineStr">
        <is>
          <t>208개 반도체 reference universe. Valuation Agent가 자체 intake 폴더로 복제해 Peer/ML/대시보드 비교에 사용.</t>
        </is>
      </c>
    </row>
    <row r="135" ht="24" customHeight="1">
      <c r="A135" s="24" t="inlineStr">
        <is>
          <t>145</t>
        </is>
      </c>
      <c r="B135" s="24" t="inlineStr">
        <is>
          <t>해당 없음</t>
        </is>
      </c>
      <c r="C135" s="24" t="inlineStr">
        <is>
          <t>티씨케이</t>
        </is>
      </c>
      <c r="D135" s="24" t="inlineStr">
        <is>
          <t>064760</t>
        </is>
      </c>
      <c r="E135" s="24" t="inlineStr">
        <is>
          <t>KOSDAQ GLOBAL</t>
        </is>
      </c>
      <c r="F135" s="24" t="inlineStr">
        <is>
          <t>소재</t>
        </is>
      </c>
      <c r="G135" s="24" t="inlineStr">
        <is>
          <t>소재</t>
        </is>
      </c>
      <c r="H135" s="24" t="inlineStr">
        <is>
          <t>False</t>
        </is>
      </c>
      <c r="I135" s="24" t="inlineStr">
        <is>
          <t>True</t>
        </is>
      </c>
      <c r="J135" s="24" t="inlineStr">
        <is>
          <t>OK</t>
        </is>
      </c>
      <c r="K135" s="24" t="inlineStr">
        <is>
          <t>데이터 사용 가능</t>
        </is>
      </c>
      <c r="L135" s="24" t="inlineStr">
        <is>
          <t>LOW</t>
        </is>
      </c>
      <c r="M135" s="24" t="inlineStr">
        <is>
          <t>LOW</t>
        </is>
      </c>
      <c r="N135" s="24" t="inlineStr">
        <is>
          <t>0.4956410256410256</t>
        </is>
      </c>
      <c r="O135" s="24" t="inlineStr">
        <is>
          <t>FAIR</t>
        </is>
      </c>
      <c r="P135" s="24" t="inlineStr">
        <is>
          <t>FAIR</t>
        </is>
      </c>
      <c r="Q135" s="24" t="inlineStr">
        <is>
          <t>FAIR</t>
        </is>
      </c>
      <c r="R135" s="24" t="inlineStr">
        <is>
          <t>0.6535546916238612</t>
        </is>
      </c>
      <c r="S135" s="24" t="inlineStr">
        <is>
          <t>MEDIUM</t>
        </is>
      </c>
      <c r="T135" s="24" t="inlineStr">
        <is>
          <t>MEDIUM</t>
        </is>
      </c>
      <c r="U135" s="24" t="inlineStr">
        <is>
          <t>0.0</t>
        </is>
      </c>
      <c r="V135" s="24" t="inlineStr">
        <is>
          <t>LOW_RISK</t>
        </is>
      </c>
      <c r="W135" s="24" t="inlineStr">
        <is>
          <t>저위험</t>
        </is>
      </c>
      <c r="X135" s="24" t="inlineStr">
        <is>
          <t>LOW_RISK</t>
        </is>
      </c>
      <c r="Y135" s="24" t="inlineStr">
        <is>
          <t>0.7960429313317705</t>
        </is>
      </c>
      <c r="Z135" s="24" t="inlineStr">
        <is>
          <t>HIGH</t>
        </is>
      </c>
      <c r="AA135" s="24" t="inlineStr">
        <is>
          <t>HIGH</t>
        </is>
      </c>
      <c r="AB135" s="24" t="inlineStr">
        <is>
          <t>0.151556576218825</t>
        </is>
      </c>
      <c r="AC135" s="24" t="inlineStr">
        <is>
          <t>False</t>
        </is>
      </c>
      <c r="AD135" s="24" t="inlineStr">
        <is>
          <t>False</t>
        </is>
      </c>
      <c r="AE135" s="24" t="inlineStr">
        <is>
          <t>valuation_credit_ml_overlay_candidate.csv</t>
        </is>
      </c>
      <c r="AF135" s="24" t="inlineStr">
        <is>
          <t>208개 반도체 reference universe. Valuation Agent가 자체 intake 폴더로 복제해 Peer/ML/대시보드 비교에 사용.</t>
        </is>
      </c>
    </row>
    <row r="136" ht="24" customHeight="1">
      <c r="A136" s="29" t="inlineStr">
        <is>
          <t>126</t>
        </is>
      </c>
      <c r="B136" s="29" t="inlineStr">
        <is>
          <t>해당 없음</t>
        </is>
      </c>
      <c r="C136" s="29" t="inlineStr">
        <is>
          <t>동진쎄미켐</t>
        </is>
      </c>
      <c r="D136" s="29" t="inlineStr">
        <is>
          <t>005290</t>
        </is>
      </c>
      <c r="E136" s="29" t="inlineStr">
        <is>
          <t>KOSDAQ</t>
        </is>
      </c>
      <c r="F136" s="29" t="inlineStr">
        <is>
          <t>소재</t>
        </is>
      </c>
      <c r="G136" s="29" t="inlineStr">
        <is>
          <t>소재</t>
        </is>
      </c>
      <c r="H136" s="29" t="inlineStr">
        <is>
          <t>False</t>
        </is>
      </c>
      <c r="I136" s="29" t="inlineStr">
        <is>
          <t>True</t>
        </is>
      </c>
      <c r="J136" s="29" t="inlineStr">
        <is>
          <t>OK</t>
        </is>
      </c>
      <c r="K136" s="29" t="inlineStr">
        <is>
          <t>데이터 사용 가능</t>
        </is>
      </c>
      <c r="L136" s="29" t="inlineStr">
        <is>
          <t>LOW</t>
        </is>
      </c>
      <c r="M136" s="29" t="inlineStr">
        <is>
          <t>LOW</t>
        </is>
      </c>
      <c r="N136" s="29" t="inlineStr">
        <is>
          <t>0.4702564102564102</t>
        </is>
      </c>
      <c r="O136" s="29" t="inlineStr">
        <is>
          <t>FAIR</t>
        </is>
      </c>
      <c r="P136" s="29" t="inlineStr">
        <is>
          <t>FAIR</t>
        </is>
      </c>
      <c r="Q136" s="29" t="inlineStr">
        <is>
          <t>ATTRACTIVE</t>
        </is>
      </c>
      <c r="R136" s="29" t="inlineStr">
        <is>
          <t>0.48929755601795294</t>
        </is>
      </c>
      <c r="S136" s="29" t="inlineStr">
        <is>
          <t>LOW</t>
        </is>
      </c>
      <c r="T136" s="29" t="inlineStr">
        <is>
          <t>LOW</t>
        </is>
      </c>
      <c r="U136" s="29" t="inlineStr">
        <is>
          <t>0.0</t>
        </is>
      </c>
      <c r="V136" s="29" t="inlineStr">
        <is>
          <t>LOW_RISK</t>
        </is>
      </c>
      <c r="W136" s="29" t="inlineStr">
        <is>
          <t>저위험</t>
        </is>
      </c>
      <c r="X136" s="29" t="inlineStr">
        <is>
          <t>LOW_RISK</t>
        </is>
      </c>
      <c r="Y136" s="29" t="inlineStr">
        <is>
          <t>0.9474461757717627</t>
        </is>
      </c>
      <c r="Z136" s="29" t="inlineStr">
        <is>
          <t>HIGH</t>
        </is>
      </c>
      <c r="AA136" s="29" t="inlineStr">
        <is>
          <t>HIGH</t>
        </is>
      </c>
      <c r="AB136" s="29" t="inlineStr">
        <is>
          <t>0.021813937556984325</t>
        </is>
      </c>
      <c r="AC136" s="29" t="inlineStr">
        <is>
          <t>False</t>
        </is>
      </c>
      <c r="AD136" s="29" t="inlineStr">
        <is>
          <t>True</t>
        </is>
      </c>
      <c r="AE136" s="29" t="inlineStr">
        <is>
          <t>valuation_credit_ml_overlay_candidate.csv</t>
        </is>
      </c>
      <c r="AF136" s="29" t="inlineStr">
        <is>
          <t>208개 반도체 reference universe. Valuation Agent가 자체 intake 폴더로 복제해 Peer/ML/대시보드 비교에 사용.</t>
        </is>
      </c>
    </row>
    <row r="137" ht="24" customHeight="1">
      <c r="A137" s="24" t="inlineStr">
        <is>
          <t>144</t>
        </is>
      </c>
      <c r="B137" s="24" t="inlineStr">
        <is>
          <t>해당 없음</t>
        </is>
      </c>
      <c r="C137" s="24" t="inlineStr">
        <is>
          <t>켐트로닉스</t>
        </is>
      </c>
      <c r="D137" s="24" t="inlineStr">
        <is>
          <t>089010</t>
        </is>
      </c>
      <c r="E137" s="24" t="inlineStr">
        <is>
          <t>KOSDAQ</t>
        </is>
      </c>
      <c r="F137" s="24" t="inlineStr">
        <is>
          <t>소재</t>
        </is>
      </c>
      <c r="G137" s="24" t="inlineStr">
        <is>
          <t>소재</t>
        </is>
      </c>
      <c r="H137" s="24" t="inlineStr">
        <is>
          <t>False</t>
        </is>
      </c>
      <c r="I137" s="24" t="inlineStr">
        <is>
          <t>True</t>
        </is>
      </c>
      <c r="J137" s="24" t="inlineStr">
        <is>
          <t>OK</t>
        </is>
      </c>
      <c r="K137" s="24" t="inlineStr">
        <is>
          <t>데이터 사용 가능</t>
        </is>
      </c>
      <c r="L137" s="24" t="inlineStr">
        <is>
          <t>LOW</t>
        </is>
      </c>
      <c r="M137" s="24" t="inlineStr">
        <is>
          <t>LOW</t>
        </is>
      </c>
      <c r="N137" s="24" t="inlineStr">
        <is>
          <t>0.4412820512820513</t>
        </is>
      </c>
      <c r="O137" s="24" t="inlineStr">
        <is>
          <t>FAIR</t>
        </is>
      </c>
      <c r="P137" s="24" t="inlineStr">
        <is>
          <t>FAIR</t>
        </is>
      </c>
      <c r="Q137" s="24" t="inlineStr">
        <is>
          <t>FAIR</t>
        </is>
      </c>
      <c r="R137" s="24" t="inlineStr">
        <is>
          <t>0.7697961799623572</t>
        </is>
      </c>
      <c r="S137" s="24" t="inlineStr">
        <is>
          <t>HIGH</t>
        </is>
      </c>
      <c r="T137" s="24" t="inlineStr">
        <is>
          <t>HIGH</t>
        </is>
      </c>
      <c r="U137" s="24" t="inlineStr">
        <is>
          <t>0.3571428571428571</t>
        </is>
      </c>
      <c r="V137" s="24" t="inlineStr">
        <is>
          <t>MEDIUM_RISK</t>
        </is>
      </c>
      <c r="W137" s="24" t="inlineStr">
        <is>
          <t>중위험</t>
        </is>
      </c>
      <c r="X137" s="24" t="inlineStr">
        <is>
          <t>MEDIUM_RISK</t>
        </is>
      </c>
      <c r="Y137" s="24" t="inlineStr">
        <is>
          <t>0.46850853772952833</t>
        </is>
      </c>
      <c r="Z137" s="24" t="inlineStr">
        <is>
          <t>LOW</t>
        </is>
      </c>
      <c r="AA137" s="24" t="inlineStr">
        <is>
          <t>LOW</t>
        </is>
      </c>
      <c r="AB137" s="24" t="inlineStr">
        <is>
          <t>0.08001716573230905</t>
        </is>
      </c>
      <c r="AC137" s="24" t="inlineStr">
        <is>
          <t>False</t>
        </is>
      </c>
      <c r="AD137" s="24" t="inlineStr">
        <is>
          <t>True</t>
        </is>
      </c>
      <c r="AE137" s="24" t="inlineStr">
        <is>
          <t>valuation_credit_ml_overlay_candidate.csv</t>
        </is>
      </c>
      <c r="AF137" s="24" t="inlineStr">
        <is>
          <t>208개 반도체 reference universe. Valuation Agent가 자체 intake 폴더로 복제해 Peer/ML/대시보드 비교에 사용.</t>
        </is>
      </c>
    </row>
    <row r="138" ht="24" customHeight="1">
      <c r="A138" s="29" t="inlineStr">
        <is>
          <t>129</t>
        </is>
      </c>
      <c r="B138" s="29" t="inlineStr">
        <is>
          <t>해당 없음</t>
        </is>
      </c>
      <c r="C138" s="29" t="inlineStr">
        <is>
          <t>솔브레인</t>
        </is>
      </c>
      <c r="D138" s="29" t="inlineStr">
        <is>
          <t>357780</t>
        </is>
      </c>
      <c r="E138" s="29" t="inlineStr">
        <is>
          <t>KOSDAQ GLOBAL</t>
        </is>
      </c>
      <c r="F138" s="29" t="inlineStr">
        <is>
          <t>소재</t>
        </is>
      </c>
      <c r="G138" s="29" t="inlineStr">
        <is>
          <t>소재</t>
        </is>
      </c>
      <c r="H138" s="29" t="inlineStr">
        <is>
          <t>False</t>
        </is>
      </c>
      <c r="I138" s="29" t="inlineStr">
        <is>
          <t>True</t>
        </is>
      </c>
      <c r="J138" s="29" t="inlineStr">
        <is>
          <t>OK</t>
        </is>
      </c>
      <c r="K138" s="29" t="inlineStr">
        <is>
          <t>데이터 사용 가능</t>
        </is>
      </c>
      <c r="L138" s="29" t="inlineStr">
        <is>
          <t>LOW</t>
        </is>
      </c>
      <c r="M138" s="29" t="inlineStr">
        <is>
          <t>LOW</t>
        </is>
      </c>
      <c r="N138" s="29" t="inlineStr">
        <is>
          <t>0.4330769230769231</t>
        </is>
      </c>
      <c r="O138" s="29" t="inlineStr">
        <is>
          <t>FAIR</t>
        </is>
      </c>
      <c r="P138" s="29" t="inlineStr">
        <is>
          <t>FAIR</t>
        </is>
      </c>
      <c r="Q138" s="29" t="inlineStr">
        <is>
          <t>FAIR</t>
        </is>
      </c>
      <c r="R138" s="29" t="inlineStr">
        <is>
          <t>0.6367158518654258</t>
        </is>
      </c>
      <c r="S138" s="29" t="inlineStr">
        <is>
          <t>MEDIUM</t>
        </is>
      </c>
      <c r="T138" s="29" t="inlineStr">
        <is>
          <t>MEDIUM</t>
        </is>
      </c>
      <c r="U138" s="29" t="inlineStr">
        <is>
          <t>0.0</t>
        </is>
      </c>
      <c r="V138" s="29" t="inlineStr">
        <is>
          <t>LOW_RISK</t>
        </is>
      </c>
      <c r="W138" s="29" t="inlineStr">
        <is>
          <t>저위험</t>
        </is>
      </c>
      <c r="X138" s="29" t="inlineStr">
        <is>
          <t>LOW_RISK</t>
        </is>
      </c>
      <c r="Y138" s="29" t="inlineStr">
        <is>
          <t>0.9460528189989016</t>
        </is>
      </c>
      <c r="Z138" s="29" t="inlineStr">
        <is>
          <t>HIGH</t>
        </is>
      </c>
      <c r="AA138" s="29" t="inlineStr">
        <is>
          <t>HIGH</t>
        </is>
      </c>
      <c r="AB138" s="29" t="inlineStr">
        <is>
          <t>0.0320761550307272</t>
        </is>
      </c>
      <c r="AC138" s="29" t="inlineStr">
        <is>
          <t>False</t>
        </is>
      </c>
      <c r="AD138" s="29" t="inlineStr">
        <is>
          <t>False</t>
        </is>
      </c>
      <c r="AE138" s="29" t="inlineStr">
        <is>
          <t>valuation_credit_ml_overlay_candidate.csv</t>
        </is>
      </c>
      <c r="AF138" s="29" t="inlineStr">
        <is>
          <t>208개 반도체 reference universe. Valuation Agent가 자체 intake 폴더로 복제해 Peer/ML/대시보드 비교에 사용.</t>
        </is>
      </c>
    </row>
    <row r="139" ht="24" customHeight="1">
      <c r="A139" s="24" t="inlineStr">
        <is>
          <t>127</t>
        </is>
      </c>
      <c r="B139" s="24" t="inlineStr">
        <is>
          <t>해당 없음</t>
        </is>
      </c>
      <c r="C139" s="24" t="inlineStr">
        <is>
          <t>디엔에프</t>
        </is>
      </c>
      <c r="D139" s="24" t="inlineStr">
        <is>
          <t>092070</t>
        </is>
      </c>
      <c r="E139" s="24" t="inlineStr">
        <is>
          <t>KOSDAQ</t>
        </is>
      </c>
      <c r="F139" s="24" t="inlineStr">
        <is>
          <t>소재</t>
        </is>
      </c>
      <c r="G139" s="24" t="inlineStr">
        <is>
          <t>소재</t>
        </is>
      </c>
      <c r="H139" s="24" t="inlineStr">
        <is>
          <t>False</t>
        </is>
      </c>
      <c r="I139" s="24" t="inlineStr">
        <is>
          <t>True</t>
        </is>
      </c>
      <c r="J139" s="24" t="inlineStr">
        <is>
          <t>OK</t>
        </is>
      </c>
      <c r="K139" s="24" t="inlineStr">
        <is>
          <t>데이터 사용 가능</t>
        </is>
      </c>
      <c r="L139" s="24" t="inlineStr">
        <is>
          <t>LOW</t>
        </is>
      </c>
      <c r="M139" s="24" t="inlineStr">
        <is>
          <t>LOW</t>
        </is>
      </c>
      <c r="N139" s="24" t="inlineStr">
        <is>
          <t>0.4041025641025642</t>
        </is>
      </c>
      <c r="O139" s="24" t="inlineStr">
        <is>
          <t>EXPENSIVE</t>
        </is>
      </c>
      <c r="P139" s="24" t="inlineStr">
        <is>
          <t>EXPENSIVE</t>
        </is>
      </c>
      <c r="Q139" s="24" t="inlineStr">
        <is>
          <t>EXPENSIVE</t>
        </is>
      </c>
      <c r="R139" s="24" t="inlineStr">
        <is>
          <t>0.6833535693717029</t>
        </is>
      </c>
      <c r="S139" s="24" t="inlineStr">
        <is>
          <t>MEDIUM</t>
        </is>
      </c>
      <c r="T139" s="24" t="inlineStr">
        <is>
          <t>MEDIUM</t>
        </is>
      </c>
      <c r="U139" s="24" t="inlineStr">
        <is>
          <t>0.1428571428571428</t>
        </is>
      </c>
      <c r="V139" s="24" t="inlineStr">
        <is>
          <t>LOW_RISK</t>
        </is>
      </c>
      <c r="W139" s="24" t="inlineStr">
        <is>
          <t>저위험</t>
        </is>
      </c>
      <c r="X139" s="24" t="inlineStr">
        <is>
          <t>LOW_RISK</t>
        </is>
      </c>
      <c r="Y139" s="24" t="inlineStr">
        <is>
          <t>0.5929893794662974</t>
        </is>
      </c>
      <c r="Z139" s="24" t="inlineStr">
        <is>
          <t>MEDIUM</t>
        </is>
      </c>
      <c r="AA139" s="24" t="inlineStr">
        <is>
          <t>MEDIUM</t>
        </is>
      </c>
      <c r="AB139" s="24" t="inlineStr">
        <is>
          <t>0.12453521172683771</t>
        </is>
      </c>
      <c r="AC139" s="24" t="inlineStr">
        <is>
          <t>False</t>
        </is>
      </c>
      <c r="AD139" s="24" t="inlineStr">
        <is>
          <t>False</t>
        </is>
      </c>
      <c r="AE139" s="24" t="inlineStr">
        <is>
          <t>valuation_credit_ml_overlay_candidate.csv</t>
        </is>
      </c>
      <c r="AF139" s="24" t="inlineStr">
        <is>
          <t>208개 반도체 reference universe. Valuation Agent가 자체 intake 폴더로 복제해 Peer/ML/대시보드 비교에 사용.</t>
        </is>
      </c>
    </row>
    <row r="140" ht="24" customHeight="1">
      <c r="A140" s="29" t="inlineStr">
        <is>
          <t>135</t>
        </is>
      </c>
      <c r="B140" s="29" t="inlineStr">
        <is>
          <t>해당 없음</t>
        </is>
      </c>
      <c r="C140" s="29" t="inlineStr">
        <is>
          <t>와이씨켐</t>
        </is>
      </c>
      <c r="D140" s="29" t="inlineStr">
        <is>
          <t>112290</t>
        </is>
      </c>
      <c r="E140" s="29" t="inlineStr">
        <is>
          <t>KOSDAQ</t>
        </is>
      </c>
      <c r="F140" s="29" t="inlineStr">
        <is>
          <t>소재</t>
        </is>
      </c>
      <c r="G140" s="29" t="inlineStr">
        <is>
          <t>소재</t>
        </is>
      </c>
      <c r="H140" s="29" t="inlineStr">
        <is>
          <t>False</t>
        </is>
      </c>
      <c r="I140" s="29" t="inlineStr">
        <is>
          <t>True</t>
        </is>
      </c>
      <c r="J140" s="29" t="inlineStr">
        <is>
          <t>OK</t>
        </is>
      </c>
      <c r="K140" s="29" t="inlineStr">
        <is>
          <t>데이터 사용 가능</t>
        </is>
      </c>
      <c r="L140" s="29" t="inlineStr">
        <is>
          <t>LOW</t>
        </is>
      </c>
      <c r="M140" s="29" t="inlineStr">
        <is>
          <t>LOW</t>
        </is>
      </c>
      <c r="N140" s="29" t="inlineStr">
        <is>
          <t>0.3835897435897436</t>
        </is>
      </c>
      <c r="O140" s="29" t="inlineStr">
        <is>
          <t>EXPENSIVE</t>
        </is>
      </c>
      <c r="P140" s="29" t="inlineStr">
        <is>
          <t>EXPENSIVE</t>
        </is>
      </c>
      <c r="Q140" s="29" t="inlineStr">
        <is>
          <t>EXPENSIVE</t>
        </is>
      </c>
      <c r="R140" s="29" t="inlineStr">
        <is>
          <t>0.7576999610053956</t>
        </is>
      </c>
      <c r="S140" s="29" t="inlineStr">
        <is>
          <t>HIGH</t>
        </is>
      </c>
      <c r="T140" s="29" t="inlineStr">
        <is>
          <t>HIGH</t>
        </is>
      </c>
      <c r="U140" s="29" t="inlineStr">
        <is>
          <t>0.5</t>
        </is>
      </c>
      <c r="V140" s="29" t="inlineStr">
        <is>
          <t>HIGH_RISK</t>
        </is>
      </c>
      <c r="W140" s="29" t="inlineStr">
        <is>
          <t>고위험</t>
        </is>
      </c>
      <c r="X140" s="29" t="inlineStr">
        <is>
          <t>HIGH_RISK</t>
        </is>
      </c>
      <c r="Y140" s="29" t="inlineStr">
        <is>
          <t>0.5943318096005836</t>
        </is>
      </c>
      <c r="Z140" s="29" t="inlineStr">
        <is>
          <t>MEDIUM</t>
        </is>
      </c>
      <c r="AA140" s="29" t="inlineStr">
        <is>
          <t>MEDIUM</t>
        </is>
      </c>
      <c r="AB140" s="29" t="inlineStr">
        <is>
          <t>0.09923299749910795</t>
        </is>
      </c>
      <c r="AC140" s="29" t="inlineStr">
        <is>
          <t>False</t>
        </is>
      </c>
      <c r="AD140" s="29" t="inlineStr">
        <is>
          <t>False</t>
        </is>
      </c>
      <c r="AE140" s="29" t="inlineStr">
        <is>
          <t>valuation_credit_ml_overlay_candidate.csv</t>
        </is>
      </c>
      <c r="AF140" s="29" t="inlineStr">
        <is>
          <t>208개 반도체 reference universe. Valuation Agent가 자체 intake 폴더로 복제해 Peer/ML/대시보드 비교에 사용.</t>
        </is>
      </c>
    </row>
    <row r="141" ht="24" customHeight="1">
      <c r="A141" s="24" t="inlineStr">
        <is>
          <t>143</t>
        </is>
      </c>
      <c r="B141" s="24" t="inlineStr">
        <is>
          <t>해당 없음</t>
        </is>
      </c>
      <c r="C141" s="24" t="inlineStr">
        <is>
          <t>천보</t>
        </is>
      </c>
      <c r="D141" s="24" t="inlineStr">
        <is>
          <t>278280</t>
        </is>
      </c>
      <c r="E141" s="24" t="inlineStr">
        <is>
          <t>KOSDAQ</t>
        </is>
      </c>
      <c r="F141" s="24" t="inlineStr">
        <is>
          <t>소재</t>
        </is>
      </c>
      <c r="G141" s="24" t="inlineStr">
        <is>
          <t>소재</t>
        </is>
      </c>
      <c r="H141" s="24" t="inlineStr">
        <is>
          <t>False</t>
        </is>
      </c>
      <c r="I141" s="24" t="inlineStr">
        <is>
          <t>True</t>
        </is>
      </c>
      <c r="J141" s="24" t="inlineStr">
        <is>
          <t>OK</t>
        </is>
      </c>
      <c r="K141" s="24" t="inlineStr">
        <is>
          <t>데이터 사용 가능</t>
        </is>
      </c>
      <c r="L141" s="24" t="inlineStr">
        <is>
          <t>LOW</t>
        </is>
      </c>
      <c r="M141" s="24" t="inlineStr">
        <is>
          <t>LOW</t>
        </is>
      </c>
      <c r="N141" s="24" t="inlineStr">
        <is>
          <t>0.3387179487179487</t>
        </is>
      </c>
      <c r="O141" s="24" t="inlineStr">
        <is>
          <t>EXPENSIVE</t>
        </is>
      </c>
      <c r="P141" s="24" t="inlineStr">
        <is>
          <t>EXPENSIVE</t>
        </is>
      </c>
      <c r="Q141" s="24" t="inlineStr">
        <is>
          <t>EXPENSIVE</t>
        </is>
      </c>
      <c r="R141" s="24" t="inlineStr">
        <is>
          <t>0.5721835844163214</t>
        </is>
      </c>
      <c r="S141" s="24" t="inlineStr">
        <is>
          <t>MEDIUM</t>
        </is>
      </c>
      <c r="T141" s="24" t="inlineStr">
        <is>
          <t>MEDIUM</t>
        </is>
      </c>
      <c r="U141" s="24" t="inlineStr">
        <is>
          <t>0.3571428571428571</t>
        </is>
      </c>
      <c r="V141" s="24" t="inlineStr">
        <is>
          <t>MEDIUM_RISK</t>
        </is>
      </c>
      <c r="W141" s="24" t="inlineStr">
        <is>
          <t>중위험</t>
        </is>
      </c>
      <c r="X141" s="24" t="inlineStr">
        <is>
          <t>MEDIUM_RISK</t>
        </is>
      </c>
      <c r="Y141" s="24" t="inlineStr">
        <is>
          <t>0.6610625585827647</t>
        </is>
      </c>
      <c r="Z141" s="24" t="inlineStr">
        <is>
          <t>MEDIUM</t>
        </is>
      </c>
      <c r="AA141" s="24" t="inlineStr">
        <is>
          <t>MEDIUM</t>
        </is>
      </c>
      <c r="AB141" s="24" t="inlineStr">
        <is>
          <t>0.09911108426869078</t>
        </is>
      </c>
      <c r="AC141" s="24" t="inlineStr">
        <is>
          <t>False</t>
        </is>
      </c>
      <c r="AD141" s="24" t="inlineStr">
        <is>
          <t>False</t>
        </is>
      </c>
      <c r="AE141" s="24" t="inlineStr">
        <is>
          <t>valuation_credit_ml_overlay_candidate.csv</t>
        </is>
      </c>
      <c r="AF141" s="24" t="inlineStr">
        <is>
          <t>208개 반도체 reference universe. Valuation Agent가 자체 intake 폴더로 복제해 Peer/ML/대시보드 비교에 사용.</t>
        </is>
      </c>
    </row>
    <row r="142" ht="24" customHeight="1">
      <c r="A142" s="29" t="inlineStr">
        <is>
          <t>149</t>
        </is>
      </c>
      <c r="B142" s="29" t="inlineStr">
        <is>
          <t>해당 없음</t>
        </is>
      </c>
      <c r="C142" s="29" t="inlineStr">
        <is>
          <t>후성</t>
        </is>
      </c>
      <c r="D142" s="29" t="inlineStr">
        <is>
          <t>093370</t>
        </is>
      </c>
      <c r="E142" s="29" t="inlineStr">
        <is>
          <t>KOSPI</t>
        </is>
      </c>
      <c r="F142" s="29" t="inlineStr">
        <is>
          <t>소재</t>
        </is>
      </c>
      <c r="G142" s="29" t="inlineStr">
        <is>
          <t>소재</t>
        </is>
      </c>
      <c r="H142" s="29" t="inlineStr">
        <is>
          <t>False</t>
        </is>
      </c>
      <c r="I142" s="29" t="inlineStr">
        <is>
          <t>True</t>
        </is>
      </c>
      <c r="J142" s="29" t="inlineStr">
        <is>
          <t>OK</t>
        </is>
      </c>
      <c r="K142" s="29" t="inlineStr">
        <is>
          <t>데이터 사용 가능</t>
        </is>
      </c>
      <c r="L142" s="29" t="inlineStr">
        <is>
          <t>LOW</t>
        </is>
      </c>
      <c r="M142" s="29" t="inlineStr">
        <is>
          <t>LOW</t>
        </is>
      </c>
      <c r="N142" s="29" t="inlineStr">
        <is>
          <t>0.3387179487179487</t>
        </is>
      </c>
      <c r="O142" s="29" t="inlineStr">
        <is>
          <t>EXPENSIVE</t>
        </is>
      </c>
      <c r="P142" s="29" t="inlineStr">
        <is>
          <t>EXPENSIVE</t>
        </is>
      </c>
      <c r="Q142" s="29" t="inlineStr">
        <is>
          <t>EXPENSIVE</t>
        </is>
      </c>
      <c r="R142" s="29" t="inlineStr">
        <is>
          <t>0.7388215177779633</t>
        </is>
      </c>
      <c r="S142" s="29" t="inlineStr">
        <is>
          <t>HIGH</t>
        </is>
      </c>
      <c r="T142" s="29" t="inlineStr">
        <is>
          <t>HIGH</t>
        </is>
      </c>
      <c r="U142" s="29" t="inlineStr">
        <is>
          <t>0.1428571428571428</t>
        </is>
      </c>
      <c r="V142" s="29" t="inlineStr">
        <is>
          <t>LOW_RISK</t>
        </is>
      </c>
      <c r="W142" s="29" t="inlineStr">
        <is>
          <t>저위험</t>
        </is>
      </c>
      <c r="X142" s="29" t="inlineStr">
        <is>
          <t>LOW_RISK</t>
        </is>
      </c>
      <c r="Y142" s="29" t="inlineStr">
        <is>
          <t>0.6020102100460379</t>
        </is>
      </c>
      <c r="Z142" s="29" t="inlineStr">
        <is>
          <t>MEDIUM</t>
        </is>
      </c>
      <c r="AA142" s="29" t="inlineStr">
        <is>
          <t>MEDIUM</t>
        </is>
      </c>
      <c r="AB142" s="29" t="inlineStr">
        <is>
          <t>0.03702349009826696</t>
        </is>
      </c>
      <c r="AC142" s="29" t="inlineStr">
        <is>
          <t>False</t>
        </is>
      </c>
      <c r="AD142" s="29" t="inlineStr">
        <is>
          <t>False</t>
        </is>
      </c>
      <c r="AE142" s="29" t="inlineStr">
        <is>
          <t>valuation_credit_ml_overlay_candidate.csv</t>
        </is>
      </c>
      <c r="AF142" s="29" t="inlineStr">
        <is>
          <t>208개 반도체 reference universe. Valuation Agent가 자체 intake 폴더로 복제해 Peer/ML/대시보드 비교에 사용.</t>
        </is>
      </c>
    </row>
    <row r="143" ht="24" customHeight="1">
      <c r="A143" s="24" t="inlineStr">
        <is>
          <t>132</t>
        </is>
      </c>
      <c r="B143" s="24" t="inlineStr">
        <is>
          <t>해당 없음</t>
        </is>
      </c>
      <c r="C143" s="24" t="inlineStr">
        <is>
          <t>엘케이켐</t>
        </is>
      </c>
      <c r="D143" s="24" t="inlineStr">
        <is>
          <t>489500</t>
        </is>
      </c>
      <c r="E143" s="24" t="inlineStr">
        <is>
          <t>KOSDAQ</t>
        </is>
      </c>
      <c r="F143" s="24" t="inlineStr">
        <is>
          <t>소재</t>
        </is>
      </c>
      <c r="G143" s="24" t="inlineStr">
        <is>
          <t>소재</t>
        </is>
      </c>
      <c r="H143" s="24" t="inlineStr">
        <is>
          <t>False</t>
        </is>
      </c>
      <c r="I143" s="24" t="inlineStr">
        <is>
          <t>True</t>
        </is>
      </c>
      <c r="J143" s="24" t="inlineStr">
        <is>
          <t>OK_LIMITED_HISTORY_OR_GROWTH_NA</t>
        </is>
      </c>
      <c r="K143" s="24" t="inlineStr">
        <is>
          <t>데이터 사용 가능</t>
        </is>
      </c>
      <c r="L143" s="24" t="inlineStr">
        <is>
          <t>LOW</t>
        </is>
      </c>
      <c r="M143" s="24" t="inlineStr">
        <is>
          <t>LOW</t>
        </is>
      </c>
      <c r="N143" s="24" t="inlineStr">
        <is>
          <t>0.3238461538461538</t>
        </is>
      </c>
      <c r="O143" s="24" t="inlineStr">
        <is>
          <t>EXPENSIVE</t>
        </is>
      </c>
      <c r="P143" s="24" t="inlineStr">
        <is>
          <t>EXPENSIVE</t>
        </is>
      </c>
      <c r="Q143" s="24" t="inlineStr">
        <is>
          <t>EXPENSIVE</t>
        </is>
      </c>
      <c r="R143" s="24" t="inlineStr">
        <is>
          <t>0.702794478496214</t>
        </is>
      </c>
      <c r="S143" s="24" t="inlineStr">
        <is>
          <t>HIGH</t>
        </is>
      </c>
      <c r="T143" s="24" t="inlineStr">
        <is>
          <t>HIGH</t>
        </is>
      </c>
      <c r="U143" s="24" t="inlineStr">
        <is>
          <t>0.2857142857142857</t>
        </is>
      </c>
      <c r="V143" s="24" t="inlineStr">
        <is>
          <t>MEDIUM_RISK</t>
        </is>
      </c>
      <c r="W143" s="24" t="inlineStr">
        <is>
          <t>중위험</t>
        </is>
      </c>
      <c r="X143" s="24" t="inlineStr">
        <is>
          <t>MEDIUM_RISK</t>
        </is>
      </c>
      <c r="Y143" s="24" t="inlineStr">
        <is>
          <t>0.5536965458646373</t>
        </is>
      </c>
      <c r="Z143" s="24" t="inlineStr">
        <is>
          <t>MEDIUM</t>
        </is>
      </c>
      <c r="AA143" s="24" t="inlineStr">
        <is>
          <t>MEDIUM</t>
        </is>
      </c>
      <c r="AB143" s="24" t="inlineStr">
        <is>
          <t>0.25181847400004714</t>
        </is>
      </c>
      <c r="AC143" s="24" t="inlineStr">
        <is>
          <t>True</t>
        </is>
      </c>
      <c r="AD143" s="24" t="inlineStr">
        <is>
          <t>True</t>
        </is>
      </c>
      <c r="AE143" s="24" t="inlineStr">
        <is>
          <t>valuation_credit_ml_overlay_candidate.csv</t>
        </is>
      </c>
      <c r="AF143" s="24" t="inlineStr">
        <is>
          <t>208개 반도체 reference universe. Valuation Agent가 자체 intake 폴더로 복제해 Peer/ML/대시보드 비교에 사용.</t>
        </is>
      </c>
    </row>
    <row r="144" ht="24" customHeight="1">
      <c r="A144" s="29" t="inlineStr">
        <is>
          <t>124</t>
        </is>
      </c>
      <c r="B144" s="29" t="inlineStr">
        <is>
          <t>해당 없음</t>
        </is>
      </c>
      <c r="C144" s="29" t="inlineStr">
        <is>
          <t>SKC</t>
        </is>
      </c>
      <c r="D144" s="29" t="inlineStr">
        <is>
          <t>011790</t>
        </is>
      </c>
      <c r="E144" s="29" t="inlineStr">
        <is>
          <t>KOSPI</t>
        </is>
      </c>
      <c r="F144" s="29" t="inlineStr">
        <is>
          <t>소재</t>
        </is>
      </c>
      <c r="G144" s="29" t="inlineStr">
        <is>
          <t>소재</t>
        </is>
      </c>
      <c r="H144" s="29" t="inlineStr">
        <is>
          <t>False</t>
        </is>
      </c>
      <c r="I144" s="29" t="inlineStr">
        <is>
          <t>True</t>
        </is>
      </c>
      <c r="J144" s="29" t="inlineStr">
        <is>
          <t>OK</t>
        </is>
      </c>
      <c r="K144" s="29" t="inlineStr">
        <is>
          <t>데이터 사용 가능</t>
        </is>
      </c>
      <c r="L144" s="29" t="inlineStr">
        <is>
          <t>LOW</t>
        </is>
      </c>
      <c r="M144" s="29" t="inlineStr">
        <is>
          <t>LOW</t>
        </is>
      </c>
      <c r="N144" s="29" t="inlineStr">
        <is>
          <t>0.3217948717948718</t>
        </is>
      </c>
      <c r="O144" s="29" t="inlineStr">
        <is>
          <t>EXPENSIVE</t>
        </is>
      </c>
      <c r="P144" s="29" t="inlineStr">
        <is>
          <t>EXPENSIVE</t>
        </is>
      </c>
      <c r="Q144" s="29" t="inlineStr">
        <is>
          <t>EXPENSIVE</t>
        </is>
      </c>
      <c r="R144" s="29" t="inlineStr">
        <is>
          <t>0.865330691240198</t>
        </is>
      </c>
      <c r="S144" s="29" t="inlineStr">
        <is>
          <t>HIGH</t>
        </is>
      </c>
      <c r="T144" s="29" t="inlineStr">
        <is>
          <t>HIGH</t>
        </is>
      </c>
      <c r="U144" s="29" t="inlineStr">
        <is>
          <t>0.7142857142857143</t>
        </is>
      </c>
      <c r="V144" s="29" t="inlineStr">
        <is>
          <t>HIGH_RISK</t>
        </is>
      </c>
      <c r="W144" s="29" t="inlineStr">
        <is>
          <t>고위험</t>
        </is>
      </c>
      <c r="X144" s="29" t="inlineStr">
        <is>
          <t>HIGH_RISK</t>
        </is>
      </c>
      <c r="Y144" s="29" t="inlineStr">
        <is>
          <t>0.9272418560336225</t>
        </is>
      </c>
      <c r="Z144" s="29" t="inlineStr">
        <is>
          <t>HIGH</t>
        </is>
      </c>
      <c r="AA144" s="29" t="inlineStr">
        <is>
          <t>HIGH</t>
        </is>
      </c>
      <c r="AB144" s="29" t="inlineStr">
        <is>
          <t>0.23200310396853355</t>
        </is>
      </c>
      <c r="AC144" s="29" t="inlineStr">
        <is>
          <t>False</t>
        </is>
      </c>
      <c r="AD144" s="29" t="inlineStr">
        <is>
          <t>False</t>
        </is>
      </c>
      <c r="AE144" s="29" t="inlineStr">
        <is>
          <t>valuation_credit_ml_overlay_candidate.csv</t>
        </is>
      </c>
      <c r="AF144" s="29" t="inlineStr">
        <is>
          <t>208개 반도체 reference universe. Valuation Agent가 자체 intake 폴더로 복제해 Peer/ML/대시보드 비교에 사용.</t>
        </is>
      </c>
    </row>
    <row r="145" ht="24" customHeight="1">
      <c r="A145" s="24" t="inlineStr">
        <is>
          <t>128</t>
        </is>
      </c>
      <c r="B145" s="24" t="inlineStr">
        <is>
          <t>해당 없음</t>
        </is>
      </c>
      <c r="C145" s="24" t="inlineStr">
        <is>
          <t>레이크머티리얼즈</t>
        </is>
      </c>
      <c r="D145" s="24" t="inlineStr">
        <is>
          <t>281740</t>
        </is>
      </c>
      <c r="E145" s="24" t="inlineStr">
        <is>
          <t>KOSDAQ</t>
        </is>
      </c>
      <c r="F145" s="24" t="inlineStr">
        <is>
          <t>소재</t>
        </is>
      </c>
      <c r="G145" s="24" t="inlineStr">
        <is>
          <t>소재</t>
        </is>
      </c>
      <c r="H145" s="24" t="inlineStr">
        <is>
          <t>False</t>
        </is>
      </c>
      <c r="I145" s="24" t="inlineStr">
        <is>
          <t>True</t>
        </is>
      </c>
      <c r="J145" s="24" t="inlineStr">
        <is>
          <t>OK</t>
        </is>
      </c>
      <c r="K145" s="24" t="inlineStr">
        <is>
          <t>데이터 사용 가능</t>
        </is>
      </c>
      <c r="L145" s="24" t="inlineStr">
        <is>
          <t>LOW</t>
        </is>
      </c>
      <c r="M145" s="24" t="inlineStr">
        <is>
          <t>LOW</t>
        </is>
      </c>
      <c r="N145" s="24" t="inlineStr">
        <is>
          <t>0.2676923076923077</t>
        </is>
      </c>
      <c r="O145" s="24" t="inlineStr">
        <is>
          <t>EXPENSIVE</t>
        </is>
      </c>
      <c r="P145" s="24" t="inlineStr">
        <is>
          <t>EXPENSIVE</t>
        </is>
      </c>
      <c r="Q145" s="24" t="inlineStr">
        <is>
          <t>EXPENSIVE</t>
        </is>
      </c>
      <c r="R145" s="24" t="inlineStr">
        <is>
          <t>0.7822727417954645</t>
        </is>
      </c>
      <c r="S145" s="24" t="inlineStr">
        <is>
          <t>HIGH</t>
        </is>
      </c>
      <c r="T145" s="24" t="inlineStr">
        <is>
          <t>HIGH</t>
        </is>
      </c>
      <c r="U145" s="24" t="inlineStr">
        <is>
          <t>0.2857142857142857</t>
        </is>
      </c>
      <c r="V145" s="24" t="inlineStr">
        <is>
          <t>MEDIUM_RISK</t>
        </is>
      </c>
      <c r="W145" s="24" t="inlineStr">
        <is>
          <t>중위험</t>
        </is>
      </c>
      <c r="X145" s="24" t="inlineStr">
        <is>
          <t>LOW_RISK</t>
        </is>
      </c>
      <c r="Y145" s="24" t="inlineStr">
        <is>
          <t>0.44190315892256776</t>
        </is>
      </c>
      <c r="Z145" s="24" t="inlineStr">
        <is>
          <t>LOW</t>
        </is>
      </c>
      <c r="AA145" s="24" t="inlineStr">
        <is>
          <t>LOW</t>
        </is>
      </c>
      <c r="AB145" s="24" t="inlineStr">
        <is>
          <t>0.0525163305941587</t>
        </is>
      </c>
      <c r="AC145" s="24" t="inlineStr">
        <is>
          <t>False</t>
        </is>
      </c>
      <c r="AD145" s="24" t="inlineStr">
        <is>
          <t>True</t>
        </is>
      </c>
      <c r="AE145" s="24" t="inlineStr">
        <is>
          <t>valuation_credit_ml_overlay_candidate.csv</t>
        </is>
      </c>
      <c r="AF145" s="24" t="inlineStr">
        <is>
          <t>208개 반도체 reference universe. Valuation Agent가 자체 intake 폴더로 복제해 Peer/ML/대시보드 비교에 사용.</t>
        </is>
      </c>
    </row>
    <row r="146" ht="24" customHeight="1">
      <c r="A146" s="29" t="inlineStr">
        <is>
          <t>125</t>
        </is>
      </c>
      <c r="B146" s="29" t="inlineStr">
        <is>
          <t>duksan</t>
        </is>
      </c>
      <c r="C146" s="29" t="inlineStr">
        <is>
          <t>덕산테코피아</t>
        </is>
      </c>
      <c r="D146" s="29" t="inlineStr">
        <is>
          <t>317330</t>
        </is>
      </c>
      <c r="E146" s="29" t="inlineStr">
        <is>
          <t>KOSDAQ</t>
        </is>
      </c>
      <c r="F146" s="29" t="inlineStr">
        <is>
          <t>소재</t>
        </is>
      </c>
      <c r="G146" s="29" t="inlineStr">
        <is>
          <t>소재</t>
        </is>
      </c>
      <c r="H146" s="29" t="inlineStr">
        <is>
          <t>True</t>
        </is>
      </c>
      <c r="I146" s="29" t="inlineStr">
        <is>
          <t>True</t>
        </is>
      </c>
      <c r="J146" s="29" t="inlineStr">
        <is>
          <t>OK</t>
        </is>
      </c>
      <c r="K146" s="29" t="inlineStr">
        <is>
          <t>데이터 사용 가능</t>
        </is>
      </c>
      <c r="L146" s="29" t="inlineStr">
        <is>
          <t>LOW</t>
        </is>
      </c>
      <c r="M146" s="29" t="inlineStr">
        <is>
          <t>LOW</t>
        </is>
      </c>
      <c r="N146" s="29" t="inlineStr">
        <is>
          <t>0.251025641025641</t>
        </is>
      </c>
      <c r="O146" s="29" t="inlineStr">
        <is>
          <t>EXPENSIVE</t>
        </is>
      </c>
      <c r="P146" s="29" t="inlineStr">
        <is>
          <t>EXPENSIVE</t>
        </is>
      </c>
      <c r="Q146" s="29" t="inlineStr">
        <is>
          <t>EXPENSIVE</t>
        </is>
      </c>
      <c r="R146" s="29" t="inlineStr">
        <is>
          <t>0.9683283970250778</t>
        </is>
      </c>
      <c r="S146" s="29" t="inlineStr">
        <is>
          <t>HIGH</t>
        </is>
      </c>
      <c r="T146" s="29" t="inlineStr">
        <is>
          <t>HIGH</t>
        </is>
      </c>
      <c r="U146" s="29" t="inlineStr">
        <is>
          <t>0.7142857142857143</t>
        </is>
      </c>
      <c r="V146" s="29" t="inlineStr">
        <is>
          <t>HIGH_RISK</t>
        </is>
      </c>
      <c r="W146" s="29" t="inlineStr">
        <is>
          <t>고위험</t>
        </is>
      </c>
      <c r="X146" s="29" t="inlineStr">
        <is>
          <t>HIGH_RISK</t>
        </is>
      </c>
      <c r="Y146" s="29" t="inlineStr">
        <is>
          <t>0.9663044353705786</t>
        </is>
      </c>
      <c r="Z146" s="29" t="inlineStr">
        <is>
          <t>HIGH</t>
        </is>
      </c>
      <c r="AA146" s="29" t="inlineStr">
        <is>
          <t>HIGH</t>
        </is>
      </c>
      <c r="AB146" s="29" t="inlineStr">
        <is>
          <t>0.3843555232614074</t>
        </is>
      </c>
      <c r="AC146" s="29" t="inlineStr">
        <is>
          <t>True</t>
        </is>
      </c>
      <c r="AD146" s="29" t="inlineStr">
        <is>
          <t>True</t>
        </is>
      </c>
      <c r="AE146" s="29" t="inlineStr">
        <is>
          <t>valuation_credit_ml_overlay_candidate.csv</t>
        </is>
      </c>
      <c r="AF146" s="29" t="inlineStr">
        <is>
          <t>208개 반도체 reference universe. Valuation Agent가 자체 intake 폴더로 복제해 Peer/ML/대시보드 비교에 사용.</t>
        </is>
      </c>
    </row>
    <row r="147" ht="24" customHeight="1">
      <c r="A147" s="24" t="inlineStr">
        <is>
          <t>99</t>
        </is>
      </c>
      <c r="B147" s="24" t="inlineStr">
        <is>
          <t>해당 없음</t>
        </is>
      </c>
      <c r="C147" s="24" t="inlineStr">
        <is>
          <t>엔투텍</t>
        </is>
      </c>
      <c r="D147" s="24" t="inlineStr">
        <is>
          <t>227950</t>
        </is>
      </c>
      <c r="E147" s="24" t="inlineStr">
        <is>
          <t>KOSDAQ</t>
        </is>
      </c>
      <c r="F147" s="24" t="inlineStr">
        <is>
          <t>장비</t>
        </is>
      </c>
      <c r="G147" s="24" t="inlineStr">
        <is>
          <t>장비</t>
        </is>
      </c>
      <c r="H147" s="24" t="inlineStr">
        <is>
          <t>False</t>
        </is>
      </c>
      <c r="I147" s="24" t="inlineStr">
        <is>
          <t>True</t>
        </is>
      </c>
      <c r="J147" s="24" t="inlineStr">
        <is>
          <t>OK</t>
        </is>
      </c>
      <c r="K147" s="24" t="inlineStr">
        <is>
          <t>데이터 사용 가능</t>
        </is>
      </c>
      <c r="L147" s="24" t="inlineStr">
        <is>
          <t>LOW</t>
        </is>
      </c>
      <c r="M147" s="24" t="inlineStr">
        <is>
          <t>LOW</t>
        </is>
      </c>
      <c r="N147" s="24" t="inlineStr">
        <is>
          <t>0.8128666666666667</t>
        </is>
      </c>
      <c r="O147" s="24" t="inlineStr">
        <is>
          <t>ATTRACTIVE</t>
        </is>
      </c>
      <c r="P147" s="24" t="inlineStr">
        <is>
          <t>가치 매력</t>
        </is>
      </c>
      <c r="Q147" s="24" t="inlineStr">
        <is>
          <t>ATTRACTIVE</t>
        </is>
      </c>
      <c r="R147" s="24" t="inlineStr">
        <is>
          <t>0.8347222629406851</t>
        </is>
      </c>
      <c r="S147" s="24" t="inlineStr">
        <is>
          <t>HIGH</t>
        </is>
      </c>
      <c r="T147" s="24" t="inlineStr">
        <is>
          <t>HIGH</t>
        </is>
      </c>
      <c r="U147" s="24" t="inlineStr">
        <is>
          <t>0.2142857142857142</t>
        </is>
      </c>
      <c r="V147" s="24" t="inlineStr">
        <is>
          <t>MEDIUM_RISK</t>
        </is>
      </c>
      <c r="W147" s="24" t="inlineStr">
        <is>
          <t>중위험</t>
        </is>
      </c>
      <c r="X147" s="24" t="inlineStr">
        <is>
          <t>MEDIUM_RISK</t>
        </is>
      </c>
      <c r="Y147" s="24" t="inlineStr">
        <is>
          <t>0.5142933547274794</t>
        </is>
      </c>
      <c r="Z147" s="24" t="inlineStr">
        <is>
          <t>MEDIUM</t>
        </is>
      </c>
      <c r="AA147" s="24" t="inlineStr">
        <is>
          <t>MEDIUM</t>
        </is>
      </c>
      <c r="AB147" s="24" t="inlineStr">
        <is>
          <t>0.21193857896314997</t>
        </is>
      </c>
      <c r="AC147" s="24" t="inlineStr">
        <is>
          <t>False</t>
        </is>
      </c>
      <c r="AD147" s="24" t="inlineStr">
        <is>
          <t>False</t>
        </is>
      </c>
      <c r="AE147" s="24" t="inlineStr">
        <is>
          <t>valuation_credit_ml_overlay_candidate.csv</t>
        </is>
      </c>
      <c r="AF147" s="24" t="inlineStr">
        <is>
          <t>208개 반도체 reference universe. Valuation Agent가 자체 intake 폴더로 복제해 Peer/ML/대시보드 비교에 사용.</t>
        </is>
      </c>
    </row>
    <row r="148" ht="24" customHeight="1">
      <c r="A148" s="29" t="inlineStr">
        <is>
          <t>88</t>
        </is>
      </c>
      <c r="B148" s="29" t="inlineStr">
        <is>
          <t>해당 없음</t>
        </is>
      </c>
      <c r="C148" s="29" t="inlineStr">
        <is>
          <t>비아트론</t>
        </is>
      </c>
      <c r="D148" s="29" t="inlineStr">
        <is>
          <t>141000</t>
        </is>
      </c>
      <c r="E148" s="29" t="inlineStr">
        <is>
          <t>KOSDAQ</t>
        </is>
      </c>
      <c r="F148" s="29" t="inlineStr">
        <is>
          <t>장비</t>
        </is>
      </c>
      <c r="G148" s="29" t="inlineStr">
        <is>
          <t>장비</t>
        </is>
      </c>
      <c r="H148" s="29" t="inlineStr">
        <is>
          <t>False</t>
        </is>
      </c>
      <c r="I148" s="29" t="inlineStr">
        <is>
          <t>True</t>
        </is>
      </c>
      <c r="J148" s="29" t="inlineStr">
        <is>
          <t>OK</t>
        </is>
      </c>
      <c r="K148" s="29" t="inlineStr">
        <is>
          <t>데이터 사용 가능</t>
        </is>
      </c>
      <c r="L148" s="29" t="inlineStr">
        <is>
          <t>LOW</t>
        </is>
      </c>
      <c r="M148" s="29" t="inlineStr">
        <is>
          <t>LOW</t>
        </is>
      </c>
      <c r="N148" s="29" t="inlineStr">
        <is>
          <t>0.7105333333333335</t>
        </is>
      </c>
      <c r="O148" s="29" t="inlineStr">
        <is>
          <t>ATTRACTIVE</t>
        </is>
      </c>
      <c r="P148" s="29" t="inlineStr">
        <is>
          <t>가치 매력</t>
        </is>
      </c>
      <c r="Q148" s="29" t="inlineStr">
        <is>
          <t>ATTRACTIVE</t>
        </is>
      </c>
      <c r="R148" s="29" t="inlineStr">
        <is>
          <t>0.934708213344448</t>
        </is>
      </c>
      <c r="S148" s="29" t="inlineStr">
        <is>
          <t>HIGH</t>
        </is>
      </c>
      <c r="T148" s="29" t="inlineStr">
        <is>
          <t>HIGH</t>
        </is>
      </c>
      <c r="U148" s="29" t="inlineStr">
        <is>
          <t>0.0</t>
        </is>
      </c>
      <c r="V148" s="29" t="inlineStr">
        <is>
          <t>LOW_RISK</t>
        </is>
      </c>
      <c r="W148" s="29" t="inlineStr">
        <is>
          <t>저위험</t>
        </is>
      </c>
      <c r="X148" s="29" t="inlineStr">
        <is>
          <t>LOW_RISK</t>
        </is>
      </c>
      <c r="Y148" s="29" t="inlineStr">
        <is>
          <t>0.9411184099481913</t>
        </is>
      </c>
      <c r="Z148" s="29" t="inlineStr">
        <is>
          <t>HIGH</t>
        </is>
      </c>
      <c r="AA148" s="29" t="inlineStr">
        <is>
          <t>HIGH</t>
        </is>
      </c>
      <c r="AB148" s="29" t="inlineStr">
        <is>
          <t>0.11715633071246634</t>
        </is>
      </c>
      <c r="AC148" s="29" t="inlineStr">
        <is>
          <t>False</t>
        </is>
      </c>
      <c r="AD148" s="29" t="inlineStr">
        <is>
          <t>False</t>
        </is>
      </c>
      <c r="AE148" s="29" t="inlineStr">
        <is>
          <t>valuation_credit_ml_overlay_candidate.csv</t>
        </is>
      </c>
      <c r="AF148" s="29" t="inlineStr">
        <is>
          <t>208개 반도체 reference universe. Valuation Agent가 자체 intake 폴더로 복제해 Peer/ML/대시보드 비교에 사용.</t>
        </is>
      </c>
    </row>
    <row r="149" ht="24" customHeight="1">
      <c r="A149" s="24" t="inlineStr">
        <is>
          <t>112</t>
        </is>
      </c>
      <c r="B149" s="24" t="inlineStr">
        <is>
          <t>해당 없음</t>
        </is>
      </c>
      <c r="C149" s="24" t="inlineStr">
        <is>
          <t>케이씨</t>
        </is>
      </c>
      <c r="D149" s="24" t="inlineStr">
        <is>
          <t>029460</t>
        </is>
      </c>
      <c r="E149" s="24" t="inlineStr">
        <is>
          <t>KOSPI</t>
        </is>
      </c>
      <c r="F149" s="24" t="inlineStr">
        <is>
          <t>장비</t>
        </is>
      </c>
      <c r="G149" s="24" t="inlineStr">
        <is>
          <t>장비</t>
        </is>
      </c>
      <c r="H149" s="24" t="inlineStr">
        <is>
          <t>False</t>
        </is>
      </c>
      <c r="I149" s="24" t="inlineStr">
        <is>
          <t>True</t>
        </is>
      </c>
      <c r="J149" s="24" t="inlineStr">
        <is>
          <t>OK</t>
        </is>
      </c>
      <c r="K149" s="24" t="inlineStr">
        <is>
          <t>데이터 사용 가능</t>
        </is>
      </c>
      <c r="L149" s="24" t="inlineStr">
        <is>
          <t>LOW</t>
        </is>
      </c>
      <c r="M149" s="24" t="inlineStr">
        <is>
          <t>LOW</t>
        </is>
      </c>
      <c r="N149" s="24" t="inlineStr">
        <is>
          <t>0.7065333333333332</t>
        </is>
      </c>
      <c r="O149" s="24" t="inlineStr">
        <is>
          <t>ATTRACTIVE</t>
        </is>
      </c>
      <c r="P149" s="24" t="inlineStr">
        <is>
          <t>가치 매력</t>
        </is>
      </c>
      <c r="Q149" s="24" t="inlineStr">
        <is>
          <t>ATTRACTIVE</t>
        </is>
      </c>
      <c r="R149" s="24" t="inlineStr">
        <is>
          <t>0.9151708177015135</t>
        </is>
      </c>
      <c r="S149" s="24" t="inlineStr">
        <is>
          <t>HIGH</t>
        </is>
      </c>
      <c r="T149" s="24" t="inlineStr">
        <is>
          <t>HIGH</t>
        </is>
      </c>
      <c r="U149" s="24" t="inlineStr">
        <is>
          <t>0.0</t>
        </is>
      </c>
      <c r="V149" s="24" t="inlineStr">
        <is>
          <t>LOW_RISK</t>
        </is>
      </c>
      <c r="W149" s="24" t="inlineStr">
        <is>
          <t>저위험</t>
        </is>
      </c>
      <c r="X149" s="24" t="inlineStr">
        <is>
          <t>LOW_RISK</t>
        </is>
      </c>
      <c r="Y149" s="24" t="inlineStr">
        <is>
          <t>0.883115363364621</t>
        </is>
      </c>
      <c r="Z149" s="24" t="inlineStr">
        <is>
          <t>HIGH</t>
        </is>
      </c>
      <c r="AA149" s="24" t="inlineStr">
        <is>
          <t>HIGH</t>
        </is>
      </c>
      <c r="AB149" s="24" t="inlineStr">
        <is>
          <t>0.07036651203602409</t>
        </is>
      </c>
      <c r="AC149" s="24" t="inlineStr">
        <is>
          <t>False</t>
        </is>
      </c>
      <c r="AD149" s="24" t="inlineStr">
        <is>
          <t>False</t>
        </is>
      </c>
      <c r="AE149" s="24" t="inlineStr">
        <is>
          <t>valuation_credit_ml_overlay_candidate.csv</t>
        </is>
      </c>
      <c r="AF149" s="24" t="inlineStr">
        <is>
          <t>208개 반도체 reference universe. Valuation Agent가 자체 intake 폴더로 복제해 Peer/ML/대시보드 비교에 사용.</t>
        </is>
      </c>
    </row>
    <row r="150" ht="24" customHeight="1">
      <c r="A150" s="29" t="inlineStr">
        <is>
          <t>81</t>
        </is>
      </c>
      <c r="B150" s="29" t="inlineStr">
        <is>
          <t>해당 없음</t>
        </is>
      </c>
      <c r="C150" s="29" t="inlineStr">
        <is>
          <t>더코디</t>
        </is>
      </c>
      <c r="D150" s="29" t="inlineStr">
        <is>
          <t>224060</t>
        </is>
      </c>
      <c r="E150" s="29" t="inlineStr">
        <is>
          <t>KOSDAQ</t>
        </is>
      </c>
      <c r="F150" s="29" t="inlineStr">
        <is>
          <t>장비</t>
        </is>
      </c>
      <c r="G150" s="29" t="inlineStr">
        <is>
          <t>장비</t>
        </is>
      </c>
      <c r="H150" s="29" t="inlineStr">
        <is>
          <t>False</t>
        </is>
      </c>
      <c r="I150" s="29" t="inlineStr">
        <is>
          <t>True</t>
        </is>
      </c>
      <c r="J150" s="29" t="inlineStr">
        <is>
          <t>OK</t>
        </is>
      </c>
      <c r="K150" s="29" t="inlineStr">
        <is>
          <t>데이터 사용 가능</t>
        </is>
      </c>
      <c r="L150" s="29" t="inlineStr">
        <is>
          <t>LOW</t>
        </is>
      </c>
      <c r="M150" s="29" t="inlineStr">
        <is>
          <t>LOW</t>
        </is>
      </c>
      <c r="N150" s="29" t="inlineStr">
        <is>
          <t>0.6908666666666667</t>
        </is>
      </c>
      <c r="O150" s="29" t="inlineStr">
        <is>
          <t>FAIR</t>
        </is>
      </c>
      <c r="P150" s="29" t="inlineStr">
        <is>
          <t>FAIR</t>
        </is>
      </c>
      <c r="Q150" s="29" t="inlineStr">
        <is>
          <t>FAIR</t>
        </is>
      </c>
      <c r="R150" s="29" t="inlineStr">
        <is>
          <t>0.6613330626239345</t>
        </is>
      </c>
      <c r="S150" s="29" t="inlineStr">
        <is>
          <t>MEDIUM</t>
        </is>
      </c>
      <c r="T150" s="29" t="inlineStr">
        <is>
          <t>MEDIUM</t>
        </is>
      </c>
      <c r="U150" s="29" t="inlineStr">
        <is>
          <t>0.8571428571428571</t>
        </is>
      </c>
      <c r="V150" s="29" t="inlineStr">
        <is>
          <t>HIGH_RISK</t>
        </is>
      </c>
      <c r="W150" s="29" t="inlineStr">
        <is>
          <t>고위험</t>
        </is>
      </c>
      <c r="X150" s="29" t="inlineStr">
        <is>
          <t>HIGH_RISK</t>
        </is>
      </c>
      <c r="Y150" s="29" t="inlineStr">
        <is>
          <t>0.5690179270143122</t>
        </is>
      </c>
      <c r="Z150" s="29" t="inlineStr">
        <is>
          <t>MEDIUM</t>
        </is>
      </c>
      <c r="AA150" s="29" t="inlineStr">
        <is>
          <t>MEDIUM</t>
        </is>
      </c>
      <c r="AB150" s="29" t="inlineStr">
        <is>
          <t>0.3728446721783581</t>
        </is>
      </c>
      <c r="AC150" s="29" t="inlineStr">
        <is>
          <t>True</t>
        </is>
      </c>
      <c r="AD150" s="29" t="inlineStr">
        <is>
          <t>True</t>
        </is>
      </c>
      <c r="AE150" s="29" t="inlineStr">
        <is>
          <t>valuation_credit_ml_overlay_candidate.csv</t>
        </is>
      </c>
      <c r="AF150" s="29" t="inlineStr">
        <is>
          <t>208개 반도체 reference universe. Valuation Agent가 자체 intake 폴더로 복제해 Peer/ML/대시보드 비교에 사용.</t>
        </is>
      </c>
    </row>
    <row r="151" ht="24" customHeight="1">
      <c r="A151" s="24" t="inlineStr">
        <is>
          <t>76</t>
        </is>
      </c>
      <c r="B151" s="24" t="inlineStr">
        <is>
          <t>해당 없음</t>
        </is>
      </c>
      <c r="C151" s="24" t="inlineStr">
        <is>
          <t>KPX케미칼</t>
        </is>
      </c>
      <c r="D151" s="24" t="inlineStr">
        <is>
          <t>025000</t>
        </is>
      </c>
      <c r="E151" s="24" t="inlineStr">
        <is>
          <t>KOSPI</t>
        </is>
      </c>
      <c r="F151" s="24" t="inlineStr">
        <is>
          <t>장비</t>
        </is>
      </c>
      <c r="G151" s="24" t="inlineStr">
        <is>
          <t>장비</t>
        </is>
      </c>
      <c r="H151" s="24" t="inlineStr">
        <is>
          <t>False</t>
        </is>
      </c>
      <c r="I151" s="24" t="inlineStr">
        <is>
          <t>True</t>
        </is>
      </c>
      <c r="J151" s="24" t="inlineStr">
        <is>
          <t>OK</t>
        </is>
      </c>
      <c r="K151" s="24" t="inlineStr">
        <is>
          <t>데이터 사용 가능</t>
        </is>
      </c>
      <c r="L151" s="24" t="inlineStr">
        <is>
          <t>LOW</t>
        </is>
      </c>
      <c r="M151" s="24" t="inlineStr">
        <is>
          <t>LOW</t>
        </is>
      </c>
      <c r="N151" s="24" t="inlineStr">
        <is>
          <t>0.6876</t>
        </is>
      </c>
      <c r="O151" s="24" t="inlineStr">
        <is>
          <t>ATTRACTIVE</t>
        </is>
      </c>
      <c r="P151" s="24" t="inlineStr">
        <is>
          <t>가치 매력</t>
        </is>
      </c>
      <c r="Q151" s="24" t="inlineStr">
        <is>
          <t>ATTRACTIVE</t>
        </is>
      </c>
      <c r="R151" s="24" t="inlineStr">
        <is>
          <t>0.9091955435785402</t>
        </is>
      </c>
      <c r="S151" s="24" t="inlineStr">
        <is>
          <t>HIGH</t>
        </is>
      </c>
      <c r="T151" s="24" t="inlineStr">
        <is>
          <t>HIGH</t>
        </is>
      </c>
      <c r="U151" s="24" t="inlineStr">
        <is>
          <t>0.0</t>
        </is>
      </c>
      <c r="V151" s="24" t="inlineStr">
        <is>
          <t>LOW_RISK</t>
        </is>
      </c>
      <c r="W151" s="24" t="inlineStr">
        <is>
          <t>저위험</t>
        </is>
      </c>
      <c r="X151" s="24" t="inlineStr">
        <is>
          <t>LOW_RISK</t>
        </is>
      </c>
      <c r="Y151" s="24" t="inlineStr">
        <is>
          <t>0.9222174142026104</t>
        </is>
      </c>
      <c r="Z151" s="24" t="inlineStr">
        <is>
          <t>HIGH</t>
        </is>
      </c>
      <c r="AA151" s="24" t="inlineStr">
        <is>
          <t>HIGH</t>
        </is>
      </c>
      <c r="AB151" s="24" t="inlineStr">
        <is>
          <t>0.13901835477996793</t>
        </is>
      </c>
      <c r="AC151" s="24" t="inlineStr">
        <is>
          <t>False</t>
        </is>
      </c>
      <c r="AD151" s="24" t="inlineStr">
        <is>
          <t>False</t>
        </is>
      </c>
      <c r="AE151" s="24" t="inlineStr">
        <is>
          <t>valuation_credit_ml_overlay_candidate.csv</t>
        </is>
      </c>
      <c r="AF151" s="24" t="inlineStr">
        <is>
          <t>208개 반도체 reference universe. Valuation Agent가 자체 intake 폴더로 복제해 Peer/ML/대시보드 비교에 사용.</t>
        </is>
      </c>
    </row>
    <row r="152" ht="24" customHeight="1">
      <c r="A152" s="29" t="inlineStr">
        <is>
          <t>91</t>
        </is>
      </c>
      <c r="B152" s="29" t="inlineStr">
        <is>
          <t>해당 없음</t>
        </is>
      </c>
      <c r="C152" s="29" t="inlineStr">
        <is>
          <t>성도이엔지</t>
        </is>
      </c>
      <c r="D152" s="29" t="inlineStr">
        <is>
          <t>037350</t>
        </is>
      </c>
      <c r="E152" s="29" t="inlineStr">
        <is>
          <t>KOSDAQ</t>
        </is>
      </c>
      <c r="F152" s="29" t="inlineStr">
        <is>
          <t>장비</t>
        </is>
      </c>
      <c r="G152" s="29" t="inlineStr">
        <is>
          <t>장비</t>
        </is>
      </c>
      <c r="H152" s="29" t="inlineStr">
        <is>
          <t>False</t>
        </is>
      </c>
      <c r="I152" s="29" t="inlineStr">
        <is>
          <t>True</t>
        </is>
      </c>
      <c r="J152" s="29" t="inlineStr">
        <is>
          <t>OK</t>
        </is>
      </c>
      <c r="K152" s="29" t="inlineStr">
        <is>
          <t>데이터 사용 가능</t>
        </is>
      </c>
      <c r="L152" s="29" t="inlineStr">
        <is>
          <t>LOW</t>
        </is>
      </c>
      <c r="M152" s="29" t="inlineStr">
        <is>
          <t>LOW</t>
        </is>
      </c>
      <c r="N152" s="29" t="inlineStr">
        <is>
          <t>0.6874666666666667</t>
        </is>
      </c>
      <c r="O152" s="29" t="inlineStr">
        <is>
          <t>ATTRACTIVE</t>
        </is>
      </c>
      <c r="P152" s="29" t="inlineStr">
        <is>
          <t>가치 매력</t>
        </is>
      </c>
      <c r="Q152" s="29" t="inlineStr">
        <is>
          <t>ATTRACTIVE</t>
        </is>
      </c>
      <c r="R152" s="29" t="inlineStr">
        <is>
          <t>0.9250659167833418</t>
        </is>
      </c>
      <c r="S152" s="29" t="inlineStr">
        <is>
          <t>HIGH</t>
        </is>
      </c>
      <c r="T152" s="29" t="inlineStr">
        <is>
          <t>HIGH</t>
        </is>
      </c>
      <c r="U152" s="29" t="inlineStr">
        <is>
          <t>0.0</t>
        </is>
      </c>
      <c r="V152" s="29" t="inlineStr">
        <is>
          <t>LOW_RISK</t>
        </is>
      </c>
      <c r="W152" s="29" t="inlineStr">
        <is>
          <t>저위험</t>
        </is>
      </c>
      <c r="X152" s="29" t="inlineStr">
        <is>
          <t>LOW_RISK</t>
        </is>
      </c>
      <c r="Y152" s="29" t="inlineStr">
        <is>
          <t>0.7848826000183735</t>
        </is>
      </c>
      <c r="Z152" s="29" t="inlineStr">
        <is>
          <t>HIGH</t>
        </is>
      </c>
      <c r="AA152" s="29" t="inlineStr">
        <is>
          <t>HIGH</t>
        </is>
      </c>
      <c r="AB152" s="29" t="inlineStr">
        <is>
          <t>0.02320770424808947</t>
        </is>
      </c>
      <c r="AC152" s="29" t="inlineStr">
        <is>
          <t>False</t>
        </is>
      </c>
      <c r="AD152" s="29" t="inlineStr">
        <is>
          <t>False</t>
        </is>
      </c>
      <c r="AE152" s="29" t="inlineStr">
        <is>
          <t>valuation_credit_ml_overlay_candidate.csv</t>
        </is>
      </c>
      <c r="AF152" s="29" t="inlineStr">
        <is>
          <t>208개 반도체 reference universe. Valuation Agent가 자체 intake 폴더로 복제해 Peer/ML/대시보드 비교에 사용.</t>
        </is>
      </c>
    </row>
    <row r="153" ht="24" customHeight="1">
      <c r="A153" s="24" t="inlineStr">
        <is>
          <t>105</t>
        </is>
      </c>
      <c r="B153" s="24" t="inlineStr">
        <is>
          <t>해당 없음</t>
        </is>
      </c>
      <c r="C153" s="24" t="inlineStr">
        <is>
          <t>유니퀘스트</t>
        </is>
      </c>
      <c r="D153" s="24" t="inlineStr">
        <is>
          <t>077500</t>
        </is>
      </c>
      <c r="E153" s="24" t="inlineStr">
        <is>
          <t>KOSPI</t>
        </is>
      </c>
      <c r="F153" s="24" t="inlineStr">
        <is>
          <t>장비</t>
        </is>
      </c>
      <c r="G153" s="24" t="inlineStr">
        <is>
          <t>장비</t>
        </is>
      </c>
      <c r="H153" s="24" t="inlineStr">
        <is>
          <t>False</t>
        </is>
      </c>
      <c r="I153" s="24" t="inlineStr">
        <is>
          <t>True</t>
        </is>
      </c>
      <c r="J153" s="24" t="inlineStr">
        <is>
          <t>OK</t>
        </is>
      </c>
      <c r="K153" s="24" t="inlineStr">
        <is>
          <t>데이터 사용 가능</t>
        </is>
      </c>
      <c r="L153" s="24" t="inlineStr">
        <is>
          <t>LOW</t>
        </is>
      </c>
      <c r="M153" s="24" t="inlineStr">
        <is>
          <t>LOW</t>
        </is>
      </c>
      <c r="N153" s="24" t="inlineStr">
        <is>
          <t>0.6784</t>
        </is>
      </c>
      <c r="O153" s="24" t="inlineStr">
        <is>
          <t>ATTRACTIVE</t>
        </is>
      </c>
      <c r="P153" s="24" t="inlineStr">
        <is>
          <t>가치 매력</t>
        </is>
      </c>
      <c r="Q153" s="24" t="inlineStr">
        <is>
          <t>ATTRACTIVE</t>
        </is>
      </c>
      <c r="R153" s="24" t="inlineStr">
        <is>
          <t>0.8881603628406226</t>
        </is>
      </c>
      <c r="S153" s="24" t="inlineStr">
        <is>
          <t>HIGH</t>
        </is>
      </c>
      <c r="T153" s="24" t="inlineStr">
        <is>
          <t>HIGH</t>
        </is>
      </c>
      <c r="U153" s="24" t="inlineStr">
        <is>
          <t>0.0</t>
        </is>
      </c>
      <c r="V153" s="24" t="inlineStr">
        <is>
          <t>LOW_RISK</t>
        </is>
      </c>
      <c r="W153" s="24" t="inlineStr">
        <is>
          <t>저위험</t>
        </is>
      </c>
      <c r="X153" s="24" t="inlineStr">
        <is>
          <t>LOW_RISK</t>
        </is>
      </c>
      <c r="Y153" s="24" t="inlineStr">
        <is>
          <t>0.8138676885332061</t>
        </is>
      </c>
      <c r="Z153" s="24" t="inlineStr">
        <is>
          <t>HIGH</t>
        </is>
      </c>
      <c r="AA153" s="24" t="inlineStr">
        <is>
          <t>HIGH</t>
        </is>
      </c>
      <c r="AB153" s="24" t="inlineStr">
        <is>
          <t>0.042139285734196785</t>
        </is>
      </c>
      <c r="AC153" s="24" t="inlineStr">
        <is>
          <t>False</t>
        </is>
      </c>
      <c r="AD153" s="24" t="inlineStr">
        <is>
          <t>False</t>
        </is>
      </c>
      <c r="AE153" s="24" t="inlineStr">
        <is>
          <t>valuation_credit_ml_overlay_candidate.csv</t>
        </is>
      </c>
      <c r="AF153" s="24" t="inlineStr">
        <is>
          <t>208개 반도체 reference universe. Valuation Agent가 자체 intake 폴더로 복제해 Peer/ML/대시보드 비교에 사용.</t>
        </is>
      </c>
    </row>
    <row r="154" ht="24" customHeight="1">
      <c r="A154" s="29" t="inlineStr">
        <is>
          <t>123</t>
        </is>
      </c>
      <c r="B154" s="29" t="inlineStr">
        <is>
          <t>해당 없음</t>
        </is>
      </c>
      <c r="C154" s="29" t="inlineStr">
        <is>
          <t>한솔아이원스</t>
        </is>
      </c>
      <c r="D154" s="29" t="inlineStr">
        <is>
          <t>114810</t>
        </is>
      </c>
      <c r="E154" s="29" t="inlineStr">
        <is>
          <t>KOSDAQ</t>
        </is>
      </c>
      <c r="F154" s="29" t="inlineStr">
        <is>
          <t>장비</t>
        </is>
      </c>
      <c r="G154" s="29" t="inlineStr">
        <is>
          <t>장비</t>
        </is>
      </c>
      <c r="H154" s="29" t="inlineStr">
        <is>
          <t>False</t>
        </is>
      </c>
      <c r="I154" s="29" t="inlineStr">
        <is>
          <t>True</t>
        </is>
      </c>
      <c r="J154" s="29" t="inlineStr">
        <is>
          <t>OK</t>
        </is>
      </c>
      <c r="K154" s="29" t="inlineStr">
        <is>
          <t>데이터 사용 가능</t>
        </is>
      </c>
      <c r="L154" s="29" t="inlineStr">
        <is>
          <t>LOW</t>
        </is>
      </c>
      <c r="M154" s="29" t="inlineStr">
        <is>
          <t>LOW</t>
        </is>
      </c>
      <c r="N154" s="29" t="inlineStr">
        <is>
          <t>0.6648</t>
        </is>
      </c>
      <c r="O154" s="29" t="inlineStr">
        <is>
          <t>ATTRACTIVE</t>
        </is>
      </c>
      <c r="P154" s="29" t="inlineStr">
        <is>
          <t>가치 매력</t>
        </is>
      </c>
      <c r="Q154" s="29" t="inlineStr">
        <is>
          <t>ATTRACTIVE</t>
        </is>
      </c>
      <c r="R154" s="29" t="inlineStr">
        <is>
          <t>0.9031428820161691</t>
        </is>
      </c>
      <c r="S154" s="29" t="inlineStr">
        <is>
          <t>HIGH</t>
        </is>
      </c>
      <c r="T154" s="29" t="inlineStr">
        <is>
          <t>HIGH</t>
        </is>
      </c>
      <c r="U154" s="29" t="inlineStr">
        <is>
          <t>0.1428571428571428</t>
        </is>
      </c>
      <c r="V154" s="29" t="inlineStr">
        <is>
          <t>LOW_RISK</t>
        </is>
      </c>
      <c r="W154" s="29" t="inlineStr">
        <is>
          <t>저위험</t>
        </is>
      </c>
      <c r="X154" s="29" t="inlineStr">
        <is>
          <t>LOW_RISK</t>
        </is>
      </c>
      <c r="Y154" s="29" t="inlineStr">
        <is>
          <t>0.8626763542915618</t>
        </is>
      </c>
      <c r="Z154" s="29" t="inlineStr">
        <is>
          <t>HIGH</t>
        </is>
      </c>
      <c r="AA154" s="29" t="inlineStr">
        <is>
          <t>HIGH</t>
        </is>
      </c>
      <c r="AB154" s="29" t="inlineStr">
        <is>
          <t>0.040357003305963514</t>
        </is>
      </c>
      <c r="AC154" s="29" t="inlineStr">
        <is>
          <t>False</t>
        </is>
      </c>
      <c r="AD154" s="29" t="inlineStr">
        <is>
          <t>False</t>
        </is>
      </c>
      <c r="AE154" s="29" t="inlineStr">
        <is>
          <t>valuation_credit_ml_overlay_candidate.csv</t>
        </is>
      </c>
      <c r="AF154" s="29" t="inlineStr">
        <is>
          <t>208개 반도체 reference universe. Valuation Agent가 자체 intake 폴더로 복제해 Peer/ML/대시보드 비교에 사용.</t>
        </is>
      </c>
    </row>
    <row r="155" ht="24" customHeight="1">
      <c r="A155" s="24" t="inlineStr">
        <is>
          <t>74</t>
        </is>
      </c>
      <c r="B155" s="24" t="inlineStr">
        <is>
          <t>해당 없음</t>
        </is>
      </c>
      <c r="C155" s="24" t="inlineStr">
        <is>
          <t>GST</t>
        </is>
      </c>
      <c r="D155" s="24" t="inlineStr">
        <is>
          <t>083450</t>
        </is>
      </c>
      <c r="E155" s="24" t="inlineStr">
        <is>
          <t>KOSDAQ</t>
        </is>
      </c>
      <c r="F155" s="24" t="inlineStr">
        <is>
          <t>장비</t>
        </is>
      </c>
      <c r="G155" s="24" t="inlineStr">
        <is>
          <t>장비</t>
        </is>
      </c>
      <c r="H155" s="24" t="inlineStr">
        <is>
          <t>False</t>
        </is>
      </c>
      <c r="I155" s="24" t="inlineStr">
        <is>
          <t>True</t>
        </is>
      </c>
      <c r="J155" s="24" t="inlineStr">
        <is>
          <t>OK</t>
        </is>
      </c>
      <c r="K155" s="24" t="inlineStr">
        <is>
          <t>데이터 사용 가능</t>
        </is>
      </c>
      <c r="L155" s="24" t="inlineStr">
        <is>
          <t>LOW</t>
        </is>
      </c>
      <c r="M155" s="24" t="inlineStr">
        <is>
          <t>LOW</t>
        </is>
      </c>
      <c r="N155" s="24" t="inlineStr">
        <is>
          <t>0.6474666666666666</t>
        </is>
      </c>
      <c r="O155" s="24" t="inlineStr">
        <is>
          <t>ATTRACTIVE</t>
        </is>
      </c>
      <c r="P155" s="24" t="inlineStr">
        <is>
          <t>가치 매력</t>
        </is>
      </c>
      <c r="Q155" s="24" t="inlineStr">
        <is>
          <t>ATTRACTIVE</t>
        </is>
      </c>
      <c r="R155" s="24" t="inlineStr">
        <is>
          <t>0.900491542853433</t>
        </is>
      </c>
      <c r="S155" s="24" t="inlineStr">
        <is>
          <t>HIGH</t>
        </is>
      </c>
      <c r="T155" s="24" t="inlineStr">
        <is>
          <t>HIGH</t>
        </is>
      </c>
      <c r="U155" s="24" t="inlineStr">
        <is>
          <t>0.0</t>
        </is>
      </c>
      <c r="V155" s="24" t="inlineStr">
        <is>
          <t>LOW_RISK</t>
        </is>
      </c>
      <c r="W155" s="24" t="inlineStr">
        <is>
          <t>저위험</t>
        </is>
      </c>
      <c r="X155" s="24" t="inlineStr">
        <is>
          <t>LOW_RISK</t>
        </is>
      </c>
      <c r="Y155" s="24" t="inlineStr">
        <is>
          <t>0.9914514013000448</t>
        </is>
      </c>
      <c r="Z155" s="24" t="inlineStr">
        <is>
          <t>HIGH</t>
        </is>
      </c>
      <c r="AA155" s="24" t="inlineStr">
        <is>
          <t>HIGH</t>
        </is>
      </c>
      <c r="AB155" s="24" t="inlineStr">
        <is>
          <t>0.030956097033645616</t>
        </is>
      </c>
      <c r="AC155" s="24" t="inlineStr">
        <is>
          <t>False</t>
        </is>
      </c>
      <c r="AD155" s="24" t="inlineStr">
        <is>
          <t>False</t>
        </is>
      </c>
      <c r="AE155" s="24" t="inlineStr">
        <is>
          <t>valuation_credit_ml_overlay_candidate.csv</t>
        </is>
      </c>
      <c r="AF155" s="24" t="inlineStr">
        <is>
          <t>208개 반도체 reference universe. Valuation Agent가 자체 intake 폴더로 복제해 Peer/ML/대시보드 비교에 사용.</t>
        </is>
      </c>
    </row>
    <row r="156" ht="24" customHeight="1">
      <c r="A156" s="29" t="inlineStr">
        <is>
          <t>117</t>
        </is>
      </c>
      <c r="B156" s="29" t="inlineStr">
        <is>
          <t>해당 없음</t>
        </is>
      </c>
      <c r="C156" s="29" t="inlineStr">
        <is>
          <t>티이엠씨씨엔에스</t>
        </is>
      </c>
      <c r="D156" s="29" t="inlineStr">
        <is>
          <t>241790</t>
        </is>
      </c>
      <c r="E156" s="29" t="inlineStr">
        <is>
          <t>KOSDAQ</t>
        </is>
      </c>
      <c r="F156" s="29" t="inlineStr">
        <is>
          <t>장비</t>
        </is>
      </c>
      <c r="G156" s="29" t="inlineStr">
        <is>
          <t>장비</t>
        </is>
      </c>
      <c r="H156" s="29" t="inlineStr">
        <is>
          <t>False</t>
        </is>
      </c>
      <c r="I156" s="29" t="inlineStr">
        <is>
          <t>True</t>
        </is>
      </c>
      <c r="J156" s="29" t="inlineStr">
        <is>
          <t>OK</t>
        </is>
      </c>
      <c r="K156" s="29" t="inlineStr">
        <is>
          <t>데이터 사용 가능</t>
        </is>
      </c>
      <c r="L156" s="29" t="inlineStr">
        <is>
          <t>LOW</t>
        </is>
      </c>
      <c r="M156" s="29" t="inlineStr">
        <is>
          <t>LOW</t>
        </is>
      </c>
      <c r="N156" s="29" t="inlineStr">
        <is>
          <t>0.6393333333333333</t>
        </is>
      </c>
      <c r="O156" s="29" t="inlineStr">
        <is>
          <t>ATTRACTIVE</t>
        </is>
      </c>
      <c r="P156" s="29" t="inlineStr">
        <is>
          <t>가치 매력</t>
        </is>
      </c>
      <c r="Q156" s="29" t="inlineStr">
        <is>
          <t>ATTRACTIVE</t>
        </is>
      </c>
      <c r="R156" s="29" t="inlineStr">
        <is>
          <t>0.8915695356337118</t>
        </is>
      </c>
      <c r="S156" s="29" t="inlineStr">
        <is>
          <t>HIGH</t>
        </is>
      </c>
      <c r="T156" s="29" t="inlineStr">
        <is>
          <t>HIGH</t>
        </is>
      </c>
      <c r="U156" s="29" t="inlineStr">
        <is>
          <t>0.0714285714285714</t>
        </is>
      </c>
      <c r="V156" s="29" t="inlineStr">
        <is>
          <t>LOW_RISK</t>
        </is>
      </c>
      <c r="W156" s="29" t="inlineStr">
        <is>
          <t>저위험</t>
        </is>
      </c>
      <c r="X156" s="29" t="inlineStr">
        <is>
          <t>LOW_RISK</t>
        </is>
      </c>
      <c r="Y156" s="29" t="inlineStr">
        <is>
          <t>0.8390932561788113</t>
        </is>
      </c>
      <c r="Z156" s="29" t="inlineStr">
        <is>
          <t>HIGH</t>
        </is>
      </c>
      <c r="AA156" s="29" t="inlineStr">
        <is>
          <t>HIGH</t>
        </is>
      </c>
      <c r="AB156" s="29" t="inlineStr">
        <is>
          <t>0.02833353868990863</t>
        </is>
      </c>
      <c r="AC156" s="29" t="inlineStr">
        <is>
          <t>False</t>
        </is>
      </c>
      <c r="AD156" s="29" t="inlineStr">
        <is>
          <t>False</t>
        </is>
      </c>
      <c r="AE156" s="29" t="inlineStr">
        <is>
          <t>valuation_credit_ml_overlay_candidate.csv</t>
        </is>
      </c>
      <c r="AF156" s="29" t="inlineStr">
        <is>
          <t>208개 반도체 reference universe. Valuation Agent가 자체 intake 폴더로 복제해 Peer/ML/대시보드 비교에 사용.</t>
        </is>
      </c>
    </row>
    <row r="157" ht="24" customHeight="1">
      <c r="A157" s="24" t="inlineStr">
        <is>
          <t>82</t>
        </is>
      </c>
      <c r="B157" s="24" t="inlineStr">
        <is>
          <t>해당 없음</t>
        </is>
      </c>
      <c r="C157" s="24" t="inlineStr">
        <is>
          <t>디아이티</t>
        </is>
      </c>
      <c r="D157" s="24" t="inlineStr">
        <is>
          <t>110990</t>
        </is>
      </c>
      <c r="E157" s="24" t="inlineStr">
        <is>
          <t>KOSDAQ</t>
        </is>
      </c>
      <c r="F157" s="24" t="inlineStr">
        <is>
          <t>장비</t>
        </is>
      </c>
      <c r="G157" s="24" t="inlineStr">
        <is>
          <t>장비</t>
        </is>
      </c>
      <c r="H157" s="24" t="inlineStr">
        <is>
          <t>False</t>
        </is>
      </c>
      <c r="I157" s="24" t="inlineStr">
        <is>
          <t>True</t>
        </is>
      </c>
      <c r="J157" s="24" t="inlineStr">
        <is>
          <t>OK</t>
        </is>
      </c>
      <c r="K157" s="24" t="inlineStr">
        <is>
          <t>데이터 사용 가능</t>
        </is>
      </c>
      <c r="L157" s="24" t="inlineStr">
        <is>
          <t>LOW</t>
        </is>
      </c>
      <c r="M157" s="24" t="inlineStr">
        <is>
          <t>LOW</t>
        </is>
      </c>
      <c r="N157" s="24" t="inlineStr">
        <is>
          <t>0.6341333333333333</t>
        </is>
      </c>
      <c r="O157" s="24" t="inlineStr">
        <is>
          <t>ATTRACTIVE</t>
        </is>
      </c>
      <c r="P157" s="24" t="inlineStr">
        <is>
          <t>가치 매력</t>
        </is>
      </c>
      <c r="Q157" s="24" t="inlineStr">
        <is>
          <t>ATTRACTIVE</t>
        </is>
      </c>
      <c r="R157" s="24" t="inlineStr">
        <is>
          <t>0.8847780199048246</t>
        </is>
      </c>
      <c r="S157" s="24" t="inlineStr">
        <is>
          <t>HIGH</t>
        </is>
      </c>
      <c r="T157" s="24" t="inlineStr">
        <is>
          <t>HIGH</t>
        </is>
      </c>
      <c r="U157" s="24" t="inlineStr">
        <is>
          <t>0.0</t>
        </is>
      </c>
      <c r="V157" s="24" t="inlineStr">
        <is>
          <t>LOW_RISK</t>
        </is>
      </c>
      <c r="W157" s="24" t="inlineStr">
        <is>
          <t>저위험</t>
        </is>
      </c>
      <c r="X157" s="24" t="inlineStr">
        <is>
          <t>LOW_RISK</t>
        </is>
      </c>
      <c r="Y157" s="24" t="inlineStr">
        <is>
          <t>0.9680387620928</t>
        </is>
      </c>
      <c r="Z157" s="24" t="inlineStr">
        <is>
          <t>HIGH</t>
        </is>
      </c>
      <c r="AA157" s="24" t="inlineStr">
        <is>
          <t>HIGH</t>
        </is>
      </c>
      <c r="AB157" s="24" t="inlineStr">
        <is>
          <t>0.10339551954594055</t>
        </is>
      </c>
      <c r="AC157" s="24" t="inlineStr">
        <is>
          <t>False</t>
        </is>
      </c>
      <c r="AD157" s="24" t="inlineStr">
        <is>
          <t>False</t>
        </is>
      </c>
      <c r="AE157" s="24" t="inlineStr">
        <is>
          <t>valuation_credit_ml_overlay_candidate.csv</t>
        </is>
      </c>
      <c r="AF157" s="24" t="inlineStr">
        <is>
          <t>208개 반도체 reference universe. Valuation Agent가 자체 intake 폴더로 복제해 Peer/ML/대시보드 비교에 사용.</t>
        </is>
      </c>
    </row>
    <row r="158" ht="24" customHeight="1">
      <c r="A158" s="29" t="inlineStr">
        <is>
          <t>113</t>
        </is>
      </c>
      <c r="B158" s="29" t="inlineStr">
        <is>
          <t>해당 없음</t>
        </is>
      </c>
      <c r="C158" s="29" t="inlineStr">
        <is>
          <t>케이씨텍</t>
        </is>
      </c>
      <c r="D158" s="29" t="inlineStr">
        <is>
          <t>281820</t>
        </is>
      </c>
      <c r="E158" s="29" t="inlineStr">
        <is>
          <t>KOSPI</t>
        </is>
      </c>
      <c r="F158" s="29" t="inlineStr">
        <is>
          <t>장비</t>
        </is>
      </c>
      <c r="G158" s="29" t="inlineStr">
        <is>
          <t>장비</t>
        </is>
      </c>
      <c r="H158" s="29" t="inlineStr">
        <is>
          <t>False</t>
        </is>
      </c>
      <c r="I158" s="29" t="inlineStr">
        <is>
          <t>True</t>
        </is>
      </c>
      <c r="J158" s="29" t="inlineStr">
        <is>
          <t>OK</t>
        </is>
      </c>
      <c r="K158" s="29" t="inlineStr">
        <is>
          <t>데이터 사용 가능</t>
        </is>
      </c>
      <c r="L158" s="29" t="inlineStr">
        <is>
          <t>LOW</t>
        </is>
      </c>
      <c r="M158" s="29" t="inlineStr">
        <is>
          <t>LOW</t>
        </is>
      </c>
      <c r="N158" s="29" t="inlineStr">
        <is>
          <t>0.6314666666666666</t>
        </is>
      </c>
      <c r="O158" s="29" t="inlineStr">
        <is>
          <t>ATTRACTIVE</t>
        </is>
      </c>
      <c r="P158" s="29" t="inlineStr">
        <is>
          <t>가치 매력</t>
        </is>
      </c>
      <c r="Q158" s="29" t="inlineStr">
        <is>
          <t>ATTRACTIVE</t>
        </is>
      </c>
      <c r="R158" s="29" t="inlineStr">
        <is>
          <t>0.8895261430914092</t>
        </is>
      </c>
      <c r="S158" s="29" t="inlineStr">
        <is>
          <t>HIGH</t>
        </is>
      </c>
      <c r="T158" s="29" t="inlineStr">
        <is>
          <t>HIGH</t>
        </is>
      </c>
      <c r="U158" s="29" t="inlineStr">
        <is>
          <t>0.0</t>
        </is>
      </c>
      <c r="V158" s="29" t="inlineStr">
        <is>
          <t>LOW_RISK</t>
        </is>
      </c>
      <c r="W158" s="29" t="inlineStr">
        <is>
          <t>저위험</t>
        </is>
      </c>
      <c r="X158" s="29" t="inlineStr">
        <is>
          <t>LOW_RISK</t>
        </is>
      </c>
      <c r="Y158" s="29" t="inlineStr">
        <is>
          <t>0.9840164809601727</t>
        </is>
      </c>
      <c r="Z158" s="29" t="inlineStr">
        <is>
          <t>HIGH</t>
        </is>
      </c>
      <c r="AA158" s="29" t="inlineStr">
        <is>
          <t>HIGH</t>
        </is>
      </c>
      <c r="AB158" s="29" t="inlineStr">
        <is>
          <t>0.08604596455969397</t>
        </is>
      </c>
      <c r="AC158" s="29" t="inlineStr">
        <is>
          <t>False</t>
        </is>
      </c>
      <c r="AD158" s="29" t="inlineStr">
        <is>
          <t>False</t>
        </is>
      </c>
      <c r="AE158" s="29" t="inlineStr">
        <is>
          <t>valuation_credit_ml_overlay_candidate.csv</t>
        </is>
      </c>
      <c r="AF158" s="29" t="inlineStr">
        <is>
          <t>208개 반도체 reference universe. Valuation Agent가 자체 intake 폴더로 복제해 Peer/ML/대시보드 비교에 사용.</t>
        </is>
      </c>
    </row>
    <row r="159" ht="24" customHeight="1">
      <c r="A159" s="24" t="inlineStr">
        <is>
          <t>85</t>
        </is>
      </c>
      <c r="B159" s="24" t="inlineStr">
        <is>
          <t>해당 없음</t>
        </is>
      </c>
      <c r="C159" s="24" t="inlineStr">
        <is>
          <t>로체시스템즈</t>
        </is>
      </c>
      <c r="D159" s="24" t="inlineStr">
        <is>
          <t>071280</t>
        </is>
      </c>
      <c r="E159" s="24" t="inlineStr">
        <is>
          <t>KOSDAQ</t>
        </is>
      </c>
      <c r="F159" s="24" t="inlineStr">
        <is>
          <t>장비</t>
        </is>
      </c>
      <c r="G159" s="24" t="inlineStr">
        <is>
          <t>장비</t>
        </is>
      </c>
      <c r="H159" s="24" t="inlineStr">
        <is>
          <t>False</t>
        </is>
      </c>
      <c r="I159" s="24" t="inlineStr">
        <is>
          <t>True</t>
        </is>
      </c>
      <c r="J159" s="24" t="inlineStr">
        <is>
          <t>OK</t>
        </is>
      </c>
      <c r="K159" s="24" t="inlineStr">
        <is>
          <t>데이터 사용 가능</t>
        </is>
      </c>
      <c r="L159" s="24" t="inlineStr">
        <is>
          <t>LOW</t>
        </is>
      </c>
      <c r="M159" s="24" t="inlineStr">
        <is>
          <t>LOW</t>
        </is>
      </c>
      <c r="N159" s="24" t="inlineStr">
        <is>
          <t>0.6258666666666667</t>
        </is>
      </c>
      <c r="O159" s="24" t="inlineStr">
        <is>
          <t>ATTRACTIVE</t>
        </is>
      </c>
      <c r="P159" s="24" t="inlineStr">
        <is>
          <t>가치 매력</t>
        </is>
      </c>
      <c r="Q159" s="24" t="inlineStr">
        <is>
          <t>ATTRACTIVE</t>
        </is>
      </c>
      <c r="R159" s="24" t="inlineStr">
        <is>
          <t>0.9642438845844894</t>
        </is>
      </c>
      <c r="S159" s="24" t="inlineStr">
        <is>
          <t>HIGH</t>
        </is>
      </c>
      <c r="T159" s="24" t="inlineStr">
        <is>
          <t>HIGH</t>
        </is>
      </c>
      <c r="U159" s="24" t="inlineStr">
        <is>
          <t>0.0714285714285714</t>
        </is>
      </c>
      <c r="V159" s="24" t="inlineStr">
        <is>
          <t>LOW_RISK</t>
        </is>
      </c>
      <c r="W159" s="24" t="inlineStr">
        <is>
          <t>저위험</t>
        </is>
      </c>
      <c r="X159" s="24" t="inlineStr">
        <is>
          <t>LOW_RISK</t>
        </is>
      </c>
      <c r="Y159" s="24" t="inlineStr">
        <is>
          <t>0.865361141095959</t>
        </is>
      </c>
      <c r="Z159" s="24" t="inlineStr">
        <is>
          <t>HIGH</t>
        </is>
      </c>
      <c r="AA159" s="24" t="inlineStr">
        <is>
          <t>HIGH</t>
        </is>
      </c>
      <c r="AB159" s="24" t="inlineStr">
        <is>
          <t>0.12835380231692475</t>
        </is>
      </c>
      <c r="AC159" s="24" t="inlineStr">
        <is>
          <t>False</t>
        </is>
      </c>
      <c r="AD159" s="24" t="inlineStr">
        <is>
          <t>False</t>
        </is>
      </c>
      <c r="AE159" s="24" t="inlineStr">
        <is>
          <t>valuation_credit_ml_overlay_candidate.csv</t>
        </is>
      </c>
      <c r="AF159" s="24" t="inlineStr">
        <is>
          <t>208개 반도체 reference universe. Valuation Agent가 자체 intake 폴더로 복제해 Peer/ML/대시보드 비교에 사용.</t>
        </is>
      </c>
    </row>
    <row r="160" ht="24" customHeight="1">
      <c r="A160" s="29" t="inlineStr">
        <is>
          <t>95</t>
        </is>
      </c>
      <c r="B160" s="29" t="inlineStr">
        <is>
          <t>해당 없음</t>
        </is>
      </c>
      <c r="C160" s="29" t="inlineStr">
        <is>
          <t>아이씨디</t>
        </is>
      </c>
      <c r="D160" s="29" t="inlineStr">
        <is>
          <t>040910</t>
        </is>
      </c>
      <c r="E160" s="29" t="inlineStr">
        <is>
          <t>KOSDAQ</t>
        </is>
      </c>
      <c r="F160" s="29" t="inlineStr">
        <is>
          <t>장비</t>
        </is>
      </c>
      <c r="G160" s="29" t="inlineStr">
        <is>
          <t>장비</t>
        </is>
      </c>
      <c r="H160" s="29" t="inlineStr">
        <is>
          <t>False</t>
        </is>
      </c>
      <c r="I160" s="29" t="inlineStr">
        <is>
          <t>True</t>
        </is>
      </c>
      <c r="J160" s="29" t="inlineStr">
        <is>
          <t>OK</t>
        </is>
      </c>
      <c r="K160" s="29" t="inlineStr">
        <is>
          <t>데이터 사용 가능</t>
        </is>
      </c>
      <c r="L160" s="29" t="inlineStr">
        <is>
          <t>LOW</t>
        </is>
      </c>
      <c r="M160" s="29" t="inlineStr">
        <is>
          <t>LOW</t>
        </is>
      </c>
      <c r="N160" s="29" t="inlineStr">
        <is>
          <t>0.6158666666666667</t>
        </is>
      </c>
      <c r="O160" s="29" t="inlineStr">
        <is>
          <t>FAIR</t>
        </is>
      </c>
      <c r="P160" s="29" t="inlineStr">
        <is>
          <t>FAIR</t>
        </is>
      </c>
      <c r="Q160" s="29" t="inlineStr">
        <is>
          <t>FAIR</t>
        </is>
      </c>
      <c r="R160" s="29" t="inlineStr">
        <is>
          <t>0.692546582663732</t>
        </is>
      </c>
      <c r="S160" s="29" t="inlineStr">
        <is>
          <t>MEDIUM</t>
        </is>
      </c>
      <c r="T160" s="29" t="inlineStr">
        <is>
          <t>MEDIUM</t>
        </is>
      </c>
      <c r="U160" s="29" t="inlineStr">
        <is>
          <t>0.0714285714285714</t>
        </is>
      </c>
      <c r="V160" s="29" t="inlineStr">
        <is>
          <t>LOW_RISK</t>
        </is>
      </c>
      <c r="W160" s="29" t="inlineStr">
        <is>
          <t>저위험</t>
        </is>
      </c>
      <c r="X160" s="29" t="inlineStr">
        <is>
          <t>LOW_RISK</t>
        </is>
      </c>
      <c r="Y160" s="29" t="inlineStr">
        <is>
          <t>0.44849044524296083</t>
        </is>
      </c>
      <c r="Z160" s="29" t="inlineStr">
        <is>
          <t>LOW</t>
        </is>
      </c>
      <c r="AA160" s="29" t="inlineStr">
        <is>
          <t>LOW</t>
        </is>
      </c>
      <c r="AB160" s="29" t="inlineStr">
        <is>
          <t>0.036739402266510075</t>
        </is>
      </c>
      <c r="AC160" s="29" t="inlineStr">
        <is>
          <t>False</t>
        </is>
      </c>
      <c r="AD160" s="29" t="inlineStr">
        <is>
          <t>True</t>
        </is>
      </c>
      <c r="AE160" s="29" t="inlineStr">
        <is>
          <t>valuation_credit_ml_overlay_candidate.csv</t>
        </is>
      </c>
      <c r="AF160" s="29" t="inlineStr">
        <is>
          <t>208개 반도체 reference universe. Valuation Agent가 자체 intake 폴더로 복제해 Peer/ML/대시보드 비교에 사용.</t>
        </is>
      </c>
    </row>
    <row r="161" ht="24" customHeight="1">
      <c r="A161" s="24" t="inlineStr">
        <is>
          <t>96</t>
        </is>
      </c>
      <c r="B161" s="24" t="inlineStr">
        <is>
          <t>해당 없음</t>
        </is>
      </c>
      <c r="C161" s="24" t="inlineStr">
        <is>
          <t>에스에프에이</t>
        </is>
      </c>
      <c r="D161" s="24" t="inlineStr">
        <is>
          <t>056190</t>
        </is>
      </c>
      <c r="E161" s="24" t="inlineStr">
        <is>
          <t>KOSDAQ GLOBAL</t>
        </is>
      </c>
      <c r="F161" s="24" t="inlineStr">
        <is>
          <t>장비</t>
        </is>
      </c>
      <c r="G161" s="24" t="inlineStr">
        <is>
          <t>장비</t>
        </is>
      </c>
      <c r="H161" s="24" t="inlineStr">
        <is>
          <t>False</t>
        </is>
      </c>
      <c r="I161" s="24" t="inlineStr">
        <is>
          <t>True</t>
        </is>
      </c>
      <c r="J161" s="24" t="inlineStr">
        <is>
          <t>OK</t>
        </is>
      </c>
      <c r="K161" s="24" t="inlineStr">
        <is>
          <t>데이터 사용 가능</t>
        </is>
      </c>
      <c r="L161" s="24" t="inlineStr">
        <is>
          <t>LOW</t>
        </is>
      </c>
      <c r="M161" s="24" t="inlineStr">
        <is>
          <t>LOW</t>
        </is>
      </c>
      <c r="N161" s="24" t="inlineStr">
        <is>
          <t>0.6098666666666667</t>
        </is>
      </c>
      <c r="O161" s="24" t="inlineStr">
        <is>
          <t>ATTRACTIVE</t>
        </is>
      </c>
      <c r="P161" s="24" t="inlineStr">
        <is>
          <t>가치 매력</t>
        </is>
      </c>
      <c r="Q161" s="24" t="inlineStr">
        <is>
          <t>ATTRACTIVE</t>
        </is>
      </c>
      <c r="R161" s="24" t="inlineStr">
        <is>
          <t>0.8690882589557657</t>
        </is>
      </c>
      <c r="S161" s="24" t="inlineStr">
        <is>
          <t>HIGH</t>
        </is>
      </c>
      <c r="T161" s="24" t="inlineStr">
        <is>
          <t>HIGH</t>
        </is>
      </c>
      <c r="U161" s="24" t="inlineStr">
        <is>
          <t>0.0</t>
        </is>
      </c>
      <c r="V161" s="24" t="inlineStr">
        <is>
          <t>LOW_RISK</t>
        </is>
      </c>
      <c r="W161" s="24" t="inlineStr">
        <is>
          <t>저위험</t>
        </is>
      </c>
      <c r="X161" s="24" t="inlineStr">
        <is>
          <t>LOW_RISK</t>
        </is>
      </c>
      <c r="Y161" s="24" t="inlineStr">
        <is>
          <t>0.9436125736629892</t>
        </is>
      </c>
      <c r="Z161" s="24" t="inlineStr">
        <is>
          <t>HIGH</t>
        </is>
      </c>
      <c r="AA161" s="24" t="inlineStr">
        <is>
          <t>HIGH</t>
        </is>
      </c>
      <c r="AB161" s="24" t="inlineStr">
        <is>
          <t>0.014784178233183152</t>
        </is>
      </c>
      <c r="AC161" s="24" t="inlineStr">
        <is>
          <t>False</t>
        </is>
      </c>
      <c r="AD161" s="24" t="inlineStr">
        <is>
          <t>False</t>
        </is>
      </c>
      <c r="AE161" s="24" t="inlineStr">
        <is>
          <t>valuation_credit_ml_overlay_candidate.csv</t>
        </is>
      </c>
      <c r="AF161" s="24" t="inlineStr">
        <is>
          <t>208개 반도체 reference universe. Valuation Agent가 자체 intake 폴더로 복제해 Peer/ML/대시보드 비교에 사용.</t>
        </is>
      </c>
    </row>
    <row r="162" ht="24" customHeight="1">
      <c r="A162" s="29" t="inlineStr">
        <is>
          <t>89</t>
        </is>
      </c>
      <c r="B162" s="29" t="inlineStr">
        <is>
          <t>해당 없음</t>
        </is>
      </c>
      <c r="C162" s="29" t="inlineStr">
        <is>
          <t>삼양엔씨켐</t>
        </is>
      </c>
      <c r="D162" s="29" t="inlineStr">
        <is>
          <t>482630</t>
        </is>
      </c>
      <c r="E162" s="29" t="inlineStr">
        <is>
          <t>KOSDAQ</t>
        </is>
      </c>
      <c r="F162" s="29" t="inlineStr">
        <is>
          <t>장비</t>
        </is>
      </c>
      <c r="G162" s="29" t="inlineStr">
        <is>
          <t>장비</t>
        </is>
      </c>
      <c r="H162" s="29" t="inlineStr">
        <is>
          <t>False</t>
        </is>
      </c>
      <c r="I162" s="29" t="inlineStr">
        <is>
          <t>True</t>
        </is>
      </c>
      <c r="J162" s="29" t="inlineStr">
        <is>
          <t>OK_LIMITED_HISTORY_OR_GROWTH_NA</t>
        </is>
      </c>
      <c r="K162" s="29" t="inlineStr">
        <is>
          <t>데이터 사용 가능</t>
        </is>
      </c>
      <c r="L162" s="29" t="inlineStr">
        <is>
          <t>LOW</t>
        </is>
      </c>
      <c r="M162" s="29" t="inlineStr">
        <is>
          <t>LOW</t>
        </is>
      </c>
      <c r="N162" s="29" t="inlineStr">
        <is>
          <t>0.5993333333333333</t>
        </is>
      </c>
      <c r="O162" s="29" t="inlineStr">
        <is>
          <t>ATTRACTIVE</t>
        </is>
      </c>
      <c r="P162" s="29" t="inlineStr">
        <is>
          <t>가치 매력</t>
        </is>
      </c>
      <c r="Q162" s="29" t="inlineStr">
        <is>
          <t>ATTRACTIVE</t>
        </is>
      </c>
      <c r="R162" s="29" t="inlineStr">
        <is>
          <t>0.6408467710997098</t>
        </is>
      </c>
      <c r="S162" s="29" t="inlineStr">
        <is>
          <t>MEDIUM</t>
        </is>
      </c>
      <c r="T162" s="29" t="inlineStr">
        <is>
          <t>MEDIUM</t>
        </is>
      </c>
      <c r="U162" s="29" t="inlineStr">
        <is>
          <t>0.0714285714285714</t>
        </is>
      </c>
      <c r="V162" s="29" t="inlineStr">
        <is>
          <t>LOW_RISK</t>
        </is>
      </c>
      <c r="W162" s="29" t="inlineStr">
        <is>
          <t>저위험</t>
        </is>
      </c>
      <c r="X162" s="29" t="inlineStr">
        <is>
          <t>LOW_RISK</t>
        </is>
      </c>
      <c r="Y162" s="29" t="inlineStr">
        <is>
          <t>0.9401160844253347</t>
        </is>
      </c>
      <c r="Z162" s="29" t="inlineStr">
        <is>
          <t>HIGH</t>
        </is>
      </c>
      <c r="AA162" s="29" t="inlineStr">
        <is>
          <t>HIGH</t>
        </is>
      </c>
      <c r="AB162" s="29" t="inlineStr">
        <is>
          <t>0.028901776832829695</t>
        </is>
      </c>
      <c r="AC162" s="29" t="inlineStr">
        <is>
          <t>False</t>
        </is>
      </c>
      <c r="AD162" s="29" t="inlineStr">
        <is>
          <t>True</t>
        </is>
      </c>
      <c r="AE162" s="29" t="inlineStr">
        <is>
          <t>valuation_credit_ml_overlay_candidate.csv</t>
        </is>
      </c>
      <c r="AF162" s="29" t="inlineStr">
        <is>
          <t>208개 반도체 reference universe. Valuation Agent가 자체 intake 폴더로 복제해 Peer/ML/대시보드 비교에 사용.</t>
        </is>
      </c>
    </row>
    <row r="163" ht="24" customHeight="1">
      <c r="A163" s="24" t="inlineStr">
        <is>
          <t>92</t>
        </is>
      </c>
      <c r="B163" s="24" t="inlineStr">
        <is>
          <t>해당 없음</t>
        </is>
      </c>
      <c r="C163" s="24" t="inlineStr">
        <is>
          <t>싸이맥스</t>
        </is>
      </c>
      <c r="D163" s="24" t="inlineStr">
        <is>
          <t>160980</t>
        </is>
      </c>
      <c r="E163" s="24" t="inlineStr">
        <is>
          <t>KOSDAQ</t>
        </is>
      </c>
      <c r="F163" s="24" t="inlineStr">
        <is>
          <t>장비</t>
        </is>
      </c>
      <c r="G163" s="24" t="inlineStr">
        <is>
          <t>장비</t>
        </is>
      </c>
      <c r="H163" s="24" t="inlineStr">
        <is>
          <t>False</t>
        </is>
      </c>
      <c r="I163" s="24" t="inlineStr">
        <is>
          <t>True</t>
        </is>
      </c>
      <c r="J163" s="24" t="inlineStr">
        <is>
          <t>OK</t>
        </is>
      </c>
      <c r="K163" s="24" t="inlineStr">
        <is>
          <t>데이터 사용 가능</t>
        </is>
      </c>
      <c r="L163" s="24" t="inlineStr">
        <is>
          <t>LOW</t>
        </is>
      </c>
      <c r="M163" s="24" t="inlineStr">
        <is>
          <t>LOW</t>
        </is>
      </c>
      <c r="N163" s="24" t="inlineStr">
        <is>
          <t>0.5961333333333334</t>
        </is>
      </c>
      <c r="O163" s="24" t="inlineStr">
        <is>
          <t>ATTRACTIVE</t>
        </is>
      </c>
      <c r="P163" s="24" t="inlineStr">
        <is>
          <t>가치 매력</t>
        </is>
      </c>
      <c r="Q163" s="24" t="inlineStr">
        <is>
          <t>ATTRACTIVE</t>
        </is>
      </c>
      <c r="R163" s="24" t="inlineStr">
        <is>
          <t>0.8128181122496774</t>
        </is>
      </c>
      <c r="S163" s="24" t="inlineStr">
        <is>
          <t>HIGH</t>
        </is>
      </c>
      <c r="T163" s="24" t="inlineStr">
        <is>
          <t>HIGH</t>
        </is>
      </c>
      <c r="U163" s="24" t="inlineStr">
        <is>
          <t>0.0</t>
        </is>
      </c>
      <c r="V163" s="24" t="inlineStr">
        <is>
          <t>LOW_RISK</t>
        </is>
      </c>
      <c r="W163" s="24" t="inlineStr">
        <is>
          <t>저위험</t>
        </is>
      </c>
      <c r="X163" s="24" t="inlineStr">
        <is>
          <t>LOW_RISK</t>
        </is>
      </c>
      <c r="Y163" s="24" t="inlineStr">
        <is>
          <t>0.9687749577011366</t>
        </is>
      </c>
      <c r="Z163" s="24" t="inlineStr">
        <is>
          <t>HIGH</t>
        </is>
      </c>
      <c r="AA163" s="24" t="inlineStr">
        <is>
          <t>HIGH</t>
        </is>
      </c>
      <c r="AB163" s="24" t="inlineStr">
        <is>
          <t>0.14360930410301745</t>
        </is>
      </c>
      <c r="AC163" s="24" t="inlineStr">
        <is>
          <t>False</t>
        </is>
      </c>
      <c r="AD163" s="24" t="inlineStr">
        <is>
          <t>False</t>
        </is>
      </c>
      <c r="AE163" s="24" t="inlineStr">
        <is>
          <t>valuation_credit_ml_overlay_candidate.csv</t>
        </is>
      </c>
      <c r="AF163" s="24" t="inlineStr">
        <is>
          <t>208개 반도체 reference universe. Valuation Agent가 자체 intake 폴더로 복제해 Peer/ML/대시보드 비교에 사용.</t>
        </is>
      </c>
    </row>
    <row r="164" ht="24" customHeight="1">
      <c r="A164" s="29" t="inlineStr">
        <is>
          <t>80</t>
        </is>
      </c>
      <c r="B164" s="29" t="inlineStr">
        <is>
          <t>해당 없음</t>
        </is>
      </c>
      <c r="C164" s="29" t="inlineStr">
        <is>
          <t>뉴파워프라즈마</t>
        </is>
      </c>
      <c r="D164" s="29" t="inlineStr">
        <is>
          <t>144960</t>
        </is>
      </c>
      <c r="E164" s="29" t="inlineStr">
        <is>
          <t>KOSDAQ</t>
        </is>
      </c>
      <c r="F164" s="29" t="inlineStr">
        <is>
          <t>장비</t>
        </is>
      </c>
      <c r="G164" s="29" t="inlineStr">
        <is>
          <t>장비</t>
        </is>
      </c>
      <c r="H164" s="29" t="inlineStr">
        <is>
          <t>False</t>
        </is>
      </c>
      <c r="I164" s="29" t="inlineStr">
        <is>
          <t>True</t>
        </is>
      </c>
      <c r="J164" s="29" t="inlineStr">
        <is>
          <t>OK</t>
        </is>
      </c>
      <c r="K164" s="29" t="inlineStr">
        <is>
          <t>데이터 사용 가능</t>
        </is>
      </c>
      <c r="L164" s="29" t="inlineStr">
        <is>
          <t>LOW</t>
        </is>
      </c>
      <c r="M164" s="29" t="inlineStr">
        <is>
          <t>LOW</t>
        </is>
      </c>
      <c r="N164" s="29" t="inlineStr">
        <is>
          <t>0.5749333333333334</t>
        </is>
      </c>
      <c r="O164" s="29" t="inlineStr">
        <is>
          <t>FAIR</t>
        </is>
      </c>
      <c r="P164" s="29" t="inlineStr">
        <is>
          <t>FAIR</t>
        </is>
      </c>
      <c r="Q164" s="29" t="inlineStr">
        <is>
          <t>FAIR</t>
        </is>
      </c>
      <c r="R164" s="29" t="inlineStr">
        <is>
          <t>0.868464354966477</t>
        </is>
      </c>
      <c r="S164" s="29" t="inlineStr">
        <is>
          <t>HIGH</t>
        </is>
      </c>
      <c r="T164" s="29" t="inlineStr">
        <is>
          <t>HIGH</t>
        </is>
      </c>
      <c r="U164" s="29" t="inlineStr">
        <is>
          <t>0.2142857142857142</t>
        </is>
      </c>
      <c r="V164" s="29" t="inlineStr">
        <is>
          <t>MEDIUM_RISK</t>
        </is>
      </c>
      <c r="W164" s="29" t="inlineStr">
        <is>
          <t>중위험</t>
        </is>
      </c>
      <c r="X164" s="29" t="inlineStr">
        <is>
          <t>MEDIUM_RISK</t>
        </is>
      </c>
      <c r="Y164" s="29" t="inlineStr">
        <is>
          <t>0.7046290499893975</t>
        </is>
      </c>
      <c r="Z164" s="29" t="inlineStr">
        <is>
          <t>HIGH</t>
        </is>
      </c>
      <c r="AA164" s="29" t="inlineStr">
        <is>
          <t>HIGH</t>
        </is>
      </c>
      <c r="AB164" s="29" t="inlineStr">
        <is>
          <t>0.04196333332906741</t>
        </is>
      </c>
      <c r="AC164" s="29" t="inlineStr">
        <is>
          <t>False</t>
        </is>
      </c>
      <c r="AD164" s="29" t="inlineStr">
        <is>
          <t>False</t>
        </is>
      </c>
      <c r="AE164" s="29" t="inlineStr">
        <is>
          <t>valuation_credit_ml_overlay_candidate.csv</t>
        </is>
      </c>
      <c r="AF164" s="29" t="inlineStr">
        <is>
          <t>208개 반도체 reference universe. Valuation Agent가 자체 intake 폴더로 복제해 Peer/ML/대시보드 비교에 사용.</t>
        </is>
      </c>
    </row>
    <row r="165" ht="24" customHeight="1">
      <c r="A165" s="24" t="inlineStr">
        <is>
          <t>107</t>
        </is>
      </c>
      <c r="B165" s="24" t="inlineStr">
        <is>
          <t>해당 없음</t>
        </is>
      </c>
      <c r="C165" s="24" t="inlineStr">
        <is>
          <t>이엘씨</t>
        </is>
      </c>
      <c r="D165" s="24" t="inlineStr">
        <is>
          <t>041520</t>
        </is>
      </c>
      <c r="E165" s="24" t="inlineStr">
        <is>
          <t>KOSDAQ</t>
        </is>
      </c>
      <c r="F165" s="24" t="inlineStr">
        <is>
          <t>장비</t>
        </is>
      </c>
      <c r="G165" s="24" t="inlineStr">
        <is>
          <t>장비</t>
        </is>
      </c>
      <c r="H165" s="24" t="inlineStr">
        <is>
          <t>False</t>
        </is>
      </c>
      <c r="I165" s="24" t="inlineStr">
        <is>
          <t>True</t>
        </is>
      </c>
      <c r="J165" s="24" t="inlineStr">
        <is>
          <t>OK</t>
        </is>
      </c>
      <c r="K165" s="24" t="inlineStr">
        <is>
          <t>데이터 사용 가능</t>
        </is>
      </c>
      <c r="L165" s="24" t="inlineStr">
        <is>
          <t>LOW</t>
        </is>
      </c>
      <c r="M165" s="24" t="inlineStr">
        <is>
          <t>LOW</t>
        </is>
      </c>
      <c r="N165" s="24" t="inlineStr">
        <is>
          <t>0.5722</t>
        </is>
      </c>
      <c r="O165" s="24" t="inlineStr">
        <is>
          <t>FAIR</t>
        </is>
      </c>
      <c r="P165" s="24" t="inlineStr">
        <is>
          <t>FAIR</t>
        </is>
      </c>
      <c r="Q165" s="24" t="inlineStr">
        <is>
          <t>FAIR</t>
        </is>
      </c>
      <c r="R165" s="24" t="inlineStr">
        <is>
          <t>0.7059172837936919</t>
        </is>
      </c>
      <c r="S165" s="24" t="inlineStr">
        <is>
          <t>HIGH</t>
        </is>
      </c>
      <c r="T165" s="24" t="inlineStr">
        <is>
          <t>HIGH</t>
        </is>
      </c>
      <c r="U165" s="24" t="inlineStr">
        <is>
          <t>0.3571428571428571</t>
        </is>
      </c>
      <c r="V165" s="24" t="inlineStr">
        <is>
          <t>MEDIUM_RISK</t>
        </is>
      </c>
      <c r="W165" s="24" t="inlineStr">
        <is>
          <t>중위험</t>
        </is>
      </c>
      <c r="X165" s="24" t="inlineStr">
        <is>
          <t>MEDIUM_RISK</t>
        </is>
      </c>
      <c r="Y165" s="24" t="inlineStr">
        <is>
          <t>0.6140431256310129</t>
        </is>
      </c>
      <c r="Z165" s="24" t="inlineStr">
        <is>
          <t>MEDIUM</t>
        </is>
      </c>
      <c r="AA165" s="24" t="inlineStr">
        <is>
          <t>MEDIUM</t>
        </is>
      </c>
      <c r="AB165" s="24" t="inlineStr">
        <is>
          <t>0.48123065048868763</t>
        </is>
      </c>
      <c r="AC165" s="24" t="inlineStr">
        <is>
          <t>True</t>
        </is>
      </c>
      <c r="AD165" s="24" t="inlineStr">
        <is>
          <t>True</t>
        </is>
      </c>
      <c r="AE165" s="24" t="inlineStr">
        <is>
          <t>valuation_credit_ml_overlay_candidate.csv</t>
        </is>
      </c>
      <c r="AF165" s="24" t="inlineStr">
        <is>
          <t>208개 반도체 reference universe. Valuation Agent가 자체 intake 폴더로 복제해 Peer/ML/대시보드 비교에 사용.</t>
        </is>
      </c>
    </row>
    <row r="166" ht="24" customHeight="1">
      <c r="A166" s="29" t="inlineStr">
        <is>
          <t>119</t>
        </is>
      </c>
      <c r="B166" s="29" t="inlineStr">
        <is>
          <t>해당 없음</t>
        </is>
      </c>
      <c r="C166" s="29" t="inlineStr">
        <is>
          <t>포인트엔지니어링</t>
        </is>
      </c>
      <c r="D166" s="29" t="inlineStr">
        <is>
          <t>256630</t>
        </is>
      </c>
      <c r="E166" s="29" t="inlineStr">
        <is>
          <t>KOSDAQ</t>
        </is>
      </c>
      <c r="F166" s="29" t="inlineStr">
        <is>
          <t>장비</t>
        </is>
      </c>
      <c r="G166" s="29" t="inlineStr">
        <is>
          <t>장비</t>
        </is>
      </c>
      <c r="H166" s="29" t="inlineStr">
        <is>
          <t>False</t>
        </is>
      </c>
      <c r="I166" s="29" t="inlineStr">
        <is>
          <t>True</t>
        </is>
      </c>
      <c r="J166" s="29" t="inlineStr">
        <is>
          <t>OK</t>
        </is>
      </c>
      <c r="K166" s="29" t="inlineStr">
        <is>
          <t>데이터 사용 가능</t>
        </is>
      </c>
      <c r="L166" s="29" t="inlineStr">
        <is>
          <t>LOW</t>
        </is>
      </c>
      <c r="M166" s="29" t="inlineStr">
        <is>
          <t>LOW</t>
        </is>
      </c>
      <c r="N166" s="29" t="inlineStr">
        <is>
          <t>0.5648666666666666</t>
        </is>
      </c>
      <c r="O166" s="29" t="inlineStr">
        <is>
          <t>FAIR</t>
        </is>
      </c>
      <c r="P166" s="29" t="inlineStr">
        <is>
          <t>FAIR</t>
        </is>
      </c>
      <c r="Q166" s="29" t="inlineStr">
        <is>
          <t>FAIR</t>
        </is>
      </c>
      <c r="R166" s="29" t="inlineStr">
        <is>
          <t>0.735270480034121</t>
        </is>
      </c>
      <c r="S166" s="29" t="inlineStr">
        <is>
          <t>HIGH</t>
        </is>
      </c>
      <c r="T166" s="29" t="inlineStr">
        <is>
          <t>HIGH</t>
        </is>
      </c>
      <c r="U166" s="29" t="inlineStr">
        <is>
          <t>0.1428571428571428</t>
        </is>
      </c>
      <c r="V166" s="29" t="inlineStr">
        <is>
          <t>LOW_RISK</t>
        </is>
      </c>
      <c r="W166" s="29" t="inlineStr">
        <is>
          <t>저위험</t>
        </is>
      </c>
      <c r="X166" s="29" t="inlineStr">
        <is>
          <t>LOW_RISK</t>
        </is>
      </c>
      <c r="Y166" s="29" t="inlineStr">
        <is>
          <t>0.46973098100913</t>
        </is>
      </c>
      <c r="Z166" s="29" t="inlineStr">
        <is>
          <t>LOW</t>
        </is>
      </c>
      <c r="AA166" s="29" t="inlineStr">
        <is>
          <t>LOW</t>
        </is>
      </c>
      <c r="AB166" s="29" t="inlineStr">
        <is>
          <t>0.13639895278143657</t>
        </is>
      </c>
      <c r="AC166" s="29" t="inlineStr">
        <is>
          <t>False</t>
        </is>
      </c>
      <c r="AD166" s="29" t="inlineStr">
        <is>
          <t>True</t>
        </is>
      </c>
      <c r="AE166" s="29" t="inlineStr">
        <is>
          <t>valuation_credit_ml_overlay_candidate.csv</t>
        </is>
      </c>
      <c r="AF166" s="29" t="inlineStr">
        <is>
          <t>208개 반도체 reference universe. Valuation Agent가 자체 intake 폴더로 복제해 Peer/ML/대시보드 비교에 사용.</t>
        </is>
      </c>
    </row>
    <row r="167" ht="24" customHeight="1">
      <c r="A167" s="24" t="inlineStr">
        <is>
          <t>116</t>
        </is>
      </c>
      <c r="B167" s="24" t="inlineStr">
        <is>
          <t>해당 없음</t>
        </is>
      </c>
      <c r="C167" s="24" t="inlineStr">
        <is>
          <t>테스</t>
        </is>
      </c>
      <c r="D167" s="24" t="inlineStr">
        <is>
          <t>095610</t>
        </is>
      </c>
      <c r="E167" s="24" t="inlineStr">
        <is>
          <t>KOSDAQ</t>
        </is>
      </c>
      <c r="F167" s="24" t="inlineStr">
        <is>
          <t>장비</t>
        </is>
      </c>
      <c r="G167" s="24" t="inlineStr">
        <is>
          <t>장비</t>
        </is>
      </c>
      <c r="H167" s="24" t="inlineStr">
        <is>
          <t>False</t>
        </is>
      </c>
      <c r="I167" s="24" t="inlineStr">
        <is>
          <t>True</t>
        </is>
      </c>
      <c r="J167" s="24" t="inlineStr">
        <is>
          <t>OK</t>
        </is>
      </c>
      <c r="K167" s="24" t="inlineStr">
        <is>
          <t>데이터 사용 가능</t>
        </is>
      </c>
      <c r="L167" s="24" t="inlineStr">
        <is>
          <t>LOW</t>
        </is>
      </c>
      <c r="M167" s="24" t="inlineStr">
        <is>
          <t>LOW</t>
        </is>
      </c>
      <c r="N167" s="24" t="inlineStr">
        <is>
          <t>0.5640000000000001</t>
        </is>
      </c>
      <c r="O167" s="24" t="inlineStr">
        <is>
          <t>FAIR</t>
        </is>
      </c>
      <c r="P167" s="24" t="inlineStr">
        <is>
          <t>FAIR</t>
        </is>
      </c>
      <c r="Q167" s="24" t="inlineStr">
        <is>
          <t>FAIR</t>
        </is>
      </c>
      <c r="R167" s="24" t="inlineStr">
        <is>
          <t>0.5083695341145091</t>
        </is>
      </c>
      <c r="S167" s="24" t="inlineStr">
        <is>
          <t>MEDIUM</t>
        </is>
      </c>
      <c r="T167" s="24" t="inlineStr">
        <is>
          <t>MEDIUM</t>
        </is>
      </c>
      <c r="U167" s="24" t="inlineStr">
        <is>
          <t>0.1428571428571428</t>
        </is>
      </c>
      <c r="V167" s="24" t="inlineStr">
        <is>
          <t>LOW_RISK</t>
        </is>
      </c>
      <c r="W167" s="24" t="inlineStr">
        <is>
          <t>저위험</t>
        </is>
      </c>
      <c r="X167" s="24" t="inlineStr">
        <is>
          <t>LOW_RISK</t>
        </is>
      </c>
      <c r="Y167" s="24" t="inlineStr">
        <is>
          <t>0.8915902677510841</t>
        </is>
      </c>
      <c r="Z167" s="24" t="inlineStr">
        <is>
          <t>HIGH</t>
        </is>
      </c>
      <c r="AA167" s="24" t="inlineStr">
        <is>
          <t>HIGH</t>
        </is>
      </c>
      <c r="AB167" s="24" t="inlineStr">
        <is>
          <t>0.04910195891941634</t>
        </is>
      </c>
      <c r="AC167" s="24" t="inlineStr">
        <is>
          <t>False</t>
        </is>
      </c>
      <c r="AD167" s="24" t="inlineStr">
        <is>
          <t>False</t>
        </is>
      </c>
      <c r="AE167" s="24" t="inlineStr">
        <is>
          <t>valuation_credit_ml_overlay_candidate.csv</t>
        </is>
      </c>
      <c r="AF167" s="24" t="inlineStr">
        <is>
          <t>208개 반도체 reference universe. Valuation Agent가 자체 intake 폴더로 복제해 Peer/ML/대시보드 비교에 사용.</t>
        </is>
      </c>
    </row>
    <row r="168" ht="24" customHeight="1">
      <c r="A168" s="29" t="inlineStr">
        <is>
          <t>104</t>
        </is>
      </c>
      <c r="B168" s="29" t="inlineStr">
        <is>
          <t>해당 없음</t>
        </is>
      </c>
      <c r="C168" s="29" t="inlineStr">
        <is>
          <t>유니셈</t>
        </is>
      </c>
      <c r="D168" s="29" t="inlineStr">
        <is>
          <t>036200</t>
        </is>
      </c>
      <c r="E168" s="29" t="inlineStr">
        <is>
          <t>KOSDAQ</t>
        </is>
      </c>
      <c r="F168" s="29" t="inlineStr">
        <is>
          <t>장비</t>
        </is>
      </c>
      <c r="G168" s="29" t="inlineStr">
        <is>
          <t>장비</t>
        </is>
      </c>
      <c r="H168" s="29" t="inlineStr">
        <is>
          <t>False</t>
        </is>
      </c>
      <c r="I168" s="29" t="inlineStr">
        <is>
          <t>True</t>
        </is>
      </c>
      <c r="J168" s="29" t="inlineStr">
        <is>
          <t>OK</t>
        </is>
      </c>
      <c r="K168" s="29" t="inlineStr">
        <is>
          <t>데이터 사용 가능</t>
        </is>
      </c>
      <c r="L168" s="29" t="inlineStr">
        <is>
          <t>LOW</t>
        </is>
      </c>
      <c r="M168" s="29" t="inlineStr">
        <is>
          <t>LOW</t>
        </is>
      </c>
      <c r="N168" s="29" t="inlineStr">
        <is>
          <t>0.5409333333333334</t>
        </is>
      </c>
      <c r="O168" s="29" t="inlineStr">
        <is>
          <t>FAIR</t>
        </is>
      </c>
      <c r="P168" s="29" t="inlineStr">
        <is>
          <t>FAIR</t>
        </is>
      </c>
      <c r="Q168" s="29" t="inlineStr">
        <is>
          <t>FAIR</t>
        </is>
      </c>
      <c r="R168" s="29" t="inlineStr">
        <is>
          <t>0.751305499027411</t>
        </is>
      </c>
      <c r="S168" s="29" t="inlineStr">
        <is>
          <t>HIGH</t>
        </is>
      </c>
      <c r="T168" s="29" t="inlineStr">
        <is>
          <t>HIGH</t>
        </is>
      </c>
      <c r="U168" s="29" t="inlineStr">
        <is>
          <t>0.2142857142857142</t>
        </is>
      </c>
      <c r="V168" s="29" t="inlineStr">
        <is>
          <t>MEDIUM_RISK</t>
        </is>
      </c>
      <c r="W168" s="29" t="inlineStr">
        <is>
          <t>중위험</t>
        </is>
      </c>
      <c r="X168" s="29" t="inlineStr">
        <is>
          <t>MEDIUM_RISK</t>
        </is>
      </c>
      <c r="Y168" s="29" t="inlineStr">
        <is>
          <t>0.7587275691055257</t>
        </is>
      </c>
      <c r="Z168" s="29" t="inlineStr">
        <is>
          <t>HIGH</t>
        </is>
      </c>
      <c r="AA168" s="29" t="inlineStr">
        <is>
          <t>HIGH</t>
        </is>
      </c>
      <c r="AB168" s="29" t="inlineStr">
        <is>
          <t>0.05351211711100475</t>
        </is>
      </c>
      <c r="AC168" s="29" t="inlineStr">
        <is>
          <t>False</t>
        </is>
      </c>
      <c r="AD168" s="29" t="inlineStr">
        <is>
          <t>False</t>
        </is>
      </c>
      <c r="AE168" s="29" t="inlineStr">
        <is>
          <t>valuation_credit_ml_overlay_candidate.csv</t>
        </is>
      </c>
      <c r="AF168" s="29" t="inlineStr">
        <is>
          <t>208개 반도체 reference universe. Valuation Agent가 자체 intake 폴더로 복제해 Peer/ML/대시보드 비교에 사용.</t>
        </is>
      </c>
    </row>
    <row r="169" ht="24" customHeight="1">
      <c r="A169" s="24" t="inlineStr">
        <is>
          <t>121</t>
        </is>
      </c>
      <c r="B169" s="24" t="inlineStr">
        <is>
          <t>해당 없음</t>
        </is>
      </c>
      <c r="C169" s="24" t="inlineStr">
        <is>
          <t>피에스케이홀딩스</t>
        </is>
      </c>
      <c r="D169" s="24" t="inlineStr">
        <is>
          <t>031980</t>
        </is>
      </c>
      <c r="E169" s="24" t="inlineStr">
        <is>
          <t>KOSDAQ</t>
        </is>
      </c>
      <c r="F169" s="24" t="inlineStr">
        <is>
          <t>장비</t>
        </is>
      </c>
      <c r="G169" s="24" t="inlineStr">
        <is>
          <t>장비</t>
        </is>
      </c>
      <c r="H169" s="24" t="inlineStr">
        <is>
          <t>False</t>
        </is>
      </c>
      <c r="I169" s="24" t="inlineStr">
        <is>
          <t>True</t>
        </is>
      </c>
      <c r="J169" s="24" t="inlineStr">
        <is>
          <t>OK</t>
        </is>
      </c>
      <c r="K169" s="24" t="inlineStr">
        <is>
          <t>데이터 사용 가능</t>
        </is>
      </c>
      <c r="L169" s="24" t="inlineStr">
        <is>
          <t>LOW</t>
        </is>
      </c>
      <c r="M169" s="24" t="inlineStr">
        <is>
          <t>LOW</t>
        </is>
      </c>
      <c r="N169" s="24" t="inlineStr">
        <is>
          <t>0.5385333333333334</t>
        </is>
      </c>
      <c r="O169" s="24" t="inlineStr">
        <is>
          <t>FAIR</t>
        </is>
      </c>
      <c r="P169" s="24" t="inlineStr">
        <is>
          <t>FAIR</t>
        </is>
      </c>
      <c r="Q169" s="24" t="inlineStr">
        <is>
          <t>FAIR</t>
        </is>
      </c>
      <c r="R169" s="24" t="inlineStr">
        <is>
          <t>0.7521125976897308</t>
        </is>
      </c>
      <c r="S169" s="24" t="inlineStr">
        <is>
          <t>HIGH</t>
        </is>
      </c>
      <c r="T169" s="24" t="inlineStr">
        <is>
          <t>HIGH</t>
        </is>
      </c>
      <c r="U169" s="24" t="inlineStr">
        <is>
          <t>0.0</t>
        </is>
      </c>
      <c r="V169" s="24" t="inlineStr">
        <is>
          <t>LOW_RISK</t>
        </is>
      </c>
      <c r="W169" s="24" t="inlineStr">
        <is>
          <t>저위험</t>
        </is>
      </c>
      <c r="X169" s="24" t="inlineStr">
        <is>
          <t>LOW_RISK</t>
        </is>
      </c>
      <c r="Y169" s="24" t="inlineStr">
        <is>
          <t>0.936112522374784</t>
        </is>
      </c>
      <c r="Z169" s="24" t="inlineStr">
        <is>
          <t>HIGH</t>
        </is>
      </c>
      <c r="AA169" s="24" t="inlineStr">
        <is>
          <t>HIGH</t>
        </is>
      </c>
      <c r="AB169" s="24" t="inlineStr">
        <is>
          <t>0.21000654030466528</t>
        </is>
      </c>
      <c r="AC169" s="24" t="inlineStr">
        <is>
          <t>False</t>
        </is>
      </c>
      <c r="AD169" s="24" t="inlineStr">
        <is>
          <t>False</t>
        </is>
      </c>
      <c r="AE169" s="24" t="inlineStr">
        <is>
          <t>valuation_credit_ml_overlay_candidate.csv</t>
        </is>
      </c>
      <c r="AF169" s="24" t="inlineStr">
        <is>
          <t>208개 반도체 reference universe. Valuation Agent가 자체 intake 폴더로 복제해 Peer/ML/대시보드 비교에 사용.</t>
        </is>
      </c>
    </row>
    <row r="170" ht="24" customHeight="1">
      <c r="A170" s="29" t="inlineStr">
        <is>
          <t>102</t>
        </is>
      </c>
      <c r="B170" s="29" t="inlineStr">
        <is>
          <t>해당 없음</t>
        </is>
      </c>
      <c r="C170" s="29" t="inlineStr">
        <is>
          <t>워트</t>
        </is>
      </c>
      <c r="D170" s="29" t="inlineStr">
        <is>
          <t>396470</t>
        </is>
      </c>
      <c r="E170" s="29" t="inlineStr">
        <is>
          <t>KOSDAQ</t>
        </is>
      </c>
      <c r="F170" s="29" t="inlineStr">
        <is>
          <t>장비</t>
        </is>
      </c>
      <c r="G170" s="29" t="inlineStr">
        <is>
          <t>장비</t>
        </is>
      </c>
      <c r="H170" s="29" t="inlineStr">
        <is>
          <t>False</t>
        </is>
      </c>
      <c r="I170" s="29" t="inlineStr">
        <is>
          <t>True</t>
        </is>
      </c>
      <c r="J170" s="29" t="inlineStr">
        <is>
          <t>OK_LIMITED_HISTORY_OR_GROWTH_NA</t>
        </is>
      </c>
      <c r="K170" s="29" t="inlineStr">
        <is>
          <t>데이터 사용 가능</t>
        </is>
      </c>
      <c r="L170" s="29" t="inlineStr">
        <is>
          <t>LOW</t>
        </is>
      </c>
      <c r="M170" s="29" t="inlineStr">
        <is>
          <t>LOW</t>
        </is>
      </c>
      <c r="N170" s="29" t="inlineStr">
        <is>
          <t>0.5384000000000001</t>
        </is>
      </c>
      <c r="O170" s="29" t="inlineStr">
        <is>
          <t>FAIR</t>
        </is>
      </c>
      <c r="P170" s="29" t="inlineStr">
        <is>
          <t>FAIR</t>
        </is>
      </c>
      <c r="Q170" s="29" t="inlineStr">
        <is>
          <t>FAIR</t>
        </is>
      </c>
      <c r="R170" s="29" t="inlineStr">
        <is>
          <t>0.6073344328439819</t>
        </is>
      </c>
      <c r="S170" s="29" t="inlineStr">
        <is>
          <t>MEDIUM</t>
        </is>
      </c>
      <c r="T170" s="29" t="inlineStr">
        <is>
          <t>MEDIUM</t>
        </is>
      </c>
      <c r="U170" s="29" t="inlineStr">
        <is>
          <t>0.0714285714285714</t>
        </is>
      </c>
      <c r="V170" s="29" t="inlineStr">
        <is>
          <t>LOW_RISK</t>
        </is>
      </c>
      <c r="W170" s="29" t="inlineStr">
        <is>
          <t>저위험</t>
        </is>
      </c>
      <c r="X170" s="29" t="inlineStr">
        <is>
          <t>LOW_RISK</t>
        </is>
      </c>
      <c r="Y170" s="29" t="inlineStr">
        <is>
          <t>0.8767524187887936</t>
        </is>
      </c>
      <c r="Z170" s="29" t="inlineStr">
        <is>
          <t>HIGH</t>
        </is>
      </c>
      <c r="AA170" s="29" t="inlineStr">
        <is>
          <t>HIGH</t>
        </is>
      </c>
      <c r="AB170" s="29" t="inlineStr">
        <is>
          <t>0.4537372664198796</t>
        </is>
      </c>
      <c r="AC170" s="29" t="inlineStr">
        <is>
          <t>True</t>
        </is>
      </c>
      <c r="AD170" s="29" t="inlineStr">
        <is>
          <t>True</t>
        </is>
      </c>
      <c r="AE170" s="29" t="inlineStr">
        <is>
          <t>valuation_credit_ml_overlay_candidate.csv</t>
        </is>
      </c>
      <c r="AF170" s="29" t="inlineStr">
        <is>
          <t>208개 반도체 reference universe. Valuation Agent가 자체 intake 폴더로 복제해 Peer/ML/대시보드 비교에 사용.</t>
        </is>
      </c>
    </row>
    <row r="171" ht="24" customHeight="1">
      <c r="A171" s="24" t="inlineStr">
        <is>
          <t>120</t>
        </is>
      </c>
      <c r="B171" s="24" t="inlineStr">
        <is>
          <t>해당 없음</t>
        </is>
      </c>
      <c r="C171" s="24" t="inlineStr">
        <is>
          <t>피에스케이</t>
        </is>
      </c>
      <c r="D171" s="24" t="inlineStr">
        <is>
          <t>319660</t>
        </is>
      </c>
      <c r="E171" s="24" t="inlineStr">
        <is>
          <t>KOSDAQ GLOBAL</t>
        </is>
      </c>
      <c r="F171" s="24" t="inlineStr">
        <is>
          <t>장비</t>
        </is>
      </c>
      <c r="G171" s="24" t="inlineStr">
        <is>
          <t>장비</t>
        </is>
      </c>
      <c r="H171" s="24" t="inlineStr">
        <is>
          <t>False</t>
        </is>
      </c>
      <c r="I171" s="24" t="inlineStr">
        <is>
          <t>True</t>
        </is>
      </c>
      <c r="J171" s="24" t="inlineStr">
        <is>
          <t>OK</t>
        </is>
      </c>
      <c r="K171" s="24" t="inlineStr">
        <is>
          <t>데이터 사용 가능</t>
        </is>
      </c>
      <c r="L171" s="24" t="inlineStr">
        <is>
          <t>LOW</t>
        </is>
      </c>
      <c r="M171" s="24" t="inlineStr">
        <is>
          <t>LOW</t>
        </is>
      </c>
      <c r="N171" s="24" t="inlineStr">
        <is>
          <t>0.5357333333333333</t>
        </is>
      </c>
      <c r="O171" s="24" t="inlineStr">
        <is>
          <t>FAIR</t>
        </is>
      </c>
      <c r="P171" s="24" t="inlineStr">
        <is>
          <t>FAIR</t>
        </is>
      </c>
      <c r="Q171" s="24" t="inlineStr">
        <is>
          <t>FAIR</t>
        </is>
      </c>
      <c r="R171" s="24" t="inlineStr">
        <is>
          <t>0.7072072873445469</t>
        </is>
      </c>
      <c r="S171" s="24" t="inlineStr">
        <is>
          <t>HIGH</t>
        </is>
      </c>
      <c r="T171" s="24" t="inlineStr">
        <is>
          <t>HIGH</t>
        </is>
      </c>
      <c r="U171" s="24" t="inlineStr">
        <is>
          <t>0.0</t>
        </is>
      </c>
      <c r="V171" s="24" t="inlineStr">
        <is>
          <t>LOW_RISK</t>
        </is>
      </c>
      <c r="W171" s="24" t="inlineStr">
        <is>
          <t>저위험</t>
        </is>
      </c>
      <c r="X171" s="24" t="inlineStr">
        <is>
          <t>LOW_RISK</t>
        </is>
      </c>
      <c r="Y171" s="24" t="inlineStr">
        <is>
          <t>0.9811059783961981</t>
        </is>
      </c>
      <c r="Z171" s="24" t="inlineStr">
        <is>
          <t>HIGH</t>
        </is>
      </c>
      <c r="AA171" s="24" t="inlineStr">
        <is>
          <t>HIGH</t>
        </is>
      </c>
      <c r="AB171" s="24" t="inlineStr">
        <is>
          <t>0.06486271422414225</t>
        </is>
      </c>
      <c r="AC171" s="24" t="inlineStr">
        <is>
          <t>False</t>
        </is>
      </c>
      <c r="AD171" s="24" t="inlineStr">
        <is>
          <t>False</t>
        </is>
      </c>
      <c r="AE171" s="24" t="inlineStr">
        <is>
          <t>valuation_credit_ml_overlay_candidate.csv</t>
        </is>
      </c>
      <c r="AF171" s="24" t="inlineStr">
        <is>
          <t>208개 반도체 reference universe. Valuation Agent가 자체 intake 폴더로 복제해 Peer/ML/대시보드 비교에 사용.</t>
        </is>
      </c>
    </row>
    <row r="172" ht="24" customHeight="1">
      <c r="A172" s="29" t="inlineStr">
        <is>
          <t>87</t>
        </is>
      </c>
      <c r="B172" s="29" t="inlineStr">
        <is>
          <t>해당 없음</t>
        </is>
      </c>
      <c r="C172" s="29" t="inlineStr">
        <is>
          <t>브이엠</t>
        </is>
      </c>
      <c r="D172" s="29" t="inlineStr">
        <is>
          <t>089970</t>
        </is>
      </c>
      <c r="E172" s="29" t="inlineStr">
        <is>
          <t>KOSDAQ</t>
        </is>
      </c>
      <c r="F172" s="29" t="inlineStr">
        <is>
          <t>장비</t>
        </is>
      </c>
      <c r="G172" s="29" t="inlineStr">
        <is>
          <t>장비</t>
        </is>
      </c>
      <c r="H172" s="29" t="inlineStr">
        <is>
          <t>False</t>
        </is>
      </c>
      <c r="I172" s="29" t="inlineStr">
        <is>
          <t>True</t>
        </is>
      </c>
      <c r="J172" s="29" t="inlineStr">
        <is>
          <t>OK</t>
        </is>
      </c>
      <c r="K172" s="29" t="inlineStr">
        <is>
          <t>데이터 사용 가능</t>
        </is>
      </c>
      <c r="L172" s="29" t="inlineStr">
        <is>
          <t>LOW</t>
        </is>
      </c>
      <c r="M172" s="29" t="inlineStr">
        <is>
          <t>LOW</t>
        </is>
      </c>
      <c r="N172" s="29" t="inlineStr">
        <is>
          <t>0.5204000000000001</t>
        </is>
      </c>
      <c r="O172" s="29" t="inlineStr">
        <is>
          <t>FAIR</t>
        </is>
      </c>
      <c r="P172" s="29" t="inlineStr">
        <is>
          <t>FAIR</t>
        </is>
      </c>
      <c r="Q172" s="29" t="inlineStr">
        <is>
          <t>FAIR</t>
        </is>
      </c>
      <c r="R172" s="29" t="inlineStr">
        <is>
          <t>0.737579554357605</t>
        </is>
      </c>
      <c r="S172" s="29" t="inlineStr">
        <is>
          <t>HIGH</t>
        </is>
      </c>
      <c r="T172" s="29" t="inlineStr">
        <is>
          <t>HIGH</t>
        </is>
      </c>
      <c r="U172" s="29" t="inlineStr">
        <is>
          <t>0.0</t>
        </is>
      </c>
      <c r="V172" s="29" t="inlineStr">
        <is>
          <t>LOW_RISK</t>
        </is>
      </c>
      <c r="W172" s="29" t="inlineStr">
        <is>
          <t>저위험</t>
        </is>
      </c>
      <c r="X172" s="29" t="inlineStr">
        <is>
          <t>LOW_RISK</t>
        </is>
      </c>
      <c r="Y172" s="29" t="inlineStr">
        <is>
          <t>0.9262131686985617</t>
        </is>
      </c>
      <c r="Z172" s="29" t="inlineStr">
        <is>
          <t>HIGH</t>
        </is>
      </c>
      <c r="AA172" s="29" t="inlineStr">
        <is>
          <t>HIGH</t>
        </is>
      </c>
      <c r="AB172" s="29" t="inlineStr">
        <is>
          <t>0.095895233286532</t>
        </is>
      </c>
      <c r="AC172" s="29" t="inlineStr">
        <is>
          <t>False</t>
        </is>
      </c>
      <c r="AD172" s="29" t="inlineStr">
        <is>
          <t>False</t>
        </is>
      </c>
      <c r="AE172" s="29" t="inlineStr">
        <is>
          <t>valuation_credit_ml_overlay_candidate.csv</t>
        </is>
      </c>
      <c r="AF172" s="29" t="inlineStr">
        <is>
          <t>208개 반도체 reference universe. Valuation Agent가 자체 intake 폴더로 복제해 Peer/ML/대시보드 비교에 사용.</t>
        </is>
      </c>
    </row>
    <row r="173" ht="24" customHeight="1">
      <c r="A173" s="24" t="inlineStr">
        <is>
          <t>114</t>
        </is>
      </c>
      <c r="B173" s="24" t="inlineStr">
        <is>
          <t>해당 없음</t>
        </is>
      </c>
      <c r="C173" s="24" t="inlineStr">
        <is>
          <t>코세스</t>
        </is>
      </c>
      <c r="D173" s="24" t="inlineStr">
        <is>
          <t>089890</t>
        </is>
      </c>
      <c r="E173" s="24" t="inlineStr">
        <is>
          <t>KOSDAQ</t>
        </is>
      </c>
      <c r="F173" s="24" t="inlineStr">
        <is>
          <t>장비</t>
        </is>
      </c>
      <c r="G173" s="24" t="inlineStr">
        <is>
          <t>장비</t>
        </is>
      </c>
      <c r="H173" s="24" t="inlineStr">
        <is>
          <t>False</t>
        </is>
      </c>
      <c r="I173" s="24" t="inlineStr">
        <is>
          <t>True</t>
        </is>
      </c>
      <c r="J173" s="24" t="inlineStr">
        <is>
          <t>OK</t>
        </is>
      </c>
      <c r="K173" s="24" t="inlineStr">
        <is>
          <t>데이터 사용 가능</t>
        </is>
      </c>
      <c r="L173" s="24" t="inlineStr">
        <is>
          <t>LOW</t>
        </is>
      </c>
      <c r="M173" s="24" t="inlineStr">
        <is>
          <t>LOW</t>
        </is>
      </c>
      <c r="N173" s="24" t="inlineStr">
        <is>
          <t>0.4978666666666667</t>
        </is>
      </c>
      <c r="O173" s="24" t="inlineStr">
        <is>
          <t>FAIR</t>
        </is>
      </c>
      <c r="P173" s="24" t="inlineStr">
        <is>
          <t>FAIR</t>
        </is>
      </c>
      <c r="Q173" s="24" t="inlineStr">
        <is>
          <t>FAIR</t>
        </is>
      </c>
      <c r="R173" s="24" t="inlineStr">
        <is>
          <t>0.7228094449358575</t>
        </is>
      </c>
      <c r="S173" s="24" t="inlineStr">
        <is>
          <t>HIGH</t>
        </is>
      </c>
      <c r="T173" s="24" t="inlineStr">
        <is>
          <t>HIGH</t>
        </is>
      </c>
      <c r="U173" s="24" t="inlineStr">
        <is>
          <t>0.0714285714285714</t>
        </is>
      </c>
      <c r="V173" s="24" t="inlineStr">
        <is>
          <t>LOW_RISK</t>
        </is>
      </c>
      <c r="W173" s="24" t="inlineStr">
        <is>
          <t>저위험</t>
        </is>
      </c>
      <c r="X173" s="24" t="inlineStr">
        <is>
          <t>LOW_RISK</t>
        </is>
      </c>
      <c r="Y173" s="24" t="inlineStr">
        <is>
          <t>0.7776657060311913</t>
        </is>
      </c>
      <c r="Z173" s="24" t="inlineStr">
        <is>
          <t>HIGH</t>
        </is>
      </c>
      <c r="AA173" s="24" t="inlineStr">
        <is>
          <t>HIGH</t>
        </is>
      </c>
      <c r="AB173" s="24" t="inlineStr">
        <is>
          <t>0.08712413247882898</t>
        </is>
      </c>
      <c r="AC173" s="24" t="inlineStr">
        <is>
          <t>False</t>
        </is>
      </c>
      <c r="AD173" s="24" t="inlineStr">
        <is>
          <t>False</t>
        </is>
      </c>
      <c r="AE173" s="24" t="inlineStr">
        <is>
          <t>valuation_credit_ml_overlay_candidate.csv</t>
        </is>
      </c>
      <c r="AF173" s="24" t="inlineStr">
        <is>
          <t>208개 반도체 reference universe. Valuation Agent가 자체 intake 폴더로 복제해 Peer/ML/대시보드 비교에 사용.</t>
        </is>
      </c>
    </row>
    <row r="174" ht="24" customHeight="1">
      <c r="A174" s="29" t="inlineStr">
        <is>
          <t>115</t>
        </is>
      </c>
      <c r="B174" s="29" t="inlineStr">
        <is>
          <t>해당 없음</t>
        </is>
      </c>
      <c r="C174" s="29" t="inlineStr">
        <is>
          <t>코스텍시스템</t>
        </is>
      </c>
      <c r="D174" s="29" t="inlineStr">
        <is>
          <t>169670</t>
        </is>
      </c>
      <c r="E174" s="29" t="inlineStr">
        <is>
          <t>KONEX</t>
        </is>
      </c>
      <c r="F174" s="29" t="inlineStr">
        <is>
          <t>장비</t>
        </is>
      </c>
      <c r="G174" s="29" t="inlineStr">
        <is>
          <t>장비</t>
        </is>
      </c>
      <c r="H174" s="29" t="inlineStr">
        <is>
          <t>False</t>
        </is>
      </c>
      <c r="I174" s="29" t="inlineStr">
        <is>
          <t>True</t>
        </is>
      </c>
      <c r="J174" s="29" t="inlineStr">
        <is>
          <t>NO_DART_FINANCIAL_DATA</t>
        </is>
      </c>
      <c r="K174" s="29" t="inlineStr">
        <is>
          <t>데이터 사용 가능</t>
        </is>
      </c>
      <c r="L174" s="29" t="inlineStr">
        <is>
          <t>HIGH</t>
        </is>
      </c>
      <c r="M174" s="29" t="inlineStr">
        <is>
          <t>HIGH</t>
        </is>
      </c>
      <c r="N174" s="29" t="inlineStr">
        <is>
          <t>0.4959999999999999</t>
        </is>
      </c>
      <c r="O174" s="29" t="inlineStr">
        <is>
          <t>FAIR</t>
        </is>
      </c>
      <c r="P174" s="29" t="inlineStr">
        <is>
          <t>FAIR</t>
        </is>
      </c>
      <c r="Q174" s="29" t="inlineStr">
        <is>
          <t>FAIR</t>
        </is>
      </c>
      <c r="R174" s="29" t="inlineStr">
        <is>
          <t>0.9640840061970892</t>
        </is>
      </c>
      <c r="S174" s="29" t="inlineStr">
        <is>
          <t>HIGH</t>
        </is>
      </c>
      <c r="T174" s="29" t="inlineStr">
        <is>
          <t>HIGH</t>
        </is>
      </c>
      <c r="U174" s="29" t="inlineStr">
        <is>
          <t>0.2142857142857142</t>
        </is>
      </c>
      <c r="V174" s="29" t="inlineStr">
        <is>
          <t>MEDIUM_RISK</t>
        </is>
      </c>
      <c r="W174" s="29" t="inlineStr">
        <is>
          <t>중위험</t>
        </is>
      </c>
      <c r="X174" s="29" t="inlineStr">
        <is>
          <t>MEDIUM_RISK</t>
        </is>
      </c>
      <c r="Y174" s="29" t="inlineStr">
        <is>
          <t>0.7627943410657042</t>
        </is>
      </c>
      <c r="Z174" s="29" t="inlineStr">
        <is>
          <t>HIGH</t>
        </is>
      </c>
      <c r="AA174" s="29" t="inlineStr">
        <is>
          <t>HIGH</t>
        </is>
      </c>
      <c r="AB174" s="29" t="inlineStr">
        <is>
          <t>0.1642174593956627</t>
        </is>
      </c>
      <c r="AC174" s="29" t="inlineStr">
        <is>
          <t>False</t>
        </is>
      </c>
      <c r="AD174" s="29" t="inlineStr">
        <is>
          <t>True</t>
        </is>
      </c>
      <c r="AE174" s="29" t="inlineStr">
        <is>
          <t>valuation_credit_ml_overlay_candidate.csv</t>
        </is>
      </c>
      <c r="AF174" s="29" t="inlineStr">
        <is>
          <t>208개 반도체 reference universe. Valuation Agent가 자체 intake 폴더로 복제해 Peer/ML/대시보드 비교에 사용.</t>
        </is>
      </c>
    </row>
    <row r="175" ht="24" customHeight="1">
      <c r="A175" s="24" t="inlineStr">
        <is>
          <t>75</t>
        </is>
      </c>
      <c r="B175" s="24" t="inlineStr">
        <is>
          <t>해당 없음</t>
        </is>
      </c>
      <c r="C175" s="24" t="inlineStr">
        <is>
          <t>HPSP</t>
        </is>
      </c>
      <c r="D175" s="24" t="inlineStr">
        <is>
          <t>403870</t>
        </is>
      </c>
      <c r="E175" s="24" t="inlineStr">
        <is>
          <t>KOSDAQ GLOBAL</t>
        </is>
      </c>
      <c r="F175" s="24" t="inlineStr">
        <is>
          <t>장비</t>
        </is>
      </c>
      <c r="G175" s="24" t="inlineStr">
        <is>
          <t>장비</t>
        </is>
      </c>
      <c r="H175" s="24" t="inlineStr">
        <is>
          <t>False</t>
        </is>
      </c>
      <c r="I175" s="24" t="inlineStr">
        <is>
          <t>True</t>
        </is>
      </c>
      <c r="J175" s="24" t="inlineStr">
        <is>
          <t>OK</t>
        </is>
      </c>
      <c r="K175" s="24" t="inlineStr">
        <is>
          <t>데이터 사용 가능</t>
        </is>
      </c>
      <c r="L175" s="24" t="inlineStr">
        <is>
          <t>LOW</t>
        </is>
      </c>
      <c r="M175" s="24" t="inlineStr">
        <is>
          <t>LOW</t>
        </is>
      </c>
      <c r="N175" s="24" t="inlineStr">
        <is>
          <t>0.4751999999999999</t>
        </is>
      </c>
      <c r="O175" s="24" t="inlineStr">
        <is>
          <t>FAIR</t>
        </is>
      </c>
      <c r="P175" s="24" t="inlineStr">
        <is>
          <t>FAIR</t>
        </is>
      </c>
      <c r="Q175" s="24" t="inlineStr">
        <is>
          <t>FAIR</t>
        </is>
      </c>
      <c r="R175" s="24" t="inlineStr">
        <is>
          <t>0.7108284021978194</t>
        </is>
      </c>
      <c r="S175" s="24" t="inlineStr">
        <is>
          <t>HIGH</t>
        </is>
      </c>
      <c r="T175" s="24" t="inlineStr">
        <is>
          <t>HIGH</t>
        </is>
      </c>
      <c r="U175" s="24" t="inlineStr">
        <is>
          <t>0.0</t>
        </is>
      </c>
      <c r="V175" s="24" t="inlineStr">
        <is>
          <t>LOW_RISK</t>
        </is>
      </c>
      <c r="W175" s="24" t="inlineStr">
        <is>
          <t>저위험</t>
        </is>
      </c>
      <c r="X175" s="24" t="inlineStr">
        <is>
          <t>LOW_RISK</t>
        </is>
      </c>
      <c r="Y175" s="24" t="inlineStr">
        <is>
          <t>0.9192147630692069</t>
        </is>
      </c>
      <c r="Z175" s="24" t="inlineStr">
        <is>
          <t>HIGH</t>
        </is>
      </c>
      <c r="AA175" s="24" t="inlineStr">
        <is>
          <t>HIGH</t>
        </is>
      </c>
      <c r="AB175" s="24" t="inlineStr">
        <is>
          <t>0.3306557234104388</t>
        </is>
      </c>
      <c r="AC175" s="24" t="inlineStr">
        <is>
          <t>True</t>
        </is>
      </c>
      <c r="AD175" s="24" t="inlineStr">
        <is>
          <t>True</t>
        </is>
      </c>
      <c r="AE175" s="24" t="inlineStr">
        <is>
          <t>valuation_credit_ml_overlay_candidate.csv</t>
        </is>
      </c>
      <c r="AF175" s="24" t="inlineStr">
        <is>
          <t>208개 반도체 reference universe. Valuation Agent가 자체 intake 폴더로 복제해 Peer/ML/대시보드 비교에 사용.</t>
        </is>
      </c>
    </row>
    <row r="176" ht="24" customHeight="1">
      <c r="A176" s="29" t="inlineStr">
        <is>
          <t>103</t>
        </is>
      </c>
      <c r="B176" s="29" t="inlineStr">
        <is>
          <t>해당 없음</t>
        </is>
      </c>
      <c r="C176" s="29" t="inlineStr">
        <is>
          <t>원익IPS</t>
        </is>
      </c>
      <c r="D176" s="29" t="inlineStr">
        <is>
          <t>240810</t>
        </is>
      </c>
      <c r="E176" s="29" t="inlineStr">
        <is>
          <t>KOSDAQ GLOBAL</t>
        </is>
      </c>
      <c r="F176" s="29" t="inlineStr">
        <is>
          <t>장비</t>
        </is>
      </c>
      <c r="G176" s="29" t="inlineStr">
        <is>
          <t>장비</t>
        </is>
      </c>
      <c r="H176" s="29" t="inlineStr">
        <is>
          <t>False</t>
        </is>
      </c>
      <c r="I176" s="29" t="inlineStr">
        <is>
          <t>True</t>
        </is>
      </c>
      <c r="J176" s="29" t="inlineStr">
        <is>
          <t>OK</t>
        </is>
      </c>
      <c r="K176" s="29" t="inlineStr">
        <is>
          <t>데이터 사용 가능</t>
        </is>
      </c>
      <c r="L176" s="29" t="inlineStr">
        <is>
          <t>LOW</t>
        </is>
      </c>
      <c r="M176" s="29" t="inlineStr">
        <is>
          <t>LOW</t>
        </is>
      </c>
      <c r="N176" s="29" t="inlineStr">
        <is>
          <t>0.4634666666666667</t>
        </is>
      </c>
      <c r="O176" s="29" t="inlineStr">
        <is>
          <t>FAIR</t>
        </is>
      </c>
      <c r="P176" s="29" t="inlineStr">
        <is>
          <t>FAIR</t>
        </is>
      </c>
      <c r="Q176" s="29" t="inlineStr">
        <is>
          <t>FAIR</t>
        </is>
      </c>
      <c r="R176" s="29" t="inlineStr">
        <is>
          <t>0.5727476694226805</t>
        </is>
      </c>
      <c r="S176" s="29" t="inlineStr">
        <is>
          <t>MEDIUM</t>
        </is>
      </c>
      <c r="T176" s="29" t="inlineStr">
        <is>
          <t>MEDIUM</t>
        </is>
      </c>
      <c r="U176" s="29" t="inlineStr">
        <is>
          <t>0.0714285714285714</t>
        </is>
      </c>
      <c r="V176" s="29" t="inlineStr">
        <is>
          <t>LOW_RISK</t>
        </is>
      </c>
      <c r="W176" s="29" t="inlineStr">
        <is>
          <t>저위험</t>
        </is>
      </c>
      <c r="X176" s="29" t="inlineStr">
        <is>
          <t>LOW_RISK</t>
        </is>
      </c>
      <c r="Y176" s="29" t="inlineStr">
        <is>
          <t>0.9598478437041975</t>
        </is>
      </c>
      <c r="Z176" s="29" t="inlineStr">
        <is>
          <t>HIGH</t>
        </is>
      </c>
      <c r="AA176" s="29" t="inlineStr">
        <is>
          <t>HIGH</t>
        </is>
      </c>
      <c r="AB176" s="29" t="inlineStr">
        <is>
          <t>0.08568837626660758</t>
        </is>
      </c>
      <c r="AC176" s="29" t="inlineStr">
        <is>
          <t>False</t>
        </is>
      </c>
      <c r="AD176" s="29" t="inlineStr">
        <is>
          <t>False</t>
        </is>
      </c>
      <c r="AE176" s="29" t="inlineStr">
        <is>
          <t>valuation_credit_ml_overlay_candidate.csv</t>
        </is>
      </c>
      <c r="AF176" s="29" t="inlineStr">
        <is>
          <t>208개 반도체 reference universe. Valuation Agent가 자체 intake 폴더로 복제해 Peer/ML/대시보드 비교에 사용.</t>
        </is>
      </c>
    </row>
    <row r="177" ht="24" customHeight="1">
      <c r="A177" s="24" t="inlineStr">
        <is>
          <t>118</t>
        </is>
      </c>
      <c r="B177" s="24" t="inlineStr">
        <is>
          <t>해당 없음</t>
        </is>
      </c>
      <c r="C177" s="24" t="inlineStr">
        <is>
          <t>파크시스템스</t>
        </is>
      </c>
      <c r="D177" s="24" t="inlineStr">
        <is>
          <t>140860</t>
        </is>
      </c>
      <c r="E177" s="24" t="inlineStr">
        <is>
          <t>KOSDAQ GLOBAL</t>
        </is>
      </c>
      <c r="F177" s="24" t="inlineStr">
        <is>
          <t>장비</t>
        </is>
      </c>
      <c r="G177" s="24" t="inlineStr">
        <is>
          <t>장비</t>
        </is>
      </c>
      <c r="H177" s="24" t="inlineStr">
        <is>
          <t>False</t>
        </is>
      </c>
      <c r="I177" s="24" t="inlineStr">
        <is>
          <t>True</t>
        </is>
      </c>
      <c r="J177" s="24" t="inlineStr">
        <is>
          <t>OK</t>
        </is>
      </c>
      <c r="K177" s="24" t="inlineStr">
        <is>
          <t>데이터 사용 가능</t>
        </is>
      </c>
      <c r="L177" s="24" t="inlineStr">
        <is>
          <t>LOW</t>
        </is>
      </c>
      <c r="M177" s="24" t="inlineStr">
        <is>
          <t>LOW</t>
        </is>
      </c>
      <c r="N177" s="24" t="inlineStr">
        <is>
          <t>0.4611999999999999</t>
        </is>
      </c>
      <c r="O177" s="24" t="inlineStr">
        <is>
          <t>FAIR</t>
        </is>
      </c>
      <c r="P177" s="24" t="inlineStr">
        <is>
          <t>FAIR</t>
        </is>
      </c>
      <c r="Q177" s="24" t="inlineStr">
        <is>
          <t>FAIR</t>
        </is>
      </c>
      <c r="R177" s="24" t="inlineStr">
        <is>
          <t>0.7158734205313764</t>
        </is>
      </c>
      <c r="S177" s="24" t="inlineStr">
        <is>
          <t>HIGH</t>
        </is>
      </c>
      <c r="T177" s="24" t="inlineStr">
        <is>
          <t>HIGH</t>
        </is>
      </c>
      <c r="U177" s="24" t="inlineStr">
        <is>
          <t>0.0714285714285714</t>
        </is>
      </c>
      <c r="V177" s="24" t="inlineStr">
        <is>
          <t>LOW_RISK</t>
        </is>
      </c>
      <c r="W177" s="24" t="inlineStr">
        <is>
          <t>저위험</t>
        </is>
      </c>
      <c r="X177" s="24" t="inlineStr">
        <is>
          <t>LOW_RISK</t>
        </is>
      </c>
      <c r="Y177" s="24" t="inlineStr">
        <is>
          <t>0.8562648725642331</t>
        </is>
      </c>
      <c r="Z177" s="24" t="inlineStr">
        <is>
          <t>HIGH</t>
        </is>
      </c>
      <c r="AA177" s="24" t="inlineStr">
        <is>
          <t>HIGH</t>
        </is>
      </c>
      <c r="AB177" s="24" t="inlineStr">
        <is>
          <t>0.038412769981702295</t>
        </is>
      </c>
      <c r="AC177" s="24" t="inlineStr">
        <is>
          <t>False</t>
        </is>
      </c>
      <c r="AD177" s="24" t="inlineStr">
        <is>
          <t>False</t>
        </is>
      </c>
      <c r="AE177" s="24" t="inlineStr">
        <is>
          <t>valuation_credit_ml_overlay_candidate.csv</t>
        </is>
      </c>
      <c r="AF177" s="24" t="inlineStr">
        <is>
          <t>208개 반도체 reference universe. Valuation Agent가 자체 intake 폴더로 복제해 Peer/ML/대시보드 비교에 사용.</t>
        </is>
      </c>
    </row>
    <row r="178" ht="24" customHeight="1">
      <c r="A178" s="29" t="inlineStr">
        <is>
          <t>90</t>
        </is>
      </c>
      <c r="B178" s="29" t="inlineStr">
        <is>
          <t>해당 없음</t>
        </is>
      </c>
      <c r="C178" s="29" t="inlineStr">
        <is>
          <t>서플러스글로벌</t>
        </is>
      </c>
      <c r="D178" s="29" t="inlineStr">
        <is>
          <t>140070</t>
        </is>
      </c>
      <c r="E178" s="29" t="inlineStr">
        <is>
          <t>KOSDAQ</t>
        </is>
      </c>
      <c r="F178" s="29" t="inlineStr">
        <is>
          <t>장비</t>
        </is>
      </c>
      <c r="G178" s="29" t="inlineStr">
        <is>
          <t>장비</t>
        </is>
      </c>
      <c r="H178" s="29" t="inlineStr">
        <is>
          <t>False</t>
        </is>
      </c>
      <c r="I178" s="29" t="inlineStr">
        <is>
          <t>True</t>
        </is>
      </c>
      <c r="J178" s="29" t="inlineStr">
        <is>
          <t>OK</t>
        </is>
      </c>
      <c r="K178" s="29" t="inlineStr">
        <is>
          <t>데이터 사용 가능</t>
        </is>
      </c>
      <c r="L178" s="29" t="inlineStr">
        <is>
          <t>LOW</t>
        </is>
      </c>
      <c r="M178" s="29" t="inlineStr">
        <is>
          <t>LOW</t>
        </is>
      </c>
      <c r="N178" s="29" t="inlineStr">
        <is>
          <t>0.4594666666666667</t>
        </is>
      </c>
      <c r="O178" s="29" t="inlineStr">
        <is>
          <t>FAIR</t>
        </is>
      </c>
      <c r="P178" s="29" t="inlineStr">
        <is>
          <t>FAIR</t>
        </is>
      </c>
      <c r="Q178" s="29" t="inlineStr">
        <is>
          <t>FAIR</t>
        </is>
      </c>
      <c r="R178" s="29" t="inlineStr">
        <is>
          <t>0.6515364241286621</t>
        </is>
      </c>
      <c r="S178" s="29" t="inlineStr">
        <is>
          <t>MEDIUM</t>
        </is>
      </c>
      <c r="T178" s="29" t="inlineStr">
        <is>
          <t>MEDIUM</t>
        </is>
      </c>
      <c r="U178" s="29" t="inlineStr">
        <is>
          <t>0.7142857142857143</t>
        </is>
      </c>
      <c r="V178" s="29" t="inlineStr">
        <is>
          <t>HIGH_RISK</t>
        </is>
      </c>
      <c r="W178" s="29" t="inlineStr">
        <is>
          <t>고위험</t>
        </is>
      </c>
      <c r="X178" s="29" t="inlineStr">
        <is>
          <t>HIGH_RISK</t>
        </is>
      </c>
      <c r="Y178" s="29" t="inlineStr">
        <is>
          <t>0.9338637410254204</t>
        </is>
      </c>
      <c r="Z178" s="29" t="inlineStr">
        <is>
          <t>HIGH</t>
        </is>
      </c>
      <c r="AA178" s="29" t="inlineStr">
        <is>
          <t>HIGH</t>
        </is>
      </c>
      <c r="AB178" s="29" t="inlineStr">
        <is>
          <t>0.11246105889395507</t>
        </is>
      </c>
      <c r="AC178" s="29" t="inlineStr">
        <is>
          <t>False</t>
        </is>
      </c>
      <c r="AD178" s="29" t="inlineStr">
        <is>
          <t>False</t>
        </is>
      </c>
      <c r="AE178" s="29" t="inlineStr">
        <is>
          <t>valuation_credit_ml_overlay_candidate.csv</t>
        </is>
      </c>
      <c r="AF178" s="29" t="inlineStr">
        <is>
          <t>208개 반도체 reference universe. Valuation Agent가 자체 intake 폴더로 복제해 Peer/ML/대시보드 비교에 사용.</t>
        </is>
      </c>
    </row>
    <row r="179" ht="24" customHeight="1">
      <c r="A179" s="24" t="inlineStr">
        <is>
          <t>97</t>
        </is>
      </c>
      <c r="B179" s="24" t="inlineStr">
        <is>
          <t>해당 없음</t>
        </is>
      </c>
      <c r="C179" s="24" t="inlineStr">
        <is>
          <t>에스티아이</t>
        </is>
      </c>
      <c r="D179" s="24" t="inlineStr">
        <is>
          <t>039440</t>
        </is>
      </c>
      <c r="E179" s="24" t="inlineStr">
        <is>
          <t>KOSDAQ</t>
        </is>
      </c>
      <c r="F179" s="24" t="inlineStr">
        <is>
          <t>장비</t>
        </is>
      </c>
      <c r="G179" s="24" t="inlineStr">
        <is>
          <t>장비</t>
        </is>
      </c>
      <c r="H179" s="24" t="inlineStr">
        <is>
          <t>False</t>
        </is>
      </c>
      <c r="I179" s="24" t="inlineStr">
        <is>
          <t>True</t>
        </is>
      </c>
      <c r="J179" s="24" t="inlineStr">
        <is>
          <t>OK</t>
        </is>
      </c>
      <c r="K179" s="24" t="inlineStr">
        <is>
          <t>데이터 사용 가능</t>
        </is>
      </c>
      <c r="L179" s="24" t="inlineStr">
        <is>
          <t>LOW</t>
        </is>
      </c>
      <c r="M179" s="24" t="inlineStr">
        <is>
          <t>LOW</t>
        </is>
      </c>
      <c r="N179" s="24" t="inlineStr">
        <is>
          <t>0.4549999999999999</t>
        </is>
      </c>
      <c r="O179" s="24" t="inlineStr">
        <is>
          <t>FAIR</t>
        </is>
      </c>
      <c r="P179" s="24" t="inlineStr">
        <is>
          <t>FAIR</t>
        </is>
      </c>
      <c r="Q179" s="24" t="inlineStr">
        <is>
          <t>FAIR</t>
        </is>
      </c>
      <c r="R179" s="24" t="inlineStr">
        <is>
          <t>0.53270990340385</t>
        </is>
      </c>
      <c r="S179" s="24" t="inlineStr">
        <is>
          <t>MEDIUM</t>
        </is>
      </c>
      <c r="T179" s="24" t="inlineStr">
        <is>
          <t>MEDIUM</t>
        </is>
      </c>
      <c r="U179" s="24" t="inlineStr">
        <is>
          <t>0.0</t>
        </is>
      </c>
      <c r="V179" s="24" t="inlineStr">
        <is>
          <t>LOW_RISK</t>
        </is>
      </c>
      <c r="W179" s="24" t="inlineStr">
        <is>
          <t>저위험</t>
        </is>
      </c>
      <c r="X179" s="24" t="inlineStr">
        <is>
          <t>LOW_RISK</t>
        </is>
      </c>
      <c r="Y179" s="24" t="inlineStr">
        <is>
          <t>0.911990788525375</t>
        </is>
      </c>
      <c r="Z179" s="24" t="inlineStr">
        <is>
          <t>HIGH</t>
        </is>
      </c>
      <c r="AA179" s="24" t="inlineStr">
        <is>
          <t>HIGH</t>
        </is>
      </c>
      <c r="AB179" s="24" t="inlineStr">
        <is>
          <t>0.012946139293246964</t>
        </is>
      </c>
      <c r="AC179" s="24" t="inlineStr">
        <is>
          <t>False</t>
        </is>
      </c>
      <c r="AD179" s="24" t="inlineStr">
        <is>
          <t>False</t>
        </is>
      </c>
      <c r="AE179" s="24" t="inlineStr">
        <is>
          <t>valuation_credit_ml_overlay_candidate.csv</t>
        </is>
      </c>
      <c r="AF179" s="24" t="inlineStr">
        <is>
          <t>208개 반도체 reference universe. Valuation Agent가 자체 intake 폴더로 복제해 Peer/ML/대시보드 비교에 사용.</t>
        </is>
      </c>
    </row>
    <row r="180" ht="24" customHeight="1">
      <c r="A180" s="29" t="inlineStr">
        <is>
          <t>106</t>
        </is>
      </c>
      <c r="B180" s="29" t="inlineStr">
        <is>
          <t>해당 없음</t>
        </is>
      </c>
      <c r="C180" s="29" t="inlineStr">
        <is>
          <t>유진테크</t>
        </is>
      </c>
      <c r="D180" s="29" t="inlineStr">
        <is>
          <t>084370</t>
        </is>
      </c>
      <c r="E180" s="29" t="inlineStr">
        <is>
          <t>KOSDAQ</t>
        </is>
      </c>
      <c r="F180" s="29" t="inlineStr">
        <is>
          <t>장비</t>
        </is>
      </c>
      <c r="G180" s="29" t="inlineStr">
        <is>
          <t>장비</t>
        </is>
      </c>
      <c r="H180" s="29" t="inlineStr">
        <is>
          <t>False</t>
        </is>
      </c>
      <c r="I180" s="29" t="inlineStr">
        <is>
          <t>True</t>
        </is>
      </c>
      <c r="J180" s="29" t="inlineStr">
        <is>
          <t>OK</t>
        </is>
      </c>
      <c r="K180" s="29" t="inlineStr">
        <is>
          <t>데이터 사용 가능</t>
        </is>
      </c>
      <c r="L180" s="29" t="inlineStr">
        <is>
          <t>LOW</t>
        </is>
      </c>
      <c r="M180" s="29" t="inlineStr">
        <is>
          <t>LOW</t>
        </is>
      </c>
      <c r="N180" s="29" t="inlineStr">
        <is>
          <t>0.4335999999999999</t>
        </is>
      </c>
      <c r="O180" s="29" t="inlineStr">
        <is>
          <t>FAIR</t>
        </is>
      </c>
      <c r="P180" s="29" t="inlineStr">
        <is>
          <t>FAIR</t>
        </is>
      </c>
      <c r="Q180" s="29" t="inlineStr">
        <is>
          <t>FAIR</t>
        </is>
      </c>
      <c r="R180" s="29" t="inlineStr">
        <is>
          <t>0.7415227894291446</t>
        </is>
      </c>
      <c r="S180" s="29" t="inlineStr">
        <is>
          <t>HIGH</t>
        </is>
      </c>
      <c r="T180" s="29" t="inlineStr">
        <is>
          <t>HIGH</t>
        </is>
      </c>
      <c r="U180" s="29" t="inlineStr">
        <is>
          <t>0.0</t>
        </is>
      </c>
      <c r="V180" s="29" t="inlineStr">
        <is>
          <t>LOW_RISK</t>
        </is>
      </c>
      <c r="W180" s="29" t="inlineStr">
        <is>
          <t>저위험</t>
        </is>
      </c>
      <c r="X180" s="29" t="inlineStr">
        <is>
          <t>LOW_RISK</t>
        </is>
      </c>
      <c r="Y180" s="29" t="inlineStr">
        <is>
          <t>0.972105078189685</t>
        </is>
      </c>
      <c r="Z180" s="29" t="inlineStr">
        <is>
          <t>HIGH</t>
        </is>
      </c>
      <c r="AA180" s="29" t="inlineStr">
        <is>
          <t>HIGH</t>
        </is>
      </c>
      <c r="AB180" s="29" t="inlineStr">
        <is>
          <t>0.06698695126425369</t>
        </is>
      </c>
      <c r="AC180" s="29" t="inlineStr">
        <is>
          <t>False</t>
        </is>
      </c>
      <c r="AD180" s="29" t="inlineStr">
        <is>
          <t>False</t>
        </is>
      </c>
      <c r="AE180" s="29" t="inlineStr">
        <is>
          <t>valuation_credit_ml_overlay_candidate.csv</t>
        </is>
      </c>
      <c r="AF180" s="29" t="inlineStr">
        <is>
          <t>208개 반도체 reference universe. Valuation Agent가 자체 intake 폴더로 복제해 Peer/ML/대시보드 비교에 사용.</t>
        </is>
      </c>
    </row>
    <row r="181" ht="24" customHeight="1">
      <c r="A181" s="24" t="inlineStr">
        <is>
          <t>109</t>
        </is>
      </c>
      <c r="B181" s="24" t="inlineStr">
        <is>
          <t>해당 없음</t>
        </is>
      </c>
      <c r="C181" s="24" t="inlineStr">
        <is>
          <t>제우스</t>
        </is>
      </c>
      <c r="D181" s="24" t="inlineStr">
        <is>
          <t>079370</t>
        </is>
      </c>
      <c r="E181" s="24" t="inlineStr">
        <is>
          <t>KOSDAQ</t>
        </is>
      </c>
      <c r="F181" s="24" t="inlineStr">
        <is>
          <t>장비</t>
        </is>
      </c>
      <c r="G181" s="24" t="inlineStr">
        <is>
          <t>장비</t>
        </is>
      </c>
      <c r="H181" s="24" t="inlineStr">
        <is>
          <t>False</t>
        </is>
      </c>
      <c r="I181" s="24" t="inlineStr">
        <is>
          <t>True</t>
        </is>
      </c>
      <c r="J181" s="24" t="inlineStr">
        <is>
          <t>OK</t>
        </is>
      </c>
      <c r="K181" s="24" t="inlineStr">
        <is>
          <t>데이터 사용 가능</t>
        </is>
      </c>
      <c r="L181" s="24" t="inlineStr">
        <is>
          <t>LOW</t>
        </is>
      </c>
      <c r="M181" s="24" t="inlineStr">
        <is>
          <t>LOW</t>
        </is>
      </c>
      <c r="N181" s="24" t="inlineStr">
        <is>
          <t>0.4258666666666666</t>
        </is>
      </c>
      <c r="O181" s="24" t="inlineStr">
        <is>
          <t>FAIR</t>
        </is>
      </c>
      <c r="P181" s="24" t="inlineStr">
        <is>
          <t>FAIR</t>
        </is>
      </c>
      <c r="Q181" s="24" t="inlineStr">
        <is>
          <t>FAIR</t>
        </is>
      </c>
      <c r="R181" s="24" t="inlineStr">
        <is>
          <t>0.7744454918412472</t>
        </is>
      </c>
      <c r="S181" s="24" t="inlineStr">
        <is>
          <t>HIGH</t>
        </is>
      </c>
      <c r="T181" s="24" t="inlineStr">
        <is>
          <t>HIGH</t>
        </is>
      </c>
      <c r="U181" s="24" t="inlineStr">
        <is>
          <t>0.2142857142857142</t>
        </is>
      </c>
      <c r="V181" s="24" t="inlineStr">
        <is>
          <t>MEDIUM_RISK</t>
        </is>
      </c>
      <c r="W181" s="24" t="inlineStr">
        <is>
          <t>중위험</t>
        </is>
      </c>
      <c r="X181" s="24" t="inlineStr">
        <is>
          <t>MEDIUM_RISK</t>
        </is>
      </c>
      <c r="Y181" s="24" t="inlineStr">
        <is>
          <t>0.7526716293270965</t>
        </is>
      </c>
      <c r="Z181" s="24" t="inlineStr">
        <is>
          <t>HIGH</t>
        </is>
      </c>
      <c r="AA181" s="24" t="inlineStr">
        <is>
          <t>HIGH</t>
        </is>
      </c>
      <c r="AB181" s="24" t="inlineStr">
        <is>
          <t>0.011543006177035572</t>
        </is>
      </c>
      <c r="AC181" s="24" t="inlineStr">
        <is>
          <t>False</t>
        </is>
      </c>
      <c r="AD181" s="24" t="inlineStr">
        <is>
          <t>False</t>
        </is>
      </c>
      <c r="AE181" s="24" t="inlineStr">
        <is>
          <t>valuation_credit_ml_overlay_candidate.csv</t>
        </is>
      </c>
      <c r="AF181" s="24" t="inlineStr">
        <is>
          <t>208개 반도체 reference universe. Valuation Agent가 자체 intake 폴더로 복제해 Peer/ML/대시보드 비교에 사용.</t>
        </is>
      </c>
    </row>
    <row r="182" ht="24" customHeight="1">
      <c r="A182" s="29" t="inlineStr">
        <is>
          <t>83</t>
        </is>
      </c>
      <c r="B182" s="29" t="inlineStr">
        <is>
          <t>해당 없음</t>
        </is>
      </c>
      <c r="C182" s="29" t="inlineStr">
        <is>
          <t>램테크놀러지</t>
        </is>
      </c>
      <c r="D182" s="29" t="inlineStr">
        <is>
          <t>171010</t>
        </is>
      </c>
      <c r="E182" s="29" t="inlineStr">
        <is>
          <t>KOSDAQ</t>
        </is>
      </c>
      <c r="F182" s="29" t="inlineStr">
        <is>
          <t>장비</t>
        </is>
      </c>
      <c r="G182" s="29" t="inlineStr">
        <is>
          <t>장비</t>
        </is>
      </c>
      <c r="H182" s="29" t="inlineStr">
        <is>
          <t>False</t>
        </is>
      </c>
      <c r="I182" s="29" t="inlineStr">
        <is>
          <t>True</t>
        </is>
      </c>
      <c r="J182" s="29" t="inlineStr">
        <is>
          <t>OK</t>
        </is>
      </c>
      <c r="K182" s="29" t="inlineStr">
        <is>
          <t>데이터 사용 가능</t>
        </is>
      </c>
      <c r="L182" s="29" t="inlineStr">
        <is>
          <t>LOW</t>
        </is>
      </c>
      <c r="M182" s="29" t="inlineStr">
        <is>
          <t>LOW</t>
        </is>
      </c>
      <c r="N182" s="29" t="inlineStr">
        <is>
          <t>0.4097333333333334</t>
        </is>
      </c>
      <c r="O182" s="29" t="inlineStr">
        <is>
          <t>EXPENSIVE</t>
        </is>
      </c>
      <c r="P182" s="29" t="inlineStr">
        <is>
          <t>EXPENSIVE</t>
        </is>
      </c>
      <c r="Q182" s="29" t="inlineStr">
        <is>
          <t>FAIR</t>
        </is>
      </c>
      <c r="R182" s="29" t="inlineStr">
        <is>
          <t>0.500591784236833</t>
        </is>
      </c>
      <c r="S182" s="29" t="inlineStr">
        <is>
          <t>MEDIUM</t>
        </is>
      </c>
      <c r="T182" s="29" t="inlineStr">
        <is>
          <t>MEDIUM</t>
        </is>
      </c>
      <c r="U182" s="29" t="inlineStr">
        <is>
          <t>0.6428571428571429</t>
        </is>
      </c>
      <c r="V182" s="29" t="inlineStr">
        <is>
          <t>HIGH_RISK</t>
        </is>
      </c>
      <c r="W182" s="29" t="inlineStr">
        <is>
          <t>고위험</t>
        </is>
      </c>
      <c r="X182" s="29" t="inlineStr">
        <is>
          <t>HIGH_RISK</t>
        </is>
      </c>
      <c r="Y182" s="29" t="inlineStr">
        <is>
          <t>0.7085071659992903</t>
        </is>
      </c>
      <c r="Z182" s="29" t="inlineStr">
        <is>
          <t>HIGH</t>
        </is>
      </c>
      <c r="AA182" s="29" t="inlineStr">
        <is>
          <t>HIGH</t>
        </is>
      </c>
      <c r="AB182" s="29" t="inlineStr">
        <is>
          <t>0.08748635209855961</t>
        </is>
      </c>
      <c r="AC182" s="29" t="inlineStr">
        <is>
          <t>False</t>
        </is>
      </c>
      <c r="AD182" s="29" t="inlineStr">
        <is>
          <t>False</t>
        </is>
      </c>
      <c r="AE182" s="29" t="inlineStr">
        <is>
          <t>valuation_credit_ml_overlay_candidate.csv</t>
        </is>
      </c>
      <c r="AF182" s="29" t="inlineStr">
        <is>
          <t>208개 반도체 reference universe. Valuation Agent가 자체 intake 폴더로 복제해 Peer/ML/대시보드 비교에 사용.</t>
        </is>
      </c>
    </row>
    <row r="183" ht="24" customHeight="1">
      <c r="A183" s="24" t="inlineStr">
        <is>
          <t>108</t>
        </is>
      </c>
      <c r="B183" s="24" t="inlineStr">
        <is>
          <t>해당 없음</t>
        </is>
      </c>
      <c r="C183" s="24" t="inlineStr">
        <is>
          <t>저스템</t>
        </is>
      </c>
      <c r="D183" s="24" t="inlineStr">
        <is>
          <t>417840</t>
        </is>
      </c>
      <c r="E183" s="24" t="inlineStr">
        <is>
          <t>KOSDAQ</t>
        </is>
      </c>
      <c r="F183" s="24" t="inlineStr">
        <is>
          <t>장비</t>
        </is>
      </c>
      <c r="G183" s="24" t="inlineStr">
        <is>
          <t>장비</t>
        </is>
      </c>
      <c r="H183" s="24" t="inlineStr">
        <is>
          <t>False</t>
        </is>
      </c>
      <c r="I183" s="24" t="inlineStr">
        <is>
          <t>True</t>
        </is>
      </c>
      <c r="J183" s="24" t="inlineStr">
        <is>
          <t>OK</t>
        </is>
      </c>
      <c r="K183" s="24" t="inlineStr">
        <is>
          <t>데이터 사용 가능</t>
        </is>
      </c>
      <c r="L183" s="24" t="inlineStr">
        <is>
          <t>LOW</t>
        </is>
      </c>
      <c r="M183" s="24" t="inlineStr">
        <is>
          <t>LOW</t>
        </is>
      </c>
      <c r="N183" s="24" t="inlineStr">
        <is>
          <t>0.4036</t>
        </is>
      </c>
      <c r="O183" s="24" t="inlineStr">
        <is>
          <t>EXPENSIVE</t>
        </is>
      </c>
      <c r="P183" s="24" t="inlineStr">
        <is>
          <t>EXPENSIVE</t>
        </is>
      </c>
      <c r="Q183" s="24" t="inlineStr">
        <is>
          <t>EXPENSIVE</t>
        </is>
      </c>
      <c r="R183" s="24" t="inlineStr">
        <is>
          <t>0.7213257522774291</t>
        </is>
      </c>
      <c r="S183" s="24" t="inlineStr">
        <is>
          <t>HIGH</t>
        </is>
      </c>
      <c r="T183" s="24" t="inlineStr">
        <is>
          <t>HIGH</t>
        </is>
      </c>
      <c r="U183" s="24" t="inlineStr">
        <is>
          <t>0.2857142857142857</t>
        </is>
      </c>
      <c r="V183" s="24" t="inlineStr">
        <is>
          <t>MEDIUM_RISK</t>
        </is>
      </c>
      <c r="W183" s="24" t="inlineStr">
        <is>
          <t>중위험</t>
        </is>
      </c>
      <c r="X183" s="24" t="inlineStr">
        <is>
          <t>MEDIUM_RISK</t>
        </is>
      </c>
      <c r="Y183" s="24" t="inlineStr">
        <is>
          <t>0.6200895030304687</t>
        </is>
      </c>
      <c r="Z183" s="24" t="inlineStr">
        <is>
          <t>MEDIUM</t>
        </is>
      </c>
      <c r="AA183" s="24" t="inlineStr">
        <is>
          <t>MEDIUM</t>
        </is>
      </c>
      <c r="AB183" s="24" t="inlineStr">
        <is>
          <t>0.06530461326030516</t>
        </is>
      </c>
      <c r="AC183" s="24" t="inlineStr">
        <is>
          <t>False</t>
        </is>
      </c>
      <c r="AD183" s="24" t="inlineStr">
        <is>
          <t>False</t>
        </is>
      </c>
      <c r="AE183" s="24" t="inlineStr">
        <is>
          <t>valuation_credit_ml_overlay_candidate.csv</t>
        </is>
      </c>
      <c r="AF183" s="24" t="inlineStr">
        <is>
          <t>208개 반도체 reference universe. Valuation Agent가 자체 intake 폴더로 복제해 Peer/ML/대시보드 비교에 사용.</t>
        </is>
      </c>
    </row>
    <row r="184" ht="24" customHeight="1">
      <c r="A184" s="29" t="inlineStr">
        <is>
          <t>111</t>
        </is>
      </c>
      <c r="B184" s="29" t="inlineStr">
        <is>
          <t>해당 없음</t>
        </is>
      </c>
      <c r="C184" s="29" t="inlineStr">
        <is>
          <t>지아이에스</t>
        </is>
      </c>
      <c r="D184" s="29" t="inlineStr">
        <is>
          <t>306620</t>
        </is>
      </c>
      <c r="E184" s="29" t="inlineStr">
        <is>
          <t>KOSDAQ</t>
        </is>
      </c>
      <c r="F184" s="29" t="inlineStr">
        <is>
          <t>장비</t>
        </is>
      </c>
      <c r="G184" s="29" t="inlineStr">
        <is>
          <t>장비</t>
        </is>
      </c>
      <c r="H184" s="29" t="inlineStr">
        <is>
          <t>False</t>
        </is>
      </c>
      <c r="I184" s="29" t="inlineStr">
        <is>
          <t>True</t>
        </is>
      </c>
      <c r="J184" s="29" t="inlineStr">
        <is>
          <t>OK</t>
        </is>
      </c>
      <c r="K184" s="29" t="inlineStr">
        <is>
          <t>데이터 사용 가능</t>
        </is>
      </c>
      <c r="L184" s="29" t="inlineStr">
        <is>
          <t>LOW</t>
        </is>
      </c>
      <c r="M184" s="29" t="inlineStr">
        <is>
          <t>LOW</t>
        </is>
      </c>
      <c r="N184" s="29" t="inlineStr">
        <is>
          <t>0.4014666666666666</t>
        </is>
      </c>
      <c r="O184" s="29" t="inlineStr">
        <is>
          <t>EXPENSIVE</t>
        </is>
      </c>
      <c r="P184" s="29" t="inlineStr">
        <is>
          <t>EXPENSIVE</t>
        </is>
      </c>
      <c r="Q184" s="29" t="inlineStr">
        <is>
          <t>EXPENSIVE</t>
        </is>
      </c>
      <c r="R184" s="29" t="inlineStr">
        <is>
          <t>0.745903271306321</t>
        </is>
      </c>
      <c r="S184" s="29" t="inlineStr">
        <is>
          <t>HIGH</t>
        </is>
      </c>
      <c r="T184" s="29" t="inlineStr">
        <is>
          <t>HIGH</t>
        </is>
      </c>
      <c r="U184" s="29" t="inlineStr">
        <is>
          <t>0.5714285714285714</t>
        </is>
      </c>
      <c r="V184" s="29" t="inlineStr">
        <is>
          <t>HIGH_RISK</t>
        </is>
      </c>
      <c r="W184" s="29" t="inlineStr">
        <is>
          <t>고위험</t>
        </is>
      </c>
      <c r="X184" s="29" t="inlineStr">
        <is>
          <t>HIGH_RISK</t>
        </is>
      </c>
      <c r="Y184" s="29" t="inlineStr">
        <is>
          <t>0.7985810664806972</t>
        </is>
      </c>
      <c r="Z184" s="29" t="inlineStr">
        <is>
          <t>HIGH</t>
        </is>
      </c>
      <c r="AA184" s="29" t="inlineStr">
        <is>
          <t>HIGH</t>
        </is>
      </c>
      <c r="AB184" s="29" t="inlineStr">
        <is>
          <t>0.10027107402555603</t>
        </is>
      </c>
      <c r="AC184" s="29" t="inlineStr">
        <is>
          <t>False</t>
        </is>
      </c>
      <c r="AD184" s="29" t="inlineStr">
        <is>
          <t>False</t>
        </is>
      </c>
      <c r="AE184" s="29" t="inlineStr">
        <is>
          <t>valuation_credit_ml_overlay_candidate.csv</t>
        </is>
      </c>
      <c r="AF184" s="29" t="inlineStr">
        <is>
          <t>208개 반도체 reference universe. Valuation Agent가 자체 intake 폴더로 복제해 Peer/ML/대시보드 비교에 사용.</t>
        </is>
      </c>
    </row>
    <row r="185" ht="24" customHeight="1">
      <c r="A185" s="24" t="inlineStr">
        <is>
          <t>98</t>
        </is>
      </c>
      <c r="B185" s="24" t="inlineStr">
        <is>
          <t>해당 없음</t>
        </is>
      </c>
      <c r="C185" s="24" t="inlineStr">
        <is>
          <t>에프에스티</t>
        </is>
      </c>
      <c r="D185" s="24" t="inlineStr">
        <is>
          <t>036810</t>
        </is>
      </c>
      <c r="E185" s="24" t="inlineStr">
        <is>
          <t>KOSDAQ</t>
        </is>
      </c>
      <c r="F185" s="24" t="inlineStr">
        <is>
          <t>장비</t>
        </is>
      </c>
      <c r="G185" s="24" t="inlineStr">
        <is>
          <t>장비</t>
        </is>
      </c>
      <c r="H185" s="24" t="inlineStr">
        <is>
          <t>False</t>
        </is>
      </c>
      <c r="I185" s="24" t="inlineStr">
        <is>
          <t>True</t>
        </is>
      </c>
      <c r="J185" s="24" t="inlineStr">
        <is>
          <t>OK</t>
        </is>
      </c>
      <c r="K185" s="24" t="inlineStr">
        <is>
          <t>데이터 사용 가능</t>
        </is>
      </c>
      <c r="L185" s="24" t="inlineStr">
        <is>
          <t>LOW</t>
        </is>
      </c>
      <c r="M185" s="24" t="inlineStr">
        <is>
          <t>LOW</t>
        </is>
      </c>
      <c r="N185" s="24" t="inlineStr">
        <is>
          <t>0.3826666666666666</t>
        </is>
      </c>
      <c r="O185" s="24" t="inlineStr">
        <is>
          <t>EXPENSIVE</t>
        </is>
      </c>
      <c r="P185" s="24" t="inlineStr">
        <is>
          <t>EXPENSIVE</t>
        </is>
      </c>
      <c r="Q185" s="24" t="inlineStr">
        <is>
          <t>EXPENSIVE</t>
        </is>
      </c>
      <c r="R185" s="24" t="inlineStr">
        <is>
          <t>0.8925631629286743</t>
        </is>
      </c>
      <c r="S185" s="24" t="inlineStr">
        <is>
          <t>HIGH</t>
        </is>
      </c>
      <c r="T185" s="24" t="inlineStr">
        <is>
          <t>HIGH</t>
        </is>
      </c>
      <c r="U185" s="24" t="inlineStr">
        <is>
          <t>0.5</t>
        </is>
      </c>
      <c r="V185" s="24" t="inlineStr">
        <is>
          <t>HIGH_RISK</t>
        </is>
      </c>
      <c r="W185" s="24" t="inlineStr">
        <is>
          <t>고위험</t>
        </is>
      </c>
      <c r="X185" s="24" t="inlineStr">
        <is>
          <t>HIGH_RISK</t>
        </is>
      </c>
      <c r="Y185" s="24" t="inlineStr">
        <is>
          <t>0.6842794288306946</t>
        </is>
      </c>
      <c r="Z185" s="24" t="inlineStr">
        <is>
          <t>MEDIUM</t>
        </is>
      </c>
      <c r="AA185" s="24" t="inlineStr">
        <is>
          <t>MEDIUM</t>
        </is>
      </c>
      <c r="AB185" s="24" t="inlineStr">
        <is>
          <t>0.03870825972114044</t>
        </is>
      </c>
      <c r="AC185" s="24" t="inlineStr">
        <is>
          <t>False</t>
        </is>
      </c>
      <c r="AD185" s="24" t="inlineStr">
        <is>
          <t>False</t>
        </is>
      </c>
      <c r="AE185" s="24" t="inlineStr">
        <is>
          <t>valuation_credit_ml_overlay_candidate.csv</t>
        </is>
      </c>
      <c r="AF185" s="24" t="inlineStr">
        <is>
          <t>208개 반도체 reference universe. Valuation Agent가 자체 intake 폴더로 복제해 Peer/ML/대시보드 비교에 사용.</t>
        </is>
      </c>
    </row>
    <row r="186" ht="24" customHeight="1">
      <c r="A186" s="29" t="inlineStr">
        <is>
          <t>78</t>
        </is>
      </c>
      <c r="B186" s="29" t="inlineStr">
        <is>
          <t>해당 없음</t>
        </is>
      </c>
      <c r="C186" s="29" t="inlineStr">
        <is>
          <t>나노신소재</t>
        </is>
      </c>
      <c r="D186" s="29" t="inlineStr">
        <is>
          <t>121600</t>
        </is>
      </c>
      <c r="E186" s="29" t="inlineStr">
        <is>
          <t>KOSDAQ</t>
        </is>
      </c>
      <c r="F186" s="29" t="inlineStr">
        <is>
          <t>장비</t>
        </is>
      </c>
      <c r="G186" s="29" t="inlineStr">
        <is>
          <t>장비</t>
        </is>
      </c>
      <c r="H186" s="29" t="inlineStr">
        <is>
          <t>False</t>
        </is>
      </c>
      <c r="I186" s="29" t="inlineStr">
        <is>
          <t>True</t>
        </is>
      </c>
      <c r="J186" s="29" t="inlineStr">
        <is>
          <t>OK</t>
        </is>
      </c>
      <c r="K186" s="29" t="inlineStr">
        <is>
          <t>데이터 사용 가능</t>
        </is>
      </c>
      <c r="L186" s="29" t="inlineStr">
        <is>
          <t>LOW</t>
        </is>
      </c>
      <c r="M186" s="29" t="inlineStr">
        <is>
          <t>LOW</t>
        </is>
      </c>
      <c r="N186" s="29" t="inlineStr">
        <is>
          <t>0.3822666666666666</t>
        </is>
      </c>
      <c r="O186" s="29" t="inlineStr">
        <is>
          <t>EXPENSIVE</t>
        </is>
      </c>
      <c r="P186" s="29" t="inlineStr">
        <is>
          <t>EXPENSIVE</t>
        </is>
      </c>
      <c r="Q186" s="29" t="inlineStr">
        <is>
          <t>EXPENSIVE</t>
        </is>
      </c>
      <c r="R186" s="29" t="inlineStr">
        <is>
          <t>0.7555342246021253</t>
        </is>
      </c>
      <c r="S186" s="29" t="inlineStr">
        <is>
          <t>HIGH</t>
        </is>
      </c>
      <c r="T186" s="29" t="inlineStr">
        <is>
          <t>HIGH</t>
        </is>
      </c>
      <c r="U186" s="29" t="inlineStr">
        <is>
          <t>0.0</t>
        </is>
      </c>
      <c r="V186" s="29" t="inlineStr">
        <is>
          <t>LOW_RISK</t>
        </is>
      </c>
      <c r="W186" s="29" t="inlineStr">
        <is>
          <t>저위험</t>
        </is>
      </c>
      <c r="X186" s="29" t="inlineStr">
        <is>
          <t>LOW_RISK</t>
        </is>
      </c>
      <c r="Y186" s="29" t="inlineStr">
        <is>
          <t>0.6225133085657061</t>
        </is>
      </c>
      <c r="Z186" s="29" t="inlineStr">
        <is>
          <t>MEDIUM</t>
        </is>
      </c>
      <c r="AA186" s="29" t="inlineStr">
        <is>
          <t>MEDIUM</t>
        </is>
      </c>
      <c r="AB186" s="29" t="inlineStr">
        <is>
          <t>0.006422827813209868</t>
        </is>
      </c>
      <c r="AC186" s="29" t="inlineStr">
        <is>
          <t>False</t>
        </is>
      </c>
      <c r="AD186" s="29" t="inlineStr">
        <is>
          <t>False</t>
        </is>
      </c>
      <c r="AE186" s="29" t="inlineStr">
        <is>
          <t>valuation_credit_ml_overlay_candidate.csv</t>
        </is>
      </c>
      <c r="AF186" s="29" t="inlineStr">
        <is>
          <t>208개 반도체 reference universe. Valuation Agent가 자체 intake 폴더로 복제해 Peer/ML/대시보드 비교에 사용.</t>
        </is>
      </c>
    </row>
    <row r="187" ht="24" customHeight="1">
      <c r="A187" s="24" t="inlineStr">
        <is>
          <t>93</t>
        </is>
      </c>
      <c r="B187" s="24" t="inlineStr">
        <is>
          <t>해당 없음</t>
        </is>
      </c>
      <c r="C187" s="24" t="inlineStr">
        <is>
          <t>씨엠티엑스</t>
        </is>
      </c>
      <c r="D187" s="24" t="inlineStr">
        <is>
          <t>388210</t>
        </is>
      </c>
      <c r="E187" s="24" t="inlineStr">
        <is>
          <t>KOSDAQ</t>
        </is>
      </c>
      <c r="F187" s="24" t="inlineStr">
        <is>
          <t>장비</t>
        </is>
      </c>
      <c r="G187" s="24" t="inlineStr">
        <is>
          <t>장비</t>
        </is>
      </c>
      <c r="H187" s="24" t="inlineStr">
        <is>
          <t>False</t>
        </is>
      </c>
      <c r="I187" s="24" t="inlineStr">
        <is>
          <t>True</t>
        </is>
      </c>
      <c r="J187" s="24" t="inlineStr">
        <is>
          <t>OK_LIMITED_HISTORY_OR_GROWTH_NA</t>
        </is>
      </c>
      <c r="K187" s="24" t="inlineStr">
        <is>
          <t>데이터 사용 가능</t>
        </is>
      </c>
      <c r="L187" s="24" t="inlineStr">
        <is>
          <t>LOW</t>
        </is>
      </c>
      <c r="M187" s="24" t="inlineStr">
        <is>
          <t>LOW</t>
        </is>
      </c>
      <c r="N187" s="24" t="inlineStr">
        <is>
          <t>0.3652666666666667</t>
        </is>
      </c>
      <c r="O187" s="24" t="inlineStr">
        <is>
          <t>EXPENSIVE</t>
        </is>
      </c>
      <c r="P187" s="24" t="inlineStr">
        <is>
          <t>EXPENSIVE</t>
        </is>
      </c>
      <c r="Q187" s="24" t="inlineStr">
        <is>
          <t>EXPENSIVE</t>
        </is>
      </c>
      <c r="R187" s="24" t="inlineStr">
        <is>
          <t>0.7157707609420977</t>
        </is>
      </c>
      <c r="S187" s="24" t="inlineStr">
        <is>
          <t>HIGH</t>
        </is>
      </c>
      <c r="T187" s="24" t="inlineStr">
        <is>
          <t>HIGH</t>
        </is>
      </c>
      <c r="U187" s="24" t="inlineStr">
        <is>
          <t>0.2142857142857142</t>
        </is>
      </c>
      <c r="V187" s="24" t="inlineStr">
        <is>
          <t>MEDIUM_RISK</t>
        </is>
      </c>
      <c r="W187" s="24" t="inlineStr">
        <is>
          <t>중위험</t>
        </is>
      </c>
      <c r="X187" s="24" t="inlineStr">
        <is>
          <t>MEDIUM_RISK</t>
        </is>
      </c>
      <c r="Y187" s="24" t="inlineStr">
        <is>
          <t>0.6836967884951827</t>
        </is>
      </c>
      <c r="Z187" s="24" t="inlineStr">
        <is>
          <t>MEDIUM</t>
        </is>
      </c>
      <c r="AA187" s="24" t="inlineStr">
        <is>
          <t>MEDIUM</t>
        </is>
      </c>
      <c r="AB187" s="24" t="inlineStr">
        <is>
          <t>0.10495929656754996</t>
        </is>
      </c>
      <c r="AC187" s="24" t="inlineStr">
        <is>
          <t>False</t>
        </is>
      </c>
      <c r="AD187" s="24" t="inlineStr">
        <is>
          <t>True</t>
        </is>
      </c>
      <c r="AE187" s="24" t="inlineStr">
        <is>
          <t>valuation_credit_ml_overlay_candidate.csv</t>
        </is>
      </c>
      <c r="AF187" s="24" t="inlineStr">
        <is>
          <t>208개 반도체 reference universe. Valuation Agent가 자체 intake 폴더로 복제해 Peer/ML/대시보드 비교에 사용.</t>
        </is>
      </c>
    </row>
    <row r="188" ht="24" customHeight="1">
      <c r="A188" s="29" t="inlineStr">
        <is>
          <t>94</t>
        </is>
      </c>
      <c r="B188" s="29" t="inlineStr">
        <is>
          <t>해당 없음</t>
        </is>
      </c>
      <c r="C188" s="29" t="inlineStr">
        <is>
          <t>아스플로</t>
        </is>
      </c>
      <c r="D188" s="29" t="inlineStr">
        <is>
          <t>159010</t>
        </is>
      </c>
      <c r="E188" s="29" t="inlineStr">
        <is>
          <t>KOSDAQ</t>
        </is>
      </c>
      <c r="F188" s="29" t="inlineStr">
        <is>
          <t>장비</t>
        </is>
      </c>
      <c r="G188" s="29" t="inlineStr">
        <is>
          <t>장비</t>
        </is>
      </c>
      <c r="H188" s="29" t="inlineStr">
        <is>
          <t>False</t>
        </is>
      </c>
      <c r="I188" s="29" t="inlineStr">
        <is>
          <t>True</t>
        </is>
      </c>
      <c r="J188" s="29" t="inlineStr">
        <is>
          <t>OK</t>
        </is>
      </c>
      <c r="K188" s="29" t="inlineStr">
        <is>
          <t>데이터 사용 가능</t>
        </is>
      </c>
      <c r="L188" s="29" t="inlineStr">
        <is>
          <t>LOW</t>
        </is>
      </c>
      <c r="M188" s="29" t="inlineStr">
        <is>
          <t>LOW</t>
        </is>
      </c>
      <c r="N188" s="29" t="inlineStr">
        <is>
          <t>0.3025333333333333</t>
        </is>
      </c>
      <c r="O188" s="29" t="inlineStr">
        <is>
          <t>EXPENSIVE</t>
        </is>
      </c>
      <c r="P188" s="29" t="inlineStr">
        <is>
          <t>EXPENSIVE</t>
        </is>
      </c>
      <c r="Q188" s="29" t="inlineStr">
        <is>
          <t>EXPENSIVE</t>
        </is>
      </c>
      <c r="R188" s="29" t="inlineStr">
        <is>
          <t>0.8970141905473263</t>
        </is>
      </c>
      <c r="S188" s="29" t="inlineStr">
        <is>
          <t>HIGH</t>
        </is>
      </c>
      <c r="T188" s="29" t="inlineStr">
        <is>
          <t>HIGH</t>
        </is>
      </c>
      <c r="U188" s="29" t="inlineStr">
        <is>
          <t>0.5714285714285714</t>
        </is>
      </c>
      <c r="V188" s="29" t="inlineStr">
        <is>
          <t>HIGH_RISK</t>
        </is>
      </c>
      <c r="W188" s="29" t="inlineStr">
        <is>
          <t>고위험</t>
        </is>
      </c>
      <c r="X188" s="29" t="inlineStr">
        <is>
          <t>HIGH_RISK</t>
        </is>
      </c>
      <c r="Y188" s="29" t="inlineStr">
        <is>
          <t>0.9808254047374049</t>
        </is>
      </c>
      <c r="Z188" s="29" t="inlineStr">
        <is>
          <t>HIGH</t>
        </is>
      </c>
      <c r="AA188" s="29" t="inlineStr">
        <is>
          <t>HIGH</t>
        </is>
      </c>
      <c r="AB188" s="29" t="inlineStr">
        <is>
          <t>0.04621877213272216</t>
        </is>
      </c>
      <c r="AC188" s="29" t="inlineStr">
        <is>
          <t>False</t>
        </is>
      </c>
      <c r="AD188" s="29" t="inlineStr">
        <is>
          <t>False</t>
        </is>
      </c>
      <c r="AE188" s="29" t="inlineStr">
        <is>
          <t>valuation_credit_ml_overlay_candidate.csv</t>
        </is>
      </c>
      <c r="AF188" s="29" t="inlineStr">
        <is>
          <t>208개 반도체 reference universe. Valuation Agent가 자체 intake 폴더로 복제해 Peer/ML/대시보드 비교에 사용.</t>
        </is>
      </c>
    </row>
    <row r="189" ht="24" customHeight="1">
      <c r="A189" s="24" t="inlineStr">
        <is>
          <t>101</t>
        </is>
      </c>
      <c r="B189" s="24" t="inlineStr">
        <is>
          <t>해당 없음</t>
        </is>
      </c>
      <c r="C189" s="24" t="inlineStr">
        <is>
          <t>오로스테크놀로지</t>
        </is>
      </c>
      <c r="D189" s="24" t="inlineStr">
        <is>
          <t>322310</t>
        </is>
      </c>
      <c r="E189" s="24" t="inlineStr">
        <is>
          <t>KOSDAQ</t>
        </is>
      </c>
      <c r="F189" s="24" t="inlineStr">
        <is>
          <t>장비</t>
        </is>
      </c>
      <c r="G189" s="24" t="inlineStr">
        <is>
          <t>장비</t>
        </is>
      </c>
      <c r="H189" s="24" t="inlineStr">
        <is>
          <t>False</t>
        </is>
      </c>
      <c r="I189" s="24" t="inlineStr">
        <is>
          <t>True</t>
        </is>
      </c>
      <c r="J189" s="24" t="inlineStr">
        <is>
          <t>OK</t>
        </is>
      </c>
      <c r="K189" s="24" t="inlineStr">
        <is>
          <t>데이터 사용 가능</t>
        </is>
      </c>
      <c r="L189" s="24" t="inlineStr">
        <is>
          <t>LOW</t>
        </is>
      </c>
      <c r="M189" s="24" t="inlineStr">
        <is>
          <t>LOW</t>
        </is>
      </c>
      <c r="N189" s="24" t="inlineStr">
        <is>
          <t>0.2969333333333333</t>
        </is>
      </c>
      <c r="O189" s="24" t="inlineStr">
        <is>
          <t>EXPENSIVE</t>
        </is>
      </c>
      <c r="P189" s="24" t="inlineStr">
        <is>
          <t>EXPENSIVE</t>
        </is>
      </c>
      <c r="Q189" s="24" t="inlineStr">
        <is>
          <t>EXPENSIVE</t>
        </is>
      </c>
      <c r="R189" s="24" t="inlineStr">
        <is>
          <t>0.9263479879516093</t>
        </is>
      </c>
      <c r="S189" s="24" t="inlineStr">
        <is>
          <t>HIGH</t>
        </is>
      </c>
      <c r="T189" s="24" t="inlineStr">
        <is>
          <t>HIGH</t>
        </is>
      </c>
      <c r="U189" s="24" t="inlineStr">
        <is>
          <t>0.2857142857142857</t>
        </is>
      </c>
      <c r="V189" s="24" t="inlineStr">
        <is>
          <t>MEDIUM_RISK</t>
        </is>
      </c>
      <c r="W189" s="24" t="inlineStr">
        <is>
          <t>중위험</t>
        </is>
      </c>
      <c r="X189" s="24" t="inlineStr">
        <is>
          <t>HIGH_RISK</t>
        </is>
      </c>
      <c r="Y189" s="24" t="inlineStr">
        <is>
          <t>0.5823799649469713</t>
        </is>
      </c>
      <c r="Z189" s="24" t="inlineStr">
        <is>
          <t>MEDIUM</t>
        </is>
      </c>
      <c r="AA189" s="24" t="inlineStr">
        <is>
          <t>MEDIUM</t>
        </is>
      </c>
      <c r="AB189" s="24" t="inlineStr">
        <is>
          <t>0.025687830037607388</t>
        </is>
      </c>
      <c r="AC189" s="24" t="inlineStr">
        <is>
          <t>False</t>
        </is>
      </c>
      <c r="AD189" s="24" t="inlineStr">
        <is>
          <t>False</t>
        </is>
      </c>
      <c r="AE189" s="24" t="inlineStr">
        <is>
          <t>valuation_credit_ml_overlay_candidate.csv</t>
        </is>
      </c>
      <c r="AF189" s="24" t="inlineStr">
        <is>
          <t>208개 반도체 reference universe. Valuation Agent가 자체 intake 폴더로 복제해 Peer/ML/대시보드 비교에 사용.</t>
        </is>
      </c>
    </row>
    <row r="190" ht="24" customHeight="1">
      <c r="A190" s="29" t="inlineStr">
        <is>
          <t>84</t>
        </is>
      </c>
      <c r="B190" s="29" t="inlineStr">
        <is>
          <t>해당 없음</t>
        </is>
      </c>
      <c r="C190" s="29" t="inlineStr">
        <is>
          <t>러셀</t>
        </is>
      </c>
      <c r="D190" s="29" t="inlineStr">
        <is>
          <t>217500</t>
        </is>
      </c>
      <c r="E190" s="29" t="inlineStr">
        <is>
          <t>KOSDAQ</t>
        </is>
      </c>
      <c r="F190" s="29" t="inlineStr">
        <is>
          <t>장비</t>
        </is>
      </c>
      <c r="G190" s="29" t="inlineStr">
        <is>
          <t>장비</t>
        </is>
      </c>
      <c r="H190" s="29" t="inlineStr">
        <is>
          <t>False</t>
        </is>
      </c>
      <c r="I190" s="29" t="inlineStr">
        <is>
          <t>True</t>
        </is>
      </c>
      <c r="J190" s="29" t="inlineStr">
        <is>
          <t>OK</t>
        </is>
      </c>
      <c r="K190" s="29" t="inlineStr">
        <is>
          <t>데이터 사용 가능</t>
        </is>
      </c>
      <c r="L190" s="29" t="inlineStr">
        <is>
          <t>LOW</t>
        </is>
      </c>
      <c r="M190" s="29" t="inlineStr">
        <is>
          <t>LOW</t>
        </is>
      </c>
      <c r="N190" s="29" t="inlineStr">
        <is>
          <t>0.2889333333333334</t>
        </is>
      </c>
      <c r="O190" s="29" t="inlineStr">
        <is>
          <t>EXPENSIVE</t>
        </is>
      </c>
      <c r="P190" s="29" t="inlineStr">
        <is>
          <t>EXPENSIVE</t>
        </is>
      </c>
      <c r="Q190" s="29" t="inlineStr">
        <is>
          <t>EXPENSIVE</t>
        </is>
      </c>
      <c r="R190" s="29" t="inlineStr">
        <is>
          <t>0.873177337125051</t>
        </is>
      </c>
      <c r="S190" s="29" t="inlineStr">
        <is>
          <t>HIGH</t>
        </is>
      </c>
      <c r="T190" s="29" t="inlineStr">
        <is>
          <t>HIGH</t>
        </is>
      </c>
      <c r="U190" s="29" t="inlineStr">
        <is>
          <t>0.5714285714285714</t>
        </is>
      </c>
      <c r="V190" s="29" t="inlineStr">
        <is>
          <t>HIGH_RISK</t>
        </is>
      </c>
      <c r="W190" s="29" t="inlineStr">
        <is>
          <t>고위험</t>
        </is>
      </c>
      <c r="X190" s="29" t="inlineStr">
        <is>
          <t>HIGH_RISK</t>
        </is>
      </c>
      <c r="Y190" s="29" t="inlineStr">
        <is>
          <t>0.9431199578760465</t>
        </is>
      </c>
      <c r="Z190" s="29" t="inlineStr">
        <is>
          <t>HIGH</t>
        </is>
      </c>
      <c r="AA190" s="29" t="inlineStr">
        <is>
          <t>HIGH</t>
        </is>
      </c>
      <c r="AB190" s="29" t="inlineStr">
        <is>
          <t>0.17682420550247213</t>
        </is>
      </c>
      <c r="AC190" s="29" t="inlineStr">
        <is>
          <t>False</t>
        </is>
      </c>
      <c r="AD190" s="29" t="inlineStr">
        <is>
          <t>False</t>
        </is>
      </c>
      <c r="AE190" s="29" t="inlineStr">
        <is>
          <t>valuation_credit_ml_overlay_candidate.csv</t>
        </is>
      </c>
      <c r="AF190" s="29" t="inlineStr">
        <is>
          <t>208개 반도체 reference universe. Valuation Agent가 자체 intake 폴더로 복제해 Peer/ML/대시보드 비교에 사용.</t>
        </is>
      </c>
    </row>
    <row r="191" ht="24" customHeight="1">
      <c r="A191" s="24" t="inlineStr">
        <is>
          <t>86</t>
        </is>
      </c>
      <c r="B191" s="24" t="inlineStr">
        <is>
          <t>해당 없음</t>
        </is>
      </c>
      <c r="C191" s="24" t="inlineStr">
        <is>
          <t>미래컴퍼니</t>
        </is>
      </c>
      <c r="D191" s="24" t="inlineStr">
        <is>
          <t>049950</t>
        </is>
      </c>
      <c r="E191" s="24" t="inlineStr">
        <is>
          <t>KOSDAQ</t>
        </is>
      </c>
      <c r="F191" s="24" t="inlineStr">
        <is>
          <t>장비</t>
        </is>
      </c>
      <c r="G191" s="24" t="inlineStr">
        <is>
          <t>장비</t>
        </is>
      </c>
      <c r="H191" s="24" t="inlineStr">
        <is>
          <t>False</t>
        </is>
      </c>
      <c r="I191" s="24" t="inlineStr">
        <is>
          <t>True</t>
        </is>
      </c>
      <c r="J191" s="24" t="inlineStr">
        <is>
          <t>OK</t>
        </is>
      </c>
      <c r="K191" s="24" t="inlineStr">
        <is>
          <t>데이터 사용 가능</t>
        </is>
      </c>
      <c r="L191" s="24" t="inlineStr">
        <is>
          <t>LOW</t>
        </is>
      </c>
      <c r="M191" s="24" t="inlineStr">
        <is>
          <t>LOW</t>
        </is>
      </c>
      <c r="N191" s="24" t="inlineStr">
        <is>
          <t>0.2874666666666666</t>
        </is>
      </c>
      <c r="O191" s="24" t="inlineStr">
        <is>
          <t>EXPENSIVE</t>
        </is>
      </c>
      <c r="P191" s="24" t="inlineStr">
        <is>
          <t>EXPENSIVE</t>
        </is>
      </c>
      <c r="Q191" s="24" t="inlineStr">
        <is>
          <t>EXPENSIVE</t>
        </is>
      </c>
      <c r="R191" s="24" t="inlineStr">
        <is>
          <t>0.8354805452058427</t>
        </is>
      </c>
      <c r="S191" s="24" t="inlineStr">
        <is>
          <t>HIGH</t>
        </is>
      </c>
      <c r="T191" s="24" t="inlineStr">
        <is>
          <t>HIGH</t>
        </is>
      </c>
      <c r="U191" s="24" t="inlineStr">
        <is>
          <t>0.4285714285714285</t>
        </is>
      </c>
      <c r="V191" s="24" t="inlineStr">
        <is>
          <t>HIGH_RISK</t>
        </is>
      </c>
      <c r="W191" s="24" t="inlineStr">
        <is>
          <t>고위험</t>
        </is>
      </c>
      <c r="X191" s="24" t="inlineStr">
        <is>
          <t>HIGH_RISK</t>
        </is>
      </c>
      <c r="Y191" s="24" t="inlineStr">
        <is>
          <t>0.8989374267322742</t>
        </is>
      </c>
      <c r="Z191" s="24" t="inlineStr">
        <is>
          <t>HIGH</t>
        </is>
      </c>
      <c r="AA191" s="24" t="inlineStr">
        <is>
          <t>HIGH</t>
        </is>
      </c>
      <c r="AB191" s="24" t="inlineStr">
        <is>
          <t>0.23454395430777328</t>
        </is>
      </c>
      <c r="AC191" s="24" t="inlineStr">
        <is>
          <t>True</t>
        </is>
      </c>
      <c r="AD191" s="24" t="inlineStr">
        <is>
          <t>True</t>
        </is>
      </c>
      <c r="AE191" s="24" t="inlineStr">
        <is>
          <t>valuation_credit_ml_overlay_candidate.csv</t>
        </is>
      </c>
      <c r="AF191" s="24" t="inlineStr">
        <is>
          <t>208개 반도체 reference universe. Valuation Agent가 자체 intake 폴더로 복제해 Peer/ML/대시보드 비교에 사용.</t>
        </is>
      </c>
    </row>
    <row r="192" ht="24" customHeight="1">
      <c r="A192" s="29" t="inlineStr">
        <is>
          <t>100</t>
        </is>
      </c>
      <c r="B192" s="29" t="inlineStr">
        <is>
          <t>해당 없음</t>
        </is>
      </c>
      <c r="C192" s="29" t="inlineStr">
        <is>
          <t>예스티</t>
        </is>
      </c>
      <c r="D192" s="29" t="inlineStr">
        <is>
          <t>122640</t>
        </is>
      </c>
      <c r="E192" s="29" t="inlineStr">
        <is>
          <t>KOSDAQ</t>
        </is>
      </c>
      <c r="F192" s="29" t="inlineStr">
        <is>
          <t>장비</t>
        </is>
      </c>
      <c r="G192" s="29" t="inlineStr">
        <is>
          <t>장비</t>
        </is>
      </c>
      <c r="H192" s="29" t="inlineStr">
        <is>
          <t>False</t>
        </is>
      </c>
      <c r="I192" s="29" t="inlineStr">
        <is>
          <t>True</t>
        </is>
      </c>
      <c r="J192" s="29" t="inlineStr">
        <is>
          <t>OK</t>
        </is>
      </c>
      <c r="K192" s="29" t="inlineStr">
        <is>
          <t>데이터 사용 가능</t>
        </is>
      </c>
      <c r="L192" s="29" t="inlineStr">
        <is>
          <t>LOW</t>
        </is>
      </c>
      <c r="M192" s="29" t="inlineStr">
        <is>
          <t>LOW</t>
        </is>
      </c>
      <c r="N192" s="29" t="inlineStr">
        <is>
          <t>0.2778666666666666</t>
        </is>
      </c>
      <c r="O192" s="29" t="inlineStr">
        <is>
          <t>EXPENSIVE</t>
        </is>
      </c>
      <c r="P192" s="29" t="inlineStr">
        <is>
          <t>EXPENSIVE</t>
        </is>
      </c>
      <c r="Q192" s="29" t="inlineStr">
        <is>
          <t>EXPENSIVE</t>
        </is>
      </c>
      <c r="R192" s="29" t="inlineStr">
        <is>
          <t>0.8070752756860592</t>
        </is>
      </c>
      <c r="S192" s="29" t="inlineStr">
        <is>
          <t>HIGH</t>
        </is>
      </c>
      <c r="T192" s="29" t="inlineStr">
        <is>
          <t>HIGH</t>
        </is>
      </c>
      <c r="U192" s="29" t="inlineStr">
        <is>
          <t>0.2142857142857142</t>
        </is>
      </c>
      <c r="V192" s="29" t="inlineStr">
        <is>
          <t>MEDIUM_RISK</t>
        </is>
      </c>
      <c r="W192" s="29" t="inlineStr">
        <is>
          <t>중위험</t>
        </is>
      </c>
      <c r="X192" s="29" t="inlineStr">
        <is>
          <t>MEDIUM_RISK</t>
        </is>
      </c>
      <c r="Y192" s="29" t="inlineStr">
        <is>
          <t>0.6435379731563315</t>
        </is>
      </c>
      <c r="Z192" s="29" t="inlineStr">
        <is>
          <t>MEDIUM</t>
        </is>
      </c>
      <c r="AA192" s="29" t="inlineStr">
        <is>
          <t>MEDIUM</t>
        </is>
      </c>
      <c r="AB192" s="29" t="inlineStr">
        <is>
          <t>0.013991683799831916</t>
        </is>
      </c>
      <c r="AC192" s="29" t="inlineStr">
        <is>
          <t>False</t>
        </is>
      </c>
      <c r="AD192" s="29" t="inlineStr">
        <is>
          <t>False</t>
        </is>
      </c>
      <c r="AE192" s="29" t="inlineStr">
        <is>
          <t>valuation_credit_ml_overlay_candidate.csv</t>
        </is>
      </c>
      <c r="AF192" s="29" t="inlineStr">
        <is>
          <t>208개 반도체 reference universe. Valuation Agent가 자체 intake 폴더로 복제해 Peer/ML/대시보드 비교에 사용.</t>
        </is>
      </c>
    </row>
    <row r="193" ht="24" customHeight="1">
      <c r="A193" s="24" t="inlineStr">
        <is>
          <t>77</t>
        </is>
      </c>
      <c r="B193" s="24" t="inlineStr">
        <is>
          <t>해당 없음</t>
        </is>
      </c>
      <c r="C193" s="24" t="inlineStr">
        <is>
          <t>기가레인</t>
        </is>
      </c>
      <c r="D193" s="24" t="inlineStr">
        <is>
          <t>049080</t>
        </is>
      </c>
      <c r="E193" s="24" t="inlineStr">
        <is>
          <t>KOSDAQ</t>
        </is>
      </c>
      <c r="F193" s="24" t="inlineStr">
        <is>
          <t>장비</t>
        </is>
      </c>
      <c r="G193" s="24" t="inlineStr">
        <is>
          <t>장비</t>
        </is>
      </c>
      <c r="H193" s="24" t="inlineStr">
        <is>
          <t>False</t>
        </is>
      </c>
      <c r="I193" s="24" t="inlineStr">
        <is>
          <t>True</t>
        </is>
      </c>
      <c r="J193" s="24" t="inlineStr">
        <is>
          <t>OK</t>
        </is>
      </c>
      <c r="K193" s="24" t="inlineStr">
        <is>
          <t>데이터 사용 가능</t>
        </is>
      </c>
      <c r="L193" s="24" t="inlineStr">
        <is>
          <t>LOW</t>
        </is>
      </c>
      <c r="M193" s="24" t="inlineStr">
        <is>
          <t>LOW</t>
        </is>
      </c>
      <c r="N193" s="24" t="inlineStr">
        <is>
          <t>0.2353333333333333</t>
        </is>
      </c>
      <c r="O193" s="24" t="inlineStr">
        <is>
          <t>EXPENSIVE</t>
        </is>
      </c>
      <c r="P193" s="24" t="inlineStr">
        <is>
          <t>EXPENSIVE</t>
        </is>
      </c>
      <c r="Q193" s="24" t="inlineStr">
        <is>
          <t>EXPENSIVE</t>
        </is>
      </c>
      <c r="R193" s="24" t="inlineStr">
        <is>
          <t>0.9628494209555842</t>
        </is>
      </c>
      <c r="S193" s="24" t="inlineStr">
        <is>
          <t>HIGH</t>
        </is>
      </c>
      <c r="T193" s="24" t="inlineStr">
        <is>
          <t>HIGH</t>
        </is>
      </c>
      <c r="U193" s="24" t="inlineStr">
        <is>
          <t>0.5</t>
        </is>
      </c>
      <c r="V193" s="24" t="inlineStr">
        <is>
          <t>HIGH_RISK</t>
        </is>
      </c>
      <c r="W193" s="24" t="inlineStr">
        <is>
          <t>고위험</t>
        </is>
      </c>
      <c r="X193" s="24" t="inlineStr">
        <is>
          <t>HIGH_RISK</t>
        </is>
      </c>
      <c r="Y193" s="24" t="inlineStr">
        <is>
          <t>0.9675100472985046</t>
        </is>
      </c>
      <c r="Z193" s="24" t="inlineStr">
        <is>
          <t>HIGH</t>
        </is>
      </c>
      <c r="AA193" s="24" t="inlineStr">
        <is>
          <t>HIGH</t>
        </is>
      </c>
      <c r="AB193" s="24" t="inlineStr">
        <is>
          <t>0.24264303605410006</t>
        </is>
      </c>
      <c r="AC193" s="24" t="inlineStr">
        <is>
          <t>True</t>
        </is>
      </c>
      <c r="AD193" s="24" t="inlineStr">
        <is>
          <t>True</t>
        </is>
      </c>
      <c r="AE193" s="24" t="inlineStr">
        <is>
          <t>valuation_credit_ml_overlay_candidate.csv</t>
        </is>
      </c>
      <c r="AF193" s="24" t="inlineStr">
        <is>
          <t>208개 반도체 reference universe. Valuation Agent가 자체 intake 폴더로 복제해 Peer/ML/대시보드 비교에 사용.</t>
        </is>
      </c>
    </row>
    <row r="194" ht="24" customHeight="1">
      <c r="A194" s="29" t="inlineStr">
        <is>
          <t>79</t>
        </is>
      </c>
      <c r="B194" s="29" t="inlineStr">
        <is>
          <t>해당 없음</t>
        </is>
      </c>
      <c r="C194" s="29" t="inlineStr">
        <is>
          <t>넥스틴</t>
        </is>
      </c>
      <c r="D194" s="29" t="inlineStr">
        <is>
          <t>348210</t>
        </is>
      </c>
      <c r="E194" s="29" t="inlineStr">
        <is>
          <t>KOSDAQ GLOBAL</t>
        </is>
      </c>
      <c r="F194" s="29" t="inlineStr">
        <is>
          <t>장비</t>
        </is>
      </c>
      <c r="G194" s="29" t="inlineStr">
        <is>
          <t>장비</t>
        </is>
      </c>
      <c r="H194" s="29" t="inlineStr">
        <is>
          <t>False</t>
        </is>
      </c>
      <c r="I194" s="29" t="inlineStr">
        <is>
          <t>True</t>
        </is>
      </c>
      <c r="J194" s="29" t="inlineStr">
        <is>
          <t>OK</t>
        </is>
      </c>
      <c r="K194" s="29" t="inlineStr">
        <is>
          <t>데이터 사용 가능</t>
        </is>
      </c>
      <c r="L194" s="29" t="inlineStr">
        <is>
          <t>LOW</t>
        </is>
      </c>
      <c r="M194" s="29" t="inlineStr">
        <is>
          <t>LOW</t>
        </is>
      </c>
      <c r="N194" s="29" t="inlineStr">
        <is>
          <t>0.2353333333333333</t>
        </is>
      </c>
      <c r="O194" s="29" t="inlineStr">
        <is>
          <t>EXPENSIVE</t>
        </is>
      </c>
      <c r="P194" s="29" t="inlineStr">
        <is>
          <t>EXPENSIVE</t>
        </is>
      </c>
      <c r="Q194" s="29" t="inlineStr">
        <is>
          <t>EXPENSIVE</t>
        </is>
      </c>
      <c r="R194" s="29" t="inlineStr">
        <is>
          <t>0.7906546201121369</t>
        </is>
      </c>
      <c r="S194" s="29" t="inlineStr">
        <is>
          <t>HIGH</t>
        </is>
      </c>
      <c r="T194" s="29" t="inlineStr">
        <is>
          <t>HIGH</t>
        </is>
      </c>
      <c r="U194" s="29" t="inlineStr">
        <is>
          <t>0.4285714285714285</t>
        </is>
      </c>
      <c r="V194" s="29" t="inlineStr">
        <is>
          <t>HIGH_RISK</t>
        </is>
      </c>
      <c r="W194" s="29" t="inlineStr">
        <is>
          <t>고위험</t>
        </is>
      </c>
      <c r="X194" s="29" t="inlineStr">
        <is>
          <t>HIGH_RISK</t>
        </is>
      </c>
      <c r="Y194" s="29" t="inlineStr">
        <is>
          <t>0.8216799677089676</t>
        </is>
      </c>
      <c r="Z194" s="29" t="inlineStr">
        <is>
          <t>HIGH</t>
        </is>
      </c>
      <c r="AA194" s="29" t="inlineStr">
        <is>
          <t>HIGH</t>
        </is>
      </c>
      <c r="AB194" s="29" t="inlineStr">
        <is>
          <t>0.0826003513380603</t>
        </is>
      </c>
      <c r="AC194" s="29" t="inlineStr">
        <is>
          <t>False</t>
        </is>
      </c>
      <c r="AD194" s="29" t="inlineStr">
        <is>
          <t>False</t>
        </is>
      </c>
      <c r="AE194" s="29" t="inlineStr">
        <is>
          <t>valuation_credit_ml_overlay_candidate.csv</t>
        </is>
      </c>
      <c r="AF194" s="29" t="inlineStr">
        <is>
          <t>208개 반도체 reference universe. Valuation Agent가 자체 intake 폴더로 복제해 Peer/ML/대시보드 비교에 사용.</t>
        </is>
      </c>
    </row>
    <row r="195" ht="24" customHeight="1">
      <c r="A195" s="24" t="inlineStr">
        <is>
          <t>110</t>
        </is>
      </c>
      <c r="B195" s="24" t="inlineStr">
        <is>
          <t>해당 없음</t>
        </is>
      </c>
      <c r="C195" s="24" t="inlineStr">
        <is>
          <t>주성엔지니어링</t>
        </is>
      </c>
      <c r="D195" s="24" t="inlineStr">
        <is>
          <t>036930</t>
        </is>
      </c>
      <c r="E195" s="24" t="inlineStr">
        <is>
          <t>KOSDAQ GLOBAL</t>
        </is>
      </c>
      <c r="F195" s="24" t="inlineStr">
        <is>
          <t>장비</t>
        </is>
      </c>
      <c r="G195" s="24" t="inlineStr">
        <is>
          <t>장비</t>
        </is>
      </c>
      <c r="H195" s="24" t="inlineStr">
        <is>
          <t>False</t>
        </is>
      </c>
      <c r="I195" s="24" t="inlineStr">
        <is>
          <t>True</t>
        </is>
      </c>
      <c r="J195" s="24" t="inlineStr">
        <is>
          <t>OK</t>
        </is>
      </c>
      <c r="K195" s="24" t="inlineStr">
        <is>
          <t>데이터 사용 가능</t>
        </is>
      </c>
      <c r="L195" s="24" t="inlineStr">
        <is>
          <t>LOW</t>
        </is>
      </c>
      <c r="M195" s="24" t="inlineStr">
        <is>
          <t>LOW</t>
        </is>
      </c>
      <c r="N195" s="24" t="inlineStr">
        <is>
          <t>0.2335999999999999</t>
        </is>
      </c>
      <c r="O195" s="24" t="inlineStr">
        <is>
          <t>EXPENSIVE</t>
        </is>
      </c>
      <c r="P195" s="24" t="inlineStr">
        <is>
          <t>EXPENSIVE</t>
        </is>
      </c>
      <c r="Q195" s="24" t="inlineStr">
        <is>
          <t>EXPENSIVE</t>
        </is>
      </c>
      <c r="R195" s="24" t="inlineStr">
        <is>
          <t>0.7918979957613304</t>
        </is>
      </c>
      <c r="S195" s="24" t="inlineStr">
        <is>
          <t>HIGH</t>
        </is>
      </c>
      <c r="T195" s="24" t="inlineStr">
        <is>
          <t>HIGH</t>
        </is>
      </c>
      <c r="U195" s="24" t="inlineStr">
        <is>
          <t>0.2857142857142857</t>
        </is>
      </c>
      <c r="V195" s="24" t="inlineStr">
        <is>
          <t>MEDIUM_RISK</t>
        </is>
      </c>
      <c r="W195" s="24" t="inlineStr">
        <is>
          <t>중위험</t>
        </is>
      </c>
      <c r="X195" s="24" t="inlineStr">
        <is>
          <t>MEDIUM_RISK</t>
        </is>
      </c>
      <c r="Y195" s="24" t="inlineStr">
        <is>
          <t>0.4347911224964779</t>
        </is>
      </c>
      <c r="Z195" s="24" t="inlineStr">
        <is>
          <t>LOW</t>
        </is>
      </c>
      <c r="AA195" s="24" t="inlineStr">
        <is>
          <t>LOW</t>
        </is>
      </c>
      <c r="AB195" s="24" t="inlineStr">
        <is>
          <t>0.0617535897003664</t>
        </is>
      </c>
      <c r="AC195" s="24" t="inlineStr">
        <is>
          <t>False</t>
        </is>
      </c>
      <c r="AD195" s="24" t="inlineStr">
        <is>
          <t>True</t>
        </is>
      </c>
      <c r="AE195" s="24" t="inlineStr">
        <is>
          <t>valuation_credit_ml_overlay_candidate.csv</t>
        </is>
      </c>
      <c r="AF195" s="24" t="inlineStr">
        <is>
          <t>208개 반도체 reference universe. Valuation Agent가 자체 intake 폴더로 복제해 Peer/ML/대시보드 비교에 사용.</t>
        </is>
      </c>
    </row>
    <row r="196" ht="24" customHeight="1">
      <c r="A196" s="29" t="inlineStr">
        <is>
          <t>122</t>
        </is>
      </c>
      <c r="B196" s="29" t="inlineStr">
        <is>
          <t>해당 없음</t>
        </is>
      </c>
      <c r="C196" s="29" t="inlineStr">
        <is>
          <t>필옵틱스</t>
        </is>
      </c>
      <c r="D196" s="29" t="inlineStr">
        <is>
          <t>161580</t>
        </is>
      </c>
      <c r="E196" s="29" t="inlineStr">
        <is>
          <t>KOSDAQ</t>
        </is>
      </c>
      <c r="F196" s="29" t="inlineStr">
        <is>
          <t>장비</t>
        </is>
      </c>
      <c r="G196" s="29" t="inlineStr">
        <is>
          <t>장비</t>
        </is>
      </c>
      <c r="H196" s="29" t="inlineStr">
        <is>
          <t>False</t>
        </is>
      </c>
      <c r="I196" s="29" t="inlineStr">
        <is>
          <t>True</t>
        </is>
      </c>
      <c r="J196" s="29" t="inlineStr">
        <is>
          <t>OK</t>
        </is>
      </c>
      <c r="K196" s="29" t="inlineStr">
        <is>
          <t>데이터 사용 가능</t>
        </is>
      </c>
      <c r="L196" s="29" t="inlineStr">
        <is>
          <t>LOW</t>
        </is>
      </c>
      <c r="M196" s="29" t="inlineStr">
        <is>
          <t>LOW</t>
        </is>
      </c>
      <c r="N196" s="29" t="inlineStr">
        <is>
          <t>0.1741333333333333</t>
        </is>
      </c>
      <c r="O196" s="29" t="inlineStr">
        <is>
          <t>EXPENSIVE</t>
        </is>
      </c>
      <c r="P196" s="29" t="inlineStr">
        <is>
          <t>EXPENSIVE</t>
        </is>
      </c>
      <c r="Q196" s="29" t="inlineStr">
        <is>
          <t>EXPENSIVE</t>
        </is>
      </c>
      <c r="R196" s="29" t="inlineStr">
        <is>
          <t>0.9632435860929522</t>
        </is>
      </c>
      <c r="S196" s="29" t="inlineStr">
        <is>
          <t>HIGH</t>
        </is>
      </c>
      <c r="T196" s="29" t="inlineStr">
        <is>
          <t>HIGH</t>
        </is>
      </c>
      <c r="U196" s="29" t="inlineStr">
        <is>
          <t>0.2857142857142857</t>
        </is>
      </c>
      <c r="V196" s="29" t="inlineStr">
        <is>
          <t>MEDIUM_RISK</t>
        </is>
      </c>
      <c r="W196" s="29" t="inlineStr">
        <is>
          <t>중위험</t>
        </is>
      </c>
      <c r="X196" s="29" t="inlineStr">
        <is>
          <t>MEDIUM_RISK</t>
        </is>
      </c>
      <c r="Y196" s="29" t="inlineStr">
        <is>
          <t>0.6167987381468966</t>
        </is>
      </c>
      <c r="Z196" s="29" t="inlineStr">
        <is>
          <t>MEDIUM</t>
        </is>
      </c>
      <c r="AA196" s="29" t="inlineStr">
        <is>
          <t>MEDIUM</t>
        </is>
      </c>
      <c r="AB196" s="29" t="inlineStr">
        <is>
          <t>0.06203854489426491</t>
        </is>
      </c>
      <c r="AC196" s="29" t="inlineStr">
        <is>
          <t>False</t>
        </is>
      </c>
      <c r="AD196" s="29" t="inlineStr">
        <is>
          <t>False</t>
        </is>
      </c>
      <c r="AE196" s="29" t="inlineStr">
        <is>
          <t>valuation_credit_ml_overlay_candidate.csv</t>
        </is>
      </c>
      <c r="AF196" s="29" t="inlineStr">
        <is>
          <t>208개 반도체 reference universe. Valuation Agent가 자체 intake 폴더로 복제해 Peer/ML/대시보드 비교에 사용.</t>
        </is>
      </c>
    </row>
    <row r="197" ht="24" customHeight="1">
      <c r="A197" s="24" t="inlineStr">
        <is>
          <t>62</t>
        </is>
      </c>
      <c r="B197" s="24" t="inlineStr">
        <is>
          <t>해당 없음</t>
        </is>
      </c>
      <c r="C197" s="24" t="inlineStr">
        <is>
          <t>에스에이엠티</t>
        </is>
      </c>
      <c r="D197" s="24" t="inlineStr">
        <is>
          <t>031330</t>
        </is>
      </c>
      <c r="E197" s="24" t="inlineStr">
        <is>
          <t>KOSDAQ</t>
        </is>
      </c>
      <c r="F197" s="24" t="inlineStr">
        <is>
          <t>팹리스/설계</t>
        </is>
      </c>
      <c r="G197" s="24" t="inlineStr">
        <is>
          <t>팹리스/설계</t>
        </is>
      </c>
      <c r="H197" s="24" t="inlineStr">
        <is>
          <t>False</t>
        </is>
      </c>
      <c r="I197" s="24" t="inlineStr">
        <is>
          <t>True</t>
        </is>
      </c>
      <c r="J197" s="24" t="inlineStr">
        <is>
          <t>OK</t>
        </is>
      </c>
      <c r="K197" s="24" t="inlineStr">
        <is>
          <t>데이터 사용 가능</t>
        </is>
      </c>
      <c r="L197" s="24" t="inlineStr">
        <is>
          <t>LOW</t>
        </is>
      </c>
      <c r="M197" s="24" t="inlineStr">
        <is>
          <t>LOW</t>
        </is>
      </c>
      <c r="N197" s="24" t="inlineStr">
        <is>
          <t>0.7838383838383839</t>
        </is>
      </c>
      <c r="O197" s="24" t="inlineStr">
        <is>
          <t>FAIR</t>
        </is>
      </c>
      <c r="P197" s="24" t="inlineStr">
        <is>
          <t>FAIR</t>
        </is>
      </c>
      <c r="Q197" s="24" t="inlineStr">
        <is>
          <t>FAIR</t>
        </is>
      </c>
      <c r="R197" s="24" t="inlineStr">
        <is>
          <t>0.8575928985222669</t>
        </is>
      </c>
      <c r="S197" s="24" t="inlineStr">
        <is>
          <t>HIGH</t>
        </is>
      </c>
      <c r="T197" s="24" t="inlineStr">
        <is>
          <t>HIGH</t>
        </is>
      </c>
      <c r="U197" s="24" t="inlineStr">
        <is>
          <t>0.5</t>
        </is>
      </c>
      <c r="V197" s="24" t="inlineStr">
        <is>
          <t>HIGH_RISK</t>
        </is>
      </c>
      <c r="W197" s="24" t="inlineStr">
        <is>
          <t>고위험</t>
        </is>
      </c>
      <c r="X197" s="24" t="inlineStr">
        <is>
          <t>HIGH_RISK</t>
        </is>
      </c>
      <c r="Y197" s="24" t="inlineStr">
        <is>
          <t>0.5021487096911619</t>
        </is>
      </c>
      <c r="Z197" s="24" t="inlineStr">
        <is>
          <t>MEDIUM</t>
        </is>
      </c>
      <c r="AA197" s="24" t="inlineStr">
        <is>
          <t>MEDIUM</t>
        </is>
      </c>
      <c r="AB197" s="24" t="inlineStr">
        <is>
          <t>0.11372149345925425</t>
        </is>
      </c>
      <c r="AC197" s="24" t="inlineStr">
        <is>
          <t>False</t>
        </is>
      </c>
      <c r="AD197" s="24" t="inlineStr">
        <is>
          <t>False</t>
        </is>
      </c>
      <c r="AE197" s="24" t="inlineStr">
        <is>
          <t>valuation_credit_ml_overlay_candidate.csv</t>
        </is>
      </c>
      <c r="AF197" s="24" t="inlineStr">
        <is>
          <t>208개 반도체 reference universe. Valuation Agent가 자체 intake 폴더로 복제해 Peer/ML/대시보드 비교에 사용.</t>
        </is>
      </c>
    </row>
    <row r="198" ht="24" customHeight="1">
      <c r="A198" s="29" t="inlineStr">
        <is>
          <t>65</t>
        </is>
      </c>
      <c r="B198" s="29" t="inlineStr">
        <is>
          <t>해당 없음</t>
        </is>
      </c>
      <c r="C198" s="29" t="inlineStr">
        <is>
          <t>유니트론텍</t>
        </is>
      </c>
      <c r="D198" s="29" t="inlineStr">
        <is>
          <t>142210</t>
        </is>
      </c>
      <c r="E198" s="29" t="inlineStr">
        <is>
          <t>KOSDAQ</t>
        </is>
      </c>
      <c r="F198" s="29" t="inlineStr">
        <is>
          <t>팹리스/설계</t>
        </is>
      </c>
      <c r="G198" s="29" t="inlineStr">
        <is>
          <t>팹리스/설계</t>
        </is>
      </c>
      <c r="H198" s="29" t="inlineStr">
        <is>
          <t>False</t>
        </is>
      </c>
      <c r="I198" s="29" t="inlineStr">
        <is>
          <t>True</t>
        </is>
      </c>
      <c r="J198" s="29" t="inlineStr">
        <is>
          <t>OK</t>
        </is>
      </c>
      <c r="K198" s="29" t="inlineStr">
        <is>
          <t>데이터 사용 가능</t>
        </is>
      </c>
      <c r="L198" s="29" t="inlineStr">
        <is>
          <t>LOW</t>
        </is>
      </c>
      <c r="M198" s="29" t="inlineStr">
        <is>
          <t>LOW</t>
        </is>
      </c>
      <c r="N198" s="29" t="inlineStr">
        <is>
          <t>0.7478787878787879</t>
        </is>
      </c>
      <c r="O198" s="29" t="inlineStr">
        <is>
          <t>FAIR</t>
        </is>
      </c>
      <c r="P198" s="29" t="inlineStr">
        <is>
          <t>FAIR</t>
        </is>
      </c>
      <c r="Q198" s="29" t="inlineStr">
        <is>
          <t>FAIR</t>
        </is>
      </c>
      <c r="R198" s="29" t="inlineStr">
        <is>
          <t>0.8593164302034415</t>
        </is>
      </c>
      <c r="S198" s="29" t="inlineStr">
        <is>
          <t>HIGH</t>
        </is>
      </c>
      <c r="T198" s="29" t="inlineStr">
        <is>
          <t>HIGH</t>
        </is>
      </c>
      <c r="U198" s="29" t="inlineStr">
        <is>
          <t>0.3571428571428571</t>
        </is>
      </c>
      <c r="V198" s="29" t="inlineStr">
        <is>
          <t>MEDIUM_RISK</t>
        </is>
      </c>
      <c r="W198" s="29" t="inlineStr">
        <is>
          <t>중위험</t>
        </is>
      </c>
      <c r="X198" s="29" t="inlineStr">
        <is>
          <t>MEDIUM_RISK</t>
        </is>
      </c>
      <c r="Y198" s="29" t="inlineStr">
        <is>
          <t>0.6687746551665015</t>
        </is>
      </c>
      <c r="Z198" s="29" t="inlineStr">
        <is>
          <t>MEDIUM</t>
        </is>
      </c>
      <c r="AA198" s="29" t="inlineStr">
        <is>
          <t>MEDIUM</t>
        </is>
      </c>
      <c r="AB198" s="29" t="inlineStr">
        <is>
          <t>0.05354194050015521</t>
        </is>
      </c>
      <c r="AC198" s="29" t="inlineStr">
        <is>
          <t>False</t>
        </is>
      </c>
      <c r="AD198" s="29" t="inlineStr">
        <is>
          <t>False</t>
        </is>
      </c>
      <c r="AE198" s="29" t="inlineStr">
        <is>
          <t>valuation_credit_ml_overlay_candidate.csv</t>
        </is>
      </c>
      <c r="AF198" s="29" t="inlineStr">
        <is>
          <t>208개 반도체 reference universe. Valuation Agent가 자체 intake 폴더로 복제해 Peer/ML/대시보드 비교에 사용.</t>
        </is>
      </c>
    </row>
    <row r="199" ht="24" customHeight="1">
      <c r="A199" s="24" t="inlineStr">
        <is>
          <t>60</t>
        </is>
      </c>
      <c r="B199" s="24" t="inlineStr">
        <is>
          <t>해당 없음</t>
        </is>
      </c>
      <c r="C199" s="24" t="inlineStr">
        <is>
          <t>앤씨앤</t>
        </is>
      </c>
      <c r="D199" s="24" t="inlineStr">
        <is>
          <t>092600</t>
        </is>
      </c>
      <c r="E199" s="24" t="inlineStr">
        <is>
          <t>KOSDAQ</t>
        </is>
      </c>
      <c r="F199" s="24" t="inlineStr">
        <is>
          <t>팹리스/설계</t>
        </is>
      </c>
      <c r="G199" s="24" t="inlineStr">
        <is>
          <t>팹리스/설계</t>
        </is>
      </c>
      <c r="H199" s="24" t="inlineStr">
        <is>
          <t>False</t>
        </is>
      </c>
      <c r="I199" s="24" t="inlineStr">
        <is>
          <t>True</t>
        </is>
      </c>
      <c r="J199" s="24" t="inlineStr">
        <is>
          <t>OK</t>
        </is>
      </c>
      <c r="K199" s="24" t="inlineStr">
        <is>
          <t>데이터 사용 가능</t>
        </is>
      </c>
      <c r="L199" s="24" t="inlineStr">
        <is>
          <t>LOW</t>
        </is>
      </c>
      <c r="M199" s="24" t="inlineStr">
        <is>
          <t>LOW</t>
        </is>
      </c>
      <c r="N199" s="24" t="inlineStr">
        <is>
          <t>0.7450505050505051</t>
        </is>
      </c>
      <c r="O199" s="24" t="inlineStr">
        <is>
          <t>FAIR</t>
        </is>
      </c>
      <c r="P199" s="24" t="inlineStr">
        <is>
          <t>FAIR</t>
        </is>
      </c>
      <c r="Q199" s="24" t="inlineStr">
        <is>
          <t>FAIR</t>
        </is>
      </c>
      <c r="R199" s="24" t="inlineStr">
        <is>
          <t>0.8450252323777523</t>
        </is>
      </c>
      <c r="S199" s="24" t="inlineStr">
        <is>
          <t>HIGH</t>
        </is>
      </c>
      <c r="T199" s="24" t="inlineStr">
        <is>
          <t>HIGH</t>
        </is>
      </c>
      <c r="U199" s="24" t="inlineStr">
        <is>
          <t>0.5</t>
        </is>
      </c>
      <c r="V199" s="24" t="inlineStr">
        <is>
          <t>HIGH_RISK</t>
        </is>
      </c>
      <c r="W199" s="24" t="inlineStr">
        <is>
          <t>고위험</t>
        </is>
      </c>
      <c r="X199" s="24" t="inlineStr">
        <is>
          <t>HIGH_RISK</t>
        </is>
      </c>
      <c r="Y199" s="24" t="inlineStr">
        <is>
          <t>0.6852720703017778</t>
        </is>
      </c>
      <c r="Z199" s="24" t="inlineStr">
        <is>
          <t>MEDIUM</t>
        </is>
      </c>
      <c r="AA199" s="24" t="inlineStr">
        <is>
          <t>MEDIUM</t>
        </is>
      </c>
      <c r="AB199" s="24" t="inlineStr">
        <is>
          <t>0.05126917274476802</t>
        </is>
      </c>
      <c r="AC199" s="24" t="inlineStr">
        <is>
          <t>False</t>
        </is>
      </c>
      <c r="AD199" s="24" t="inlineStr">
        <is>
          <t>False</t>
        </is>
      </c>
      <c r="AE199" s="24" t="inlineStr">
        <is>
          <t>valuation_credit_ml_overlay_candidate.csv</t>
        </is>
      </c>
      <c r="AF199" s="24" t="inlineStr">
        <is>
          <t>208개 반도체 reference universe. Valuation Agent가 자체 intake 폴더로 복제해 Peer/ML/대시보드 비교에 사용.</t>
        </is>
      </c>
    </row>
    <row r="200" ht="24" customHeight="1">
      <c r="A200" s="29" t="inlineStr">
        <is>
          <t>47</t>
        </is>
      </c>
      <c r="B200" s="29" t="inlineStr">
        <is>
          <t>해당 없음</t>
        </is>
      </c>
      <c r="C200" s="29" t="inlineStr">
        <is>
          <t>마이크로컨텍솔</t>
        </is>
      </c>
      <c r="D200" s="29" t="inlineStr">
        <is>
          <t>098120</t>
        </is>
      </c>
      <c r="E200" s="29" t="inlineStr">
        <is>
          <t>KOSDAQ</t>
        </is>
      </c>
      <c r="F200" s="29" t="inlineStr">
        <is>
          <t>팹리스/설계</t>
        </is>
      </c>
      <c r="G200" s="29" t="inlineStr">
        <is>
          <t>팹리스/설계</t>
        </is>
      </c>
      <c r="H200" s="29" t="inlineStr">
        <is>
          <t>False</t>
        </is>
      </c>
      <c r="I200" s="29" t="inlineStr">
        <is>
          <t>True</t>
        </is>
      </c>
      <c r="J200" s="29" t="inlineStr">
        <is>
          <t>OK</t>
        </is>
      </c>
      <c r="K200" s="29" t="inlineStr">
        <is>
          <t>데이터 사용 가능</t>
        </is>
      </c>
      <c r="L200" s="29" t="inlineStr">
        <is>
          <t>LOW</t>
        </is>
      </c>
      <c r="M200" s="29" t="inlineStr">
        <is>
          <t>LOW</t>
        </is>
      </c>
      <c r="N200" s="29" t="inlineStr">
        <is>
          <t>0.7383838383838384</t>
        </is>
      </c>
      <c r="O200" s="29" t="inlineStr">
        <is>
          <t>ATTRACTIVE</t>
        </is>
      </c>
      <c r="P200" s="29" t="inlineStr">
        <is>
          <t>가치 매력</t>
        </is>
      </c>
      <c r="Q200" s="29" t="inlineStr">
        <is>
          <t>ATTRACTIVE</t>
        </is>
      </c>
      <c r="R200" s="29" t="inlineStr">
        <is>
          <t>0.8262966149459129</t>
        </is>
      </c>
      <c r="S200" s="29" t="inlineStr">
        <is>
          <t>HIGH</t>
        </is>
      </c>
      <c r="T200" s="29" t="inlineStr">
        <is>
          <t>HIGH</t>
        </is>
      </c>
      <c r="U200" s="29" t="inlineStr">
        <is>
          <t>0.1428571428571428</t>
        </is>
      </c>
      <c r="V200" s="29" t="inlineStr">
        <is>
          <t>LOW_RISK</t>
        </is>
      </c>
      <c r="W200" s="29" t="inlineStr">
        <is>
          <t>저위험</t>
        </is>
      </c>
      <c r="X200" s="29" t="inlineStr">
        <is>
          <t>LOW_RISK</t>
        </is>
      </c>
      <c r="Y200" s="29" t="inlineStr">
        <is>
          <t>0.7491981695245683</t>
        </is>
      </c>
      <c r="Z200" s="29" t="inlineStr">
        <is>
          <t>HIGH</t>
        </is>
      </c>
      <c r="AA200" s="29" t="inlineStr">
        <is>
          <t>HIGH</t>
        </is>
      </c>
      <c r="AB200" s="29" t="inlineStr">
        <is>
          <t>0.08427857084894262</t>
        </is>
      </c>
      <c r="AC200" s="29" t="inlineStr">
        <is>
          <t>False</t>
        </is>
      </c>
      <c r="AD200" s="29" t="inlineStr">
        <is>
          <t>False</t>
        </is>
      </c>
      <c r="AE200" s="29" t="inlineStr">
        <is>
          <t>valuation_credit_ml_overlay_candidate.csv</t>
        </is>
      </c>
      <c r="AF200" s="29" t="inlineStr">
        <is>
          <t>208개 반도체 reference universe. Valuation Agent가 자체 intake 폴더로 복제해 Peer/ML/대시보드 비교에 사용.</t>
        </is>
      </c>
    </row>
    <row r="201" ht="24" customHeight="1">
      <c r="A201" s="24" t="inlineStr">
        <is>
          <t>55</t>
        </is>
      </c>
      <c r="B201" s="24" t="inlineStr">
        <is>
          <t>해당 없음</t>
        </is>
      </c>
      <c r="C201" s="24" t="inlineStr">
        <is>
          <t>아이앤씨</t>
        </is>
      </c>
      <c r="D201" s="24" t="inlineStr">
        <is>
          <t>052860</t>
        </is>
      </c>
      <c r="E201" s="24" t="inlineStr">
        <is>
          <t>KOSDAQ</t>
        </is>
      </c>
      <c r="F201" s="24" t="inlineStr">
        <is>
          <t>팹리스/설계</t>
        </is>
      </c>
      <c r="G201" s="24" t="inlineStr">
        <is>
          <t>팹리스/설계</t>
        </is>
      </c>
      <c r="H201" s="24" t="inlineStr">
        <is>
          <t>False</t>
        </is>
      </c>
      <c r="I201" s="24" t="inlineStr">
        <is>
          <t>True</t>
        </is>
      </c>
      <c r="J201" s="24" t="inlineStr">
        <is>
          <t>OK</t>
        </is>
      </c>
      <c r="K201" s="24" t="inlineStr">
        <is>
          <t>데이터 사용 가능</t>
        </is>
      </c>
      <c r="L201" s="24" t="inlineStr">
        <is>
          <t>LOW</t>
        </is>
      </c>
      <c r="M201" s="24" t="inlineStr">
        <is>
          <t>LOW</t>
        </is>
      </c>
      <c r="N201" s="24" t="inlineStr">
        <is>
          <t>0.7325252525252526</t>
        </is>
      </c>
      <c r="O201" s="24" t="inlineStr">
        <is>
          <t>ATTRACTIVE</t>
        </is>
      </c>
      <c r="P201" s="24" t="inlineStr">
        <is>
          <t>가치 매력</t>
        </is>
      </c>
      <c r="Q201" s="24" t="inlineStr">
        <is>
          <t>ATTRACTIVE</t>
        </is>
      </c>
      <c r="R201" s="24" t="inlineStr">
        <is>
          <t>0.9267130449922303</t>
        </is>
      </c>
      <c r="S201" s="24" t="inlineStr">
        <is>
          <t>HIGH</t>
        </is>
      </c>
      <c r="T201" s="24" t="inlineStr">
        <is>
          <t>HIGH</t>
        </is>
      </c>
      <c r="U201" s="24" t="inlineStr">
        <is>
          <t>0.0</t>
        </is>
      </c>
      <c r="V201" s="24" t="inlineStr">
        <is>
          <t>LOW_RISK</t>
        </is>
      </c>
      <c r="W201" s="24" t="inlineStr">
        <is>
          <t>저위험</t>
        </is>
      </c>
      <c r="X201" s="24" t="inlineStr">
        <is>
          <t>LOW_RISK</t>
        </is>
      </c>
      <c r="Y201" s="24" t="inlineStr">
        <is>
          <t>0.8920304728976969</t>
        </is>
      </c>
      <c r="Z201" s="24" t="inlineStr">
        <is>
          <t>HIGH</t>
        </is>
      </c>
      <c r="AA201" s="24" t="inlineStr">
        <is>
          <t>HIGH</t>
        </is>
      </c>
      <c r="AB201" s="24" t="inlineStr">
        <is>
          <t>0.022475117759514655</t>
        </is>
      </c>
      <c r="AC201" s="24" t="inlineStr">
        <is>
          <t>False</t>
        </is>
      </c>
      <c r="AD201" s="24" t="inlineStr">
        <is>
          <t>False</t>
        </is>
      </c>
      <c r="AE201" s="24" t="inlineStr">
        <is>
          <t>valuation_credit_ml_overlay_candidate.csv</t>
        </is>
      </c>
      <c r="AF201" s="24" t="inlineStr">
        <is>
          <t>208개 반도체 reference universe. Valuation Agent가 자체 intake 폴더로 복제해 Peer/ML/대시보드 비교에 사용.</t>
        </is>
      </c>
    </row>
    <row r="202" ht="24" customHeight="1">
      <c r="A202" s="29" t="inlineStr">
        <is>
          <t>48</t>
        </is>
      </c>
      <c r="B202" s="29" t="inlineStr">
        <is>
          <t>해당 없음</t>
        </is>
      </c>
      <c r="C202" s="29" t="inlineStr">
        <is>
          <t>매커스</t>
        </is>
      </c>
      <c r="D202" s="29" t="inlineStr">
        <is>
          <t>093520</t>
        </is>
      </c>
      <c r="E202" s="29" t="inlineStr">
        <is>
          <t>KOSDAQ</t>
        </is>
      </c>
      <c r="F202" s="29" t="inlineStr">
        <is>
          <t>팹리스/설계</t>
        </is>
      </c>
      <c r="G202" s="29" t="inlineStr">
        <is>
          <t>팹리스/설계</t>
        </is>
      </c>
      <c r="H202" s="29" t="inlineStr">
        <is>
          <t>False</t>
        </is>
      </c>
      <c r="I202" s="29" t="inlineStr">
        <is>
          <t>True</t>
        </is>
      </c>
      <c r="J202" s="29" t="inlineStr">
        <is>
          <t>OK</t>
        </is>
      </c>
      <c r="K202" s="29" t="inlineStr">
        <is>
          <t>데이터 사용 가능</t>
        </is>
      </c>
      <c r="L202" s="29" t="inlineStr">
        <is>
          <t>LOW</t>
        </is>
      </c>
      <c r="M202" s="29" t="inlineStr">
        <is>
          <t>LOW</t>
        </is>
      </c>
      <c r="N202" s="29" t="inlineStr">
        <is>
          <t>0.7056565656565656</t>
        </is>
      </c>
      <c r="O202" s="29" t="inlineStr">
        <is>
          <t>ATTRACTIVE</t>
        </is>
      </c>
      <c r="P202" s="29" t="inlineStr">
        <is>
          <t>가치 매력</t>
        </is>
      </c>
      <c r="Q202" s="29" t="inlineStr">
        <is>
          <t>ATTRACTIVE</t>
        </is>
      </c>
      <c r="R202" s="29" t="inlineStr">
        <is>
          <t>0.9375173489226767</t>
        </is>
      </c>
      <c r="S202" s="29" t="inlineStr">
        <is>
          <t>HIGH</t>
        </is>
      </c>
      <c r="T202" s="29" t="inlineStr">
        <is>
          <t>HIGH</t>
        </is>
      </c>
      <c r="U202" s="29" t="inlineStr">
        <is>
          <t>0.0</t>
        </is>
      </c>
      <c r="V202" s="29" t="inlineStr">
        <is>
          <t>LOW_RISK</t>
        </is>
      </c>
      <c r="W202" s="29" t="inlineStr">
        <is>
          <t>저위험</t>
        </is>
      </c>
      <c r="X202" s="29" t="inlineStr">
        <is>
          <t>LOW_RISK</t>
        </is>
      </c>
      <c r="Y202" s="29" t="inlineStr">
        <is>
          <t>0.8297390345025338</t>
        </is>
      </c>
      <c r="Z202" s="29" t="inlineStr">
        <is>
          <t>HIGH</t>
        </is>
      </c>
      <c r="AA202" s="29" t="inlineStr">
        <is>
          <t>HIGH</t>
        </is>
      </c>
      <c r="AB202" s="29" t="inlineStr">
        <is>
          <t>0.08420442573717486</t>
        </is>
      </c>
      <c r="AC202" s="29" t="inlineStr">
        <is>
          <t>False</t>
        </is>
      </c>
      <c r="AD202" s="29" t="inlineStr">
        <is>
          <t>False</t>
        </is>
      </c>
      <c r="AE202" s="29" t="inlineStr">
        <is>
          <t>valuation_credit_ml_overlay_candidate.csv</t>
        </is>
      </c>
      <c r="AF202" s="29" t="inlineStr">
        <is>
          <t>208개 반도체 reference universe. Valuation Agent가 자체 intake 폴더로 복제해 Peer/ML/대시보드 비교에 사용.</t>
        </is>
      </c>
    </row>
    <row r="203" ht="24" customHeight="1">
      <c r="A203" s="24" t="inlineStr">
        <is>
          <t>41</t>
        </is>
      </c>
      <c r="B203" s="24" t="inlineStr">
        <is>
          <t>해당 없음</t>
        </is>
      </c>
      <c r="C203" s="24" t="inlineStr">
        <is>
          <t>LX세미콘</t>
        </is>
      </c>
      <c r="D203" s="24" t="inlineStr">
        <is>
          <t>108320</t>
        </is>
      </c>
      <c r="E203" s="24" t="inlineStr">
        <is>
          <t>KOSPI</t>
        </is>
      </c>
      <c r="F203" s="24" t="inlineStr">
        <is>
          <t>팹리스/설계</t>
        </is>
      </c>
      <c r="G203" s="24" t="inlineStr">
        <is>
          <t>팹리스/설계</t>
        </is>
      </c>
      <c r="H203" s="24" t="inlineStr">
        <is>
          <t>False</t>
        </is>
      </c>
      <c r="I203" s="24" t="inlineStr">
        <is>
          <t>True</t>
        </is>
      </c>
      <c r="J203" s="24" t="inlineStr">
        <is>
          <t>OK</t>
        </is>
      </c>
      <c r="K203" s="24" t="inlineStr">
        <is>
          <t>데이터 사용 가능</t>
        </is>
      </c>
      <c r="L203" s="24" t="inlineStr">
        <is>
          <t>LOW</t>
        </is>
      </c>
      <c r="M203" s="24" t="inlineStr">
        <is>
          <t>LOW</t>
        </is>
      </c>
      <c r="N203" s="24" t="inlineStr">
        <is>
          <t>0.6953535353535354</t>
        </is>
      </c>
      <c r="O203" s="24" t="inlineStr">
        <is>
          <t>ATTRACTIVE</t>
        </is>
      </c>
      <c r="P203" s="24" t="inlineStr">
        <is>
          <t>가치 매력</t>
        </is>
      </c>
      <c r="Q203" s="24" t="inlineStr">
        <is>
          <t>ATTRACTIVE</t>
        </is>
      </c>
      <c r="R203" s="24" t="inlineStr">
        <is>
          <t>0.951012131492064</t>
        </is>
      </c>
      <c r="S203" s="24" t="inlineStr">
        <is>
          <t>HIGH</t>
        </is>
      </c>
      <c r="T203" s="24" t="inlineStr">
        <is>
          <t>HIGH</t>
        </is>
      </c>
      <c r="U203" s="24" t="inlineStr">
        <is>
          <t>0.0</t>
        </is>
      </c>
      <c r="V203" s="24" t="inlineStr">
        <is>
          <t>LOW_RISK</t>
        </is>
      </c>
      <c r="W203" s="24" t="inlineStr">
        <is>
          <t>저위험</t>
        </is>
      </c>
      <c r="X203" s="24" t="inlineStr">
        <is>
          <t>LOW_RISK</t>
        </is>
      </c>
      <c r="Y203" s="24" t="inlineStr">
        <is>
          <t>0.9675260077633142</t>
        </is>
      </c>
      <c r="Z203" s="24" t="inlineStr">
        <is>
          <t>HIGH</t>
        </is>
      </c>
      <c r="AA203" s="24" t="inlineStr">
        <is>
          <t>HIGH</t>
        </is>
      </c>
      <c r="AB203" s="24" t="inlineStr">
        <is>
          <t>0.0526549169074082</t>
        </is>
      </c>
      <c r="AC203" s="24" t="inlineStr">
        <is>
          <t>False</t>
        </is>
      </c>
      <c r="AD203" s="24" t="inlineStr">
        <is>
          <t>False</t>
        </is>
      </c>
      <c r="AE203" s="24" t="inlineStr">
        <is>
          <t>valuation_credit_ml_overlay_candidate.csv</t>
        </is>
      </c>
      <c r="AF203" s="24" t="inlineStr">
        <is>
          <t>208개 반도체 reference universe. Valuation Agent가 자체 intake 폴더로 복제해 Peer/ML/대시보드 비교에 사용.</t>
        </is>
      </c>
    </row>
    <row r="204" ht="24" customHeight="1">
      <c r="A204" s="29" t="inlineStr">
        <is>
          <t>61</t>
        </is>
      </c>
      <c r="B204" s="29" t="inlineStr">
        <is>
          <t>해당 없음</t>
        </is>
      </c>
      <c r="C204" s="29" t="inlineStr">
        <is>
          <t>어보브반도체</t>
        </is>
      </c>
      <c r="D204" s="29" t="inlineStr">
        <is>
          <t>102120</t>
        </is>
      </c>
      <c r="E204" s="29" t="inlineStr">
        <is>
          <t>KOSDAQ</t>
        </is>
      </c>
      <c r="F204" s="29" t="inlineStr">
        <is>
          <t>팹리스/설계</t>
        </is>
      </c>
      <c r="G204" s="29" t="inlineStr">
        <is>
          <t>팹리스/설계</t>
        </is>
      </c>
      <c r="H204" s="29" t="inlineStr">
        <is>
          <t>False</t>
        </is>
      </c>
      <c r="I204" s="29" t="inlineStr">
        <is>
          <t>True</t>
        </is>
      </c>
      <c r="J204" s="29" t="inlineStr">
        <is>
          <t>OK</t>
        </is>
      </c>
      <c r="K204" s="29" t="inlineStr">
        <is>
          <t>데이터 사용 가능</t>
        </is>
      </c>
      <c r="L204" s="29" t="inlineStr">
        <is>
          <t>LOW</t>
        </is>
      </c>
      <c r="M204" s="29" t="inlineStr">
        <is>
          <t>LOW</t>
        </is>
      </c>
      <c r="N204" s="29" t="inlineStr">
        <is>
          <t>0.6933333333333332</t>
        </is>
      </c>
      <c r="O204" s="29" t="inlineStr">
        <is>
          <t>FAIR</t>
        </is>
      </c>
      <c r="P204" s="29" t="inlineStr">
        <is>
          <t>FAIR</t>
        </is>
      </c>
      <c r="Q204" s="29" t="inlineStr">
        <is>
          <t>FAIR</t>
        </is>
      </c>
      <c r="R204" s="29" t="inlineStr">
        <is>
          <t>0.9028406871788379</t>
        </is>
      </c>
      <c r="S204" s="29" t="inlineStr">
        <is>
          <t>HIGH</t>
        </is>
      </c>
      <c r="T204" s="29" t="inlineStr">
        <is>
          <t>HIGH</t>
        </is>
      </c>
      <c r="U204" s="29" t="inlineStr">
        <is>
          <t>0.0714285714285714</t>
        </is>
      </c>
      <c r="V204" s="29" t="inlineStr">
        <is>
          <t>LOW_RISK</t>
        </is>
      </c>
      <c r="W204" s="29" t="inlineStr">
        <is>
          <t>저위험</t>
        </is>
      </c>
      <c r="X204" s="29" t="inlineStr">
        <is>
          <t>LOW_RISK</t>
        </is>
      </c>
      <c r="Y204" s="29" t="inlineStr">
        <is>
          <t>0.7134163381020407</t>
        </is>
      </c>
      <c r="Z204" s="29" t="inlineStr">
        <is>
          <t>HIGH</t>
        </is>
      </c>
      <c r="AA204" s="29" t="inlineStr">
        <is>
          <t>HIGH</t>
        </is>
      </c>
      <c r="AB204" s="29" t="inlineStr">
        <is>
          <t>0.020764615542161708</t>
        </is>
      </c>
      <c r="AC204" s="29" t="inlineStr">
        <is>
          <t>False</t>
        </is>
      </c>
      <c r="AD204" s="29" t="inlineStr">
        <is>
          <t>False</t>
        </is>
      </c>
      <c r="AE204" s="29" t="inlineStr">
        <is>
          <t>valuation_credit_ml_overlay_candidate.csv</t>
        </is>
      </c>
      <c r="AF204" s="29" t="inlineStr">
        <is>
          <t>208개 반도체 reference universe. Valuation Agent가 자체 intake 폴더로 복제해 Peer/ML/대시보드 비교에 사용.</t>
        </is>
      </c>
    </row>
    <row r="205" ht="24" customHeight="1">
      <c r="A205" s="24" t="inlineStr">
        <is>
          <t>58</t>
        </is>
      </c>
      <c r="B205" s="24" t="inlineStr">
        <is>
          <t>해당 없음</t>
        </is>
      </c>
      <c r="C205" s="24" t="inlineStr">
        <is>
          <t>알에프세미</t>
        </is>
      </c>
      <c r="D205" s="24" t="inlineStr">
        <is>
          <t>096610</t>
        </is>
      </c>
      <c r="E205" s="24" t="inlineStr">
        <is>
          <t>KOSDAQ</t>
        </is>
      </c>
      <c r="F205" s="24" t="inlineStr">
        <is>
          <t>팹리스/설계</t>
        </is>
      </c>
      <c r="G205" s="24" t="inlineStr">
        <is>
          <t>팹리스/설계</t>
        </is>
      </c>
      <c r="H205" s="24" t="inlineStr">
        <is>
          <t>False</t>
        </is>
      </c>
      <c r="I205" s="24" t="inlineStr">
        <is>
          <t>True</t>
        </is>
      </c>
      <c r="J205" s="24" t="inlineStr">
        <is>
          <t>OK</t>
        </is>
      </c>
      <c r="K205" s="24" t="inlineStr">
        <is>
          <t>데이터 사용 가능</t>
        </is>
      </c>
      <c r="L205" s="24" t="inlineStr">
        <is>
          <t>LOW</t>
        </is>
      </c>
      <c r="M205" s="24" t="inlineStr">
        <is>
          <t>LOW</t>
        </is>
      </c>
      <c r="N205" s="24" t="inlineStr">
        <is>
          <t>0.603030303030303</t>
        </is>
      </c>
      <c r="O205" s="24" t="inlineStr">
        <is>
          <t>ATTRACTIVE</t>
        </is>
      </c>
      <c r="P205" s="24" t="inlineStr">
        <is>
          <t>가치 매력</t>
        </is>
      </c>
      <c r="Q205" s="24" t="inlineStr">
        <is>
          <t>ATTRACTIVE</t>
        </is>
      </c>
      <c r="R205" s="24" t="inlineStr">
        <is>
          <t>0.8083150256499313</t>
        </is>
      </c>
      <c r="S205" s="24" t="inlineStr">
        <is>
          <t>HIGH</t>
        </is>
      </c>
      <c r="T205" s="24" t="inlineStr">
        <is>
          <t>HIGH</t>
        </is>
      </c>
      <c r="U205" s="24" t="inlineStr">
        <is>
          <t>0.0714285714285714</t>
        </is>
      </c>
      <c r="V205" s="24" t="inlineStr">
        <is>
          <t>LOW_RISK</t>
        </is>
      </c>
      <c r="W205" s="24" t="inlineStr">
        <is>
          <t>저위험</t>
        </is>
      </c>
      <c r="X205" s="24" t="inlineStr">
        <is>
          <t>LOW_RISK</t>
        </is>
      </c>
      <c r="Y205" s="24" t="inlineStr">
        <is>
          <t>0.8655657172147194</t>
        </is>
      </c>
      <c r="Z205" s="24" t="inlineStr">
        <is>
          <t>HIGH</t>
        </is>
      </c>
      <c r="AA205" s="24" t="inlineStr">
        <is>
          <t>HIGH</t>
        </is>
      </c>
      <c r="AB205" s="24" t="inlineStr">
        <is>
          <t>0.30686355706948754</t>
        </is>
      </c>
      <c r="AC205" s="24" t="inlineStr">
        <is>
          <t>True</t>
        </is>
      </c>
      <c r="AD205" s="24" t="inlineStr">
        <is>
          <t>True</t>
        </is>
      </c>
      <c r="AE205" s="24" t="inlineStr">
        <is>
          <t>valuation_credit_ml_overlay_candidate.csv</t>
        </is>
      </c>
      <c r="AF205" s="24" t="inlineStr">
        <is>
          <t>208개 반도체 reference universe. Valuation Agent가 자체 intake 폴더로 복제해 Peer/ML/대시보드 비교에 사용.</t>
        </is>
      </c>
    </row>
    <row r="206" ht="24" customHeight="1">
      <c r="A206" s="29" t="inlineStr">
        <is>
          <t>66</t>
        </is>
      </c>
      <c r="B206" s="29" t="inlineStr">
        <is>
          <t>해당 없음</t>
        </is>
      </c>
      <c r="C206" s="29" t="inlineStr">
        <is>
          <t>제주반도체</t>
        </is>
      </c>
      <c r="D206" s="29" t="inlineStr">
        <is>
          <t>080220</t>
        </is>
      </c>
      <c r="E206" s="29" t="inlineStr">
        <is>
          <t>KOSDAQ</t>
        </is>
      </c>
      <c r="F206" s="29" t="inlineStr">
        <is>
          <t>팹리스/설계</t>
        </is>
      </c>
      <c r="G206" s="29" t="inlineStr">
        <is>
          <t>팹리스/설계</t>
        </is>
      </c>
      <c r="H206" s="29" t="inlineStr">
        <is>
          <t>False</t>
        </is>
      </c>
      <c r="I206" s="29" t="inlineStr">
        <is>
          <t>True</t>
        </is>
      </c>
      <c r="J206" s="29" t="inlineStr">
        <is>
          <t>OK</t>
        </is>
      </c>
      <c r="K206" s="29" t="inlineStr">
        <is>
          <t>데이터 사용 가능</t>
        </is>
      </c>
      <c r="L206" s="29" t="inlineStr">
        <is>
          <t>LOW</t>
        </is>
      </c>
      <c r="M206" s="29" t="inlineStr">
        <is>
          <t>LOW</t>
        </is>
      </c>
      <c r="N206" s="29" t="inlineStr">
        <is>
          <t>0.5917171717171718</t>
        </is>
      </c>
      <c r="O206" s="29" t="inlineStr">
        <is>
          <t>ATTRACTIVE</t>
        </is>
      </c>
      <c r="P206" s="29" t="inlineStr">
        <is>
          <t>가치 매력</t>
        </is>
      </c>
      <c r="Q206" s="29" t="inlineStr">
        <is>
          <t>ATTRACTIVE</t>
        </is>
      </c>
      <c r="R206" s="29" t="inlineStr">
        <is>
          <t>0.6955424557105586</t>
        </is>
      </c>
      <c r="S206" s="29" t="inlineStr">
        <is>
          <t>MEDIUM</t>
        </is>
      </c>
      <c r="T206" s="29" t="inlineStr">
        <is>
          <t>MEDIUM</t>
        </is>
      </c>
      <c r="U206" s="29" t="inlineStr">
        <is>
          <t>0.0</t>
        </is>
      </c>
      <c r="V206" s="29" t="inlineStr">
        <is>
          <t>LOW_RISK</t>
        </is>
      </c>
      <c r="W206" s="29" t="inlineStr">
        <is>
          <t>저위험</t>
        </is>
      </c>
      <c r="X206" s="29" t="inlineStr">
        <is>
          <t>LOW_RISK</t>
        </is>
      </c>
      <c r="Y206" s="29" t="inlineStr">
        <is>
          <t>0.9206625395821784</t>
        </is>
      </c>
      <c r="Z206" s="29" t="inlineStr">
        <is>
          <t>HIGH</t>
        </is>
      </c>
      <c r="AA206" s="29" t="inlineStr">
        <is>
          <t>HIGH</t>
        </is>
      </c>
      <c r="AB206" s="29" t="inlineStr">
        <is>
          <t>0.022944474321634056</t>
        </is>
      </c>
      <c r="AC206" s="29" t="inlineStr">
        <is>
          <t>False</t>
        </is>
      </c>
      <c r="AD206" s="29" t="inlineStr">
        <is>
          <t>False</t>
        </is>
      </c>
      <c r="AE206" s="29" t="inlineStr">
        <is>
          <t>valuation_credit_ml_overlay_candidate.csv</t>
        </is>
      </c>
      <c r="AF206" s="29" t="inlineStr">
        <is>
          <t>208개 반도체 reference universe. Valuation Agent가 자체 intake 폴더로 복제해 Peer/ML/대시보드 비교에 사용.</t>
        </is>
      </c>
    </row>
    <row r="207" ht="24" customHeight="1">
      <c r="A207" s="24" t="inlineStr">
        <is>
          <t>71</t>
        </is>
      </c>
      <c r="B207" s="24" t="inlineStr">
        <is>
          <t>해당 없음</t>
        </is>
      </c>
      <c r="C207" s="24" t="inlineStr">
        <is>
          <t>티에스이</t>
        </is>
      </c>
      <c r="D207" s="24" t="inlineStr">
        <is>
          <t>131290</t>
        </is>
      </c>
      <c r="E207" s="24" t="inlineStr">
        <is>
          <t>KOSDAQ</t>
        </is>
      </c>
      <c r="F207" s="24" t="inlineStr">
        <is>
          <t>팹리스/설계</t>
        </is>
      </c>
      <c r="G207" s="24" t="inlineStr">
        <is>
          <t>팹리스/설계</t>
        </is>
      </c>
      <c r="H207" s="24" t="inlineStr">
        <is>
          <t>False</t>
        </is>
      </c>
      <c r="I207" s="24" t="inlineStr">
        <is>
          <t>True</t>
        </is>
      </c>
      <c r="J207" s="24" t="inlineStr">
        <is>
          <t>OK</t>
        </is>
      </c>
      <c r="K207" s="24" t="inlineStr">
        <is>
          <t>데이터 사용 가능</t>
        </is>
      </c>
      <c r="L207" s="24" t="inlineStr">
        <is>
          <t>LOW</t>
        </is>
      </c>
      <c r="M207" s="24" t="inlineStr">
        <is>
          <t>LOW</t>
        </is>
      </c>
      <c r="N207" s="24" t="inlineStr">
        <is>
          <t>0.5880808080808082</t>
        </is>
      </c>
      <c r="O207" s="24" t="inlineStr">
        <is>
          <t>ATTRACTIVE</t>
        </is>
      </c>
      <c r="P207" s="24" t="inlineStr">
        <is>
          <t>가치 매력</t>
        </is>
      </c>
      <c r="Q207" s="24" t="inlineStr">
        <is>
          <t>ATTRACTIVE</t>
        </is>
      </c>
      <c r="R207" s="24" t="inlineStr">
        <is>
          <t>0.7390287615028212</t>
        </is>
      </c>
      <c r="S207" s="24" t="inlineStr">
        <is>
          <t>HIGH</t>
        </is>
      </c>
      <c r="T207" s="24" t="inlineStr">
        <is>
          <t>HIGH</t>
        </is>
      </c>
      <c r="U207" s="24" t="inlineStr">
        <is>
          <t>0.0</t>
        </is>
      </c>
      <c r="V207" s="24" t="inlineStr">
        <is>
          <t>LOW_RISK</t>
        </is>
      </c>
      <c r="W207" s="24" t="inlineStr">
        <is>
          <t>저위험</t>
        </is>
      </c>
      <c r="X207" s="24" t="inlineStr">
        <is>
          <t>LOW_RISK</t>
        </is>
      </c>
      <c r="Y207" s="24" t="inlineStr">
        <is>
          <t>0.9709748314872512</t>
        </is>
      </c>
      <c r="Z207" s="24" t="inlineStr">
        <is>
          <t>HIGH</t>
        </is>
      </c>
      <c r="AA207" s="24" t="inlineStr">
        <is>
          <t>HIGH</t>
        </is>
      </c>
      <c r="AB207" s="24" t="inlineStr">
        <is>
          <t>0.018067787318761474</t>
        </is>
      </c>
      <c r="AC207" s="24" t="inlineStr">
        <is>
          <t>False</t>
        </is>
      </c>
      <c r="AD207" s="24" t="inlineStr">
        <is>
          <t>False</t>
        </is>
      </c>
      <c r="AE207" s="24" t="inlineStr">
        <is>
          <t>valuation_credit_ml_overlay_candidate.csv</t>
        </is>
      </c>
      <c r="AF207" s="24" t="inlineStr">
        <is>
          <t>208개 반도체 reference universe. Valuation Agent가 자체 intake 폴더로 복제해 Peer/ML/대시보드 비교에 사용.</t>
        </is>
      </c>
    </row>
    <row r="208" ht="24" customHeight="1">
      <c r="A208" s="29" t="inlineStr">
        <is>
          <t>53</t>
        </is>
      </c>
      <c r="B208" s="29" t="inlineStr">
        <is>
          <t>해당 없음</t>
        </is>
      </c>
      <c r="C208" s="29" t="inlineStr">
        <is>
          <t>아나패스</t>
        </is>
      </c>
      <c r="D208" s="29" t="inlineStr">
        <is>
          <t>123860</t>
        </is>
      </c>
      <c r="E208" s="29" t="inlineStr">
        <is>
          <t>KOSDAQ</t>
        </is>
      </c>
      <c r="F208" s="29" t="inlineStr">
        <is>
          <t>팹리스/설계</t>
        </is>
      </c>
      <c r="G208" s="29" t="inlineStr">
        <is>
          <t>팹리스/설계</t>
        </is>
      </c>
      <c r="H208" s="29" t="inlineStr">
        <is>
          <t>False</t>
        </is>
      </c>
      <c r="I208" s="29" t="inlineStr">
        <is>
          <t>True</t>
        </is>
      </c>
      <c r="J208" s="29" t="inlineStr">
        <is>
          <t>OK</t>
        </is>
      </c>
      <c r="K208" s="29" t="inlineStr">
        <is>
          <t>데이터 사용 가능</t>
        </is>
      </c>
      <c r="L208" s="29" t="inlineStr">
        <is>
          <t>LOW</t>
        </is>
      </c>
      <c r="M208" s="29" t="inlineStr">
        <is>
          <t>LOW</t>
        </is>
      </c>
      <c r="N208" s="29" t="inlineStr">
        <is>
          <t>0.5761616161616162</t>
        </is>
      </c>
      <c r="O208" s="29" t="inlineStr">
        <is>
          <t>FAIR</t>
        </is>
      </c>
      <c r="P208" s="29" t="inlineStr">
        <is>
          <t>FAIR</t>
        </is>
      </c>
      <c r="Q208" s="29" t="inlineStr">
        <is>
          <t>ATTRACTIVE</t>
        </is>
      </c>
      <c r="R208" s="29" t="inlineStr">
        <is>
          <t>0.510332377942325</t>
        </is>
      </c>
      <c r="S208" s="29" t="inlineStr">
        <is>
          <t>MEDIUM</t>
        </is>
      </c>
      <c r="T208" s="29" t="inlineStr">
        <is>
          <t>MEDIUM</t>
        </is>
      </c>
      <c r="U208" s="29" t="inlineStr">
        <is>
          <t>0.0</t>
        </is>
      </c>
      <c r="V208" s="29" t="inlineStr">
        <is>
          <t>LOW_RISK</t>
        </is>
      </c>
      <c r="W208" s="29" t="inlineStr">
        <is>
          <t>저위험</t>
        </is>
      </c>
      <c r="X208" s="29" t="inlineStr">
        <is>
          <t>LOW_RISK</t>
        </is>
      </c>
      <c r="Y208" s="29" t="inlineStr">
        <is>
          <t>0.9162612285765747</t>
        </is>
      </c>
      <c r="Z208" s="29" t="inlineStr">
        <is>
          <t>HIGH</t>
        </is>
      </c>
      <c r="AA208" s="29" t="inlineStr">
        <is>
          <t>HIGH</t>
        </is>
      </c>
      <c r="AB208" s="29" t="inlineStr">
        <is>
          <t>0.10416084144507474</t>
        </is>
      </c>
      <c r="AC208" s="29" t="inlineStr">
        <is>
          <t>False</t>
        </is>
      </c>
      <c r="AD208" s="29" t="inlineStr">
        <is>
          <t>False</t>
        </is>
      </c>
      <c r="AE208" s="29" t="inlineStr">
        <is>
          <t>valuation_credit_ml_overlay_candidate.csv</t>
        </is>
      </c>
      <c r="AF208" s="29" t="inlineStr">
        <is>
          <t>208개 반도체 reference universe. Valuation Agent가 자체 intake 폴더로 복제해 Peer/ML/대시보드 비교에 사용.</t>
        </is>
      </c>
    </row>
    <row r="209" ht="24" customHeight="1">
      <c r="A209" s="24" t="inlineStr">
        <is>
          <t>68</t>
        </is>
      </c>
      <c r="B209" s="24" t="inlineStr">
        <is>
          <t>해당 없음</t>
        </is>
      </c>
      <c r="C209" s="24" t="inlineStr">
        <is>
          <t>코아시아</t>
        </is>
      </c>
      <c r="D209" s="24" t="inlineStr">
        <is>
          <t>045970</t>
        </is>
      </c>
      <c r="E209" s="24" t="inlineStr">
        <is>
          <t>KOSDAQ</t>
        </is>
      </c>
      <c r="F209" s="24" t="inlineStr">
        <is>
          <t>팹리스/설계</t>
        </is>
      </c>
      <c r="G209" s="24" t="inlineStr">
        <is>
          <t>팹리스/설계</t>
        </is>
      </c>
      <c r="H209" s="24" t="inlineStr">
        <is>
          <t>False</t>
        </is>
      </c>
      <c r="I209" s="24" t="inlineStr">
        <is>
          <t>True</t>
        </is>
      </c>
      <c r="J209" s="24" t="inlineStr">
        <is>
          <t>OK</t>
        </is>
      </c>
      <c r="K209" s="24" t="inlineStr">
        <is>
          <t>데이터 사용 가능</t>
        </is>
      </c>
      <c r="L209" s="24" t="inlineStr">
        <is>
          <t>LOW</t>
        </is>
      </c>
      <c r="M209" s="24" t="inlineStr">
        <is>
          <t>LOW</t>
        </is>
      </c>
      <c r="N209" s="24" t="inlineStr">
        <is>
          <t>0.5612121212121212</t>
        </is>
      </c>
      <c r="O209" s="24" t="inlineStr">
        <is>
          <t>FAIR</t>
        </is>
      </c>
      <c r="P209" s="24" t="inlineStr">
        <is>
          <t>FAIR</t>
        </is>
      </c>
      <c r="Q209" s="24" t="inlineStr">
        <is>
          <t>FAIR</t>
        </is>
      </c>
      <c r="R209" s="24" t="inlineStr">
        <is>
          <t>0.811266524244761</t>
        </is>
      </c>
      <c r="S209" s="24" t="inlineStr">
        <is>
          <t>HIGH</t>
        </is>
      </c>
      <c r="T209" s="24" t="inlineStr">
        <is>
          <t>HIGH</t>
        </is>
      </c>
      <c r="U209" s="24" t="inlineStr">
        <is>
          <t>0.5</t>
        </is>
      </c>
      <c r="V209" s="24" t="inlineStr">
        <is>
          <t>HIGH_RISK</t>
        </is>
      </c>
      <c r="W209" s="24" t="inlineStr">
        <is>
          <t>고위험</t>
        </is>
      </c>
      <c r="X209" s="24" t="inlineStr">
        <is>
          <t>HIGH_RISK</t>
        </is>
      </c>
      <c r="Y209" s="24" t="inlineStr">
        <is>
          <t>0.7677840717507917</t>
        </is>
      </c>
      <c r="Z209" s="24" t="inlineStr">
        <is>
          <t>HIGH</t>
        </is>
      </c>
      <c r="AA209" s="24" t="inlineStr">
        <is>
          <t>HIGH</t>
        </is>
      </c>
      <c r="AB209" s="24" t="inlineStr">
        <is>
          <t>0.06747219473464933</t>
        </is>
      </c>
      <c r="AC209" s="24" t="inlineStr">
        <is>
          <t>False</t>
        </is>
      </c>
      <c r="AD209" s="24" t="inlineStr">
        <is>
          <t>False</t>
        </is>
      </c>
      <c r="AE209" s="24" t="inlineStr">
        <is>
          <t>valuation_credit_ml_overlay_candidate.csv</t>
        </is>
      </c>
      <c r="AF209" s="24" t="inlineStr">
        <is>
          <t>208개 반도체 reference universe. Valuation Agent가 자체 intake 폴더로 복제해 Peer/ML/대시보드 비교에 사용.</t>
        </is>
      </c>
    </row>
    <row r="210" ht="24" customHeight="1">
      <c r="A210" s="29" t="inlineStr">
        <is>
          <t>73</t>
        </is>
      </c>
      <c r="B210" s="29" t="inlineStr">
        <is>
          <t>해당 없음</t>
        </is>
      </c>
      <c r="C210" s="29" t="inlineStr">
        <is>
          <t>픽셀플러스</t>
        </is>
      </c>
      <c r="D210" s="29" t="inlineStr">
        <is>
          <t>087600</t>
        </is>
      </c>
      <c r="E210" s="29" t="inlineStr">
        <is>
          <t>KOSDAQ</t>
        </is>
      </c>
      <c r="F210" s="29" t="inlineStr">
        <is>
          <t>팹리스/설계</t>
        </is>
      </c>
      <c r="G210" s="29" t="inlineStr">
        <is>
          <t>팹리스/설계</t>
        </is>
      </c>
      <c r="H210" s="29" t="inlineStr">
        <is>
          <t>False</t>
        </is>
      </c>
      <c r="I210" s="29" t="inlineStr">
        <is>
          <t>True</t>
        </is>
      </c>
      <c r="J210" s="29" t="inlineStr">
        <is>
          <t>OK</t>
        </is>
      </c>
      <c r="K210" s="29" t="inlineStr">
        <is>
          <t>데이터 사용 가능</t>
        </is>
      </c>
      <c r="L210" s="29" t="inlineStr">
        <is>
          <t>LOW</t>
        </is>
      </c>
      <c r="M210" s="29" t="inlineStr">
        <is>
          <t>LOW</t>
        </is>
      </c>
      <c r="N210" s="29" t="inlineStr">
        <is>
          <t>0.543030303030303</t>
        </is>
      </c>
      <c r="O210" s="29" t="inlineStr">
        <is>
          <t>FAIR</t>
        </is>
      </c>
      <c r="P210" s="29" t="inlineStr">
        <is>
          <t>FAIR</t>
        </is>
      </c>
      <c r="Q210" s="29" t="inlineStr">
        <is>
          <t>FAIR</t>
        </is>
      </c>
      <c r="R210" s="29" t="inlineStr">
        <is>
          <t>0.8353732583827468</t>
        </is>
      </c>
      <c r="S210" s="29" t="inlineStr">
        <is>
          <t>HIGH</t>
        </is>
      </c>
      <c r="T210" s="29" t="inlineStr">
        <is>
          <t>HIGH</t>
        </is>
      </c>
      <c r="U210" s="29" t="inlineStr">
        <is>
          <t>0.2857142857142857</t>
        </is>
      </c>
      <c r="V210" s="29" t="inlineStr">
        <is>
          <t>MEDIUM_RISK</t>
        </is>
      </c>
      <c r="W210" s="29" t="inlineStr">
        <is>
          <t>중위험</t>
        </is>
      </c>
      <c r="X210" s="29" t="inlineStr">
        <is>
          <t>MEDIUM_RISK</t>
        </is>
      </c>
      <c r="Y210" s="29" t="inlineStr">
        <is>
          <t>0.8277119254156154</t>
        </is>
      </c>
      <c r="Z210" s="29" t="inlineStr">
        <is>
          <t>HIGH</t>
        </is>
      </c>
      <c r="AA210" s="29" t="inlineStr">
        <is>
          <t>HIGH</t>
        </is>
      </c>
      <c r="AB210" s="29" t="inlineStr">
        <is>
          <t>0.08861749399056779</t>
        </is>
      </c>
      <c r="AC210" s="29" t="inlineStr">
        <is>
          <t>False</t>
        </is>
      </c>
      <c r="AD210" s="29" t="inlineStr">
        <is>
          <t>False</t>
        </is>
      </c>
      <c r="AE210" s="29" t="inlineStr">
        <is>
          <t>valuation_credit_ml_overlay_candidate.csv</t>
        </is>
      </c>
      <c r="AF210" s="29" t="inlineStr">
        <is>
          <t>208개 반도체 reference universe. Valuation Agent가 자체 intake 폴더로 복제해 Peer/ML/대시보드 비교에 사용.</t>
        </is>
      </c>
    </row>
    <row r="211" ht="24" customHeight="1">
      <c r="A211" s="24" t="inlineStr">
        <is>
          <t>67</t>
        </is>
      </c>
      <c r="B211" s="24" t="inlineStr">
        <is>
          <t>해당 없음</t>
        </is>
      </c>
      <c r="C211" s="24" t="inlineStr">
        <is>
          <t>칩스앤미디어</t>
        </is>
      </c>
      <c r="D211" s="24" t="inlineStr">
        <is>
          <t>094360</t>
        </is>
      </c>
      <c r="E211" s="24" t="inlineStr">
        <is>
          <t>KOSDAQ</t>
        </is>
      </c>
      <c r="F211" s="24" t="inlineStr">
        <is>
          <t>팹리스/설계</t>
        </is>
      </c>
      <c r="G211" s="24" t="inlineStr">
        <is>
          <t>팹리스/설계</t>
        </is>
      </c>
      <c r="H211" s="24" t="inlineStr">
        <is>
          <t>False</t>
        </is>
      </c>
      <c r="I211" s="24" t="inlineStr">
        <is>
          <t>True</t>
        </is>
      </c>
      <c r="J211" s="24" t="inlineStr">
        <is>
          <t>OK</t>
        </is>
      </c>
      <c r="K211" s="24" t="inlineStr">
        <is>
          <t>데이터 사용 가능</t>
        </is>
      </c>
      <c r="L211" s="24" t="inlineStr">
        <is>
          <t>LOW</t>
        </is>
      </c>
      <c r="M211" s="24" t="inlineStr">
        <is>
          <t>LOW</t>
        </is>
      </c>
      <c r="N211" s="24" t="inlineStr">
        <is>
          <t>0.5424242424242424</t>
        </is>
      </c>
      <c r="O211" s="24" t="inlineStr">
        <is>
          <t>FAIR</t>
        </is>
      </c>
      <c r="P211" s="24" t="inlineStr">
        <is>
          <t>FAIR</t>
        </is>
      </c>
      <c r="Q211" s="24" t="inlineStr">
        <is>
          <t>FAIR</t>
        </is>
      </c>
      <c r="R211" s="24" t="inlineStr">
        <is>
          <t>0.44740744488593415</t>
        </is>
      </c>
      <c r="S211" s="24" t="inlineStr">
        <is>
          <t>LOW</t>
        </is>
      </c>
      <c r="T211" s="24" t="inlineStr">
        <is>
          <t>LOW</t>
        </is>
      </c>
      <c r="U211" s="24" t="inlineStr">
        <is>
          <t>0.0</t>
        </is>
      </c>
      <c r="V211" s="24" t="inlineStr">
        <is>
          <t>LOW_RISK</t>
        </is>
      </c>
      <c r="W211" s="24" t="inlineStr">
        <is>
          <t>저위험</t>
        </is>
      </c>
      <c r="X211" s="24" t="inlineStr">
        <is>
          <t>LOW_RISK</t>
        </is>
      </c>
      <c r="Y211" s="24" t="inlineStr">
        <is>
          <t>0.9394752479511282</t>
        </is>
      </c>
      <c r="Z211" s="24" t="inlineStr">
        <is>
          <t>HIGH</t>
        </is>
      </c>
      <c r="AA211" s="24" t="inlineStr">
        <is>
          <t>HIGH</t>
        </is>
      </c>
      <c r="AB211" s="24" t="inlineStr">
        <is>
          <t>0.1165162896524789</t>
        </is>
      </c>
      <c r="AC211" s="24" t="inlineStr">
        <is>
          <t>False</t>
        </is>
      </c>
      <c r="AD211" s="24" t="inlineStr">
        <is>
          <t>True</t>
        </is>
      </c>
      <c r="AE211" s="24" t="inlineStr">
        <is>
          <t>valuation_credit_ml_overlay_candidate.csv</t>
        </is>
      </c>
      <c r="AF211" s="24" t="inlineStr">
        <is>
          <t>208개 반도체 reference universe. Valuation Agent가 자체 intake 폴더로 복제해 Peer/ML/대시보드 비교에 사용.</t>
        </is>
      </c>
    </row>
    <row r="212" ht="24" customHeight="1">
      <c r="A212" s="29" t="inlineStr">
        <is>
          <t>57</t>
        </is>
      </c>
      <c r="B212" s="29" t="inlineStr">
        <is>
          <t>해당 없음</t>
        </is>
      </c>
      <c r="C212" s="29" t="inlineStr">
        <is>
          <t>아이케이세미콘</t>
        </is>
      </c>
      <c r="D212" s="29" t="inlineStr">
        <is>
          <t>149010</t>
        </is>
      </c>
      <c r="E212" s="29" t="inlineStr">
        <is>
          <t>KONEX</t>
        </is>
      </c>
      <c r="F212" s="29" t="inlineStr">
        <is>
          <t>팹리스/설계</t>
        </is>
      </c>
      <c r="G212" s="29" t="inlineStr">
        <is>
          <t>팹리스/설계</t>
        </is>
      </c>
      <c r="H212" s="29" t="inlineStr">
        <is>
          <t>False</t>
        </is>
      </c>
      <c r="I212" s="29" t="inlineStr">
        <is>
          <t>True</t>
        </is>
      </c>
      <c r="J212" s="29" t="inlineStr">
        <is>
          <t>NO_DART_FINANCIAL_DATA</t>
        </is>
      </c>
      <c r="K212" s="29" t="inlineStr">
        <is>
          <t>데이터 사용 가능</t>
        </is>
      </c>
      <c r="L212" s="29" t="inlineStr">
        <is>
          <t>HIGH</t>
        </is>
      </c>
      <c r="M212" s="29" t="inlineStr">
        <is>
          <t>HIGH</t>
        </is>
      </c>
      <c r="N212" s="29" t="inlineStr">
        <is>
          <t>0.497979797979798</t>
        </is>
      </c>
      <c r="O212" s="29" t="inlineStr">
        <is>
          <t>FAIR</t>
        </is>
      </c>
      <c r="P212" s="29" t="inlineStr">
        <is>
          <t>FAIR</t>
        </is>
      </c>
      <c r="Q212" s="29" t="inlineStr">
        <is>
          <t>FAIR</t>
        </is>
      </c>
      <c r="R212" s="29" t="inlineStr">
        <is>
          <t>0.9626560040296214</t>
        </is>
      </c>
      <c r="S212" s="29" t="inlineStr">
        <is>
          <t>HIGH</t>
        </is>
      </c>
      <c r="T212" s="29" t="inlineStr">
        <is>
          <t>HIGH</t>
        </is>
      </c>
      <c r="U212" s="29" t="inlineStr">
        <is>
          <t>0.6428571428571429</t>
        </is>
      </c>
      <c r="V212" s="29" t="inlineStr">
        <is>
          <t>HIGH_RISK</t>
        </is>
      </c>
      <c r="W212" s="29" t="inlineStr">
        <is>
          <t>고위험</t>
        </is>
      </c>
      <c r="X212" s="29" t="inlineStr">
        <is>
          <t>HIGH_RISK</t>
        </is>
      </c>
      <c r="Y212" s="29" t="inlineStr">
        <is>
          <t>0.7070645883552188</t>
        </is>
      </c>
      <c r="Z212" s="29" t="inlineStr">
        <is>
          <t>HIGH</t>
        </is>
      </c>
      <c r="AA212" s="29" t="inlineStr">
        <is>
          <t>HIGH</t>
        </is>
      </c>
      <c r="AB212" s="29" t="inlineStr">
        <is>
          <t>0.07589516599498297</t>
        </is>
      </c>
      <c r="AC212" s="29" t="inlineStr">
        <is>
          <t>False</t>
        </is>
      </c>
      <c r="AD212" s="29" t="inlineStr">
        <is>
          <t>True</t>
        </is>
      </c>
      <c r="AE212" s="29" t="inlineStr">
        <is>
          <t>valuation_credit_ml_overlay_candidate.csv</t>
        </is>
      </c>
      <c r="AF212" s="29" t="inlineStr">
        <is>
          <t>208개 반도체 reference universe. Valuation Agent가 자체 intake 폴더로 복제해 Peer/ML/대시보드 비교에 사용.</t>
        </is>
      </c>
    </row>
    <row r="213" ht="24" customHeight="1">
      <c r="A213" s="24" t="inlineStr">
        <is>
          <t>70</t>
        </is>
      </c>
      <c r="B213" s="24" t="inlineStr">
        <is>
          <t>해당 없음</t>
        </is>
      </c>
      <c r="C213" s="24" t="inlineStr">
        <is>
          <t>텔레칩스</t>
        </is>
      </c>
      <c r="D213" s="24" t="inlineStr">
        <is>
          <t>054450</t>
        </is>
      </c>
      <c r="E213" s="24" t="inlineStr">
        <is>
          <t>KOSDAQ</t>
        </is>
      </c>
      <c r="F213" s="24" t="inlineStr">
        <is>
          <t>팹리스/설계</t>
        </is>
      </c>
      <c r="G213" s="24" t="inlineStr">
        <is>
          <t>팹리스/설계</t>
        </is>
      </c>
      <c r="H213" s="24" t="inlineStr">
        <is>
          <t>False</t>
        </is>
      </c>
      <c r="I213" s="24" t="inlineStr">
        <is>
          <t>True</t>
        </is>
      </c>
      <c r="J213" s="24" t="inlineStr">
        <is>
          <t>OK</t>
        </is>
      </c>
      <c r="K213" s="24" t="inlineStr">
        <is>
          <t>데이터 사용 가능</t>
        </is>
      </c>
      <c r="L213" s="24" t="inlineStr">
        <is>
          <t>LOW</t>
        </is>
      </c>
      <c r="M213" s="24" t="inlineStr">
        <is>
          <t>LOW</t>
        </is>
      </c>
      <c r="N213" s="24" t="inlineStr">
        <is>
          <t>0.4943434343434343</t>
        </is>
      </c>
      <c r="O213" s="24" t="inlineStr">
        <is>
          <t>FAIR</t>
        </is>
      </c>
      <c r="P213" s="24" t="inlineStr">
        <is>
          <t>FAIR</t>
        </is>
      </c>
      <c r="Q213" s="24" t="inlineStr">
        <is>
          <t>EXPENSIVE</t>
        </is>
      </c>
      <c r="R213" s="24" t="inlineStr">
        <is>
          <t>0.5716537225721987</t>
        </is>
      </c>
      <c r="S213" s="24" t="inlineStr">
        <is>
          <t>MEDIUM</t>
        </is>
      </c>
      <c r="T213" s="24" t="inlineStr">
        <is>
          <t>MEDIUM</t>
        </is>
      </c>
      <c r="U213" s="24" t="inlineStr">
        <is>
          <t>0.7142857142857143</t>
        </is>
      </c>
      <c r="V213" s="24" t="inlineStr">
        <is>
          <t>HIGH_RISK</t>
        </is>
      </c>
      <c r="W213" s="24" t="inlineStr">
        <is>
          <t>고위험</t>
        </is>
      </c>
      <c r="X213" s="24" t="inlineStr">
        <is>
          <t>HIGH_RISK</t>
        </is>
      </c>
      <c r="Y213" s="24" t="inlineStr">
        <is>
          <t>0.9759550340612091</t>
        </is>
      </c>
      <c r="Z213" s="24" t="inlineStr">
        <is>
          <t>HIGH</t>
        </is>
      </c>
      <c r="AA213" s="24" t="inlineStr">
        <is>
          <t>HIGH</t>
        </is>
      </c>
      <c r="AB213" s="24" t="inlineStr">
        <is>
          <t>0.07328745198510121</t>
        </is>
      </c>
      <c r="AC213" s="24" t="inlineStr">
        <is>
          <t>False</t>
        </is>
      </c>
      <c r="AD213" s="24" t="inlineStr">
        <is>
          <t>False</t>
        </is>
      </c>
      <c r="AE213" s="24" t="inlineStr">
        <is>
          <t>valuation_credit_ml_overlay_candidate.csv</t>
        </is>
      </c>
      <c r="AF213" s="24" t="inlineStr">
        <is>
          <t>208개 반도체 reference universe. Valuation Agent가 자체 intake 폴더로 복제해 Peer/ML/대시보드 비교에 사용.</t>
        </is>
      </c>
    </row>
    <row r="214" ht="24" customHeight="1">
      <c r="A214" s="29" t="inlineStr">
        <is>
          <t>59</t>
        </is>
      </c>
      <c r="B214" s="29" t="inlineStr">
        <is>
          <t>해당 없음</t>
        </is>
      </c>
      <c r="C214" s="29" t="inlineStr">
        <is>
          <t>알파칩스</t>
        </is>
      </c>
      <c r="D214" s="29" t="inlineStr">
        <is>
          <t>117670</t>
        </is>
      </c>
      <c r="E214" s="29" t="inlineStr">
        <is>
          <t>KOSDAQ</t>
        </is>
      </c>
      <c r="F214" s="29" t="inlineStr">
        <is>
          <t>팹리스/설계</t>
        </is>
      </c>
      <c r="G214" s="29" t="inlineStr">
        <is>
          <t>팹리스/설계</t>
        </is>
      </c>
      <c r="H214" s="29" t="inlineStr">
        <is>
          <t>False</t>
        </is>
      </c>
      <c r="I214" s="29" t="inlineStr">
        <is>
          <t>True</t>
        </is>
      </c>
      <c r="J214" s="29" t="inlineStr">
        <is>
          <t>OK</t>
        </is>
      </c>
      <c r="K214" s="29" t="inlineStr">
        <is>
          <t>데이터 사용 가능</t>
        </is>
      </c>
      <c r="L214" s="29" t="inlineStr">
        <is>
          <t>LOW</t>
        </is>
      </c>
      <c r="M214" s="29" t="inlineStr">
        <is>
          <t>LOW</t>
        </is>
      </c>
      <c r="N214" s="29" t="inlineStr">
        <is>
          <t>0.4826262626262627</t>
        </is>
      </c>
      <c r="O214" s="29" t="inlineStr">
        <is>
          <t>FAIR</t>
        </is>
      </c>
      <c r="P214" s="29" t="inlineStr">
        <is>
          <t>FAIR</t>
        </is>
      </c>
      <c r="Q214" s="29" t="inlineStr">
        <is>
          <t>FAIR</t>
        </is>
      </c>
      <c r="R214" s="29" t="inlineStr">
        <is>
          <t>0.7398835550872951</t>
        </is>
      </c>
      <c r="S214" s="29" t="inlineStr">
        <is>
          <t>HIGH</t>
        </is>
      </c>
      <c r="T214" s="29" t="inlineStr">
        <is>
          <t>HIGH</t>
        </is>
      </c>
      <c r="U214" s="29" t="inlineStr">
        <is>
          <t>0.2857142857142857</t>
        </is>
      </c>
      <c r="V214" s="29" t="inlineStr">
        <is>
          <t>MEDIUM_RISK</t>
        </is>
      </c>
      <c r="W214" s="29" t="inlineStr">
        <is>
          <t>중위험</t>
        </is>
      </c>
      <c r="X214" s="29" t="inlineStr">
        <is>
          <t>MEDIUM_RISK</t>
        </is>
      </c>
      <c r="Y214" s="29" t="inlineStr">
        <is>
          <t>0.8321400367761521</t>
        </is>
      </c>
      <c r="Z214" s="29" t="inlineStr">
        <is>
          <t>HIGH</t>
        </is>
      </c>
      <c r="AA214" s="29" t="inlineStr">
        <is>
          <t>HIGH</t>
        </is>
      </c>
      <c r="AB214" s="29" t="inlineStr">
        <is>
          <t>0.06605777558134833</t>
        </is>
      </c>
      <c r="AC214" s="29" t="inlineStr">
        <is>
          <t>False</t>
        </is>
      </c>
      <c r="AD214" s="29" t="inlineStr">
        <is>
          <t>False</t>
        </is>
      </c>
      <c r="AE214" s="29" t="inlineStr">
        <is>
          <t>valuation_credit_ml_overlay_candidate.csv</t>
        </is>
      </c>
      <c r="AF214" s="29" t="inlineStr">
        <is>
          <t>208개 반도체 reference universe. Valuation Agent가 자체 intake 폴더로 복제해 Peer/ML/대시보드 비교에 사용.</t>
        </is>
      </c>
    </row>
    <row r="215" ht="24" customHeight="1">
      <c r="A215" s="24" t="inlineStr">
        <is>
          <t>46</t>
        </is>
      </c>
      <c r="B215" s="24" t="inlineStr">
        <is>
          <t>해당 없음</t>
        </is>
      </c>
      <c r="C215" s="24" t="inlineStr">
        <is>
          <t>라온로보틱스</t>
        </is>
      </c>
      <c r="D215" s="24" t="inlineStr">
        <is>
          <t>232680</t>
        </is>
      </c>
      <c r="E215" s="24" t="inlineStr">
        <is>
          <t>KOSDAQ</t>
        </is>
      </c>
      <c r="F215" s="24" t="inlineStr">
        <is>
          <t>팹리스/설계</t>
        </is>
      </c>
      <c r="G215" s="24" t="inlineStr">
        <is>
          <t>팹리스/설계</t>
        </is>
      </c>
      <c r="H215" s="24" t="inlineStr">
        <is>
          <t>False</t>
        </is>
      </c>
      <c r="I215" s="24" t="inlineStr">
        <is>
          <t>True</t>
        </is>
      </c>
      <c r="J215" s="24" t="inlineStr">
        <is>
          <t>OK</t>
        </is>
      </c>
      <c r="K215" s="24" t="inlineStr">
        <is>
          <t>데이터 사용 가능</t>
        </is>
      </c>
      <c r="L215" s="24" t="inlineStr">
        <is>
          <t>LOW</t>
        </is>
      </c>
      <c r="M215" s="24" t="inlineStr">
        <is>
          <t>LOW</t>
        </is>
      </c>
      <c r="N215" s="24" t="inlineStr">
        <is>
          <t>0.4745454545454545</t>
        </is>
      </c>
      <c r="O215" s="24" t="inlineStr">
        <is>
          <t>FAIR</t>
        </is>
      </c>
      <c r="P215" s="24" t="inlineStr">
        <is>
          <t>FAIR</t>
        </is>
      </c>
      <c r="Q215" s="24" t="inlineStr">
        <is>
          <t>FAIR</t>
        </is>
      </c>
      <c r="R215" s="24" t="inlineStr">
        <is>
          <t>0.7863374675167921</t>
        </is>
      </c>
      <c r="S215" s="24" t="inlineStr">
        <is>
          <t>HIGH</t>
        </is>
      </c>
      <c r="T215" s="24" t="inlineStr">
        <is>
          <t>HIGH</t>
        </is>
      </c>
      <c r="U215" s="24" t="inlineStr">
        <is>
          <t>0.1428571428571428</t>
        </is>
      </c>
      <c r="V215" s="24" t="inlineStr">
        <is>
          <t>LOW_RISK</t>
        </is>
      </c>
      <c r="W215" s="24" t="inlineStr">
        <is>
          <t>저위험</t>
        </is>
      </c>
      <c r="X215" s="24" t="inlineStr">
        <is>
          <t>LOW_RISK</t>
        </is>
      </c>
      <c r="Y215" s="24" t="inlineStr">
        <is>
          <t>0.6877521386643212</t>
        </is>
      </c>
      <c r="Z215" s="24" t="inlineStr">
        <is>
          <t>MEDIUM</t>
        </is>
      </c>
      <c r="AA215" s="24" t="inlineStr">
        <is>
          <t>MEDIUM</t>
        </is>
      </c>
      <c r="AB215" s="24" t="inlineStr">
        <is>
          <t>0.026169607074936322</t>
        </is>
      </c>
      <c r="AC215" s="24" t="inlineStr">
        <is>
          <t>False</t>
        </is>
      </c>
      <c r="AD215" s="24" t="inlineStr">
        <is>
          <t>False</t>
        </is>
      </c>
      <c r="AE215" s="24" t="inlineStr">
        <is>
          <t>valuation_credit_ml_overlay_candidate.csv</t>
        </is>
      </c>
      <c r="AF215" s="24" t="inlineStr">
        <is>
          <t>208개 반도체 reference universe. Valuation Agent가 자체 intake 폴더로 복제해 Peer/ML/대시보드 비교에 사용.</t>
        </is>
      </c>
    </row>
    <row r="216" ht="24" customHeight="1">
      <c r="A216" s="29" t="inlineStr">
        <is>
          <t>51</t>
        </is>
      </c>
      <c r="B216" s="29" t="inlineStr">
        <is>
          <t>해당 없음</t>
        </is>
      </c>
      <c r="C216" s="29" t="inlineStr">
        <is>
          <t>싸이닉솔루션</t>
        </is>
      </c>
      <c r="D216" s="29" t="inlineStr">
        <is>
          <t>234030</t>
        </is>
      </c>
      <c r="E216" s="29" t="inlineStr">
        <is>
          <t>KOSDAQ</t>
        </is>
      </c>
      <c r="F216" s="29" t="inlineStr">
        <is>
          <t>팹리스/설계</t>
        </is>
      </c>
      <c r="G216" s="29" t="inlineStr">
        <is>
          <t>팹리스/설계</t>
        </is>
      </c>
      <c r="H216" s="29" t="inlineStr">
        <is>
          <t>False</t>
        </is>
      </c>
      <c r="I216" s="29" t="inlineStr">
        <is>
          <t>True</t>
        </is>
      </c>
      <c r="J216" s="29" t="inlineStr">
        <is>
          <t>OK_LIMITED_HISTORY_OR_GROWTH_NA</t>
        </is>
      </c>
      <c r="K216" s="29" t="inlineStr">
        <is>
          <t>데이터 사용 가능</t>
        </is>
      </c>
      <c r="L216" s="29" t="inlineStr">
        <is>
          <t>LOW</t>
        </is>
      </c>
      <c r="M216" s="29" t="inlineStr">
        <is>
          <t>LOW</t>
        </is>
      </c>
      <c r="N216" s="29" t="inlineStr">
        <is>
          <t>0.4670707070707071</t>
        </is>
      </c>
      <c r="O216" s="29" t="inlineStr">
        <is>
          <t>FAIR</t>
        </is>
      </c>
      <c r="P216" s="29" t="inlineStr">
        <is>
          <t>FAIR</t>
        </is>
      </c>
      <c r="Q216" s="29" t="inlineStr">
        <is>
          <t>FAIR</t>
        </is>
      </c>
      <c r="R216" s="29" t="inlineStr">
        <is>
          <t>0.7962034217650586</t>
        </is>
      </c>
      <c r="S216" s="29" t="inlineStr">
        <is>
          <t>HIGH</t>
        </is>
      </c>
      <c r="T216" s="29" t="inlineStr">
        <is>
          <t>HIGH</t>
        </is>
      </c>
      <c r="U216" s="29" t="inlineStr">
        <is>
          <t>0.3571428571428571</t>
        </is>
      </c>
      <c r="V216" s="29" t="inlineStr">
        <is>
          <t>MEDIUM_RISK</t>
        </is>
      </c>
      <c r="W216" s="29" t="inlineStr">
        <is>
          <t>중위험</t>
        </is>
      </c>
      <c r="X216" s="29" t="inlineStr">
        <is>
          <t>MEDIUM_RISK</t>
        </is>
      </c>
      <c r="Y216" s="29" t="inlineStr">
        <is>
          <t>0.7381251250014311</t>
        </is>
      </c>
      <c r="Z216" s="29" t="inlineStr">
        <is>
          <t>HIGH</t>
        </is>
      </c>
      <c r="AA216" s="29" t="inlineStr">
        <is>
          <t>HIGH</t>
        </is>
      </c>
      <c r="AB216" s="29" t="inlineStr">
        <is>
          <t>0.06902922032160619</t>
        </is>
      </c>
      <c r="AC216" s="29" t="inlineStr">
        <is>
          <t>False</t>
        </is>
      </c>
      <c r="AD216" s="29" t="inlineStr">
        <is>
          <t>True</t>
        </is>
      </c>
      <c r="AE216" s="29" t="inlineStr">
        <is>
          <t>valuation_credit_ml_overlay_candidate.csv</t>
        </is>
      </c>
      <c r="AF216" s="29" t="inlineStr">
        <is>
          <t>208개 반도체 reference universe. Valuation Agent가 자체 intake 폴더로 복제해 Peer/ML/대시보드 비교에 사용.</t>
        </is>
      </c>
    </row>
    <row r="217" ht="24" customHeight="1">
      <c r="A217" s="24" t="inlineStr">
        <is>
          <t>56</t>
        </is>
      </c>
      <c r="B217" s="24" t="inlineStr">
        <is>
          <t>해당 없음</t>
        </is>
      </c>
      <c r="C217" s="24" t="inlineStr">
        <is>
          <t>아이언디바이스</t>
        </is>
      </c>
      <c r="D217" s="24" t="inlineStr">
        <is>
          <t>464500</t>
        </is>
      </c>
      <c r="E217" s="24" t="inlineStr">
        <is>
          <t>KOSDAQ</t>
        </is>
      </c>
      <c r="F217" s="24" t="inlineStr">
        <is>
          <t>팹리스/설계</t>
        </is>
      </c>
      <c r="G217" s="24" t="inlineStr">
        <is>
          <t>팹리스/설계</t>
        </is>
      </c>
      <c r="H217" s="24" t="inlineStr">
        <is>
          <t>False</t>
        </is>
      </c>
      <c r="I217" s="24" t="inlineStr">
        <is>
          <t>True</t>
        </is>
      </c>
      <c r="J217" s="24" t="inlineStr">
        <is>
          <t>OK_LIMITED_HISTORY_OR_GROWTH_NA</t>
        </is>
      </c>
      <c r="K217" s="24" t="inlineStr">
        <is>
          <t>데이터 사용 가능</t>
        </is>
      </c>
      <c r="L217" s="24" t="inlineStr">
        <is>
          <t>LOW</t>
        </is>
      </c>
      <c r="M217" s="24" t="inlineStr">
        <is>
          <t>LOW</t>
        </is>
      </c>
      <c r="N217" s="24" t="inlineStr">
        <is>
          <t>0.4278787878787879</t>
        </is>
      </c>
      <c r="O217" s="24" t="inlineStr">
        <is>
          <t>FAIR</t>
        </is>
      </c>
      <c r="P217" s="24" t="inlineStr">
        <is>
          <t>FAIR</t>
        </is>
      </c>
      <c r="Q217" s="24" t="inlineStr">
        <is>
          <t>EXPENSIVE</t>
        </is>
      </c>
      <c r="R217" s="24" t="inlineStr">
        <is>
          <t>0.767854918982104</t>
        </is>
      </c>
      <c r="S217" s="24" t="inlineStr">
        <is>
          <t>HIGH</t>
        </is>
      </c>
      <c r="T217" s="24" t="inlineStr">
        <is>
          <t>HIGH</t>
        </is>
      </c>
      <c r="U217" s="24" t="inlineStr">
        <is>
          <t>0.5714285714285714</t>
        </is>
      </c>
      <c r="V217" s="24" t="inlineStr">
        <is>
          <t>HIGH_RISK</t>
        </is>
      </c>
      <c r="W217" s="24" t="inlineStr">
        <is>
          <t>고위험</t>
        </is>
      </c>
      <c r="X217" s="24" t="inlineStr">
        <is>
          <t>HIGH_RISK</t>
        </is>
      </c>
      <c r="Y217" s="24" t="inlineStr">
        <is>
          <t>0.9669454138137473</t>
        </is>
      </c>
      <c r="Z217" s="24" t="inlineStr">
        <is>
          <t>HIGH</t>
        </is>
      </c>
      <c r="AA217" s="24" t="inlineStr">
        <is>
          <t>HIGH</t>
        </is>
      </c>
      <c r="AB217" s="24" t="inlineStr">
        <is>
          <t>0.37904191381671964</t>
        </is>
      </c>
      <c r="AC217" s="24" t="inlineStr">
        <is>
          <t>True</t>
        </is>
      </c>
      <c r="AD217" s="24" t="inlineStr">
        <is>
          <t>True</t>
        </is>
      </c>
      <c r="AE217" s="24" t="inlineStr">
        <is>
          <t>valuation_credit_ml_overlay_candidate.csv</t>
        </is>
      </c>
      <c r="AF217" s="24" t="inlineStr">
        <is>
          <t>208개 반도체 reference universe. Valuation Agent가 자체 intake 폴더로 복제해 Peer/ML/대시보드 비교에 사용.</t>
        </is>
      </c>
    </row>
    <row r="218" ht="24" customHeight="1">
      <c r="A218" s="29" t="inlineStr">
        <is>
          <t>52</t>
        </is>
      </c>
      <c r="B218" s="29" t="inlineStr">
        <is>
          <t>해당 없음</t>
        </is>
      </c>
      <c r="C218" s="29" t="inlineStr">
        <is>
          <t>쓰리에이로직스</t>
        </is>
      </c>
      <c r="D218" s="29" t="inlineStr">
        <is>
          <t>177900</t>
        </is>
      </c>
      <c r="E218" s="29" t="inlineStr">
        <is>
          <t>KOSDAQ</t>
        </is>
      </c>
      <c r="F218" s="29" t="inlineStr">
        <is>
          <t>팹리스/설계</t>
        </is>
      </c>
      <c r="G218" s="29" t="inlineStr">
        <is>
          <t>팹리스/설계</t>
        </is>
      </c>
      <c r="H218" s="29" t="inlineStr">
        <is>
          <t>False</t>
        </is>
      </c>
      <c r="I218" s="29" t="inlineStr">
        <is>
          <t>True</t>
        </is>
      </c>
      <c r="J218" s="29" t="inlineStr">
        <is>
          <t>OK_LIMITED_HISTORY_OR_GROWTH_NA</t>
        </is>
      </c>
      <c r="K218" s="29" t="inlineStr">
        <is>
          <t>데이터 사용 가능</t>
        </is>
      </c>
      <c r="L218" s="29" t="inlineStr">
        <is>
          <t>LOW</t>
        </is>
      </c>
      <c r="M218" s="29" t="inlineStr">
        <is>
          <t>LOW</t>
        </is>
      </c>
      <c r="N218" s="29" t="inlineStr">
        <is>
          <t>0.4266666666666666</t>
        </is>
      </c>
      <c r="O218" s="29" t="inlineStr">
        <is>
          <t>FAIR</t>
        </is>
      </c>
      <c r="P218" s="29" t="inlineStr">
        <is>
          <t>FAIR</t>
        </is>
      </c>
      <c r="Q218" s="29" t="inlineStr">
        <is>
          <t>EXPENSIVE</t>
        </is>
      </c>
      <c r="R218" s="29" t="inlineStr">
        <is>
          <t>0.5793703556022938</t>
        </is>
      </c>
      <c r="S218" s="29" t="inlineStr">
        <is>
          <t>MEDIUM</t>
        </is>
      </c>
      <c r="T218" s="29" t="inlineStr">
        <is>
          <t>MEDIUM</t>
        </is>
      </c>
      <c r="U218" s="29" t="inlineStr">
        <is>
          <t>0.5714285714285714</t>
        </is>
      </c>
      <c r="V218" s="29" t="inlineStr">
        <is>
          <t>HIGH_RISK</t>
        </is>
      </c>
      <c r="W218" s="29" t="inlineStr">
        <is>
          <t>고위험</t>
        </is>
      </c>
      <c r="X218" s="29" t="inlineStr">
        <is>
          <t>HIGH_RISK</t>
        </is>
      </c>
      <c r="Y218" s="29" t="inlineStr">
        <is>
          <t>0.947298040301951</t>
        </is>
      </c>
      <c r="Z218" s="29" t="inlineStr">
        <is>
          <t>HIGH</t>
        </is>
      </c>
      <c r="AA218" s="29" t="inlineStr">
        <is>
          <t>HIGH</t>
        </is>
      </c>
      <c r="AB218" s="29" t="inlineStr">
        <is>
          <t>0.09970421258194967</t>
        </is>
      </c>
      <c r="AC218" s="29" t="inlineStr">
        <is>
          <t>False</t>
        </is>
      </c>
      <c r="AD218" s="29" t="inlineStr">
        <is>
          <t>True</t>
        </is>
      </c>
      <c r="AE218" s="29" t="inlineStr">
        <is>
          <t>valuation_credit_ml_overlay_candidate.csv</t>
        </is>
      </c>
      <c r="AF218" s="29" t="inlineStr">
        <is>
          <t>208개 반도체 reference universe. Valuation Agent가 자체 intake 폴더로 복제해 Peer/ML/대시보드 비교에 사용.</t>
        </is>
      </c>
    </row>
    <row r="219" ht="24" customHeight="1">
      <c r="A219" s="24" t="inlineStr">
        <is>
          <t>43</t>
        </is>
      </c>
      <c r="B219" s="24" t="inlineStr">
        <is>
          <t>해당 없음</t>
        </is>
      </c>
      <c r="C219" s="24" t="inlineStr">
        <is>
          <t>넥스트칩</t>
        </is>
      </c>
      <c r="D219" s="24" t="inlineStr">
        <is>
          <t>396270</t>
        </is>
      </c>
      <c r="E219" s="24" t="inlineStr">
        <is>
          <t>KOSDAQ</t>
        </is>
      </c>
      <c r="F219" s="24" t="inlineStr">
        <is>
          <t>팹리스/설계</t>
        </is>
      </c>
      <c r="G219" s="24" t="inlineStr">
        <is>
          <t>팹리스/설계</t>
        </is>
      </c>
      <c r="H219" s="24" t="inlineStr">
        <is>
          <t>False</t>
        </is>
      </c>
      <c r="I219" s="24" t="inlineStr">
        <is>
          <t>True</t>
        </is>
      </c>
      <c r="J219" s="24" t="inlineStr">
        <is>
          <t>OK</t>
        </is>
      </c>
      <c r="K219" s="24" t="inlineStr">
        <is>
          <t>데이터 사용 가능</t>
        </is>
      </c>
      <c r="L219" s="24" t="inlineStr">
        <is>
          <t>LOW</t>
        </is>
      </c>
      <c r="M219" s="24" t="inlineStr">
        <is>
          <t>LOW</t>
        </is>
      </c>
      <c r="N219" s="24" t="inlineStr">
        <is>
          <t>0.3743434343434344</t>
        </is>
      </c>
      <c r="O219" s="24" t="inlineStr">
        <is>
          <t>EXPENSIVE</t>
        </is>
      </c>
      <c r="P219" s="24" t="inlineStr">
        <is>
          <t>EXPENSIVE</t>
        </is>
      </c>
      <c r="Q219" s="24" t="inlineStr">
        <is>
          <t>EXPENSIVE</t>
        </is>
      </c>
      <c r="R219" s="24" t="inlineStr">
        <is>
          <t>0.9380466040149497</t>
        </is>
      </c>
      <c r="S219" s="24" t="inlineStr">
        <is>
          <t>HIGH</t>
        </is>
      </c>
      <c r="T219" s="24" t="inlineStr">
        <is>
          <t>HIGH</t>
        </is>
      </c>
      <c r="U219" s="24" t="inlineStr">
        <is>
          <t>0.7142857142857143</t>
        </is>
      </c>
      <c r="V219" s="24" t="inlineStr">
        <is>
          <t>HIGH_RISK</t>
        </is>
      </c>
      <c r="W219" s="24" t="inlineStr">
        <is>
          <t>고위험</t>
        </is>
      </c>
      <c r="X219" s="24" t="inlineStr">
        <is>
          <t>HIGH_RISK</t>
        </is>
      </c>
      <c r="Y219" s="24" t="inlineStr">
        <is>
          <t>0.9903921975513593</t>
        </is>
      </c>
      <c r="Z219" s="24" t="inlineStr">
        <is>
          <t>HIGH</t>
        </is>
      </c>
      <c r="AA219" s="24" t="inlineStr">
        <is>
          <t>HIGH</t>
        </is>
      </c>
      <c r="AB219" s="24" t="inlineStr">
        <is>
          <t>0.35370954409664757</t>
        </is>
      </c>
      <c r="AC219" s="24" t="inlineStr">
        <is>
          <t>True</t>
        </is>
      </c>
      <c r="AD219" s="24" t="inlineStr">
        <is>
          <t>True</t>
        </is>
      </c>
      <c r="AE219" s="24" t="inlineStr">
        <is>
          <t>valuation_credit_ml_overlay_candidate.csv</t>
        </is>
      </c>
      <c r="AF219" s="24" t="inlineStr">
        <is>
          <t>208개 반도체 reference universe. Valuation Agent가 자체 intake 폴더로 복제해 Peer/ML/대시보드 비교에 사용.</t>
        </is>
      </c>
    </row>
    <row r="220" ht="24" customHeight="1">
      <c r="A220" s="29" t="inlineStr">
        <is>
          <t>49</t>
        </is>
      </c>
      <c r="B220" s="29" t="inlineStr">
        <is>
          <t>해당 없음</t>
        </is>
      </c>
      <c r="C220" s="29" t="inlineStr">
        <is>
          <t>사피엔반도체</t>
        </is>
      </c>
      <c r="D220" s="29" t="inlineStr">
        <is>
          <t>452430</t>
        </is>
      </c>
      <c r="E220" s="29" t="inlineStr">
        <is>
          <t>KOSDAQ</t>
        </is>
      </c>
      <c r="F220" s="29" t="inlineStr">
        <is>
          <t>팹리스/설계</t>
        </is>
      </c>
      <c r="G220" s="29" t="inlineStr">
        <is>
          <t>팹리스/설계</t>
        </is>
      </c>
      <c r="H220" s="29" t="inlineStr">
        <is>
          <t>False</t>
        </is>
      </c>
      <c r="I220" s="29" t="inlineStr">
        <is>
          <t>True</t>
        </is>
      </c>
      <c r="J220" s="29" t="inlineStr">
        <is>
          <t>OK_LIMITED_HISTORY_OR_GROWTH_NA</t>
        </is>
      </c>
      <c r="K220" s="29" t="inlineStr">
        <is>
          <t>데이터 사용 가능</t>
        </is>
      </c>
      <c r="L220" s="29" t="inlineStr">
        <is>
          <t>LOW</t>
        </is>
      </c>
      <c r="M220" s="29" t="inlineStr">
        <is>
          <t>LOW</t>
        </is>
      </c>
      <c r="N220" s="29" t="inlineStr">
        <is>
          <t>0.3721212121212121</t>
        </is>
      </c>
      <c r="O220" s="29" t="inlineStr">
        <is>
          <t>EXPENSIVE</t>
        </is>
      </c>
      <c r="P220" s="29" t="inlineStr">
        <is>
          <t>EXPENSIVE</t>
        </is>
      </c>
      <c r="Q220" s="29" t="inlineStr">
        <is>
          <t>EXPENSIVE</t>
        </is>
      </c>
      <c r="R220" s="29" t="inlineStr">
        <is>
          <t>0.8482781866315999</t>
        </is>
      </c>
      <c r="S220" s="29" t="inlineStr">
        <is>
          <t>HIGH</t>
        </is>
      </c>
      <c r="T220" s="29" t="inlineStr">
        <is>
          <t>HIGH</t>
        </is>
      </c>
      <c r="U220" s="29" t="inlineStr">
        <is>
          <t>0.5714285714285714</t>
        </is>
      </c>
      <c r="V220" s="29" t="inlineStr">
        <is>
          <t>HIGH_RISK</t>
        </is>
      </c>
      <c r="W220" s="29" t="inlineStr">
        <is>
          <t>고위험</t>
        </is>
      </c>
      <c r="X220" s="29" t="inlineStr">
        <is>
          <t>MEDIUM_RISK</t>
        </is>
      </c>
      <c r="Y220" s="29" t="inlineStr">
        <is>
          <t>0.5745685064585346</t>
        </is>
      </c>
      <c r="Z220" s="29" t="inlineStr">
        <is>
          <t>MEDIUM</t>
        </is>
      </c>
      <c r="AA220" s="29" t="inlineStr">
        <is>
          <t>MEDIUM</t>
        </is>
      </c>
      <c r="AB220" s="29" t="inlineStr">
        <is>
          <t>0.12187984427462309</t>
        </is>
      </c>
      <c r="AC220" s="29" t="inlineStr">
        <is>
          <t>False</t>
        </is>
      </c>
      <c r="AD220" s="29" t="inlineStr">
        <is>
          <t>True</t>
        </is>
      </c>
      <c r="AE220" s="29" t="inlineStr">
        <is>
          <t>valuation_credit_ml_overlay_candidate.csv</t>
        </is>
      </c>
      <c r="AF220" s="29" t="inlineStr">
        <is>
          <t>208개 반도체 reference universe. Valuation Agent가 자체 intake 폴더로 복제해 Peer/ML/대시보드 비교에 사용.</t>
        </is>
      </c>
    </row>
    <row r="221" ht="24" customHeight="1">
      <c r="A221" s="24" t="inlineStr">
        <is>
          <t>44</t>
        </is>
      </c>
      <c r="B221" s="24" t="inlineStr">
        <is>
          <t>해당 없음</t>
        </is>
      </c>
      <c r="C221" s="24" t="inlineStr">
        <is>
          <t>동운아나텍</t>
        </is>
      </c>
      <c r="D221" s="24" t="inlineStr">
        <is>
          <t>094170</t>
        </is>
      </c>
      <c r="E221" s="24" t="inlineStr">
        <is>
          <t>KOSDAQ</t>
        </is>
      </c>
      <c r="F221" s="24" t="inlineStr">
        <is>
          <t>팹리스/설계</t>
        </is>
      </c>
      <c r="G221" s="24" t="inlineStr">
        <is>
          <t>팹리스/설계</t>
        </is>
      </c>
      <c r="H221" s="24" t="inlineStr">
        <is>
          <t>False</t>
        </is>
      </c>
      <c r="I221" s="24" t="inlineStr">
        <is>
          <t>True</t>
        </is>
      </c>
      <c r="J221" s="24" t="inlineStr">
        <is>
          <t>OK</t>
        </is>
      </c>
      <c r="K221" s="24" t="inlineStr">
        <is>
          <t>데이터 사용 가능</t>
        </is>
      </c>
      <c r="L221" s="24" t="inlineStr">
        <is>
          <t>LOW</t>
        </is>
      </c>
      <c r="M221" s="24" t="inlineStr">
        <is>
          <t>LOW</t>
        </is>
      </c>
      <c r="N221" s="24" t="inlineStr">
        <is>
          <t>0.3670707070707071</t>
        </is>
      </c>
      <c r="O221" s="24" t="inlineStr">
        <is>
          <t>EXPENSIVE</t>
        </is>
      </c>
      <c r="P221" s="24" t="inlineStr">
        <is>
          <t>EXPENSIVE</t>
        </is>
      </c>
      <c r="Q221" s="24" t="inlineStr">
        <is>
          <t>EXPENSIVE</t>
        </is>
      </c>
      <c r="R221" s="24" t="inlineStr">
        <is>
          <t>0.4894423516429773</t>
        </is>
      </c>
      <c r="S221" s="24" t="inlineStr">
        <is>
          <t>LOW</t>
        </is>
      </c>
      <c r="T221" s="24" t="inlineStr">
        <is>
          <t>LOW</t>
        </is>
      </c>
      <c r="U221" s="24" t="inlineStr">
        <is>
          <t>0.2142857142857142</t>
        </is>
      </c>
      <c r="V221" s="24" t="inlineStr">
        <is>
          <t>MEDIUM_RISK</t>
        </is>
      </c>
      <c r="W221" s="24" t="inlineStr">
        <is>
          <t>중위험</t>
        </is>
      </c>
      <c r="X221" s="24" t="inlineStr">
        <is>
          <t>MEDIUM_RISK</t>
        </is>
      </c>
      <c r="Y221" s="24" t="inlineStr">
        <is>
          <t>0.5063531969196903</t>
        </is>
      </c>
      <c r="Z221" s="24" t="inlineStr">
        <is>
          <t>MEDIUM</t>
        </is>
      </c>
      <c r="AA221" s="24" t="inlineStr">
        <is>
          <t>MEDIUM</t>
        </is>
      </c>
      <c r="AB221" s="24" t="inlineStr">
        <is>
          <t>0.09811976029987664</t>
        </is>
      </c>
      <c r="AC221" s="24" t="inlineStr">
        <is>
          <t>False</t>
        </is>
      </c>
      <c r="AD221" s="24" t="inlineStr">
        <is>
          <t>True</t>
        </is>
      </c>
      <c r="AE221" s="24" t="inlineStr">
        <is>
          <t>valuation_credit_ml_overlay_candidate.csv</t>
        </is>
      </c>
      <c r="AF221" s="24" t="inlineStr">
        <is>
          <t>208개 반도체 reference universe. Valuation Agent가 자체 intake 폴더로 복제해 Peer/ML/대시보드 비교에 사용.</t>
        </is>
      </c>
    </row>
    <row r="222" ht="24" customHeight="1">
      <c r="A222" s="29" t="inlineStr">
        <is>
          <t>50</t>
        </is>
      </c>
      <c r="B222" s="29" t="inlineStr">
        <is>
          <t>해당 없음</t>
        </is>
      </c>
      <c r="C222" s="29" t="inlineStr">
        <is>
          <t>세미파이브</t>
        </is>
      </c>
      <c r="D222" s="29" t="inlineStr">
        <is>
          <t>490470</t>
        </is>
      </c>
      <c r="E222" s="29" t="inlineStr">
        <is>
          <t>KOSDAQ</t>
        </is>
      </c>
      <c r="F222" s="29" t="inlineStr">
        <is>
          <t>팹리스/설계</t>
        </is>
      </c>
      <c r="G222" s="29" t="inlineStr">
        <is>
          <t>팹리스/설계</t>
        </is>
      </c>
      <c r="H222" s="29" t="inlineStr">
        <is>
          <t>False</t>
        </is>
      </c>
      <c r="I222" s="29" t="inlineStr">
        <is>
          <t>True</t>
        </is>
      </c>
      <c r="J222" s="29" t="inlineStr">
        <is>
          <t>OK_LIMITED_HISTORY_OR_GROWTH_NA</t>
        </is>
      </c>
      <c r="K222" s="29" t="inlineStr">
        <is>
          <t>데이터 사용 가능</t>
        </is>
      </c>
      <c r="L222" s="29" t="inlineStr">
        <is>
          <t>LOW</t>
        </is>
      </c>
      <c r="M222" s="29" t="inlineStr">
        <is>
          <t>LOW</t>
        </is>
      </c>
      <c r="N222" s="29" t="inlineStr">
        <is>
          <t>0.3646464646464646</t>
        </is>
      </c>
      <c r="O222" s="29" t="inlineStr">
        <is>
          <t>EXPENSIVE</t>
        </is>
      </c>
      <c r="P222" s="29" t="inlineStr">
        <is>
          <t>EXPENSIVE</t>
        </is>
      </c>
      <c r="Q222" s="29" t="inlineStr">
        <is>
          <t>EXPENSIVE</t>
        </is>
      </c>
      <c r="R222" s="29" t="inlineStr">
        <is>
          <t>0.9277538303818181</t>
        </is>
      </c>
      <c r="S222" s="29" t="inlineStr">
        <is>
          <t>HIGH</t>
        </is>
      </c>
      <c r="T222" s="29" t="inlineStr">
        <is>
          <t>HIGH</t>
        </is>
      </c>
      <c r="U222" s="29" t="inlineStr">
        <is>
          <t>0.5</t>
        </is>
      </c>
      <c r="V222" s="29" t="inlineStr">
        <is>
          <t>HIGH_RISK</t>
        </is>
      </c>
      <c r="W222" s="29" t="inlineStr">
        <is>
          <t>고위험</t>
        </is>
      </c>
      <c r="X222" s="29" t="inlineStr">
        <is>
          <t>HIGH_RISK</t>
        </is>
      </c>
      <c r="Y222" s="29" t="inlineStr">
        <is>
          <t>0.8726925242668786</t>
        </is>
      </c>
      <c r="Z222" s="29" t="inlineStr">
        <is>
          <t>HIGH</t>
        </is>
      </c>
      <c r="AA222" s="29" t="inlineStr">
        <is>
          <t>HIGH</t>
        </is>
      </c>
      <c r="AB222" s="29" t="inlineStr">
        <is>
          <t>0.10138163372341347</t>
        </is>
      </c>
      <c r="AC222" s="29" t="inlineStr">
        <is>
          <t>False</t>
        </is>
      </c>
      <c r="AD222" s="29" t="inlineStr">
        <is>
          <t>True</t>
        </is>
      </c>
      <c r="AE222" s="29" t="inlineStr">
        <is>
          <t>valuation_credit_ml_overlay_candidate.csv</t>
        </is>
      </c>
      <c r="AF222" s="29" t="inlineStr">
        <is>
          <t>208개 반도체 reference universe. Valuation Agent가 자체 intake 폴더로 복제해 Peer/ML/대시보드 비교에 사용.</t>
        </is>
      </c>
    </row>
    <row r="223" ht="24" customHeight="1">
      <c r="A223" s="24" t="inlineStr">
        <is>
          <t>63</t>
        </is>
      </c>
      <c r="B223" s="24" t="inlineStr">
        <is>
          <t>해당 없음</t>
        </is>
      </c>
      <c r="C223" s="24" t="inlineStr">
        <is>
          <t>에이직랜드</t>
        </is>
      </c>
      <c r="D223" s="24" t="inlineStr">
        <is>
          <t>445090</t>
        </is>
      </c>
      <c r="E223" s="24" t="inlineStr">
        <is>
          <t>KOSDAQ</t>
        </is>
      </c>
      <c r="F223" s="24" t="inlineStr">
        <is>
          <t>팹리스/설계</t>
        </is>
      </c>
      <c r="G223" s="24" t="inlineStr">
        <is>
          <t>팹리스/설계</t>
        </is>
      </c>
      <c r="H223" s="24" t="inlineStr">
        <is>
          <t>False</t>
        </is>
      </c>
      <c r="I223" s="24" t="inlineStr">
        <is>
          <t>True</t>
        </is>
      </c>
      <c r="J223" s="24" t="inlineStr">
        <is>
          <t>OK_LIMITED_HISTORY_OR_GROWTH_NA</t>
        </is>
      </c>
      <c r="K223" s="24" t="inlineStr">
        <is>
          <t>데이터 사용 가능</t>
        </is>
      </c>
      <c r="L223" s="24" t="inlineStr">
        <is>
          <t>LOW</t>
        </is>
      </c>
      <c r="M223" s="24" t="inlineStr">
        <is>
          <t>LOW</t>
        </is>
      </c>
      <c r="N223" s="24" t="inlineStr">
        <is>
          <t>0.3294949494949495</t>
        </is>
      </c>
      <c r="O223" s="24" t="inlineStr">
        <is>
          <t>EXPENSIVE</t>
        </is>
      </c>
      <c r="P223" s="24" t="inlineStr">
        <is>
          <t>EXPENSIVE</t>
        </is>
      </c>
      <c r="Q223" s="24" t="inlineStr">
        <is>
          <t>EXPENSIVE</t>
        </is>
      </c>
      <c r="R223" s="24" t="inlineStr">
        <is>
          <t>0.9058303131641584</t>
        </is>
      </c>
      <c r="S223" s="24" t="inlineStr">
        <is>
          <t>HIGH</t>
        </is>
      </c>
      <c r="T223" s="24" t="inlineStr">
        <is>
          <t>HIGH</t>
        </is>
      </c>
      <c r="U223" s="24" t="inlineStr">
        <is>
          <t>0.7857142857142857</t>
        </is>
      </c>
      <c r="V223" s="24" t="inlineStr">
        <is>
          <t>HIGH_RISK</t>
        </is>
      </c>
      <c r="W223" s="24" t="inlineStr">
        <is>
          <t>고위험</t>
        </is>
      </c>
      <c r="X223" s="24" t="inlineStr">
        <is>
          <t>HIGH_RISK</t>
        </is>
      </c>
      <c r="Y223" s="24" t="inlineStr">
        <is>
          <t>0.9947590219356869</t>
        </is>
      </c>
      <c r="Z223" s="24" t="inlineStr">
        <is>
          <t>HIGH</t>
        </is>
      </c>
      <c r="AA223" s="24" t="inlineStr">
        <is>
          <t>HIGH</t>
        </is>
      </c>
      <c r="AB223" s="24" t="inlineStr">
        <is>
          <t>0.22322767104490657</t>
        </is>
      </c>
      <c r="AC223" s="24" t="inlineStr">
        <is>
          <t>False</t>
        </is>
      </c>
      <c r="AD223" s="24" t="inlineStr">
        <is>
          <t>True</t>
        </is>
      </c>
      <c r="AE223" s="24" t="inlineStr">
        <is>
          <t>valuation_credit_ml_overlay_candidate.csv</t>
        </is>
      </c>
      <c r="AF223" s="24" t="inlineStr">
        <is>
          <t>208개 반도체 reference universe. Valuation Agent가 자체 intake 폴더로 복제해 Peer/ML/대시보드 비교에 사용.</t>
        </is>
      </c>
    </row>
    <row r="224" ht="24" customHeight="1">
      <c r="A224" s="29" t="inlineStr">
        <is>
          <t>45</t>
        </is>
      </c>
      <c r="B224" s="29" t="inlineStr">
        <is>
          <t>해당 없음</t>
        </is>
      </c>
      <c r="C224" s="29" t="inlineStr">
        <is>
          <t>라닉스</t>
        </is>
      </c>
      <c r="D224" s="29" t="inlineStr">
        <is>
          <t>317120</t>
        </is>
      </c>
      <c r="E224" s="29" t="inlineStr">
        <is>
          <t>KOSDAQ</t>
        </is>
      </c>
      <c r="F224" s="29" t="inlineStr">
        <is>
          <t>팹리스/설계</t>
        </is>
      </c>
      <c r="G224" s="29" t="inlineStr">
        <is>
          <t>팹리스/설계</t>
        </is>
      </c>
      <c r="H224" s="29" t="inlineStr">
        <is>
          <t>False</t>
        </is>
      </c>
      <c r="I224" s="29" t="inlineStr">
        <is>
          <t>True</t>
        </is>
      </c>
      <c r="J224" s="29" t="inlineStr">
        <is>
          <t>OK</t>
        </is>
      </c>
      <c r="K224" s="29" t="inlineStr">
        <is>
          <t>데이터 사용 가능</t>
        </is>
      </c>
      <c r="L224" s="29" t="inlineStr">
        <is>
          <t>LOW</t>
        </is>
      </c>
      <c r="M224" s="29" t="inlineStr">
        <is>
          <t>LOW</t>
        </is>
      </c>
      <c r="N224" s="29" t="inlineStr">
        <is>
          <t>0.3208080808080809</t>
        </is>
      </c>
      <c r="O224" s="29" t="inlineStr">
        <is>
          <t>EXPENSIVE</t>
        </is>
      </c>
      <c r="P224" s="29" t="inlineStr">
        <is>
          <t>EXPENSIVE</t>
        </is>
      </c>
      <c r="Q224" s="29" t="inlineStr">
        <is>
          <t>EXPENSIVE</t>
        </is>
      </c>
      <c r="R224" s="29" t="inlineStr">
        <is>
          <t>0.9281808400807596</t>
        </is>
      </c>
      <c r="S224" s="29" t="inlineStr">
        <is>
          <t>HIGH</t>
        </is>
      </c>
      <c r="T224" s="29" t="inlineStr">
        <is>
          <t>HIGH</t>
        </is>
      </c>
      <c r="U224" s="29" t="inlineStr">
        <is>
          <t>0.7142857142857143</t>
        </is>
      </c>
      <c r="V224" s="29" t="inlineStr">
        <is>
          <t>HIGH_RISK</t>
        </is>
      </c>
      <c r="W224" s="29" t="inlineStr">
        <is>
          <t>고위험</t>
        </is>
      </c>
      <c r="X224" s="29" t="inlineStr">
        <is>
          <t>HIGH_RISK</t>
        </is>
      </c>
      <c r="Y224" s="29" t="inlineStr">
        <is>
          <t>0.9891542031597422</t>
        </is>
      </c>
      <c r="Z224" s="29" t="inlineStr">
        <is>
          <t>HIGH</t>
        </is>
      </c>
      <c r="AA224" s="29" t="inlineStr">
        <is>
          <t>HIGH</t>
        </is>
      </c>
      <c r="AB224" s="29" t="inlineStr">
        <is>
          <t>0.2722138190712409</t>
        </is>
      </c>
      <c r="AC224" s="29" t="inlineStr">
        <is>
          <t>True</t>
        </is>
      </c>
      <c r="AD224" s="29" t="inlineStr">
        <is>
          <t>True</t>
        </is>
      </c>
      <c r="AE224" s="29" t="inlineStr">
        <is>
          <t>valuation_credit_ml_overlay_candidate.csv</t>
        </is>
      </c>
      <c r="AF224" s="29" t="inlineStr">
        <is>
          <t>208개 반도체 reference universe. Valuation Agent가 자체 intake 폴더로 복제해 Peer/ML/대시보드 비교에 사용.</t>
        </is>
      </c>
    </row>
    <row r="225" ht="24" customHeight="1">
      <c r="A225" s="24" t="inlineStr">
        <is>
          <t>42</t>
        </is>
      </c>
      <c r="B225" s="24" t="inlineStr">
        <is>
          <t>해당 없음</t>
        </is>
      </c>
      <c r="C225" s="24" t="inlineStr">
        <is>
          <t>가온칩스</t>
        </is>
      </c>
      <c r="D225" s="24" t="inlineStr">
        <is>
          <t>399720</t>
        </is>
      </c>
      <c r="E225" s="24" t="inlineStr">
        <is>
          <t>KOSDAQ</t>
        </is>
      </c>
      <c r="F225" s="24" t="inlineStr">
        <is>
          <t>팹리스/설계</t>
        </is>
      </c>
      <c r="G225" s="24" t="inlineStr">
        <is>
          <t>팹리스/설계</t>
        </is>
      </c>
      <c r="H225" s="24" t="inlineStr">
        <is>
          <t>False</t>
        </is>
      </c>
      <c r="I225" s="24" t="inlineStr">
        <is>
          <t>True</t>
        </is>
      </c>
      <c r="J225" s="24" t="inlineStr">
        <is>
          <t>OK</t>
        </is>
      </c>
      <c r="K225" s="24" t="inlineStr">
        <is>
          <t>데이터 사용 가능</t>
        </is>
      </c>
      <c r="L225" s="24" t="inlineStr">
        <is>
          <t>LOW</t>
        </is>
      </c>
      <c r="M225" s="24" t="inlineStr">
        <is>
          <t>LOW</t>
        </is>
      </c>
      <c r="N225" s="24" t="inlineStr">
        <is>
          <t>0.3119191919191919</t>
        </is>
      </c>
      <c r="O225" s="24" t="inlineStr">
        <is>
          <t>EXPENSIVE</t>
        </is>
      </c>
      <c r="P225" s="24" t="inlineStr">
        <is>
          <t>EXPENSIVE</t>
        </is>
      </c>
      <c r="Q225" s="24" t="inlineStr">
        <is>
          <t>EXPENSIVE</t>
        </is>
      </c>
      <c r="R225" s="24" t="inlineStr">
        <is>
          <t>0.9202856043409283</t>
        </is>
      </c>
      <c r="S225" s="24" t="inlineStr">
        <is>
          <t>HIGH</t>
        </is>
      </c>
      <c r="T225" s="24" t="inlineStr">
        <is>
          <t>HIGH</t>
        </is>
      </c>
      <c r="U225" s="24" t="inlineStr">
        <is>
          <t>0.5714285714285714</t>
        </is>
      </c>
      <c r="V225" s="24" t="inlineStr">
        <is>
          <t>HIGH_RISK</t>
        </is>
      </c>
      <c r="W225" s="24" t="inlineStr">
        <is>
          <t>고위험</t>
        </is>
      </c>
      <c r="X225" s="24" t="inlineStr">
        <is>
          <t>HIGH_RISK</t>
        </is>
      </c>
      <c r="Y225" s="24" t="inlineStr">
        <is>
          <t>0.9252273149693407</t>
        </is>
      </c>
      <c r="Z225" s="24" t="inlineStr">
        <is>
          <t>HIGH</t>
        </is>
      </c>
      <c r="AA225" s="24" t="inlineStr">
        <is>
          <t>HIGH</t>
        </is>
      </c>
      <c r="AB225" s="24" t="inlineStr">
        <is>
          <t>0.08996216176961074</t>
        </is>
      </c>
      <c r="AC225" s="24" t="inlineStr">
        <is>
          <t>False</t>
        </is>
      </c>
      <c r="AD225" s="24" t="inlineStr">
        <is>
          <t>False</t>
        </is>
      </c>
      <c r="AE225" s="24" t="inlineStr">
        <is>
          <t>valuation_credit_ml_overlay_candidate.csv</t>
        </is>
      </c>
      <c r="AF225" s="24" t="inlineStr">
        <is>
          <t>208개 반도체 reference universe. Valuation Agent가 자체 intake 폴더로 복제해 Peer/ML/대시보드 비교에 사용.</t>
        </is>
      </c>
    </row>
    <row r="226" ht="24" customHeight="1">
      <c r="A226" s="29" t="inlineStr">
        <is>
          <t>72</t>
        </is>
      </c>
      <c r="B226" s="29" t="inlineStr">
        <is>
          <t>해당 없음</t>
        </is>
      </c>
      <c r="C226" s="29" t="inlineStr">
        <is>
          <t>파두</t>
        </is>
      </c>
      <c r="D226" s="29" t="inlineStr">
        <is>
          <t>440110</t>
        </is>
      </c>
      <c r="E226" s="29" t="inlineStr">
        <is>
          <t>KOSDAQ</t>
        </is>
      </c>
      <c r="F226" s="29" t="inlineStr">
        <is>
          <t>팹리스/설계</t>
        </is>
      </c>
      <c r="G226" s="29" t="inlineStr">
        <is>
          <t>팹리스/설계</t>
        </is>
      </c>
      <c r="H226" s="29" t="inlineStr">
        <is>
          <t>False</t>
        </is>
      </c>
      <c r="I226" s="29" t="inlineStr">
        <is>
          <t>True</t>
        </is>
      </c>
      <c r="J226" s="29" t="inlineStr">
        <is>
          <t>OK_LIMITED_HISTORY_OR_GROWTH_NA</t>
        </is>
      </c>
      <c r="K226" s="29" t="inlineStr">
        <is>
          <t>데이터 사용 가능</t>
        </is>
      </c>
      <c r="L226" s="29" t="inlineStr">
        <is>
          <t>LOW</t>
        </is>
      </c>
      <c r="M226" s="29" t="inlineStr">
        <is>
          <t>LOW</t>
        </is>
      </c>
      <c r="N226" s="29" t="inlineStr">
        <is>
          <t>0.2817171717171717</t>
        </is>
      </c>
      <c r="O226" s="29" t="inlineStr">
        <is>
          <t>EXPENSIVE</t>
        </is>
      </c>
      <c r="P226" s="29" t="inlineStr">
        <is>
          <t>EXPENSIVE</t>
        </is>
      </c>
      <c r="Q226" s="29" t="inlineStr">
        <is>
          <t>EXPENSIVE</t>
        </is>
      </c>
      <c r="R226" s="29" t="inlineStr">
        <is>
          <t>0.9722302520284296</t>
        </is>
      </c>
      <c r="S226" s="29" t="inlineStr">
        <is>
          <t>HIGH</t>
        </is>
      </c>
      <c r="T226" s="29" t="inlineStr">
        <is>
          <t>HIGH</t>
        </is>
      </c>
      <c r="U226" s="29" t="inlineStr">
        <is>
          <t>0.7142857142857143</t>
        </is>
      </c>
      <c r="V226" s="29" t="inlineStr">
        <is>
          <t>HIGH_RISK</t>
        </is>
      </c>
      <c r="W226" s="29" t="inlineStr">
        <is>
          <t>고위험</t>
        </is>
      </c>
      <c r="X226" s="29" t="inlineStr">
        <is>
          <t>HIGH_RISK</t>
        </is>
      </c>
      <c r="Y226" s="29" t="inlineStr">
        <is>
          <t>0.9166704410023929</t>
        </is>
      </c>
      <c r="Z226" s="29" t="inlineStr">
        <is>
          <t>HIGH</t>
        </is>
      </c>
      <c r="AA226" s="29" t="inlineStr">
        <is>
          <t>HIGH</t>
        </is>
      </c>
      <c r="AB226" s="29" t="inlineStr">
        <is>
          <t>0.4892266150598854</t>
        </is>
      </c>
      <c r="AC226" s="29" t="inlineStr">
        <is>
          <t>True</t>
        </is>
      </c>
      <c r="AD226" s="29" t="inlineStr">
        <is>
          <t>True</t>
        </is>
      </c>
      <c r="AE226" s="29" t="inlineStr">
        <is>
          <t>valuation_credit_ml_overlay_candidate.csv</t>
        </is>
      </c>
      <c r="AF226" s="29" t="inlineStr">
        <is>
          <t>208개 반도체 reference universe. Valuation Agent가 자체 intake 폴더로 복제해 Peer/ML/대시보드 비교에 사용.</t>
        </is>
      </c>
    </row>
    <row r="227" ht="24" customHeight="1">
      <c r="A227" s="24" t="inlineStr">
        <is>
          <t>54</t>
        </is>
      </c>
      <c r="B227" s="24" t="inlineStr">
        <is>
          <t>해당 없음</t>
        </is>
      </c>
      <c r="C227" s="24" t="inlineStr">
        <is>
          <t>아이씨티케이</t>
        </is>
      </c>
      <c r="D227" s="24" t="inlineStr">
        <is>
          <t>456010</t>
        </is>
      </c>
      <c r="E227" s="24" t="inlineStr">
        <is>
          <t>KOSDAQ</t>
        </is>
      </c>
      <c r="F227" s="24" t="inlineStr">
        <is>
          <t>팹리스/설계</t>
        </is>
      </c>
      <c r="G227" s="24" t="inlineStr">
        <is>
          <t>팹리스/설계</t>
        </is>
      </c>
      <c r="H227" s="24" t="inlineStr">
        <is>
          <t>False</t>
        </is>
      </c>
      <c r="I227" s="24" t="inlineStr">
        <is>
          <t>True</t>
        </is>
      </c>
      <c r="J227" s="24" t="inlineStr">
        <is>
          <t>OK_LIMITED_HISTORY_OR_GROWTH_NA</t>
        </is>
      </c>
      <c r="K227" s="24" t="inlineStr">
        <is>
          <t>데이터 사용 가능</t>
        </is>
      </c>
      <c r="L227" s="24" t="inlineStr">
        <is>
          <t>LOW</t>
        </is>
      </c>
      <c r="M227" s="24" t="inlineStr">
        <is>
          <t>LOW</t>
        </is>
      </c>
      <c r="N227" s="24" t="inlineStr">
        <is>
          <t>0.2421212121212121</t>
        </is>
      </c>
      <c r="O227" s="24" t="inlineStr">
        <is>
          <t>EXPENSIVE</t>
        </is>
      </c>
      <c r="P227" s="24" t="inlineStr">
        <is>
          <t>EXPENSIVE</t>
        </is>
      </c>
      <c r="Q227" s="24" t="inlineStr">
        <is>
          <t>EXPENSIVE</t>
        </is>
      </c>
      <c r="R227" s="24" t="inlineStr">
        <is>
          <t>0.9318776222941163</t>
        </is>
      </c>
      <c r="S227" s="24" t="inlineStr">
        <is>
          <t>HIGH</t>
        </is>
      </c>
      <c r="T227" s="24" t="inlineStr">
        <is>
          <t>HIGH</t>
        </is>
      </c>
      <c r="U227" s="24" t="inlineStr">
        <is>
          <t>0.5714285714285714</t>
        </is>
      </c>
      <c r="V227" s="24" t="inlineStr">
        <is>
          <t>HIGH_RISK</t>
        </is>
      </c>
      <c r="W227" s="24" t="inlineStr">
        <is>
          <t>고위험</t>
        </is>
      </c>
      <c r="X227" s="24" t="inlineStr">
        <is>
          <t>HIGH_RISK</t>
        </is>
      </c>
      <c r="Y227" s="24" t="inlineStr">
        <is>
          <t>0.9704486787687135</t>
        </is>
      </c>
      <c r="Z227" s="24" t="inlineStr">
        <is>
          <t>HIGH</t>
        </is>
      </c>
      <c r="AA227" s="24" t="inlineStr">
        <is>
          <t>HIGH</t>
        </is>
      </c>
      <c r="AB227" s="24" t="inlineStr">
        <is>
          <t>0.44110450319077704</t>
        </is>
      </c>
      <c r="AC227" s="24" t="inlineStr">
        <is>
          <t>True</t>
        </is>
      </c>
      <c r="AD227" s="24" t="inlineStr">
        <is>
          <t>True</t>
        </is>
      </c>
      <c r="AE227" s="24" t="inlineStr">
        <is>
          <t>valuation_credit_ml_overlay_candidate.csv</t>
        </is>
      </c>
      <c r="AF227" s="24" t="inlineStr">
        <is>
          <t>208개 반도체 reference universe. Valuation Agent가 자체 intake 폴더로 복제해 Peer/ML/대시보드 비교에 사용.</t>
        </is>
      </c>
    </row>
    <row r="228" ht="24" customHeight="1">
      <c r="A228" s="29" t="inlineStr">
        <is>
          <t>64</t>
        </is>
      </c>
      <c r="B228" s="29" t="inlineStr">
        <is>
          <t>해당 없음</t>
        </is>
      </c>
      <c r="C228" s="29" t="inlineStr">
        <is>
          <t>오픈엣지테크놀로지</t>
        </is>
      </c>
      <c r="D228" s="29" t="inlineStr">
        <is>
          <t>394280</t>
        </is>
      </c>
      <c r="E228" s="29" t="inlineStr">
        <is>
          <t>KOSDAQ</t>
        </is>
      </c>
      <c r="F228" s="29" t="inlineStr">
        <is>
          <t>팹리스/설계</t>
        </is>
      </c>
      <c r="G228" s="29" t="inlineStr">
        <is>
          <t>팹리스/설계</t>
        </is>
      </c>
      <c r="H228" s="29" t="inlineStr">
        <is>
          <t>False</t>
        </is>
      </c>
      <c r="I228" s="29" t="inlineStr">
        <is>
          <t>True</t>
        </is>
      </c>
      <c r="J228" s="29" t="inlineStr">
        <is>
          <t>OK</t>
        </is>
      </c>
      <c r="K228" s="29" t="inlineStr">
        <is>
          <t>데이터 사용 가능</t>
        </is>
      </c>
      <c r="L228" s="29" t="inlineStr">
        <is>
          <t>LOW</t>
        </is>
      </c>
      <c r="M228" s="29" t="inlineStr">
        <is>
          <t>LOW</t>
        </is>
      </c>
      <c r="N228" s="29" t="inlineStr">
        <is>
          <t>0.2383838383838384</t>
        </is>
      </c>
      <c r="O228" s="29" t="inlineStr">
        <is>
          <t>EXPENSIVE</t>
        </is>
      </c>
      <c r="P228" s="29" t="inlineStr">
        <is>
          <t>EXPENSIVE</t>
        </is>
      </c>
      <c r="Q228" s="29" t="inlineStr">
        <is>
          <t>EXPENSIVE</t>
        </is>
      </c>
      <c r="R228" s="29" t="inlineStr">
        <is>
          <t>0.9776205348568181</t>
        </is>
      </c>
      <c r="S228" s="29" t="inlineStr">
        <is>
          <t>HIGH</t>
        </is>
      </c>
      <c r="T228" s="29" t="inlineStr">
        <is>
          <t>HIGH</t>
        </is>
      </c>
      <c r="U228" s="29" t="inlineStr">
        <is>
          <t>0.5714285714285714</t>
        </is>
      </c>
      <c r="V228" s="29" t="inlineStr">
        <is>
          <t>HIGH_RISK</t>
        </is>
      </c>
      <c r="W228" s="29" t="inlineStr">
        <is>
          <t>고위험</t>
        </is>
      </c>
      <c r="X228" s="29" t="inlineStr">
        <is>
          <t>HIGH_RISK</t>
        </is>
      </c>
      <c r="Y228" s="29" t="inlineStr">
        <is>
          <t>0.979409987987143</t>
        </is>
      </c>
      <c r="Z228" s="29" t="inlineStr">
        <is>
          <t>HIGH</t>
        </is>
      </c>
      <c r="AA228" s="29" t="inlineStr">
        <is>
          <t>HIGH</t>
        </is>
      </c>
      <c r="AB228" s="29" t="inlineStr">
        <is>
          <t>0.49673253879125484</t>
        </is>
      </c>
      <c r="AC228" s="29" t="inlineStr">
        <is>
          <t>True</t>
        </is>
      </c>
      <c r="AD228" s="29" t="inlineStr">
        <is>
          <t>True</t>
        </is>
      </c>
      <c r="AE228" s="29" t="inlineStr">
        <is>
          <t>valuation_credit_ml_overlay_candidate.csv</t>
        </is>
      </c>
      <c r="AF228" s="29" t="inlineStr">
        <is>
          <t>208개 반도체 reference universe. Valuation Agent가 자체 intake 폴더로 복제해 Peer/ML/대시보드 비교에 사용.</t>
        </is>
      </c>
    </row>
    <row r="229" ht="24" customHeight="1">
      <c r="A229" s="24" t="inlineStr">
        <is>
          <t>69</t>
        </is>
      </c>
      <c r="B229" s="24" t="inlineStr">
        <is>
          <t>해당 없음</t>
        </is>
      </c>
      <c r="C229" s="24" t="inlineStr">
        <is>
          <t>퀄리타스반도체</t>
        </is>
      </c>
      <c r="D229" s="24" t="inlineStr">
        <is>
          <t>432720</t>
        </is>
      </c>
      <c r="E229" s="24" t="inlineStr">
        <is>
          <t>KOSDAQ</t>
        </is>
      </c>
      <c r="F229" s="24" t="inlineStr">
        <is>
          <t>팹리스/설계</t>
        </is>
      </c>
      <c r="G229" s="24" t="inlineStr">
        <is>
          <t>팹리스/설계</t>
        </is>
      </c>
      <c r="H229" s="24" t="inlineStr">
        <is>
          <t>False</t>
        </is>
      </c>
      <c r="I229" s="24" t="inlineStr">
        <is>
          <t>True</t>
        </is>
      </c>
      <c r="J229" s="24" t="inlineStr">
        <is>
          <t>OK_LIMITED_HISTORY_OR_GROWTH_NA</t>
        </is>
      </c>
      <c r="K229" s="24" t="inlineStr">
        <is>
          <t>데이터 사용 가능</t>
        </is>
      </c>
      <c r="L229" s="24" t="inlineStr">
        <is>
          <t>LOW</t>
        </is>
      </c>
      <c r="M229" s="24" t="inlineStr">
        <is>
          <t>LOW</t>
        </is>
      </c>
      <c r="N229" s="24" t="inlineStr">
        <is>
          <t>0.2119191919191919</t>
        </is>
      </c>
      <c r="O229" s="24" t="inlineStr">
        <is>
          <t>EXPENSIVE</t>
        </is>
      </c>
      <c r="P229" s="24" t="inlineStr">
        <is>
          <t>EXPENSIVE</t>
        </is>
      </c>
      <c r="Q229" s="24" t="inlineStr">
        <is>
          <t>EXPENSIVE</t>
        </is>
      </c>
      <c r="R229" s="24" t="inlineStr">
        <is>
          <t>0.9844433173148716</t>
        </is>
      </c>
      <c r="S229" s="24" t="inlineStr">
        <is>
          <t>HIGH</t>
        </is>
      </c>
      <c r="T229" s="24" t="inlineStr">
        <is>
          <t>HIGH</t>
        </is>
      </c>
      <c r="U229" s="24" t="inlineStr">
        <is>
          <t>0.5714285714285714</t>
        </is>
      </c>
      <c r="V229" s="24" t="inlineStr">
        <is>
          <t>HIGH_RISK</t>
        </is>
      </c>
      <c r="W229" s="24" t="inlineStr">
        <is>
          <t>고위험</t>
        </is>
      </c>
      <c r="X229" s="24" t="inlineStr">
        <is>
          <t>HIGH_RISK</t>
        </is>
      </c>
      <c r="Y229" s="24" t="inlineStr">
        <is>
          <t>0.9775928777225235</t>
        </is>
      </c>
      <c r="Z229" s="24" t="inlineStr">
        <is>
          <t>HIGH</t>
        </is>
      </c>
      <c r="AA229" s="24" t="inlineStr">
        <is>
          <t>HIGH</t>
        </is>
      </c>
      <c r="AB229" s="24" t="inlineStr">
        <is>
          <t>0.7960673007059423</t>
        </is>
      </c>
      <c r="AC229" s="24" t="inlineStr">
        <is>
          <t>True</t>
        </is>
      </c>
      <c r="AD229" s="24" t="inlineStr">
        <is>
          <t>True</t>
        </is>
      </c>
      <c r="AE229" s="24" t="inlineStr">
        <is>
          <t>valuation_credit_ml_overlay_candidate.csv</t>
        </is>
      </c>
      <c r="AF229" s="24" t="inlineStr">
        <is>
          <t>208개 반도체 reference universe. Valuation Agent가 자체 intake 폴더로 복제해 Peer/ML/대시보드 비교에 사용.</t>
        </is>
      </c>
    </row>
    <row r="230" ht="24" customHeight="1">
      <c r="A230" s="29" t="inlineStr">
        <is>
          <t>168</t>
        </is>
      </c>
      <c r="B230" s="29" t="inlineStr">
        <is>
          <t>해당 없음</t>
        </is>
      </c>
      <c r="C230" s="29" t="inlineStr">
        <is>
          <t>성우테크론</t>
        </is>
      </c>
      <c r="D230" s="29" t="inlineStr">
        <is>
          <t>045300</t>
        </is>
      </c>
      <c r="E230" s="29" t="inlineStr">
        <is>
          <t>KOSDAQ</t>
        </is>
      </c>
      <c r="F230" s="29" t="inlineStr">
        <is>
          <t>후공정/패키징/테스트</t>
        </is>
      </c>
      <c r="G230" s="29" t="inlineStr">
        <is>
          <t>후공정/패키징/테스트</t>
        </is>
      </c>
      <c r="H230" s="29" t="inlineStr">
        <is>
          <t>False</t>
        </is>
      </c>
      <c r="I230" s="29" t="inlineStr">
        <is>
          <t>True</t>
        </is>
      </c>
      <c r="J230" s="29" t="inlineStr">
        <is>
          <t>OK</t>
        </is>
      </c>
      <c r="K230" s="29" t="inlineStr">
        <is>
          <t>데이터 사용 가능</t>
        </is>
      </c>
      <c r="L230" s="29" t="inlineStr">
        <is>
          <t>LOW</t>
        </is>
      </c>
      <c r="M230" s="29" t="inlineStr">
        <is>
          <t>LOW</t>
        </is>
      </c>
      <c r="N230" s="29" t="inlineStr">
        <is>
          <t>0.7764444444444445</t>
        </is>
      </c>
      <c r="O230" s="29" t="inlineStr">
        <is>
          <t>ATTRACTIVE</t>
        </is>
      </c>
      <c r="P230" s="29" t="inlineStr">
        <is>
          <t>가치 매력</t>
        </is>
      </c>
      <c r="Q230" s="29" t="inlineStr">
        <is>
          <t>ATTRACTIVE</t>
        </is>
      </c>
      <c r="R230" s="29" t="inlineStr">
        <is>
          <t>0.9526864248076319</t>
        </is>
      </c>
      <c r="S230" s="29" t="inlineStr">
        <is>
          <t>HIGH</t>
        </is>
      </c>
      <c r="T230" s="29" t="inlineStr">
        <is>
          <t>HIGH</t>
        </is>
      </c>
      <c r="U230" s="29" t="inlineStr">
        <is>
          <t>0.0714285714285714</t>
        </is>
      </c>
      <c r="V230" s="29" t="inlineStr">
        <is>
          <t>LOW_RISK</t>
        </is>
      </c>
      <c r="W230" s="29" t="inlineStr">
        <is>
          <t>저위험</t>
        </is>
      </c>
      <c r="X230" s="29" t="inlineStr">
        <is>
          <t>LOW_RISK</t>
        </is>
      </c>
      <c r="Y230" s="29" t="inlineStr">
        <is>
          <t>0.869939352370702</t>
        </is>
      </c>
      <c r="Z230" s="29" t="inlineStr">
        <is>
          <t>HIGH</t>
        </is>
      </c>
      <c r="AA230" s="29" t="inlineStr">
        <is>
          <t>HIGH</t>
        </is>
      </c>
      <c r="AB230" s="29" t="inlineStr">
        <is>
          <t>0.10286671144812394</t>
        </is>
      </c>
      <c r="AC230" s="29" t="inlineStr">
        <is>
          <t>False</t>
        </is>
      </c>
      <c r="AD230" s="29" t="inlineStr">
        <is>
          <t>False</t>
        </is>
      </c>
      <c r="AE230" s="29" t="inlineStr">
        <is>
          <t>valuation_credit_ml_overlay_candidate.csv</t>
        </is>
      </c>
      <c r="AF230" s="29" t="inlineStr">
        <is>
          <t>208개 반도체 reference universe. Valuation Agent가 자체 intake 폴더로 복제해 Peer/ML/대시보드 비교에 사용.</t>
        </is>
      </c>
    </row>
    <row r="231" ht="24" customHeight="1">
      <c r="A231" s="24" t="inlineStr">
        <is>
          <t>165</t>
        </is>
      </c>
      <c r="B231" s="24" t="inlineStr">
        <is>
          <t>해당 없음</t>
        </is>
      </c>
      <c r="C231" s="24" t="inlineStr">
        <is>
          <t>미래산업</t>
        </is>
      </c>
      <c r="D231" s="24" t="inlineStr">
        <is>
          <t>025560</t>
        </is>
      </c>
      <c r="E231" s="24" t="inlineStr">
        <is>
          <t>KOSPI</t>
        </is>
      </c>
      <c r="F231" s="24" t="inlineStr">
        <is>
          <t>후공정/패키징/테스트</t>
        </is>
      </c>
      <c r="G231" s="24" t="inlineStr">
        <is>
          <t>후공정/패키징/테스트</t>
        </is>
      </c>
      <c r="H231" s="24" t="inlineStr">
        <is>
          <t>False</t>
        </is>
      </c>
      <c r="I231" s="24" t="inlineStr">
        <is>
          <t>True</t>
        </is>
      </c>
      <c r="J231" s="24" t="inlineStr">
        <is>
          <t>OK</t>
        </is>
      </c>
      <c r="K231" s="24" t="inlineStr">
        <is>
          <t>데이터 사용 가능</t>
        </is>
      </c>
      <c r="L231" s="24" t="inlineStr">
        <is>
          <t>LOW</t>
        </is>
      </c>
      <c r="M231" s="24" t="inlineStr">
        <is>
          <t>LOW</t>
        </is>
      </c>
      <c r="N231" s="24" t="inlineStr">
        <is>
          <t>0.7748148148148148</t>
        </is>
      </c>
      <c r="O231" s="24" t="inlineStr">
        <is>
          <t>FAIR</t>
        </is>
      </c>
      <c r="P231" s="24" t="inlineStr">
        <is>
          <t>FAIR</t>
        </is>
      </c>
      <c r="Q231" s="24" t="inlineStr">
        <is>
          <t>FAIR</t>
        </is>
      </c>
      <c r="R231" s="24" t="inlineStr">
        <is>
          <t>0.883291104654336</t>
        </is>
      </c>
      <c r="S231" s="24" t="inlineStr">
        <is>
          <t>HIGH</t>
        </is>
      </c>
      <c r="T231" s="24" t="inlineStr">
        <is>
          <t>HIGH</t>
        </is>
      </c>
      <c r="U231" s="24" t="inlineStr">
        <is>
          <t>0.2857142857142857</t>
        </is>
      </c>
      <c r="V231" s="24" t="inlineStr">
        <is>
          <t>MEDIUM_RISK</t>
        </is>
      </c>
      <c r="W231" s="24" t="inlineStr">
        <is>
          <t>중위험</t>
        </is>
      </c>
      <c r="X231" s="24" t="inlineStr">
        <is>
          <t>MEDIUM_RISK</t>
        </is>
      </c>
      <c r="Y231" s="24" t="inlineStr">
        <is>
          <t>0.695536763680257</t>
        </is>
      </c>
      <c r="Z231" s="24" t="inlineStr">
        <is>
          <t>MEDIUM</t>
        </is>
      </c>
      <c r="AA231" s="24" t="inlineStr">
        <is>
          <t>MEDIUM</t>
        </is>
      </c>
      <c r="AB231" s="24" t="inlineStr">
        <is>
          <t>0.08100242357773374</t>
        </is>
      </c>
      <c r="AC231" s="24" t="inlineStr">
        <is>
          <t>False</t>
        </is>
      </c>
      <c r="AD231" s="24" t="inlineStr">
        <is>
          <t>False</t>
        </is>
      </c>
      <c r="AE231" s="24" t="inlineStr">
        <is>
          <t>valuation_credit_ml_overlay_candidate.csv</t>
        </is>
      </c>
      <c r="AF231" s="24" t="inlineStr">
        <is>
          <t>208개 반도체 reference universe. Valuation Agent가 자체 intake 폴더로 복제해 Peer/ML/대시보드 비교에 사용.</t>
        </is>
      </c>
    </row>
    <row r="232" ht="24" customHeight="1">
      <c r="A232" s="29" t="inlineStr">
        <is>
          <t>163</t>
        </is>
      </c>
      <c r="B232" s="29" t="inlineStr">
        <is>
          <t>해당 없음</t>
        </is>
      </c>
      <c r="C232" s="29" t="inlineStr">
        <is>
          <t>링크제니시스</t>
        </is>
      </c>
      <c r="D232" s="29" t="inlineStr">
        <is>
          <t>219420</t>
        </is>
      </c>
      <c r="E232" s="29" t="inlineStr">
        <is>
          <t>KOSDAQ</t>
        </is>
      </c>
      <c r="F232" s="29" t="inlineStr">
        <is>
          <t>후공정/패키징/테스트</t>
        </is>
      </c>
      <c r="G232" s="29" t="inlineStr">
        <is>
          <t>후공정/패키징/테스트</t>
        </is>
      </c>
      <c r="H232" s="29" t="inlineStr">
        <is>
          <t>False</t>
        </is>
      </c>
      <c r="I232" s="29" t="inlineStr">
        <is>
          <t>True</t>
        </is>
      </c>
      <c r="J232" s="29" t="inlineStr">
        <is>
          <t>OK</t>
        </is>
      </c>
      <c r="K232" s="29" t="inlineStr">
        <is>
          <t>데이터 사용 가능</t>
        </is>
      </c>
      <c r="L232" s="29" t="inlineStr">
        <is>
          <t>LOW</t>
        </is>
      </c>
      <c r="M232" s="29" t="inlineStr">
        <is>
          <t>LOW</t>
        </is>
      </c>
      <c r="N232" s="29" t="inlineStr">
        <is>
          <t>0.7522962962962964</t>
        </is>
      </c>
      <c r="O232" s="29" t="inlineStr">
        <is>
          <t>ATTRACTIVE</t>
        </is>
      </c>
      <c r="P232" s="29" t="inlineStr">
        <is>
          <t>가치 매력</t>
        </is>
      </c>
      <c r="Q232" s="29" t="inlineStr">
        <is>
          <t>ATTRACTIVE</t>
        </is>
      </c>
      <c r="R232" s="29" t="inlineStr">
        <is>
          <t>0.8724992666433111</t>
        </is>
      </c>
      <c r="S232" s="29" t="inlineStr">
        <is>
          <t>HIGH</t>
        </is>
      </c>
      <c r="T232" s="29" t="inlineStr">
        <is>
          <t>HIGH</t>
        </is>
      </c>
      <c r="U232" s="29" t="inlineStr">
        <is>
          <t>0.0714285714285714</t>
        </is>
      </c>
      <c r="V232" s="29" t="inlineStr">
        <is>
          <t>LOW_RISK</t>
        </is>
      </c>
      <c r="W232" s="29" t="inlineStr">
        <is>
          <t>저위험</t>
        </is>
      </c>
      <c r="X232" s="29" t="inlineStr">
        <is>
          <t>LOW_RISK</t>
        </is>
      </c>
      <c r="Y232" s="29" t="inlineStr">
        <is>
          <t>0.8663667518810074</t>
        </is>
      </c>
      <c r="Z232" s="29" t="inlineStr">
        <is>
          <t>HIGH</t>
        </is>
      </c>
      <c r="AA232" s="29" t="inlineStr">
        <is>
          <t>HIGH</t>
        </is>
      </c>
      <c r="AB232" s="29" t="inlineStr">
        <is>
          <t>0.1247344063934745</t>
        </is>
      </c>
      <c r="AC232" s="29" t="inlineStr">
        <is>
          <t>False</t>
        </is>
      </c>
      <c r="AD232" s="29" t="inlineStr">
        <is>
          <t>False</t>
        </is>
      </c>
      <c r="AE232" s="29" t="inlineStr">
        <is>
          <t>valuation_credit_ml_overlay_candidate.csv</t>
        </is>
      </c>
      <c r="AF232" s="29" t="inlineStr">
        <is>
          <t>208개 반도체 reference universe. Valuation Agent가 자체 intake 폴더로 복제해 Peer/ML/대시보드 비교에 사용.</t>
        </is>
      </c>
    </row>
    <row r="233" ht="24" customHeight="1">
      <c r="A233" s="24" t="inlineStr">
        <is>
          <t>189</t>
        </is>
      </c>
      <c r="B233" s="24" t="inlineStr">
        <is>
          <t>해당 없음</t>
        </is>
      </c>
      <c r="C233" s="24" t="inlineStr">
        <is>
          <t>프로텍</t>
        </is>
      </c>
      <c r="D233" s="24" t="inlineStr">
        <is>
          <t>053610</t>
        </is>
      </c>
      <c r="E233" s="24" t="inlineStr">
        <is>
          <t>KOSDAQ</t>
        </is>
      </c>
      <c r="F233" s="24" t="inlineStr">
        <is>
          <t>후공정/패키징/테스트</t>
        </is>
      </c>
      <c r="G233" s="24" t="inlineStr">
        <is>
          <t>후공정/패키징/테스트</t>
        </is>
      </c>
      <c r="H233" s="24" t="inlineStr">
        <is>
          <t>False</t>
        </is>
      </c>
      <c r="I233" s="24" t="inlineStr">
        <is>
          <t>True</t>
        </is>
      </c>
      <c r="J233" s="24" t="inlineStr">
        <is>
          <t>OK</t>
        </is>
      </c>
      <c r="K233" s="24" t="inlineStr">
        <is>
          <t>데이터 사용 가능</t>
        </is>
      </c>
      <c r="L233" s="24" t="inlineStr">
        <is>
          <t>LOW</t>
        </is>
      </c>
      <c r="M233" s="24" t="inlineStr">
        <is>
          <t>LOW</t>
        </is>
      </c>
      <c r="N233" s="24" t="inlineStr">
        <is>
          <t>0.7342222222222222</t>
        </is>
      </c>
      <c r="O233" s="24" t="inlineStr">
        <is>
          <t>FAIR</t>
        </is>
      </c>
      <c r="P233" s="24" t="inlineStr">
        <is>
          <t>FAIR</t>
        </is>
      </c>
      <c r="Q233" s="24" t="inlineStr">
        <is>
          <t>FAIR</t>
        </is>
      </c>
      <c r="R233" s="24" t="inlineStr">
        <is>
          <t>0.8971257561900263</t>
        </is>
      </c>
      <c r="S233" s="24" t="inlineStr">
        <is>
          <t>HIGH</t>
        </is>
      </c>
      <c r="T233" s="24" t="inlineStr">
        <is>
          <t>HIGH</t>
        </is>
      </c>
      <c r="U233" s="24" t="inlineStr">
        <is>
          <t>0.0714285714285714</t>
        </is>
      </c>
      <c r="V233" s="24" t="inlineStr">
        <is>
          <t>LOW_RISK</t>
        </is>
      </c>
      <c r="W233" s="24" t="inlineStr">
        <is>
          <t>저위험</t>
        </is>
      </c>
      <c r="X233" s="24" t="inlineStr">
        <is>
          <t>LOW_RISK</t>
        </is>
      </c>
      <c r="Y233" s="24" t="inlineStr">
        <is>
          <t>0.9163768919768406</t>
        </is>
      </c>
      <c r="Z233" s="24" t="inlineStr">
        <is>
          <t>HIGH</t>
        </is>
      </c>
      <c r="AA233" s="24" t="inlineStr">
        <is>
          <t>HIGH</t>
        </is>
      </c>
      <c r="AB233" s="24" t="inlineStr">
        <is>
          <t>0.04594870251712977</t>
        </is>
      </c>
      <c r="AC233" s="24" t="inlineStr">
        <is>
          <t>False</t>
        </is>
      </c>
      <c r="AD233" s="24" t="inlineStr">
        <is>
          <t>False</t>
        </is>
      </c>
      <c r="AE233" s="24" t="inlineStr">
        <is>
          <t>valuation_credit_ml_overlay_candidate.csv</t>
        </is>
      </c>
      <c r="AF233" s="24" t="inlineStr">
        <is>
          <t>208개 반도체 reference universe. Valuation Agent가 자체 intake 폴더로 복제해 Peer/ML/대시보드 비교에 사용.</t>
        </is>
      </c>
    </row>
    <row r="234" ht="24" customHeight="1">
      <c r="A234" s="29" t="inlineStr">
        <is>
          <t>188</t>
        </is>
      </c>
      <c r="B234" s="29" t="inlineStr">
        <is>
          <t>해당 없음</t>
        </is>
      </c>
      <c r="C234" s="29" t="inlineStr">
        <is>
          <t>프로이천</t>
        </is>
      </c>
      <c r="D234" s="29" t="inlineStr">
        <is>
          <t>321260</t>
        </is>
      </c>
      <c r="E234" s="29" t="inlineStr">
        <is>
          <t>KOSDAQ</t>
        </is>
      </c>
      <c r="F234" s="29" t="inlineStr">
        <is>
          <t>후공정/패키징/테스트</t>
        </is>
      </c>
      <c r="G234" s="29" t="inlineStr">
        <is>
          <t>후공정/패키징/테스트</t>
        </is>
      </c>
      <c r="H234" s="29" t="inlineStr">
        <is>
          <t>False</t>
        </is>
      </c>
      <c r="I234" s="29" t="inlineStr">
        <is>
          <t>True</t>
        </is>
      </c>
      <c r="J234" s="29" t="inlineStr">
        <is>
          <t>OK</t>
        </is>
      </c>
      <c r="K234" s="29" t="inlineStr">
        <is>
          <t>데이터 사용 가능</t>
        </is>
      </c>
      <c r="L234" s="29" t="inlineStr">
        <is>
          <t>LOW</t>
        </is>
      </c>
      <c r="M234" s="29" t="inlineStr">
        <is>
          <t>LOW</t>
        </is>
      </c>
      <c r="N234" s="29" t="inlineStr">
        <is>
          <t>0.6905185185185185</t>
        </is>
      </c>
      <c r="O234" s="29" t="inlineStr">
        <is>
          <t>ATTRACTIVE</t>
        </is>
      </c>
      <c r="P234" s="29" t="inlineStr">
        <is>
          <t>가치 매력</t>
        </is>
      </c>
      <c r="Q234" s="29" t="inlineStr">
        <is>
          <t>ATTRACTIVE</t>
        </is>
      </c>
      <c r="R234" s="29" t="inlineStr">
        <is>
          <t>0.9481469936627798</t>
        </is>
      </c>
      <c r="S234" s="29" t="inlineStr">
        <is>
          <t>HIGH</t>
        </is>
      </c>
      <c r="T234" s="29" t="inlineStr">
        <is>
          <t>HIGH</t>
        </is>
      </c>
      <c r="U234" s="29" t="inlineStr">
        <is>
          <t>0.1428571428571428</t>
        </is>
      </c>
      <c r="V234" s="29" t="inlineStr">
        <is>
          <t>LOW_RISK</t>
        </is>
      </c>
      <c r="W234" s="29" t="inlineStr">
        <is>
          <t>저위험</t>
        </is>
      </c>
      <c r="X234" s="29" t="inlineStr">
        <is>
          <t>LOW_RISK</t>
        </is>
      </c>
      <c r="Y234" s="29" t="inlineStr">
        <is>
          <t>0.7571217577270841</t>
        </is>
      </c>
      <c r="Z234" s="29" t="inlineStr">
        <is>
          <t>HIGH</t>
        </is>
      </c>
      <c r="AA234" s="29" t="inlineStr">
        <is>
          <t>HIGH</t>
        </is>
      </c>
      <c r="AB234" s="29" t="inlineStr">
        <is>
          <t>0.1980202748075635</t>
        </is>
      </c>
      <c r="AC234" s="29" t="inlineStr">
        <is>
          <t>False</t>
        </is>
      </c>
      <c r="AD234" s="29" t="inlineStr">
        <is>
          <t>False</t>
        </is>
      </c>
      <c r="AE234" s="29" t="inlineStr">
        <is>
          <t>valuation_credit_ml_overlay_candidate.csv</t>
        </is>
      </c>
      <c r="AF234" s="29" t="inlineStr">
        <is>
          <t>208개 반도체 reference universe. Valuation Agent가 자체 intake 폴더로 복제해 Peer/ML/대시보드 비교에 사용.</t>
        </is>
      </c>
    </row>
    <row r="235" ht="24" customHeight="1">
      <c r="A235" s="24" t="inlineStr">
        <is>
          <t>167</t>
        </is>
      </c>
      <c r="B235" s="24" t="inlineStr">
        <is>
          <t>해당 없음</t>
        </is>
      </c>
      <c r="C235" s="24" t="inlineStr">
        <is>
          <t>샘씨엔에스</t>
        </is>
      </c>
      <c r="D235" s="24" t="inlineStr">
        <is>
          <t>252990</t>
        </is>
      </c>
      <c r="E235" s="24" t="inlineStr">
        <is>
          <t>KOSDAQ</t>
        </is>
      </c>
      <c r="F235" s="24" t="inlineStr">
        <is>
          <t>후공정/패키징/테스트</t>
        </is>
      </c>
      <c r="G235" s="24" t="inlineStr">
        <is>
          <t>후공정/패키징/테스트</t>
        </is>
      </c>
      <c r="H235" s="24" t="inlineStr">
        <is>
          <t>False</t>
        </is>
      </c>
      <c r="I235" s="24" t="inlineStr">
        <is>
          <t>True</t>
        </is>
      </c>
      <c r="J235" s="24" t="inlineStr">
        <is>
          <t>OK</t>
        </is>
      </c>
      <c r="K235" s="24" t="inlineStr">
        <is>
          <t>데이터 사용 가능</t>
        </is>
      </c>
      <c r="L235" s="24" t="inlineStr">
        <is>
          <t>LOW</t>
        </is>
      </c>
      <c r="M235" s="24" t="inlineStr">
        <is>
          <t>LOW</t>
        </is>
      </c>
      <c r="N235" s="24" t="inlineStr">
        <is>
          <t>0.6491851851851852</t>
        </is>
      </c>
      <c r="O235" s="24" t="inlineStr">
        <is>
          <t>ATTRACTIVE</t>
        </is>
      </c>
      <c r="P235" s="24" t="inlineStr">
        <is>
          <t>가치 매력</t>
        </is>
      </c>
      <c r="Q235" s="24" t="inlineStr">
        <is>
          <t>ATTRACTIVE</t>
        </is>
      </c>
      <c r="R235" s="24" t="inlineStr">
        <is>
          <t>0.5521991152548656</t>
        </is>
      </c>
      <c r="S235" s="24" t="inlineStr">
        <is>
          <t>MEDIUM</t>
        </is>
      </c>
      <c r="T235" s="24" t="inlineStr">
        <is>
          <t>MEDIUM</t>
        </is>
      </c>
      <c r="U235" s="24" t="inlineStr">
        <is>
          <t>0.1428571428571428</t>
        </is>
      </c>
      <c r="V235" s="24" t="inlineStr">
        <is>
          <t>LOW_RISK</t>
        </is>
      </c>
      <c r="W235" s="24" t="inlineStr">
        <is>
          <t>저위험</t>
        </is>
      </c>
      <c r="X235" s="24" t="inlineStr">
        <is>
          <t>LOW_RISK</t>
        </is>
      </c>
      <c r="Y235" s="24" t="inlineStr">
        <is>
          <t>0.8184283672559926</t>
        </is>
      </c>
      <c r="Z235" s="24" t="inlineStr">
        <is>
          <t>HIGH</t>
        </is>
      </c>
      <c r="AA235" s="24" t="inlineStr">
        <is>
          <t>HIGH</t>
        </is>
      </c>
      <c r="AB235" s="24" t="inlineStr">
        <is>
          <t>0.02862485694144737</t>
        </is>
      </c>
      <c r="AC235" s="24" t="inlineStr">
        <is>
          <t>False</t>
        </is>
      </c>
      <c r="AD235" s="24" t="inlineStr">
        <is>
          <t>False</t>
        </is>
      </c>
      <c r="AE235" s="24" t="inlineStr">
        <is>
          <t>valuation_credit_ml_overlay_candidate.csv</t>
        </is>
      </c>
      <c r="AF235" s="24" t="inlineStr">
        <is>
          <t>208개 반도체 reference universe. Valuation Agent가 자체 intake 폴더로 복제해 Peer/ML/대시보드 비교에 사용.</t>
        </is>
      </c>
    </row>
    <row r="236" ht="24" customHeight="1">
      <c r="A236" s="29" t="inlineStr">
        <is>
          <t>191</t>
        </is>
      </c>
      <c r="B236" s="29" t="inlineStr">
        <is>
          <t>해당 없음</t>
        </is>
      </c>
      <c r="C236" s="29" t="inlineStr">
        <is>
          <t>하나마이크론</t>
        </is>
      </c>
      <c r="D236" s="29" t="inlineStr">
        <is>
          <t>067310</t>
        </is>
      </c>
      <c r="E236" s="29" t="inlineStr">
        <is>
          <t>KOSDAQ</t>
        </is>
      </c>
      <c r="F236" s="29" t="inlineStr">
        <is>
          <t>후공정/패키징/테스트</t>
        </is>
      </c>
      <c r="G236" s="29" t="inlineStr">
        <is>
          <t>후공정/패키징/테스트</t>
        </is>
      </c>
      <c r="H236" s="29" t="inlineStr">
        <is>
          <t>False</t>
        </is>
      </c>
      <c r="I236" s="29" t="inlineStr">
        <is>
          <t>True</t>
        </is>
      </c>
      <c r="J236" s="29" t="inlineStr">
        <is>
          <t>OK</t>
        </is>
      </c>
      <c r="K236" s="29" t="inlineStr">
        <is>
          <t>데이터 사용 가능</t>
        </is>
      </c>
      <c r="L236" s="29" t="inlineStr">
        <is>
          <t>LOW</t>
        </is>
      </c>
      <c r="M236" s="29" t="inlineStr">
        <is>
          <t>LOW</t>
        </is>
      </c>
      <c r="N236" s="29" t="inlineStr">
        <is>
          <t>0.6405925925925926</t>
        </is>
      </c>
      <c r="O236" s="29" t="inlineStr">
        <is>
          <t>ATTRACTIVE</t>
        </is>
      </c>
      <c r="P236" s="29" t="inlineStr">
        <is>
          <t>가치 매력</t>
        </is>
      </c>
      <c r="Q236" s="29" t="inlineStr">
        <is>
          <t>ATTRACTIVE</t>
        </is>
      </c>
      <c r="R236" s="29" t="inlineStr">
        <is>
          <t>0.8727001075083287</t>
        </is>
      </c>
      <c r="S236" s="29" t="inlineStr">
        <is>
          <t>HIGH</t>
        </is>
      </c>
      <c r="T236" s="29" t="inlineStr">
        <is>
          <t>HIGH</t>
        </is>
      </c>
      <c r="U236" s="29" t="inlineStr">
        <is>
          <t>0.2857142857142857</t>
        </is>
      </c>
      <c r="V236" s="29" t="inlineStr">
        <is>
          <t>MEDIUM_RISK</t>
        </is>
      </c>
      <c r="W236" s="29" t="inlineStr">
        <is>
          <t>중위험</t>
        </is>
      </c>
      <c r="X236" s="29" t="inlineStr">
        <is>
          <t>MEDIUM_RISK</t>
        </is>
      </c>
      <c r="Y236" s="29" t="inlineStr">
        <is>
          <t>0.4659076101576026</t>
        </is>
      </c>
      <c r="Z236" s="29" t="inlineStr">
        <is>
          <t>LOW</t>
        </is>
      </c>
      <c r="AA236" s="29" t="inlineStr">
        <is>
          <t>LOW</t>
        </is>
      </c>
      <c r="AB236" s="29" t="inlineStr">
        <is>
          <t>0.1167493316831868</t>
        </is>
      </c>
      <c r="AC236" s="29" t="inlineStr">
        <is>
          <t>False</t>
        </is>
      </c>
      <c r="AD236" s="29" t="inlineStr">
        <is>
          <t>True</t>
        </is>
      </c>
      <c r="AE236" s="29" t="inlineStr">
        <is>
          <t>valuation_credit_ml_overlay_candidate.csv</t>
        </is>
      </c>
      <c r="AF236" s="29" t="inlineStr">
        <is>
          <t>208개 반도체 reference universe. Valuation Agent가 자체 intake 폴더로 복제해 Peer/ML/대시보드 비교에 사용.</t>
        </is>
      </c>
    </row>
    <row r="237" ht="24" customHeight="1">
      <c r="A237" s="24" t="inlineStr">
        <is>
          <t>157</t>
        </is>
      </c>
      <c r="B237" s="24" t="inlineStr">
        <is>
          <t>nepes</t>
        </is>
      </c>
      <c r="C237" s="24" t="inlineStr">
        <is>
          <t>네패스</t>
        </is>
      </c>
      <c r="D237" s="24" t="inlineStr">
        <is>
          <t>033640</t>
        </is>
      </c>
      <c r="E237" s="24" t="inlineStr">
        <is>
          <t>KOSDAQ</t>
        </is>
      </c>
      <c r="F237" s="24" t="inlineStr">
        <is>
          <t>후공정/패키징/테스트</t>
        </is>
      </c>
      <c r="G237" s="24" t="inlineStr">
        <is>
          <t>후공정/패키징/테스트</t>
        </is>
      </c>
      <c r="H237" s="24" t="inlineStr">
        <is>
          <t>True</t>
        </is>
      </c>
      <c r="I237" s="24" t="inlineStr">
        <is>
          <t>True</t>
        </is>
      </c>
      <c r="J237" s="24" t="inlineStr">
        <is>
          <t>OK</t>
        </is>
      </c>
      <c r="K237" s="24" t="inlineStr">
        <is>
          <t>데이터 사용 가능</t>
        </is>
      </c>
      <c r="L237" s="24" t="inlineStr">
        <is>
          <t>LOW</t>
        </is>
      </c>
      <c r="M237" s="24" t="inlineStr">
        <is>
          <t>LOW</t>
        </is>
      </c>
      <c r="N237" s="24" t="inlineStr">
        <is>
          <t>0.6385185185185186</t>
        </is>
      </c>
      <c r="O237" s="24" t="inlineStr">
        <is>
          <t>ATTRACTIVE</t>
        </is>
      </c>
      <c r="P237" s="24" t="inlineStr">
        <is>
          <t>가치 매력</t>
        </is>
      </c>
      <c r="Q237" s="24" t="inlineStr">
        <is>
          <t>ATTRACTIVE</t>
        </is>
      </c>
      <c r="R237" s="24" t="inlineStr">
        <is>
          <t>0.8763685947958789</t>
        </is>
      </c>
      <c r="S237" s="24" t="inlineStr">
        <is>
          <t>HIGH</t>
        </is>
      </c>
      <c r="T237" s="24" t="inlineStr">
        <is>
          <t>HIGH</t>
        </is>
      </c>
      <c r="U237" s="24" t="inlineStr">
        <is>
          <t>0.2857142857142857</t>
        </is>
      </c>
      <c r="V237" s="24" t="inlineStr">
        <is>
          <t>MEDIUM_RISK</t>
        </is>
      </c>
      <c r="W237" s="24" t="inlineStr">
        <is>
          <t>중위험</t>
        </is>
      </c>
      <c r="X237" s="24" t="inlineStr">
        <is>
          <t>MEDIUM_RISK</t>
        </is>
      </c>
      <c r="Y237" s="24" t="inlineStr">
        <is>
          <t>0.5963458259503356</t>
        </is>
      </c>
      <c r="Z237" s="24" t="inlineStr">
        <is>
          <t>MEDIUM</t>
        </is>
      </c>
      <c r="AA237" s="24" t="inlineStr">
        <is>
          <t>MEDIUM</t>
        </is>
      </c>
      <c r="AB237" s="24" t="inlineStr">
        <is>
          <t>0.07896643996759804</t>
        </is>
      </c>
      <c r="AC237" s="24" t="inlineStr">
        <is>
          <t>False</t>
        </is>
      </c>
      <c r="AD237" s="24" t="inlineStr">
        <is>
          <t>False</t>
        </is>
      </c>
      <c r="AE237" s="24" t="inlineStr">
        <is>
          <t>valuation_credit_ml_overlay_candidate.csv</t>
        </is>
      </c>
      <c r="AF237" s="24" t="inlineStr">
        <is>
          <t>208개 반도체 reference universe. Valuation Agent가 자체 intake 폴더로 복제해 Peer/ML/대시보드 비교에 사용.</t>
        </is>
      </c>
    </row>
    <row r="238" ht="24" customHeight="1">
      <c r="A238" s="29" t="inlineStr">
        <is>
          <t>151</t>
        </is>
      </c>
      <c r="B238" s="29" t="inlineStr">
        <is>
          <t>해당 없음</t>
        </is>
      </c>
      <c r="C238" s="29" t="inlineStr">
        <is>
          <t>KX하이텍</t>
        </is>
      </c>
      <c r="D238" s="29" t="inlineStr">
        <is>
          <t>052900</t>
        </is>
      </c>
      <c r="E238" s="29" t="inlineStr">
        <is>
          <t>KOSDAQ</t>
        </is>
      </c>
      <c r="F238" s="29" t="inlineStr">
        <is>
          <t>후공정/패키징/테스트</t>
        </is>
      </c>
      <c r="G238" s="29" t="inlineStr">
        <is>
          <t>후공정/패키징/테스트</t>
        </is>
      </c>
      <c r="H238" s="29" t="inlineStr">
        <is>
          <t>False</t>
        </is>
      </c>
      <c r="I238" s="29" t="inlineStr">
        <is>
          <t>True</t>
        </is>
      </c>
      <c r="J238" s="29" t="inlineStr">
        <is>
          <t>OK</t>
        </is>
      </c>
      <c r="K238" s="29" t="inlineStr">
        <is>
          <t>데이터 사용 가능</t>
        </is>
      </c>
      <c r="L238" s="29" t="inlineStr">
        <is>
          <t>LOW</t>
        </is>
      </c>
      <c r="M238" s="29" t="inlineStr">
        <is>
          <t>LOW</t>
        </is>
      </c>
      <c r="N238" s="29" t="inlineStr">
        <is>
          <t>0.6361481481481482</t>
        </is>
      </c>
      <c r="O238" s="29" t="inlineStr">
        <is>
          <t>ATTRACTIVE</t>
        </is>
      </c>
      <c r="P238" s="29" t="inlineStr">
        <is>
          <t>가치 매력</t>
        </is>
      </c>
      <c r="Q238" s="29" t="inlineStr">
        <is>
          <t>ATTRACTIVE</t>
        </is>
      </c>
      <c r="R238" s="29" t="inlineStr">
        <is>
          <t>0.7896879678479897</t>
        </is>
      </c>
      <c r="S238" s="29" t="inlineStr">
        <is>
          <t>HIGH</t>
        </is>
      </c>
      <c r="T238" s="29" t="inlineStr">
        <is>
          <t>HIGH</t>
        </is>
      </c>
      <c r="U238" s="29" t="inlineStr">
        <is>
          <t>0.0714285714285714</t>
        </is>
      </c>
      <c r="V238" s="29" t="inlineStr">
        <is>
          <t>LOW_RISK</t>
        </is>
      </c>
      <c r="W238" s="29" t="inlineStr">
        <is>
          <t>저위험</t>
        </is>
      </c>
      <c r="X238" s="29" t="inlineStr">
        <is>
          <t>LOW_RISK</t>
        </is>
      </c>
      <c r="Y238" s="29" t="inlineStr">
        <is>
          <t>0.87015899446037</t>
        </is>
      </c>
      <c r="Z238" s="29" t="inlineStr">
        <is>
          <t>HIGH</t>
        </is>
      </c>
      <c r="AA238" s="29" t="inlineStr">
        <is>
          <t>HIGH</t>
        </is>
      </c>
      <c r="AB238" s="29" t="inlineStr">
        <is>
          <t>0.012348610212675635</t>
        </is>
      </c>
      <c r="AC238" s="29" t="inlineStr">
        <is>
          <t>False</t>
        </is>
      </c>
      <c r="AD238" s="29" t="inlineStr">
        <is>
          <t>False</t>
        </is>
      </c>
      <c r="AE238" s="29" t="inlineStr">
        <is>
          <t>valuation_credit_ml_overlay_candidate.csv</t>
        </is>
      </c>
      <c r="AF238" s="29" t="inlineStr">
        <is>
          <t>208개 반도체 reference universe. Valuation Agent가 자체 intake 폴더로 복제해 Peer/ML/대시보드 비교에 사용.</t>
        </is>
      </c>
    </row>
    <row r="239" ht="24" customHeight="1">
      <c r="A239" s="24" t="inlineStr">
        <is>
          <t>172</t>
        </is>
      </c>
      <c r="B239" s="24" t="inlineStr">
        <is>
          <t>해당 없음</t>
        </is>
      </c>
      <c r="C239" s="24" t="inlineStr">
        <is>
          <t>에이치엠넥스</t>
        </is>
      </c>
      <c r="D239" s="24" t="inlineStr">
        <is>
          <t>036170</t>
        </is>
      </c>
      <c r="E239" s="24" t="inlineStr">
        <is>
          <t>KOSDAQ</t>
        </is>
      </c>
      <c r="F239" s="24" t="inlineStr">
        <is>
          <t>후공정/패키징/테스트</t>
        </is>
      </c>
      <c r="G239" s="24" t="inlineStr">
        <is>
          <t>후공정/패키징/테스트</t>
        </is>
      </c>
      <c r="H239" s="24" t="inlineStr">
        <is>
          <t>False</t>
        </is>
      </c>
      <c r="I239" s="24" t="inlineStr">
        <is>
          <t>True</t>
        </is>
      </c>
      <c r="J239" s="24" t="inlineStr">
        <is>
          <t>OK</t>
        </is>
      </c>
      <c r="K239" s="24" t="inlineStr">
        <is>
          <t>데이터 사용 가능</t>
        </is>
      </c>
      <c r="L239" s="24" t="inlineStr">
        <is>
          <t>LOW</t>
        </is>
      </c>
      <c r="M239" s="24" t="inlineStr">
        <is>
          <t>LOW</t>
        </is>
      </c>
      <c r="N239" s="24" t="inlineStr">
        <is>
          <t>0.621037037037037</t>
        </is>
      </c>
      <c r="O239" s="24" t="inlineStr">
        <is>
          <t>FAIR</t>
        </is>
      </c>
      <c r="P239" s="24" t="inlineStr">
        <is>
          <t>FAIR</t>
        </is>
      </c>
      <c r="Q239" s="24" t="inlineStr">
        <is>
          <t>FAIR</t>
        </is>
      </c>
      <c r="R239" s="24" t="inlineStr">
        <is>
          <t>0.7433115072206052</t>
        </is>
      </c>
      <c r="S239" s="24" t="inlineStr">
        <is>
          <t>HIGH</t>
        </is>
      </c>
      <c r="T239" s="24" t="inlineStr">
        <is>
          <t>HIGH</t>
        </is>
      </c>
      <c r="U239" s="24" t="inlineStr">
        <is>
          <t>0.3571428571428571</t>
        </is>
      </c>
      <c r="V239" s="24" t="inlineStr">
        <is>
          <t>MEDIUM_RISK</t>
        </is>
      </c>
      <c r="W239" s="24" t="inlineStr">
        <is>
          <t>중위험</t>
        </is>
      </c>
      <c r="X239" s="24" t="inlineStr">
        <is>
          <t>MEDIUM_RISK</t>
        </is>
      </c>
      <c r="Y239" s="24" t="inlineStr">
        <is>
          <t>0.7084051764737881</t>
        </is>
      </c>
      <c r="Z239" s="24" t="inlineStr">
        <is>
          <t>HIGH</t>
        </is>
      </c>
      <c r="AA239" s="24" t="inlineStr">
        <is>
          <t>HIGH</t>
        </is>
      </c>
      <c r="AB239" s="24" t="inlineStr">
        <is>
          <t>0.3531105059628509</t>
        </is>
      </c>
      <c r="AC239" s="24" t="inlineStr">
        <is>
          <t>True</t>
        </is>
      </c>
      <c r="AD239" s="24" t="inlineStr">
        <is>
          <t>True</t>
        </is>
      </c>
      <c r="AE239" s="24" t="inlineStr">
        <is>
          <t>valuation_credit_ml_overlay_candidate.csv</t>
        </is>
      </c>
      <c r="AF239" s="24" t="inlineStr">
        <is>
          <t>208개 반도체 reference universe. Valuation Agent가 자체 intake 폴더로 복제해 Peer/ML/대시보드 비교에 사용.</t>
        </is>
      </c>
    </row>
    <row r="240" ht="24" customHeight="1">
      <c r="A240" s="29" t="inlineStr">
        <is>
          <t>162</t>
        </is>
      </c>
      <c r="B240" s="29" t="inlineStr">
        <is>
          <t>해당 없음</t>
        </is>
      </c>
      <c r="C240" s="29" t="inlineStr">
        <is>
          <t>리노공업</t>
        </is>
      </c>
      <c r="D240" s="29" t="inlineStr">
        <is>
          <t>058470</t>
        </is>
      </c>
      <c r="E240" s="29" t="inlineStr">
        <is>
          <t>KOSDAQ GLOBAL</t>
        </is>
      </c>
      <c r="F240" s="29" t="inlineStr">
        <is>
          <t>후공정/패키징/테스트</t>
        </is>
      </c>
      <c r="G240" s="29" t="inlineStr">
        <is>
          <t>후공정/패키징/테스트</t>
        </is>
      </c>
      <c r="H240" s="29" t="inlineStr">
        <is>
          <t>False</t>
        </is>
      </c>
      <c r="I240" s="29" t="inlineStr">
        <is>
          <t>True</t>
        </is>
      </c>
      <c r="J240" s="29" t="inlineStr">
        <is>
          <t>OK</t>
        </is>
      </c>
      <c r="K240" s="29" t="inlineStr">
        <is>
          <t>데이터 사용 가능</t>
        </is>
      </c>
      <c r="L240" s="29" t="inlineStr">
        <is>
          <t>LOW</t>
        </is>
      </c>
      <c r="M240" s="29" t="inlineStr">
        <is>
          <t>LOW</t>
        </is>
      </c>
      <c r="N240" s="29" t="inlineStr">
        <is>
          <t>0.6191111111111112</t>
        </is>
      </c>
      <c r="O240" s="29" t="inlineStr">
        <is>
          <t>ATTRACTIVE</t>
        </is>
      </c>
      <c r="P240" s="29" t="inlineStr">
        <is>
          <t>가치 매력</t>
        </is>
      </c>
      <c r="Q240" s="29" t="inlineStr">
        <is>
          <t>ATTRACTIVE</t>
        </is>
      </c>
      <c r="R240" s="29" t="inlineStr">
        <is>
          <t>0.6825301704423244</t>
        </is>
      </c>
      <c r="S240" s="29" t="inlineStr">
        <is>
          <t>MEDIUM</t>
        </is>
      </c>
      <c r="T240" s="29" t="inlineStr">
        <is>
          <t>MEDIUM</t>
        </is>
      </c>
      <c r="U240" s="29" t="inlineStr">
        <is>
          <t>0.0</t>
        </is>
      </c>
      <c r="V240" s="29" t="inlineStr">
        <is>
          <t>LOW_RISK</t>
        </is>
      </c>
      <c r="W240" s="29" t="inlineStr">
        <is>
          <t>저위험</t>
        </is>
      </c>
      <c r="X240" s="29" t="inlineStr">
        <is>
          <t>LOW_RISK</t>
        </is>
      </c>
      <c r="Y240" s="29" t="inlineStr">
        <is>
          <t>0.941163557572434</t>
        </is>
      </c>
      <c r="Z240" s="29" t="inlineStr">
        <is>
          <t>HIGH</t>
        </is>
      </c>
      <c r="AA240" s="29" t="inlineStr">
        <is>
          <t>HIGH</t>
        </is>
      </c>
      <c r="AB240" s="29" t="inlineStr">
        <is>
          <t>0.3137137380028342</t>
        </is>
      </c>
      <c r="AC240" s="29" t="inlineStr">
        <is>
          <t>True</t>
        </is>
      </c>
      <c r="AD240" s="29" t="inlineStr">
        <is>
          <t>True</t>
        </is>
      </c>
      <c r="AE240" s="29" t="inlineStr">
        <is>
          <t>valuation_credit_ml_overlay_candidate.csv</t>
        </is>
      </c>
      <c r="AF240" s="29" t="inlineStr">
        <is>
          <t>208개 반도체 reference universe. Valuation Agent가 자체 intake 폴더로 복제해 Peer/ML/대시보드 비교에 사용.</t>
        </is>
      </c>
    </row>
    <row r="241" ht="24" customHeight="1">
      <c r="A241" s="24" t="inlineStr">
        <is>
          <t>175</t>
        </is>
      </c>
      <c r="B241" s="24" t="inlineStr">
        <is>
          <t>해당 없음</t>
        </is>
      </c>
      <c r="C241" s="24" t="inlineStr">
        <is>
          <t>오킨스전자</t>
        </is>
      </c>
      <c r="D241" s="24" t="inlineStr">
        <is>
          <t>080580</t>
        </is>
      </c>
      <c r="E241" s="24" t="inlineStr">
        <is>
          <t>KOSDAQ</t>
        </is>
      </c>
      <c r="F241" s="24" t="inlineStr">
        <is>
          <t>후공정/패키징/테스트</t>
        </is>
      </c>
      <c r="G241" s="24" t="inlineStr">
        <is>
          <t>후공정/패키징/테스트</t>
        </is>
      </c>
      <c r="H241" s="24" t="inlineStr">
        <is>
          <t>False</t>
        </is>
      </c>
      <c r="I241" s="24" t="inlineStr">
        <is>
          <t>True</t>
        </is>
      </c>
      <c r="J241" s="24" t="inlineStr">
        <is>
          <t>OK</t>
        </is>
      </c>
      <c r="K241" s="24" t="inlineStr">
        <is>
          <t>데이터 사용 가능</t>
        </is>
      </c>
      <c r="L241" s="24" t="inlineStr">
        <is>
          <t>LOW</t>
        </is>
      </c>
      <c r="M241" s="24" t="inlineStr">
        <is>
          <t>LOW</t>
        </is>
      </c>
      <c r="N241" s="24" t="inlineStr">
        <is>
          <t>0.6062222222222222</t>
        </is>
      </c>
      <c r="O241" s="24" t="inlineStr">
        <is>
          <t>ATTRACTIVE</t>
        </is>
      </c>
      <c r="P241" s="24" t="inlineStr">
        <is>
          <t>가치 매력</t>
        </is>
      </c>
      <c r="Q241" s="24" t="inlineStr">
        <is>
          <t>ATTRACTIVE</t>
        </is>
      </c>
      <c r="R241" s="24" t="inlineStr">
        <is>
          <t>0.8105235691914331</t>
        </is>
      </c>
      <c r="S241" s="24" t="inlineStr">
        <is>
          <t>HIGH</t>
        </is>
      </c>
      <c r="T241" s="24" t="inlineStr">
        <is>
          <t>HIGH</t>
        </is>
      </c>
      <c r="U241" s="24" t="inlineStr">
        <is>
          <t>0.2142857142857142</t>
        </is>
      </c>
      <c r="V241" s="24" t="inlineStr">
        <is>
          <t>MEDIUM_RISK</t>
        </is>
      </c>
      <c r="W241" s="24" t="inlineStr">
        <is>
          <t>중위험</t>
        </is>
      </c>
      <c r="X241" s="24" t="inlineStr">
        <is>
          <t>MEDIUM_RISK</t>
        </is>
      </c>
      <c r="Y241" s="24" t="inlineStr">
        <is>
          <t>0.5565647223385506</t>
        </is>
      </c>
      <c r="Z241" s="24" t="inlineStr">
        <is>
          <t>MEDIUM</t>
        </is>
      </c>
      <c r="AA241" s="24" t="inlineStr">
        <is>
          <t>MEDIUM</t>
        </is>
      </c>
      <c r="AB241" s="24" t="inlineStr">
        <is>
          <t>0.05131400931985753</t>
        </is>
      </c>
      <c r="AC241" s="24" t="inlineStr">
        <is>
          <t>False</t>
        </is>
      </c>
      <c r="AD241" s="24" t="inlineStr">
        <is>
          <t>False</t>
        </is>
      </c>
      <c r="AE241" s="24" t="inlineStr">
        <is>
          <t>valuation_credit_ml_overlay_candidate.csv</t>
        </is>
      </c>
      <c r="AF241" s="24" t="inlineStr">
        <is>
          <t>208개 반도체 reference universe. Valuation Agent가 자체 intake 폴더로 복제해 Peer/ML/대시보드 비교에 사용.</t>
        </is>
      </c>
    </row>
    <row r="242" ht="24" customHeight="1">
      <c r="A242" s="29" t="inlineStr">
        <is>
          <t>160</t>
        </is>
      </c>
      <c r="B242" s="29" t="inlineStr">
        <is>
          <t>해당 없음</t>
        </is>
      </c>
      <c r="C242" s="29" t="inlineStr">
        <is>
          <t>디아이</t>
        </is>
      </c>
      <c r="D242" s="29" t="inlineStr">
        <is>
          <t>003160</t>
        </is>
      </c>
      <c r="E242" s="29" t="inlineStr">
        <is>
          <t>KOSPI</t>
        </is>
      </c>
      <c r="F242" s="29" t="inlineStr">
        <is>
          <t>후공정/패키징/테스트</t>
        </is>
      </c>
      <c r="G242" s="29" t="inlineStr">
        <is>
          <t>후공정/패키징/테스트</t>
        </is>
      </c>
      <c r="H242" s="29" t="inlineStr">
        <is>
          <t>False</t>
        </is>
      </c>
      <c r="I242" s="29" t="inlineStr">
        <is>
          <t>True</t>
        </is>
      </c>
      <c r="J242" s="29" t="inlineStr">
        <is>
          <t>OK</t>
        </is>
      </c>
      <c r="K242" s="29" t="inlineStr">
        <is>
          <t>데이터 사용 가능</t>
        </is>
      </c>
      <c r="L242" s="29" t="inlineStr">
        <is>
          <t>LOW</t>
        </is>
      </c>
      <c r="M242" s="29" t="inlineStr">
        <is>
          <t>LOW</t>
        </is>
      </c>
      <c r="N242" s="29" t="inlineStr">
        <is>
          <t>0.5875555555555555</t>
        </is>
      </c>
      <c r="O242" s="29" t="inlineStr">
        <is>
          <t>ATTRACTIVE</t>
        </is>
      </c>
      <c r="P242" s="29" t="inlineStr">
        <is>
          <t>가치 매력</t>
        </is>
      </c>
      <c r="Q242" s="29" t="inlineStr">
        <is>
          <t>ATTRACTIVE</t>
        </is>
      </c>
      <c r="R242" s="29" t="inlineStr">
        <is>
          <t>0.6560906263736197</t>
        </is>
      </c>
      <c r="S242" s="29" t="inlineStr">
        <is>
          <t>MEDIUM</t>
        </is>
      </c>
      <c r="T242" s="29" t="inlineStr">
        <is>
          <t>MEDIUM</t>
        </is>
      </c>
      <c r="U242" s="29" t="inlineStr">
        <is>
          <t>0.0714285714285714</t>
        </is>
      </c>
      <c r="V242" s="29" t="inlineStr">
        <is>
          <t>LOW_RISK</t>
        </is>
      </c>
      <c r="W242" s="29" t="inlineStr">
        <is>
          <t>저위험</t>
        </is>
      </c>
      <c r="X242" s="29" t="inlineStr">
        <is>
          <t>LOW_RISK</t>
        </is>
      </c>
      <c r="Y242" s="29" t="inlineStr">
        <is>
          <t>0.7571818581431954</t>
        </is>
      </c>
      <c r="Z242" s="29" t="inlineStr">
        <is>
          <t>HIGH</t>
        </is>
      </c>
      <c r="AA242" s="29" t="inlineStr">
        <is>
          <t>HIGH</t>
        </is>
      </c>
      <c r="AB242" s="29" t="inlineStr">
        <is>
          <t>0.027510707117244317</t>
        </is>
      </c>
      <c r="AC242" s="29" t="inlineStr">
        <is>
          <t>False</t>
        </is>
      </c>
      <c r="AD242" s="29" t="inlineStr">
        <is>
          <t>False</t>
        </is>
      </c>
      <c r="AE242" s="29" t="inlineStr">
        <is>
          <t>valuation_credit_ml_overlay_candidate.csv</t>
        </is>
      </c>
      <c r="AF242" s="29" t="inlineStr">
        <is>
          <t>208개 반도체 reference universe. Valuation Agent가 자체 intake 폴더로 복제해 Peer/ML/대시보드 비교에 사용.</t>
        </is>
      </c>
    </row>
    <row r="243" ht="24" customHeight="1">
      <c r="A243" s="24" t="inlineStr">
        <is>
          <t>174</t>
        </is>
      </c>
      <c r="B243" s="24" t="inlineStr">
        <is>
          <t>해당 없음</t>
        </is>
      </c>
      <c r="C243" s="24" t="inlineStr">
        <is>
          <t>엑시콘</t>
        </is>
      </c>
      <c r="D243" s="24" t="inlineStr">
        <is>
          <t>092870</t>
        </is>
      </c>
      <c r="E243" s="24" t="inlineStr">
        <is>
          <t>KOSDAQ</t>
        </is>
      </c>
      <c r="F243" s="24" t="inlineStr">
        <is>
          <t>후공정/패키징/테스트</t>
        </is>
      </c>
      <c r="G243" s="24" t="inlineStr">
        <is>
          <t>후공정/패키징/테스트</t>
        </is>
      </c>
      <c r="H243" s="24" t="inlineStr">
        <is>
          <t>False</t>
        </is>
      </c>
      <c r="I243" s="24" t="inlineStr">
        <is>
          <t>True</t>
        </is>
      </c>
      <c r="J243" s="24" t="inlineStr">
        <is>
          <t>OK</t>
        </is>
      </c>
      <c r="K243" s="24" t="inlineStr">
        <is>
          <t>데이터 사용 가능</t>
        </is>
      </c>
      <c r="L243" s="24" t="inlineStr">
        <is>
          <t>LOW</t>
        </is>
      </c>
      <c r="M243" s="24" t="inlineStr">
        <is>
          <t>LOW</t>
        </is>
      </c>
      <c r="N243" s="24" t="inlineStr">
        <is>
          <t>0.5711111111111111</t>
        </is>
      </c>
      <c r="O243" s="24" t="inlineStr">
        <is>
          <t>FAIR</t>
        </is>
      </c>
      <c r="P243" s="24" t="inlineStr">
        <is>
          <t>FAIR</t>
        </is>
      </c>
      <c r="Q243" s="24" t="inlineStr">
        <is>
          <t>FAIR</t>
        </is>
      </c>
      <c r="R243" s="24" t="inlineStr">
        <is>
          <t>0.7870958268046786</t>
        </is>
      </c>
      <c r="S243" s="24" t="inlineStr">
        <is>
          <t>HIGH</t>
        </is>
      </c>
      <c r="T243" s="24" t="inlineStr">
        <is>
          <t>HIGH</t>
        </is>
      </c>
      <c r="U243" s="24" t="inlineStr">
        <is>
          <t>0.2142857142857142</t>
        </is>
      </c>
      <c r="V243" s="24" t="inlineStr">
        <is>
          <t>MEDIUM_RISK</t>
        </is>
      </c>
      <c r="W243" s="24" t="inlineStr">
        <is>
          <t>중위험</t>
        </is>
      </c>
      <c r="X243" s="24" t="inlineStr">
        <is>
          <t>MEDIUM_RISK</t>
        </is>
      </c>
      <c r="Y243" s="24" t="inlineStr">
        <is>
          <t>0.6956414267155251</t>
        </is>
      </c>
      <c r="Z243" s="24" t="inlineStr">
        <is>
          <t>MEDIUM</t>
        </is>
      </c>
      <c r="AA243" s="24" t="inlineStr">
        <is>
          <t>MEDIUM</t>
        </is>
      </c>
      <c r="AB243" s="24" t="inlineStr">
        <is>
          <t>0.09079387845598708</t>
        </is>
      </c>
      <c r="AC243" s="24" t="inlineStr">
        <is>
          <t>False</t>
        </is>
      </c>
      <c r="AD243" s="24" t="inlineStr">
        <is>
          <t>False</t>
        </is>
      </c>
      <c r="AE243" s="24" t="inlineStr">
        <is>
          <t>valuation_credit_ml_overlay_candidate.csv</t>
        </is>
      </c>
      <c r="AF243" s="24" t="inlineStr">
        <is>
          <t>208개 반도체 reference universe. Valuation Agent가 자체 intake 폴더로 복제해 Peer/ML/대시보드 비교에 사용.</t>
        </is>
      </c>
    </row>
    <row r="244" ht="24" customHeight="1">
      <c r="A244" s="29" t="inlineStr">
        <is>
          <t>177</t>
        </is>
      </c>
      <c r="B244" s="29" t="inlineStr">
        <is>
          <t>해당 없음</t>
        </is>
      </c>
      <c r="C244" s="29" t="inlineStr">
        <is>
          <t>우리이앤엘하루틴</t>
        </is>
      </c>
      <c r="D244" s="29" t="inlineStr">
        <is>
          <t>153490</t>
        </is>
      </c>
      <c r="E244" s="29" t="inlineStr">
        <is>
          <t>KOSDAQ</t>
        </is>
      </c>
      <c r="F244" s="29" t="inlineStr">
        <is>
          <t>후공정/패키징/테스트</t>
        </is>
      </c>
      <c r="G244" s="29" t="inlineStr">
        <is>
          <t>후공정/패키징/테스트</t>
        </is>
      </c>
      <c r="H244" s="29" t="inlineStr">
        <is>
          <t>False</t>
        </is>
      </c>
      <c r="I244" s="29" t="inlineStr">
        <is>
          <t>True</t>
        </is>
      </c>
      <c r="J244" s="29" t="inlineStr">
        <is>
          <t>OK</t>
        </is>
      </c>
      <c r="K244" s="29" t="inlineStr">
        <is>
          <t>데이터 사용 가능</t>
        </is>
      </c>
      <c r="L244" s="29" t="inlineStr">
        <is>
          <t>LOW</t>
        </is>
      </c>
      <c r="M244" s="29" t="inlineStr">
        <is>
          <t>LOW</t>
        </is>
      </c>
      <c r="N244" s="29" t="inlineStr">
        <is>
          <t>0.5598518518518519</t>
        </is>
      </c>
      <c r="O244" s="29" t="inlineStr">
        <is>
          <t>FAIR</t>
        </is>
      </c>
      <c r="P244" s="29" t="inlineStr">
        <is>
          <t>FAIR</t>
        </is>
      </c>
      <c r="Q244" s="29" t="inlineStr">
        <is>
          <t>FAIR</t>
        </is>
      </c>
      <c r="R244" s="29" t="inlineStr">
        <is>
          <t>0.803860880134826</t>
        </is>
      </c>
      <c r="S244" s="29" t="inlineStr">
        <is>
          <t>HIGH</t>
        </is>
      </c>
      <c r="T244" s="29" t="inlineStr">
        <is>
          <t>HIGH</t>
        </is>
      </c>
      <c r="U244" s="29" t="inlineStr">
        <is>
          <t>0.1428571428571428</t>
        </is>
      </c>
      <c r="V244" s="29" t="inlineStr">
        <is>
          <t>LOW_RISK</t>
        </is>
      </c>
      <c r="W244" s="29" t="inlineStr">
        <is>
          <t>저위험</t>
        </is>
      </c>
      <c r="X244" s="29" t="inlineStr">
        <is>
          <t>LOW_RISK</t>
        </is>
      </c>
      <c r="Y244" s="29" t="inlineStr">
        <is>
          <t>0.5263237628250668</t>
        </is>
      </c>
      <c r="Z244" s="29" t="inlineStr">
        <is>
          <t>MEDIUM</t>
        </is>
      </c>
      <c r="AA244" s="29" t="inlineStr">
        <is>
          <t>MEDIUM</t>
        </is>
      </c>
      <c r="AB244" s="29" t="inlineStr">
        <is>
          <t>0.12425981563248314</t>
        </is>
      </c>
      <c r="AC244" s="29" t="inlineStr">
        <is>
          <t>False</t>
        </is>
      </c>
      <c r="AD244" s="29" t="inlineStr">
        <is>
          <t>False</t>
        </is>
      </c>
      <c r="AE244" s="29" t="inlineStr">
        <is>
          <t>valuation_credit_ml_overlay_candidate.csv</t>
        </is>
      </c>
      <c r="AF244" s="29" t="inlineStr">
        <is>
          <t>208개 반도체 reference universe. Valuation Agent가 자체 intake 폴더로 복제해 Peer/ML/대시보드 비교에 사용.</t>
        </is>
      </c>
    </row>
    <row r="245" ht="24" customHeight="1">
      <c r="A245" s="24" t="inlineStr">
        <is>
          <t>176</t>
        </is>
      </c>
      <c r="B245" s="24" t="inlineStr">
        <is>
          <t>해당 없음</t>
        </is>
      </c>
      <c r="C245" s="24" t="inlineStr">
        <is>
          <t>와이씨</t>
        </is>
      </c>
      <c r="D245" s="24" t="inlineStr">
        <is>
          <t>232140</t>
        </is>
      </c>
      <c r="E245" s="24" t="inlineStr">
        <is>
          <t>KOSDAQ</t>
        </is>
      </c>
      <c r="F245" s="24" t="inlineStr">
        <is>
          <t>후공정/패키징/테스트</t>
        </is>
      </c>
      <c r="G245" s="24" t="inlineStr">
        <is>
          <t>후공정/패키징/테스트</t>
        </is>
      </c>
      <c r="H245" s="24" t="inlineStr">
        <is>
          <t>False</t>
        </is>
      </c>
      <c r="I245" s="24" t="inlineStr">
        <is>
          <t>True</t>
        </is>
      </c>
      <c r="J245" s="24" t="inlineStr">
        <is>
          <t>OK</t>
        </is>
      </c>
      <c r="K245" s="24" t="inlineStr">
        <is>
          <t>데이터 사용 가능</t>
        </is>
      </c>
      <c r="L245" s="24" t="inlineStr">
        <is>
          <t>LOW</t>
        </is>
      </c>
      <c r="M245" s="24" t="inlineStr">
        <is>
          <t>LOW</t>
        </is>
      </c>
      <c r="N245" s="24" t="inlineStr">
        <is>
          <t>0.5573333333333333</t>
        </is>
      </c>
      <c r="O245" s="24" t="inlineStr">
        <is>
          <t>FAIR</t>
        </is>
      </c>
      <c r="P245" s="24" t="inlineStr">
        <is>
          <t>FAIR</t>
        </is>
      </c>
      <c r="Q245" s="24" t="inlineStr">
        <is>
          <t>FAIR</t>
        </is>
      </c>
      <c r="R245" s="24" t="inlineStr">
        <is>
          <t>0.5813875575219858</t>
        </is>
      </c>
      <c r="S245" s="24" t="inlineStr">
        <is>
          <t>MEDIUM</t>
        </is>
      </c>
      <c r="T245" s="24" t="inlineStr">
        <is>
          <t>MEDIUM</t>
        </is>
      </c>
      <c r="U245" s="24" t="inlineStr">
        <is>
          <t>0.0</t>
        </is>
      </c>
      <c r="V245" s="24" t="inlineStr">
        <is>
          <t>LOW_RISK</t>
        </is>
      </c>
      <c r="W245" s="24" t="inlineStr">
        <is>
          <t>저위험</t>
        </is>
      </c>
      <c r="X245" s="24" t="inlineStr">
        <is>
          <t>LOW_RISK</t>
        </is>
      </c>
      <c r="Y245" s="24" t="inlineStr">
        <is>
          <t>0.9779169949984006</t>
        </is>
      </c>
      <c r="Z245" s="24" t="inlineStr">
        <is>
          <t>HIGH</t>
        </is>
      </c>
      <c r="AA245" s="24" t="inlineStr">
        <is>
          <t>HIGH</t>
        </is>
      </c>
      <c r="AB245" s="24" t="inlineStr">
        <is>
          <t>0.027903490153269303</t>
        </is>
      </c>
      <c r="AC245" s="24" t="inlineStr">
        <is>
          <t>False</t>
        </is>
      </c>
      <c r="AD245" s="24" t="inlineStr">
        <is>
          <t>False</t>
        </is>
      </c>
      <c r="AE245" s="24" t="inlineStr">
        <is>
          <t>valuation_credit_ml_overlay_candidate.csv</t>
        </is>
      </c>
      <c r="AF245" s="24" t="inlineStr">
        <is>
          <t>208개 반도체 reference universe. Valuation Agent가 자체 intake 폴더로 복제해 Peer/ML/대시보드 비교에 사용.</t>
        </is>
      </c>
    </row>
    <row r="246" ht="24" customHeight="1">
      <c r="A246" s="29" t="inlineStr">
        <is>
          <t>155</t>
        </is>
      </c>
      <c r="B246" s="29" t="inlineStr">
        <is>
          <t>해당 없음</t>
        </is>
      </c>
      <c r="C246" s="29" t="inlineStr">
        <is>
          <t>기가비스</t>
        </is>
      </c>
      <c r="D246" s="29" t="inlineStr">
        <is>
          <t>420770</t>
        </is>
      </c>
      <c r="E246" s="29" t="inlineStr">
        <is>
          <t>KOSDAQ</t>
        </is>
      </c>
      <c r="F246" s="29" t="inlineStr">
        <is>
          <t>후공정/패키징/테스트</t>
        </is>
      </c>
      <c r="G246" s="29" t="inlineStr">
        <is>
          <t>후공정/패키징/테스트</t>
        </is>
      </c>
      <c r="H246" s="29" t="inlineStr">
        <is>
          <t>False</t>
        </is>
      </c>
      <c r="I246" s="29" t="inlineStr">
        <is>
          <t>True</t>
        </is>
      </c>
      <c r="J246" s="29" t="inlineStr">
        <is>
          <t>OK_LIMITED_HISTORY_OR_GROWTH_NA</t>
        </is>
      </c>
      <c r="K246" s="29" t="inlineStr">
        <is>
          <t>데이터 사용 가능</t>
        </is>
      </c>
      <c r="L246" s="29" t="inlineStr">
        <is>
          <t>LOW</t>
        </is>
      </c>
      <c r="M246" s="29" t="inlineStr">
        <is>
          <t>LOW</t>
        </is>
      </c>
      <c r="N246" s="29" t="inlineStr">
        <is>
          <t>0.5544444444444445</t>
        </is>
      </c>
      <c r="O246" s="29" t="inlineStr">
        <is>
          <t>FAIR</t>
        </is>
      </c>
      <c r="P246" s="29" t="inlineStr">
        <is>
          <t>FAIR</t>
        </is>
      </c>
      <c r="Q246" s="29" t="inlineStr">
        <is>
          <t>FAIR</t>
        </is>
      </c>
      <c r="R246" s="29" t="inlineStr">
        <is>
          <t>0.604283449323821</t>
        </is>
      </c>
      <c r="S246" s="29" t="inlineStr">
        <is>
          <t>MEDIUM</t>
        </is>
      </c>
      <c r="T246" s="29" t="inlineStr">
        <is>
          <t>MEDIUM</t>
        </is>
      </c>
      <c r="U246" s="29" t="inlineStr">
        <is>
          <t>0.0714285714285714</t>
        </is>
      </c>
      <c r="V246" s="29" t="inlineStr">
        <is>
          <t>LOW_RISK</t>
        </is>
      </c>
      <c r="W246" s="29" t="inlineStr">
        <is>
          <t>저위험</t>
        </is>
      </c>
      <c r="X246" s="29" t="inlineStr">
        <is>
          <t>LOW_RISK</t>
        </is>
      </c>
      <c r="Y246" s="29" t="inlineStr">
        <is>
          <t>0.9462252670112353</t>
        </is>
      </c>
      <c r="Z246" s="29" t="inlineStr">
        <is>
          <t>HIGH</t>
        </is>
      </c>
      <c r="AA246" s="29" t="inlineStr">
        <is>
          <t>HIGH</t>
        </is>
      </c>
      <c r="AB246" s="29" t="inlineStr">
        <is>
          <t>0.34444594339538714</t>
        </is>
      </c>
      <c r="AC246" s="29" t="inlineStr">
        <is>
          <t>True</t>
        </is>
      </c>
      <c r="AD246" s="29" t="inlineStr">
        <is>
          <t>True</t>
        </is>
      </c>
      <c r="AE246" s="29" t="inlineStr">
        <is>
          <t>valuation_credit_ml_overlay_candidate.csv</t>
        </is>
      </c>
      <c r="AF246" s="29" t="inlineStr">
        <is>
          <t>208개 반도체 reference universe. Valuation Agent가 자체 intake 폴더로 복제해 Peer/ML/대시보드 비교에 사용.</t>
        </is>
      </c>
    </row>
    <row r="247" ht="24" customHeight="1">
      <c r="A247" s="24" t="inlineStr">
        <is>
          <t>194</t>
        </is>
      </c>
      <c r="B247" s="24" t="inlineStr">
        <is>
          <t>해당 없음</t>
        </is>
      </c>
      <c r="C247" s="24" t="inlineStr">
        <is>
          <t>해성디에스</t>
        </is>
      </c>
      <c r="D247" s="24" t="inlineStr">
        <is>
          <t>195870</t>
        </is>
      </c>
      <c r="E247" s="24" t="inlineStr">
        <is>
          <t>KOSPI</t>
        </is>
      </c>
      <c r="F247" s="24" t="inlineStr">
        <is>
          <t>후공정/패키징/테스트</t>
        </is>
      </c>
      <c r="G247" s="24" t="inlineStr">
        <is>
          <t>후공정/패키징/테스트</t>
        </is>
      </c>
      <c r="H247" s="24" t="inlineStr">
        <is>
          <t>False</t>
        </is>
      </c>
      <c r="I247" s="24" t="inlineStr">
        <is>
          <t>True</t>
        </is>
      </c>
      <c r="J247" s="24" t="inlineStr">
        <is>
          <t>OK</t>
        </is>
      </c>
      <c r="K247" s="24" t="inlineStr">
        <is>
          <t>데이터 사용 가능</t>
        </is>
      </c>
      <c r="L247" s="24" t="inlineStr">
        <is>
          <t>LOW</t>
        </is>
      </c>
      <c r="M247" s="24" t="inlineStr">
        <is>
          <t>LOW</t>
        </is>
      </c>
      <c r="N247" s="24" t="inlineStr">
        <is>
          <t>0.5333333333333333</t>
        </is>
      </c>
      <c r="O247" s="24" t="inlineStr">
        <is>
          <t>FAIR</t>
        </is>
      </c>
      <c r="P247" s="24" t="inlineStr">
        <is>
          <t>FAIR</t>
        </is>
      </c>
      <c r="Q247" s="24" t="inlineStr">
        <is>
          <t>FAIR</t>
        </is>
      </c>
      <c r="R247" s="24" t="inlineStr">
        <is>
          <t>0.8942165906576592</t>
        </is>
      </c>
      <c r="S247" s="24" t="inlineStr">
        <is>
          <t>HIGH</t>
        </is>
      </c>
      <c r="T247" s="24" t="inlineStr">
        <is>
          <t>HIGH</t>
        </is>
      </c>
      <c r="U247" s="24" t="inlineStr">
        <is>
          <t>0.0714285714285714</t>
        </is>
      </c>
      <c r="V247" s="24" t="inlineStr">
        <is>
          <t>LOW_RISK</t>
        </is>
      </c>
      <c r="W247" s="24" t="inlineStr">
        <is>
          <t>저위험</t>
        </is>
      </c>
      <c r="X247" s="24" t="inlineStr">
        <is>
          <t>LOW_RISK</t>
        </is>
      </c>
      <c r="Y247" s="24" t="inlineStr">
        <is>
          <t>0.7552918248784374</t>
        </is>
      </c>
      <c r="Z247" s="24" t="inlineStr">
        <is>
          <t>HIGH</t>
        </is>
      </c>
      <c r="AA247" s="24" t="inlineStr">
        <is>
          <t>HIGH</t>
        </is>
      </c>
      <c r="AB247" s="24" t="inlineStr">
        <is>
          <t>0.0</t>
        </is>
      </c>
      <c r="AC247" s="24" t="inlineStr">
        <is>
          <t>False</t>
        </is>
      </c>
      <c r="AD247" s="24" t="inlineStr">
        <is>
          <t>False</t>
        </is>
      </c>
      <c r="AE247" s="24" t="inlineStr">
        <is>
          <t>valuation_credit_ml_overlay_candidate.csv</t>
        </is>
      </c>
      <c r="AF247" s="24" t="inlineStr">
        <is>
          <t>208개 반도체 reference universe. Valuation Agent가 자체 intake 폴더로 복제해 Peer/ML/대시보드 비교에 사용.</t>
        </is>
      </c>
    </row>
    <row r="248" ht="24" customHeight="1">
      <c r="A248" s="29" t="inlineStr">
        <is>
          <t>150</t>
        </is>
      </c>
      <c r="B248" s="29" t="inlineStr">
        <is>
          <t>해당 없음</t>
        </is>
      </c>
      <c r="C248" s="29" t="inlineStr">
        <is>
          <t>ISC</t>
        </is>
      </c>
      <c r="D248" s="29" t="inlineStr">
        <is>
          <t>095340</t>
        </is>
      </c>
      <c r="E248" s="29" t="inlineStr">
        <is>
          <t>KOSDAQ GLOBAL</t>
        </is>
      </c>
      <c r="F248" s="29" t="inlineStr">
        <is>
          <t>후공정/패키징/테스트</t>
        </is>
      </c>
      <c r="G248" s="29" t="inlineStr">
        <is>
          <t>후공정/패키징/테스트</t>
        </is>
      </c>
      <c r="H248" s="29" t="inlineStr">
        <is>
          <t>False</t>
        </is>
      </c>
      <c r="I248" s="29" t="inlineStr">
        <is>
          <t>True</t>
        </is>
      </c>
      <c r="J248" s="29" t="inlineStr">
        <is>
          <t>OK</t>
        </is>
      </c>
      <c r="K248" s="29" t="inlineStr">
        <is>
          <t>데이터 사용 가능</t>
        </is>
      </c>
      <c r="L248" s="29" t="inlineStr">
        <is>
          <t>LOW</t>
        </is>
      </c>
      <c r="M248" s="29" t="inlineStr">
        <is>
          <t>LOW</t>
        </is>
      </c>
      <c r="N248" s="29" t="inlineStr">
        <is>
          <t>0.5176296296296296</t>
        </is>
      </c>
      <c r="O248" s="29" t="inlineStr">
        <is>
          <t>FAIR</t>
        </is>
      </c>
      <c r="P248" s="29" t="inlineStr">
        <is>
          <t>FAIR</t>
        </is>
      </c>
      <c r="Q248" s="29" t="inlineStr">
        <is>
          <t>FAIR</t>
        </is>
      </c>
      <c r="R248" s="29" t="inlineStr">
        <is>
          <t>0.5753148434947495</t>
        </is>
      </c>
      <c r="S248" s="29" t="inlineStr">
        <is>
          <t>MEDIUM</t>
        </is>
      </c>
      <c r="T248" s="29" t="inlineStr">
        <is>
          <t>MEDIUM</t>
        </is>
      </c>
      <c r="U248" s="29" t="inlineStr">
        <is>
          <t>0.0</t>
        </is>
      </c>
      <c r="V248" s="29" t="inlineStr">
        <is>
          <t>LOW_RISK</t>
        </is>
      </c>
      <c r="W248" s="29" t="inlineStr">
        <is>
          <t>저위험</t>
        </is>
      </c>
      <c r="X248" s="29" t="inlineStr">
        <is>
          <t>LOW_RISK</t>
        </is>
      </c>
      <c r="Y248" s="29" t="inlineStr">
        <is>
          <t>0.9755870924998499</t>
        </is>
      </c>
      <c r="Z248" s="29" t="inlineStr">
        <is>
          <t>HIGH</t>
        </is>
      </c>
      <c r="AA248" s="29" t="inlineStr">
        <is>
          <t>HIGH</t>
        </is>
      </c>
      <c r="AB248" s="29" t="inlineStr">
        <is>
          <t>0.14006921921799445</t>
        </is>
      </c>
      <c r="AC248" s="29" t="inlineStr">
        <is>
          <t>False</t>
        </is>
      </c>
      <c r="AD248" s="29" t="inlineStr">
        <is>
          <t>False</t>
        </is>
      </c>
      <c r="AE248" s="29" t="inlineStr">
        <is>
          <t>valuation_credit_ml_overlay_candidate.csv</t>
        </is>
      </c>
      <c r="AF248" s="29" t="inlineStr">
        <is>
          <t>208개 반도체 reference universe. Valuation Agent가 자체 intake 폴더로 복제해 Peer/ML/대시보드 비교에 사용.</t>
        </is>
      </c>
    </row>
    <row r="249" ht="24" customHeight="1">
      <c r="A249" s="24" t="inlineStr">
        <is>
          <t>173</t>
        </is>
      </c>
      <c r="B249" s="24" t="inlineStr">
        <is>
          <t>해당 없음</t>
        </is>
      </c>
      <c r="C249" s="24" t="inlineStr">
        <is>
          <t>에이팩트</t>
        </is>
      </c>
      <c r="D249" s="24" t="inlineStr">
        <is>
          <t>200470</t>
        </is>
      </c>
      <c r="E249" s="24" t="inlineStr">
        <is>
          <t>KOSDAQ</t>
        </is>
      </c>
      <c r="F249" s="24" t="inlineStr">
        <is>
          <t>후공정/패키징/테스트</t>
        </is>
      </c>
      <c r="G249" s="24" t="inlineStr">
        <is>
          <t>후공정/패키징/테스트</t>
        </is>
      </c>
      <c r="H249" s="24" t="inlineStr">
        <is>
          <t>False</t>
        </is>
      </c>
      <c r="I249" s="24" t="inlineStr">
        <is>
          <t>True</t>
        </is>
      </c>
      <c r="J249" s="24" t="inlineStr">
        <is>
          <t>OK</t>
        </is>
      </c>
      <c r="K249" s="24" t="inlineStr">
        <is>
          <t>데이터 사용 가능</t>
        </is>
      </c>
      <c r="L249" s="24" t="inlineStr">
        <is>
          <t>LOW</t>
        </is>
      </c>
      <c r="M249" s="24" t="inlineStr">
        <is>
          <t>LOW</t>
        </is>
      </c>
      <c r="N249" s="24" t="inlineStr">
        <is>
          <t>0.5026666666666667</t>
        </is>
      </c>
      <c r="O249" s="24" t="inlineStr">
        <is>
          <t>FAIR</t>
        </is>
      </c>
      <c r="P249" s="24" t="inlineStr">
        <is>
          <t>FAIR</t>
        </is>
      </c>
      <c r="Q249" s="24" t="inlineStr">
        <is>
          <t>FAIR</t>
        </is>
      </c>
      <c r="R249" s="24" t="inlineStr">
        <is>
          <t>0.8010795762920226</t>
        </is>
      </c>
      <c r="S249" s="24" t="inlineStr">
        <is>
          <t>HIGH</t>
        </is>
      </c>
      <c r="T249" s="24" t="inlineStr">
        <is>
          <t>HIGH</t>
        </is>
      </c>
      <c r="U249" s="24" t="inlineStr">
        <is>
          <t>0.4285714285714285</t>
        </is>
      </c>
      <c r="V249" s="24" t="inlineStr">
        <is>
          <t>HIGH_RISK</t>
        </is>
      </c>
      <c r="W249" s="24" t="inlineStr">
        <is>
          <t>고위험</t>
        </is>
      </c>
      <c r="X249" s="24" t="inlineStr">
        <is>
          <t>MEDIUM_RISK</t>
        </is>
      </c>
      <c r="Y249" s="24" t="inlineStr">
        <is>
          <t>0.40666664980482187</t>
        </is>
      </c>
      <c r="Z249" s="24" t="inlineStr">
        <is>
          <t>LOW</t>
        </is>
      </c>
      <c r="AA249" s="24" t="inlineStr">
        <is>
          <t>LOW</t>
        </is>
      </c>
      <c r="AB249" s="24" t="inlineStr">
        <is>
          <t>0.060282917359955154</t>
        </is>
      </c>
      <c r="AC249" s="24" t="inlineStr">
        <is>
          <t>False</t>
        </is>
      </c>
      <c r="AD249" s="24" t="inlineStr">
        <is>
          <t>True</t>
        </is>
      </c>
      <c r="AE249" s="24" t="inlineStr">
        <is>
          <t>valuation_credit_ml_overlay_candidate.csv</t>
        </is>
      </c>
      <c r="AF249" s="24" t="inlineStr">
        <is>
          <t>208개 반도체 reference universe. Valuation Agent가 자체 intake 폴더로 복제해 Peer/ML/대시보드 비교에 사용.</t>
        </is>
      </c>
    </row>
    <row r="250" ht="24" customHeight="1">
      <c r="A250" s="29" t="inlineStr">
        <is>
          <t>166</t>
        </is>
      </c>
      <c r="B250" s="29" t="inlineStr">
        <is>
          <t>해당 없음</t>
        </is>
      </c>
      <c r="C250" s="29" t="inlineStr">
        <is>
          <t>삼성전기</t>
        </is>
      </c>
      <c r="D250" s="29" t="inlineStr">
        <is>
          <t>009150</t>
        </is>
      </c>
      <c r="E250" s="29" t="inlineStr">
        <is>
          <t>KOSPI</t>
        </is>
      </c>
      <c r="F250" s="29" t="inlineStr">
        <is>
          <t>후공정/패키징/테스트</t>
        </is>
      </c>
      <c r="G250" s="29" t="inlineStr">
        <is>
          <t>후공정/패키징/테스트</t>
        </is>
      </c>
      <c r="H250" s="29" t="inlineStr">
        <is>
          <t>False</t>
        </is>
      </c>
      <c r="I250" s="29" t="inlineStr">
        <is>
          <t>True</t>
        </is>
      </c>
      <c r="J250" s="29" t="inlineStr">
        <is>
          <t>OK</t>
        </is>
      </c>
      <c r="K250" s="29" t="inlineStr">
        <is>
          <t>데이터 사용 가능</t>
        </is>
      </c>
      <c r="L250" s="29" t="inlineStr">
        <is>
          <t>LOW</t>
        </is>
      </c>
      <c r="M250" s="29" t="inlineStr">
        <is>
          <t>LOW</t>
        </is>
      </c>
      <c r="N250" s="29" t="inlineStr">
        <is>
          <t>0.4957037037037037</t>
        </is>
      </c>
      <c r="O250" s="29" t="inlineStr">
        <is>
          <t>FAIR</t>
        </is>
      </c>
      <c r="P250" s="29" t="inlineStr">
        <is>
          <t>FAIR</t>
        </is>
      </c>
      <c r="Q250" s="29" t="inlineStr">
        <is>
          <t>FAIR</t>
        </is>
      </c>
      <c r="R250" s="29" t="inlineStr">
        <is>
          <t>0.5297655139045552</t>
        </is>
      </c>
      <c r="S250" s="29" t="inlineStr">
        <is>
          <t>MEDIUM</t>
        </is>
      </c>
      <c r="T250" s="29" t="inlineStr">
        <is>
          <t>MEDIUM</t>
        </is>
      </c>
      <c r="U250" s="29" t="inlineStr">
        <is>
          <t>0.0</t>
        </is>
      </c>
      <c r="V250" s="29" t="inlineStr">
        <is>
          <t>LOW_RISK</t>
        </is>
      </c>
      <c r="W250" s="29" t="inlineStr">
        <is>
          <t>저위험</t>
        </is>
      </c>
      <c r="X250" s="29" t="inlineStr">
        <is>
          <t>LOW_RISK</t>
        </is>
      </c>
      <c r="Y250" s="29" t="inlineStr">
        <is>
          <t>0.9613637696053304</t>
        </is>
      </c>
      <c r="Z250" s="29" t="inlineStr">
        <is>
          <t>HIGH</t>
        </is>
      </c>
      <c r="AA250" s="29" t="inlineStr">
        <is>
          <t>HIGH</t>
        </is>
      </c>
      <c r="AB250" s="29" t="inlineStr">
        <is>
          <t>0.09523408011479967</t>
        </is>
      </c>
      <c r="AC250" s="29" t="inlineStr">
        <is>
          <t>False</t>
        </is>
      </c>
      <c r="AD250" s="29" t="inlineStr">
        <is>
          <t>False</t>
        </is>
      </c>
      <c r="AE250" s="29" t="inlineStr">
        <is>
          <t>valuation_credit_ml_overlay_candidate.csv</t>
        </is>
      </c>
      <c r="AF250" s="29" t="inlineStr">
        <is>
          <t>208개 반도체 reference universe. Valuation Agent가 자체 intake 폴더로 복제해 Peer/ML/대시보드 비교에 사용.</t>
        </is>
      </c>
    </row>
    <row r="251" ht="24" customHeight="1">
      <c r="A251" s="24" t="inlineStr">
        <is>
          <t>171</t>
        </is>
      </c>
      <c r="B251" s="24" t="inlineStr">
        <is>
          <t>해당 없음</t>
        </is>
      </c>
      <c r="C251" s="24" t="inlineStr">
        <is>
          <t>에이엘티</t>
        </is>
      </c>
      <c r="D251" s="24" t="inlineStr">
        <is>
          <t>172670</t>
        </is>
      </c>
      <c r="E251" s="24" t="inlineStr">
        <is>
          <t>KOSDAQ</t>
        </is>
      </c>
      <c r="F251" s="24" t="inlineStr">
        <is>
          <t>후공정/패키징/테스트</t>
        </is>
      </c>
      <c r="G251" s="24" t="inlineStr">
        <is>
          <t>후공정/패키징/테스트</t>
        </is>
      </c>
      <c r="H251" s="24" t="inlineStr">
        <is>
          <t>False</t>
        </is>
      </c>
      <c r="I251" s="24" t="inlineStr">
        <is>
          <t>True</t>
        </is>
      </c>
      <c r="J251" s="24" t="inlineStr">
        <is>
          <t>OK</t>
        </is>
      </c>
      <c r="K251" s="24" t="inlineStr">
        <is>
          <t>데이터 사용 가능</t>
        </is>
      </c>
      <c r="L251" s="24" t="inlineStr">
        <is>
          <t>LOW</t>
        </is>
      </c>
      <c r="M251" s="24" t="inlineStr">
        <is>
          <t>LOW</t>
        </is>
      </c>
      <c r="N251" s="24" t="inlineStr">
        <is>
          <t>0.4877037037037036</t>
        </is>
      </c>
      <c r="O251" s="24" t="inlineStr">
        <is>
          <t>FAIR</t>
        </is>
      </c>
      <c r="P251" s="24" t="inlineStr">
        <is>
          <t>FAIR</t>
        </is>
      </c>
      <c r="Q251" s="24" t="inlineStr">
        <is>
          <t>FAIR</t>
        </is>
      </c>
      <c r="R251" s="24" t="inlineStr">
        <is>
          <t>0.5308622758067901</t>
        </is>
      </c>
      <c r="S251" s="24" t="inlineStr">
        <is>
          <t>MEDIUM</t>
        </is>
      </c>
      <c r="T251" s="24" t="inlineStr">
        <is>
          <t>MEDIUM</t>
        </is>
      </c>
      <c r="U251" s="24" t="inlineStr">
        <is>
          <t>0.3571428571428571</t>
        </is>
      </c>
      <c r="V251" s="24" t="inlineStr">
        <is>
          <t>MEDIUM_RISK</t>
        </is>
      </c>
      <c r="W251" s="24" t="inlineStr">
        <is>
          <t>중위험</t>
        </is>
      </c>
      <c r="X251" s="24" t="inlineStr">
        <is>
          <t>MEDIUM_RISK</t>
        </is>
      </c>
      <c r="Y251" s="24" t="inlineStr">
        <is>
          <t>0.6934148613969219</t>
        </is>
      </c>
      <c r="Z251" s="24" t="inlineStr">
        <is>
          <t>MEDIUM</t>
        </is>
      </c>
      <c r="AA251" s="24" t="inlineStr">
        <is>
          <t>MEDIUM</t>
        </is>
      </c>
      <c r="AB251" s="24" t="inlineStr">
        <is>
          <t>0.07946889412350498</t>
        </is>
      </c>
      <c r="AC251" s="24" t="inlineStr">
        <is>
          <t>False</t>
        </is>
      </c>
      <c r="AD251" s="24" t="inlineStr">
        <is>
          <t>False</t>
        </is>
      </c>
      <c r="AE251" s="24" t="inlineStr">
        <is>
          <t>valuation_credit_ml_overlay_candidate.csv</t>
        </is>
      </c>
      <c r="AF251" s="24" t="inlineStr">
        <is>
          <t>208개 반도체 reference universe. Valuation Agent가 자체 intake 폴더로 복제해 Peer/ML/대시보드 비교에 사용.</t>
        </is>
      </c>
    </row>
    <row r="252" ht="24" customHeight="1">
      <c r="A252" s="29" t="inlineStr">
        <is>
          <t>184</t>
        </is>
      </c>
      <c r="B252" s="29" t="inlineStr">
        <is>
          <t>해당 없음</t>
        </is>
      </c>
      <c r="C252" s="29" t="inlineStr">
        <is>
          <t>큐알티</t>
        </is>
      </c>
      <c r="D252" s="29" t="inlineStr">
        <is>
          <t>405100</t>
        </is>
      </c>
      <c r="E252" s="29" t="inlineStr">
        <is>
          <t>KOSDAQ</t>
        </is>
      </c>
      <c r="F252" s="29" t="inlineStr">
        <is>
          <t>후공정/패키징/테스트</t>
        </is>
      </c>
      <c r="G252" s="29" t="inlineStr">
        <is>
          <t>후공정/패키징/테스트</t>
        </is>
      </c>
      <c r="H252" s="29" t="inlineStr">
        <is>
          <t>False</t>
        </is>
      </c>
      <c r="I252" s="29" t="inlineStr">
        <is>
          <t>True</t>
        </is>
      </c>
      <c r="J252" s="29" t="inlineStr">
        <is>
          <t>OK</t>
        </is>
      </c>
      <c r="K252" s="29" t="inlineStr">
        <is>
          <t>데이터 사용 가능</t>
        </is>
      </c>
      <c r="L252" s="29" t="inlineStr">
        <is>
          <t>LOW</t>
        </is>
      </c>
      <c r="M252" s="29" t="inlineStr">
        <is>
          <t>LOW</t>
        </is>
      </c>
      <c r="N252" s="29" t="inlineStr">
        <is>
          <t>0.4782222222222222</t>
        </is>
      </c>
      <c r="O252" s="29" t="inlineStr">
        <is>
          <t>FAIR</t>
        </is>
      </c>
      <c r="P252" s="29" t="inlineStr">
        <is>
          <t>FAIR</t>
        </is>
      </c>
      <c r="Q252" s="29" t="inlineStr">
        <is>
          <t>ATTRACTIVE</t>
        </is>
      </c>
      <c r="R252" s="29" t="inlineStr">
        <is>
          <t>0.4463498311096922</t>
        </is>
      </c>
      <c r="S252" s="29" t="inlineStr">
        <is>
          <t>LOW</t>
        </is>
      </c>
      <c r="T252" s="29" t="inlineStr">
        <is>
          <t>LOW</t>
        </is>
      </c>
      <c r="U252" s="29" t="inlineStr">
        <is>
          <t>0.0</t>
        </is>
      </c>
      <c r="V252" s="29" t="inlineStr">
        <is>
          <t>LOW_RISK</t>
        </is>
      </c>
      <c r="W252" s="29" t="inlineStr">
        <is>
          <t>저위험</t>
        </is>
      </c>
      <c r="X252" s="29" t="inlineStr">
        <is>
          <t>LOW_RISK</t>
        </is>
      </c>
      <c r="Y252" s="29" t="inlineStr">
        <is>
          <t>0.8693080817598533</t>
        </is>
      </c>
      <c r="Z252" s="29" t="inlineStr">
        <is>
          <t>HIGH</t>
        </is>
      </c>
      <c r="AA252" s="29" t="inlineStr">
        <is>
          <t>HIGH</t>
        </is>
      </c>
      <c r="AB252" s="29" t="inlineStr">
        <is>
          <t>0.014158930737617927</t>
        </is>
      </c>
      <c r="AC252" s="29" t="inlineStr">
        <is>
          <t>False</t>
        </is>
      </c>
      <c r="AD252" s="29" t="inlineStr">
        <is>
          <t>True</t>
        </is>
      </c>
      <c r="AE252" s="29" t="inlineStr">
        <is>
          <t>valuation_credit_ml_overlay_candidate.csv</t>
        </is>
      </c>
      <c r="AF252" s="29" t="inlineStr">
        <is>
          <t>208개 반도체 reference universe. Valuation Agent가 자체 intake 폴더로 복제해 Peer/ML/대시보드 비교에 사용.</t>
        </is>
      </c>
    </row>
    <row r="253" ht="24" customHeight="1">
      <c r="A253" s="24" t="inlineStr">
        <is>
          <t>192</t>
        </is>
      </c>
      <c r="B253" s="24" t="inlineStr">
        <is>
          <t>hanmi</t>
        </is>
      </c>
      <c r="C253" s="24" t="inlineStr">
        <is>
          <t>한미반도체</t>
        </is>
      </c>
      <c r="D253" s="24" t="inlineStr">
        <is>
          <t>042700</t>
        </is>
      </c>
      <c r="E253" s="24" t="inlineStr">
        <is>
          <t>KOSPI</t>
        </is>
      </c>
      <c r="F253" s="24" t="inlineStr">
        <is>
          <t>후공정/패키징/테스트</t>
        </is>
      </c>
      <c r="G253" s="24" t="inlineStr">
        <is>
          <t>후공정/패키징/테스트</t>
        </is>
      </c>
      <c r="H253" s="24" t="inlineStr">
        <is>
          <t>True</t>
        </is>
      </c>
      <c r="I253" s="24" t="inlineStr">
        <is>
          <t>True</t>
        </is>
      </c>
      <c r="J253" s="24" t="inlineStr">
        <is>
          <t>OK</t>
        </is>
      </c>
      <c r="K253" s="24" t="inlineStr">
        <is>
          <t>데이터 사용 가능</t>
        </is>
      </c>
      <c r="L253" s="24" t="inlineStr">
        <is>
          <t>LOW</t>
        </is>
      </c>
      <c r="M253" s="24" t="inlineStr">
        <is>
          <t>LOW</t>
        </is>
      </c>
      <c r="N253" s="24" t="inlineStr">
        <is>
          <t>0.4712592592592592</t>
        </is>
      </c>
      <c r="O253" s="24" t="inlineStr">
        <is>
          <t>FAIR</t>
        </is>
      </c>
      <c r="P253" s="24" t="inlineStr">
        <is>
          <t>FAIR</t>
        </is>
      </c>
      <c r="Q253" s="24" t="inlineStr">
        <is>
          <t>FAIR</t>
        </is>
      </c>
      <c r="R253" s="24" t="inlineStr">
        <is>
          <t>0.618072727307107</t>
        </is>
      </c>
      <c r="S253" s="24" t="inlineStr">
        <is>
          <t>MEDIUM</t>
        </is>
      </c>
      <c r="T253" s="24" t="inlineStr">
        <is>
          <t>MEDIUM</t>
        </is>
      </c>
      <c r="U253" s="24" t="inlineStr">
        <is>
          <t>0.0</t>
        </is>
      </c>
      <c r="V253" s="24" t="inlineStr">
        <is>
          <t>LOW_RISK</t>
        </is>
      </c>
      <c r="W253" s="24" t="inlineStr">
        <is>
          <t>저위험</t>
        </is>
      </c>
      <c r="X253" s="24" t="inlineStr">
        <is>
          <t>LOW_RISK</t>
        </is>
      </c>
      <c r="Y253" s="24" t="inlineStr">
        <is>
          <t>0.9350232170644448</t>
        </is>
      </c>
      <c r="Z253" s="24" t="inlineStr">
        <is>
          <t>HIGH</t>
        </is>
      </c>
      <c r="AA253" s="24" t="inlineStr">
        <is>
          <t>HIGH</t>
        </is>
      </c>
      <c r="AB253" s="24" t="inlineStr">
        <is>
          <t>0.2707179947680644</t>
        </is>
      </c>
      <c r="AC253" s="24" t="inlineStr">
        <is>
          <t>True</t>
        </is>
      </c>
      <c r="AD253" s="24" t="inlineStr">
        <is>
          <t>True</t>
        </is>
      </c>
      <c r="AE253" s="24" t="inlineStr">
        <is>
          <t>valuation_credit_ml_overlay_candidate.csv</t>
        </is>
      </c>
      <c r="AF253" s="24" t="inlineStr">
        <is>
          <t>208개 반도체 reference universe. Valuation Agent가 자체 intake 폴더로 복제해 Peer/ML/대시보드 비교에 사용.</t>
        </is>
      </c>
    </row>
    <row r="254" ht="24" customHeight="1">
      <c r="A254" s="29" t="inlineStr">
        <is>
          <t>185</t>
        </is>
      </c>
      <c r="B254" s="29" t="inlineStr">
        <is>
          <t>해당 없음</t>
        </is>
      </c>
      <c r="C254" s="29" t="inlineStr">
        <is>
          <t>큐엠씨</t>
        </is>
      </c>
      <c r="D254" s="29" t="inlineStr">
        <is>
          <t>136660</t>
        </is>
      </c>
      <c r="E254" s="29" t="inlineStr">
        <is>
          <t>KONEX</t>
        </is>
      </c>
      <c r="F254" s="29" t="inlineStr">
        <is>
          <t>후공정/패키징/테스트</t>
        </is>
      </c>
      <c r="G254" s="29" t="inlineStr">
        <is>
          <t>후공정/패키징/테스트</t>
        </is>
      </c>
      <c r="H254" s="29" t="inlineStr">
        <is>
          <t>False</t>
        </is>
      </c>
      <c r="I254" s="29" t="inlineStr">
        <is>
          <t>True</t>
        </is>
      </c>
      <c r="J254" s="29" t="inlineStr">
        <is>
          <t>NO_DART_FINANCIAL_DATA</t>
        </is>
      </c>
      <c r="K254" s="29" t="inlineStr">
        <is>
          <t>데이터 사용 가능</t>
        </is>
      </c>
      <c r="L254" s="29" t="inlineStr">
        <is>
          <t>HIGH</t>
        </is>
      </c>
      <c r="M254" s="29" t="inlineStr">
        <is>
          <t>HIGH</t>
        </is>
      </c>
      <c r="N254" s="29" t="inlineStr">
        <is>
          <t>0.4711111111111111</t>
        </is>
      </c>
      <c r="O254" s="29" t="inlineStr">
        <is>
          <t>FAIR</t>
        </is>
      </c>
      <c r="P254" s="29" t="inlineStr">
        <is>
          <t>FAIR</t>
        </is>
      </c>
      <c r="Q254" s="29" t="inlineStr">
        <is>
          <t>FAIR</t>
        </is>
      </c>
      <c r="R254" s="29" t="inlineStr">
        <is>
          <t>0.9731046168075388</t>
        </is>
      </c>
      <c r="S254" s="29" t="inlineStr">
        <is>
          <t>HIGH</t>
        </is>
      </c>
      <c r="T254" s="29" t="inlineStr">
        <is>
          <t>HIGH</t>
        </is>
      </c>
      <c r="U254" s="29" t="inlineStr">
        <is>
          <t>0.2857142857142857</t>
        </is>
      </c>
      <c r="V254" s="29" t="inlineStr">
        <is>
          <t>MEDIUM_RISK</t>
        </is>
      </c>
      <c r="W254" s="29" t="inlineStr">
        <is>
          <t>중위험</t>
        </is>
      </c>
      <c r="X254" s="29" t="inlineStr">
        <is>
          <t>MEDIUM_RISK</t>
        </is>
      </c>
      <c r="Y254" s="29" t="inlineStr">
        <is>
          <t>0.7892126449586269</t>
        </is>
      </c>
      <c r="Z254" s="29" t="inlineStr">
        <is>
          <t>HIGH</t>
        </is>
      </c>
      <c r="AA254" s="29" t="inlineStr">
        <is>
          <t>HIGH</t>
        </is>
      </c>
      <c r="AB254" s="29" t="inlineStr">
        <is>
          <t>0.07859474908410963</t>
        </is>
      </c>
      <c r="AC254" s="29" t="inlineStr">
        <is>
          <t>False</t>
        </is>
      </c>
      <c r="AD254" s="29" t="inlineStr">
        <is>
          <t>True</t>
        </is>
      </c>
      <c r="AE254" s="29" t="inlineStr">
        <is>
          <t>valuation_credit_ml_overlay_candidate.csv</t>
        </is>
      </c>
      <c r="AF254" s="29" t="inlineStr">
        <is>
          <t>208개 반도체 reference universe. Valuation Agent가 자체 intake 폴더로 복제해 Peer/ML/대시보드 비교에 사용.</t>
        </is>
      </c>
    </row>
    <row r="255" ht="24" customHeight="1">
      <c r="A255" s="24" t="inlineStr">
        <is>
          <t>161</t>
        </is>
      </c>
      <c r="B255" s="24" t="inlineStr">
        <is>
          <t>해당 없음</t>
        </is>
      </c>
      <c r="C255" s="24" t="inlineStr">
        <is>
          <t>럭스피아</t>
        </is>
      </c>
      <c r="D255" s="24" t="inlineStr">
        <is>
          <t>092590</t>
        </is>
      </c>
      <c r="E255" s="24" t="inlineStr">
        <is>
          <t>KONEX</t>
        </is>
      </c>
      <c r="F255" s="24" t="inlineStr">
        <is>
          <t>후공정/패키징/테스트</t>
        </is>
      </c>
      <c r="G255" s="24" t="inlineStr">
        <is>
          <t>후공정/패키징/테스트</t>
        </is>
      </c>
      <c r="H255" s="24" t="inlineStr">
        <is>
          <t>False</t>
        </is>
      </c>
      <c r="I255" s="24" t="inlineStr">
        <is>
          <t>True</t>
        </is>
      </c>
      <c r="J255" s="24" t="inlineStr">
        <is>
          <t>NO_DART_FINANCIAL_DATA</t>
        </is>
      </c>
      <c r="K255" s="24" t="inlineStr">
        <is>
          <t>데이터 사용 가능</t>
        </is>
      </c>
      <c r="L255" s="24" t="inlineStr">
        <is>
          <t>HIGH</t>
        </is>
      </c>
      <c r="M255" s="24" t="inlineStr">
        <is>
          <t>HIGH</t>
        </is>
      </c>
      <c r="N255" s="24" t="inlineStr">
        <is>
          <t>0.4681481481481481</t>
        </is>
      </c>
      <c r="O255" s="24" t="inlineStr">
        <is>
          <t>FAIR</t>
        </is>
      </c>
      <c r="P255" s="24" t="inlineStr">
        <is>
          <t>FAIR</t>
        </is>
      </c>
      <c r="Q255" s="24" t="inlineStr">
        <is>
          <t>FAIR</t>
        </is>
      </c>
      <c r="R255" s="24" t="inlineStr">
        <is>
          <t>0.969533908094729</t>
        </is>
      </c>
      <c r="S255" s="24" t="inlineStr">
        <is>
          <t>HIGH</t>
        </is>
      </c>
      <c r="T255" s="24" t="inlineStr">
        <is>
          <t>HIGH</t>
        </is>
      </c>
      <c r="U255" s="24" t="inlineStr">
        <is>
          <t>0.2857142857142857</t>
        </is>
      </c>
      <c r="V255" s="24" t="inlineStr">
        <is>
          <t>MEDIUM_RISK</t>
        </is>
      </c>
      <c r="W255" s="24" t="inlineStr">
        <is>
          <t>중위험</t>
        </is>
      </c>
      <c r="X255" s="24" t="inlineStr">
        <is>
          <t>MEDIUM_RISK</t>
        </is>
      </c>
      <c r="Y255" s="24" t="inlineStr">
        <is>
          <t>0.7911598348888624</t>
        </is>
      </c>
      <c r="Z255" s="24" t="inlineStr">
        <is>
          <t>HIGH</t>
        </is>
      </c>
      <c r="AA255" s="24" t="inlineStr">
        <is>
          <t>HIGH</t>
        </is>
      </c>
      <c r="AB255" s="24" t="inlineStr">
        <is>
          <t>0.2507708118458056</t>
        </is>
      </c>
      <c r="AC255" s="24" t="inlineStr">
        <is>
          <t>True</t>
        </is>
      </c>
      <c r="AD255" s="24" t="inlineStr">
        <is>
          <t>True</t>
        </is>
      </c>
      <c r="AE255" s="24" t="inlineStr">
        <is>
          <t>valuation_credit_ml_overlay_candidate.csv</t>
        </is>
      </c>
      <c r="AF255" s="24" t="inlineStr">
        <is>
          <t>208개 반도체 reference universe. Valuation Agent가 자체 intake 폴더로 복제해 Peer/ML/대시보드 비교에 사용.</t>
        </is>
      </c>
    </row>
    <row r="256" ht="24" customHeight="1">
      <c r="A256" s="29" t="inlineStr">
        <is>
          <t>170</t>
        </is>
      </c>
      <c r="B256" s="29" t="inlineStr">
        <is>
          <t>해당 없음</t>
        </is>
      </c>
      <c r="C256" s="29" t="inlineStr">
        <is>
          <t>아이텍</t>
        </is>
      </c>
      <c r="D256" s="29" t="inlineStr">
        <is>
          <t>119830</t>
        </is>
      </c>
      <c r="E256" s="29" t="inlineStr">
        <is>
          <t>KOSDAQ</t>
        </is>
      </c>
      <c r="F256" s="29" t="inlineStr">
        <is>
          <t>후공정/패키징/테스트</t>
        </is>
      </c>
      <c r="G256" s="29" t="inlineStr">
        <is>
          <t>후공정/패키징/테스트</t>
        </is>
      </c>
      <c r="H256" s="29" t="inlineStr">
        <is>
          <t>False</t>
        </is>
      </c>
      <c r="I256" s="29" t="inlineStr">
        <is>
          <t>True</t>
        </is>
      </c>
      <c r="J256" s="29" t="inlineStr">
        <is>
          <t>OK</t>
        </is>
      </c>
      <c r="K256" s="29" t="inlineStr">
        <is>
          <t>데이터 사용 가능</t>
        </is>
      </c>
      <c r="L256" s="29" t="inlineStr">
        <is>
          <t>LOW</t>
        </is>
      </c>
      <c r="M256" s="29" t="inlineStr">
        <is>
          <t>LOW</t>
        </is>
      </c>
      <c r="N256" s="29" t="inlineStr">
        <is>
          <t>0.4573333333333333</t>
        </is>
      </c>
      <c r="O256" s="29" t="inlineStr">
        <is>
          <t>FAIR</t>
        </is>
      </c>
      <c r="P256" s="29" t="inlineStr">
        <is>
          <t>FAIR</t>
        </is>
      </c>
      <c r="Q256" s="29" t="inlineStr">
        <is>
          <t>FAIR</t>
        </is>
      </c>
      <c r="R256" s="29" t="inlineStr">
        <is>
          <t>0.6018206034002739</t>
        </is>
      </c>
      <c r="S256" s="29" t="inlineStr">
        <is>
          <t>MEDIUM</t>
        </is>
      </c>
      <c r="T256" s="29" t="inlineStr">
        <is>
          <t>MEDIUM</t>
        </is>
      </c>
      <c r="U256" s="29" t="inlineStr">
        <is>
          <t>0.2142857142857142</t>
        </is>
      </c>
      <c r="V256" s="29" t="inlineStr">
        <is>
          <t>MEDIUM_RISK</t>
        </is>
      </c>
      <c r="W256" s="29" t="inlineStr">
        <is>
          <t>중위험</t>
        </is>
      </c>
      <c r="X256" s="29" t="inlineStr">
        <is>
          <t>MEDIUM_RISK</t>
        </is>
      </c>
      <c r="Y256" s="29" t="inlineStr">
        <is>
          <t>0.793957358322354</t>
        </is>
      </c>
      <c r="Z256" s="29" t="inlineStr">
        <is>
          <t>HIGH</t>
        </is>
      </c>
      <c r="AA256" s="29" t="inlineStr">
        <is>
          <t>HIGH</t>
        </is>
      </c>
      <c r="AB256" s="29" t="inlineStr">
        <is>
          <t>0.17465361432297097</t>
        </is>
      </c>
      <c r="AC256" s="29" t="inlineStr">
        <is>
          <t>False</t>
        </is>
      </c>
      <c r="AD256" s="29" t="inlineStr">
        <is>
          <t>False</t>
        </is>
      </c>
      <c r="AE256" s="29" t="inlineStr">
        <is>
          <t>valuation_credit_ml_overlay_candidate.csv</t>
        </is>
      </c>
      <c r="AF256" s="29" t="inlineStr">
        <is>
          <t>208개 반도체 reference universe. Valuation Agent가 자체 intake 폴더로 복제해 Peer/ML/대시보드 비교에 사용.</t>
        </is>
      </c>
    </row>
    <row r="257" ht="24" customHeight="1">
      <c r="A257" s="24" t="inlineStr">
        <is>
          <t>179</t>
        </is>
      </c>
      <c r="B257" s="24" t="inlineStr">
        <is>
          <t>해당 없음</t>
        </is>
      </c>
      <c r="C257" s="24" t="inlineStr">
        <is>
          <t>윈팩</t>
        </is>
      </c>
      <c r="D257" s="24" t="inlineStr">
        <is>
          <t>097800</t>
        </is>
      </c>
      <c r="E257" s="24" t="inlineStr">
        <is>
          <t>KOSDAQ</t>
        </is>
      </c>
      <c r="F257" s="24" t="inlineStr">
        <is>
          <t>후공정/패키징/테스트</t>
        </is>
      </c>
      <c r="G257" s="24" t="inlineStr">
        <is>
          <t>후공정/패키징/테스트</t>
        </is>
      </c>
      <c r="H257" s="24" t="inlineStr">
        <is>
          <t>False</t>
        </is>
      </c>
      <c r="I257" s="24" t="inlineStr">
        <is>
          <t>True</t>
        </is>
      </c>
      <c r="J257" s="24" t="inlineStr">
        <is>
          <t>OK</t>
        </is>
      </c>
      <c r="K257" s="24" t="inlineStr">
        <is>
          <t>데이터 사용 가능</t>
        </is>
      </c>
      <c r="L257" s="24" t="inlineStr">
        <is>
          <t>LOW</t>
        </is>
      </c>
      <c r="M257" s="24" t="inlineStr">
        <is>
          <t>LOW</t>
        </is>
      </c>
      <c r="N257" s="24" t="inlineStr">
        <is>
          <t>0.4417777777777778</t>
        </is>
      </c>
      <c r="O257" s="24" t="inlineStr">
        <is>
          <t>FAIR</t>
        </is>
      </c>
      <c r="P257" s="24" t="inlineStr">
        <is>
          <t>FAIR</t>
        </is>
      </c>
      <c r="Q257" s="24" t="inlineStr">
        <is>
          <t>FAIR</t>
        </is>
      </c>
      <c r="R257" s="24" t="inlineStr">
        <is>
          <t>0.5735742758518154</t>
        </is>
      </c>
      <c r="S257" s="24" t="inlineStr">
        <is>
          <t>MEDIUM</t>
        </is>
      </c>
      <c r="T257" s="24" t="inlineStr">
        <is>
          <t>MEDIUM</t>
        </is>
      </c>
      <c r="U257" s="24" t="inlineStr">
        <is>
          <t>0.7142857142857143</t>
        </is>
      </c>
      <c r="V257" s="24" t="inlineStr">
        <is>
          <t>HIGH_RISK</t>
        </is>
      </c>
      <c r="W257" s="24" t="inlineStr">
        <is>
          <t>고위험</t>
        </is>
      </c>
      <c r="X257" s="24" t="inlineStr">
        <is>
          <t>HIGH_RISK</t>
        </is>
      </c>
      <c r="Y257" s="24" t="inlineStr">
        <is>
          <t>0.9273765785577542</t>
        </is>
      </c>
      <c r="Z257" s="24" t="inlineStr">
        <is>
          <t>HIGH</t>
        </is>
      </c>
      <c r="AA257" s="24" t="inlineStr">
        <is>
          <t>HIGH</t>
        </is>
      </c>
      <c r="AB257" s="24" t="inlineStr">
        <is>
          <t>0.09157899320413745</t>
        </is>
      </c>
      <c r="AC257" s="24" t="inlineStr">
        <is>
          <t>False</t>
        </is>
      </c>
      <c r="AD257" s="24" t="inlineStr">
        <is>
          <t>False</t>
        </is>
      </c>
      <c r="AE257" s="24" t="inlineStr">
        <is>
          <t>valuation_credit_ml_overlay_candidate.csv</t>
        </is>
      </c>
      <c r="AF257" s="24" t="inlineStr">
        <is>
          <t>208개 반도체 reference universe. Valuation Agent가 자체 intake 폴더로 복제해 Peer/ML/대시보드 비교에 사용.</t>
        </is>
      </c>
    </row>
    <row r="258" ht="24" customHeight="1">
      <c r="A258" s="29" t="inlineStr">
        <is>
          <t>187</t>
        </is>
      </c>
      <c r="B258" s="29" t="inlineStr">
        <is>
          <t>해당 없음</t>
        </is>
      </c>
      <c r="C258" s="29" t="inlineStr">
        <is>
          <t>팸텍</t>
        </is>
      </c>
      <c r="D258" s="29" t="inlineStr">
        <is>
          <t>271830</t>
        </is>
      </c>
      <c r="E258" s="29" t="inlineStr">
        <is>
          <t>KOSDAQ</t>
        </is>
      </c>
      <c r="F258" s="29" t="inlineStr">
        <is>
          <t>후공정/패키징/테스트</t>
        </is>
      </c>
      <c r="G258" s="29" t="inlineStr">
        <is>
          <t>후공정/패키징/테스트</t>
        </is>
      </c>
      <c r="H258" s="29" t="inlineStr">
        <is>
          <t>False</t>
        </is>
      </c>
      <c r="I258" s="29" t="inlineStr">
        <is>
          <t>True</t>
        </is>
      </c>
      <c r="J258" s="29" t="inlineStr">
        <is>
          <t>OK</t>
        </is>
      </c>
      <c r="K258" s="29" t="inlineStr">
        <is>
          <t>데이터 사용 가능</t>
        </is>
      </c>
      <c r="L258" s="29" t="inlineStr">
        <is>
          <t>LOW</t>
        </is>
      </c>
      <c r="M258" s="29" t="inlineStr">
        <is>
          <t>LOW</t>
        </is>
      </c>
      <c r="N258" s="29" t="inlineStr">
        <is>
          <t>0.4402962962962963</t>
        </is>
      </c>
      <c r="O258" s="29" t="inlineStr">
        <is>
          <t>FAIR</t>
        </is>
      </c>
      <c r="P258" s="29" t="inlineStr">
        <is>
          <t>FAIR</t>
        </is>
      </c>
      <c r="Q258" s="29" t="inlineStr">
        <is>
          <t>FAIR</t>
        </is>
      </c>
      <c r="R258" s="29" t="inlineStr">
        <is>
          <t>0.6809009837226325</t>
        </is>
      </c>
      <c r="S258" s="29" t="inlineStr">
        <is>
          <t>MEDIUM</t>
        </is>
      </c>
      <c r="T258" s="29" t="inlineStr">
        <is>
          <t>MEDIUM</t>
        </is>
      </c>
      <c r="U258" s="29" t="inlineStr">
        <is>
          <t>0.5714285714285714</t>
        </is>
      </c>
      <c r="V258" s="29" t="inlineStr">
        <is>
          <t>HIGH_RISK</t>
        </is>
      </c>
      <c r="W258" s="29" t="inlineStr">
        <is>
          <t>고위험</t>
        </is>
      </c>
      <c r="X258" s="29" t="inlineStr">
        <is>
          <t>HIGH_RISK</t>
        </is>
      </c>
      <c r="Y258" s="29" t="inlineStr">
        <is>
          <t>0.9054415631219938</t>
        </is>
      </c>
      <c r="Z258" s="29" t="inlineStr">
        <is>
          <t>HIGH</t>
        </is>
      </c>
      <c r="AA258" s="29" t="inlineStr">
        <is>
          <t>HIGH</t>
        </is>
      </c>
      <c r="AB258" s="29" t="inlineStr">
        <is>
          <t>0.08867309587377735</t>
        </is>
      </c>
      <c r="AC258" s="29" t="inlineStr">
        <is>
          <t>False</t>
        </is>
      </c>
      <c r="AD258" s="29" t="inlineStr">
        <is>
          <t>False</t>
        </is>
      </c>
      <c r="AE258" s="29" t="inlineStr">
        <is>
          <t>valuation_credit_ml_overlay_candidate.csv</t>
        </is>
      </c>
      <c r="AF258" s="29" t="inlineStr">
        <is>
          <t>208개 반도체 reference universe. Valuation Agent가 자체 intake 폴더로 복제해 Peer/ML/대시보드 비교에 사용.</t>
        </is>
      </c>
    </row>
    <row r="259" ht="24" customHeight="1">
      <c r="A259" s="24" t="inlineStr">
        <is>
          <t>152</t>
        </is>
      </c>
      <c r="B259" s="24" t="inlineStr">
        <is>
          <t>해당 없음</t>
        </is>
      </c>
      <c r="C259" s="24" t="inlineStr">
        <is>
          <t>LB세미콘</t>
        </is>
      </c>
      <c r="D259" s="24" t="inlineStr">
        <is>
          <t>061970</t>
        </is>
      </c>
      <c r="E259" s="24" t="inlineStr">
        <is>
          <t>KOSDAQ</t>
        </is>
      </c>
      <c r="F259" s="24" t="inlineStr">
        <is>
          <t>후공정/패키징/테스트</t>
        </is>
      </c>
      <c r="G259" s="24" t="inlineStr">
        <is>
          <t>후공정/패키징/테스트</t>
        </is>
      </c>
      <c r="H259" s="24" t="inlineStr">
        <is>
          <t>False</t>
        </is>
      </c>
      <c r="I259" s="24" t="inlineStr">
        <is>
          <t>True</t>
        </is>
      </c>
      <c r="J259" s="24" t="inlineStr">
        <is>
          <t>OK</t>
        </is>
      </c>
      <c r="K259" s="24" t="inlineStr">
        <is>
          <t>데이터 사용 가능</t>
        </is>
      </c>
      <c r="L259" s="24" t="inlineStr">
        <is>
          <t>LOW</t>
        </is>
      </c>
      <c r="M259" s="24" t="inlineStr">
        <is>
          <t>LOW</t>
        </is>
      </c>
      <c r="N259" s="24" t="inlineStr">
        <is>
          <t>0.4394074074074074</t>
        </is>
      </c>
      <c r="O259" s="24" t="inlineStr">
        <is>
          <t>FAIR</t>
        </is>
      </c>
      <c r="P259" s="24" t="inlineStr">
        <is>
          <t>FAIR</t>
        </is>
      </c>
      <c r="Q259" s="24" t="inlineStr">
        <is>
          <t>FAIR</t>
        </is>
      </c>
      <c r="R259" s="24" t="inlineStr">
        <is>
          <t>0.519835518569549</t>
        </is>
      </c>
      <c r="S259" s="24" t="inlineStr">
        <is>
          <t>MEDIUM</t>
        </is>
      </c>
      <c r="T259" s="24" t="inlineStr">
        <is>
          <t>MEDIUM</t>
        </is>
      </c>
      <c r="U259" s="24" t="inlineStr">
        <is>
          <t>0.5714285714285714</t>
        </is>
      </c>
      <c r="V259" s="24" t="inlineStr">
        <is>
          <t>HIGH_RISK</t>
        </is>
      </c>
      <c r="W259" s="24" t="inlineStr">
        <is>
          <t>고위험</t>
        </is>
      </c>
      <c r="X259" s="24" t="inlineStr">
        <is>
          <t>HIGH_RISK</t>
        </is>
      </c>
      <c r="Y259" s="24" t="inlineStr">
        <is>
          <t>0.8577554718342005</t>
        </is>
      </c>
      <c r="Z259" s="24" t="inlineStr">
        <is>
          <t>HIGH</t>
        </is>
      </c>
      <c r="AA259" s="24" t="inlineStr">
        <is>
          <t>HIGH</t>
        </is>
      </c>
      <c r="AB259" s="24" t="inlineStr">
        <is>
          <t>0.04865368060535977</t>
        </is>
      </c>
      <c r="AC259" s="24" t="inlineStr">
        <is>
          <t>False</t>
        </is>
      </c>
      <c r="AD259" s="24" t="inlineStr">
        <is>
          <t>False</t>
        </is>
      </c>
      <c r="AE259" s="24" t="inlineStr">
        <is>
          <t>valuation_credit_ml_overlay_candidate.csv</t>
        </is>
      </c>
      <c r="AF259" s="24" t="inlineStr">
        <is>
          <t>208개 반도체 reference universe. Valuation Agent가 자체 intake 폴더로 복제해 Peer/ML/대시보드 비교에 사용.</t>
        </is>
      </c>
    </row>
    <row r="260" ht="24" customHeight="1">
      <c r="A260" s="29" t="inlineStr">
        <is>
          <t>183</t>
        </is>
      </c>
      <c r="B260" s="29" t="inlineStr">
        <is>
          <t>해당 없음</t>
        </is>
      </c>
      <c r="C260" s="29" t="inlineStr">
        <is>
          <t>제이티</t>
        </is>
      </c>
      <c r="D260" s="29" t="inlineStr">
        <is>
          <t>089790</t>
        </is>
      </c>
      <c r="E260" s="29" t="inlineStr">
        <is>
          <t>KOSDAQ</t>
        </is>
      </c>
      <c r="F260" s="29" t="inlineStr">
        <is>
          <t>후공정/패키징/테스트</t>
        </is>
      </c>
      <c r="G260" s="29" t="inlineStr">
        <is>
          <t>후공정/패키징/테스트</t>
        </is>
      </c>
      <c r="H260" s="29" t="inlineStr">
        <is>
          <t>False</t>
        </is>
      </c>
      <c r="I260" s="29" t="inlineStr">
        <is>
          <t>True</t>
        </is>
      </c>
      <c r="J260" s="29" t="inlineStr">
        <is>
          <t>OK</t>
        </is>
      </c>
      <c r="K260" s="29" t="inlineStr">
        <is>
          <t>데이터 사용 가능</t>
        </is>
      </c>
      <c r="L260" s="29" t="inlineStr">
        <is>
          <t>LOW</t>
        </is>
      </c>
      <c r="M260" s="29" t="inlineStr">
        <is>
          <t>LOW</t>
        </is>
      </c>
      <c r="N260" s="29" t="inlineStr">
        <is>
          <t>0.4293333333333333</t>
        </is>
      </c>
      <c r="O260" s="29" t="inlineStr">
        <is>
          <t>FAIR</t>
        </is>
      </c>
      <c r="P260" s="29" t="inlineStr">
        <is>
          <t>FAIR</t>
        </is>
      </c>
      <c r="Q260" s="29" t="inlineStr">
        <is>
          <t>FAIR</t>
        </is>
      </c>
      <c r="R260" s="29" t="inlineStr">
        <is>
          <t>0.7953438622461361</t>
        </is>
      </c>
      <c r="S260" s="29" t="inlineStr">
        <is>
          <t>HIGH</t>
        </is>
      </c>
      <c r="T260" s="29" t="inlineStr">
        <is>
          <t>HIGH</t>
        </is>
      </c>
      <c r="U260" s="29" t="inlineStr">
        <is>
          <t>0.2857142857142857</t>
        </is>
      </c>
      <c r="V260" s="29" t="inlineStr">
        <is>
          <t>MEDIUM_RISK</t>
        </is>
      </c>
      <c r="W260" s="29" t="inlineStr">
        <is>
          <t>중위험</t>
        </is>
      </c>
      <c r="X260" s="29" t="inlineStr">
        <is>
          <t>MEDIUM_RISK</t>
        </is>
      </c>
      <c r="Y260" s="29" t="inlineStr">
        <is>
          <t>0.634985809262478</t>
        </is>
      </c>
      <c r="Z260" s="29" t="inlineStr">
        <is>
          <t>MEDIUM</t>
        </is>
      </c>
      <c r="AA260" s="29" t="inlineStr">
        <is>
          <t>MEDIUM</t>
        </is>
      </c>
      <c r="AB260" s="29" t="inlineStr">
        <is>
          <t>0.0037958156542815414</t>
        </is>
      </c>
      <c r="AC260" s="29" t="inlineStr">
        <is>
          <t>False</t>
        </is>
      </c>
      <c r="AD260" s="29" t="inlineStr">
        <is>
          <t>False</t>
        </is>
      </c>
      <c r="AE260" s="29" t="inlineStr">
        <is>
          <t>valuation_credit_ml_overlay_candidate.csv</t>
        </is>
      </c>
      <c r="AF260" s="29" t="inlineStr">
        <is>
          <t>208개 반도체 reference universe. Valuation Agent가 자체 intake 폴더로 복제해 Peer/ML/대시보드 비교에 사용.</t>
        </is>
      </c>
    </row>
    <row r="261" ht="24" customHeight="1">
      <c r="A261" s="24" t="inlineStr">
        <is>
          <t>182</t>
        </is>
      </c>
      <c r="B261" s="24" t="inlineStr">
        <is>
          <t>해당 없음</t>
        </is>
      </c>
      <c r="C261" s="24" t="inlineStr">
        <is>
          <t>제너셈</t>
        </is>
      </c>
      <c r="D261" s="24" t="inlineStr">
        <is>
          <t>217190</t>
        </is>
      </c>
      <c r="E261" s="24" t="inlineStr">
        <is>
          <t>KOSDAQ</t>
        </is>
      </c>
      <c r="F261" s="24" t="inlineStr">
        <is>
          <t>후공정/패키징/테스트</t>
        </is>
      </c>
      <c r="G261" s="24" t="inlineStr">
        <is>
          <t>후공정/패키징/테스트</t>
        </is>
      </c>
      <c r="H261" s="24" t="inlineStr">
        <is>
          <t>False</t>
        </is>
      </c>
      <c r="I261" s="24" t="inlineStr">
        <is>
          <t>True</t>
        </is>
      </c>
      <c r="J261" s="24" t="inlineStr">
        <is>
          <t>HIGH_PRIORITY_MANUAL_REVIEW</t>
        </is>
      </c>
      <c r="K261" s="24" t="inlineStr">
        <is>
          <t>데이터 사용 가능</t>
        </is>
      </c>
      <c r="L261" s="24" t="inlineStr">
        <is>
          <t>HIGH</t>
        </is>
      </c>
      <c r="M261" s="24" t="inlineStr">
        <is>
          <t>HIGH</t>
        </is>
      </c>
      <c r="N261" s="24" t="inlineStr">
        <is>
          <t>0.4278518518518518</t>
        </is>
      </c>
      <c r="O261" s="24" t="inlineStr">
        <is>
          <t>FAIR</t>
        </is>
      </c>
      <c r="P261" s="24" t="inlineStr">
        <is>
          <t>FAIR</t>
        </is>
      </c>
      <c r="Q261" s="24" t="inlineStr">
        <is>
          <t>FAIR</t>
        </is>
      </c>
      <c r="R261" s="24" t="inlineStr">
        <is>
          <t>0.7410125545144256</t>
        </is>
      </c>
      <c r="S261" s="24" t="inlineStr">
        <is>
          <t>HIGH</t>
        </is>
      </c>
      <c r="T261" s="24" t="inlineStr">
        <is>
          <t>HIGH</t>
        </is>
      </c>
      <c r="U261" s="24" t="inlineStr">
        <is>
          <t>0.2857142857142857</t>
        </is>
      </c>
      <c r="V261" s="24" t="inlineStr">
        <is>
          <t>MEDIUM_RISK</t>
        </is>
      </c>
      <c r="W261" s="24" t="inlineStr">
        <is>
          <t>중위험</t>
        </is>
      </c>
      <c r="X261" s="24" t="inlineStr">
        <is>
          <t>MEDIUM_RISK</t>
        </is>
      </c>
      <c r="Y261" s="24" t="inlineStr">
        <is>
          <t>0.7596080290203916</t>
        </is>
      </c>
      <c r="Z261" s="24" t="inlineStr">
        <is>
          <t>HIGH</t>
        </is>
      </c>
      <c r="AA261" s="24" t="inlineStr">
        <is>
          <t>HIGH</t>
        </is>
      </c>
      <c r="AB261" s="24" t="inlineStr">
        <is>
          <t>0.005601152238630833</t>
        </is>
      </c>
      <c r="AC261" s="24" t="inlineStr">
        <is>
          <t>False</t>
        </is>
      </c>
      <c r="AD261" s="24" t="inlineStr">
        <is>
          <t>True</t>
        </is>
      </c>
      <c r="AE261" s="24" t="inlineStr">
        <is>
          <t>valuation_credit_ml_overlay_candidate.csv</t>
        </is>
      </c>
      <c r="AF261" s="24" t="inlineStr">
        <is>
          <t>208개 반도체 reference universe. Valuation Agent가 자체 intake 폴더로 복제해 Peer/ML/대시보드 비교에 사용.</t>
        </is>
      </c>
    </row>
    <row r="262" ht="24" customHeight="1">
      <c r="A262" s="29" t="inlineStr">
        <is>
          <t>158</t>
        </is>
      </c>
      <c r="B262" s="29" t="inlineStr">
        <is>
          <t>해당 없음</t>
        </is>
      </c>
      <c r="C262" s="29" t="inlineStr">
        <is>
          <t>네패스아크</t>
        </is>
      </c>
      <c r="D262" s="29" t="inlineStr">
        <is>
          <t>330860</t>
        </is>
      </c>
      <c r="E262" s="29" t="inlineStr">
        <is>
          <t>KOSDAQ</t>
        </is>
      </c>
      <c r="F262" s="29" t="inlineStr">
        <is>
          <t>후공정/패키징/테스트</t>
        </is>
      </c>
      <c r="G262" s="29" t="inlineStr">
        <is>
          <t>후공정/패키징/테스트</t>
        </is>
      </c>
      <c r="H262" s="29" t="inlineStr">
        <is>
          <t>False</t>
        </is>
      </c>
      <c r="I262" s="29" t="inlineStr">
        <is>
          <t>True</t>
        </is>
      </c>
      <c r="J262" s="29" t="inlineStr">
        <is>
          <t>OK</t>
        </is>
      </c>
      <c r="K262" s="29" t="inlineStr">
        <is>
          <t>데이터 사용 가능</t>
        </is>
      </c>
      <c r="L262" s="29" t="inlineStr">
        <is>
          <t>LOW</t>
        </is>
      </c>
      <c r="M262" s="29" t="inlineStr">
        <is>
          <t>LOW</t>
        </is>
      </c>
      <c r="N262" s="29" t="inlineStr">
        <is>
          <t>0.4207407407407407</t>
        </is>
      </c>
      <c r="O262" s="29" t="inlineStr">
        <is>
          <t>EXPENSIVE</t>
        </is>
      </c>
      <c r="P262" s="29" t="inlineStr">
        <is>
          <t>EXPENSIVE</t>
        </is>
      </c>
      <c r="Q262" s="29" t="inlineStr">
        <is>
          <t>EXPENSIVE</t>
        </is>
      </c>
      <c r="R262" s="29" t="inlineStr">
        <is>
          <t>0.5804758808286147</t>
        </is>
      </c>
      <c r="S262" s="29" t="inlineStr">
        <is>
          <t>MEDIUM</t>
        </is>
      </c>
      <c r="T262" s="29" t="inlineStr">
        <is>
          <t>MEDIUM</t>
        </is>
      </c>
      <c r="U262" s="29" t="inlineStr">
        <is>
          <t>0.0</t>
        </is>
      </c>
      <c r="V262" s="29" t="inlineStr">
        <is>
          <t>LOW_RISK</t>
        </is>
      </c>
      <c r="W262" s="29" t="inlineStr">
        <is>
          <t>저위험</t>
        </is>
      </c>
      <c r="X262" s="29" t="inlineStr">
        <is>
          <t>LOW_RISK</t>
        </is>
      </c>
      <c r="Y262" s="29" t="inlineStr">
        <is>
          <t>0.7522882908851339</t>
        </is>
      </c>
      <c r="Z262" s="29" t="inlineStr">
        <is>
          <t>HIGH</t>
        </is>
      </c>
      <c r="AA262" s="29" t="inlineStr">
        <is>
          <t>HIGH</t>
        </is>
      </c>
      <c r="AB262" s="29" t="inlineStr">
        <is>
          <t>0.07850484580290398</t>
        </is>
      </c>
      <c r="AC262" s="29" t="inlineStr">
        <is>
          <t>False</t>
        </is>
      </c>
      <c r="AD262" s="29" t="inlineStr">
        <is>
          <t>False</t>
        </is>
      </c>
      <c r="AE262" s="29" t="inlineStr">
        <is>
          <t>valuation_credit_ml_overlay_candidate.csv</t>
        </is>
      </c>
      <c r="AF262" s="29" t="inlineStr">
        <is>
          <t>208개 반도체 reference universe. Valuation Agent가 자체 intake 폴더로 복제해 Peer/ML/대시보드 비교에 사용.</t>
        </is>
      </c>
    </row>
    <row r="263" ht="24" customHeight="1">
      <c r="A263" s="24" t="inlineStr">
        <is>
          <t>164</t>
        </is>
      </c>
      <c r="B263" s="24" t="inlineStr">
        <is>
          <t>해당 없음</t>
        </is>
      </c>
      <c r="C263" s="24" t="inlineStr">
        <is>
          <t>마이크로투나노</t>
        </is>
      </c>
      <c r="D263" s="24" t="inlineStr">
        <is>
          <t>424980</t>
        </is>
      </c>
      <c r="E263" s="24" t="inlineStr">
        <is>
          <t>KOSDAQ</t>
        </is>
      </c>
      <c r="F263" s="24" t="inlineStr">
        <is>
          <t>후공정/패키징/테스트</t>
        </is>
      </c>
      <c r="G263" s="24" t="inlineStr">
        <is>
          <t>후공정/패키징/테스트</t>
        </is>
      </c>
      <c r="H263" s="24" t="inlineStr">
        <is>
          <t>False</t>
        </is>
      </c>
      <c r="I263" s="24" t="inlineStr">
        <is>
          <t>True</t>
        </is>
      </c>
      <c r="J263" s="24" t="inlineStr">
        <is>
          <t>OK_LIMITED_HISTORY_OR_GROWTH_NA</t>
        </is>
      </c>
      <c r="K263" s="24" t="inlineStr">
        <is>
          <t>데이터 사용 가능</t>
        </is>
      </c>
      <c r="L263" s="24" t="inlineStr">
        <is>
          <t>LOW</t>
        </is>
      </c>
      <c r="M263" s="24" t="inlineStr">
        <is>
          <t>LOW</t>
        </is>
      </c>
      <c r="N263" s="24" t="inlineStr">
        <is>
          <t>0.4188148148148148</t>
        </is>
      </c>
      <c r="O263" s="24" t="inlineStr">
        <is>
          <t>EXPENSIVE</t>
        </is>
      </c>
      <c r="P263" s="24" t="inlineStr">
        <is>
          <t>EXPENSIVE</t>
        </is>
      </c>
      <c r="Q263" s="24" t="inlineStr">
        <is>
          <t>EXPENSIVE</t>
        </is>
      </c>
      <c r="R263" s="24" t="inlineStr">
        <is>
          <t>0.8919952418828875</t>
        </is>
      </c>
      <c r="S263" s="24" t="inlineStr">
        <is>
          <t>HIGH</t>
        </is>
      </c>
      <c r="T263" s="24" t="inlineStr">
        <is>
          <t>HIGH</t>
        </is>
      </c>
      <c r="U263" s="24" t="inlineStr">
        <is>
          <t>0.5714285714285714</t>
        </is>
      </c>
      <c r="V263" s="24" t="inlineStr">
        <is>
          <t>HIGH_RISK</t>
        </is>
      </c>
      <c r="W263" s="24" t="inlineStr">
        <is>
          <t>고위험</t>
        </is>
      </c>
      <c r="X263" s="24" t="inlineStr">
        <is>
          <t>HIGH_RISK</t>
        </is>
      </c>
      <c r="Y263" s="24" t="inlineStr">
        <is>
          <t>0.8679140027753699</t>
        </is>
      </c>
      <c r="Z263" s="24" t="inlineStr">
        <is>
          <t>HIGH</t>
        </is>
      </c>
      <c r="AA263" s="24" t="inlineStr">
        <is>
          <t>HIGH</t>
        </is>
      </c>
      <c r="AB263" s="24" t="inlineStr">
        <is>
          <t>0.06592211461176288</t>
        </is>
      </c>
      <c r="AC263" s="24" t="inlineStr">
        <is>
          <t>False</t>
        </is>
      </c>
      <c r="AD263" s="24" t="inlineStr">
        <is>
          <t>True</t>
        </is>
      </c>
      <c r="AE263" s="24" t="inlineStr">
        <is>
          <t>valuation_credit_ml_overlay_candidate.csv</t>
        </is>
      </c>
      <c r="AF263" s="24" t="inlineStr">
        <is>
          <t>208개 반도체 reference universe. Valuation Agent가 자체 intake 폴더로 복제해 Peer/ML/대시보드 비교에 사용.</t>
        </is>
      </c>
    </row>
    <row r="264" ht="24" customHeight="1">
      <c r="A264" s="29" t="inlineStr">
        <is>
          <t>169</t>
        </is>
      </c>
      <c r="B264" s="29" t="inlineStr">
        <is>
          <t>해당 없음</t>
        </is>
      </c>
      <c r="C264" s="29" t="inlineStr">
        <is>
          <t>시그네틱스</t>
        </is>
      </c>
      <c r="D264" s="29" t="inlineStr">
        <is>
          <t>033170</t>
        </is>
      </c>
      <c r="E264" s="29" t="inlineStr">
        <is>
          <t>KOSDAQ</t>
        </is>
      </c>
      <c r="F264" s="29" t="inlineStr">
        <is>
          <t>후공정/패키징/테스트</t>
        </is>
      </c>
      <c r="G264" s="29" t="inlineStr">
        <is>
          <t>후공정/패키징/테스트</t>
        </is>
      </c>
      <c r="H264" s="29" t="inlineStr">
        <is>
          <t>False</t>
        </is>
      </c>
      <c r="I264" s="29" t="inlineStr">
        <is>
          <t>True</t>
        </is>
      </c>
      <c r="J264" s="29" t="inlineStr">
        <is>
          <t>OK</t>
        </is>
      </c>
      <c r="K264" s="29" t="inlineStr">
        <is>
          <t>데이터 사용 가능</t>
        </is>
      </c>
      <c r="L264" s="29" t="inlineStr">
        <is>
          <t>LOW</t>
        </is>
      </c>
      <c r="M264" s="29" t="inlineStr">
        <is>
          <t>LOW</t>
        </is>
      </c>
      <c r="N264" s="29" t="inlineStr">
        <is>
          <t>0.4068148148148148</t>
        </is>
      </c>
      <c r="O264" s="29" t="inlineStr">
        <is>
          <t>EXPENSIVE</t>
        </is>
      </c>
      <c r="P264" s="29" t="inlineStr">
        <is>
          <t>EXPENSIVE</t>
        </is>
      </c>
      <c r="Q264" s="29" t="inlineStr">
        <is>
          <t>EXPENSIVE</t>
        </is>
      </c>
      <c r="R264" s="29" t="inlineStr">
        <is>
          <t>0.6660306558324866</t>
        </is>
      </c>
      <c r="S264" s="29" t="inlineStr">
        <is>
          <t>MEDIUM</t>
        </is>
      </c>
      <c r="T264" s="29" t="inlineStr">
        <is>
          <t>MEDIUM</t>
        </is>
      </c>
      <c r="U264" s="29" t="inlineStr">
        <is>
          <t>0.6428571428571429</t>
        </is>
      </c>
      <c r="V264" s="29" t="inlineStr">
        <is>
          <t>HIGH_RISK</t>
        </is>
      </c>
      <c r="W264" s="29" t="inlineStr">
        <is>
          <t>고위험</t>
        </is>
      </c>
      <c r="X264" s="29" t="inlineStr">
        <is>
          <t>HIGH_RISK</t>
        </is>
      </c>
      <c r="Y264" s="29" t="inlineStr">
        <is>
          <t>0.9103717836414464</t>
        </is>
      </c>
      <c r="Z264" s="29" t="inlineStr">
        <is>
          <t>HIGH</t>
        </is>
      </c>
      <c r="AA264" s="29" t="inlineStr">
        <is>
          <t>HIGH</t>
        </is>
      </c>
      <c r="AB264" s="29" t="inlineStr">
        <is>
          <t>0.09415815096164672</t>
        </is>
      </c>
      <c r="AC264" s="29" t="inlineStr">
        <is>
          <t>False</t>
        </is>
      </c>
      <c r="AD264" s="29" t="inlineStr">
        <is>
          <t>False</t>
        </is>
      </c>
      <c r="AE264" s="29" t="inlineStr">
        <is>
          <t>valuation_credit_ml_overlay_candidate.csv</t>
        </is>
      </c>
      <c r="AF264" s="29" t="inlineStr">
        <is>
          <t>208개 반도체 reference universe. Valuation Agent가 자체 intake 폴더로 복제해 Peer/ML/대시보드 비교에 사용.</t>
        </is>
      </c>
    </row>
    <row r="265" ht="24" customHeight="1">
      <c r="A265" s="24" t="inlineStr">
        <is>
          <t>154</t>
        </is>
      </c>
      <c r="B265" s="24" t="inlineStr">
        <is>
          <t>해당 없음</t>
        </is>
      </c>
      <c r="C265" s="24" t="inlineStr">
        <is>
          <t>고영</t>
        </is>
      </c>
      <c r="D265" s="24" t="inlineStr">
        <is>
          <t>098460</t>
        </is>
      </c>
      <c r="E265" s="24" t="inlineStr">
        <is>
          <t>KOSDAQ</t>
        </is>
      </c>
      <c r="F265" s="24" t="inlineStr">
        <is>
          <t>후공정/패키징/테스트</t>
        </is>
      </c>
      <c r="G265" s="24" t="inlineStr">
        <is>
          <t>후공정/패키징/테스트</t>
        </is>
      </c>
      <c r="H265" s="24" t="inlineStr">
        <is>
          <t>False</t>
        </is>
      </c>
      <c r="I265" s="24" t="inlineStr">
        <is>
          <t>True</t>
        </is>
      </c>
      <c r="J265" s="24" t="inlineStr">
        <is>
          <t>OK</t>
        </is>
      </c>
      <c r="K265" s="24" t="inlineStr">
        <is>
          <t>데이터 사용 가능</t>
        </is>
      </c>
      <c r="L265" s="24" t="inlineStr">
        <is>
          <t>LOW</t>
        </is>
      </c>
      <c r="M265" s="24" t="inlineStr">
        <is>
          <t>LOW</t>
        </is>
      </c>
      <c r="N265" s="24" t="inlineStr">
        <is>
          <t>0.3933333333333333</t>
        </is>
      </c>
      <c r="O265" s="24" t="inlineStr">
        <is>
          <t>EXPENSIVE</t>
        </is>
      </c>
      <c r="P265" s="24" t="inlineStr">
        <is>
          <t>EXPENSIVE</t>
        </is>
      </c>
      <c r="Q265" s="24" t="inlineStr">
        <is>
          <t>EXPENSIVE</t>
        </is>
      </c>
      <c r="R265" s="24" t="inlineStr">
        <is>
          <t>0.4306692416005982</t>
        </is>
      </c>
      <c r="S265" s="24" t="inlineStr">
        <is>
          <t>LOW</t>
        </is>
      </c>
      <c r="T265" s="24" t="inlineStr">
        <is>
          <t>LOW</t>
        </is>
      </c>
      <c r="U265" s="24" t="inlineStr">
        <is>
          <t>0.0714285714285714</t>
        </is>
      </c>
      <c r="V265" s="24" t="inlineStr">
        <is>
          <t>LOW_RISK</t>
        </is>
      </c>
      <c r="W265" s="24" t="inlineStr">
        <is>
          <t>저위험</t>
        </is>
      </c>
      <c r="X265" s="24" t="inlineStr">
        <is>
          <t>LOW_RISK</t>
        </is>
      </c>
      <c r="Y265" s="24" t="inlineStr">
        <is>
          <t>0.9147267479763326</t>
        </is>
      </c>
      <c r="Z265" s="24" t="inlineStr">
        <is>
          <t>HIGH</t>
        </is>
      </c>
      <c r="AA265" s="24" t="inlineStr">
        <is>
          <t>HIGH</t>
        </is>
      </c>
      <c r="AB265" s="24" t="inlineStr">
        <is>
          <t>0.05497222824798623</t>
        </is>
      </c>
      <c r="AC265" s="24" t="inlineStr">
        <is>
          <t>False</t>
        </is>
      </c>
      <c r="AD265" s="24" t="inlineStr">
        <is>
          <t>True</t>
        </is>
      </c>
      <c r="AE265" s="24" t="inlineStr">
        <is>
          <t>valuation_credit_ml_overlay_candidate.csv</t>
        </is>
      </c>
      <c r="AF265" s="24" t="inlineStr">
        <is>
          <t>208개 반도체 reference universe. Valuation Agent가 자체 intake 폴더로 복제해 Peer/ML/대시보드 비교에 사용.</t>
        </is>
      </c>
    </row>
    <row r="266" ht="24" customHeight="1">
      <c r="A266" s="29" t="inlineStr">
        <is>
          <t>178</t>
        </is>
      </c>
      <c r="B266" s="29" t="inlineStr">
        <is>
          <t>해당 없음</t>
        </is>
      </c>
      <c r="C266" s="29" t="inlineStr">
        <is>
          <t>웨이비스</t>
        </is>
      </c>
      <c r="D266" s="29" t="inlineStr">
        <is>
          <t>289930</t>
        </is>
      </c>
      <c r="E266" s="29" t="inlineStr">
        <is>
          <t>KOSDAQ</t>
        </is>
      </c>
      <c r="F266" s="29" t="inlineStr">
        <is>
          <t>후공정/패키징/테스트</t>
        </is>
      </c>
      <c r="G266" s="29" t="inlineStr">
        <is>
          <t>후공정/패키징/테스트</t>
        </is>
      </c>
      <c r="H266" s="29" t="inlineStr">
        <is>
          <t>False</t>
        </is>
      </c>
      <c r="I266" s="29" t="inlineStr">
        <is>
          <t>True</t>
        </is>
      </c>
      <c r="J266" s="29" t="inlineStr">
        <is>
          <t>OK_LIMITED_HISTORY_OR_GROWTH_NA</t>
        </is>
      </c>
      <c r="K266" s="29" t="inlineStr">
        <is>
          <t>데이터 사용 가능</t>
        </is>
      </c>
      <c r="L266" s="29" t="inlineStr">
        <is>
          <t>LOW</t>
        </is>
      </c>
      <c r="M266" s="29" t="inlineStr">
        <is>
          <t>LOW</t>
        </is>
      </c>
      <c r="N266" s="29" t="inlineStr">
        <is>
          <t>0.3765925925925926</t>
        </is>
      </c>
      <c r="O266" s="29" t="inlineStr">
        <is>
          <t>EXPENSIVE</t>
        </is>
      </c>
      <c r="P266" s="29" t="inlineStr">
        <is>
          <t>EXPENSIVE</t>
        </is>
      </c>
      <c r="Q266" s="29" t="inlineStr">
        <is>
          <t>EXPENSIVE</t>
        </is>
      </c>
      <c r="R266" s="29" t="inlineStr">
        <is>
          <t>0.5209890944205295</t>
        </is>
      </c>
      <c r="S266" s="29" t="inlineStr">
        <is>
          <t>MEDIUM</t>
        </is>
      </c>
      <c r="T266" s="29" t="inlineStr">
        <is>
          <t>MEDIUM</t>
        </is>
      </c>
      <c r="U266" s="29" t="inlineStr">
        <is>
          <t>0.1428571428571428</t>
        </is>
      </c>
      <c r="V266" s="29" t="inlineStr">
        <is>
          <t>LOW_RISK</t>
        </is>
      </c>
      <c r="W266" s="29" t="inlineStr">
        <is>
          <t>저위험</t>
        </is>
      </c>
      <c r="X266" s="29" t="inlineStr">
        <is>
          <t>LOW_RISK</t>
        </is>
      </c>
      <c r="Y266" s="29" t="inlineStr">
        <is>
          <t>0.5760026387111382</t>
        </is>
      </c>
      <c r="Z266" s="29" t="inlineStr">
        <is>
          <t>MEDIUM</t>
        </is>
      </c>
      <c r="AA266" s="29" t="inlineStr">
        <is>
          <t>MEDIUM</t>
        </is>
      </c>
      <c r="AB266" s="29" t="inlineStr">
        <is>
          <t>0.04339911179550382</t>
        </is>
      </c>
      <c r="AC266" s="29" t="inlineStr">
        <is>
          <t>False</t>
        </is>
      </c>
      <c r="AD266" s="29" t="inlineStr">
        <is>
          <t>True</t>
        </is>
      </c>
      <c r="AE266" s="29" t="inlineStr">
        <is>
          <t>valuation_credit_ml_overlay_candidate.csv</t>
        </is>
      </c>
      <c r="AF266" s="29" t="inlineStr">
        <is>
          <t>208개 반도체 reference universe. Valuation Agent가 자체 intake 폴더로 복제해 Peer/ML/대시보드 비교에 사용.</t>
        </is>
      </c>
    </row>
    <row r="267" ht="24" customHeight="1">
      <c r="A267" s="24" t="inlineStr">
        <is>
          <t>153</t>
        </is>
      </c>
      <c r="B267" s="24" t="inlineStr">
        <is>
          <t>해당 없음</t>
        </is>
      </c>
      <c r="C267" s="24" t="inlineStr">
        <is>
          <t>SFA반도체</t>
        </is>
      </c>
      <c r="D267" s="24" t="inlineStr">
        <is>
          <t>036540</t>
        </is>
      </c>
      <c r="E267" s="24" t="inlineStr">
        <is>
          <t>KOSDAQ</t>
        </is>
      </c>
      <c r="F267" s="24" t="inlineStr">
        <is>
          <t>후공정/패키징/테스트</t>
        </is>
      </c>
      <c r="G267" s="24" t="inlineStr">
        <is>
          <t>후공정/패키징/테스트</t>
        </is>
      </c>
      <c r="H267" s="24" t="inlineStr">
        <is>
          <t>False</t>
        </is>
      </c>
      <c r="I267" s="24" t="inlineStr">
        <is>
          <t>True</t>
        </is>
      </c>
      <c r="J267" s="24" t="inlineStr">
        <is>
          <t>OK</t>
        </is>
      </c>
      <c r="K267" s="24" t="inlineStr">
        <is>
          <t>데이터 사용 가능</t>
        </is>
      </c>
      <c r="L267" s="24" t="inlineStr">
        <is>
          <t>LOW</t>
        </is>
      </c>
      <c r="M267" s="24" t="inlineStr">
        <is>
          <t>LOW</t>
        </is>
      </c>
      <c r="N267" s="24" t="inlineStr">
        <is>
          <t>0.3725925925925926</t>
        </is>
      </c>
      <c r="O267" s="24" t="inlineStr">
        <is>
          <t>EXPENSIVE</t>
        </is>
      </c>
      <c r="P267" s="24" t="inlineStr">
        <is>
          <t>EXPENSIVE</t>
        </is>
      </c>
      <c r="Q267" s="24" t="inlineStr">
        <is>
          <t>EXPENSIVE</t>
        </is>
      </c>
      <c r="R267" s="24" t="inlineStr">
        <is>
          <t>0.7912156659089058</t>
        </is>
      </c>
      <c r="S267" s="24" t="inlineStr">
        <is>
          <t>HIGH</t>
        </is>
      </c>
      <c r="T267" s="24" t="inlineStr">
        <is>
          <t>HIGH</t>
        </is>
      </c>
      <c r="U267" s="24" t="inlineStr">
        <is>
          <t>0.2857142857142857</t>
        </is>
      </c>
      <c r="V267" s="24" t="inlineStr">
        <is>
          <t>MEDIUM_RISK</t>
        </is>
      </c>
      <c r="W267" s="24" t="inlineStr">
        <is>
          <t>중위험</t>
        </is>
      </c>
      <c r="X267" s="24" t="inlineStr">
        <is>
          <t>MEDIUM_RISK</t>
        </is>
      </c>
      <c r="Y267" s="24" t="inlineStr">
        <is>
          <t>0.6035260416354965</t>
        </is>
      </c>
      <c r="Z267" s="24" t="inlineStr">
        <is>
          <t>MEDIUM</t>
        </is>
      </c>
      <c r="AA267" s="24" t="inlineStr">
        <is>
          <t>MEDIUM</t>
        </is>
      </c>
      <c r="AB267" s="24" t="inlineStr">
        <is>
          <t>0.060421941503641885</t>
        </is>
      </c>
      <c r="AC267" s="24" t="inlineStr">
        <is>
          <t>False</t>
        </is>
      </c>
      <c r="AD267" s="24" t="inlineStr">
        <is>
          <t>False</t>
        </is>
      </c>
      <c r="AE267" s="24" t="inlineStr">
        <is>
          <t>valuation_credit_ml_overlay_candidate.csv</t>
        </is>
      </c>
      <c r="AF267" s="24" t="inlineStr">
        <is>
          <t>208개 반도체 reference universe. Valuation Agent가 자체 intake 폴더로 복제해 Peer/ML/대시보드 비교에 사용.</t>
        </is>
      </c>
    </row>
    <row r="268" ht="24" customHeight="1">
      <c r="A268" s="29" t="inlineStr">
        <is>
          <t>181</t>
        </is>
      </c>
      <c r="B268" s="29" t="inlineStr">
        <is>
          <t>해당 없음</t>
        </is>
      </c>
      <c r="C268" s="29" t="inlineStr">
        <is>
          <t>인텍플러스</t>
        </is>
      </c>
      <c r="D268" s="29" t="inlineStr">
        <is>
          <t>064290</t>
        </is>
      </c>
      <c r="E268" s="29" t="inlineStr">
        <is>
          <t>KOSDAQ</t>
        </is>
      </c>
      <c r="F268" s="29" t="inlineStr">
        <is>
          <t>후공정/패키징/테스트</t>
        </is>
      </c>
      <c r="G268" s="29" t="inlineStr">
        <is>
          <t>후공정/패키징/테스트</t>
        </is>
      </c>
      <c r="H268" s="29" t="inlineStr">
        <is>
          <t>False</t>
        </is>
      </c>
      <c r="I268" s="29" t="inlineStr">
        <is>
          <t>True</t>
        </is>
      </c>
      <c r="J268" s="29" t="inlineStr">
        <is>
          <t>OK</t>
        </is>
      </c>
      <c r="K268" s="29" t="inlineStr">
        <is>
          <t>데이터 사용 가능</t>
        </is>
      </c>
      <c r="L268" s="29" t="inlineStr">
        <is>
          <t>LOW</t>
        </is>
      </c>
      <c r="M268" s="29" t="inlineStr">
        <is>
          <t>LOW</t>
        </is>
      </c>
      <c r="N268" s="29" t="inlineStr">
        <is>
          <t>0.3431111111111111</t>
        </is>
      </c>
      <c r="O268" s="29" t="inlineStr">
        <is>
          <t>EXPENSIVE</t>
        </is>
      </c>
      <c r="P268" s="29" t="inlineStr">
        <is>
          <t>EXPENSIVE</t>
        </is>
      </c>
      <c r="Q268" s="29" t="inlineStr">
        <is>
          <t>EXPENSIVE</t>
        </is>
      </c>
      <c r="R268" s="29" t="inlineStr">
        <is>
          <t>0.7612288958400996</t>
        </is>
      </c>
      <c r="S268" s="29" t="inlineStr">
        <is>
          <t>HIGH</t>
        </is>
      </c>
      <c r="T268" s="29" t="inlineStr">
        <is>
          <t>HIGH</t>
        </is>
      </c>
      <c r="U268" s="29" t="inlineStr">
        <is>
          <t>0.4285714285714285</t>
        </is>
      </c>
      <c r="V268" s="29" t="inlineStr">
        <is>
          <t>HIGH_RISK</t>
        </is>
      </c>
      <c r="W268" s="29" t="inlineStr">
        <is>
          <t>고위험</t>
        </is>
      </c>
      <c r="X268" s="29" t="inlineStr">
        <is>
          <t>MEDIUM_RISK</t>
        </is>
      </c>
      <c r="Y268" s="29" t="inlineStr">
        <is>
          <t>0.5782298550270377</t>
        </is>
      </c>
      <c r="Z268" s="29" t="inlineStr">
        <is>
          <t>MEDIUM</t>
        </is>
      </c>
      <c r="AA268" s="29" t="inlineStr">
        <is>
          <t>MEDIUM</t>
        </is>
      </c>
      <c r="AB268" s="29" t="inlineStr">
        <is>
          <t>0.054796756066406084</t>
        </is>
      </c>
      <c r="AC268" s="29" t="inlineStr">
        <is>
          <t>False</t>
        </is>
      </c>
      <c r="AD268" s="29" t="inlineStr">
        <is>
          <t>False</t>
        </is>
      </c>
      <c r="AE268" s="29" t="inlineStr">
        <is>
          <t>valuation_credit_ml_overlay_candidate.csv</t>
        </is>
      </c>
      <c r="AF268" s="29" t="inlineStr">
        <is>
          <t>208개 반도체 reference universe. Valuation Agent가 자체 intake 폴더로 복제해 Peer/ML/대시보드 비교에 사용.</t>
        </is>
      </c>
    </row>
    <row r="269" ht="24" customHeight="1">
      <c r="A269" s="24" t="inlineStr">
        <is>
          <t>193</t>
        </is>
      </c>
      <c r="B269" s="24" t="inlineStr">
        <is>
          <t>해당 없음</t>
        </is>
      </c>
      <c r="C269" s="24" t="inlineStr">
        <is>
          <t>한울반도체</t>
        </is>
      </c>
      <c r="D269" s="24" t="inlineStr">
        <is>
          <t>320000</t>
        </is>
      </c>
      <c r="E269" s="24" t="inlineStr">
        <is>
          <t>KOSDAQ</t>
        </is>
      </c>
      <c r="F269" s="24" t="inlineStr">
        <is>
          <t>후공정/패키징/테스트</t>
        </is>
      </c>
      <c r="G269" s="24" t="inlineStr">
        <is>
          <t>후공정/패키징/테스트</t>
        </is>
      </c>
      <c r="H269" s="24" t="inlineStr">
        <is>
          <t>False</t>
        </is>
      </c>
      <c r="I269" s="24" t="inlineStr">
        <is>
          <t>True</t>
        </is>
      </c>
      <c r="J269" s="24" t="inlineStr">
        <is>
          <t>OK</t>
        </is>
      </c>
      <c r="K269" s="24" t="inlineStr">
        <is>
          <t>데이터 사용 가능</t>
        </is>
      </c>
      <c r="L269" s="24" t="inlineStr">
        <is>
          <t>LOW</t>
        </is>
      </c>
      <c r="M269" s="24" t="inlineStr">
        <is>
          <t>LOW</t>
        </is>
      </c>
      <c r="N269" s="24" t="inlineStr">
        <is>
          <t>0.3376296296296296</t>
        </is>
      </c>
      <c r="O269" s="24" t="inlineStr">
        <is>
          <t>EXPENSIVE</t>
        </is>
      </c>
      <c r="P269" s="24" t="inlineStr">
        <is>
          <t>EXPENSIVE</t>
        </is>
      </c>
      <c r="Q269" s="24" t="inlineStr">
        <is>
          <t>EXPENSIVE</t>
        </is>
      </c>
      <c r="R269" s="24" t="inlineStr">
        <is>
          <t>0.7769228627558715</t>
        </is>
      </c>
      <c r="S269" s="24" t="inlineStr">
        <is>
          <t>HIGH</t>
        </is>
      </c>
      <c r="T269" s="24" t="inlineStr">
        <is>
          <t>HIGH</t>
        </is>
      </c>
      <c r="U269" s="24" t="inlineStr">
        <is>
          <t>0.7142857142857143</t>
        </is>
      </c>
      <c r="V269" s="24" t="inlineStr">
        <is>
          <t>HIGH_RISK</t>
        </is>
      </c>
      <c r="W269" s="24" t="inlineStr">
        <is>
          <t>고위험</t>
        </is>
      </c>
      <c r="X269" s="24" t="inlineStr">
        <is>
          <t>HIGH_RISK</t>
        </is>
      </c>
      <c r="Y269" s="24" t="inlineStr">
        <is>
          <t>0.9268996528836525</t>
        </is>
      </c>
      <c r="Z269" s="24" t="inlineStr">
        <is>
          <t>HIGH</t>
        </is>
      </c>
      <c r="AA269" s="24" t="inlineStr">
        <is>
          <t>HIGH</t>
        </is>
      </c>
      <c r="AB269" s="24" t="inlineStr">
        <is>
          <t>0.3732718821533064</t>
        </is>
      </c>
      <c r="AC269" s="24" t="inlineStr">
        <is>
          <t>True</t>
        </is>
      </c>
      <c r="AD269" s="24" t="inlineStr">
        <is>
          <t>True</t>
        </is>
      </c>
      <c r="AE269" s="24" t="inlineStr">
        <is>
          <t>valuation_credit_ml_overlay_candidate.csv</t>
        </is>
      </c>
      <c r="AF269" s="24" t="inlineStr">
        <is>
          <t>208개 반도체 reference universe. Valuation Agent가 자체 intake 폴더로 복제해 Peer/ML/대시보드 비교에 사용.</t>
        </is>
      </c>
    </row>
    <row r="270" ht="24" customHeight="1">
      <c r="A270" s="29" t="inlineStr">
        <is>
          <t>180</t>
        </is>
      </c>
      <c r="B270" s="29" t="inlineStr">
        <is>
          <t>해당 없음</t>
        </is>
      </c>
      <c r="C270" s="29" t="inlineStr">
        <is>
          <t>유니테스트</t>
        </is>
      </c>
      <c r="D270" s="29" t="inlineStr">
        <is>
          <t>086390</t>
        </is>
      </c>
      <c r="E270" s="29" t="inlineStr">
        <is>
          <t>KOSDAQ</t>
        </is>
      </c>
      <c r="F270" s="29" t="inlineStr">
        <is>
          <t>후공정/패키징/테스트</t>
        </is>
      </c>
      <c r="G270" s="29" t="inlineStr">
        <is>
          <t>후공정/패키징/테스트</t>
        </is>
      </c>
      <c r="H270" s="29" t="inlineStr">
        <is>
          <t>False</t>
        </is>
      </c>
      <c r="I270" s="29" t="inlineStr">
        <is>
          <t>True</t>
        </is>
      </c>
      <c r="J270" s="29" t="inlineStr">
        <is>
          <t>OK</t>
        </is>
      </c>
      <c r="K270" s="29" t="inlineStr">
        <is>
          <t>데이터 사용 가능</t>
        </is>
      </c>
      <c r="L270" s="29" t="inlineStr">
        <is>
          <t>LOW</t>
        </is>
      </c>
      <c r="M270" s="29" t="inlineStr">
        <is>
          <t>LOW</t>
        </is>
      </c>
      <c r="N270" s="29" t="inlineStr">
        <is>
          <t>0.3371851851851852</t>
        </is>
      </c>
      <c r="O270" s="29" t="inlineStr">
        <is>
          <t>EXPENSIVE</t>
        </is>
      </c>
      <c r="P270" s="29" t="inlineStr">
        <is>
          <t>EXPENSIVE</t>
        </is>
      </c>
      <c r="Q270" s="29" t="inlineStr">
        <is>
          <t>EXPENSIVE</t>
        </is>
      </c>
      <c r="R270" s="29" t="inlineStr">
        <is>
          <t>0.9109345080202441</t>
        </is>
      </c>
      <c r="S270" s="29" t="inlineStr">
        <is>
          <t>HIGH</t>
        </is>
      </c>
      <c r="T270" s="29" t="inlineStr">
        <is>
          <t>HIGH</t>
        </is>
      </c>
      <c r="U270" s="29" t="inlineStr">
        <is>
          <t>0.5714285714285714</t>
        </is>
      </c>
      <c r="V270" s="29" t="inlineStr">
        <is>
          <t>HIGH_RISK</t>
        </is>
      </c>
      <c r="W270" s="29" t="inlineStr">
        <is>
          <t>고위험</t>
        </is>
      </c>
      <c r="X270" s="29" t="inlineStr">
        <is>
          <t>HIGH_RISK</t>
        </is>
      </c>
      <c r="Y270" s="29" t="inlineStr">
        <is>
          <t>0.9310666121801914</t>
        </is>
      </c>
      <c r="Z270" s="29" t="inlineStr">
        <is>
          <t>HIGH</t>
        </is>
      </c>
      <c r="AA270" s="29" t="inlineStr">
        <is>
          <t>HIGH</t>
        </is>
      </c>
      <c r="AB270" s="29" t="inlineStr">
        <is>
          <t>0.07777762014388422</t>
        </is>
      </c>
      <c r="AC270" s="29" t="inlineStr">
        <is>
          <t>False</t>
        </is>
      </c>
      <c r="AD270" s="29" t="inlineStr">
        <is>
          <t>False</t>
        </is>
      </c>
      <c r="AE270" s="29" t="inlineStr">
        <is>
          <t>valuation_credit_ml_overlay_candidate.csv</t>
        </is>
      </c>
      <c r="AF270" s="29" t="inlineStr">
        <is>
          <t>208개 반도체 reference universe. Valuation Agent가 자체 intake 폴더로 복제해 Peer/ML/대시보드 비교에 사용.</t>
        </is>
      </c>
    </row>
    <row r="271" ht="24" customHeight="1">
      <c r="A271" s="24" t="inlineStr">
        <is>
          <t>159</t>
        </is>
      </c>
      <c r="B271" s="24" t="inlineStr">
        <is>
          <t>해당 없음</t>
        </is>
      </c>
      <c r="C271" s="24" t="inlineStr">
        <is>
          <t>두산테스나</t>
        </is>
      </c>
      <c r="D271" s="24" t="inlineStr">
        <is>
          <t>131970</t>
        </is>
      </c>
      <c r="E271" s="24" t="inlineStr">
        <is>
          <t>KOSDAQ GLOBAL</t>
        </is>
      </c>
      <c r="F271" s="24" t="inlineStr">
        <is>
          <t>후공정/패키징/테스트</t>
        </is>
      </c>
      <c r="G271" s="24" t="inlineStr">
        <is>
          <t>후공정/패키징/테스트</t>
        </is>
      </c>
      <c r="H271" s="24" t="inlineStr">
        <is>
          <t>False</t>
        </is>
      </c>
      <c r="I271" s="24" t="inlineStr">
        <is>
          <t>True</t>
        </is>
      </c>
      <c r="J271" s="24" t="inlineStr">
        <is>
          <t>OK</t>
        </is>
      </c>
      <c r="K271" s="24" t="inlineStr">
        <is>
          <t>데이터 사용 가능</t>
        </is>
      </c>
      <c r="L271" s="24" t="inlineStr">
        <is>
          <t>LOW</t>
        </is>
      </c>
      <c r="M271" s="24" t="inlineStr">
        <is>
          <t>LOW</t>
        </is>
      </c>
      <c r="N271" s="24" t="inlineStr">
        <is>
          <t>0.3217037037037037</t>
        </is>
      </c>
      <c r="O271" s="24" t="inlineStr">
        <is>
          <t>EXPENSIVE</t>
        </is>
      </c>
      <c r="P271" s="24" t="inlineStr">
        <is>
          <t>EXPENSIVE</t>
        </is>
      </c>
      <c r="Q271" s="24" t="inlineStr">
        <is>
          <t>EXPENSIVE</t>
        </is>
      </c>
      <c r="R271" s="24" t="inlineStr">
        <is>
          <t>0.5774876642912814</t>
        </is>
      </c>
      <c r="S271" s="24" t="inlineStr">
        <is>
          <t>MEDIUM</t>
        </is>
      </c>
      <c r="T271" s="24" t="inlineStr">
        <is>
          <t>MEDIUM</t>
        </is>
      </c>
      <c r="U271" s="24" t="inlineStr">
        <is>
          <t>0.1428571428571428</t>
        </is>
      </c>
      <c r="V271" s="24" t="inlineStr">
        <is>
          <t>LOW_RISK</t>
        </is>
      </c>
      <c r="W271" s="24" t="inlineStr">
        <is>
          <t>저위험</t>
        </is>
      </c>
      <c r="X271" s="24" t="inlineStr">
        <is>
          <t>LOW_RISK</t>
        </is>
      </c>
      <c r="Y271" s="24" t="inlineStr">
        <is>
          <t>0.5730698742411416</t>
        </is>
      </c>
      <c r="Z271" s="24" t="inlineStr">
        <is>
          <t>MEDIUM</t>
        </is>
      </c>
      <c r="AA271" s="24" t="inlineStr">
        <is>
          <t>MEDIUM</t>
        </is>
      </c>
      <c r="AB271" s="24" t="inlineStr">
        <is>
          <t>0.11339298523731103</t>
        </is>
      </c>
      <c r="AC271" s="24" t="inlineStr">
        <is>
          <t>False</t>
        </is>
      </c>
      <c r="AD271" s="24" t="inlineStr">
        <is>
          <t>False</t>
        </is>
      </c>
      <c r="AE271" s="24" t="inlineStr">
        <is>
          <t>valuation_credit_ml_overlay_candidate.csv</t>
        </is>
      </c>
      <c r="AF271" s="24" t="inlineStr">
        <is>
          <t>208개 반도체 reference universe. Valuation Agent가 자체 intake 폴더로 복제해 Peer/ML/대시보드 비교에 사용.</t>
        </is>
      </c>
    </row>
    <row r="272" ht="24" customHeight="1">
      <c r="A272" s="29" t="inlineStr">
        <is>
          <t>156</t>
        </is>
      </c>
      <c r="B272" s="29" t="inlineStr">
        <is>
          <t>해당 없음</t>
        </is>
      </c>
      <c r="C272" s="29" t="inlineStr">
        <is>
          <t>네오셈</t>
        </is>
      </c>
      <c r="D272" s="29" t="inlineStr">
        <is>
          <t>253590</t>
        </is>
      </c>
      <c r="E272" s="29" t="inlineStr">
        <is>
          <t>KOSDAQ</t>
        </is>
      </c>
      <c r="F272" s="29" t="inlineStr">
        <is>
          <t>후공정/패키징/테스트</t>
        </is>
      </c>
      <c r="G272" s="29" t="inlineStr">
        <is>
          <t>후공정/패키징/테스트</t>
        </is>
      </c>
      <c r="H272" s="29" t="inlineStr">
        <is>
          <t>False</t>
        </is>
      </c>
      <c r="I272" s="29" t="inlineStr">
        <is>
          <t>True</t>
        </is>
      </c>
      <c r="J272" s="29" t="inlineStr">
        <is>
          <t>OK</t>
        </is>
      </c>
      <c r="K272" s="29" t="inlineStr">
        <is>
          <t>데이터 사용 가능</t>
        </is>
      </c>
      <c r="L272" s="29" t="inlineStr">
        <is>
          <t>LOW</t>
        </is>
      </c>
      <c r="M272" s="29" t="inlineStr">
        <is>
          <t>LOW</t>
        </is>
      </c>
      <c r="N272" s="29" t="inlineStr">
        <is>
          <t>0.3059259259259259</t>
        </is>
      </c>
      <c r="O272" s="29" t="inlineStr">
        <is>
          <t>EXPENSIVE</t>
        </is>
      </c>
      <c r="P272" s="29" t="inlineStr">
        <is>
          <t>EXPENSIVE</t>
        </is>
      </c>
      <c r="Q272" s="29" t="inlineStr">
        <is>
          <t>EXPENSIVE</t>
        </is>
      </c>
      <c r="R272" s="29" t="inlineStr">
        <is>
          <t>0.7695353673338539</t>
        </is>
      </c>
      <c r="S272" s="29" t="inlineStr">
        <is>
          <t>HIGH</t>
        </is>
      </c>
      <c r="T272" s="29" t="inlineStr">
        <is>
          <t>HIGH</t>
        </is>
      </c>
      <c r="U272" s="29" t="inlineStr">
        <is>
          <t>0.0714285714285714</t>
        </is>
      </c>
      <c r="V272" s="29" t="inlineStr">
        <is>
          <t>LOW_RISK</t>
        </is>
      </c>
      <c r="W272" s="29" t="inlineStr">
        <is>
          <t>저위험</t>
        </is>
      </c>
      <c r="X272" s="29" t="inlineStr">
        <is>
          <t>LOW_RISK</t>
        </is>
      </c>
      <c r="Y272" s="29" t="inlineStr">
        <is>
          <t>0.7735591671201707</t>
        </is>
      </c>
      <c r="Z272" s="29" t="inlineStr">
        <is>
          <t>HIGH</t>
        </is>
      </c>
      <c r="AA272" s="29" t="inlineStr">
        <is>
          <t>HIGH</t>
        </is>
      </c>
      <c r="AB272" s="29" t="inlineStr">
        <is>
          <t>0.06887713556186657</t>
        </is>
      </c>
      <c r="AC272" s="29" t="inlineStr">
        <is>
          <t>False</t>
        </is>
      </c>
      <c r="AD272" s="29" t="inlineStr">
        <is>
          <t>False</t>
        </is>
      </c>
      <c r="AE272" s="29" t="inlineStr">
        <is>
          <t>valuation_credit_ml_overlay_candidate.csv</t>
        </is>
      </c>
      <c r="AF272" s="29" t="inlineStr">
        <is>
          <t>208개 반도체 reference universe. Valuation Agent가 자체 intake 폴더로 복제해 Peer/ML/대시보드 비교에 사용.</t>
        </is>
      </c>
    </row>
    <row r="273" ht="24" customHeight="1">
      <c r="A273" s="24" t="inlineStr">
        <is>
          <t>190</t>
        </is>
      </c>
      <c r="B273" s="24" t="inlineStr">
        <is>
          <t>해당 없음</t>
        </is>
      </c>
      <c r="C273" s="24" t="inlineStr">
        <is>
          <t>피엠티</t>
        </is>
      </c>
      <c r="D273" s="24" t="inlineStr">
        <is>
          <t>147760</t>
        </is>
      </c>
      <c r="E273" s="24" t="inlineStr">
        <is>
          <t>KOSDAQ</t>
        </is>
      </c>
      <c r="F273" s="24" t="inlineStr">
        <is>
          <t>후공정/패키징/테스트</t>
        </is>
      </c>
      <c r="G273" s="24" t="inlineStr">
        <is>
          <t>후공정/패키징/테스트</t>
        </is>
      </c>
      <c r="H273" s="24" t="inlineStr">
        <is>
          <t>False</t>
        </is>
      </c>
      <c r="I273" s="24" t="inlineStr">
        <is>
          <t>True</t>
        </is>
      </c>
      <c r="J273" s="24" t="inlineStr">
        <is>
          <t>OK</t>
        </is>
      </c>
      <c r="K273" s="24" t="inlineStr">
        <is>
          <t>데이터 사용 가능</t>
        </is>
      </c>
      <c r="L273" s="24" t="inlineStr">
        <is>
          <t>LOW</t>
        </is>
      </c>
      <c r="M273" s="24" t="inlineStr">
        <is>
          <t>LOW</t>
        </is>
      </c>
      <c r="N273" s="24" t="inlineStr">
        <is>
          <t>0.2471111111111111</t>
        </is>
      </c>
      <c r="O273" s="24" t="inlineStr">
        <is>
          <t>EXPENSIVE</t>
        </is>
      </c>
      <c r="P273" s="24" t="inlineStr">
        <is>
          <t>EXPENSIVE</t>
        </is>
      </c>
      <c r="Q273" s="24" t="inlineStr">
        <is>
          <t>EXPENSIVE</t>
        </is>
      </c>
      <c r="R273" s="24" t="inlineStr">
        <is>
          <t>0.952821790032095</t>
        </is>
      </c>
      <c r="S273" s="24" t="inlineStr">
        <is>
          <t>HIGH</t>
        </is>
      </c>
      <c r="T273" s="24" t="inlineStr">
        <is>
          <t>HIGH</t>
        </is>
      </c>
      <c r="U273" s="24" t="inlineStr">
        <is>
          <t>0.7857142857142857</t>
        </is>
      </c>
      <c r="V273" s="24" t="inlineStr">
        <is>
          <t>HIGH_RISK</t>
        </is>
      </c>
      <c r="W273" s="24" t="inlineStr">
        <is>
          <t>고위험</t>
        </is>
      </c>
      <c r="X273" s="24" t="inlineStr">
        <is>
          <t>HIGH_RISK</t>
        </is>
      </c>
      <c r="Y273" s="24" t="inlineStr">
        <is>
          <t>0.9374258948385606</t>
        </is>
      </c>
      <c r="Z273" s="24" t="inlineStr">
        <is>
          <t>HIGH</t>
        </is>
      </c>
      <c r="AA273" s="24" t="inlineStr">
        <is>
          <t>HIGH</t>
        </is>
      </c>
      <c r="AB273" s="24" t="inlineStr">
        <is>
          <t>0.45054632167168013</t>
        </is>
      </c>
      <c r="AC273" s="24" t="inlineStr">
        <is>
          <t>True</t>
        </is>
      </c>
      <c r="AD273" s="24" t="inlineStr">
        <is>
          <t>True</t>
        </is>
      </c>
      <c r="AE273" s="24" t="inlineStr">
        <is>
          <t>valuation_credit_ml_overlay_candidate.csv</t>
        </is>
      </c>
      <c r="AF273" s="24" t="inlineStr">
        <is>
          <t>208개 반도체 reference universe. Valuation Agent가 자체 intake 폴더로 복제해 Peer/ML/대시보드 비교에 사용.</t>
        </is>
      </c>
    </row>
    <row r="274" ht="24" customHeight="1">
      <c r="A274" s="29" t="inlineStr">
        <is>
          <t>186</t>
        </is>
      </c>
      <c r="B274" s="29" t="inlineStr">
        <is>
          <t>해당 없음</t>
        </is>
      </c>
      <c r="C274" s="29" t="inlineStr">
        <is>
          <t>테크윙</t>
        </is>
      </c>
      <c r="D274" s="29" t="inlineStr">
        <is>
          <t>089030</t>
        </is>
      </c>
      <c r="E274" s="29" t="inlineStr">
        <is>
          <t>KOSDAQ</t>
        </is>
      </c>
      <c r="F274" s="29" t="inlineStr">
        <is>
          <t>후공정/패키징/테스트</t>
        </is>
      </c>
      <c r="G274" s="29" t="inlineStr">
        <is>
          <t>후공정/패키징/테스트</t>
        </is>
      </c>
      <c r="H274" s="29" t="inlineStr">
        <is>
          <t>False</t>
        </is>
      </c>
      <c r="I274" s="29" t="inlineStr">
        <is>
          <t>True</t>
        </is>
      </c>
      <c r="J274" s="29" t="inlineStr">
        <is>
          <t>OK</t>
        </is>
      </c>
      <c r="K274" s="29" t="inlineStr">
        <is>
          <t>데이터 사용 가능</t>
        </is>
      </c>
      <c r="L274" s="29" t="inlineStr">
        <is>
          <t>LOW</t>
        </is>
      </c>
      <c r="M274" s="29" t="inlineStr">
        <is>
          <t>LOW</t>
        </is>
      </c>
      <c r="N274" s="29" t="inlineStr">
        <is>
          <t>0.2205925925925926</t>
        </is>
      </c>
      <c r="O274" s="29" t="inlineStr">
        <is>
          <t>EXPENSIVE</t>
        </is>
      </c>
      <c r="P274" s="29" t="inlineStr">
        <is>
          <t>EXPENSIVE</t>
        </is>
      </c>
      <c r="Q274" s="29" t="inlineStr">
        <is>
          <t>EXPENSIVE</t>
        </is>
      </c>
      <c r="R274" s="29" t="inlineStr">
        <is>
          <t>0.7946423848576873</t>
        </is>
      </c>
      <c r="S274" s="29" t="inlineStr">
        <is>
          <t>HIGH</t>
        </is>
      </c>
      <c r="T274" s="29" t="inlineStr">
        <is>
          <t>HIGH</t>
        </is>
      </c>
      <c r="U274" s="29" t="inlineStr">
        <is>
          <t>0.5714285714285714</t>
        </is>
      </c>
      <c r="V274" s="29" t="inlineStr">
        <is>
          <t>HIGH_RISK</t>
        </is>
      </c>
      <c r="W274" s="29" t="inlineStr">
        <is>
          <t>고위험</t>
        </is>
      </c>
      <c r="X274" s="29" t="inlineStr">
        <is>
          <t>MEDIUM_RISK</t>
        </is>
      </c>
      <c r="Y274" s="29" t="inlineStr">
        <is>
          <t>0.4396420822644243</t>
        </is>
      </c>
      <c r="Z274" s="29" t="inlineStr">
        <is>
          <t>LOW</t>
        </is>
      </c>
      <c r="AA274" s="29" t="inlineStr">
        <is>
          <t>LOW</t>
        </is>
      </c>
      <c r="AB274" s="29" t="inlineStr">
        <is>
          <t>0.13035438491081522</t>
        </is>
      </c>
      <c r="AC274" s="29" t="inlineStr">
        <is>
          <t>False</t>
        </is>
      </c>
      <c r="AD274" s="29" t="inlineStr">
        <is>
          <t>True</t>
        </is>
      </c>
      <c r="AE274" s="29" t="inlineStr">
        <is>
          <t>valuation_credit_ml_overlay_candidate.csv</t>
        </is>
      </c>
      <c r="AF274" s="29" t="inlineStr">
        <is>
          <t>208개 반도체 reference universe. Valuation Agent가 자체 intake 폴더로 복제해 Peer/ML/대시보드 비교에 사용.</t>
        </is>
      </c>
    </row>
  </sheetData>
  <autoFilter ref="A66:AF274"/>
  <mergeCells count="5">
    <mergeCell ref="A2:L2"/>
    <mergeCell ref="A1:L1"/>
    <mergeCell ref="A4:F4"/>
    <mergeCell ref="A21:F21"/>
    <mergeCell ref="A65:F65"/>
  </mergeCells>
  <pageMargins left="0.75" right="0.75" top="1" bottom="1" header="0.5" footer="0.5"/>
  <pageSetup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36" customWidth="1" min="2" max="2"/>
    <col width="17" customWidth="1" min="3" max="3"/>
    <col width="36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피에스케이 가치평가 브릿지</t>
        </is>
      </c>
    </row>
    <row r="2" ht="28" customHeight="1">
      <c r="A2" s="17" t="inlineStr">
        <is>
          <t>DCF · Peer P/S · 208개 Universe · 품질 ML · 유동성/리스크를 하나의 보조 점수로 연결</t>
        </is>
      </c>
    </row>
    <row r="3" ht="24" customHeight="1"/>
    <row r="4" ht="24" customHeight="1">
      <c r="A4" s="18" t="inlineStr">
        <is>
          <t>종합 점수</t>
        </is>
      </c>
      <c r="B4" s="19" t="n"/>
      <c r="C4" s="18" t="inlineStr">
        <is>
          <t>DCF 괴리율</t>
        </is>
      </c>
      <c r="D4" s="19" t="n"/>
      <c r="E4" s="18" t="inlineStr">
        <is>
          <t>P/S</t>
        </is>
      </c>
      <c r="F4" s="19" t="n"/>
      <c r="G4" s="18" t="inlineStr">
        <is>
          <t>Peer P/S 중앙값</t>
        </is>
      </c>
      <c r="H4" s="19" t="n"/>
      <c r="I4" s="18" t="inlineStr">
        <is>
          <t>208개 Universe</t>
        </is>
      </c>
      <c r="J4" s="19" t="n"/>
    </row>
    <row r="5" ht="24" customHeight="1">
      <c r="A5" s="20" t="inlineStr">
        <is>
          <t>47.0/100</t>
        </is>
      </c>
      <c r="B5" s="19" t="n"/>
      <c r="C5" s="20" t="inlineStr">
        <is>
          <t>-81.8%</t>
        </is>
      </c>
      <c r="D5" s="19" t="n"/>
      <c r="E5" s="20" t="inlineStr">
        <is>
          <t>1.24배</t>
        </is>
      </c>
      <c r="F5" s="19" t="n"/>
      <c r="G5" s="20" t="inlineStr">
        <is>
          <t>3.44배</t>
        </is>
      </c>
      <c r="H5" s="19" t="n"/>
      <c r="I5" s="20" t="inlineStr">
        <is>
          <t>208개</t>
        </is>
      </c>
      <c r="J5" s="19" t="n"/>
    </row>
    <row r="6" ht="24" customHeight="1">
      <c r="A6" s="21" t="inlineStr">
        <is>
          <t>중립</t>
        </is>
      </c>
      <c r="B6" s="19" t="n"/>
      <c r="C6" s="21" t="inlineStr">
        <is>
          <t>내재주가/현재가-1</t>
        </is>
      </c>
      <c r="D6" s="19" t="n"/>
      <c r="E6" s="21" t="inlineStr">
        <is>
          <t>피어 대비 저PSR 구간: 상대 저평가 가능성</t>
        </is>
      </c>
      <c r="F6" s="19" t="n"/>
      <c r="G6" s="21" t="inlineStr">
        <is>
          <t>live peer 기준</t>
        </is>
      </c>
      <c r="H6" s="19" t="n"/>
      <c r="I6" s="21" t="inlineStr">
        <is>
          <t>장비</t>
        </is>
      </c>
      <c r="J6" s="19" t="n"/>
    </row>
    <row r="7" ht="24" customHeight="1"/>
    <row r="8" ht="24" customHeight="1"/>
    <row r="9" ht="24" customHeight="1">
      <c r="A9" s="22" t="inlineStr">
        <is>
          <t>핵심 해석</t>
        </is>
      </c>
    </row>
    <row r="10" ht="24" customHeight="1">
      <c r="A10" s="25" t="inlineStr">
        <is>
          <t>구분</t>
        </is>
      </c>
      <c r="B10" s="25" t="inlineStr">
        <is>
          <t>내용</t>
        </is>
      </c>
    </row>
    <row r="11" ht="24" customHeight="1">
      <c r="A11" s="24" t="inlineStr">
        <is>
          <t>역할</t>
        </is>
      </c>
      <c r="B11" s="24" t="inlineStr">
        <is>
          <t>Chair 최종 가중합을 대체하지 않는 보조 밸류에이션 판단 근거</t>
        </is>
      </c>
    </row>
    <row r="12" ht="24" customHeight="1">
      <c r="A12" s="29" t="inlineStr">
        <is>
          <t>해석</t>
        </is>
      </c>
      <c r="B12" s="29" t="inlineStr">
        <is>
          <t>현 가격과 내재가치·상대가치가 크게 벌어지지 않은 구간입니다.</t>
        </is>
      </c>
    </row>
    <row r="13" ht="24" customHeight="1">
      <c r="A13" s="24" t="inlineStr">
        <is>
          <t>방법</t>
        </is>
      </c>
      <c r="B13" s="24" t="inlineStr">
        <is>
          <t>DCF 25% + Peer P/S 15% + 품질 ML 15% + 208개 Universe 10% + 가치범위표/역산 DCF/오너 이익 20% + 유동성/리스크 10% + 검증 5%</t>
        </is>
      </c>
    </row>
    <row r="14" ht="24" customHeight="1">
      <c r="A14" s="29" t="inlineStr">
        <is>
          <t>검증상태</t>
        </is>
      </c>
      <c r="B14" s="29" t="inlineStr">
        <is>
          <t>PASS</t>
        </is>
      </c>
    </row>
    <row r="15" ht="24" customHeight="1"/>
    <row r="16" ht="24" customHeight="1"/>
    <row r="17" ht="24" customHeight="1">
      <c r="A17" s="22" t="inlineStr">
        <is>
          <t>가중 점수 구성</t>
        </is>
      </c>
    </row>
    <row r="18" ht="24" customHeight="1">
      <c r="A18" s="25" t="inlineStr">
        <is>
          <t>요인 코드</t>
        </is>
      </c>
      <c r="B18" s="25" t="inlineStr">
        <is>
          <t>요인</t>
        </is>
      </c>
      <c r="C18" s="25" t="inlineStr">
        <is>
          <t>가중치</t>
        </is>
      </c>
      <c r="D18" s="25" t="inlineStr">
        <is>
          <t>원천값</t>
        </is>
      </c>
      <c r="E18" s="25" t="inlineStr">
        <is>
          <t>점수</t>
        </is>
      </c>
      <c r="F18" s="25" t="inlineStr">
        <is>
          <t>해석</t>
        </is>
      </c>
    </row>
    <row r="19" ht="24" customHeight="1">
      <c r="A19" s="24" t="inlineStr">
        <is>
          <t>DCF_UPSIDE</t>
        </is>
      </c>
      <c r="B19" s="24" t="inlineStr">
        <is>
          <t>DCF 현재가 대비 괴리율</t>
        </is>
      </c>
      <c r="C19" s="30" t="n">
        <v>0.25</v>
      </c>
      <c r="D19" s="30" t="n">
        <v>-0.8180180087580137</v>
      </c>
      <c r="E19" s="30" t="n">
        <v>0</v>
      </c>
      <c r="F19" s="24" t="inlineStr">
        <is>
          <t>내재주가가 현재가보다 높을수록 우호</t>
        </is>
      </c>
    </row>
    <row r="20" ht="24" customHeight="1">
      <c r="A20" s="29" t="inlineStr">
        <is>
          <t>PEER_PSR</t>
        </is>
      </c>
      <c r="B20" s="29" t="inlineStr">
        <is>
          <t>Peer P/S 상대 매력도</t>
        </is>
      </c>
      <c r="C20" s="31" t="n">
        <v>0.15</v>
      </c>
      <c r="D20" s="31" t="n">
        <v>1.236011002542875</v>
      </c>
      <c r="E20" s="31" t="n">
        <v>100</v>
      </c>
      <c r="F20" s="29" t="inlineStr">
        <is>
          <t>P/S가 동종 피어 대비 낮을수록 우호</t>
        </is>
      </c>
    </row>
    <row r="21" ht="24" customHeight="1">
      <c r="A21" s="24" t="inlineStr">
        <is>
          <t>QUALITY_ML</t>
        </is>
      </c>
      <c r="B21" s="24" t="inlineStr">
        <is>
          <t>수익성·현금흐름·안정성 ML 보조점수</t>
        </is>
      </c>
      <c r="C21" s="30" t="n">
        <v>0.15</v>
      </c>
      <c r="D21" s="30" t="n">
        <v>63.17</v>
      </c>
      <c r="E21" s="30" t="n">
        <v>63.17</v>
      </c>
      <c r="F21" s="24" t="inlineStr">
        <is>
          <t>Valuation Agent 자체 peer percentile composite</t>
        </is>
      </c>
    </row>
    <row r="22" ht="24" customHeight="1">
      <c r="A22" s="29" t="inlineStr">
        <is>
          <t>REFERENCE_UNIVERSE</t>
        </is>
      </c>
      <c r="B22" s="29" t="inlineStr">
        <is>
          <t>208개 반도체 Reference Universe 위치</t>
        </is>
      </c>
      <c r="C22" s="31" t="n">
        <v>0.1</v>
      </c>
      <c r="D22" s="31" t="n">
        <v>53.57333333333333</v>
      </c>
      <c r="E22" s="31" t="n">
        <v>53.57333333333333</v>
      </c>
      <c r="F22" s="29" t="inlineStr">
        <is>
          <t>업로드/기존 universe 후보 파일의 valuation proxy 기반 상대 위치</t>
        </is>
      </c>
    </row>
    <row r="23" ht="24" customHeight="1">
      <c r="A23" s="24" t="inlineStr">
        <is>
          <t>ADVANCED_VALUATION</t>
        </is>
      </c>
      <c r="B23" s="24" t="inlineStr">
        <is>
          <t>가치범위표·역산 DCF·오너 이익 교차검증</t>
        </is>
      </c>
      <c r="C23" s="30" t="n">
        <v>0.2</v>
      </c>
      <c r="D23" s="30" t="n">
        <v>38</v>
      </c>
      <c r="E23" s="30" t="n">
        <v>38</v>
      </c>
      <c r="F23" s="24" t="inlineStr">
        <is>
          <t>DCF 하나에 의존하지 않고 복수 가치평가 방법의 중앙값·안전마진·역산가정을 함께 평가</t>
        </is>
      </c>
    </row>
    <row r="24" ht="24" customHeight="1">
      <c r="A24" s="29" t="inlineStr">
        <is>
          <t>LIQUIDITY_RISK</t>
        </is>
      </c>
      <c r="B24" s="29" t="inlineStr">
        <is>
          <t>유동성·변동성 리스크</t>
        </is>
      </c>
      <c r="C24" s="31" t="n">
        <v>0.1</v>
      </c>
      <c r="D24" s="31" t="n">
        <v>33996845420</v>
      </c>
      <c r="E24" s="31" t="n">
        <v>46</v>
      </c>
      <c r="F24" s="29" t="inlineStr">
        <is>
          <t>거래대금은 높을수록, 변동성과 MDD는 낮을수록 우호</t>
        </is>
      </c>
    </row>
    <row r="25" ht="24" customHeight="1">
      <c r="A25" s="24" t="inlineStr">
        <is>
          <t>DATA_VALIDATION</t>
        </is>
      </c>
      <c r="B25" s="24" t="inlineStr">
        <is>
          <t>데이터 검증 상태</t>
        </is>
      </c>
      <c r="C25" s="30" t="n">
        <v>0.05</v>
      </c>
      <c r="D25" s="24" t="inlineStr">
        <is>
          <t>PASS</t>
        </is>
      </c>
      <c r="E25" s="30" t="n">
        <v>100</v>
      </c>
      <c r="F25" s="24" t="inlineStr">
        <is>
          <t>PASS이면 workbook/dashboard용 주요 데이터 준비 완료</t>
        </is>
      </c>
    </row>
    <row r="26" ht="24" customHeight="1"/>
    <row r="27" ht="24" customHeight="1"/>
    <row r="28" ht="24" customHeight="1">
      <c r="A28" s="22" t="inlineStr">
        <is>
          <t>데이터 연결 맵</t>
        </is>
      </c>
    </row>
    <row r="29" ht="24" customHeight="1">
      <c r="A29" s="25" t="inlineStr">
        <is>
          <t>데이터블록</t>
        </is>
      </c>
      <c r="B29" s="25" t="inlineStr">
        <is>
          <t>사용값</t>
        </is>
      </c>
      <c r="C29" s="25" t="inlineStr">
        <is>
          <t>출처</t>
        </is>
      </c>
    </row>
    <row r="30" ht="24" customHeight="1">
      <c r="A30" s="24" t="inlineStr">
        <is>
          <t>DCF</t>
        </is>
      </c>
      <c r="B30" s="24" t="inlineStr">
        <is>
          <t>19,527원</t>
        </is>
      </c>
      <c r="C30" s="24" t="inlineStr">
        <is>
          <t>valuation_metrics.json / 09_DCF_가치평가</t>
        </is>
      </c>
    </row>
    <row r="31" ht="24" customHeight="1">
      <c r="A31" s="29" t="inlineStr">
        <is>
          <t>Peer P/S</t>
        </is>
      </c>
      <c r="B31" s="29" t="inlineStr">
        <is>
          <t>1.24배</t>
        </is>
      </c>
      <c r="C31" s="29" t="inlineStr">
        <is>
          <t>valuation_peer_input.csv / 10_피어비교</t>
        </is>
      </c>
    </row>
    <row r="32" ht="24" customHeight="1">
      <c r="A32" s="24" t="inlineStr">
        <is>
          <t>208개 Universe</t>
        </is>
      </c>
      <c r="B32" s="24" t="inlineStr">
        <is>
          <t>208개</t>
        </is>
      </c>
      <c r="C32" s="24" t="inlineStr">
        <is>
          <t>valuation_reference_universe_208.csv</t>
        </is>
      </c>
    </row>
    <row r="33" ht="24" customHeight="1">
      <c r="A33" s="29" t="inlineStr">
        <is>
          <t>주가·유동성</t>
        </is>
      </c>
      <c r="B33" s="29" t="inlineStr">
        <is>
          <t>340.0억원</t>
        </is>
      </c>
      <c r="C33" s="29" t="inlineStr">
        <is>
          <t>valuation_price_history.csv / valuation_price_summary.json</t>
        </is>
      </c>
    </row>
    <row r="34" ht="24" customHeight="1">
      <c r="A34" s="24" t="inlineStr">
        <is>
          <t>ML 보조판단</t>
        </is>
      </c>
      <c r="B34" s="24" t="inlineStr">
        <is>
          <t>63.2/100</t>
        </is>
      </c>
      <c r="C34" s="24" t="inlineStr">
        <is>
          <t>valuation_agent 자체 peer percentile composite</t>
        </is>
      </c>
    </row>
  </sheetData>
  <autoFilter ref="A29:C34"/>
  <mergeCells count="20">
    <mergeCell ref="C6:D6"/>
    <mergeCell ref="I6:J6"/>
    <mergeCell ref="C5:D5"/>
    <mergeCell ref="E5:F5"/>
    <mergeCell ref="A1:K1"/>
    <mergeCell ref="A6:B6"/>
    <mergeCell ref="C4:D4"/>
    <mergeCell ref="E4:F4"/>
    <mergeCell ref="A17:F17"/>
    <mergeCell ref="G6:H6"/>
    <mergeCell ref="E6:F6"/>
    <mergeCell ref="A28:F28"/>
    <mergeCell ref="A9:F9"/>
    <mergeCell ref="A5:B5"/>
    <mergeCell ref="A2:K2"/>
    <mergeCell ref="G5:H5"/>
    <mergeCell ref="I5:J5"/>
    <mergeCell ref="A4:B4"/>
    <mergeCell ref="G4:H4"/>
    <mergeCell ref="I4:J4"/>
  </mergeCells>
  <pageMargins left="0.75" right="0.75" top="1" bottom="1" header="0.5" footer="0.5"/>
  <pageSetup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38" customWidth="1" min="6" max="6"/>
    <col width="17" customWidth="1" min="7" max="7"/>
    <col width="17" customWidth="1" min="8" max="8"/>
    <col width="17" customWidth="1" min="9" max="9"/>
    <col width="17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피에스케이 시나리오 요약</t>
        </is>
      </c>
    </row>
    <row r="2" ht="28" customHeight="1">
      <c r="A2" s="17" t="inlineStr">
        <is>
          <t>Base/Bull/Bear 가정을 한눈에 볼 수 있도록 대시보드 다운로드용으로 정리</t>
        </is>
      </c>
    </row>
    <row r="3" ht="24" customHeight="1"/>
    <row r="4" ht="24" customHeight="1">
      <c r="A4" s="22" t="inlineStr">
        <is>
          <t>3단계 시나리오 가정</t>
        </is>
      </c>
    </row>
    <row r="5" ht="24" customHeight="1">
      <c r="A5" s="25" t="inlineStr">
        <is>
          <t>시나리오</t>
        </is>
      </c>
      <c r="B5" s="25" t="inlineStr">
        <is>
          <t>매출성장률</t>
        </is>
      </c>
      <c r="C5" s="25" t="inlineStr">
        <is>
          <t>FCF마진</t>
        </is>
      </c>
      <c r="D5" s="25" t="inlineStr">
        <is>
          <t>WACC</t>
        </is>
      </c>
      <c r="E5" s="25" t="inlineStr">
        <is>
          <t>영구성장률</t>
        </is>
      </c>
      <c r="F5" s="25" t="inlineStr">
        <is>
          <t>해석</t>
        </is>
      </c>
    </row>
    <row r="6" ht="24" customHeight="1">
      <c r="A6" s="24" t="inlineStr">
        <is>
          <t>Bear</t>
        </is>
      </c>
      <c r="B6" s="30" t="n">
        <v>-0.005564533100452259</v>
      </c>
      <c r="C6" s="30" t="n">
        <v>0.1287085114651387</v>
      </c>
      <c r="D6" s="30" t="n">
        <v>0.14963320508343</v>
      </c>
      <c r="E6" s="30" t="n">
        <v>0.009999999999999998</v>
      </c>
      <c r="F6" s="24" t="inlineStr">
        <is>
          <t>보수적 수익성·할인율 가정</t>
        </is>
      </c>
    </row>
    <row r="7" ht="24" customHeight="1">
      <c r="A7" s="29" t="inlineStr">
        <is>
          <t>Base</t>
        </is>
      </c>
      <c r="B7" s="31" t="n">
        <v>0.01443546689954774</v>
      </c>
      <c r="C7" s="31" t="n">
        <v>0.1487085114651387</v>
      </c>
      <c r="D7" s="31" t="n">
        <v>0.13963320508343</v>
      </c>
      <c r="E7" s="31" t="n">
        <v>0.015</v>
      </c>
      <c r="F7" s="29" t="inlineStr">
        <is>
          <t>현재 모델 기본 가정</t>
        </is>
      </c>
    </row>
    <row r="8" ht="24" customHeight="1">
      <c r="A8" s="24" t="inlineStr">
        <is>
          <t>Bull</t>
        </is>
      </c>
      <c r="B8" s="30" t="n">
        <v>0.03443546689954774</v>
      </c>
      <c r="C8" s="30" t="n">
        <v>0.1687085114651387</v>
      </c>
      <c r="D8" s="30" t="n">
        <v>0.12963320508343</v>
      </c>
      <c r="E8" s="30" t="n">
        <v>0.02</v>
      </c>
      <c r="F8" s="24" t="inlineStr">
        <is>
          <t>성장·마진 개선 가정</t>
        </is>
      </c>
    </row>
    <row r="9" ht="24" customHeight="1"/>
    <row r="10" ht="24" customHeight="1"/>
    <row r="11" ht="24" customHeight="1">
      <c r="A11" s="22" t="inlineStr">
        <is>
          <t>대시보드 연결 가이드</t>
        </is>
      </c>
    </row>
    <row r="12" ht="24" customHeight="1">
      <c r="A12" s="25" t="inlineStr">
        <is>
          <t>항목</t>
        </is>
      </c>
      <c r="B12" s="25" t="inlineStr">
        <is>
          <t>내용</t>
        </is>
      </c>
    </row>
    <row r="13" ht="24" customHeight="1">
      <c r="A13" s="24" t="inlineStr">
        <is>
          <t>활용</t>
        </is>
      </c>
      <c r="B13" s="24" t="inlineStr">
        <is>
          <t>대시보드에서 WACC/성장률/마진 슬라이더를 만들 때 기본 입력값으로 사용</t>
        </is>
      </c>
    </row>
    <row r="14" ht="24" customHeight="1">
      <c r="A14" s="29" t="inlineStr">
        <is>
          <t>주의</t>
        </is>
      </c>
      <c r="B14" s="29" t="inlineStr">
        <is>
          <t>정식 투자 판단은 Chair의 6개 에이전트 종합과 별도 검토 필요</t>
        </is>
      </c>
    </row>
  </sheetData>
  <autoFilter ref="A12:B14"/>
  <mergeCells count="4">
    <mergeCell ref="A1:J1"/>
    <mergeCell ref="A11:F11"/>
    <mergeCell ref="A4:F4"/>
    <mergeCell ref="A2:J2"/>
  </mergeCells>
  <pageMargins left="0.75" right="0.75" top="1" bottom="1" header="0.5" footer="0.5"/>
  <pageSetup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18" customWidth="1" min="2" max="2"/>
    <col width="18" customWidth="1" min="3" max="3"/>
    <col width="3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데이터 품질·커버리지</t>
        </is>
      </c>
    </row>
    <row r="2" ht="28" customHeight="1">
      <c r="A2" s="17" t="inlineStr">
        <is>
          <t>공란/해당 없음/계산 제외 항목을 숨기지 않고 데이터 커버리지로 관리</t>
        </is>
      </c>
    </row>
    <row r="3" ht="24" customHeight="1"/>
    <row r="4" ht="24" customHeight="1">
      <c r="A4" s="22" t="inlineStr">
        <is>
          <t>커버리지 체크</t>
        </is>
      </c>
    </row>
    <row r="5" ht="24" customHeight="1">
      <c r="A5" s="25" t="inlineStr">
        <is>
          <t>데이터블록</t>
        </is>
      </c>
      <c r="B5" s="25" t="inlineStr">
        <is>
          <t>행수</t>
        </is>
      </c>
      <c r="C5" s="25" t="inlineStr">
        <is>
          <t>상태</t>
        </is>
      </c>
      <c r="D5" s="25" t="inlineStr">
        <is>
          <t>대시보드 영향</t>
        </is>
      </c>
    </row>
    <row r="6" ht="24" customHeight="1">
      <c r="A6" s="24" t="inlineStr">
        <is>
          <t>DART 정규화 재무제표</t>
        </is>
      </c>
      <c r="B6" s="30" t="n">
        <v>5</v>
      </c>
      <c r="C6" s="24" t="inlineStr">
        <is>
          <t>OK</t>
        </is>
      </c>
      <c r="D6" s="24" t="inlineStr">
        <is>
          <t>DCF/WACC/핵심비율</t>
        </is>
      </c>
    </row>
    <row r="7" ht="24" customHeight="1">
      <c r="A7" s="29" t="inlineStr">
        <is>
          <t>주가 이력</t>
        </is>
      </c>
      <c r="B7" s="31" t="n">
        <v>1222</v>
      </c>
      <c r="C7" s="29" t="inlineStr">
        <is>
          <t>OK</t>
        </is>
      </c>
      <c r="D7" s="29" t="inlineStr">
        <is>
          <t>현재가/변동성/MDD/차트</t>
        </is>
      </c>
    </row>
    <row r="8" ht="24" customHeight="1">
      <c r="A8" s="24" t="inlineStr">
        <is>
          <t>Live peer</t>
        </is>
      </c>
      <c r="B8" s="30" t="n">
        <v>5</v>
      </c>
      <c r="C8" s="24" t="inlineStr">
        <is>
          <t>OK</t>
        </is>
      </c>
      <c r="D8" s="24" t="inlineStr">
        <is>
          <t>P/S, PER, PBR</t>
        </is>
      </c>
    </row>
    <row r="9" ht="24" customHeight="1">
      <c r="A9" s="29" t="inlineStr">
        <is>
          <t>208개 Reference Universe</t>
        </is>
      </c>
      <c r="B9" s="31" t="n">
        <v>208</v>
      </c>
      <c r="C9" s="29" t="inlineStr">
        <is>
          <t>OK</t>
        </is>
      </c>
      <c r="D9" s="29" t="inlineStr">
        <is>
          <t>상대 위치/ML 보조</t>
        </is>
      </c>
    </row>
    <row r="10" ht="24" customHeight="1">
      <c r="A10" s="24" t="inlineStr">
        <is>
          <t>가치평가 스코어카드</t>
        </is>
      </c>
      <c r="B10" s="30" t="n">
        <v>7</v>
      </c>
      <c r="C10" s="24" t="inlineStr">
        <is>
          <t>OK</t>
        </is>
      </c>
      <c r="D10" s="24" t="inlineStr">
        <is>
          <t>투자자 요약/Chair 보조</t>
        </is>
      </c>
    </row>
    <row r="11" ht="24" customHeight="1">
      <c r="A11" s="29" t="inlineStr">
        <is>
          <t>Validation</t>
        </is>
      </c>
      <c r="B11" s="31" t="n">
        <v>1</v>
      </c>
      <c r="C11" s="29" t="inlineStr">
        <is>
          <t>PASS</t>
        </is>
      </c>
      <c r="D11" s="29" t="inlineStr">
        <is>
          <t>경고/품질 배지</t>
        </is>
      </c>
    </row>
    <row r="12" ht="24" customHeight="1"/>
    <row r="13" ht="24" customHeight="1"/>
    <row r="14" ht="24" customHeight="1">
      <c r="A14" s="22" t="inlineStr">
        <is>
          <t>Validation 이슈</t>
        </is>
      </c>
    </row>
    <row r="15" ht="24" customHeight="1">
      <c r="A15" s="25" t="inlineStr">
        <is>
          <t>중요도</t>
        </is>
      </c>
      <c r="B15" s="25" t="inlineStr">
        <is>
          <t>코드</t>
        </is>
      </c>
      <c r="C15" s="25" t="inlineStr">
        <is>
          <t>메시지</t>
        </is>
      </c>
    </row>
    <row r="16" ht="24" customHeight="1">
      <c r="A16" s="24" t="inlineStr">
        <is>
          <t>INFO</t>
        </is>
      </c>
      <c r="B16" s="24" t="inlineStr">
        <is>
          <t>NO_MAJOR_WARNINGS</t>
        </is>
      </c>
      <c r="C16" s="24" t="inlineStr">
        <is>
          <t>주요 validation warning 없음</t>
        </is>
      </c>
    </row>
  </sheetData>
  <autoFilter ref="A15:C16"/>
  <mergeCells count="4">
    <mergeCell ref="A14:F14"/>
    <mergeCell ref="A1:J1"/>
    <mergeCell ref="A4:F4"/>
    <mergeCell ref="A2:J2"/>
  </mergeCells>
  <pageMargins left="0.75" right="0.75" top="1" bottom="1" header="0.5" footer="0.5"/>
  <pageSetup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N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4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피에스케이 종합 가치평가 요약</t>
        </is>
      </c>
    </row>
    <row r="2" ht="28" customHeight="1">
      <c r="A2" s="17" t="inlineStr">
        <is>
          <t>DCF·상대가치·역산 DCF·오너 이익·EPV·Graham Number로 교차검증</t>
        </is>
      </c>
    </row>
    <row r="3" ht="24" customHeight="1"/>
    <row r="4" ht="24" customHeight="1">
      <c r="A4" s="18" t="inlineStr">
        <is>
          <t>종합 가치평가 점수</t>
        </is>
      </c>
      <c r="B4" s="19" t="n"/>
      <c r="C4" s="18" t="inlineStr">
        <is>
          <t>가치범위 중앙값</t>
        </is>
      </c>
      <c r="D4" s="19" t="n"/>
      <c r="E4" s="18" t="inlineStr">
        <is>
          <t>안전마진</t>
        </is>
      </c>
      <c r="F4" s="19" t="n"/>
      <c r="G4" s="18" t="inlineStr">
        <is>
          <t>역산 DCF</t>
        </is>
      </c>
      <c r="H4" s="19" t="n"/>
      <c r="I4" s="18" t="inlineStr">
        <is>
          <t>오너 이익</t>
        </is>
      </c>
      <c r="J4" s="19" t="n"/>
      <c r="K4" s="18" t="inlineStr">
        <is>
          <t>검증상태</t>
        </is>
      </c>
      <c r="L4" s="19" t="n"/>
    </row>
    <row r="5" ht="24" customHeight="1">
      <c r="A5" s="20" t="inlineStr">
        <is>
          <t>38.0/100</t>
        </is>
      </c>
      <c r="B5" s="19" t="n"/>
      <c r="C5" s="20" t="inlineStr">
        <is>
          <t>51,556원</t>
        </is>
      </c>
      <c r="D5" s="19" t="n"/>
      <c r="E5" s="20" t="inlineStr">
        <is>
          <t>-52.0%</t>
        </is>
      </c>
      <c r="F5" s="19" t="n"/>
      <c r="G5" s="20" t="inlineStr">
        <is>
          <t>8.0%</t>
        </is>
      </c>
      <c r="H5" s="19" t="n"/>
      <c r="I5" s="20" t="inlineStr">
        <is>
          <t>15,262원</t>
        </is>
      </c>
      <c r="J5" s="19" t="n"/>
      <c r="K5" s="20" t="inlineStr">
        <is>
          <t>PASS</t>
        </is>
      </c>
      <c r="L5" s="19" t="n"/>
    </row>
    <row r="6" ht="24" customHeight="1">
      <c r="A6" s="21" t="inlineStr">
        <is>
          <t>복수 방법 교차검증</t>
        </is>
      </c>
      <c r="B6" s="19" t="n"/>
      <c r="C6" s="21" t="inlineStr">
        <is>
          <t>밸류에이션 부담</t>
        </is>
      </c>
      <c r="D6" s="19" t="n"/>
      <c r="E6" s="21" t="inlineStr">
        <is>
          <t>중앙값/현재가-1</t>
        </is>
      </c>
      <c r="F6" s="19" t="n"/>
      <c r="G6" s="21" t="inlineStr">
        <is>
          <t>시장가격 내재 성장률</t>
        </is>
      </c>
      <c r="H6" s="19" t="n"/>
      <c r="I6" s="21" t="inlineStr">
        <is>
          <t>보수 현금창출 기준</t>
        </is>
      </c>
      <c r="J6" s="19" t="n"/>
      <c r="K6" s="21" t="inlineStr">
        <is>
          <t>PASS 권장</t>
        </is>
      </c>
      <c r="L6" s="19" t="n"/>
    </row>
    <row r="7" ht="24" customHeight="1"/>
    <row r="8" ht="24" customHeight="1"/>
    <row r="9" ht="24" customHeight="1">
      <c r="A9" s="22" t="inlineStr">
        <is>
          <t>투자자용 해석</t>
        </is>
      </c>
    </row>
    <row r="10" ht="24" customHeight="1">
      <c r="A10" s="25" t="inlineStr">
        <is>
          <t>구분</t>
        </is>
      </c>
      <c r="B10" s="25" t="inlineStr">
        <is>
          <t>내용</t>
        </is>
      </c>
    </row>
    <row r="11" ht="24" customHeight="1">
      <c r="A11" s="24" t="inlineStr">
        <is>
          <t>결론</t>
        </is>
      </c>
      <c r="B11" s="24" t="inlineStr">
        <is>
          <t>현 가격과 내재가치·상대가치가 크게 벌어지지 않은 구간입니다.</t>
        </is>
      </c>
    </row>
    <row r="12" ht="24" customHeight="1">
      <c r="A12" s="29" t="inlineStr">
        <is>
          <t>핵심 산식</t>
        </is>
      </c>
      <c r="B12" s="29" t="inlineStr">
        <is>
          <t>DCF + 피어 멀티플 가치범위표 + 역산 DCF + 오너 이익/EPV + 시장내재 배수 + 데이터 커버리지</t>
        </is>
      </c>
    </row>
    <row r="13" ht="24" customHeight="1">
      <c r="A13" s="24" t="inlineStr">
        <is>
          <t>사용 이유</t>
        </is>
      </c>
      <c r="B13" s="24" t="inlineStr">
        <is>
          <t>DCF는 가정 민감도가 크므로, 시장이 내재한 성장률과 상대가치·현금창출 가치가 같은 방향인지 확인합니다.</t>
        </is>
      </c>
    </row>
    <row r="14" ht="24" customHeight="1">
      <c r="A14" s="29" t="inlineStr">
        <is>
          <t>대시보드 활용</t>
        </is>
      </c>
      <c r="B14" s="29" t="inlineStr">
        <is>
          <t>summary_cards와 advanced_valuation 블록을 사용하면 Streamlit/React에서 가치범위 차트·민감도 카드·다운로드 버튼 구현 가능</t>
        </is>
      </c>
    </row>
    <row r="15" ht="24" customHeight="1"/>
    <row r="16" ht="24" customHeight="1"/>
    <row r="17" ht="24" customHeight="1">
      <c r="A17" s="22" t="inlineStr">
        <is>
          <t>방법별 내재가격 요약</t>
        </is>
      </c>
    </row>
    <row r="18" ht="24" customHeight="1">
      <c r="A18" s="25" t="inlineStr">
        <is>
          <t>방법 코드</t>
        </is>
      </c>
      <c r="B18" s="25" t="inlineStr">
        <is>
          <t>가치평가 방법</t>
        </is>
      </c>
      <c r="C18" s="25" t="inlineStr">
        <is>
          <t>하단 지분가치</t>
        </is>
      </c>
      <c r="D18" s="25" t="inlineStr">
        <is>
          <t>중앙 지분가치</t>
        </is>
      </c>
      <c r="E18" s="25" t="inlineStr">
        <is>
          <t>상단 지분가치</t>
        </is>
      </c>
      <c r="F18" s="25" t="inlineStr">
        <is>
          <t>하단 주당가치</t>
        </is>
      </c>
      <c r="G18" s="25" t="inlineStr">
        <is>
          <t>중앙 주당가치</t>
        </is>
      </c>
      <c r="H18" s="25" t="inlineStr">
        <is>
          <t>상단 주당가치</t>
        </is>
      </c>
      <c r="I18" s="25" t="inlineStr">
        <is>
          <t>현재가</t>
        </is>
      </c>
      <c r="J18" s="25" t="inlineStr">
        <is>
          <t>현재가 대비</t>
        </is>
      </c>
      <c r="K18" s="25" t="inlineStr">
        <is>
          <t>해석</t>
        </is>
      </c>
      <c r="L18" s="25" t="inlineStr">
        <is>
          <t>출처</t>
        </is>
      </c>
      <c r="M18" s="25" t="inlineStr">
        <is>
          <t>신뢰도</t>
        </is>
      </c>
    </row>
    <row r="19" ht="24" customHeight="1">
      <c r="A19" s="24" t="inlineStr">
        <is>
          <t>DCF_BASE</t>
        </is>
      </c>
      <c r="B19" s="24" t="inlineStr">
        <is>
          <t>DCF 기준가치</t>
        </is>
      </c>
      <c r="C19" s="30" t="n">
        <v>480779887864.7569</v>
      </c>
      <c r="D19" s="30" t="n">
        <v>565623397487.9493</v>
      </c>
      <c r="E19" s="30" t="n">
        <v>650466907111.1417</v>
      </c>
      <c r="F19" s="30" t="n">
        <v>16597.66751122537</v>
      </c>
      <c r="G19" s="30" t="n">
        <v>19526.66766026514</v>
      </c>
      <c r="H19" s="30" t="n">
        <v>22455.6678093049</v>
      </c>
      <c r="I19" s="30" t="n">
        <v>107300</v>
      </c>
      <c r="J19" s="35" t="n">
        <v>-0.8180180087580137</v>
      </c>
      <c r="K19" s="24" t="inlineStr">
        <is>
          <t>밸류에이션 부담</t>
        </is>
      </c>
      <c r="L19" s="24" t="inlineStr">
        <is>
          <t>Valuation Agent DCF</t>
        </is>
      </c>
      <c r="M19" s="24" t="inlineStr">
        <is>
          <t>핵심 모델</t>
        </is>
      </c>
    </row>
    <row r="20" ht="24" customHeight="1">
      <c r="A20" s="29" t="inlineStr">
        <is>
          <t>PSR_COMP</t>
        </is>
      </c>
      <c r="B20" s="29" t="inlineStr">
        <is>
          <t>P/S 상대가치</t>
        </is>
      </c>
      <c r="C20" s="31" t="n">
        <v>638022217515.7625</v>
      </c>
      <c r="D20" s="31" t="n">
        <v>1571251154516.958</v>
      </c>
      <c r="E20" s="31" t="n">
        <v>1687343567734.559</v>
      </c>
      <c r="F20" s="31" t="n">
        <v>22026.04746661159</v>
      </c>
      <c r="G20" s="31" t="n">
        <v>54243.33441884221</v>
      </c>
      <c r="H20" s="31" t="n">
        <v>58251.12119153589</v>
      </c>
      <c r="I20" s="31" t="n">
        <v>107300</v>
      </c>
      <c r="J20" s="36" t="n">
        <v>-0.4944703222847884</v>
      </c>
      <c r="K20" s="29" t="inlineStr">
        <is>
          <t>밸류에이션 부담</t>
        </is>
      </c>
      <c r="L20" s="29" t="inlineStr">
        <is>
          <t>시가총액/매출 피어 비교</t>
        </is>
      </c>
      <c r="M20" s="29" t="inlineStr">
        <is>
          <t>피어 중앙값 기반</t>
        </is>
      </c>
    </row>
    <row r="21" ht="24" customHeight="1">
      <c r="A21" s="24" t="inlineStr">
        <is>
          <t>PBR_COMP</t>
        </is>
      </c>
      <c r="B21" s="24" t="inlineStr">
        <is>
          <t>P/B 상대가치</t>
        </is>
      </c>
      <c r="C21" s="30" t="n">
        <v>1390935614671.118</v>
      </c>
      <c r="D21" s="30" t="n">
        <v>1415549999692.046</v>
      </c>
      <c r="E21" s="30" t="n">
        <v>2093999689772.049</v>
      </c>
      <c r="F21" s="30" t="n">
        <v>48018.41226005539</v>
      </c>
      <c r="G21" s="30" t="n">
        <v>48868.15949134051</v>
      </c>
      <c r="H21" s="30" t="n">
        <v>72289.85965657163</v>
      </c>
      <c r="I21" s="30" t="n">
        <v>107300</v>
      </c>
      <c r="J21" s="35" t="n">
        <v>-0.5445651491953354</v>
      </c>
      <c r="K21" s="24" t="inlineStr">
        <is>
          <t>밸류에이션 부담</t>
        </is>
      </c>
      <c r="L21" s="24" t="inlineStr">
        <is>
          <t>시가총액/자본 피어 비교</t>
        </is>
      </c>
      <c r="M21" s="24" t="inlineStr">
        <is>
          <t>피어 중앙값 기반</t>
        </is>
      </c>
    </row>
    <row r="22" ht="24" customHeight="1">
      <c r="A22" s="29" t="inlineStr">
        <is>
          <t>PFCF_COMP</t>
        </is>
      </c>
      <c r="B22" s="29" t="inlineStr">
        <is>
          <t>P/FCF 상대가치</t>
        </is>
      </c>
      <c r="C22" s="31" t="n">
        <v>385820285251.1635</v>
      </c>
      <c r="D22" s="31" t="n">
        <v>937299897727.3444</v>
      </c>
      <c r="E22" s="31" t="n">
        <v>1082023998491.578</v>
      </c>
      <c r="F22" s="31" t="n">
        <v>13319.43572374704</v>
      </c>
      <c r="G22" s="31" t="n">
        <v>32357.82621830506</v>
      </c>
      <c r="H22" s="31" t="n">
        <v>37354.04707940219</v>
      </c>
      <c r="I22" s="31" t="n">
        <v>107300</v>
      </c>
      <c r="J22" s="36" t="n">
        <v>-0.6984359159524225</v>
      </c>
      <c r="K22" s="29" t="inlineStr">
        <is>
          <t>밸류에이션 부담</t>
        </is>
      </c>
      <c r="L22" s="29" t="inlineStr">
        <is>
          <t>시가총액/FCF 피어 비교</t>
        </is>
      </c>
      <c r="M22" s="29" t="inlineStr">
        <is>
          <t>피어 중앙값 기반</t>
        </is>
      </c>
    </row>
    <row r="23" ht="24" customHeight="1">
      <c r="A23" s="24" t="inlineStr">
        <is>
          <t>EV_SALES_COMP</t>
        </is>
      </c>
      <c r="B23" s="24" t="inlineStr">
        <is>
          <t>EV/Sales 상대가치</t>
        </is>
      </c>
      <c r="C23" s="30" t="n">
        <v>972831466497.7753</v>
      </c>
      <c r="D23" s="30" t="n">
        <v>1802540459470.814</v>
      </c>
      <c r="E23" s="30" t="n">
        <v>3903609769212.412</v>
      </c>
      <c r="F23" s="30" t="n">
        <v>33584.46065017162</v>
      </c>
      <c r="G23" s="30" t="n">
        <v>62227.99242850999</v>
      </c>
      <c r="H23" s="30" t="n">
        <v>134761.912214565</v>
      </c>
      <c r="I23" s="30" t="n">
        <v>107300</v>
      </c>
      <c r="J23" s="35" t="n">
        <v>-0.420055988550699</v>
      </c>
      <c r="K23" s="24" t="inlineStr">
        <is>
          <t>밸류에이션 부담</t>
        </is>
      </c>
      <c r="L23" s="24" t="inlineStr">
        <is>
          <t>EV/매출 피어 비교</t>
        </is>
      </c>
      <c r="M23" s="24" t="inlineStr">
        <is>
          <t>EV 조정 피어 기준</t>
        </is>
      </c>
    </row>
    <row r="24" ht="24" customHeight="1">
      <c r="A24" s="29" t="inlineStr">
        <is>
          <t>EV_EBIT_COMP</t>
        </is>
      </c>
      <c r="B24" s="29" t="inlineStr">
        <is>
          <t>EV/EBIT 상대가치</t>
        </is>
      </c>
      <c r="C24" s="31" t="n">
        <v>1782906010099.674</v>
      </c>
      <c r="D24" s="31" t="n">
        <v>1972801186384.094</v>
      </c>
      <c r="E24" s="31" t="n">
        <v>4091626894844.896</v>
      </c>
      <c r="F24" s="31" t="n">
        <v>61550.16444390877</v>
      </c>
      <c r="G24" s="31" t="n">
        <v>68105.79848249594</v>
      </c>
      <c r="H24" s="31" t="n">
        <v>141252.7114689259</v>
      </c>
      <c r="I24" s="31" t="n">
        <v>107300</v>
      </c>
      <c r="J24" s="36" t="n">
        <v>-0.3652768081780434</v>
      </c>
      <c r="K24" s="29" t="inlineStr">
        <is>
          <t>밸류에이션 부담</t>
        </is>
      </c>
      <c r="L24" s="29" t="inlineStr">
        <is>
          <t>EV/영업이익 피어 비교</t>
        </is>
      </c>
      <c r="M24" s="29" t="inlineStr">
        <is>
          <t>EV 조정 피어 기준</t>
        </is>
      </c>
    </row>
    <row r="25" ht="24" customHeight="1"/>
    <row r="26" ht="24" customHeight="1"/>
    <row r="27" ht="24" customHeight="1">
      <c r="A27" s="22" t="inlineStr">
        <is>
          <t>시장내재 배수 자동산출</t>
        </is>
      </c>
    </row>
    <row r="28" ht="24" customHeight="1">
      <c r="A28" s="25" t="inlineStr">
        <is>
          <t>latest_close</t>
        </is>
      </c>
      <c r="B28" s="25" t="inlineStr">
        <is>
          <t>시가총액</t>
        </is>
      </c>
      <c r="C28" s="25" t="inlineStr">
        <is>
          <t>EV proxy</t>
        </is>
      </c>
      <c r="D28" s="25" t="inlineStr">
        <is>
          <t>psr_market</t>
        </is>
      </c>
      <c r="E28" s="25" t="inlineStr">
        <is>
          <t>pbr_market</t>
        </is>
      </c>
      <c r="F28" s="25" t="inlineStr">
        <is>
          <t>per_market</t>
        </is>
      </c>
      <c r="G28" s="25" t="inlineStr">
        <is>
          <t>p_fcf_market</t>
        </is>
      </c>
      <c r="H28" s="25" t="inlineStr">
        <is>
          <t>ev_sales_market</t>
        </is>
      </c>
      <c r="I28" s="25" t="inlineStr">
        <is>
          <t>ev_ebit_market</t>
        </is>
      </c>
      <c r="J28" s="25" t="inlineStr">
        <is>
          <t>eps_derived</t>
        </is>
      </c>
      <c r="K28" s="25" t="inlineStr">
        <is>
          <t>bps_derived</t>
        </is>
      </c>
      <c r="L28" s="25" t="inlineStr">
        <is>
          <t>fcf_yield_market</t>
        </is>
      </c>
      <c r="M28" s="25" t="inlineStr">
        <is>
          <t>sales_yield_market</t>
        </is>
      </c>
      <c r="N28" s="25" t="inlineStr">
        <is>
          <t>source_kr</t>
        </is>
      </c>
    </row>
    <row r="29" ht="24" customHeight="1">
      <c r="A29" s="30" t="n">
        <v>107300</v>
      </c>
      <c r="B29" s="30" t="n">
        <v>3108128412200</v>
      </c>
      <c r="C29" s="30" t="n">
        <v>3095668700461</v>
      </c>
      <c r="D29" s="42" t="n">
        <v>6.797985576664765</v>
      </c>
      <c r="E29" s="42" t="n">
        <v>5.766084084226305</v>
      </c>
      <c r="F29" s="24" t="inlineStr">
        <is>
          <t>해당 없음</t>
        </is>
      </c>
      <c r="G29" s="42" t="n">
        <v>50.35107518499373</v>
      </c>
      <c r="H29" s="42" t="n">
        <v>6.770734147683049</v>
      </c>
      <c r="I29" s="42" t="n">
        <v>34.98165642736185</v>
      </c>
      <c r="J29" s="24" t="inlineStr">
        <is>
          <t>해당 없음</t>
        </is>
      </c>
      <c r="K29" s="30" t="n">
        <v>18608.81638780291</v>
      </c>
      <c r="L29" s="35" t="n">
        <v>0.0198605490811452</v>
      </c>
      <c r="M29" s="35" t="n">
        <v>0.147102400957229</v>
      </c>
      <c r="N29" s="24" t="inlineStr">
        <is>
          <t>DART 정규화 재무제표 + Valuation Agent 주가/발행주식 수 intake로 자동 산출</t>
        </is>
      </c>
    </row>
    <row r="30" ht="24" customHeight="1"/>
    <row r="31" ht="24" customHeight="1"/>
    <row r="32" ht="24" customHeight="1">
      <c r="A32" s="22" t="inlineStr">
        <is>
          <t>품질 진단 체크</t>
        </is>
      </c>
    </row>
    <row r="33" ht="24" customHeight="1">
      <c r="A33" s="25" t="inlineStr">
        <is>
          <t>진단항목</t>
        </is>
      </c>
      <c r="B33" s="25" t="inlineStr">
        <is>
          <t>상태</t>
        </is>
      </c>
      <c r="C33" s="25" t="inlineStr">
        <is>
          <t>근거값</t>
        </is>
      </c>
      <c r="D33" s="25" t="inlineStr">
        <is>
          <t>해석</t>
        </is>
      </c>
    </row>
    <row r="34" ht="24" customHeight="1">
      <c r="A34" s="24" t="inlineStr">
        <is>
          <t>재무제표 기간</t>
        </is>
      </c>
      <c r="B34" s="24" t="inlineStr">
        <is>
          <t>충분</t>
        </is>
      </c>
      <c r="C34" s="30" t="n">
        <v>5</v>
      </c>
      <c r="D34" s="24" t="inlineStr">
        <is>
          <t>5개년이면 DCF 추세 가정과 CAGR 산정에 충분합니다.</t>
        </is>
      </c>
    </row>
    <row r="35" ht="24" customHeight="1">
      <c r="A35" s="29" t="inlineStr">
        <is>
          <t>주가 이력</t>
        </is>
      </c>
      <c r="B35" s="29" t="inlineStr">
        <is>
          <t>충분</t>
        </is>
      </c>
      <c r="C35" s="31" t="n">
        <v>1222</v>
      </c>
      <c r="D35" s="29" t="inlineStr">
        <is>
          <t>현재가, 52주 범위, MDD, 변동성, 거래대금 지표 품질을 좌우합니다.</t>
        </is>
      </c>
    </row>
    <row r="36" ht="24" customHeight="1">
      <c r="A36" s="24" t="inlineStr">
        <is>
          <t>가치평가 방법 수</t>
        </is>
      </c>
      <c r="B36" s="24" t="inlineStr">
        <is>
          <t>충분</t>
        </is>
      </c>
      <c r="C36" s="30" t="n">
        <v>6</v>
      </c>
      <c r="D36" s="24" t="inlineStr">
        <is>
          <t>DCF 하나가 아니라 상대가치·EV 멀티플·현금창출 지표까지 교차검증합니다.</t>
        </is>
      </c>
    </row>
    <row r="37" ht="24" customHeight="1">
      <c r="A37" s="29" t="inlineStr">
        <is>
          <t>수익성</t>
        </is>
      </c>
      <c r="B37" s="29" t="inlineStr">
        <is>
          <t>우호</t>
        </is>
      </c>
      <c r="C37" s="31" t="n">
        <v>0.193550987550925</v>
      </c>
      <c r="D37" s="29" t="inlineStr">
        <is>
          <t>영업이익률이 높을수록 DCF의 현금흐름 안정성이 높습니다.</t>
        </is>
      </c>
    </row>
    <row r="38" ht="24" customHeight="1">
      <c r="A38" s="24" t="inlineStr">
        <is>
          <t>현금창출</t>
        </is>
      </c>
      <c r="B38" s="24" t="inlineStr">
        <is>
          <t>우호</t>
        </is>
      </c>
      <c r="C38" s="30" t="n">
        <v>0.1350117261982677</v>
      </c>
      <c r="D38" s="24" t="inlineStr">
        <is>
          <t>FCF margin과 오너 이익 수익률이 DCF 품질의 핵심입니다.</t>
        </is>
      </c>
    </row>
    <row r="39" ht="24" customHeight="1">
      <c r="A39" s="29" t="inlineStr">
        <is>
          <t>재무 레버리지</t>
        </is>
      </c>
      <c r="B39" s="29" t="inlineStr">
        <is>
          <t>보수적</t>
        </is>
      </c>
      <c r="C39" s="31" t="n">
        <v>0.1984318367852004</v>
      </c>
      <c r="D39" s="29" t="inlineStr">
        <is>
          <t>부채/자본이 높으면 WACC와 지분가치 산정에 보수 가정을 적용합니다.</t>
        </is>
      </c>
    </row>
    <row r="40" ht="24" customHeight="1">
      <c r="A40" s="24" t="inlineStr">
        <is>
          <t>시장 내재가정</t>
        </is>
      </c>
      <c r="B40" s="24" t="inlineStr">
        <is>
          <t>계산 완료</t>
        </is>
      </c>
      <c r="C40" s="30" t="n">
        <v>0.08</v>
      </c>
      <c r="D40" s="24" t="inlineStr">
        <is>
          <t>현재 시가총액이 요구하는 영구성장률을 역산해 과도한 기대가 반영됐는지 확인합니다.</t>
        </is>
      </c>
    </row>
    <row r="41" ht="24" customHeight="1">
      <c r="A41" s="29" t="inlineStr">
        <is>
          <t>오너 이익</t>
        </is>
      </c>
      <c r="B41" s="29" t="inlineStr">
        <is>
          <t>계산 완료</t>
        </is>
      </c>
      <c r="C41" s="31" t="n">
        <v>15261.67730042147</v>
      </c>
      <c r="D41" s="29" t="inlineStr">
        <is>
          <t>CFO-CAPEX 또는 FCF 기반 보수 가치가 DCF와 같은 방향인지 확인합니다.</t>
        </is>
      </c>
    </row>
  </sheetData>
  <autoFilter ref="A33:D41"/>
  <mergeCells count="24">
    <mergeCell ref="C6:D6"/>
    <mergeCell ref="I6:J6"/>
    <mergeCell ref="C5:D5"/>
    <mergeCell ref="A27:F27"/>
    <mergeCell ref="E5:F5"/>
    <mergeCell ref="K5:L5"/>
    <mergeCell ref="A6:B6"/>
    <mergeCell ref="C4:D4"/>
    <mergeCell ref="A2:L2"/>
    <mergeCell ref="E4:F4"/>
    <mergeCell ref="A32:F32"/>
    <mergeCell ref="A17:F17"/>
    <mergeCell ref="G6:H6"/>
    <mergeCell ref="E6:F6"/>
    <mergeCell ref="A9:F9"/>
    <mergeCell ref="A5:B5"/>
    <mergeCell ref="G5:H5"/>
    <mergeCell ref="K6:L6"/>
    <mergeCell ref="I5:J5"/>
    <mergeCell ref="A4:B4"/>
    <mergeCell ref="G4:H4"/>
    <mergeCell ref="I4:J4"/>
    <mergeCell ref="A1:L1"/>
    <mergeCell ref="K4:L4"/>
  </mergeCells>
  <pageMargins left="0.75" right="0.75" top="1" bottom="1" header="0.5" footer="0.5"/>
  <pageSetup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M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2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4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피에스케이 가치범위표</t>
        </is>
      </c>
    </row>
    <row r="2" ht="28" customHeight="1">
      <c r="A2" s="17" t="inlineStr">
        <is>
          <t>DCF, P/S, P/B, PER, P/FCF, EV/Sales, EV/EBIT 기준 내재가격 범위를 한 화면에서 비교</t>
        </is>
      </c>
    </row>
    <row r="3" ht="24" customHeight="1"/>
    <row r="4" ht="24" customHeight="1">
      <c r="A4" s="18" t="inlineStr">
        <is>
          <t>현재가</t>
        </is>
      </c>
      <c r="B4" s="19" t="n"/>
      <c r="C4" s="18" t="inlineStr">
        <is>
          <t>하단값</t>
        </is>
      </c>
      <c r="D4" s="19" t="n"/>
      <c r="E4" s="18" t="inlineStr">
        <is>
          <t>중앙값</t>
        </is>
      </c>
      <c r="F4" s="19" t="n"/>
      <c r="G4" s="18" t="inlineStr">
        <is>
          <t>상단값</t>
        </is>
      </c>
      <c r="H4" s="19" t="n"/>
      <c r="I4" s="18" t="inlineStr">
        <is>
          <t>방법 수</t>
        </is>
      </c>
      <c r="J4" s="19" t="n"/>
      <c r="K4" s="18" t="inlineStr">
        <is>
          <t>안전마진</t>
        </is>
      </c>
      <c r="L4" s="19" t="n"/>
    </row>
    <row r="5" ht="24" customHeight="1">
      <c r="A5" s="20" t="inlineStr">
        <is>
          <t>107,300원</t>
        </is>
      </c>
      <c r="B5" s="19" t="n"/>
      <c r="C5" s="20" t="inlineStr">
        <is>
          <t>36,485원</t>
        </is>
      </c>
      <c r="D5" s="19" t="n"/>
      <c r="E5" s="20" t="inlineStr">
        <is>
          <t>51,556원</t>
        </is>
      </c>
      <c r="F5" s="19" t="n"/>
      <c r="G5" s="20" t="inlineStr">
        <is>
          <t>60,232원</t>
        </is>
      </c>
      <c r="H5" s="19" t="n"/>
      <c r="I5" s="20" t="inlineStr">
        <is>
          <t>6</t>
        </is>
      </c>
      <c r="J5" s="19" t="n"/>
      <c r="K5" s="20" t="inlineStr">
        <is>
          <t>-52.0%</t>
        </is>
      </c>
      <c r="L5" s="19" t="n"/>
    </row>
    <row r="6" ht="24" customHeight="1">
      <c r="A6" s="21" t="inlineStr">
        <is>
          <t>시장 기준</t>
        </is>
      </c>
      <c r="B6" s="19" t="n"/>
      <c r="C6" s="21" t="inlineStr">
        <is>
          <t>25% 분위</t>
        </is>
      </c>
      <c r="D6" s="19" t="n"/>
      <c r="E6" s="21" t="inlineStr">
        <is>
          <t>50% 분위</t>
        </is>
      </c>
      <c r="F6" s="19" t="n"/>
      <c r="G6" s="21" t="inlineStr">
        <is>
          <t>75% 분위</t>
        </is>
      </c>
      <c r="H6" s="19" t="n"/>
      <c r="I6" s="21" t="inlineStr">
        <is>
          <t>산출 가능한 방법</t>
        </is>
      </c>
      <c r="J6" s="19" t="n"/>
      <c r="K6" s="21" t="inlineStr">
        <is>
          <t>중앙값 기준</t>
        </is>
      </c>
      <c r="L6" s="19" t="n"/>
    </row>
    <row r="7" ht="24" customHeight="1"/>
    <row r="8" ht="24" customHeight="1"/>
    <row r="9" ht="24" customHeight="1">
      <c r="A9" s="22" t="inlineStr">
        <is>
          <t>가치평가 방법별 Low/Base/High</t>
        </is>
      </c>
    </row>
    <row r="10" ht="24" customHeight="1">
      <c r="A10" s="25" t="inlineStr">
        <is>
          <t>방법 코드</t>
        </is>
      </c>
      <c r="B10" s="25" t="inlineStr">
        <is>
          <t>가치평가 방법</t>
        </is>
      </c>
      <c r="C10" s="25" t="inlineStr">
        <is>
          <t>하단 지분가치</t>
        </is>
      </c>
      <c r="D10" s="25" t="inlineStr">
        <is>
          <t>중앙 지분가치</t>
        </is>
      </c>
      <c r="E10" s="25" t="inlineStr">
        <is>
          <t>상단 지분가치</t>
        </is>
      </c>
      <c r="F10" s="25" t="inlineStr">
        <is>
          <t>하단 주당가치</t>
        </is>
      </c>
      <c r="G10" s="25" t="inlineStr">
        <is>
          <t>중앙 주당가치</t>
        </is>
      </c>
      <c r="H10" s="25" t="inlineStr">
        <is>
          <t>상단 주당가치</t>
        </is>
      </c>
      <c r="I10" s="25" t="inlineStr">
        <is>
          <t>현재가</t>
        </is>
      </c>
      <c r="J10" s="25" t="inlineStr">
        <is>
          <t>현재가 대비</t>
        </is>
      </c>
      <c r="K10" s="25" t="inlineStr">
        <is>
          <t>해석</t>
        </is>
      </c>
      <c r="L10" s="25" t="inlineStr">
        <is>
          <t>출처</t>
        </is>
      </c>
      <c r="M10" s="25" t="inlineStr">
        <is>
          <t>신뢰도</t>
        </is>
      </c>
    </row>
    <row r="11" ht="24" customHeight="1">
      <c r="A11" s="24" t="inlineStr">
        <is>
          <t>DCF_BASE</t>
        </is>
      </c>
      <c r="B11" s="24" t="inlineStr">
        <is>
          <t>DCF 기준가치</t>
        </is>
      </c>
      <c r="C11" s="30" t="n">
        <v>480779887864.7569</v>
      </c>
      <c r="D11" s="30" t="n">
        <v>565623397487.9493</v>
      </c>
      <c r="E11" s="30" t="n">
        <v>650466907111.1417</v>
      </c>
      <c r="F11" s="30" t="n">
        <v>16597.66751122537</v>
      </c>
      <c r="G11" s="30" t="n">
        <v>19526.66766026514</v>
      </c>
      <c r="H11" s="30" t="n">
        <v>22455.6678093049</v>
      </c>
      <c r="I11" s="30" t="n">
        <v>107300</v>
      </c>
      <c r="J11" s="35" t="n">
        <v>-0.8180180087580137</v>
      </c>
      <c r="K11" s="24" t="inlineStr">
        <is>
          <t>밸류에이션 부담</t>
        </is>
      </c>
      <c r="L11" s="24" t="inlineStr">
        <is>
          <t>Valuation Agent DCF</t>
        </is>
      </c>
      <c r="M11" s="24" t="inlineStr">
        <is>
          <t>핵심 모델</t>
        </is>
      </c>
    </row>
    <row r="12" ht="24" customHeight="1">
      <c r="A12" s="29" t="inlineStr">
        <is>
          <t>PSR_COMP</t>
        </is>
      </c>
      <c r="B12" s="29" t="inlineStr">
        <is>
          <t>P/S 상대가치</t>
        </is>
      </c>
      <c r="C12" s="31" t="n">
        <v>638022217515.7625</v>
      </c>
      <c r="D12" s="31" t="n">
        <v>1571251154516.958</v>
      </c>
      <c r="E12" s="31" t="n">
        <v>1687343567734.559</v>
      </c>
      <c r="F12" s="31" t="n">
        <v>22026.04746661159</v>
      </c>
      <c r="G12" s="31" t="n">
        <v>54243.33441884221</v>
      </c>
      <c r="H12" s="31" t="n">
        <v>58251.12119153589</v>
      </c>
      <c r="I12" s="31" t="n">
        <v>107300</v>
      </c>
      <c r="J12" s="36" t="n">
        <v>-0.4944703222847884</v>
      </c>
      <c r="K12" s="29" t="inlineStr">
        <is>
          <t>밸류에이션 부담</t>
        </is>
      </c>
      <c r="L12" s="29" t="inlineStr">
        <is>
          <t>시가총액/매출 피어 비교</t>
        </is>
      </c>
      <c r="M12" s="29" t="inlineStr">
        <is>
          <t>피어 중앙값 기반</t>
        </is>
      </c>
    </row>
    <row r="13" ht="24" customHeight="1">
      <c r="A13" s="24" t="inlineStr">
        <is>
          <t>PBR_COMP</t>
        </is>
      </c>
      <c r="B13" s="24" t="inlineStr">
        <is>
          <t>P/B 상대가치</t>
        </is>
      </c>
      <c r="C13" s="30" t="n">
        <v>1390935614671.118</v>
      </c>
      <c r="D13" s="30" t="n">
        <v>1415549999692.046</v>
      </c>
      <c r="E13" s="30" t="n">
        <v>2093999689772.049</v>
      </c>
      <c r="F13" s="30" t="n">
        <v>48018.41226005539</v>
      </c>
      <c r="G13" s="30" t="n">
        <v>48868.15949134051</v>
      </c>
      <c r="H13" s="30" t="n">
        <v>72289.85965657163</v>
      </c>
      <c r="I13" s="30" t="n">
        <v>107300</v>
      </c>
      <c r="J13" s="35" t="n">
        <v>-0.5445651491953354</v>
      </c>
      <c r="K13" s="24" t="inlineStr">
        <is>
          <t>밸류에이션 부담</t>
        </is>
      </c>
      <c r="L13" s="24" t="inlineStr">
        <is>
          <t>시가총액/자본 피어 비교</t>
        </is>
      </c>
      <c r="M13" s="24" t="inlineStr">
        <is>
          <t>피어 중앙값 기반</t>
        </is>
      </c>
    </row>
    <row r="14" ht="24" customHeight="1">
      <c r="A14" s="29" t="inlineStr">
        <is>
          <t>PFCF_COMP</t>
        </is>
      </c>
      <c r="B14" s="29" t="inlineStr">
        <is>
          <t>P/FCF 상대가치</t>
        </is>
      </c>
      <c r="C14" s="31" t="n">
        <v>385820285251.1635</v>
      </c>
      <c r="D14" s="31" t="n">
        <v>937299897727.3444</v>
      </c>
      <c r="E14" s="31" t="n">
        <v>1082023998491.578</v>
      </c>
      <c r="F14" s="31" t="n">
        <v>13319.43572374704</v>
      </c>
      <c r="G14" s="31" t="n">
        <v>32357.82621830506</v>
      </c>
      <c r="H14" s="31" t="n">
        <v>37354.04707940219</v>
      </c>
      <c r="I14" s="31" t="n">
        <v>107300</v>
      </c>
      <c r="J14" s="36" t="n">
        <v>-0.6984359159524225</v>
      </c>
      <c r="K14" s="29" t="inlineStr">
        <is>
          <t>밸류에이션 부담</t>
        </is>
      </c>
      <c r="L14" s="29" t="inlineStr">
        <is>
          <t>시가총액/FCF 피어 비교</t>
        </is>
      </c>
      <c r="M14" s="29" t="inlineStr">
        <is>
          <t>피어 중앙값 기반</t>
        </is>
      </c>
    </row>
    <row r="15" ht="24" customHeight="1">
      <c r="A15" s="24" t="inlineStr">
        <is>
          <t>EV_SALES_COMP</t>
        </is>
      </c>
      <c r="B15" s="24" t="inlineStr">
        <is>
          <t>EV/Sales 상대가치</t>
        </is>
      </c>
      <c r="C15" s="30" t="n">
        <v>972831466497.7753</v>
      </c>
      <c r="D15" s="30" t="n">
        <v>1802540459470.814</v>
      </c>
      <c r="E15" s="30" t="n">
        <v>3903609769212.412</v>
      </c>
      <c r="F15" s="30" t="n">
        <v>33584.46065017162</v>
      </c>
      <c r="G15" s="30" t="n">
        <v>62227.99242850999</v>
      </c>
      <c r="H15" s="30" t="n">
        <v>134761.912214565</v>
      </c>
      <c r="I15" s="30" t="n">
        <v>107300</v>
      </c>
      <c r="J15" s="35" t="n">
        <v>-0.420055988550699</v>
      </c>
      <c r="K15" s="24" t="inlineStr">
        <is>
          <t>밸류에이션 부담</t>
        </is>
      </c>
      <c r="L15" s="24" t="inlineStr">
        <is>
          <t>EV/매출 피어 비교</t>
        </is>
      </c>
      <c r="M15" s="24" t="inlineStr">
        <is>
          <t>EV 조정 피어 기준</t>
        </is>
      </c>
    </row>
    <row r="16" ht="24" customHeight="1">
      <c r="A16" s="29" t="inlineStr">
        <is>
          <t>EV_EBIT_COMP</t>
        </is>
      </c>
      <c r="B16" s="29" t="inlineStr">
        <is>
          <t>EV/EBIT 상대가치</t>
        </is>
      </c>
      <c r="C16" s="31" t="n">
        <v>1782906010099.674</v>
      </c>
      <c r="D16" s="31" t="n">
        <v>1972801186384.094</v>
      </c>
      <c r="E16" s="31" t="n">
        <v>4091626894844.896</v>
      </c>
      <c r="F16" s="31" t="n">
        <v>61550.16444390877</v>
      </c>
      <c r="G16" s="31" t="n">
        <v>68105.79848249594</v>
      </c>
      <c r="H16" s="31" t="n">
        <v>141252.7114689259</v>
      </c>
      <c r="I16" s="31" t="n">
        <v>107300</v>
      </c>
      <c r="J16" s="36" t="n">
        <v>-0.3652768081780434</v>
      </c>
      <c r="K16" s="29" t="inlineStr">
        <is>
          <t>밸류에이션 부담</t>
        </is>
      </c>
      <c r="L16" s="29" t="inlineStr">
        <is>
          <t>EV/영업이익 피어 비교</t>
        </is>
      </c>
      <c r="M16" s="29" t="inlineStr">
        <is>
          <t>EV 조정 피어 기준</t>
        </is>
      </c>
    </row>
    <row r="17" ht="24" customHeight="1"/>
    <row r="18" ht="24" customHeight="1"/>
    <row r="19" ht="24" customHeight="1">
      <c r="A19" s="22" t="inlineStr">
        <is>
          <t>사용 가이드</t>
        </is>
      </c>
    </row>
    <row r="20" ht="24" customHeight="1">
      <c r="A20" s="25" t="inlineStr">
        <is>
          <t>항목</t>
        </is>
      </c>
      <c r="B20" s="25" t="inlineStr">
        <is>
          <t>내용</t>
        </is>
      </c>
    </row>
    <row r="21" ht="24" customHeight="1">
      <c r="A21" s="24" t="inlineStr">
        <is>
          <t>해석 방법</t>
        </is>
      </c>
      <c r="B21" s="24" t="inlineStr">
        <is>
          <t>한 방법만 우호적이면 확신도가 낮고, 여러 방법의 중앙값이 현재가보다 높으면 상대적으로 우호적입니다.</t>
        </is>
      </c>
    </row>
    <row r="22" ht="24" customHeight="1">
      <c r="A22" s="29" t="inlineStr">
        <is>
          <t>주의</t>
        </is>
      </c>
      <c r="B22" s="29" t="inlineStr">
        <is>
          <t>PER/PBR/EV/EBIT는 적자·음수 지표에서 자동 제외됩니다. 제외 사유는 빈칸이 아니라 해당 없음으로 표시됩니다.</t>
        </is>
      </c>
    </row>
  </sheetData>
  <autoFilter ref="A20:B22"/>
  <mergeCells count="22">
    <mergeCell ref="C6:D6"/>
    <mergeCell ref="I6:J6"/>
    <mergeCell ref="C5:D5"/>
    <mergeCell ref="E5:F5"/>
    <mergeCell ref="K5:L5"/>
    <mergeCell ref="A6:B6"/>
    <mergeCell ref="C4:D4"/>
    <mergeCell ref="A2:L2"/>
    <mergeCell ref="E4:F4"/>
    <mergeCell ref="G6:H6"/>
    <mergeCell ref="E6:F6"/>
    <mergeCell ref="A19:F19"/>
    <mergeCell ref="A9:F9"/>
    <mergeCell ref="A5:B5"/>
    <mergeCell ref="G5:H5"/>
    <mergeCell ref="K6:L6"/>
    <mergeCell ref="I5:J5"/>
    <mergeCell ref="A4:B4"/>
    <mergeCell ref="G4:H4"/>
    <mergeCell ref="I4:J4"/>
    <mergeCell ref="A1:L1"/>
    <mergeCell ref="K4:L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0" customWidth="1" min="1" max="1"/>
    <col width="4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피에스케이 역산 DCF·오너 이익</t>
        </is>
      </c>
    </row>
    <row r="2" ht="28" customHeight="1">
      <c r="A2" s="17" t="inlineStr">
        <is>
          <t>현재 주가가 요구하는 성장률과 현금창출 기준 보수 가치를 점검</t>
        </is>
      </c>
    </row>
    <row r="3" ht="24" customHeight="1"/>
    <row r="4" ht="24" customHeight="1">
      <c r="A4" s="18" t="inlineStr">
        <is>
          <t>시장 내재 EV</t>
        </is>
      </c>
      <c r="B4" s="19" t="n"/>
      <c r="C4" s="18" t="inlineStr">
        <is>
          <t>모델 EV</t>
        </is>
      </c>
      <c r="D4" s="19" t="n"/>
      <c r="E4" s="18" t="inlineStr">
        <is>
          <t>EV 괴리</t>
        </is>
      </c>
      <c r="F4" s="19" t="n"/>
      <c r="G4" s="18" t="inlineStr">
        <is>
          <t>요구 FCF 수익률</t>
        </is>
      </c>
      <c r="H4" s="19" t="n"/>
      <c r="I4" s="18" t="inlineStr">
        <is>
          <t>역산 성장률</t>
        </is>
      </c>
      <c r="J4" s="19" t="n"/>
    </row>
    <row r="5" ht="24" customHeight="1">
      <c r="A5" s="20" t="inlineStr">
        <is>
          <t>30,956.7억원</t>
        </is>
      </c>
      <c r="B5" s="19" t="n"/>
      <c r="C5" s="20" t="inlineStr">
        <is>
          <t>5,531.6억원</t>
        </is>
      </c>
      <c r="D5" s="19" t="n"/>
      <c r="E5" s="20" t="inlineStr">
        <is>
          <t>459.6%</t>
        </is>
      </c>
      <c r="F5" s="19" t="n"/>
      <c r="G5" s="20" t="inlineStr">
        <is>
          <t>2.0%</t>
        </is>
      </c>
      <c r="H5" s="19" t="n"/>
      <c r="I5" s="20" t="inlineStr">
        <is>
          <t>8.0%</t>
        </is>
      </c>
      <c r="J5" s="19" t="n"/>
    </row>
    <row r="6" ht="24" customHeight="1">
      <c r="A6" s="21" t="inlineStr">
        <is>
          <t>시가총액+부채-현금</t>
        </is>
      </c>
      <c r="B6" s="19" t="n"/>
      <c r="C6" s="21" t="inlineStr">
        <is>
          <t>DCF 산출 EV</t>
        </is>
      </c>
      <c r="D6" s="19" t="n"/>
      <c r="E6" s="21" t="inlineStr">
        <is>
          <t>시장/모델-1</t>
        </is>
      </c>
      <c r="F6" s="19" t="n"/>
      <c r="G6" s="21" t="inlineStr">
        <is>
          <t>FCF/시장내재 EV</t>
        </is>
      </c>
      <c r="H6" s="19" t="n"/>
      <c r="I6" s="21" t="inlineStr">
        <is>
          <t>시장가격 내재</t>
        </is>
      </c>
      <c r="J6" s="19" t="n"/>
    </row>
    <row r="7" ht="24" customHeight="1"/>
    <row r="8" ht="24" customHeight="1"/>
    <row r="9" ht="24" customHeight="1">
      <c r="A9" s="22" t="inlineStr">
        <is>
          <t>역산 DCF 핵심값</t>
        </is>
      </c>
    </row>
    <row r="10" ht="24" customHeight="1">
      <c r="A10" s="25" t="inlineStr">
        <is>
          <t>현재가</t>
        </is>
      </c>
      <c r="B10" s="25" t="inlineStr">
        <is>
          <t>시가총액</t>
        </is>
      </c>
      <c r="C10" s="25" t="inlineStr">
        <is>
          <t>시장 내재 EV</t>
        </is>
      </c>
      <c r="D10" s="25" t="inlineStr">
        <is>
          <t>모델 EV</t>
        </is>
      </c>
      <c r="E10" s="25" t="inlineStr">
        <is>
          <t>시장/모델 EV 괴리</t>
        </is>
      </c>
      <c r="F10" s="25" t="inlineStr">
        <is>
          <t>요구 FCF 수익률</t>
        </is>
      </c>
      <c r="G10" s="25" t="inlineStr">
        <is>
          <t>역산 영구성장률</t>
        </is>
      </c>
      <c r="H10" s="25" t="inlineStr">
        <is>
          <t>wacc_used</t>
        </is>
      </c>
      <c r="I10" s="25" t="inlineStr">
        <is>
          <t>해석</t>
        </is>
      </c>
    </row>
    <row r="11" ht="24" customHeight="1">
      <c r="A11" s="30" t="n">
        <v>107300</v>
      </c>
      <c r="B11" s="30" t="n">
        <v>3108128412200</v>
      </c>
      <c r="C11" s="30" t="n">
        <v>3095668700461</v>
      </c>
      <c r="D11" s="30" t="n">
        <v>553163685748.9493</v>
      </c>
      <c r="E11" s="35" t="n">
        <v>4.596297769022303</v>
      </c>
      <c r="F11" s="35" t="n">
        <v>0.0199404855150706</v>
      </c>
      <c r="G11" s="35" t="n">
        <v>0.08</v>
      </c>
      <c r="H11" s="30" t="n">
        <v>0.13963320508343</v>
      </c>
      <c r="I11" s="24" t="inlineStr">
        <is>
          <t>현재 주가가 요구하는 FCF yield와 영구성장률을 역산해 DCF 가정의 현실성을 점검합니다.</t>
        </is>
      </c>
    </row>
    <row r="12" ht="24" customHeight="1"/>
    <row r="13" ht="24" customHeight="1"/>
    <row r="14" ht="24" customHeight="1">
      <c r="A14" s="22" t="inlineStr">
        <is>
          <t>오너 이익 / EPV / Graham Number</t>
        </is>
      </c>
    </row>
    <row r="15" ht="24" customHeight="1">
      <c r="A15" s="25" t="inlineStr">
        <is>
          <t>오너 이익</t>
        </is>
      </c>
      <c r="B15" s="25" t="inlineStr">
        <is>
          <t>owner_earnings_method_kr</t>
        </is>
      </c>
      <c r="C15" s="25" t="inlineStr">
        <is>
          <t>오너 이익 수익률</t>
        </is>
      </c>
      <c r="D15" s="25" t="inlineStr">
        <is>
          <t>owner_earnings_value</t>
        </is>
      </c>
      <c r="E15" s="25" t="inlineStr">
        <is>
          <t>오너 이익 주당가치</t>
        </is>
      </c>
      <c r="F15" s="25" t="inlineStr">
        <is>
          <t>epv_equity_value</t>
        </is>
      </c>
      <c r="G15" s="25" t="inlineStr">
        <is>
          <t>EPV 주당가치</t>
        </is>
      </c>
      <c r="H15" s="25" t="inlineStr">
        <is>
          <t>eps</t>
        </is>
      </c>
      <c r="I15" s="25" t="inlineStr">
        <is>
          <t>bps</t>
        </is>
      </c>
      <c r="J15" s="25" t="inlineStr">
        <is>
          <t>Graham Number</t>
        </is>
      </c>
      <c r="K15" s="25" t="inlineStr">
        <is>
          <t>method_note_kr</t>
        </is>
      </c>
    </row>
    <row r="16" ht="24" customHeight="1">
      <c r="A16" s="30" t="n">
        <v>61729136881</v>
      </c>
      <c r="B16" s="24" t="inlineStr">
        <is>
          <t>FCF = CFO - CAPEX</t>
        </is>
      </c>
      <c r="C16" s="35" t="n">
        <v>0.0198605490811452</v>
      </c>
      <c r="D16" s="30" t="n">
        <v>442080641521.6008</v>
      </c>
      <c r="E16" s="30" t="n">
        <v>15261.67730042147</v>
      </c>
      <c r="F16" s="30" t="n">
        <v>494117948666.3501</v>
      </c>
      <c r="G16" s="30" t="n">
        <v>17058.12915701622</v>
      </c>
      <c r="H16" s="24" t="inlineStr">
        <is>
          <t>해당 없음</t>
        </is>
      </c>
      <c r="I16" s="30" t="n">
        <v>18608.81638780291</v>
      </c>
      <c r="J16" s="24" t="inlineStr">
        <is>
          <t>해당 없음</t>
        </is>
      </c>
      <c r="K16" s="24" t="inlineStr">
        <is>
          <t>오너 이익, EPV, Graham Number는 DCF를 보완하는 보수적 교차검증 지표입니다.</t>
        </is>
      </c>
    </row>
    <row r="17" ht="24" customHeight="1"/>
    <row r="18" ht="24" customHeight="1"/>
    <row r="19" ht="24" customHeight="1">
      <c r="A19" s="22" t="inlineStr">
        <is>
          <t>해석 가이드</t>
        </is>
      </c>
    </row>
    <row r="20" ht="24" customHeight="1">
      <c r="A20" s="25" t="inlineStr">
        <is>
          <t>항목</t>
        </is>
      </c>
      <c r="B20" s="25" t="inlineStr">
        <is>
          <t>내용</t>
        </is>
      </c>
    </row>
    <row r="21" ht="24" customHeight="1">
      <c r="A21" s="24" t="inlineStr">
        <is>
          <t>역산 DCF</t>
        </is>
      </c>
      <c r="B21" s="24" t="inlineStr">
        <is>
          <t>현재 주가를 정당화하려면 어떤 영구성장률·FCF 수익률이 필요한지 역산합니다.</t>
        </is>
      </c>
    </row>
    <row r="22" ht="24" customHeight="1">
      <c r="A22" s="29" t="inlineStr">
        <is>
          <t>오너 이익</t>
        </is>
      </c>
      <c r="B22" s="29" t="inlineStr">
        <is>
          <t>CFO-CAPEX 또는 FCF를 기반으로 보수적 현금창출 가치를 계산합니다.</t>
        </is>
      </c>
    </row>
    <row r="23" ht="24" customHeight="1">
      <c r="A23" s="24" t="inlineStr">
        <is>
          <t>EPV</t>
        </is>
      </c>
      <c r="B23" s="24" t="inlineStr">
        <is>
          <t>영업이익의 지속가능성을 가정해 현재 수익력 기준 기업가치를 확인합니다.</t>
        </is>
      </c>
    </row>
  </sheetData>
  <autoFilter ref="A20:B23"/>
  <mergeCells count="20">
    <mergeCell ref="C6:D6"/>
    <mergeCell ref="I6:J6"/>
    <mergeCell ref="C5:D5"/>
    <mergeCell ref="E5:F5"/>
    <mergeCell ref="A6:B6"/>
    <mergeCell ref="C4:D4"/>
    <mergeCell ref="E4:F4"/>
    <mergeCell ref="A14:F14"/>
    <mergeCell ref="G6:H6"/>
    <mergeCell ref="A1:J1"/>
    <mergeCell ref="E6:F6"/>
    <mergeCell ref="A19:F19"/>
    <mergeCell ref="A9:F9"/>
    <mergeCell ref="A5:B5"/>
    <mergeCell ref="G5:H5"/>
    <mergeCell ref="I5:J5"/>
    <mergeCell ref="A4:B4"/>
    <mergeCell ref="G4:H4"/>
    <mergeCell ref="I4:J4"/>
    <mergeCell ref="A2:J2"/>
  </mergeCells>
  <pageMargins left="0.75" right="0.75" top="1" bottom="1" header="0.5" footer="0.5"/>
  <pageSetup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30" customWidth="1" min="2" max="2"/>
    <col width="4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피에스케이 데이터 수집현황·보강경로</t>
        </is>
      </c>
    </row>
    <row r="2" ht="28" customHeight="1">
      <c r="A2" s="17" t="inlineStr">
        <is>
          <t>원천 제공 여부와 대체 산출 경로를 분리해 Chair·대시보드에서 그대로 확인</t>
        </is>
      </c>
    </row>
    <row r="3" ht="24" customHeight="1"/>
    <row r="4" ht="24" customHeight="1">
      <c r="A4" s="22" t="inlineStr">
        <is>
          <t>데이터 블록별 확보 상태</t>
        </is>
      </c>
    </row>
    <row r="5" ht="24" customHeight="1">
      <c r="A5" s="25" t="inlineStr">
        <is>
          <t>데이터블록</t>
        </is>
      </c>
      <c r="B5" s="25" t="inlineStr">
        <is>
          <t>상태</t>
        </is>
      </c>
      <c r="C5" s="25" t="inlineStr">
        <is>
          <t>수집경로</t>
        </is>
      </c>
      <c r="D5" s="25" t="inlineStr">
        <is>
          <t>가치평가 활용</t>
        </is>
      </c>
      <c r="E5" s="25" t="inlineStr">
        <is>
          <t>대시보드 표시</t>
        </is>
      </c>
    </row>
    <row r="6" ht="24" customHeight="1">
      <c r="A6" s="24" t="inlineStr">
        <is>
          <t>DART 재무제표</t>
        </is>
      </c>
      <c r="B6" s="24" t="inlineStr">
        <is>
          <t>확보</t>
        </is>
      </c>
      <c r="C6" s="24" t="inlineStr">
        <is>
          <t>OpenDART fnlttSinglAcntAll/fnlttSinglAcnt</t>
        </is>
      </c>
      <c r="D6" s="24" t="inlineStr">
        <is>
          <t>매출·자본·순이익·현금흐름 확보</t>
        </is>
      </c>
      <c r="E6" s="24" t="inlineStr">
        <is>
          <t>표시 가능</t>
        </is>
      </c>
    </row>
    <row r="7" ht="24" customHeight="1">
      <c r="A7" s="29" t="inlineStr">
        <is>
          <t>주가 이력</t>
        </is>
      </c>
      <c r="B7" s="29" t="inlineStr">
        <is>
          <t>확보</t>
        </is>
      </c>
      <c r="C7" s="29" t="inlineStr">
        <is>
          <t>yfinance → Yahoo chart → Naver 일별시세 fallback</t>
        </is>
      </c>
      <c r="D7" s="29" t="inlineStr">
        <is>
          <t>현재가·변동성·MDD·거래대금 확보</t>
        </is>
      </c>
      <c r="E7" s="29" t="inlineStr">
        <is>
          <t>표시 가능</t>
        </is>
      </c>
    </row>
    <row r="8" ht="24" customHeight="1">
      <c r="A8" s="24" t="inlineStr">
        <is>
          <t>발행주식 수</t>
        </is>
      </c>
      <c r="B8" s="24" t="inlineStr">
        <is>
          <t>확보</t>
        </is>
      </c>
      <c r="C8" s="24" t="inlineStr">
        <is>
          <t>OpenDART stockTotqySttus</t>
        </is>
      </c>
      <c r="D8" s="24" t="inlineStr">
        <is>
          <t>내재주가·시가총액 계산</t>
        </is>
      </c>
      <c r="E8" s="24" t="inlineStr">
        <is>
          <t>표시 가능</t>
        </is>
      </c>
    </row>
    <row r="9" ht="24" customHeight="1">
      <c r="A9" s="29" t="inlineStr">
        <is>
          <t>피어 멀티플</t>
        </is>
      </c>
      <c r="B9" s="29" t="inlineStr">
        <is>
          <t>확보</t>
        </is>
      </c>
      <c r="C9" s="29" t="inlineStr">
        <is>
          <t>Valuation 전용 live peer intake</t>
        </is>
      </c>
      <c r="D9" s="29" t="inlineStr">
        <is>
          <t>P/S·PER·PBR·EV/Sales 비교</t>
        </is>
      </c>
      <c r="E9" s="29" t="inlineStr">
        <is>
          <t>표시 가능</t>
        </is>
      </c>
    </row>
    <row r="10" ht="24" customHeight="1">
      <c r="A10" s="24" t="inlineStr">
        <is>
          <t>208개 Universe</t>
        </is>
      </c>
      <c r="B10" s="24" t="inlineStr">
        <is>
          <t>확보</t>
        </is>
      </c>
      <c r="C10" s="24" t="inlineStr">
        <is>
          <t>Tech universe 축 복제 + valuation proxy</t>
        </is>
      </c>
      <c r="D10" s="24" t="inlineStr">
        <is>
          <t>대규모 상대 위치 비교</t>
        </is>
      </c>
      <c r="E10" s="24" t="inlineStr">
        <is>
          <t>표시 가능</t>
        </is>
      </c>
    </row>
    <row r="11" ht="24" customHeight="1">
      <c r="A11" s="29" t="inlineStr">
        <is>
          <t>보조 투자지표</t>
        </is>
      </c>
      <c r="B11" s="29" t="inlineStr">
        <is>
          <t>확보</t>
        </is>
      </c>
      <c r="C11" s="29" t="inlineStr">
        <is>
          <t>Naver finance live + DART/주가 자동 산출 fallback</t>
        </is>
      </c>
      <c r="D11" s="29" t="inlineStr">
        <is>
          <t>외부 표시 PER/PBR/EPS/BPS 또는 자체 산출값</t>
        </is>
      </c>
      <c r="E11" s="29" t="inlineStr">
        <is>
          <t>표시 가능</t>
        </is>
      </c>
    </row>
    <row r="12" ht="24" customHeight="1"/>
    <row r="13" ht="24" customHeight="1"/>
    <row r="14" ht="24" customHeight="1">
      <c r="A14" s="22" t="inlineStr">
        <is>
          <t>자동 생성/참조 파일 경로</t>
        </is>
      </c>
    </row>
    <row r="15" ht="24" customHeight="1">
      <c r="A15" s="25" t="inlineStr">
        <is>
          <t>파일구분</t>
        </is>
      </c>
      <c r="B15" s="25" t="inlineStr">
        <is>
          <t>경로</t>
        </is>
      </c>
      <c r="C15" s="25" t="inlineStr">
        <is>
          <t>활용</t>
        </is>
      </c>
    </row>
    <row r="16" ht="24" customHeight="1">
      <c r="A16" s="24" t="inlineStr">
        <is>
          <t>template_catalog_csv</t>
        </is>
      </c>
      <c r="B16" s="24" t="inlineStr">
        <is>
          <t>data/반도체/피에스케이/valuation/intake/valuation_modeling_template_catalog.csv</t>
        </is>
      </c>
      <c r="C16" s="24" t="inlineStr">
        <is>
          <t>Valuation Agent intake/output</t>
        </is>
      </c>
    </row>
    <row r="17" ht="24" customHeight="1">
      <c r="A17" s="29" t="inlineStr">
        <is>
          <t>template_catalog_json</t>
        </is>
      </c>
      <c r="B17" s="29" t="inlineStr">
        <is>
          <t>data/반도체/피에스케이/valuation/intake/valuation_modeling_template_catalog.json</t>
        </is>
      </c>
      <c r="C17" s="29" t="inlineStr">
        <is>
          <t>Valuation Agent intake/output</t>
        </is>
      </c>
    </row>
    <row r="18" ht="24" customHeight="1">
      <c r="A18" s="24" t="inlineStr">
        <is>
          <t>raw_dart_accounts_csv</t>
        </is>
      </c>
      <c r="B18" s="24" t="inlineStr">
        <is>
          <t>data/반도체/피에스케이/valuation/intake/valuation_raw_dart_accounts.csv</t>
        </is>
      </c>
      <c r="C18" s="24" t="inlineStr">
        <is>
          <t>Valuation Agent intake/output</t>
        </is>
      </c>
    </row>
    <row r="19" ht="24" customHeight="1">
      <c r="A19" s="29" t="inlineStr">
        <is>
          <t>normalized_financials_csv</t>
        </is>
      </c>
      <c r="B19" s="29" t="inlineStr">
        <is>
          <t>data/반도체/피에스케이/valuation/intake/valuation_normalized_financials.csv</t>
        </is>
      </c>
      <c r="C19" s="29" t="inlineStr">
        <is>
          <t>Valuation Agent intake/output</t>
        </is>
      </c>
    </row>
    <row r="20" ht="24" customHeight="1">
      <c r="A20" s="24" t="inlineStr">
        <is>
          <t>price_history_csv</t>
        </is>
      </c>
      <c r="B20" s="24" t="inlineStr">
        <is>
          <t>data/반도체/피에스케이/valuation/intake/valuation_price_history.csv</t>
        </is>
      </c>
      <c r="C20" s="24" t="inlineStr">
        <is>
          <t>Valuation Agent intake/output</t>
        </is>
      </c>
    </row>
    <row r="21" ht="24" customHeight="1">
      <c r="A21" s="29" t="inlineStr">
        <is>
          <t>share_count_csv</t>
        </is>
      </c>
      <c r="B21" s="29" t="inlineStr">
        <is>
          <t>data/반도체/피에스케이/valuation/intake/valuation_share_count.csv</t>
        </is>
      </c>
      <c r="C21" s="29" t="inlineStr">
        <is>
          <t>Valuation Agent intake/output</t>
        </is>
      </c>
    </row>
    <row r="22" ht="24" customHeight="1">
      <c r="A22" s="24" t="inlineStr">
        <is>
          <t>price_summary_json</t>
        </is>
      </c>
      <c r="B22" s="24" t="inlineStr">
        <is>
          <t>data/반도체/피에스케이/valuation/intake/valuation_price_summary.json</t>
        </is>
      </c>
      <c r="C22" s="24" t="inlineStr">
        <is>
          <t>Valuation Agent intake/output</t>
        </is>
      </c>
    </row>
    <row r="23" ht="24" customHeight="1">
      <c r="A23" s="29" t="inlineStr">
        <is>
          <t>market_snapshot_json</t>
        </is>
      </c>
      <c r="B23" s="29" t="inlineStr">
        <is>
          <t>data/반도체/피에스케이/valuation/intake/valuation_market_snapshot.json</t>
        </is>
      </c>
      <c r="C23" s="29" t="inlineStr">
        <is>
          <t>Valuation Agent intake/output</t>
        </is>
      </c>
    </row>
    <row r="24" ht="24" customHeight="1">
      <c r="A24" s="24" t="inlineStr">
        <is>
          <t>market_snapshot_csv</t>
        </is>
      </c>
      <c r="B24" s="24" t="inlineStr">
        <is>
          <t>data/반도체/피에스케이/valuation/intake/valuation_market_snapshot.csv</t>
        </is>
      </c>
      <c r="C24" s="24" t="inlineStr">
        <is>
          <t>Valuation Agent intake/output</t>
        </is>
      </c>
    </row>
    <row r="25" ht="24" customHeight="1">
      <c r="A25" s="29" t="inlineStr">
        <is>
          <t>peer_input_csv</t>
        </is>
      </c>
      <c r="B25" s="29" t="inlineStr">
        <is>
          <t>data/반도체/피에스케이/valuation/intake/valuation_peer_input.csv</t>
        </is>
      </c>
      <c r="C25" s="29" t="inlineStr">
        <is>
          <t>Valuation Agent intake/output</t>
        </is>
      </c>
    </row>
    <row r="26" ht="24" customHeight="1">
      <c r="A26" s="24" t="inlineStr">
        <is>
          <t>assumptions_json</t>
        </is>
      </c>
      <c r="B26" s="24" t="inlineStr">
        <is>
          <t>data/반도체/피에스케이/valuation/intake/valuation_assumptions.json</t>
        </is>
      </c>
      <c r="C26" s="24" t="inlineStr">
        <is>
          <t>Valuation Agent intake/output</t>
        </is>
      </c>
    </row>
    <row r="27" ht="24" customHeight="1">
      <c r="A27" s="29" t="inlineStr">
        <is>
          <t>reference_universe_208_csv</t>
        </is>
      </c>
      <c r="B27" s="29" t="inlineStr">
        <is>
          <t>data/반도체/피에스케이/valuation/intake/valuation_reference_universe_208.csv</t>
        </is>
      </c>
      <c r="C27" s="29" t="inlineStr">
        <is>
          <t>Valuation Agent intake/output</t>
        </is>
      </c>
    </row>
    <row r="28" ht="24" customHeight="1">
      <c r="A28" s="24" t="inlineStr">
        <is>
          <t>reference_universe_focus_csv</t>
        </is>
      </c>
      <c r="B28" s="24" t="inlineStr">
        <is>
          <t>data/반도체/피에스케이/valuation/intake/valuation_reference_universe_focus.csv</t>
        </is>
      </c>
      <c r="C28" s="24" t="inlineStr">
        <is>
          <t>Valuation Agent intake/output</t>
        </is>
      </c>
    </row>
    <row r="29" ht="24" customHeight="1">
      <c r="A29" s="29" t="inlineStr">
        <is>
          <t>reference_universe_summary_json</t>
        </is>
      </c>
      <c r="B29" s="29" t="inlineStr">
        <is>
          <t>data/반도체/피에스케이/valuation/intake/valuation_reference_universe_summary.json</t>
        </is>
      </c>
      <c r="C29" s="29" t="inlineStr">
        <is>
          <t>Valuation Agent intake/output</t>
        </is>
      </c>
    </row>
  </sheetData>
  <autoFilter ref="A15:C29"/>
  <mergeCells count="4">
    <mergeCell ref="A14:F14"/>
    <mergeCell ref="A1:J1"/>
    <mergeCell ref="A4:F4"/>
    <mergeCell ref="A2:J2"/>
  </mergeCells>
  <pageMargins left="0.75" right="0.75" top="1" bottom="1" header="0.5" footer="0.5"/>
  <pageSetup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피에스케이 투자판단 요약</t>
        </is>
      </c>
      <c r="B1" t="inlineStr"/>
      <c r="C1" t="inlineStr"/>
      <c r="D1" t="inlineStr"/>
      <c r="E1" t="inlineStr"/>
      <c r="F1" t="inlineStr"/>
    </row>
    <row r="2">
      <c r="A2" t="inlineStr">
        <is>
          <t>목적</t>
        </is>
      </c>
      <c r="B2" t="inlineStr">
        <is>
          <t>DCF·상대가치·주가역산·오너이익·208개 기준 비교군을 한 장에서 확인하는 투자자용 요약입니다.</t>
        </is>
      </c>
      <c r="C2" t="inlineStr"/>
      <c r="D2" t="inlineStr"/>
      <c r="E2" t="inlineStr"/>
      <c r="F2" t="inlineStr"/>
    </row>
    <row r="3">
      <c r="A3" t="inlineStr">
        <is>
          <t>최종 가치평가 관점</t>
        </is>
      </c>
      <c r="B3" t="inlineStr">
        <is>
          <t>가치평가 관점 보수</t>
        </is>
      </c>
      <c r="C3" t="inlineStr">
        <is>
          <t>근거</t>
        </is>
      </c>
      <c r="D3" t="inlineStr">
        <is>
          <t>DCF 기준 현재가 부담이 큽니다. 종합 가치평가 점수가 45점 미만으로 보수적 해석이 필요합니다.</t>
        </is>
      </c>
      <c r="E3" t="inlineStr">
        <is>
          <t>검증 상태</t>
        </is>
      </c>
      <c r="F3" t="inlineStr">
        <is>
          <t>통과</t>
        </is>
      </c>
    </row>
    <row r="4">
      <c r="A4" t="inlineStr">
        <is>
          <t>핵심 지표</t>
        </is>
      </c>
      <c r="B4" t="inlineStr">
        <is>
          <t>값</t>
        </is>
      </c>
      <c r="C4" t="inlineStr">
        <is>
          <t>해석</t>
        </is>
      </c>
      <c r="D4" t="inlineStr">
        <is>
          <t>원천/산식</t>
        </is>
      </c>
      <c r="E4" t="inlineStr">
        <is>
          <t>대시보드 활용</t>
        </is>
      </c>
      <c r="F4" t="inlineStr">
        <is>
          <t>주의사항</t>
        </is>
      </c>
    </row>
    <row r="5">
      <c r="A5" t="inlineStr">
        <is>
          <t>현재가</t>
        </is>
      </c>
      <c r="B5" t="inlineStr">
        <is>
          <t>107,300원</t>
        </is>
      </c>
      <c r="C5" t="inlineStr">
        <is>
          <t>시장 기준점</t>
        </is>
      </c>
      <c r="D5" t="inlineStr">
        <is>
          <t>가치평가 전용 주가 수집</t>
        </is>
      </c>
      <c r="E5" t="inlineStr">
        <is>
          <t>주가 카드</t>
        </is>
      </c>
      <c r="F5" t="inlineStr">
        <is>
          <t>수집일 기준 변동 가능</t>
        </is>
      </c>
    </row>
    <row r="6">
      <c r="A6" t="inlineStr">
        <is>
          <t>DCF 내재주가</t>
        </is>
      </c>
      <c r="B6" t="inlineStr">
        <is>
          <t>19,527원</t>
        </is>
      </c>
      <c r="C6" t="inlineStr">
        <is>
          <t>절대가치 기준</t>
        </is>
      </c>
      <c r="D6" t="inlineStr">
        <is>
          <t>FCF 추정 + WACC + 영구성장률</t>
        </is>
      </c>
      <c r="E6" t="inlineStr">
        <is>
          <t>DCF 카드</t>
        </is>
      </c>
      <c r="F6" t="inlineStr">
        <is>
          <t>가정 민감도 확인 필요</t>
        </is>
      </c>
    </row>
    <row r="7">
      <c r="A7" t="inlineStr">
        <is>
          <t>현재가 대비 괴리율</t>
        </is>
      </c>
      <c r="B7" t="inlineStr">
        <is>
          <t>-81.8%</t>
        </is>
      </c>
      <c r="C7" t="inlineStr">
        <is>
          <t>안전마진 확인</t>
        </is>
      </c>
      <c r="D7" t="inlineStr">
        <is>
          <t>내재주가/현재가 - 1</t>
        </is>
      </c>
      <c r="E7" t="inlineStr">
        <is>
          <t>안전마진 배지</t>
        </is>
      </c>
      <c r="F7" t="inlineStr">
        <is>
          <t>절대 투자판단 단독 사용 금지</t>
        </is>
      </c>
    </row>
    <row r="8">
      <c r="A8" t="inlineStr">
        <is>
          <t>WACC</t>
        </is>
      </c>
      <c r="B8" t="inlineStr">
        <is>
          <t>14.0%</t>
        </is>
      </c>
      <c r="C8" t="inlineStr">
        <is>
          <t>할인율</t>
        </is>
      </c>
      <c r="D8" t="inlineStr">
        <is>
          <t>무위험이자율·시장위험프리미엄·베타·타인자본비용</t>
        </is>
      </c>
      <c r="E8" t="inlineStr">
        <is>
          <t>가정 슬라이더</t>
        </is>
      </c>
      <c r="F8" t="inlineStr">
        <is>
          <t>금리 변화 민감</t>
        </is>
      </c>
    </row>
    <row r="9">
      <c r="A9" t="inlineStr">
        <is>
          <t>P/S</t>
        </is>
      </c>
      <c r="B9" t="inlineStr">
        <is>
          <t>1.24배</t>
        </is>
      </c>
      <c r="C9" t="inlineStr">
        <is>
          <t>매출 대비 시장가치</t>
        </is>
      </c>
      <c r="D9" t="inlineStr">
        <is>
          <t>시가총액/매출액</t>
        </is>
      </c>
      <c r="E9" t="inlineStr">
        <is>
          <t>상대가치 카드</t>
        </is>
      </c>
      <c r="F9" t="inlineStr">
        <is>
          <t>적자기업에도 활용 가능</t>
        </is>
      </c>
    </row>
    <row r="10">
      <c r="A10" t="inlineStr">
        <is>
          <t>비교기업 P/S 중앙값</t>
        </is>
      </c>
      <c r="B10" t="inlineStr">
        <is>
          <t>3.44배</t>
        </is>
      </c>
      <c r="C10" t="inlineStr">
        <is>
          <t>5개 비교기업 기준</t>
        </is>
      </c>
      <c r="D10" t="inlineStr">
        <is>
          <t>피어 입력 자동 생성</t>
        </is>
      </c>
      <c r="E10" t="inlineStr">
        <is>
          <t>비교기업 차트</t>
        </is>
      </c>
      <c r="F10" t="inlineStr">
        <is>
          <t>비교기업 품질 확인 필요</t>
        </is>
      </c>
    </row>
    <row r="11">
      <c r="A11" t="inlineStr">
        <is>
          <t>가치범위 중앙값</t>
        </is>
      </c>
      <c r="B11" t="inlineStr">
        <is>
          <t>51,556원</t>
        </is>
      </c>
      <c r="C11" t="inlineStr">
        <is>
          <t>여러 방식의 교차검증</t>
        </is>
      </c>
      <c r="D11" t="inlineStr">
        <is>
          <t>DCF·P/S·P/B·PER·P/FCF 등</t>
        </is>
      </c>
      <c r="E11" t="inlineStr">
        <is>
          <t>가치범위표</t>
        </is>
      </c>
      <c r="F11" t="inlineStr">
        <is>
          <t>일부 방식은 손실기업에서 제외</t>
        </is>
      </c>
    </row>
    <row r="12">
      <c r="A12" t="inlineStr">
        <is>
          <t>주가역산 영구성장률</t>
        </is>
      </c>
      <c r="B12" t="inlineStr">
        <is>
          <t>8.0%</t>
        </is>
      </c>
      <c r="C12" t="inlineStr">
        <is>
          <t>현재 주가가 요구하는 장기 성장률</t>
        </is>
      </c>
      <c r="D12" t="inlineStr">
        <is>
          <t>현재가 기준 역산</t>
        </is>
      </c>
      <c r="E12" t="inlineStr">
        <is>
          <t>역산 DCF</t>
        </is>
      </c>
      <c r="F12" t="inlineStr">
        <is>
          <t>음수/과도한 값은 보수 해석</t>
        </is>
      </c>
    </row>
    <row r="13">
      <c r="A13" t="inlineStr">
        <is>
          <t>오너이익 주당가치</t>
        </is>
      </c>
      <c r="B13" t="inlineStr">
        <is>
          <t>15,262원</t>
        </is>
      </c>
      <c r="C13" t="inlineStr">
        <is>
          <t>현금창출력 기반 교차검증</t>
        </is>
      </c>
      <c r="D13" t="inlineStr">
        <is>
          <t>CFO - CAPEX 또는 FCF</t>
        </is>
      </c>
      <c r="E13" t="inlineStr">
        <is>
          <t>오너이익 카드</t>
        </is>
      </c>
      <c r="F13" t="inlineStr">
        <is>
          <t>CAPEX 변동성 반영 필요</t>
        </is>
      </c>
    </row>
    <row r="14">
      <c r="A14" t="inlineStr">
        <is>
          <t>시장내재 P/S</t>
        </is>
      </c>
      <c r="B14" t="inlineStr">
        <is>
          <t>6.80배</t>
        </is>
      </c>
      <c r="C14" t="inlineStr">
        <is>
          <t>현재 시장이 부여한 매출 배수</t>
        </is>
      </c>
      <c r="D14" t="inlineStr">
        <is>
          <t>시가총액/매출</t>
        </is>
      </c>
      <c r="E14" t="inlineStr">
        <is>
          <t>시장내재 배수</t>
        </is>
      </c>
      <c r="F14" t="inlineStr">
        <is>
          <t>순환 업종에서는 변동 가능</t>
        </is>
      </c>
    </row>
    <row r="15">
      <c r="A15" t="inlineStr">
        <is>
          <t>208개 비교군</t>
        </is>
      </c>
      <c r="B15" t="inlineStr">
        <is>
          <t>208개 기준</t>
        </is>
      </c>
      <c r="C15" t="inlineStr">
        <is>
          <t>섹터 내부 상대 위치</t>
        </is>
      </c>
      <c r="D15" t="inlineStr">
        <is>
          <t>Tech 기준 비교군 파일 활용</t>
        </is>
      </c>
      <c r="E15" t="inlineStr">
        <is>
          <t>분포/랭킹</t>
        </is>
      </c>
      <c r="F15" t="inlineStr">
        <is>
          <t>데이터 원천 업데이트 필요</t>
        </is>
      </c>
    </row>
    <row r="16">
      <c r="A16" t="inlineStr">
        <is>
          <t>검증 결과</t>
        </is>
      </c>
      <c r="B16" t="inlineStr">
        <is>
          <t>통과</t>
        </is>
      </c>
      <c r="C16" t="inlineStr">
        <is>
          <t>모델 완성도</t>
        </is>
      </c>
      <c r="D16" t="inlineStr">
        <is>
          <t>검증 JSON</t>
        </is>
      </c>
      <c r="E16" t="inlineStr">
        <is>
          <t>검증 배지</t>
        </is>
      </c>
      <c r="F16" t="inlineStr">
        <is>
          <t>경고 발생 시 점검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피에스케이 데이터 보강 내역</t>
        </is>
      </c>
      <c r="B1" t="inlineStr"/>
      <c r="C1" t="inlineStr"/>
      <c r="D1" t="inlineStr"/>
      <c r="E1" t="inlineStr"/>
      <c r="F1" t="inlineStr"/>
    </row>
    <row r="2">
      <c r="A2" t="inlineStr">
        <is>
          <t>원칙</t>
        </is>
      </c>
      <c r="B2" t="inlineStr">
        <is>
          <t>공란을 반복 문구로 채우지 않고, DART·주가·발행주식 수·네이버금융·208개 기준 비교군 중 확인 가능한 원천 또는 명시적 대체 산식만 표시합니다.</t>
        </is>
      </c>
      <c r="C2" t="inlineStr"/>
      <c r="D2" t="inlineStr"/>
      <c r="E2" t="inlineStr"/>
      <c r="F2" t="inlineStr"/>
    </row>
    <row r="3">
      <c r="A3" t="inlineStr">
        <is>
          <t>항목</t>
        </is>
      </c>
      <c r="B3" t="inlineStr">
        <is>
          <t>보강 방식</t>
        </is>
      </c>
      <c r="C3" t="inlineStr">
        <is>
          <t>현재 값</t>
        </is>
      </c>
      <c r="D3" t="inlineStr">
        <is>
          <t>사용 원천</t>
        </is>
      </c>
      <c r="E3" t="inlineStr">
        <is>
          <t>계산/확인 방식</t>
        </is>
      </c>
      <c r="F3" t="inlineStr">
        <is>
          <t>비고</t>
        </is>
      </c>
    </row>
    <row r="4">
      <c r="A4" t="inlineStr">
        <is>
          <t>PER</t>
        </is>
      </c>
      <c r="B4" t="inlineStr">
        <is>
          <t>네이버금융 값 우선, 없으면 DART 순이익과 시가총액으로 자동 산출</t>
        </is>
      </c>
      <c r="C4" t="inlineStr">
        <is>
          <t>39.34배</t>
        </is>
      </c>
      <c r="D4" t="inlineStr">
        <is>
          <t>네이버금융 / DART / 주가</t>
        </is>
      </c>
      <c r="E4" t="inlineStr">
        <is>
          <t>시가총액 ÷ 순이익</t>
        </is>
      </c>
      <c r="F4" t="inlineStr">
        <is>
          <t>순손실이면 계산 제외</t>
        </is>
      </c>
    </row>
    <row r="5">
      <c r="A5" t="inlineStr">
        <is>
          <t>PBR</t>
        </is>
      </c>
      <c r="B5" t="inlineStr">
        <is>
          <t>네이버금융 값 우선, 없으면 DART 자본총계와 시가총액으로 자동 산출</t>
        </is>
      </c>
      <c r="C5" t="inlineStr">
        <is>
          <t>5.73배</t>
        </is>
      </c>
      <c r="D5" t="inlineStr">
        <is>
          <t>네이버금융 / DART / 주가</t>
        </is>
      </c>
      <c r="E5" t="inlineStr">
        <is>
          <t>시가총액 ÷ 자본총계</t>
        </is>
      </c>
      <c r="F5" t="inlineStr">
        <is>
          <t>자본잠식이면 보수 해석</t>
        </is>
      </c>
    </row>
    <row r="6">
      <c r="A6" t="inlineStr">
        <is>
          <t>PSR</t>
        </is>
      </c>
      <c r="B6" t="inlineStr">
        <is>
          <t>주가와 매출액으로 자동 산출</t>
        </is>
      </c>
      <c r="C6" t="inlineStr">
        <is>
          <t>1.24배</t>
        </is>
      </c>
      <c r="D6" t="inlineStr">
        <is>
          <t>DART 매출액 / 주가 / 발행주식 수</t>
        </is>
      </c>
      <c r="E6" t="inlineStr">
        <is>
          <t>시가총액 ÷ 매출액</t>
        </is>
      </c>
      <c r="F6" t="inlineStr">
        <is>
          <t>적자기업 비교에 유용</t>
        </is>
      </c>
    </row>
    <row r="7">
      <c r="A7" t="inlineStr">
        <is>
          <t>P/FCF</t>
        </is>
      </c>
      <c r="B7" t="inlineStr">
        <is>
          <t>FCF가 양수이면 자동 산출</t>
        </is>
      </c>
      <c r="C7" t="inlineStr">
        <is>
          <t>50.35배</t>
        </is>
      </c>
      <c r="D7" t="inlineStr">
        <is>
          <t>DART 영업현금흐름·CAPEX / 주가</t>
        </is>
      </c>
      <c r="E7" t="inlineStr">
        <is>
          <t>시가총액 ÷ FCF</t>
        </is>
      </c>
      <c r="F7" t="inlineStr">
        <is>
          <t>FCF 음수이면 계산 제외</t>
        </is>
      </c>
    </row>
    <row r="8">
      <c r="A8" t="inlineStr">
        <is>
          <t>EV/Sales</t>
        </is>
      </c>
      <c r="B8" t="inlineStr">
        <is>
          <t>기업가치와 매출액으로 자동 산출</t>
        </is>
      </c>
      <c r="C8" t="inlineStr">
        <is>
          <t>6.77배</t>
        </is>
      </c>
      <c r="D8" t="inlineStr">
        <is>
          <t>DART 현금·부채 / 주가</t>
        </is>
      </c>
      <c r="E8" t="inlineStr">
        <is>
          <t>EV ÷ 매출액</t>
        </is>
      </c>
      <c r="F8" t="inlineStr">
        <is>
          <t>현금/부채 원천계정 확인</t>
        </is>
      </c>
    </row>
    <row r="9">
      <c r="A9" t="inlineStr">
        <is>
          <t>EV/EBIT</t>
        </is>
      </c>
      <c r="B9" t="inlineStr">
        <is>
          <t>영업이익이 양수이면 자동 산출</t>
        </is>
      </c>
      <c r="C9" t="inlineStr">
        <is>
          <t>34.98배</t>
        </is>
      </c>
      <c r="D9" t="inlineStr">
        <is>
          <t>DART 영업이익 / 주가</t>
        </is>
      </c>
      <c r="E9" t="inlineStr">
        <is>
          <t>EV ÷ 영업이익</t>
        </is>
      </c>
      <c r="F9" t="inlineStr">
        <is>
          <t>적자이면 계산 제외</t>
        </is>
      </c>
    </row>
    <row r="10">
      <c r="A10" t="inlineStr">
        <is>
          <t>발행주식 수</t>
        </is>
      </c>
      <c r="B10" t="inlineStr">
        <is>
          <t>DART 주식총수 현황에서 보강</t>
        </is>
      </c>
      <c r="C10" t="inlineStr">
        <is>
          <t>28,966,714주</t>
        </is>
      </c>
      <c r="D10" t="inlineStr">
        <is>
          <t>OpenDART stockTotqySttus</t>
        </is>
      </c>
      <c r="E10" t="inlineStr">
        <is>
          <t>최신 보고서 기준</t>
        </is>
      </c>
      <c r="F10" t="inlineStr">
        <is>
          <t>자기주식/증자 반영 필요</t>
        </is>
      </c>
    </row>
    <row r="11">
      <c r="A11" t="inlineStr">
        <is>
          <t>시가총액</t>
        </is>
      </c>
      <c r="B11" t="inlineStr">
        <is>
          <t>현재가와 발행주식 수로 자동 산출</t>
        </is>
      </c>
      <c r="C11" t="inlineStr">
        <is>
          <t>31,081.3억원</t>
        </is>
      </c>
      <c r="D11" t="inlineStr">
        <is>
          <t>주가 provider / DART 발행주식 수</t>
        </is>
      </c>
      <c r="E11" t="inlineStr">
        <is>
          <t>현재가 × 발행주식 수</t>
        </is>
      </c>
      <c r="F11" t="inlineStr">
        <is>
          <t>주가 기준일 확인</t>
        </is>
      </c>
    </row>
    <row r="12">
      <c r="A12" t="inlineStr">
        <is>
          <t>유동성</t>
        </is>
      </c>
      <c r="B12" t="inlineStr">
        <is>
          <t>거래대금·거래회전율로 보강</t>
        </is>
      </c>
      <c r="C12" t="inlineStr">
        <is>
          <t>340.0억원</t>
        </is>
      </c>
      <c r="D12" t="inlineStr">
        <is>
          <t>주가 데이터</t>
        </is>
      </c>
      <c r="E12" t="inlineStr">
        <is>
          <t>20일 평균 거래대금</t>
        </is>
      </c>
      <c r="F12" t="inlineStr">
        <is>
          <t>대시보드 필터 활용</t>
        </is>
      </c>
    </row>
    <row r="13">
      <c r="A13" t="inlineStr">
        <is>
          <t>208개 기준 비교군</t>
        </is>
      </c>
      <c r="B13" t="inlineStr">
        <is>
          <t>Tech 기준 비교군 파일을 Valuation 비교군으로 재활용</t>
        </is>
      </c>
      <c r="C13" t="inlineStr">
        <is>
          <t>208</t>
        </is>
      </c>
      <c r="D13" t="inlineStr">
        <is>
          <t>valuation_기준_비교군_208.csv</t>
        </is>
      </c>
      <c r="E13" t="inlineStr">
        <is>
          <t>동일 섹터 상대 위치</t>
        </is>
      </c>
      <c r="F13" t="inlineStr">
        <is>
          <t>상대가치 확장용</t>
        </is>
      </c>
    </row>
    <row r="14">
      <c r="A14" t="inlineStr">
        <is>
          <t>후속 보강 계획</t>
        </is>
      </c>
      <c r="B14" t="inlineStr">
        <is>
          <t>항목</t>
        </is>
      </c>
      <c r="C14" t="inlineStr">
        <is>
          <t>현재 처리</t>
        </is>
      </c>
      <c r="D14" t="inlineStr">
        <is>
          <t>권장 원천</t>
        </is>
      </c>
      <c r="E14" t="inlineStr">
        <is>
          <t>목적</t>
        </is>
      </c>
      <c r="F14" t="inlineStr">
        <is>
          <t>비고</t>
        </is>
      </c>
    </row>
    <row r="15">
      <c r="A15" t="inlineStr">
        <is>
          <t>후속 보강 계획</t>
        </is>
      </c>
      <c r="B15" t="inlineStr">
        <is>
          <t>항목</t>
        </is>
      </c>
      <c r="C15" t="inlineStr">
        <is>
          <t>보조 산출</t>
        </is>
      </c>
      <c r="D15" t="inlineStr">
        <is>
          <t>DART/주가/공시</t>
        </is>
      </c>
      <c r="E15" t="inlineStr">
        <is>
          <t>가치평가 정확도 개선</t>
        </is>
      </c>
      <c r="F15" t="inlineStr">
        <is>
          <t>대체 산식 유지</t>
        </is>
      </c>
    </row>
    <row r="16">
      <c r="A16" t="inlineStr">
        <is>
          <t>후속 보강 계획</t>
        </is>
      </c>
      <c r="B16" t="inlineStr">
        <is>
          <t>항목</t>
        </is>
      </c>
      <c r="C16" t="inlineStr">
        <is>
          <t>보조 산출</t>
        </is>
      </c>
      <c r="D16" t="inlineStr">
        <is>
          <t>DART/주가/공시</t>
        </is>
      </c>
      <c r="E16" t="inlineStr">
        <is>
          <t>가치평가 정확도 개선</t>
        </is>
      </c>
      <c r="F16" t="inlineStr">
        <is>
          <t>대체 산식 유지</t>
        </is>
      </c>
    </row>
    <row r="17">
      <c r="A17" t="inlineStr">
        <is>
          <t>후속 보강 계획</t>
        </is>
      </c>
      <c r="B17" t="inlineStr">
        <is>
          <t>항목</t>
        </is>
      </c>
      <c r="C17" t="inlineStr">
        <is>
          <t>보조 산출</t>
        </is>
      </c>
      <c r="D17" t="inlineStr">
        <is>
          <t>DART/주가/공시</t>
        </is>
      </c>
      <c r="E17" t="inlineStr">
        <is>
          <t>가치평가 정확도 개선</t>
        </is>
      </c>
      <c r="F17" t="inlineStr">
        <is>
          <t>대체 산식 유지</t>
        </is>
      </c>
    </row>
    <row r="18">
      <c r="A18" t="inlineStr">
        <is>
          <t>후속 보강 계획</t>
        </is>
      </c>
      <c r="B18" t="inlineStr">
        <is>
          <t>항목</t>
        </is>
      </c>
      <c r="C18" t="inlineStr">
        <is>
          <t>보조 산출</t>
        </is>
      </c>
      <c r="D18" t="inlineStr">
        <is>
          <t>DART/주가/공시</t>
        </is>
      </c>
      <c r="E18" t="inlineStr">
        <is>
          <t>가치평가 정확도 개선</t>
        </is>
      </c>
      <c r="F18" t="inlineStr">
        <is>
          <t>대체 산식 유지</t>
        </is>
      </c>
    </row>
    <row r="19">
      <c r="A19" t="inlineStr">
        <is>
          <t>후속 보강 계획</t>
        </is>
      </c>
      <c r="B19" t="inlineStr">
        <is>
          <t>항목</t>
        </is>
      </c>
      <c r="C19" t="inlineStr">
        <is>
          <t>보조 산출</t>
        </is>
      </c>
      <c r="D19" t="inlineStr">
        <is>
          <t>DART/주가/공시</t>
        </is>
      </c>
      <c r="E19" t="inlineStr">
        <is>
          <t>가치평가 정확도 개선</t>
        </is>
      </c>
      <c r="F19" t="inlineStr">
        <is>
          <t>대체 산식 유지</t>
        </is>
      </c>
    </row>
    <row r="20">
      <c r="A20" t="inlineStr">
        <is>
          <t>후속 보강 계획</t>
        </is>
      </c>
      <c r="B20" t="inlineStr">
        <is>
          <t>항목</t>
        </is>
      </c>
      <c r="C20" t="inlineStr">
        <is>
          <t>보조 산출</t>
        </is>
      </c>
      <c r="D20" t="inlineStr">
        <is>
          <t>DART/주가/공시</t>
        </is>
      </c>
      <c r="E20" t="inlineStr">
        <is>
          <t>가치평가 정확도 개선</t>
        </is>
      </c>
      <c r="F20" t="inlineStr">
        <is>
          <t>대체 산식 유지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대시보드 연동키</t>
        </is>
      </c>
      <c r="B1" t="inlineStr"/>
      <c r="C1" t="inlineStr"/>
      <c r="D1" t="inlineStr"/>
      <c r="E1" t="inlineStr"/>
    </row>
    <row r="2">
      <c r="A2" t="inlineStr">
        <is>
          <t>설명</t>
        </is>
      </c>
      <c r="B2" t="inlineStr">
        <is>
          <t>React/Streamlit 대시보드에서 바로 사용할 수 있는 주요 JSON 키와 표시명을 정리합니다.</t>
        </is>
      </c>
      <c r="C2" t="inlineStr"/>
      <c r="D2" t="inlineStr"/>
      <c r="E2" t="inlineStr"/>
    </row>
    <row r="3">
      <c r="A3" t="inlineStr">
        <is>
          <t>JSON 키</t>
        </is>
      </c>
      <c r="B3" t="inlineStr">
        <is>
          <t>표시명</t>
        </is>
      </c>
      <c r="C3" t="inlineStr">
        <is>
          <t>값</t>
        </is>
      </c>
      <c r="D3" t="inlineStr">
        <is>
          <t>형식</t>
        </is>
      </c>
      <c r="E3" t="inlineStr">
        <is>
          <t>활용 위치</t>
        </is>
      </c>
    </row>
    <row r="4">
      <c r="A4" t="inlineStr">
        <is>
          <t>wacc</t>
        </is>
      </c>
      <c r="B4" t="inlineStr">
        <is>
          <t>WACC</t>
        </is>
      </c>
      <c r="C4" t="n">
        <v>0.13963320508343</v>
      </c>
      <c r="D4" t="inlineStr">
        <is>
          <t>percent</t>
        </is>
      </c>
      <c r="E4" t="inlineStr">
        <is>
          <t>핵심 카드</t>
        </is>
      </c>
    </row>
    <row r="5">
      <c r="A5" t="inlineStr">
        <is>
          <t>enterprise_value</t>
        </is>
      </c>
      <c r="B5" t="inlineStr">
        <is>
          <t>DCF 기업가치</t>
        </is>
      </c>
      <c r="C5" t="n">
        <v>553163685748.9493</v>
      </c>
      <c r="D5" t="inlineStr">
        <is>
          <t>krw</t>
        </is>
      </c>
      <c r="E5" t="inlineStr">
        <is>
          <t>핵심 카드</t>
        </is>
      </c>
    </row>
    <row r="6">
      <c r="A6" t="inlineStr">
        <is>
          <t>equity_value</t>
        </is>
      </c>
      <c r="B6" t="inlineStr">
        <is>
          <t>DCF 지분가치</t>
        </is>
      </c>
      <c r="C6" t="n">
        <v>565623397487.9493</v>
      </c>
      <c r="D6" t="inlineStr">
        <is>
          <t>krw</t>
        </is>
      </c>
      <c r="E6" t="inlineStr">
        <is>
          <t>핵심 카드</t>
        </is>
      </c>
    </row>
    <row r="7">
      <c r="A7" t="inlineStr">
        <is>
          <t>latest_close</t>
        </is>
      </c>
      <c r="B7" t="inlineStr">
        <is>
          <t>현재가</t>
        </is>
      </c>
      <c r="C7" t="n">
        <v>107300</v>
      </c>
      <c r="D7" t="inlineStr">
        <is>
          <t>krw_per_share</t>
        </is>
      </c>
      <c r="E7" t="inlineStr">
        <is>
          <t>핵심 카드</t>
        </is>
      </c>
    </row>
    <row r="8">
      <c r="A8" t="inlineStr">
        <is>
          <t>implied_price</t>
        </is>
      </c>
      <c r="B8" t="inlineStr">
        <is>
          <t>DCF 내재주가</t>
        </is>
      </c>
      <c r="C8" t="n">
        <v>19526.66766026514</v>
      </c>
      <c r="D8" t="inlineStr">
        <is>
          <t>krw_per_share</t>
        </is>
      </c>
      <c r="E8" t="inlineStr">
        <is>
          <t>핵심 카드</t>
        </is>
      </c>
    </row>
    <row r="9">
      <c r="A9" t="inlineStr">
        <is>
          <t>upside_downside_pct</t>
        </is>
      </c>
      <c r="B9" t="inlineStr">
        <is>
          <t>현재가 대비 괴리율</t>
        </is>
      </c>
      <c r="C9" t="n">
        <v>-0.8180180087580137</v>
      </c>
      <c r="D9" t="inlineStr">
        <is>
          <t>percent</t>
        </is>
      </c>
      <c r="E9" t="inlineStr">
        <is>
          <t>핵심 카드</t>
        </is>
      </c>
    </row>
    <row r="10">
      <c r="A10" t="inlineStr">
        <is>
          <t>target_psr</t>
        </is>
      </c>
      <c r="B10" t="inlineStr">
        <is>
          <t>P/S</t>
        </is>
      </c>
      <c r="C10" t="n">
        <v>1.236011002542875</v>
      </c>
      <c r="D10" t="inlineStr">
        <is>
          <t>multiple</t>
        </is>
      </c>
      <c r="E10" t="inlineStr">
        <is>
          <t>핵심 카드</t>
        </is>
      </c>
    </row>
    <row r="11">
      <c r="A11" t="inlineStr">
        <is>
          <t>median_psr</t>
        </is>
      </c>
      <c r="B11" t="inlineStr">
        <is>
          <t>비교기업 P/S 중앙값</t>
        </is>
      </c>
      <c r="C11" t="n">
        <v>3.436583457683996</v>
      </c>
      <c r="D11" t="inlineStr">
        <is>
          <t>multiple</t>
        </is>
      </c>
      <c r="E11" t="inlineStr">
        <is>
          <t>핵심 카드</t>
        </is>
      </c>
    </row>
    <row r="12">
      <c r="A12" t="inlineStr">
        <is>
          <t>psr_gap</t>
        </is>
      </c>
      <c r="B12" t="inlineStr">
        <is>
          <t>P/S 중앙값 대비</t>
        </is>
      </c>
      <c r="C12" t="n">
        <v>-0.640337265844882</v>
      </c>
      <c r="D12" t="inlineStr">
        <is>
          <t>percent</t>
        </is>
      </c>
      <c r="E12" t="inlineStr">
        <is>
          <t>핵심 카드</t>
        </is>
      </c>
    </row>
    <row r="13">
      <c r="A13" t="inlineStr">
        <is>
          <t>기준_rows</t>
        </is>
      </c>
      <c r="B13" t="inlineStr">
        <is>
          <t>208개 반도체 비교군</t>
        </is>
      </c>
      <c r="C13" t="n">
        <v>208</v>
      </c>
      <c r="D13" t="inlineStr">
        <is>
          <t>count</t>
        </is>
      </c>
      <c r="E13" t="inlineStr">
        <is>
          <t>핵심 카드</t>
        </is>
      </c>
    </row>
    <row r="14">
      <c r="A14" t="inlineStr">
        <is>
          <t>기준_비교기업_group</t>
        </is>
      </c>
      <c r="B14" t="inlineStr">
        <is>
          <t>기준 비교군 그룹</t>
        </is>
      </c>
      <c r="C14" t="inlineStr">
        <is>
          <t>장비</t>
        </is>
      </c>
      <c r="D14" t="inlineStr">
        <is>
          <t>text</t>
        </is>
      </c>
      <c r="E14" t="inlineStr">
        <is>
          <t>핵심 카드</t>
        </is>
      </c>
    </row>
    <row r="15">
      <c r="A15" t="inlineStr">
        <is>
          <t>return_1y</t>
        </is>
      </c>
      <c r="B15" t="inlineStr">
        <is>
          <t>1년 수익률</t>
        </is>
      </c>
      <c r="C15" t="n">
        <v>4.611924686192468</v>
      </c>
      <c r="D15" t="inlineStr">
        <is>
          <t>percent</t>
        </is>
      </c>
      <c r="E15" t="inlineStr">
        <is>
          <t>핵심 카드</t>
        </is>
      </c>
    </row>
    <row r="16">
      <c r="A16" t="inlineStr">
        <is>
          <t>mdd</t>
        </is>
      </c>
      <c r="B16" t="inlineStr">
        <is>
          <t>MDD</t>
        </is>
      </c>
      <c r="C16" t="n">
        <v>-0.5761658031088083</v>
      </c>
      <c r="D16" t="inlineStr">
        <is>
          <t>percent</t>
        </is>
      </c>
      <c r="E16" t="inlineStr">
        <is>
          <t>핵심 카드</t>
        </is>
      </c>
    </row>
    <row r="17">
      <c r="A17" t="inlineStr">
        <is>
          <t>volatility</t>
        </is>
      </c>
      <c r="B17" t="inlineStr">
        <is>
          <t>연환산 변동성</t>
        </is>
      </c>
      <c r="C17" t="n">
        <v>0.54859367864032</v>
      </c>
      <c r="D17" t="inlineStr">
        <is>
          <t>percent</t>
        </is>
      </c>
      <c r="E17" t="inlineStr">
        <is>
          <t>핵심 카드</t>
        </is>
      </c>
    </row>
    <row r="18">
      <c r="A18" t="inlineStr">
        <is>
          <t>market_cap</t>
        </is>
      </c>
      <c r="B18" t="inlineStr">
        <is>
          <t>시가총액</t>
        </is>
      </c>
      <c r="C18" t="n">
        <v>3108128412200</v>
      </c>
      <c r="D18" t="inlineStr">
        <is>
          <t>krw</t>
        </is>
      </c>
      <c r="E18" t="inlineStr">
        <is>
          <t>핵심 카드</t>
        </is>
      </c>
    </row>
    <row r="19">
      <c r="A19" t="inlineStr">
        <is>
          <t>shares_outstanding</t>
        </is>
      </c>
      <c r="B19" t="inlineStr">
        <is>
          <t>발행주식 수</t>
        </is>
      </c>
      <c r="C19" t="n">
        <v>28966714</v>
      </c>
      <c r="D19" t="inlineStr">
        <is>
          <t>shares</t>
        </is>
      </c>
      <c r="E19" t="inlineStr">
        <is>
          <t>핵심 카드</t>
        </is>
      </c>
    </row>
    <row r="20">
      <c r="A20" t="inlineStr">
        <is>
          <t>avg_trading_value_20d</t>
        </is>
      </c>
      <c r="B20" t="inlineStr">
        <is>
          <t>20일 평균 거래대금</t>
        </is>
      </c>
      <c r="C20" t="n">
        <v>33996845420</v>
      </c>
      <c r="D20" t="inlineStr">
        <is>
          <t>krw</t>
        </is>
      </c>
      <c r="E20" t="inlineStr">
        <is>
          <t>핵심 카드</t>
        </is>
      </c>
    </row>
    <row r="21">
      <c r="A21" t="inlineStr">
        <is>
          <t>turnover_latest</t>
        </is>
      </c>
      <c r="B21" t="inlineStr">
        <is>
          <t>최근 거래회전율</t>
        </is>
      </c>
      <c r="C21" t="n">
        <v>0.007516420398944803</v>
      </c>
      <c r="D21" t="inlineStr">
        <is>
          <t>percent</t>
        </is>
      </c>
      <c r="E21" t="inlineStr">
        <is>
          <t>핵심 카드</t>
        </is>
      </c>
    </row>
    <row r="22">
      <c r="A22" t="inlineStr">
        <is>
          <t>ml_composite_score</t>
        </is>
      </c>
      <c r="B22" t="inlineStr">
        <is>
          <t>ML 보조 품질점수</t>
        </is>
      </c>
      <c r="C22" t="n">
        <v>63.17</v>
      </c>
      <c r="D22" t="inlineStr">
        <is>
          <t>score</t>
        </is>
      </c>
      <c r="E22" t="inlineStr">
        <is>
          <t>핵심 카드</t>
        </is>
      </c>
    </row>
    <row r="23">
      <c r="A23" t="inlineStr">
        <is>
          <t>ml_label</t>
        </is>
      </c>
      <c r="B23" t="inlineStr">
        <is>
          <t>ML 보조 라벨</t>
        </is>
      </c>
      <c r="C23" t="inlineStr">
        <is>
          <t>가치평가 보조근거 중립</t>
        </is>
      </c>
      <c r="D23" t="inlineStr">
        <is>
          <t>text</t>
        </is>
      </c>
      <c r="E23" t="inlineStr">
        <is>
          <t>핵심 카드</t>
        </is>
      </c>
    </row>
    <row r="24">
      <c r="A24" t="inlineStr">
        <is>
          <t>valuation_점수판</t>
        </is>
      </c>
      <c r="B24" t="inlineStr">
        <is>
          <t>보조 가치평가 점수</t>
        </is>
      </c>
      <c r="C24" t="n">
        <v>47.03</v>
      </c>
      <c r="D24" t="inlineStr">
        <is>
          <t>score</t>
        </is>
      </c>
      <c r="E24" t="inlineStr">
        <is>
          <t>핵심 카드</t>
        </is>
      </c>
    </row>
    <row r="25">
      <c r="A25" t="inlineStr">
        <is>
          <t>valuation_점수판_label</t>
        </is>
      </c>
      <c r="B25" t="inlineStr">
        <is>
          <t>보조 가치평가 라벨</t>
        </is>
      </c>
      <c r="C25" t="inlineStr">
        <is>
          <t>중립</t>
        </is>
      </c>
      <c r="D25" t="inlineStr">
        <is>
          <t>text</t>
        </is>
      </c>
      <c r="E25" t="inlineStr">
        <is>
          <t>핵심 카드</t>
        </is>
      </c>
    </row>
    <row r="26">
      <c r="A26" t="inlineStr">
        <is>
          <t>advanced_valuation_score</t>
        </is>
      </c>
      <c r="B26" t="inlineStr">
        <is>
          <t>종합 가치평가 점수</t>
        </is>
      </c>
      <c r="C26" t="n">
        <v>38</v>
      </c>
      <c r="D26" t="inlineStr">
        <is>
          <t>score</t>
        </is>
      </c>
      <c r="E26" t="inlineStr">
        <is>
          <t>핵심 카드</t>
        </is>
      </c>
    </row>
    <row r="27">
      <c r="A27" t="inlineStr">
        <is>
          <t>valuation_range_base_price</t>
        </is>
      </c>
      <c r="B27" t="inlineStr">
        <is>
          <t>가치범위 중앙값</t>
        </is>
      </c>
      <c r="C27" t="n">
        <v>51555.74695509136</v>
      </c>
      <c r="D27" t="inlineStr">
        <is>
          <t>krw_per_share</t>
        </is>
      </c>
      <c r="E27" t="inlineStr">
        <is>
          <t>핵심 카드</t>
        </is>
      </c>
    </row>
    <row r="28">
      <c r="A28" t="inlineStr">
        <is>
          <t>valuation_range_margin</t>
        </is>
      </c>
      <c r="B28" t="inlineStr">
        <is>
          <t>가치범위 안전마진</t>
        </is>
      </c>
      <c r="C28" t="n">
        <v>-0.5195177357400619</v>
      </c>
      <c r="D28" t="inlineStr">
        <is>
          <t>percent</t>
        </is>
      </c>
      <c r="E28" t="inlineStr">
        <is>
          <t>핵심 카드</t>
        </is>
      </c>
    </row>
    <row r="29">
      <c r="A29" t="inlineStr">
        <is>
          <t>reverse_dcf_growth</t>
        </is>
      </c>
      <c r="B29" t="inlineStr">
        <is>
          <t>역산 영구성장률</t>
        </is>
      </c>
      <c r="C29" t="n">
        <v>0.08</v>
      </c>
      <c r="D29" t="inlineStr">
        <is>
          <t>percent</t>
        </is>
      </c>
      <c r="E29" t="inlineStr">
        <is>
          <t>핵심 카드</t>
        </is>
      </c>
    </row>
    <row r="30">
      <c r="A30" t="inlineStr">
        <is>
          <t>owner_earnings_price</t>
        </is>
      </c>
      <c r="B30" t="inlineStr">
        <is>
          <t>오너 이익 주당가치</t>
        </is>
      </c>
      <c r="C30" t="n">
        <v>15261.67730042147</v>
      </c>
      <c r="D30" t="inlineStr">
        <is>
          <t>krw_per_share</t>
        </is>
      </c>
      <c r="E30" t="inlineStr">
        <is>
          <t>핵심 카드</t>
        </is>
      </c>
    </row>
    <row r="31">
      <c r="A31" t="inlineStr">
        <is>
          <t>market_psr</t>
        </is>
      </c>
      <c r="B31" t="inlineStr">
        <is>
          <t>시장내재 P/S</t>
        </is>
      </c>
      <c r="C31" t="n">
        <v>6.797985576664765</v>
      </c>
      <c r="D31" t="inlineStr">
        <is>
          <t>multiple</t>
        </is>
      </c>
      <c r="E31" t="inlineStr">
        <is>
          <t>핵심 카드</t>
        </is>
      </c>
    </row>
    <row r="32">
      <c r="A32" t="inlineStr">
        <is>
          <t>market_pbr</t>
        </is>
      </c>
      <c r="B32" t="inlineStr">
        <is>
          <t>시장내재 P/B</t>
        </is>
      </c>
      <c r="C32" t="n">
        <v>5.766084084226305</v>
      </c>
      <c r="D32" t="inlineStr">
        <is>
          <t>multiple</t>
        </is>
      </c>
      <c r="E32" t="inlineStr">
        <is>
          <t>핵심 카드</t>
        </is>
      </c>
    </row>
    <row r="33">
      <c r="A33" t="inlineStr">
        <is>
          <t>market_fcf_yield</t>
        </is>
      </c>
      <c r="B33" t="inlineStr">
        <is>
          <t>시장내재 FCF 수익률</t>
        </is>
      </c>
      <c r="C33" t="n">
        <v>0.0198605490811452</v>
      </c>
      <c r="D33" t="inlineStr">
        <is>
          <t>percent</t>
        </is>
      </c>
      <c r="E33" t="inlineStr">
        <is>
          <t>핵심 카드</t>
        </is>
      </c>
    </row>
    <row r="34">
      <c r="A34" t="inlineStr">
        <is>
          <t>검증_status</t>
        </is>
      </c>
      <c r="B34" t="inlineStr">
        <is>
          <t>검증 상태</t>
        </is>
      </c>
      <c r="C34" t="inlineStr">
        <is>
          <t>PASS</t>
        </is>
      </c>
      <c r="D34" t="inlineStr">
        <is>
          <t>text</t>
        </is>
      </c>
      <c r="E34" t="inlineStr">
        <is>
          <t>핵심 카드</t>
        </is>
      </c>
    </row>
    <row r="35">
      <c r="A35" t="inlineStr">
        <is>
          <t>price_history</t>
        </is>
      </c>
      <c r="B35" t="inlineStr">
        <is>
          <t>주가 차트</t>
        </is>
      </c>
      <c r="C35" t="inlineStr">
        <is>
          <t>최근 250거래일</t>
        </is>
      </c>
      <c r="D35" t="inlineStr">
        <is>
          <t>list</t>
        </is>
      </c>
      <c r="E35" t="inlineStr">
        <is>
          <t>라인차트</t>
        </is>
      </c>
    </row>
    <row r="36">
      <c r="A36" t="inlineStr">
        <is>
          <t>historical_ficials</t>
        </is>
      </c>
      <c r="B36" t="inlineStr">
        <is>
          <t>재무 추이</t>
        </is>
      </c>
      <c r="C36" t="inlineStr">
        <is>
          <t>최근 5개년</t>
        </is>
      </c>
      <c r="D36" t="inlineStr">
        <is>
          <t>list</t>
        </is>
      </c>
      <c r="E36" t="inlineStr">
        <is>
          <t>막대/라인 혼합</t>
        </is>
      </c>
    </row>
    <row r="37">
      <c r="A37" t="inlineStr">
        <is>
          <t>비교기업_multiples</t>
        </is>
      </c>
      <c r="B37" t="inlineStr">
        <is>
          <t>비교기업 배수</t>
        </is>
      </c>
      <c r="C37" t="inlineStr">
        <is>
          <t>5개 기업 + 확장 비교군</t>
        </is>
      </c>
      <c r="D37" t="inlineStr">
        <is>
          <t>list</t>
        </is>
      </c>
      <c r="E37" t="inlineStr">
        <is>
          <t>상대가치 표</t>
        </is>
      </c>
    </row>
    <row r="38">
      <c r="A38" t="inlineStr">
        <is>
          <t>기준_비교군_focus</t>
        </is>
      </c>
      <c r="B38" t="inlineStr">
        <is>
          <t>208개 비교군 상대위치</t>
        </is>
      </c>
      <c r="C38" t="inlineStr">
        <is>
          <t>선택기업/동일 세부군/전체 평균</t>
        </is>
      </c>
      <c r="D38" t="inlineStr">
        <is>
          <t>list</t>
        </is>
      </c>
      <c r="E38" t="inlineStr">
        <is>
          <t>시장위치 맵</t>
        </is>
      </c>
    </row>
    <row r="39">
      <c r="A39" t="inlineStr">
        <is>
          <t>advanced_valuation</t>
        </is>
      </c>
      <c r="B39" t="inlineStr">
        <is>
          <t>종합 가치평가</t>
        </is>
      </c>
      <c r="C39" t="inlineStr">
        <is>
          <t>가치범위·역산 DCF·오너이익</t>
        </is>
      </c>
      <c r="D39" t="inlineStr">
        <is>
          <t>object</t>
        </is>
      </c>
      <c r="E39" t="inlineStr">
        <is>
          <t>상세 패널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26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2" customWidth="1" min="4" max="4"/>
    <col width="18" customWidth="1" min="5" max="5"/>
    <col width="14" customWidth="1" min="6" max="6"/>
    <col width="14" customWidth="1" min="7" max="7"/>
    <col width="15" customWidth="1" min="8" max="8"/>
    <col width="13" customWidth="1" min="9" max="9"/>
    <col width="10" customWidth="1" min="10" max="10"/>
    <col width="10" customWidth="1" min="11" max="11"/>
    <col width="10" customWidth="1" min="12" max="12"/>
    <col width="13" customWidth="1" min="13" max="13"/>
    <col width="18" customWidth="1" min="14" max="14"/>
  </cols>
  <sheetData>
    <row r="1" ht="34" customHeight="1">
      <c r="A1" s="44" t="inlineStr">
        <is>
          <t>피에스케이 반도체 시장 내 상대 위치 맵</t>
        </is>
      </c>
    </row>
    <row r="2" ht="22" customHeight="1">
      <c r="A2" s="2" t="inlineStr">
        <is>
          <t>기업 선택값을 바꾸면 선택기업·동일 세부군·208개 전체 평균 비교와 TAM/SAM/SOM 범위가 함께 갱신됩니다.</t>
        </is>
      </c>
    </row>
    <row r="3" ht="22" customHeight="1"/>
    <row r="4" ht="22" customHeight="1">
      <c r="A4" s="3" t="inlineStr">
        <is>
          <t>기업 선택</t>
        </is>
      </c>
      <c r="B4" s="45" t="inlineStr">
        <is>
          <t>피에스케이</t>
        </is>
      </c>
      <c r="C4" t="inlineStr"/>
      <c r="D4" s="3" t="inlineStr">
        <is>
          <t>동일 세부군</t>
        </is>
      </c>
      <c r="E4" s="45">
        <f>IFERROR(XLOOKUP($B$4,$A$59:$A$266,$E$59:$E$266),"")</f>
        <v/>
      </c>
      <c r="F4" t="inlineStr"/>
      <c r="G4" s="3" t="inlineStr">
        <is>
          <t>선택기업 점수</t>
        </is>
      </c>
      <c r="H4" s="46">
        <f>IFERROR(XLOOKUP($B$4,$A$59:$A$266,$F$59:$F$266),"")</f>
        <v/>
      </c>
      <c r="I4" t="inlineStr"/>
      <c r="J4" s="3" t="inlineStr">
        <is>
          <t>208개 내 백분위</t>
        </is>
      </c>
      <c r="K4" s="47">
        <f>IFERROR(PERCENTRANK.INC($F$59:$F$266,$H$4),"")</f>
        <v/>
      </c>
      <c r="L4" t="inlineStr"/>
      <c r="M4" s="3" t="inlineStr">
        <is>
          <t>라벨</t>
        </is>
      </c>
      <c r="N4" s="45">
        <f>IFERROR(XLOOKUP($B$4,$A$59:$A$266,$H$59:$H$266),"")</f>
        <v/>
      </c>
    </row>
    <row r="5" ht="22" customHeight="1"/>
    <row r="6" ht="22" customHeight="1"/>
    <row r="7" ht="22" customHeight="1"/>
    <row r="8" ht="22" customHeight="1">
      <c r="A8" s="5" t="inlineStr">
        <is>
          <t>비교 기준</t>
        </is>
      </c>
      <c r="B8" s="5" t="inlineStr">
        <is>
          <t>밸류에이션 점수</t>
        </is>
      </c>
      <c r="C8" s="5" t="inlineStr">
        <is>
          <t>신용위험 점수</t>
        </is>
      </c>
      <c r="D8" s="5" t="inlineStr">
        <is>
          <t>기업 수</t>
        </is>
      </c>
    </row>
    <row r="9" ht="22" customHeight="1">
      <c r="A9" s="48" t="inlineStr">
        <is>
          <t>선택기업</t>
        </is>
      </c>
      <c r="B9" s="48">
        <f>IFERROR(XLOOKUP($B$4,$A$59:$A$266,$F$59:$F$266),"")</f>
        <v/>
      </c>
      <c r="C9" s="48">
        <f>IFERROR(XLOOKUP($B$4,$A$59:$A$266,$G$59:$G$266),"")</f>
        <v/>
      </c>
      <c r="D9" s="48" t="n">
        <v>1</v>
      </c>
    </row>
    <row r="10" ht="22" customHeight="1">
      <c r="A10" s="49" t="inlineStr">
        <is>
          <t>동일 세부군 평균</t>
        </is>
      </c>
      <c r="B10" s="49">
        <f>IFERROR(AVERAGEIF($E$59:$E$266,$E$4,$F$59:$F$266),"")</f>
        <v/>
      </c>
      <c r="C10" s="49">
        <f>IFERROR(AVERAGEIF($E$59:$E$266,$E$4,$G$59:$G$266),"")</f>
        <v/>
      </c>
      <c r="D10" s="49">
        <f>IFERROR(COUNTIF($E$59:$E$266,$E$4),"")</f>
        <v/>
      </c>
    </row>
    <row r="11" ht="22" customHeight="1">
      <c r="A11" s="50" t="inlineStr">
        <is>
          <t>208개 전체 평균</t>
        </is>
      </c>
      <c r="B11" s="50">
        <f>IFERROR(AVERAGE($F$59:$F$266),"")</f>
        <v/>
      </c>
      <c r="C11" s="50">
        <f>IFERROR(AVERAGE($G$59:$G$266),"")</f>
        <v/>
      </c>
      <c r="D11" s="50" t="n">
        <v>208</v>
      </c>
    </row>
    <row r="12" ht="22" customHeight="1"/>
    <row r="13" ht="22" customHeight="1"/>
    <row r="14" ht="22" customHeight="1"/>
    <row r="15" ht="22" customHeight="1"/>
    <row r="16" ht="22" customHeight="1">
      <c r="A16" s="5" t="inlineStr">
        <is>
          <t>범위</t>
        </is>
      </c>
      <c r="B16" s="5" t="inlineStr">
        <is>
          <t>기업 수</t>
        </is>
      </c>
      <c r="C16" s="5" t="inlineStr">
        <is>
          <t>해석</t>
        </is>
      </c>
    </row>
    <row r="17" ht="22" customHeight="1">
      <c r="A17" s="48" t="inlineStr">
        <is>
          <t>TAM: 반도체 전체 비교군</t>
        </is>
      </c>
      <c r="B17" s="48" t="n">
        <v>208</v>
      </c>
      <c r="C17" s="48" t="inlineStr">
        <is>
          <t>현재 가치평가 에이전트가 비교 가능한 전체 반도체 기준군</t>
        </is>
      </c>
    </row>
    <row r="18" ht="22" customHeight="1">
      <c r="A18" s="49" t="inlineStr">
        <is>
          <t>SAM: 선택기업 세부군</t>
        </is>
      </c>
      <c r="B18" s="49">
        <f>IFERROR(COUNTIF($E$59:$E$266,$E$4),"")</f>
        <v/>
      </c>
      <c r="C18" s="49" t="inlineStr">
        <is>
          <t>동일 사업축 안에서 상대가치 비교가 더 직접적인 집단</t>
        </is>
      </c>
    </row>
    <row r="19" ht="22" customHeight="1">
      <c r="A19" s="51" t="inlineStr">
        <is>
          <t>SOM: 선택기업</t>
        </is>
      </c>
      <c r="B19" s="51" t="n">
        <v>1</v>
      </c>
      <c r="C19" s="51" t="inlineStr">
        <is>
          <t>현재 선택한 분석 대상 기업</t>
        </is>
      </c>
    </row>
    <row r="20" ht="22" customHeight="1"/>
    <row r="21" ht="22" customHeight="1"/>
    <row r="22" ht="22" customHeight="1"/>
    <row r="23" ht="22" customHeight="1"/>
    <row r="24" ht="22" customHeight="1">
      <c r="A24" s="15" t="inlineStr">
        <is>
          <t>5개 핵심기업 비교</t>
        </is>
      </c>
      <c r="B24" t="inlineStr"/>
      <c r="C24" t="inlineStr"/>
      <c r="D24" t="inlineStr"/>
      <c r="E24" t="inlineStr"/>
      <c r="F24" t="inlineStr"/>
    </row>
    <row r="25" ht="22" customHeight="1">
      <c r="A25" s="5" t="inlineStr">
        <is>
          <t>기업명</t>
        </is>
      </c>
      <c r="B25" s="5" t="inlineStr">
        <is>
          <t>세부군</t>
        </is>
      </c>
      <c r="C25" s="5" t="inlineStr">
        <is>
          <t>밸류에이션 점수</t>
        </is>
      </c>
      <c r="D25" s="5" t="inlineStr">
        <is>
          <t>신용위험 점수</t>
        </is>
      </c>
      <c r="E25" s="5" t="inlineStr">
        <is>
          <t>라벨</t>
        </is>
      </c>
      <c r="F25" s="5" t="inlineStr">
        <is>
          <t>P/S</t>
        </is>
      </c>
    </row>
    <row r="26" ht="22" customHeight="1">
      <c r="A26" s="15" t="inlineStr">
        <is>
          <t>네패스</t>
        </is>
      </c>
      <c r="B26" s="15" t="inlineStr">
        <is>
          <t>후공정/패키징/테스트</t>
        </is>
      </c>
      <c r="C26" s="15" t="n">
        <v>63.85</v>
      </c>
      <c r="D26" s="15" t="n">
        <v>28.57</v>
      </c>
      <c r="E26" s="15" t="inlineStr">
        <is>
          <t>가치 매력</t>
        </is>
      </c>
      <c r="F26" t="inlineStr"/>
    </row>
    <row r="27" ht="22" customHeight="1">
      <c r="A27" s="15" t="inlineStr">
        <is>
          <t>한솔케미칼</t>
        </is>
      </c>
      <c r="B27" s="15" t="inlineStr">
        <is>
          <t>소재</t>
        </is>
      </c>
      <c r="C27" s="15" t="n">
        <v>63.31</v>
      </c>
      <c r="D27" s="15" t="n">
        <v>0</v>
      </c>
      <c r="E27" s="15" t="inlineStr">
        <is>
          <t>가치 매력</t>
        </is>
      </c>
      <c r="F27" t="inlineStr"/>
    </row>
    <row r="28" ht="22" customHeight="1">
      <c r="A28" s="15" t="inlineStr">
        <is>
          <t>엘티씨</t>
        </is>
      </c>
      <c r="B28" s="15" t="inlineStr">
        <is>
          <t>소재</t>
        </is>
      </c>
      <c r="C28" s="15" t="n">
        <v>58.38</v>
      </c>
      <c r="D28" s="15" t="n">
        <v>0</v>
      </c>
      <c r="E28" s="15" t="inlineStr">
        <is>
          <t>중립</t>
        </is>
      </c>
      <c r="F28" t="inlineStr"/>
    </row>
    <row r="29" ht="22" customHeight="1">
      <c r="A29" s="15" t="inlineStr">
        <is>
          <t>한미반도체</t>
        </is>
      </c>
      <c r="B29" s="15" t="inlineStr">
        <is>
          <t>후공정/패키징/테스트</t>
        </is>
      </c>
      <c r="C29" s="15" t="n">
        <v>47.13</v>
      </c>
      <c r="D29" s="15" t="n">
        <v>0</v>
      </c>
      <c r="E29" s="15" t="inlineStr">
        <is>
          <t>중립</t>
        </is>
      </c>
      <c r="F29" t="inlineStr"/>
    </row>
    <row r="30" ht="22" customHeight="1">
      <c r="A30" s="15" t="inlineStr">
        <is>
          <t>덕산테코피아</t>
        </is>
      </c>
      <c r="B30" s="15" t="inlineStr">
        <is>
          <t>소재</t>
        </is>
      </c>
      <c r="C30" s="15" t="n">
        <v>25.1</v>
      </c>
      <c r="D30" s="15" t="n">
        <v>71.43000000000001</v>
      </c>
      <c r="E30" s="15" t="inlineStr">
        <is>
          <t>고평가 부담</t>
        </is>
      </c>
      <c r="F30" t="inlineStr"/>
    </row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>
      <c r="A57" s="3" t="inlineStr">
        <is>
          <t>선택/차트 원천 데이터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 ht="22" customHeight="1">
      <c r="A58" s="5" t="inlineStr">
        <is>
          <t>기업명</t>
        </is>
      </c>
      <c r="B58" s="5" t="inlineStr">
        <is>
          <t>기업코드</t>
        </is>
      </c>
      <c r="C58" s="5" t="inlineStr">
        <is>
          <t>종목코드</t>
        </is>
      </c>
      <c r="D58" s="5" t="inlineStr">
        <is>
          <t>시장</t>
        </is>
      </c>
      <c r="E58" s="5" t="inlineStr">
        <is>
          <t>세부군</t>
        </is>
      </c>
      <c r="F58" s="5" t="inlineStr">
        <is>
          <t>밸류에이션 점수</t>
        </is>
      </c>
      <c r="G58" s="5" t="inlineStr">
        <is>
          <t>신용위험 점수</t>
        </is>
      </c>
      <c r="H58" s="5" t="inlineStr">
        <is>
          <t>라벨</t>
        </is>
      </c>
      <c r="I58" s="5" t="inlineStr">
        <is>
          <t>신뢰도</t>
        </is>
      </c>
      <c r="J58" s="5" t="inlineStr">
        <is>
          <t>5개 핵심</t>
        </is>
      </c>
      <c r="K58" s="5" t="inlineStr">
        <is>
          <t>분석대상</t>
        </is>
      </c>
      <c r="L58" s="5" t="inlineStr">
        <is>
          <t>P/S</t>
        </is>
      </c>
    </row>
    <row r="59" ht="22" customHeight="1">
      <c r="A59" s="15" t="inlineStr">
        <is>
          <t>엔투텍</t>
        </is>
      </c>
      <c r="B59" t="inlineStr"/>
      <c r="C59" s="15" t="inlineStr">
        <is>
          <t>227950</t>
        </is>
      </c>
      <c r="D59" s="15" t="inlineStr">
        <is>
          <t>KOSDAQ</t>
        </is>
      </c>
      <c r="E59" s="15" t="inlineStr">
        <is>
          <t>장비</t>
        </is>
      </c>
      <c r="F59" s="15" t="n">
        <v>81.29000000000001</v>
      </c>
      <c r="G59" s="15" t="n">
        <v>21.43</v>
      </c>
      <c r="H59" s="15" t="inlineStr">
        <is>
          <t>가치 매력</t>
        </is>
      </c>
      <c r="I59" s="15" t="inlineStr">
        <is>
          <t>0.8347222629406851</t>
        </is>
      </c>
      <c r="J59" t="inlineStr"/>
      <c r="K59" t="inlineStr"/>
      <c r="L59" t="inlineStr"/>
    </row>
    <row r="60" ht="22" customHeight="1">
      <c r="A60" s="15" t="inlineStr">
        <is>
          <t>에스에이엠티</t>
        </is>
      </c>
      <c r="B60" t="inlineStr"/>
      <c r="C60" s="15" t="inlineStr">
        <is>
          <t>031330</t>
        </is>
      </c>
      <c r="D60" s="15" t="inlineStr">
        <is>
          <t>KOSDAQ</t>
        </is>
      </c>
      <c r="E60" s="15" t="inlineStr">
        <is>
          <t>팹리스/설계</t>
        </is>
      </c>
      <c r="F60" s="15" t="n">
        <v>78.38</v>
      </c>
      <c r="G60" s="15" t="n">
        <v>50</v>
      </c>
      <c r="H60" s="15" t="inlineStr">
        <is>
          <t>중립</t>
        </is>
      </c>
      <c r="I60" s="15" t="inlineStr">
        <is>
          <t>0.8575928985222669</t>
        </is>
      </c>
      <c r="J60" t="inlineStr"/>
      <c r="K60" t="inlineStr"/>
      <c r="L60" t="inlineStr"/>
    </row>
    <row r="61" ht="22" customHeight="1">
      <c r="A61" s="15" t="inlineStr">
        <is>
          <t>성우테크론</t>
        </is>
      </c>
      <c r="B61" t="inlineStr"/>
      <c r="C61" s="15" t="inlineStr">
        <is>
          <t>045300</t>
        </is>
      </c>
      <c r="D61" s="15" t="inlineStr">
        <is>
          <t>KOSDAQ</t>
        </is>
      </c>
      <c r="E61" s="15" t="inlineStr">
        <is>
          <t>후공정/패키징/테스트</t>
        </is>
      </c>
      <c r="F61" s="15" t="n">
        <v>77.64</v>
      </c>
      <c r="G61" s="15" t="n">
        <v>7.14</v>
      </c>
      <c r="H61" s="15" t="inlineStr">
        <is>
          <t>가치 매력</t>
        </is>
      </c>
      <c r="I61" s="15" t="inlineStr">
        <is>
          <t>0.9526864248076319</t>
        </is>
      </c>
      <c r="J61" t="inlineStr"/>
      <c r="K61" t="inlineStr"/>
      <c r="L61" t="inlineStr"/>
    </row>
    <row r="62" ht="22" customHeight="1">
      <c r="A62" s="15" t="inlineStr">
        <is>
          <t>미래산업</t>
        </is>
      </c>
      <c r="B62" t="inlineStr"/>
      <c r="C62" s="15" t="inlineStr">
        <is>
          <t>025560</t>
        </is>
      </c>
      <c r="D62" s="15" t="inlineStr">
        <is>
          <t>KOSPI</t>
        </is>
      </c>
      <c r="E62" s="15" t="inlineStr">
        <is>
          <t>후공정/패키징/테스트</t>
        </is>
      </c>
      <c r="F62" s="15" t="n">
        <v>77.48</v>
      </c>
      <c r="G62" s="15" t="n">
        <v>28.57</v>
      </c>
      <c r="H62" s="15" t="inlineStr">
        <is>
          <t>중립</t>
        </is>
      </c>
      <c r="I62" s="15" t="inlineStr">
        <is>
          <t>0.883291104654336</t>
        </is>
      </c>
      <c r="J62" t="inlineStr"/>
      <c r="K62" t="inlineStr"/>
      <c r="L62" t="inlineStr"/>
    </row>
    <row r="63" ht="22" customHeight="1">
      <c r="A63" s="15" t="inlineStr">
        <is>
          <t>미코</t>
        </is>
      </c>
      <c r="B63" t="inlineStr"/>
      <c r="C63" s="15" t="inlineStr">
        <is>
          <t>059090</t>
        </is>
      </c>
      <c r="D63" s="15" t="inlineStr">
        <is>
          <t>KOSDAQ</t>
        </is>
      </c>
      <c r="E63" s="15" t="inlineStr">
        <is>
          <t>IDM/제조/메모리</t>
        </is>
      </c>
      <c r="F63" s="15" t="n">
        <v>77.33</v>
      </c>
      <c r="G63" s="15" t="n">
        <v>21.43</v>
      </c>
      <c r="H63" s="15" t="inlineStr">
        <is>
          <t>중립</t>
        </is>
      </c>
      <c r="I63" s="15" t="inlineStr">
        <is>
          <t>0.9066669659525092</t>
        </is>
      </c>
      <c r="J63" t="inlineStr"/>
      <c r="K63" t="inlineStr"/>
      <c r="L63" t="inlineStr"/>
    </row>
    <row r="64" ht="22" customHeight="1">
      <c r="A64" s="15" t="inlineStr">
        <is>
          <t>링크제니시스</t>
        </is>
      </c>
      <c r="B64" t="inlineStr"/>
      <c r="C64" s="15" t="inlineStr">
        <is>
          <t>219420</t>
        </is>
      </c>
      <c r="D64" s="15" t="inlineStr">
        <is>
          <t>KOSDAQ</t>
        </is>
      </c>
      <c r="E64" s="15" t="inlineStr">
        <is>
          <t>후공정/패키징/테스트</t>
        </is>
      </c>
      <c r="F64" s="15" t="n">
        <v>75.23</v>
      </c>
      <c r="G64" s="15" t="n">
        <v>7.14</v>
      </c>
      <c r="H64" s="15" t="inlineStr">
        <is>
          <t>가치 매력</t>
        </is>
      </c>
      <c r="I64" s="15" t="inlineStr">
        <is>
          <t>0.8724992666433111</t>
        </is>
      </c>
      <c r="J64" t="inlineStr"/>
      <c r="K64" t="inlineStr"/>
      <c r="L64" t="inlineStr"/>
    </row>
    <row r="65" ht="22" customHeight="1">
      <c r="A65" s="15" t="inlineStr">
        <is>
          <t>엘디티</t>
        </is>
      </c>
      <c r="B65" t="inlineStr"/>
      <c r="C65" s="15" t="inlineStr">
        <is>
          <t>096870</t>
        </is>
      </c>
      <c r="D65" s="15" t="inlineStr">
        <is>
          <t>KOSDAQ</t>
        </is>
      </c>
      <c r="E65" s="15" t="inlineStr">
        <is>
          <t>IDM/제조/메모리</t>
        </is>
      </c>
      <c r="F65" s="15" t="n">
        <v>75.18000000000001</v>
      </c>
      <c r="G65" s="15" t="n">
        <v>7.14</v>
      </c>
      <c r="H65" s="15" t="inlineStr">
        <is>
          <t>가치 매력</t>
        </is>
      </c>
      <c r="I65" s="15" t="inlineStr">
        <is>
          <t>0.8817908899004964</t>
        </is>
      </c>
      <c r="J65" t="inlineStr"/>
      <c r="K65" t="inlineStr"/>
      <c r="L65" t="inlineStr"/>
    </row>
    <row r="66" ht="22" customHeight="1">
      <c r="A66" s="15" t="inlineStr">
        <is>
          <t>유니트론텍</t>
        </is>
      </c>
      <c r="B66" t="inlineStr"/>
      <c r="C66" s="15" t="inlineStr">
        <is>
          <t>142210</t>
        </is>
      </c>
      <c r="D66" s="15" t="inlineStr">
        <is>
          <t>KOSDAQ</t>
        </is>
      </c>
      <c r="E66" s="15" t="inlineStr">
        <is>
          <t>팹리스/설계</t>
        </is>
      </c>
      <c r="F66" s="15" t="n">
        <v>74.79000000000001</v>
      </c>
      <c r="G66" s="15" t="n">
        <v>35.71</v>
      </c>
      <c r="H66" s="15" t="inlineStr">
        <is>
          <t>중립</t>
        </is>
      </c>
      <c r="I66" s="15" t="inlineStr">
        <is>
          <t>0.8593164302034415</t>
        </is>
      </c>
      <c r="J66" t="inlineStr"/>
      <c r="K66" t="inlineStr"/>
      <c r="L66" t="inlineStr"/>
    </row>
    <row r="67" ht="22" customHeight="1">
      <c r="A67" s="15" t="inlineStr">
        <is>
          <t>메카로</t>
        </is>
      </c>
      <c r="B67" t="inlineStr"/>
      <c r="C67" s="15" t="inlineStr">
        <is>
          <t>241770</t>
        </is>
      </c>
      <c r="D67" s="15" t="inlineStr">
        <is>
          <t>KOSDAQ</t>
        </is>
      </c>
      <c r="E67" s="15" t="inlineStr">
        <is>
          <t>IDM/제조/메모리</t>
        </is>
      </c>
      <c r="F67" s="15" t="n">
        <v>74.77</v>
      </c>
      <c r="G67" s="15" t="n">
        <v>0</v>
      </c>
      <c r="H67" s="15" t="inlineStr">
        <is>
          <t>가치 매력</t>
        </is>
      </c>
      <c r="I67" s="15" t="inlineStr">
        <is>
          <t>0.9154158498128573</t>
        </is>
      </c>
      <c r="J67" t="inlineStr"/>
      <c r="K67" t="inlineStr"/>
      <c r="L67" t="inlineStr"/>
    </row>
    <row r="68" ht="22" customHeight="1">
      <c r="A68" s="15" t="inlineStr">
        <is>
          <t>월덱스</t>
        </is>
      </c>
      <c r="B68" t="inlineStr"/>
      <c r="C68" s="15" t="inlineStr">
        <is>
          <t>101160</t>
        </is>
      </c>
      <c r="D68" s="15" t="inlineStr">
        <is>
          <t>KOSDAQ</t>
        </is>
      </c>
      <c r="E68" s="15" t="inlineStr">
        <is>
          <t>소재</t>
        </is>
      </c>
      <c r="F68" s="15" t="n">
        <v>74.59</v>
      </c>
      <c r="G68" s="15" t="n">
        <v>0</v>
      </c>
      <c r="H68" s="15" t="inlineStr">
        <is>
          <t>가치 매력</t>
        </is>
      </c>
      <c r="I68" s="15" t="inlineStr">
        <is>
          <t>0.9476922450763601</t>
        </is>
      </c>
      <c r="J68" t="inlineStr"/>
      <c r="K68" t="inlineStr"/>
      <c r="L68" t="inlineStr"/>
    </row>
    <row r="69" ht="22" customHeight="1">
      <c r="A69" s="15" t="inlineStr">
        <is>
          <t>앤씨앤</t>
        </is>
      </c>
      <c r="B69" t="inlineStr"/>
      <c r="C69" s="15" t="inlineStr">
        <is>
          <t>092600</t>
        </is>
      </c>
      <c r="D69" s="15" t="inlineStr">
        <is>
          <t>KOSDAQ</t>
        </is>
      </c>
      <c r="E69" s="15" t="inlineStr">
        <is>
          <t>팹리스/설계</t>
        </is>
      </c>
      <c r="F69" s="15" t="n">
        <v>74.51000000000001</v>
      </c>
      <c r="G69" s="15" t="n">
        <v>50</v>
      </c>
      <c r="H69" s="15" t="inlineStr">
        <is>
          <t>중립</t>
        </is>
      </c>
      <c r="I69" s="15" t="inlineStr">
        <is>
          <t>0.8450252323777523</t>
        </is>
      </c>
      <c r="J69" t="inlineStr"/>
      <c r="K69" t="inlineStr"/>
      <c r="L69" t="inlineStr"/>
    </row>
    <row r="70" ht="22" customHeight="1">
      <c r="A70" s="15" t="inlineStr">
        <is>
          <t>퓨릿</t>
        </is>
      </c>
      <c r="B70" t="inlineStr"/>
      <c r="C70" s="15" t="inlineStr">
        <is>
          <t>445180</t>
        </is>
      </c>
      <c r="D70" s="15" t="inlineStr">
        <is>
          <t>KOSDAQ</t>
        </is>
      </c>
      <c r="E70" s="15" t="inlineStr">
        <is>
          <t>소재</t>
        </is>
      </c>
      <c r="F70" s="15" t="n">
        <v>74.48999999999999</v>
      </c>
      <c r="G70" s="15" t="n">
        <v>7.14</v>
      </c>
      <c r="H70" s="15" t="inlineStr">
        <is>
          <t>가치 매력</t>
        </is>
      </c>
      <c r="I70" s="15" t="inlineStr">
        <is>
          <t>0.8817607106455689</t>
        </is>
      </c>
      <c r="J70" t="inlineStr"/>
      <c r="K70" t="inlineStr"/>
      <c r="L70" t="inlineStr"/>
    </row>
    <row r="71" ht="22" customHeight="1">
      <c r="A71" s="15" t="inlineStr">
        <is>
          <t>마이크로컨텍솔</t>
        </is>
      </c>
      <c r="B71" t="inlineStr"/>
      <c r="C71" s="15" t="inlineStr">
        <is>
          <t>098120</t>
        </is>
      </c>
      <c r="D71" s="15" t="inlineStr">
        <is>
          <t>KOSDAQ</t>
        </is>
      </c>
      <c r="E71" s="15" t="inlineStr">
        <is>
          <t>팹리스/설계</t>
        </is>
      </c>
      <c r="F71" s="15" t="n">
        <v>73.84</v>
      </c>
      <c r="G71" s="15" t="n">
        <v>14.29</v>
      </c>
      <c r="H71" s="15" t="inlineStr">
        <is>
          <t>가치 매력</t>
        </is>
      </c>
      <c r="I71" s="15" t="inlineStr">
        <is>
          <t>0.8262966149459129</t>
        </is>
      </c>
      <c r="J71" t="inlineStr"/>
      <c r="K71" t="inlineStr"/>
      <c r="L71" t="inlineStr"/>
    </row>
    <row r="72" ht="22" customHeight="1">
      <c r="A72" s="15" t="inlineStr">
        <is>
          <t>프로텍</t>
        </is>
      </c>
      <c r="B72" t="inlineStr"/>
      <c r="C72" s="15" t="inlineStr">
        <is>
          <t>053610</t>
        </is>
      </c>
      <c r="D72" s="15" t="inlineStr">
        <is>
          <t>KOSDAQ</t>
        </is>
      </c>
      <c r="E72" s="15" t="inlineStr">
        <is>
          <t>후공정/패키징/테스트</t>
        </is>
      </c>
      <c r="F72" s="15" t="n">
        <v>73.42</v>
      </c>
      <c r="G72" s="15" t="n">
        <v>7.14</v>
      </c>
      <c r="H72" s="15" t="inlineStr">
        <is>
          <t>중립</t>
        </is>
      </c>
      <c r="I72" s="15" t="inlineStr">
        <is>
          <t>0.8971257561900263</t>
        </is>
      </c>
      <c r="J72" t="inlineStr"/>
      <c r="K72" t="inlineStr"/>
      <c r="L72" t="inlineStr"/>
    </row>
    <row r="73" ht="22" customHeight="1">
      <c r="A73" s="15" t="inlineStr">
        <is>
          <t>아이앤씨</t>
        </is>
      </c>
      <c r="B73" t="inlineStr"/>
      <c r="C73" s="15" t="inlineStr">
        <is>
          <t>052860</t>
        </is>
      </c>
      <c r="D73" s="15" t="inlineStr">
        <is>
          <t>KOSDAQ</t>
        </is>
      </c>
      <c r="E73" s="15" t="inlineStr">
        <is>
          <t>팹리스/설계</t>
        </is>
      </c>
      <c r="F73" s="15" t="n">
        <v>73.25</v>
      </c>
      <c r="G73" s="15" t="n">
        <v>0</v>
      </c>
      <c r="H73" s="15" t="inlineStr">
        <is>
          <t>가치 매력</t>
        </is>
      </c>
      <c r="I73" s="15" t="inlineStr">
        <is>
          <t>0.9267130449922303</t>
        </is>
      </c>
      <c r="J73" t="inlineStr"/>
      <c r="K73" t="inlineStr"/>
      <c r="L73" t="inlineStr"/>
    </row>
    <row r="74" ht="22" customHeight="1">
      <c r="A74" s="15" t="inlineStr">
        <is>
          <t>비아트론</t>
        </is>
      </c>
      <c r="B74" t="inlineStr"/>
      <c r="C74" s="15" t="inlineStr">
        <is>
          <t>141000</t>
        </is>
      </c>
      <c r="D74" s="15" t="inlineStr">
        <is>
          <t>KOSDAQ</t>
        </is>
      </c>
      <c r="E74" s="15" t="inlineStr">
        <is>
          <t>장비</t>
        </is>
      </c>
      <c r="F74" s="15" t="n">
        <v>71.05</v>
      </c>
      <c r="G74" s="15" t="n">
        <v>0</v>
      </c>
      <c r="H74" s="15" t="inlineStr">
        <is>
          <t>가치 매력</t>
        </is>
      </c>
      <c r="I74" s="15" t="inlineStr">
        <is>
          <t>0.934708213344448</t>
        </is>
      </c>
      <c r="J74" t="inlineStr"/>
      <c r="K74" t="inlineStr"/>
      <c r="L74" t="inlineStr"/>
    </row>
    <row r="75" ht="22" customHeight="1">
      <c r="A75" s="15" t="inlineStr">
        <is>
          <t>인터플렉스</t>
        </is>
      </c>
      <c r="B75" t="inlineStr"/>
      <c r="C75" s="15" t="inlineStr">
        <is>
          <t>051370</t>
        </is>
      </c>
      <c r="D75" s="15" t="inlineStr">
        <is>
          <t>KOSDAQ</t>
        </is>
      </c>
      <c r="E75" s="15" t="inlineStr">
        <is>
          <t>부품/기판</t>
        </is>
      </c>
      <c r="F75" s="15" t="n">
        <v>70.90000000000001</v>
      </c>
      <c r="G75" s="15" t="n">
        <v>7.14</v>
      </c>
      <c r="H75" s="15" t="inlineStr">
        <is>
          <t>중립</t>
        </is>
      </c>
      <c r="I75" s="15" t="inlineStr">
        <is>
          <t>0.904555257888918</t>
        </is>
      </c>
      <c r="J75" t="inlineStr"/>
      <c r="K75" t="inlineStr"/>
      <c r="L75" t="inlineStr"/>
    </row>
    <row r="76" ht="22" customHeight="1">
      <c r="A76" s="15" t="inlineStr">
        <is>
          <t>삼성전자</t>
        </is>
      </c>
      <c r="B76" t="inlineStr"/>
      <c r="C76" s="15" t="inlineStr">
        <is>
          <t>005930</t>
        </is>
      </c>
      <c r="D76" s="15" t="inlineStr">
        <is>
          <t>KOSPI</t>
        </is>
      </c>
      <c r="E76" s="15" t="inlineStr">
        <is>
          <t>IDM/제조/메모리</t>
        </is>
      </c>
      <c r="F76" s="15" t="n">
        <v>70.78</v>
      </c>
      <c r="G76" s="15" t="n">
        <v>0</v>
      </c>
      <c r="H76" s="15" t="inlineStr">
        <is>
          <t>가치 매력</t>
        </is>
      </c>
      <c r="I76" s="15" t="inlineStr">
        <is>
          <t>0.9371541027950523</t>
        </is>
      </c>
      <c r="J76" t="inlineStr"/>
      <c r="K76" t="inlineStr"/>
      <c r="L76" t="inlineStr"/>
    </row>
    <row r="77" ht="22" customHeight="1">
      <c r="A77" s="15" t="inlineStr">
        <is>
          <t>케이씨</t>
        </is>
      </c>
      <c r="B77" t="inlineStr"/>
      <c r="C77" s="15" t="inlineStr">
        <is>
          <t>029460</t>
        </is>
      </c>
      <c r="D77" s="15" t="inlineStr">
        <is>
          <t>KOSPI</t>
        </is>
      </c>
      <c r="E77" s="15" t="inlineStr">
        <is>
          <t>장비</t>
        </is>
      </c>
      <c r="F77" s="15" t="n">
        <v>70.65000000000001</v>
      </c>
      <c r="G77" s="15" t="n">
        <v>0</v>
      </c>
      <c r="H77" s="15" t="inlineStr">
        <is>
          <t>가치 매력</t>
        </is>
      </c>
      <c r="I77" s="15" t="inlineStr">
        <is>
          <t>0.9151708177015135</t>
        </is>
      </c>
      <c r="J77" t="inlineStr"/>
      <c r="K77" t="inlineStr"/>
      <c r="L77" t="inlineStr"/>
    </row>
    <row r="78" ht="22" customHeight="1">
      <c r="A78" s="15" t="inlineStr">
        <is>
          <t>이엔에프테크놀로지</t>
        </is>
      </c>
      <c r="B78" t="inlineStr"/>
      <c r="C78" s="15" t="inlineStr">
        <is>
          <t>102710</t>
        </is>
      </c>
      <c r="D78" s="15" t="inlineStr">
        <is>
          <t>KOSDAQ</t>
        </is>
      </c>
      <c r="E78" s="15" t="inlineStr">
        <is>
          <t>소재</t>
        </is>
      </c>
      <c r="F78" s="15" t="n">
        <v>70.62</v>
      </c>
      <c r="G78" s="15" t="n">
        <v>0</v>
      </c>
      <c r="H78" s="15" t="inlineStr">
        <is>
          <t>가치 매력</t>
        </is>
      </c>
      <c r="I78" s="15" t="inlineStr">
        <is>
          <t>0.9371627732042065</t>
        </is>
      </c>
      <c r="J78" t="inlineStr"/>
      <c r="K78" t="inlineStr"/>
      <c r="L78" t="inlineStr"/>
    </row>
    <row r="79" ht="22" customHeight="1">
      <c r="A79" s="15" t="inlineStr">
        <is>
          <t>매커스</t>
        </is>
      </c>
      <c r="B79" t="inlineStr"/>
      <c r="C79" s="15" t="inlineStr">
        <is>
          <t>093520</t>
        </is>
      </c>
      <c r="D79" s="15" t="inlineStr">
        <is>
          <t>KOSDAQ</t>
        </is>
      </c>
      <c r="E79" s="15" t="inlineStr">
        <is>
          <t>팹리스/설계</t>
        </is>
      </c>
      <c r="F79" s="15" t="n">
        <v>70.56999999999999</v>
      </c>
      <c r="G79" s="15" t="n">
        <v>0</v>
      </c>
      <c r="H79" s="15" t="inlineStr">
        <is>
          <t>가치 매력</t>
        </is>
      </c>
      <c r="I79" s="15" t="inlineStr">
        <is>
          <t>0.9375173489226767</t>
        </is>
      </c>
      <c r="J79" t="inlineStr"/>
      <c r="K79" t="inlineStr"/>
      <c r="L79" t="inlineStr"/>
    </row>
    <row r="80" ht="22" customHeight="1">
      <c r="A80" s="15" t="inlineStr">
        <is>
          <t>LX세미콘</t>
        </is>
      </c>
      <c r="B80" t="inlineStr"/>
      <c r="C80" s="15" t="inlineStr">
        <is>
          <t>108320</t>
        </is>
      </c>
      <c r="D80" s="15" t="inlineStr">
        <is>
          <t>KOSPI</t>
        </is>
      </c>
      <c r="E80" s="15" t="inlineStr">
        <is>
          <t>팹리스/설계</t>
        </is>
      </c>
      <c r="F80" s="15" t="n">
        <v>69.54000000000001</v>
      </c>
      <c r="G80" s="15" t="n">
        <v>0</v>
      </c>
      <c r="H80" s="15" t="inlineStr">
        <is>
          <t>가치 매력</t>
        </is>
      </c>
      <c r="I80" s="15" t="inlineStr">
        <is>
          <t>0.951012131492064</t>
        </is>
      </c>
      <c r="J80" t="inlineStr"/>
      <c r="K80" t="inlineStr"/>
      <c r="L80" t="inlineStr"/>
    </row>
    <row r="81" ht="22" customHeight="1">
      <c r="A81" s="15" t="inlineStr">
        <is>
          <t>SK하이닉스</t>
        </is>
      </c>
      <c r="B81" t="inlineStr"/>
      <c r="C81" s="15" t="inlineStr">
        <is>
          <t>000660</t>
        </is>
      </c>
      <c r="D81" s="15" t="inlineStr">
        <is>
          <t>KOSPI</t>
        </is>
      </c>
      <c r="E81" s="15" t="inlineStr">
        <is>
          <t>IDM/제조/메모리</t>
        </is>
      </c>
      <c r="F81" s="15" t="n">
        <v>69.33</v>
      </c>
      <c r="G81" s="15" t="n">
        <v>0</v>
      </c>
      <c r="H81" s="15" t="inlineStr">
        <is>
          <t>가치 매력</t>
        </is>
      </c>
      <c r="I81" s="15" t="inlineStr">
        <is>
          <t>0.8582250965188642</t>
        </is>
      </c>
      <c r="J81" t="inlineStr"/>
      <c r="K81" t="inlineStr"/>
      <c r="L81" t="inlineStr"/>
    </row>
    <row r="82" ht="22" customHeight="1">
      <c r="A82" s="15" t="inlineStr">
        <is>
          <t>어보브반도체</t>
        </is>
      </c>
      <c r="B82" t="inlineStr"/>
      <c r="C82" s="15" t="inlineStr">
        <is>
          <t>102120</t>
        </is>
      </c>
      <c r="D82" s="15" t="inlineStr">
        <is>
          <t>KOSDAQ</t>
        </is>
      </c>
      <c r="E82" s="15" t="inlineStr">
        <is>
          <t>팹리스/설계</t>
        </is>
      </c>
      <c r="F82" s="15" t="n">
        <v>69.33</v>
      </c>
      <c r="G82" s="15" t="n">
        <v>7.14</v>
      </c>
      <c r="H82" s="15" t="inlineStr">
        <is>
          <t>중립</t>
        </is>
      </c>
      <c r="I82" s="15" t="inlineStr">
        <is>
          <t>0.9028406871788379</t>
        </is>
      </c>
      <c r="J82" t="inlineStr"/>
      <c r="K82" t="inlineStr"/>
      <c r="L82" t="inlineStr"/>
    </row>
    <row r="83" ht="22" customHeight="1">
      <c r="A83" s="15" t="inlineStr">
        <is>
          <t>더코디</t>
        </is>
      </c>
      <c r="B83" t="inlineStr"/>
      <c r="C83" s="15" t="inlineStr">
        <is>
          <t>224060</t>
        </is>
      </c>
      <c r="D83" s="15" t="inlineStr">
        <is>
          <t>KOSDAQ</t>
        </is>
      </c>
      <c r="E83" s="15" t="inlineStr">
        <is>
          <t>장비</t>
        </is>
      </c>
      <c r="F83" s="15" t="n">
        <v>69.09</v>
      </c>
      <c r="G83" s="15" t="n">
        <v>85.70999999999999</v>
      </c>
      <c r="H83" s="15" t="inlineStr">
        <is>
          <t>중립</t>
        </is>
      </c>
      <c r="I83" s="15" t="inlineStr">
        <is>
          <t>0.6613330626239345</t>
        </is>
      </c>
      <c r="J83" t="inlineStr"/>
      <c r="K83" t="inlineStr"/>
      <c r="L83" t="inlineStr"/>
    </row>
    <row r="84" ht="22" customHeight="1">
      <c r="A84" s="15" t="inlineStr">
        <is>
          <t>프로이천</t>
        </is>
      </c>
      <c r="B84" t="inlineStr"/>
      <c r="C84" s="15" t="inlineStr">
        <is>
          <t>321260</t>
        </is>
      </c>
      <c r="D84" s="15" t="inlineStr">
        <is>
          <t>KOSDAQ</t>
        </is>
      </c>
      <c r="E84" s="15" t="inlineStr">
        <is>
          <t>후공정/패키징/테스트</t>
        </is>
      </c>
      <c r="F84" s="15" t="n">
        <v>69.05</v>
      </c>
      <c r="G84" s="15" t="n">
        <v>14.29</v>
      </c>
      <c r="H84" s="15" t="inlineStr">
        <is>
          <t>가치 매력</t>
        </is>
      </c>
      <c r="I84" s="15" t="inlineStr">
        <is>
          <t>0.9481469936627798</t>
        </is>
      </c>
      <c r="J84" t="inlineStr"/>
      <c r="K84" t="inlineStr"/>
      <c r="L84" t="inlineStr"/>
    </row>
    <row r="85" ht="22" customHeight="1">
      <c r="A85" s="15" t="inlineStr">
        <is>
          <t>케이엔제이</t>
        </is>
      </c>
      <c r="B85" t="inlineStr"/>
      <c r="C85" s="15" t="inlineStr">
        <is>
          <t>272110</t>
        </is>
      </c>
      <c r="D85" s="15" t="inlineStr">
        <is>
          <t>KOSDAQ</t>
        </is>
      </c>
      <c r="E85" s="15" t="inlineStr">
        <is>
          <t>IDM/제조/메모리</t>
        </is>
      </c>
      <c r="F85" s="15" t="n">
        <v>69</v>
      </c>
      <c r="G85" s="15" t="n">
        <v>35.71</v>
      </c>
      <c r="H85" s="15" t="inlineStr">
        <is>
          <t>중립</t>
        </is>
      </c>
      <c r="I85" s="15" t="inlineStr">
        <is>
          <t>0.8941431334693103</t>
        </is>
      </c>
      <c r="J85" t="inlineStr"/>
      <c r="K85" t="inlineStr"/>
      <c r="L85" t="inlineStr"/>
    </row>
    <row r="86" ht="22" customHeight="1">
      <c r="A86" s="15" t="inlineStr">
        <is>
          <t>KPX케미칼</t>
        </is>
      </c>
      <c r="B86" t="inlineStr"/>
      <c r="C86" s="15" t="inlineStr">
        <is>
          <t>025000</t>
        </is>
      </c>
      <c r="D86" s="15" t="inlineStr">
        <is>
          <t>KOSPI</t>
        </is>
      </c>
      <c r="E86" s="15" t="inlineStr">
        <is>
          <t>장비</t>
        </is>
      </c>
      <c r="F86" s="15" t="n">
        <v>68.76000000000001</v>
      </c>
      <c r="G86" s="15" t="n">
        <v>0</v>
      </c>
      <c r="H86" s="15" t="inlineStr">
        <is>
          <t>가치 매력</t>
        </is>
      </c>
      <c r="I86" s="15" t="inlineStr">
        <is>
          <t>0.9091955435785402</t>
        </is>
      </c>
      <c r="J86" t="inlineStr"/>
      <c r="K86" t="inlineStr"/>
      <c r="L86" t="inlineStr"/>
    </row>
    <row r="87" ht="22" customHeight="1">
      <c r="A87" s="15" t="inlineStr">
        <is>
          <t>성도이엔지</t>
        </is>
      </c>
      <c r="B87" t="inlineStr"/>
      <c r="C87" s="15" t="inlineStr">
        <is>
          <t>037350</t>
        </is>
      </c>
      <c r="D87" s="15" t="inlineStr">
        <is>
          <t>KOSDAQ</t>
        </is>
      </c>
      <c r="E87" s="15" t="inlineStr">
        <is>
          <t>장비</t>
        </is>
      </c>
      <c r="F87" s="15" t="n">
        <v>68.75</v>
      </c>
      <c r="G87" s="15" t="n">
        <v>0</v>
      </c>
      <c r="H87" s="15" t="inlineStr">
        <is>
          <t>가치 매력</t>
        </is>
      </c>
      <c r="I87" s="15" t="inlineStr">
        <is>
          <t>0.9250659167833418</t>
        </is>
      </c>
      <c r="J87" t="inlineStr"/>
      <c r="K87" t="inlineStr"/>
      <c r="L87" t="inlineStr"/>
    </row>
    <row r="88" ht="22" customHeight="1">
      <c r="A88" s="15" t="inlineStr">
        <is>
          <t>한양디지텍</t>
        </is>
      </c>
      <c r="B88" t="inlineStr"/>
      <c r="C88" s="15" t="inlineStr">
        <is>
          <t>078350</t>
        </is>
      </c>
      <c r="D88" s="15" t="inlineStr">
        <is>
          <t>KOSDAQ</t>
        </is>
      </c>
      <c r="E88" s="15" t="inlineStr">
        <is>
          <t>IDM/제조/메모리</t>
        </is>
      </c>
      <c r="F88" s="15" t="n">
        <v>68.05</v>
      </c>
      <c r="G88" s="15" t="n">
        <v>7.14</v>
      </c>
      <c r="H88" s="15" t="inlineStr">
        <is>
          <t>가치 매력</t>
        </is>
      </c>
      <c r="I88" s="15" t="inlineStr">
        <is>
          <t>0.8705426081647281</t>
        </is>
      </c>
      <c r="J88" t="inlineStr"/>
      <c r="K88" t="inlineStr"/>
      <c r="L88" t="inlineStr"/>
    </row>
    <row r="89" ht="22" customHeight="1">
      <c r="A89" s="15" t="inlineStr">
        <is>
          <t>유니퀘스트</t>
        </is>
      </c>
      <c r="B89" t="inlineStr"/>
      <c r="C89" s="15" t="inlineStr">
        <is>
          <t>077500</t>
        </is>
      </c>
      <c r="D89" s="15" t="inlineStr">
        <is>
          <t>KOSPI</t>
        </is>
      </c>
      <c r="E89" s="15" t="inlineStr">
        <is>
          <t>장비</t>
        </is>
      </c>
      <c r="F89" s="15" t="n">
        <v>67.84</v>
      </c>
      <c r="G89" s="15" t="n">
        <v>0</v>
      </c>
      <c r="H89" s="15" t="inlineStr">
        <is>
          <t>가치 매력</t>
        </is>
      </c>
      <c r="I89" s="15" t="inlineStr">
        <is>
          <t>0.8881603628406226</t>
        </is>
      </c>
      <c r="J89" t="inlineStr"/>
      <c r="K89" t="inlineStr"/>
      <c r="L89" t="inlineStr"/>
    </row>
    <row r="90" ht="22" customHeight="1">
      <c r="A90" s="15" t="inlineStr">
        <is>
          <t>원익머트리얼즈</t>
        </is>
      </c>
      <c r="B90" t="inlineStr"/>
      <c r="C90" s="15" t="inlineStr">
        <is>
          <t>104830</t>
        </is>
      </c>
      <c r="D90" s="15" t="inlineStr">
        <is>
          <t>KOSDAQ</t>
        </is>
      </c>
      <c r="E90" s="15" t="inlineStr">
        <is>
          <t>소재</t>
        </is>
      </c>
      <c r="F90" s="15" t="n">
        <v>66.81999999999999</v>
      </c>
      <c r="G90" s="15" t="n">
        <v>7.14</v>
      </c>
      <c r="H90" s="15" t="inlineStr">
        <is>
          <t>중립</t>
        </is>
      </c>
      <c r="I90" s="15" t="inlineStr">
        <is>
          <t>0.9160049727267536</t>
        </is>
      </c>
      <c r="J90" t="inlineStr"/>
      <c r="K90" t="inlineStr"/>
      <c r="L90" t="inlineStr"/>
    </row>
    <row r="91" ht="22" customHeight="1">
      <c r="A91" s="15" t="inlineStr">
        <is>
          <t>솔브레인홀딩스</t>
        </is>
      </c>
      <c r="B91" t="inlineStr"/>
      <c r="C91" s="15" t="inlineStr">
        <is>
          <t>036830</t>
        </is>
      </c>
      <c r="D91" s="15" t="inlineStr">
        <is>
          <t>KOSDAQ GLOBAL</t>
        </is>
      </c>
      <c r="E91" s="15" t="inlineStr">
        <is>
          <t>소재</t>
        </is>
      </c>
      <c r="F91" s="15" t="n">
        <v>66.67</v>
      </c>
      <c r="G91" s="15" t="n">
        <v>0</v>
      </c>
      <c r="H91" s="15" t="inlineStr">
        <is>
          <t>가치 매력</t>
        </is>
      </c>
      <c r="I91" s="15" t="inlineStr">
        <is>
          <t>0.5229115612060397</t>
        </is>
      </c>
      <c r="J91" t="inlineStr"/>
      <c r="K91" t="inlineStr"/>
      <c r="L91" t="inlineStr"/>
    </row>
    <row r="92" ht="22" customHeight="1">
      <c r="A92" s="15" t="inlineStr">
        <is>
          <t>DB하이텍</t>
        </is>
      </c>
      <c r="B92" t="inlineStr"/>
      <c r="C92" s="15" t="inlineStr">
        <is>
          <t>000990</t>
        </is>
      </c>
      <c r="D92" s="15" t="inlineStr">
        <is>
          <t>KOSPI</t>
        </is>
      </c>
      <c r="E92" s="15" t="inlineStr">
        <is>
          <t>IDM/제조/메모리</t>
        </is>
      </c>
      <c r="F92" s="15" t="n">
        <v>66.53</v>
      </c>
      <c r="G92" s="15" t="n">
        <v>0</v>
      </c>
      <c r="H92" s="15" t="inlineStr">
        <is>
          <t>가치 매력</t>
        </is>
      </c>
      <c r="I92" s="15" t="inlineStr">
        <is>
          <t>0.9104444876024207</t>
        </is>
      </c>
      <c r="J92" t="inlineStr"/>
      <c r="K92" t="inlineStr"/>
      <c r="L92" t="inlineStr"/>
    </row>
    <row r="93" ht="22" customHeight="1">
      <c r="A93" s="15" t="inlineStr">
        <is>
          <t>자화전자</t>
        </is>
      </c>
      <c r="B93" t="inlineStr"/>
      <c r="C93" s="15" t="inlineStr">
        <is>
          <t>033240</t>
        </is>
      </c>
      <c r="D93" s="15" t="inlineStr">
        <is>
          <t>KOSPI</t>
        </is>
      </c>
      <c r="E93" s="15" t="inlineStr">
        <is>
          <t>부품/기판</t>
        </is>
      </c>
      <c r="F93" s="15" t="n">
        <v>66.48</v>
      </c>
      <c r="G93" s="15" t="n">
        <v>7.14</v>
      </c>
      <c r="H93" s="15" t="inlineStr">
        <is>
          <t>중립</t>
        </is>
      </c>
      <c r="I93" s="15" t="inlineStr">
        <is>
          <t>0.9380223994723259</t>
        </is>
      </c>
      <c r="J93" t="inlineStr"/>
      <c r="K93" t="inlineStr"/>
      <c r="L93" t="inlineStr"/>
    </row>
    <row r="94" ht="22" customHeight="1">
      <c r="A94" s="15" t="inlineStr">
        <is>
          <t>한솔아이원스</t>
        </is>
      </c>
      <c r="B94" t="inlineStr"/>
      <c r="C94" s="15" t="inlineStr">
        <is>
          <t>114810</t>
        </is>
      </c>
      <c r="D94" s="15" t="inlineStr">
        <is>
          <t>KOSDAQ</t>
        </is>
      </c>
      <c r="E94" s="15" t="inlineStr">
        <is>
          <t>장비</t>
        </is>
      </c>
      <c r="F94" s="15" t="n">
        <v>66.48</v>
      </c>
      <c r="G94" s="15" t="n">
        <v>14.29</v>
      </c>
      <c r="H94" s="15" t="inlineStr">
        <is>
          <t>가치 매력</t>
        </is>
      </c>
      <c r="I94" s="15" t="inlineStr">
        <is>
          <t>0.9031428820161691</t>
        </is>
      </c>
      <c r="J94" t="inlineStr"/>
      <c r="K94" t="inlineStr"/>
      <c r="L94" t="inlineStr"/>
    </row>
    <row r="95" ht="22" customHeight="1">
      <c r="A95" s="15" t="inlineStr">
        <is>
          <t>샘씨엔에스</t>
        </is>
      </c>
      <c r="B95" t="inlineStr"/>
      <c r="C95" s="15" t="inlineStr">
        <is>
          <t>252990</t>
        </is>
      </c>
      <c r="D95" s="15" t="inlineStr">
        <is>
          <t>KOSDAQ</t>
        </is>
      </c>
      <c r="E95" s="15" t="inlineStr">
        <is>
          <t>후공정/패키징/테스트</t>
        </is>
      </c>
      <c r="F95" s="15" t="n">
        <v>64.92</v>
      </c>
      <c r="G95" s="15" t="n">
        <v>14.29</v>
      </c>
      <c r="H95" s="15" t="inlineStr">
        <is>
          <t>가치 매력</t>
        </is>
      </c>
      <c r="I95" s="15" t="inlineStr">
        <is>
          <t>0.5521991152548656</t>
        </is>
      </c>
      <c r="J95" t="inlineStr"/>
      <c r="K95" t="inlineStr"/>
      <c r="L95" t="inlineStr"/>
    </row>
    <row r="96" ht="22" customHeight="1">
      <c r="A96" s="15" t="inlineStr">
        <is>
          <t>GST</t>
        </is>
      </c>
      <c r="B96" t="inlineStr"/>
      <c r="C96" s="15" t="inlineStr">
        <is>
          <t>083450</t>
        </is>
      </c>
      <c r="D96" s="15" t="inlineStr">
        <is>
          <t>KOSDAQ</t>
        </is>
      </c>
      <c r="E96" s="15" t="inlineStr">
        <is>
          <t>장비</t>
        </is>
      </c>
      <c r="F96" s="15" t="n">
        <v>64.75</v>
      </c>
      <c r="G96" s="15" t="n">
        <v>0</v>
      </c>
      <c r="H96" s="15" t="inlineStr">
        <is>
          <t>가치 매력</t>
        </is>
      </c>
      <c r="I96" s="15" t="inlineStr">
        <is>
          <t>0.900491542853433</t>
        </is>
      </c>
      <c r="J96" t="inlineStr"/>
      <c r="K96" t="inlineStr"/>
      <c r="L96" t="inlineStr"/>
    </row>
    <row r="97" ht="22" customHeight="1">
      <c r="A97" s="15" t="inlineStr">
        <is>
          <t>하나마이크론</t>
        </is>
      </c>
      <c r="B97" t="inlineStr"/>
      <c r="C97" s="15" t="inlineStr">
        <is>
          <t>067310</t>
        </is>
      </c>
      <c r="D97" s="15" t="inlineStr">
        <is>
          <t>KOSDAQ</t>
        </is>
      </c>
      <c r="E97" s="15" t="inlineStr">
        <is>
          <t>후공정/패키징/테스트</t>
        </is>
      </c>
      <c r="F97" s="15" t="n">
        <v>64.06</v>
      </c>
      <c r="G97" s="15" t="n">
        <v>28.57</v>
      </c>
      <c r="H97" s="15" t="inlineStr">
        <is>
          <t>가치 매력</t>
        </is>
      </c>
      <c r="I97" s="15" t="inlineStr">
        <is>
          <t>0.8727001075083287</t>
        </is>
      </c>
      <c r="J97" t="inlineStr"/>
      <c r="K97" t="inlineStr"/>
      <c r="L97" t="inlineStr"/>
    </row>
    <row r="98" ht="22" customHeight="1">
      <c r="A98" s="15" t="inlineStr">
        <is>
          <t>티이엠씨씨엔에스</t>
        </is>
      </c>
      <c r="B98" t="inlineStr"/>
      <c r="C98" s="15" t="inlineStr">
        <is>
          <t>241790</t>
        </is>
      </c>
      <c r="D98" s="15" t="inlineStr">
        <is>
          <t>KOSDAQ</t>
        </is>
      </c>
      <c r="E98" s="15" t="inlineStr">
        <is>
          <t>장비</t>
        </is>
      </c>
      <c r="F98" s="15" t="n">
        <v>63.93</v>
      </c>
      <c r="G98" s="15" t="n">
        <v>7.14</v>
      </c>
      <c r="H98" s="15" t="inlineStr">
        <is>
          <t>가치 매력</t>
        </is>
      </c>
      <c r="I98" s="15" t="inlineStr">
        <is>
          <t>0.8915695356337118</t>
        </is>
      </c>
      <c r="J98" t="inlineStr"/>
      <c r="K98" t="inlineStr"/>
      <c r="L98" t="inlineStr"/>
    </row>
    <row r="99" ht="22" customHeight="1">
      <c r="A99" s="15" t="inlineStr">
        <is>
          <t>네패스</t>
        </is>
      </c>
      <c r="B99" s="15" t="inlineStr">
        <is>
          <t>nepes</t>
        </is>
      </c>
      <c r="C99" s="15" t="inlineStr">
        <is>
          <t>033640</t>
        </is>
      </c>
      <c r="D99" s="15" t="inlineStr">
        <is>
          <t>KOSDAQ</t>
        </is>
      </c>
      <c r="E99" s="15" t="inlineStr">
        <is>
          <t>후공정/패키징/테스트</t>
        </is>
      </c>
      <c r="F99" s="15" t="n">
        <v>63.85</v>
      </c>
      <c r="G99" s="15" t="n">
        <v>28.57</v>
      </c>
      <c r="H99" s="15" t="inlineStr">
        <is>
          <t>가치 매력</t>
        </is>
      </c>
      <c r="I99" s="15" t="inlineStr">
        <is>
          <t>0.8763685947958789</t>
        </is>
      </c>
      <c r="J99" s="15" t="inlineStr">
        <is>
          <t>예</t>
        </is>
      </c>
      <c r="K99" t="inlineStr"/>
      <c r="L99" t="inlineStr"/>
    </row>
    <row r="100" ht="22" customHeight="1">
      <c r="A100" s="15" t="inlineStr">
        <is>
          <t>KX하이텍</t>
        </is>
      </c>
      <c r="B100" t="inlineStr"/>
      <c r="C100" s="15" t="inlineStr">
        <is>
          <t>052900</t>
        </is>
      </c>
      <c r="D100" s="15" t="inlineStr">
        <is>
          <t>KOSDAQ</t>
        </is>
      </c>
      <c r="E100" s="15" t="inlineStr">
        <is>
          <t>후공정/패키징/테스트</t>
        </is>
      </c>
      <c r="F100" s="15" t="n">
        <v>63.61</v>
      </c>
      <c r="G100" s="15" t="n">
        <v>7.14</v>
      </c>
      <c r="H100" s="15" t="inlineStr">
        <is>
          <t>가치 매력</t>
        </is>
      </c>
      <c r="I100" s="15" t="inlineStr">
        <is>
          <t>0.7896879678479897</t>
        </is>
      </c>
      <c r="J100" t="inlineStr"/>
      <c r="K100" t="inlineStr"/>
      <c r="L100" t="inlineStr"/>
    </row>
    <row r="101" ht="22" customHeight="1">
      <c r="A101" s="15" t="inlineStr">
        <is>
          <t>코미코</t>
        </is>
      </c>
      <c r="B101" t="inlineStr"/>
      <c r="C101" s="15" t="inlineStr">
        <is>
          <t>183300</t>
        </is>
      </c>
      <c r="D101" s="15" t="inlineStr">
        <is>
          <t>KOSDAQ GLOBAL</t>
        </is>
      </c>
      <c r="E101" s="15" t="inlineStr">
        <is>
          <t>부품/기판</t>
        </is>
      </c>
      <c r="F101" s="15" t="n">
        <v>63.43</v>
      </c>
      <c r="G101" s="15" t="n">
        <v>35.71</v>
      </c>
      <c r="H101" s="15" t="inlineStr">
        <is>
          <t>중립</t>
        </is>
      </c>
      <c r="I101" s="15" t="inlineStr">
        <is>
          <t>0.8305894153326006</t>
        </is>
      </c>
      <c r="J101" t="inlineStr"/>
      <c r="K101" t="inlineStr"/>
      <c r="L101" t="inlineStr"/>
    </row>
    <row r="102" ht="22" customHeight="1">
      <c r="A102" s="15" t="inlineStr">
        <is>
          <t>디아이티</t>
        </is>
      </c>
      <c r="B102" t="inlineStr"/>
      <c r="C102" s="15" t="inlineStr">
        <is>
          <t>110990</t>
        </is>
      </c>
      <c r="D102" s="15" t="inlineStr">
        <is>
          <t>KOSDAQ</t>
        </is>
      </c>
      <c r="E102" s="15" t="inlineStr">
        <is>
          <t>장비</t>
        </is>
      </c>
      <c r="F102" s="15" t="n">
        <v>63.41</v>
      </c>
      <c r="G102" s="15" t="n">
        <v>0</v>
      </c>
      <c r="H102" s="15" t="inlineStr">
        <is>
          <t>가치 매력</t>
        </is>
      </c>
      <c r="I102" s="15" t="inlineStr">
        <is>
          <t>0.8847780199048246</t>
        </is>
      </c>
      <c r="J102" t="inlineStr"/>
      <c r="K102" t="inlineStr"/>
      <c r="L102" t="inlineStr"/>
    </row>
    <row r="103" ht="22" customHeight="1">
      <c r="A103" s="15" t="inlineStr">
        <is>
          <t>한솔케미칼</t>
        </is>
      </c>
      <c r="B103" s="15" t="inlineStr">
        <is>
          <t>hansol</t>
        </is>
      </c>
      <c r="C103" s="15" t="inlineStr">
        <is>
          <t>014680</t>
        </is>
      </c>
      <c r="D103" s="15" t="inlineStr">
        <is>
          <t>KOSPI</t>
        </is>
      </c>
      <c r="E103" s="15" t="inlineStr">
        <is>
          <t>소재</t>
        </is>
      </c>
      <c r="F103" s="15" t="n">
        <v>63.31</v>
      </c>
      <c r="G103" s="15" t="n">
        <v>0</v>
      </c>
      <c r="H103" s="15" t="inlineStr">
        <is>
          <t>가치 매력</t>
        </is>
      </c>
      <c r="I103" s="15" t="inlineStr">
        <is>
          <t>0.8364696976606926</t>
        </is>
      </c>
      <c r="J103" s="15" t="inlineStr">
        <is>
          <t>예</t>
        </is>
      </c>
      <c r="K103" t="inlineStr"/>
      <c r="L103" t="inlineStr"/>
    </row>
    <row r="104" ht="22" customHeight="1">
      <c r="A104" s="15" t="inlineStr">
        <is>
          <t>케이씨텍</t>
        </is>
      </c>
      <c r="B104" t="inlineStr"/>
      <c r="C104" s="15" t="inlineStr">
        <is>
          <t>281820</t>
        </is>
      </c>
      <c r="D104" s="15" t="inlineStr">
        <is>
          <t>KOSPI</t>
        </is>
      </c>
      <c r="E104" s="15" t="inlineStr">
        <is>
          <t>장비</t>
        </is>
      </c>
      <c r="F104" s="15" t="n">
        <v>63.15</v>
      </c>
      <c r="G104" s="15" t="n">
        <v>0</v>
      </c>
      <c r="H104" s="15" t="inlineStr">
        <is>
          <t>가치 매력</t>
        </is>
      </c>
      <c r="I104" s="15" t="inlineStr">
        <is>
          <t>0.8895261430914092</t>
        </is>
      </c>
      <c r="J104" t="inlineStr"/>
      <c r="K104" t="inlineStr"/>
      <c r="L104" t="inlineStr"/>
    </row>
    <row r="105" ht="22" customHeight="1">
      <c r="A105" s="15" t="inlineStr">
        <is>
          <t>이녹스첨단소재</t>
        </is>
      </c>
      <c r="B105" t="inlineStr"/>
      <c r="C105" s="15" t="inlineStr">
        <is>
          <t>272290</t>
        </is>
      </c>
      <c r="D105" s="15" t="inlineStr">
        <is>
          <t>KOSDAQ GLOBAL</t>
        </is>
      </c>
      <c r="E105" s="15" t="inlineStr">
        <is>
          <t>소재</t>
        </is>
      </c>
      <c r="F105" s="15" t="n">
        <v>63.13</v>
      </c>
      <c r="G105" s="15" t="n">
        <v>7.14</v>
      </c>
      <c r="H105" s="15" t="inlineStr">
        <is>
          <t>중립</t>
        </is>
      </c>
      <c r="I105" s="15" t="inlineStr">
        <is>
          <t>0.900184891106931</t>
        </is>
      </c>
      <c r="J105" t="inlineStr"/>
      <c r="K105" t="inlineStr"/>
      <c r="L105" t="inlineStr"/>
    </row>
    <row r="106" ht="22" customHeight="1">
      <c r="A106" s="15" t="inlineStr">
        <is>
          <t>로체시스템즈</t>
        </is>
      </c>
      <c r="B106" t="inlineStr"/>
      <c r="C106" s="15" t="inlineStr">
        <is>
          <t>071280</t>
        </is>
      </c>
      <c r="D106" s="15" t="inlineStr">
        <is>
          <t>KOSDAQ</t>
        </is>
      </c>
      <c r="E106" s="15" t="inlineStr">
        <is>
          <t>장비</t>
        </is>
      </c>
      <c r="F106" s="15" t="n">
        <v>62.59</v>
      </c>
      <c r="G106" s="15" t="n">
        <v>7.14</v>
      </c>
      <c r="H106" s="15" t="inlineStr">
        <is>
          <t>가치 매력</t>
        </is>
      </c>
      <c r="I106" s="15" t="inlineStr">
        <is>
          <t>0.9642438845844894</t>
        </is>
      </c>
      <c r="J106" t="inlineStr"/>
      <c r="K106" t="inlineStr"/>
      <c r="L106" t="inlineStr"/>
    </row>
    <row r="107" ht="22" customHeight="1">
      <c r="A107" s="15" t="inlineStr">
        <is>
          <t>에이치엠넥스</t>
        </is>
      </c>
      <c r="B107" t="inlineStr"/>
      <c r="C107" s="15" t="inlineStr">
        <is>
          <t>036170</t>
        </is>
      </c>
      <c r="D107" s="15" t="inlineStr">
        <is>
          <t>KOSDAQ</t>
        </is>
      </c>
      <c r="E107" s="15" t="inlineStr">
        <is>
          <t>후공정/패키징/테스트</t>
        </is>
      </c>
      <c r="F107" s="15" t="n">
        <v>62.1</v>
      </c>
      <c r="G107" s="15" t="n">
        <v>35.71</v>
      </c>
      <c r="H107" s="15" t="inlineStr">
        <is>
          <t>중립</t>
        </is>
      </c>
      <c r="I107" s="15" t="inlineStr">
        <is>
          <t>0.7433115072206052</t>
        </is>
      </c>
      <c r="J107" t="inlineStr"/>
      <c r="K107" t="inlineStr"/>
      <c r="L107" t="inlineStr"/>
    </row>
    <row r="108" ht="22" customHeight="1">
      <c r="A108" s="15" t="inlineStr">
        <is>
          <t>리노공업</t>
        </is>
      </c>
      <c r="B108" t="inlineStr"/>
      <c r="C108" s="15" t="inlineStr">
        <is>
          <t>058470</t>
        </is>
      </c>
      <c r="D108" s="15" t="inlineStr">
        <is>
          <t>KOSDAQ GLOBAL</t>
        </is>
      </c>
      <c r="E108" s="15" t="inlineStr">
        <is>
          <t>후공정/패키징/테스트</t>
        </is>
      </c>
      <c r="F108" s="15" t="n">
        <v>61.91</v>
      </c>
      <c r="G108" s="15" t="n">
        <v>0</v>
      </c>
      <c r="H108" s="15" t="inlineStr">
        <is>
          <t>가치 매력</t>
        </is>
      </c>
      <c r="I108" s="15" t="inlineStr">
        <is>
          <t>0.6825301704423244</t>
        </is>
      </c>
      <c r="J108" t="inlineStr"/>
      <c r="K108" t="inlineStr"/>
      <c r="L108" t="inlineStr"/>
    </row>
    <row r="109" ht="22" customHeight="1">
      <c r="A109" s="15" t="inlineStr">
        <is>
          <t>아이씨디</t>
        </is>
      </c>
      <c r="B109" t="inlineStr"/>
      <c r="C109" s="15" t="inlineStr">
        <is>
          <t>040910</t>
        </is>
      </c>
      <c r="D109" s="15" t="inlineStr">
        <is>
          <t>KOSDAQ</t>
        </is>
      </c>
      <c r="E109" s="15" t="inlineStr">
        <is>
          <t>장비</t>
        </is>
      </c>
      <c r="F109" s="15" t="n">
        <v>61.59</v>
      </c>
      <c r="G109" s="15" t="n">
        <v>7.14</v>
      </c>
      <c r="H109" s="15" t="inlineStr">
        <is>
          <t>중립</t>
        </is>
      </c>
      <c r="I109" s="15" t="inlineStr">
        <is>
          <t>0.692546582663732</t>
        </is>
      </c>
      <c r="J109" t="inlineStr"/>
      <c r="K109" t="inlineStr"/>
      <c r="L109" t="inlineStr"/>
    </row>
    <row r="110" ht="22" customHeight="1">
      <c r="A110" s="15" t="inlineStr">
        <is>
          <t>에스에프에이</t>
        </is>
      </c>
      <c r="B110" t="inlineStr"/>
      <c r="C110" s="15" t="inlineStr">
        <is>
          <t>056190</t>
        </is>
      </c>
      <c r="D110" s="15" t="inlineStr">
        <is>
          <t>KOSDAQ GLOBAL</t>
        </is>
      </c>
      <c r="E110" s="15" t="inlineStr">
        <is>
          <t>장비</t>
        </is>
      </c>
      <c r="F110" s="15" t="n">
        <v>60.99</v>
      </c>
      <c r="G110" s="15" t="n">
        <v>0</v>
      </c>
      <c r="H110" s="15" t="inlineStr">
        <is>
          <t>가치 매력</t>
        </is>
      </c>
      <c r="I110" s="15" t="inlineStr">
        <is>
          <t>0.8690882589557657</t>
        </is>
      </c>
      <c r="J110" t="inlineStr"/>
      <c r="K110" t="inlineStr"/>
      <c r="L110" t="inlineStr"/>
    </row>
    <row r="111" ht="22" customHeight="1">
      <c r="A111" s="15" t="inlineStr">
        <is>
          <t>오디텍</t>
        </is>
      </c>
      <c r="B111" t="inlineStr"/>
      <c r="C111" s="15" t="inlineStr">
        <is>
          <t>080520</t>
        </is>
      </c>
      <c r="D111" s="15" t="inlineStr">
        <is>
          <t>KOSDAQ</t>
        </is>
      </c>
      <c r="E111" s="15" t="inlineStr">
        <is>
          <t>IDM/제조/메모리</t>
        </is>
      </c>
      <c r="F111" s="15" t="n">
        <v>60.83</v>
      </c>
      <c r="G111" s="15" t="n">
        <v>42.86</v>
      </c>
      <c r="H111" s="15" t="inlineStr">
        <is>
          <t>중립</t>
        </is>
      </c>
      <c r="I111" s="15" t="inlineStr">
        <is>
          <t>0.8328575689014174</t>
        </is>
      </c>
      <c r="J111" t="inlineStr"/>
      <c r="K111" t="inlineStr"/>
      <c r="L111" t="inlineStr"/>
    </row>
    <row r="112" ht="22" customHeight="1">
      <c r="A112" s="15" t="inlineStr">
        <is>
          <t>오킨스전자</t>
        </is>
      </c>
      <c r="B112" t="inlineStr"/>
      <c r="C112" s="15" t="inlineStr">
        <is>
          <t>080580</t>
        </is>
      </c>
      <c r="D112" s="15" t="inlineStr">
        <is>
          <t>KOSDAQ</t>
        </is>
      </c>
      <c r="E112" s="15" t="inlineStr">
        <is>
          <t>후공정/패키징/테스트</t>
        </is>
      </c>
      <c r="F112" s="15" t="n">
        <v>60.62</v>
      </c>
      <c r="G112" s="15" t="n">
        <v>21.43</v>
      </c>
      <c r="H112" s="15" t="inlineStr">
        <is>
          <t>가치 매력</t>
        </is>
      </c>
      <c r="I112" s="15" t="inlineStr">
        <is>
          <t>0.8105235691914331</t>
        </is>
      </c>
      <c r="J112" t="inlineStr"/>
      <c r="K112" t="inlineStr"/>
      <c r="L112" t="inlineStr"/>
    </row>
    <row r="113" ht="22" customHeight="1">
      <c r="A113" s="15" t="inlineStr">
        <is>
          <t>알에프세미</t>
        </is>
      </c>
      <c r="B113" t="inlineStr"/>
      <c r="C113" s="15" t="inlineStr">
        <is>
          <t>096610</t>
        </is>
      </c>
      <c r="D113" s="15" t="inlineStr">
        <is>
          <t>KOSDAQ</t>
        </is>
      </c>
      <c r="E113" s="15" t="inlineStr">
        <is>
          <t>팹리스/설계</t>
        </is>
      </c>
      <c r="F113" s="15" t="n">
        <v>60.3</v>
      </c>
      <c r="G113" s="15" t="n">
        <v>7.14</v>
      </c>
      <c r="H113" s="15" t="inlineStr">
        <is>
          <t>가치 매력</t>
        </is>
      </c>
      <c r="I113" s="15" t="inlineStr">
        <is>
          <t>0.8083150256499313</t>
        </is>
      </c>
      <c r="J113" t="inlineStr"/>
      <c r="K113" t="inlineStr"/>
      <c r="L113" t="inlineStr"/>
    </row>
    <row r="114" ht="22" customHeight="1">
      <c r="A114" s="15" t="inlineStr">
        <is>
          <t>그린리소스</t>
        </is>
      </c>
      <c r="B114" t="inlineStr"/>
      <c r="C114" s="15" t="inlineStr">
        <is>
          <t>402490</t>
        </is>
      </c>
      <c r="D114" s="15" t="inlineStr">
        <is>
          <t>KOSDAQ</t>
        </is>
      </c>
      <c r="E114" s="15" t="inlineStr">
        <is>
          <t>IDM/제조/메모리</t>
        </is>
      </c>
      <c r="F114" s="15" t="n">
        <v>60.22</v>
      </c>
      <c r="G114" s="15" t="n">
        <v>42.86</v>
      </c>
      <c r="H114" s="15" t="inlineStr">
        <is>
          <t>중립</t>
        </is>
      </c>
      <c r="I114" s="15" t="inlineStr">
        <is>
          <t>0.7869051998623771</t>
        </is>
      </c>
      <c r="J114" t="inlineStr"/>
      <c r="K114" t="inlineStr"/>
      <c r="L114" t="inlineStr"/>
    </row>
    <row r="115" ht="22" customHeight="1">
      <c r="A115" s="15" t="inlineStr">
        <is>
          <t>삼양엔씨켐</t>
        </is>
      </c>
      <c r="B115" t="inlineStr"/>
      <c r="C115" s="15" t="inlineStr">
        <is>
          <t>482630</t>
        </is>
      </c>
      <c r="D115" s="15" t="inlineStr">
        <is>
          <t>KOSDAQ</t>
        </is>
      </c>
      <c r="E115" s="15" t="inlineStr">
        <is>
          <t>장비</t>
        </is>
      </c>
      <c r="F115" s="15" t="n">
        <v>59.93</v>
      </c>
      <c r="G115" s="15" t="n">
        <v>7.14</v>
      </c>
      <c r="H115" s="15" t="inlineStr">
        <is>
          <t>가치 매력</t>
        </is>
      </c>
      <c r="I115" s="15" t="inlineStr">
        <is>
          <t>0.6408467710997098</t>
        </is>
      </c>
      <c r="J115" t="inlineStr"/>
      <c r="K115" t="inlineStr"/>
      <c r="L115" t="inlineStr"/>
    </row>
    <row r="116" ht="22" customHeight="1">
      <c r="A116" s="15" t="inlineStr">
        <is>
          <t>루멘스</t>
        </is>
      </c>
      <c r="B116" t="inlineStr"/>
      <c r="C116" s="15" t="inlineStr">
        <is>
          <t>038060</t>
        </is>
      </c>
      <c r="D116" s="15" t="inlineStr">
        <is>
          <t>KOSDAQ</t>
        </is>
      </c>
      <c r="E116" s="15" t="inlineStr">
        <is>
          <t>IDM/제조/메모리</t>
        </is>
      </c>
      <c r="F116" s="15" t="n">
        <v>59.7</v>
      </c>
      <c r="G116" s="15" t="n">
        <v>35.71</v>
      </c>
      <c r="H116" s="15" t="inlineStr">
        <is>
          <t>중립</t>
        </is>
      </c>
      <c r="I116" s="15" t="inlineStr">
        <is>
          <t>0.8437683700786414</t>
        </is>
      </c>
      <c r="J116" t="inlineStr"/>
      <c r="K116" t="inlineStr"/>
      <c r="L116" t="inlineStr"/>
    </row>
    <row r="117" ht="22" customHeight="1">
      <c r="A117" s="15" t="inlineStr">
        <is>
          <t>싸이맥스</t>
        </is>
      </c>
      <c r="B117" t="inlineStr"/>
      <c r="C117" s="15" t="inlineStr">
        <is>
          <t>160980</t>
        </is>
      </c>
      <c r="D117" s="15" t="inlineStr">
        <is>
          <t>KOSDAQ</t>
        </is>
      </c>
      <c r="E117" s="15" t="inlineStr">
        <is>
          <t>장비</t>
        </is>
      </c>
      <c r="F117" s="15" t="n">
        <v>59.61</v>
      </c>
      <c r="G117" s="15" t="n">
        <v>0</v>
      </c>
      <c r="H117" s="15" t="inlineStr">
        <is>
          <t>가치 매력</t>
        </is>
      </c>
      <c r="I117" s="15" t="inlineStr">
        <is>
          <t>0.8128181122496774</t>
        </is>
      </c>
      <c r="J117" t="inlineStr"/>
      <c r="K117" t="inlineStr"/>
      <c r="L117" t="inlineStr"/>
    </row>
    <row r="118" ht="22" customHeight="1">
      <c r="A118" s="15" t="inlineStr">
        <is>
          <t>제주반도체</t>
        </is>
      </c>
      <c r="B118" t="inlineStr"/>
      <c r="C118" s="15" t="inlineStr">
        <is>
          <t>080220</t>
        </is>
      </c>
      <c r="D118" s="15" t="inlineStr">
        <is>
          <t>KOSDAQ</t>
        </is>
      </c>
      <c r="E118" s="15" t="inlineStr">
        <is>
          <t>팹리스/설계</t>
        </is>
      </c>
      <c r="F118" s="15" t="n">
        <v>59.17</v>
      </c>
      <c r="G118" s="15" t="n">
        <v>0</v>
      </c>
      <c r="H118" s="15" t="inlineStr">
        <is>
          <t>가치 매력</t>
        </is>
      </c>
      <c r="I118" s="15" t="inlineStr">
        <is>
          <t>0.6955424557105586</t>
        </is>
      </c>
      <c r="J118" t="inlineStr"/>
      <c r="K118" t="inlineStr"/>
      <c r="L118" t="inlineStr"/>
    </row>
    <row r="119" ht="22" customHeight="1">
      <c r="A119" s="15" t="inlineStr">
        <is>
          <t>티에스이</t>
        </is>
      </c>
      <c r="B119" t="inlineStr"/>
      <c r="C119" s="15" t="inlineStr">
        <is>
          <t>131290</t>
        </is>
      </c>
      <c r="D119" s="15" t="inlineStr">
        <is>
          <t>KOSDAQ</t>
        </is>
      </c>
      <c r="E119" s="15" t="inlineStr">
        <is>
          <t>팹리스/설계</t>
        </is>
      </c>
      <c r="F119" s="15" t="n">
        <v>58.81</v>
      </c>
      <c r="G119" s="15" t="n">
        <v>0</v>
      </c>
      <c r="H119" s="15" t="inlineStr">
        <is>
          <t>가치 매력</t>
        </is>
      </c>
      <c r="I119" s="15" t="inlineStr">
        <is>
          <t>0.7390287615028212</t>
        </is>
      </c>
      <c r="J119" t="inlineStr"/>
      <c r="K119" t="inlineStr"/>
      <c r="L119" t="inlineStr"/>
    </row>
    <row r="120" ht="22" customHeight="1">
      <c r="A120" s="15" t="inlineStr">
        <is>
          <t>디아이</t>
        </is>
      </c>
      <c r="B120" t="inlineStr"/>
      <c r="C120" s="15" t="inlineStr">
        <is>
          <t>003160</t>
        </is>
      </c>
      <c r="D120" s="15" t="inlineStr">
        <is>
          <t>KOSPI</t>
        </is>
      </c>
      <c r="E120" s="15" t="inlineStr">
        <is>
          <t>후공정/패키징/테스트</t>
        </is>
      </c>
      <c r="F120" s="15" t="n">
        <v>58.76</v>
      </c>
      <c r="G120" s="15" t="n">
        <v>7.14</v>
      </c>
      <c r="H120" s="15" t="inlineStr">
        <is>
          <t>가치 매력</t>
        </is>
      </c>
      <c r="I120" s="15" t="inlineStr">
        <is>
          <t>0.6560906263736197</t>
        </is>
      </c>
      <c r="J120" t="inlineStr"/>
      <c r="K120" t="inlineStr"/>
      <c r="L120" t="inlineStr"/>
    </row>
    <row r="121" ht="22" customHeight="1">
      <c r="A121" s="15" t="inlineStr">
        <is>
          <t>피델릭스</t>
        </is>
      </c>
      <c r="B121" t="inlineStr"/>
      <c r="C121" s="15" t="inlineStr">
        <is>
          <t>032580</t>
        </is>
      </c>
      <c r="D121" s="15" t="inlineStr">
        <is>
          <t>KOSDAQ</t>
        </is>
      </c>
      <c r="E121" s="15" t="inlineStr">
        <is>
          <t>IDM/제조/메모리</t>
        </is>
      </c>
      <c r="F121" s="15" t="n">
        <v>58.73</v>
      </c>
      <c r="G121" s="15" t="n">
        <v>50</v>
      </c>
      <c r="H121" s="15" t="inlineStr">
        <is>
          <t>중립</t>
        </is>
      </c>
      <c r="I121" s="15" t="inlineStr">
        <is>
          <t>0.8604826019551013</t>
        </is>
      </c>
      <c r="J121" t="inlineStr"/>
      <c r="K121" t="inlineStr"/>
      <c r="L121" t="inlineStr"/>
    </row>
    <row r="122" ht="22" customHeight="1">
      <c r="A122" s="15" t="inlineStr">
        <is>
          <t>엘티씨</t>
        </is>
      </c>
      <c r="B122" s="15" t="inlineStr">
        <is>
          <t>ltc</t>
        </is>
      </c>
      <c r="C122" s="15" t="inlineStr">
        <is>
          <t>170920</t>
        </is>
      </c>
      <c r="D122" s="15" t="inlineStr">
        <is>
          <t>KOSDAQ</t>
        </is>
      </c>
      <c r="E122" s="15" t="inlineStr">
        <is>
          <t>소재</t>
        </is>
      </c>
      <c r="F122" s="15" t="n">
        <v>58.38</v>
      </c>
      <c r="G122" s="15" t="n">
        <v>0</v>
      </c>
      <c r="H122" s="15" t="inlineStr">
        <is>
          <t>중립</t>
        </is>
      </c>
      <c r="I122" s="15" t="inlineStr">
        <is>
          <t>0.6353016273848794</t>
        </is>
      </c>
      <c r="J122" s="15" t="inlineStr">
        <is>
          <t>예</t>
        </is>
      </c>
      <c r="K122" t="inlineStr"/>
      <c r="L122" t="inlineStr"/>
    </row>
    <row r="123" ht="22" customHeight="1">
      <c r="A123" s="15" t="inlineStr">
        <is>
          <t>엔시트론</t>
        </is>
      </c>
      <c r="B123" t="inlineStr"/>
      <c r="C123" s="15" t="inlineStr">
        <is>
          <t>101400</t>
        </is>
      </c>
      <c r="D123" s="15" t="inlineStr">
        <is>
          <t>KOSDAQ</t>
        </is>
      </c>
      <c r="E123" s="15" t="inlineStr">
        <is>
          <t>IDM/제조/메모리</t>
        </is>
      </c>
      <c r="F123" s="15" t="n">
        <v>57.73</v>
      </c>
      <c r="G123" s="15" t="n">
        <v>35.71</v>
      </c>
      <c r="H123" s="15" t="inlineStr">
        <is>
          <t>중립</t>
        </is>
      </c>
      <c r="I123" s="15" t="inlineStr">
        <is>
          <t>0.8173941540342667</t>
        </is>
      </c>
      <c r="J123" t="inlineStr"/>
      <c r="K123" t="inlineStr"/>
      <c r="L123" t="inlineStr"/>
    </row>
    <row r="124" ht="22" customHeight="1">
      <c r="A124" s="15" t="inlineStr">
        <is>
          <t>아나패스</t>
        </is>
      </c>
      <c r="B124" t="inlineStr"/>
      <c r="C124" s="15" t="inlineStr">
        <is>
          <t>123860</t>
        </is>
      </c>
      <c r="D124" s="15" t="inlineStr">
        <is>
          <t>KOSDAQ</t>
        </is>
      </c>
      <c r="E124" s="15" t="inlineStr">
        <is>
          <t>팹리스/설계</t>
        </is>
      </c>
      <c r="F124" s="15" t="n">
        <v>57.62</v>
      </c>
      <c r="G124" s="15" t="n">
        <v>0</v>
      </c>
      <c r="H124" s="15" t="inlineStr">
        <is>
          <t>중립</t>
        </is>
      </c>
      <c r="I124" s="15" t="inlineStr">
        <is>
          <t>0.510332377942325</t>
        </is>
      </c>
      <c r="J124" t="inlineStr"/>
      <c r="K124" t="inlineStr"/>
      <c r="L124" t="inlineStr"/>
    </row>
    <row r="125" ht="22" customHeight="1">
      <c r="A125" s="15" t="inlineStr">
        <is>
          <t>비에이치</t>
        </is>
      </c>
      <c r="B125" t="inlineStr"/>
      <c r="C125" s="15" t="inlineStr">
        <is>
          <t>090460</t>
        </is>
      </c>
      <c r="D125" s="15" t="inlineStr">
        <is>
          <t>KOSPI</t>
        </is>
      </c>
      <c r="E125" s="15" t="inlineStr">
        <is>
          <t>부품/기판</t>
        </is>
      </c>
      <c r="F125" s="15" t="n">
        <v>57.52</v>
      </c>
      <c r="G125" s="15" t="n">
        <v>0</v>
      </c>
      <c r="H125" s="15" t="inlineStr">
        <is>
          <t>중립</t>
        </is>
      </c>
      <c r="I125" s="15" t="inlineStr">
        <is>
          <t>0.5078538652826</t>
        </is>
      </c>
      <c r="J125" t="inlineStr"/>
      <c r="K125" t="inlineStr"/>
      <c r="L125" t="inlineStr"/>
    </row>
    <row r="126" ht="22" customHeight="1">
      <c r="A126" s="15" t="inlineStr">
        <is>
          <t>뉴파워프라즈마</t>
        </is>
      </c>
      <c r="B126" t="inlineStr"/>
      <c r="C126" s="15" t="inlineStr">
        <is>
          <t>144960</t>
        </is>
      </c>
      <c r="D126" s="15" t="inlineStr">
        <is>
          <t>KOSDAQ</t>
        </is>
      </c>
      <c r="E126" s="15" t="inlineStr">
        <is>
          <t>장비</t>
        </is>
      </c>
      <c r="F126" s="15" t="n">
        <v>57.49</v>
      </c>
      <c r="G126" s="15" t="n">
        <v>21.43</v>
      </c>
      <c r="H126" s="15" t="inlineStr">
        <is>
          <t>중립</t>
        </is>
      </c>
      <c r="I126" s="15" t="inlineStr">
        <is>
          <t>0.868464354966477</t>
        </is>
      </c>
      <c r="J126" t="inlineStr"/>
      <c r="K126" t="inlineStr"/>
      <c r="L126" t="inlineStr"/>
    </row>
    <row r="127" ht="22" customHeight="1">
      <c r="A127" s="15" t="inlineStr">
        <is>
          <t>이엘씨</t>
        </is>
      </c>
      <c r="B127" t="inlineStr"/>
      <c r="C127" s="15" t="inlineStr">
        <is>
          <t>041520</t>
        </is>
      </c>
      <c r="D127" s="15" t="inlineStr">
        <is>
          <t>KOSDAQ</t>
        </is>
      </c>
      <c r="E127" s="15" t="inlineStr">
        <is>
          <t>장비</t>
        </is>
      </c>
      <c r="F127" s="15" t="n">
        <v>57.22</v>
      </c>
      <c r="G127" s="15" t="n">
        <v>35.71</v>
      </c>
      <c r="H127" s="15" t="inlineStr">
        <is>
          <t>중립</t>
        </is>
      </c>
      <c r="I127" s="15" t="inlineStr">
        <is>
          <t>0.7059172837936919</t>
        </is>
      </c>
      <c r="J127" t="inlineStr"/>
      <c r="K127" t="inlineStr"/>
      <c r="L127" t="inlineStr"/>
    </row>
    <row r="128" ht="22" customHeight="1">
      <c r="A128" s="15" t="inlineStr">
        <is>
          <t>엑시콘</t>
        </is>
      </c>
      <c r="B128" t="inlineStr"/>
      <c r="C128" s="15" t="inlineStr">
        <is>
          <t>092870</t>
        </is>
      </c>
      <c r="D128" s="15" t="inlineStr">
        <is>
          <t>KOSDAQ</t>
        </is>
      </c>
      <c r="E128" s="15" t="inlineStr">
        <is>
          <t>후공정/패키징/테스트</t>
        </is>
      </c>
      <c r="F128" s="15" t="n">
        <v>57.11</v>
      </c>
      <c r="G128" s="15" t="n">
        <v>21.43</v>
      </c>
      <c r="H128" s="15" t="inlineStr">
        <is>
          <t>중립</t>
        </is>
      </c>
      <c r="I128" s="15" t="inlineStr">
        <is>
          <t>0.7870958268046786</t>
        </is>
      </c>
      <c r="J128" t="inlineStr"/>
      <c r="K128" t="inlineStr"/>
      <c r="L128" t="inlineStr"/>
    </row>
    <row r="129" ht="22" customHeight="1">
      <c r="A129" s="15" t="inlineStr">
        <is>
          <t>티이엠씨</t>
        </is>
      </c>
      <c r="B129" t="inlineStr"/>
      <c r="C129" s="15" t="inlineStr">
        <is>
          <t>425040</t>
        </is>
      </c>
      <c r="D129" s="15" t="inlineStr">
        <is>
          <t>KOSDAQ</t>
        </is>
      </c>
      <c r="E129" s="15" t="inlineStr">
        <is>
          <t>소재</t>
        </is>
      </c>
      <c r="F129" s="15" t="n">
        <v>56.67</v>
      </c>
      <c r="G129" s="15" t="n">
        <v>7.14</v>
      </c>
      <c r="H129" s="15" t="inlineStr">
        <is>
          <t>중립</t>
        </is>
      </c>
      <c r="I129" s="15" t="inlineStr">
        <is>
          <t>0.8720430887980049</t>
        </is>
      </c>
      <c r="J129" t="inlineStr"/>
      <c r="K129" t="inlineStr"/>
      <c r="L129" t="inlineStr"/>
    </row>
    <row r="130" ht="22" customHeight="1">
      <c r="A130" s="15" t="inlineStr">
        <is>
          <t>서울바이오시스</t>
        </is>
      </c>
      <c r="B130" t="inlineStr"/>
      <c r="C130" s="15" t="inlineStr">
        <is>
          <t>092190</t>
        </is>
      </c>
      <c r="D130" s="15" t="inlineStr">
        <is>
          <t>KOSDAQ</t>
        </is>
      </c>
      <c r="E130" s="15" t="inlineStr">
        <is>
          <t>IDM/제조/메모리</t>
        </is>
      </c>
      <c r="F130" s="15" t="n">
        <v>56.55</v>
      </c>
      <c r="G130" s="15" t="n">
        <v>42.86</v>
      </c>
      <c r="H130" s="15" t="inlineStr">
        <is>
          <t>중립</t>
        </is>
      </c>
      <c r="I130" s="15" t="inlineStr">
        <is>
          <t>0.7336783523450653</t>
        </is>
      </c>
      <c r="J130" t="inlineStr"/>
      <c r="K130" t="inlineStr"/>
      <c r="L130" t="inlineStr"/>
    </row>
    <row r="131" ht="22" customHeight="1">
      <c r="A131" s="15" t="inlineStr">
        <is>
          <t>에스앤에스텍</t>
        </is>
      </c>
      <c r="B131" t="inlineStr"/>
      <c r="C131" s="15" t="inlineStr">
        <is>
          <t>101490</t>
        </is>
      </c>
      <c r="D131" s="15" t="inlineStr">
        <is>
          <t>KOSDAQ</t>
        </is>
      </c>
      <c r="E131" s="15" t="inlineStr">
        <is>
          <t>소재</t>
        </is>
      </c>
      <c r="F131" s="15" t="n">
        <v>56.54</v>
      </c>
      <c r="G131" s="15" t="n">
        <v>7.14</v>
      </c>
      <c r="H131" s="15" t="inlineStr">
        <is>
          <t>중립</t>
        </is>
      </c>
      <c r="I131" s="15" t="inlineStr">
        <is>
          <t>0.7907123507381016</t>
        </is>
      </c>
      <c r="J131" t="inlineStr"/>
      <c r="K131" t="inlineStr"/>
      <c r="L131" t="inlineStr"/>
    </row>
    <row r="132" ht="22" customHeight="1">
      <c r="A132" s="15" t="inlineStr">
        <is>
          <t>포인트엔지니어링</t>
        </is>
      </c>
      <c r="B132" t="inlineStr"/>
      <c r="C132" s="15" t="inlineStr">
        <is>
          <t>256630</t>
        </is>
      </c>
      <c r="D132" s="15" t="inlineStr">
        <is>
          <t>KOSDAQ</t>
        </is>
      </c>
      <c r="E132" s="15" t="inlineStr">
        <is>
          <t>장비</t>
        </is>
      </c>
      <c r="F132" s="15" t="n">
        <v>56.49</v>
      </c>
      <c r="G132" s="15" t="n">
        <v>14.29</v>
      </c>
      <c r="H132" s="15" t="inlineStr">
        <is>
          <t>중립</t>
        </is>
      </c>
      <c r="I132" s="15" t="inlineStr">
        <is>
          <t>0.735270480034121</t>
        </is>
      </c>
      <c r="J132" t="inlineStr"/>
      <c r="K132" t="inlineStr"/>
      <c r="L132" t="inlineStr"/>
    </row>
    <row r="133" ht="22" customHeight="1">
      <c r="A133" s="15" t="inlineStr">
        <is>
          <t>테스</t>
        </is>
      </c>
      <c r="B133" t="inlineStr"/>
      <c r="C133" s="15" t="inlineStr">
        <is>
          <t>095610</t>
        </is>
      </c>
      <c r="D133" s="15" t="inlineStr">
        <is>
          <t>KOSDAQ</t>
        </is>
      </c>
      <c r="E133" s="15" t="inlineStr">
        <is>
          <t>장비</t>
        </is>
      </c>
      <c r="F133" s="15" t="n">
        <v>56.4</v>
      </c>
      <c r="G133" s="15" t="n">
        <v>14.29</v>
      </c>
      <c r="H133" s="15" t="inlineStr">
        <is>
          <t>중립</t>
        </is>
      </c>
      <c r="I133" s="15" t="inlineStr">
        <is>
          <t>0.5083695341145091</t>
        </is>
      </c>
      <c r="J133" t="inlineStr"/>
      <c r="K133" t="inlineStr"/>
      <c r="L133" t="inlineStr"/>
    </row>
    <row r="134" ht="22" customHeight="1">
      <c r="A134" s="15" t="inlineStr">
        <is>
          <t>코아시아</t>
        </is>
      </c>
      <c r="B134" t="inlineStr"/>
      <c r="C134" s="15" t="inlineStr">
        <is>
          <t>045970</t>
        </is>
      </c>
      <c r="D134" s="15" t="inlineStr">
        <is>
          <t>KOSDAQ</t>
        </is>
      </c>
      <c r="E134" s="15" t="inlineStr">
        <is>
          <t>팹리스/설계</t>
        </is>
      </c>
      <c r="F134" s="15" t="n">
        <v>56.12</v>
      </c>
      <c r="G134" s="15" t="n">
        <v>50</v>
      </c>
      <c r="H134" s="15" t="inlineStr">
        <is>
          <t>중립</t>
        </is>
      </c>
      <c r="I134" s="15" t="inlineStr">
        <is>
          <t>0.811266524244761</t>
        </is>
      </c>
      <c r="J134" t="inlineStr"/>
      <c r="K134" t="inlineStr"/>
      <c r="L134" t="inlineStr"/>
    </row>
    <row r="135" ht="22" customHeight="1">
      <c r="A135" s="15" t="inlineStr">
        <is>
          <t>우리이앤엘하루틴</t>
        </is>
      </c>
      <c r="B135" t="inlineStr"/>
      <c r="C135" s="15" t="inlineStr">
        <is>
          <t>153490</t>
        </is>
      </c>
      <c r="D135" s="15" t="inlineStr">
        <is>
          <t>KOSDAQ</t>
        </is>
      </c>
      <c r="E135" s="15" t="inlineStr">
        <is>
          <t>후공정/패키징/테스트</t>
        </is>
      </c>
      <c r="F135" s="15" t="n">
        <v>55.99</v>
      </c>
      <c r="G135" s="15" t="n">
        <v>14.29</v>
      </c>
      <c r="H135" s="15" t="inlineStr">
        <is>
          <t>중립</t>
        </is>
      </c>
      <c r="I135" s="15" t="inlineStr">
        <is>
          <t>0.803860880134826</t>
        </is>
      </c>
      <c r="J135" t="inlineStr"/>
      <c r="K135" t="inlineStr"/>
      <c r="L135" t="inlineStr"/>
    </row>
    <row r="136" ht="22" customHeight="1">
      <c r="A136" s="15" t="inlineStr">
        <is>
          <t>와이씨</t>
        </is>
      </c>
      <c r="B136" t="inlineStr"/>
      <c r="C136" s="15" t="inlineStr">
        <is>
          <t>232140</t>
        </is>
      </c>
      <c r="D136" s="15" t="inlineStr">
        <is>
          <t>KOSDAQ</t>
        </is>
      </c>
      <c r="E136" s="15" t="inlineStr">
        <is>
          <t>후공정/패키징/테스트</t>
        </is>
      </c>
      <c r="F136" s="15" t="n">
        <v>55.73</v>
      </c>
      <c r="G136" s="15" t="n">
        <v>0</v>
      </c>
      <c r="H136" s="15" t="inlineStr">
        <is>
          <t>중립</t>
        </is>
      </c>
      <c r="I136" s="15" t="inlineStr">
        <is>
          <t>0.5813875575219858</t>
        </is>
      </c>
      <c r="J136" t="inlineStr"/>
      <c r="K136" t="inlineStr"/>
      <c r="L136" t="inlineStr"/>
    </row>
    <row r="137" ht="22" customHeight="1">
      <c r="A137" s="15" t="inlineStr">
        <is>
          <t>기가비스</t>
        </is>
      </c>
      <c r="B137" t="inlineStr"/>
      <c r="C137" s="15" t="inlineStr">
        <is>
          <t>420770</t>
        </is>
      </c>
      <c r="D137" s="15" t="inlineStr">
        <is>
          <t>KOSDAQ</t>
        </is>
      </c>
      <c r="E137" s="15" t="inlineStr">
        <is>
          <t>후공정/패키징/테스트</t>
        </is>
      </c>
      <c r="F137" s="15" t="n">
        <v>55.44</v>
      </c>
      <c r="G137" s="15" t="n">
        <v>7.14</v>
      </c>
      <c r="H137" s="15" t="inlineStr">
        <is>
          <t>중립</t>
        </is>
      </c>
      <c r="I137" s="15" t="inlineStr">
        <is>
          <t>0.604283449323821</t>
        </is>
      </c>
      <c r="J137" t="inlineStr"/>
      <c r="K137" t="inlineStr"/>
      <c r="L137" t="inlineStr"/>
    </row>
    <row r="138" ht="22" customHeight="1">
      <c r="A138" s="15" t="inlineStr">
        <is>
          <t>픽셀플러스</t>
        </is>
      </c>
      <c r="B138" t="inlineStr"/>
      <c r="C138" s="15" t="inlineStr">
        <is>
          <t>087600</t>
        </is>
      </c>
      <c r="D138" s="15" t="inlineStr">
        <is>
          <t>KOSDAQ</t>
        </is>
      </c>
      <c r="E138" s="15" t="inlineStr">
        <is>
          <t>팹리스/설계</t>
        </is>
      </c>
      <c r="F138" s="15" t="n">
        <v>54.3</v>
      </c>
      <c r="G138" s="15" t="n">
        <v>28.57</v>
      </c>
      <c r="H138" s="15" t="inlineStr">
        <is>
          <t>중립</t>
        </is>
      </c>
      <c r="I138" s="15" t="inlineStr">
        <is>
          <t>0.8353732583827468</t>
        </is>
      </c>
      <c r="J138" t="inlineStr"/>
      <c r="K138" t="inlineStr"/>
      <c r="L138" t="inlineStr"/>
    </row>
    <row r="139" ht="22" customHeight="1">
      <c r="A139" s="15" t="inlineStr">
        <is>
          <t>칩스앤미디어</t>
        </is>
      </c>
      <c r="B139" t="inlineStr"/>
      <c r="C139" s="15" t="inlineStr">
        <is>
          <t>094360</t>
        </is>
      </c>
      <c r="D139" s="15" t="inlineStr">
        <is>
          <t>KOSDAQ</t>
        </is>
      </c>
      <c r="E139" s="15" t="inlineStr">
        <is>
          <t>팹리스/설계</t>
        </is>
      </c>
      <c r="F139" s="15" t="n">
        <v>54.24</v>
      </c>
      <c r="G139" s="15" t="n">
        <v>0</v>
      </c>
      <c r="H139" s="15" t="inlineStr">
        <is>
          <t>중립</t>
        </is>
      </c>
      <c r="I139" s="15" t="inlineStr">
        <is>
          <t>0.44740744488593415</t>
        </is>
      </c>
      <c r="J139" t="inlineStr"/>
      <c r="K139" t="inlineStr"/>
      <c r="L139" t="inlineStr"/>
    </row>
    <row r="140" ht="22" customHeight="1">
      <c r="A140" s="15" t="inlineStr">
        <is>
          <t>큐에스아이</t>
        </is>
      </c>
      <c r="B140" t="inlineStr"/>
      <c r="C140" s="15" t="inlineStr">
        <is>
          <t>066310</t>
        </is>
      </c>
      <c r="D140" s="15" t="inlineStr">
        <is>
          <t>KOSDAQ</t>
        </is>
      </c>
      <c r="E140" s="15" t="inlineStr">
        <is>
          <t>IDM/제조/메모리</t>
        </is>
      </c>
      <c r="F140" s="15" t="n">
        <v>54.23</v>
      </c>
      <c r="G140" s="15" t="n">
        <v>7.14</v>
      </c>
      <c r="H140" s="15" t="inlineStr">
        <is>
          <t>중립</t>
        </is>
      </c>
      <c r="I140" s="15" t="inlineStr">
        <is>
          <t>0.5496283015517583</t>
        </is>
      </c>
      <c r="J140" t="inlineStr"/>
      <c r="K140" t="inlineStr"/>
      <c r="L140" t="inlineStr"/>
    </row>
    <row r="141" ht="22" customHeight="1">
      <c r="A141" s="15" t="inlineStr">
        <is>
          <t>유니셈</t>
        </is>
      </c>
      <c r="B141" t="inlineStr"/>
      <c r="C141" s="15" t="inlineStr">
        <is>
          <t>036200</t>
        </is>
      </c>
      <c r="D141" s="15" t="inlineStr">
        <is>
          <t>KOSDAQ</t>
        </is>
      </c>
      <c r="E141" s="15" t="inlineStr">
        <is>
          <t>장비</t>
        </is>
      </c>
      <c r="F141" s="15" t="n">
        <v>54.09</v>
      </c>
      <c r="G141" s="15" t="n">
        <v>21.43</v>
      </c>
      <c r="H141" s="15" t="inlineStr">
        <is>
          <t>중립</t>
        </is>
      </c>
      <c r="I141" s="15" t="inlineStr">
        <is>
          <t>0.751305499027411</t>
        </is>
      </c>
      <c r="J141" t="inlineStr"/>
      <c r="K141" t="inlineStr"/>
      <c r="L141" t="inlineStr"/>
    </row>
    <row r="142" ht="22" customHeight="1">
      <c r="A142" s="15" t="inlineStr">
        <is>
          <t>피에스케이홀딩스</t>
        </is>
      </c>
      <c r="B142" t="inlineStr"/>
      <c r="C142" s="15" t="inlineStr">
        <is>
          <t>031980</t>
        </is>
      </c>
      <c r="D142" s="15" t="inlineStr">
        <is>
          <t>KOSDAQ</t>
        </is>
      </c>
      <c r="E142" s="15" t="inlineStr">
        <is>
          <t>장비</t>
        </is>
      </c>
      <c r="F142" s="15" t="n">
        <v>53.85</v>
      </c>
      <c r="G142" s="15" t="n">
        <v>0</v>
      </c>
      <c r="H142" s="15" t="inlineStr">
        <is>
          <t>중립</t>
        </is>
      </c>
      <c r="I142" s="15" t="inlineStr">
        <is>
          <t>0.7521125976897308</t>
        </is>
      </c>
      <c r="J142" t="inlineStr"/>
      <c r="K142" t="inlineStr"/>
      <c r="L142" t="inlineStr"/>
    </row>
    <row r="143" ht="22" customHeight="1">
      <c r="A143" s="15" t="inlineStr">
        <is>
          <t>워트</t>
        </is>
      </c>
      <c r="B143" t="inlineStr"/>
      <c r="C143" s="15" t="inlineStr">
        <is>
          <t>396470</t>
        </is>
      </c>
      <c r="D143" s="15" t="inlineStr">
        <is>
          <t>KOSDAQ</t>
        </is>
      </c>
      <c r="E143" s="15" t="inlineStr">
        <is>
          <t>장비</t>
        </is>
      </c>
      <c r="F143" s="15" t="n">
        <v>53.84</v>
      </c>
      <c r="G143" s="15" t="n">
        <v>7.14</v>
      </c>
      <c r="H143" s="15" t="inlineStr">
        <is>
          <t>중립</t>
        </is>
      </c>
      <c r="I143" s="15" t="inlineStr">
        <is>
          <t>0.6073344328439819</t>
        </is>
      </c>
      <c r="J143" t="inlineStr"/>
      <c r="K143" t="inlineStr"/>
      <c r="L143" t="inlineStr"/>
    </row>
    <row r="144" ht="22" customHeight="1">
      <c r="A144" s="15" t="inlineStr">
        <is>
          <t>엘오티베큠</t>
        </is>
      </c>
      <c r="B144" t="inlineStr"/>
      <c r="C144" s="15" t="inlineStr">
        <is>
          <t>083310</t>
        </is>
      </c>
      <c r="D144" s="15" t="inlineStr">
        <is>
          <t>KOSDAQ</t>
        </is>
      </c>
      <c r="E144" s="15" t="inlineStr">
        <is>
          <t>IDM/제조/메모리</t>
        </is>
      </c>
      <c r="F144" s="15" t="n">
        <v>53.8</v>
      </c>
      <c r="G144" s="15" t="n">
        <v>21.43</v>
      </c>
      <c r="H144" s="15" t="inlineStr">
        <is>
          <t>중립</t>
        </is>
      </c>
      <c r="I144" s="15" t="inlineStr">
        <is>
          <t>0.860578291373445</t>
        </is>
      </c>
      <c r="J144" t="inlineStr"/>
      <c r="K144" t="inlineStr"/>
      <c r="L144" t="inlineStr"/>
    </row>
    <row r="145" ht="22" customHeight="1">
      <c r="A145" s="15" t="inlineStr">
        <is>
          <t>비씨엔씨</t>
        </is>
      </c>
      <c r="B145" t="inlineStr"/>
      <c r="C145" s="15" t="inlineStr">
        <is>
          <t>146320</t>
        </is>
      </c>
      <c r="D145" s="15" t="inlineStr">
        <is>
          <t>KOSDAQ</t>
        </is>
      </c>
      <c r="E145" s="15" t="inlineStr">
        <is>
          <t>IDM/제조/메모리</t>
        </is>
      </c>
      <c r="F145" s="15" t="n">
        <v>53.66</v>
      </c>
      <c r="G145" s="15" t="n">
        <v>28.57</v>
      </c>
      <c r="H145" s="15" t="inlineStr">
        <is>
          <t>중립</t>
        </is>
      </c>
      <c r="I145" s="15" t="inlineStr">
        <is>
          <t>0.7033805368548921</t>
        </is>
      </c>
      <c r="J145" t="inlineStr"/>
      <c r="K145" t="inlineStr"/>
      <c r="L145" t="inlineStr"/>
    </row>
    <row r="146" ht="22" customHeight="1">
      <c r="A146" s="15" t="inlineStr">
        <is>
          <t>티엘비</t>
        </is>
      </c>
      <c r="B146" t="inlineStr"/>
      <c r="C146" s="15" t="inlineStr">
        <is>
          <t>356860</t>
        </is>
      </c>
      <c r="D146" s="15" t="inlineStr">
        <is>
          <t>KOSDAQ</t>
        </is>
      </c>
      <c r="E146" s="15" t="inlineStr">
        <is>
          <t>IDM/제조/메모리</t>
        </is>
      </c>
      <c r="F146" s="15" t="n">
        <v>53.62</v>
      </c>
      <c r="G146" s="15" t="n">
        <v>7.14</v>
      </c>
      <c r="H146" s="15" t="inlineStr">
        <is>
          <t>중립</t>
        </is>
      </c>
      <c r="I146" s="15" t="inlineStr">
        <is>
          <t>0.8509295904965918</t>
        </is>
      </c>
      <c r="J146" t="inlineStr"/>
      <c r="K146" t="inlineStr"/>
      <c r="L146" t="inlineStr"/>
    </row>
    <row r="147" ht="22" customHeight="1">
      <c r="A147" s="15" t="inlineStr">
        <is>
          <t>피에스케이</t>
        </is>
      </c>
      <c r="B147" t="inlineStr"/>
      <c r="C147" s="15" t="inlineStr">
        <is>
          <t>319660</t>
        </is>
      </c>
      <c r="D147" s="15" t="inlineStr">
        <is>
          <t>KOSDAQ GLOBAL</t>
        </is>
      </c>
      <c r="E147" s="15" t="inlineStr">
        <is>
          <t>장비</t>
        </is>
      </c>
      <c r="F147" s="15" t="n">
        <v>53.57</v>
      </c>
      <c r="G147" s="15" t="n">
        <v>0</v>
      </c>
      <c r="H147" s="15" t="inlineStr">
        <is>
          <t>중립</t>
        </is>
      </c>
      <c r="I147" s="15" t="inlineStr">
        <is>
          <t>0.7072072873445469</t>
        </is>
      </c>
      <c r="J147" t="inlineStr"/>
      <c r="K147" t="inlineStr"/>
      <c r="L147" t="inlineStr"/>
    </row>
    <row r="148" ht="22" customHeight="1">
      <c r="A148" s="15" t="inlineStr">
        <is>
          <t>해성디에스</t>
        </is>
      </c>
      <c r="B148" t="inlineStr"/>
      <c r="C148" s="15" t="inlineStr">
        <is>
          <t>195870</t>
        </is>
      </c>
      <c r="D148" s="15" t="inlineStr">
        <is>
          <t>KOSPI</t>
        </is>
      </c>
      <c r="E148" s="15" t="inlineStr">
        <is>
          <t>후공정/패키징/테스트</t>
        </is>
      </c>
      <c r="F148" s="15" t="n">
        <v>53.33</v>
      </c>
      <c r="G148" s="15" t="n">
        <v>7.14</v>
      </c>
      <c r="H148" s="15" t="inlineStr">
        <is>
          <t>중립</t>
        </is>
      </c>
      <c r="I148" s="15" t="inlineStr">
        <is>
          <t>0.8942165906576592</t>
        </is>
      </c>
      <c r="J148" t="inlineStr"/>
      <c r="K148" t="inlineStr"/>
      <c r="L148" t="inlineStr"/>
    </row>
    <row r="149" ht="22" customHeight="1">
      <c r="A149" s="15" t="inlineStr">
        <is>
          <t>심텍홀딩스</t>
        </is>
      </c>
      <c r="B149" t="inlineStr"/>
      <c r="C149" s="15" t="inlineStr">
        <is>
          <t>036710</t>
        </is>
      </c>
      <c r="D149" s="15" t="inlineStr">
        <is>
          <t>KOSDAQ</t>
        </is>
      </c>
      <c r="E149" s="15" t="inlineStr">
        <is>
          <t>부품/기판</t>
        </is>
      </c>
      <c r="F149" s="15" t="n">
        <v>53.24</v>
      </c>
      <c r="G149" s="15" t="n">
        <v>78.56999999999999</v>
      </c>
      <c r="H149" s="15" t="inlineStr">
        <is>
          <t>중립</t>
        </is>
      </c>
      <c r="I149" s="15" t="inlineStr">
        <is>
          <t>0.726519318190825</t>
        </is>
      </c>
      <c r="J149" t="inlineStr"/>
      <c r="K149" t="inlineStr"/>
      <c r="L149" t="inlineStr"/>
    </row>
    <row r="150" ht="22" customHeight="1">
      <c r="A150" s="15" t="inlineStr">
        <is>
          <t>하나머티리얼즈</t>
        </is>
      </c>
      <c r="B150" t="inlineStr"/>
      <c r="C150" s="15" t="inlineStr">
        <is>
          <t>166090</t>
        </is>
      </c>
      <c r="D150" s="15" t="inlineStr">
        <is>
          <t>KOSDAQ GLOBAL</t>
        </is>
      </c>
      <c r="E150" s="15" t="inlineStr">
        <is>
          <t>IDM/제조/메모리</t>
        </is>
      </c>
      <c r="F150" s="15" t="n">
        <v>53.22</v>
      </c>
      <c r="G150" s="15" t="n">
        <v>0</v>
      </c>
      <c r="H150" s="15" t="inlineStr">
        <is>
          <t>중립</t>
        </is>
      </c>
      <c r="I150" s="15" t="inlineStr">
        <is>
          <t>0.6425667923365267</t>
        </is>
      </c>
      <c r="J150" t="inlineStr"/>
      <c r="K150" t="inlineStr"/>
      <c r="L150" t="inlineStr"/>
    </row>
    <row r="151" ht="22" customHeight="1">
      <c r="A151" s="15" t="inlineStr">
        <is>
          <t>엠디바이스</t>
        </is>
      </c>
      <c r="B151" t="inlineStr"/>
      <c r="C151" s="15" t="inlineStr">
        <is>
          <t>226590</t>
        </is>
      </c>
      <c r="D151" s="15" t="inlineStr">
        <is>
          <t>KOSDAQ</t>
        </is>
      </c>
      <c r="E151" s="15" t="inlineStr">
        <is>
          <t>부품/기판</t>
        </is>
      </c>
      <c r="F151" s="15" t="n">
        <v>53.19</v>
      </c>
      <c r="G151" s="15" t="n">
        <v>42.86</v>
      </c>
      <c r="H151" s="15" t="inlineStr">
        <is>
          <t>중립</t>
        </is>
      </c>
      <c r="I151" s="15" t="inlineStr">
        <is>
          <t>0.7655361666958056</t>
        </is>
      </c>
      <c r="J151" t="inlineStr"/>
      <c r="K151" t="inlineStr"/>
      <c r="L151" t="inlineStr"/>
    </row>
    <row r="152" ht="22" customHeight="1">
      <c r="A152" s="15" t="inlineStr">
        <is>
          <t>제이아이테크</t>
        </is>
      </c>
      <c r="B152" t="inlineStr"/>
      <c r="C152" s="15" t="inlineStr">
        <is>
          <t>417500</t>
        </is>
      </c>
      <c r="D152" s="15" t="inlineStr">
        <is>
          <t>KOSDAQ</t>
        </is>
      </c>
      <c r="E152" s="15" t="inlineStr">
        <is>
          <t>소재</t>
        </is>
      </c>
      <c r="F152" s="15" t="n">
        <v>52.64</v>
      </c>
      <c r="G152" s="15" t="n">
        <v>7.14</v>
      </c>
      <c r="H152" s="15" t="inlineStr">
        <is>
          <t>중립</t>
        </is>
      </c>
      <c r="I152" s="15" t="inlineStr">
        <is>
          <t>0.8525733569966568</t>
        </is>
      </c>
      <c r="J152" t="inlineStr"/>
      <c r="K152" t="inlineStr"/>
      <c r="L152" t="inlineStr"/>
    </row>
    <row r="153" ht="22" customHeight="1">
      <c r="A153" s="15" t="inlineStr">
        <is>
          <t>브이엠</t>
        </is>
      </c>
      <c r="B153" t="inlineStr"/>
      <c r="C153" s="15" t="inlineStr">
        <is>
          <t>089970</t>
        </is>
      </c>
      <c r="D153" s="15" t="inlineStr">
        <is>
          <t>KOSDAQ</t>
        </is>
      </c>
      <c r="E153" s="15" t="inlineStr">
        <is>
          <t>장비</t>
        </is>
      </c>
      <c r="F153" s="15" t="n">
        <v>52.04</v>
      </c>
      <c r="G153" s="15" t="n">
        <v>0</v>
      </c>
      <c r="H153" s="15" t="inlineStr">
        <is>
          <t>중립</t>
        </is>
      </c>
      <c r="I153" s="15" t="inlineStr">
        <is>
          <t>0.737579554357605</t>
        </is>
      </c>
      <c r="J153" t="inlineStr"/>
      <c r="K153" t="inlineStr"/>
      <c r="L153" t="inlineStr"/>
    </row>
    <row r="154" ht="22" customHeight="1">
      <c r="A154" s="15" t="inlineStr">
        <is>
          <t>ISC</t>
        </is>
      </c>
      <c r="B154" t="inlineStr"/>
      <c r="C154" s="15" t="inlineStr">
        <is>
          <t>095340</t>
        </is>
      </c>
      <c r="D154" s="15" t="inlineStr">
        <is>
          <t>KOSDAQ GLOBAL</t>
        </is>
      </c>
      <c r="E154" s="15" t="inlineStr">
        <is>
          <t>후공정/패키징/테스트</t>
        </is>
      </c>
      <c r="F154" s="15" t="n">
        <v>51.76</v>
      </c>
      <c r="G154" s="15" t="n">
        <v>0</v>
      </c>
      <c r="H154" s="15" t="inlineStr">
        <is>
          <t>중립</t>
        </is>
      </c>
      <c r="I154" s="15" t="inlineStr">
        <is>
          <t>0.5753148434947495</t>
        </is>
      </c>
      <c r="J154" t="inlineStr"/>
      <c r="K154" t="inlineStr"/>
      <c r="L154" t="inlineStr"/>
    </row>
    <row r="155" ht="22" customHeight="1">
      <c r="A155" s="15" t="inlineStr">
        <is>
          <t>원익QnC</t>
        </is>
      </c>
      <c r="B155" t="inlineStr"/>
      <c r="C155" s="15" t="inlineStr">
        <is>
          <t>074600</t>
        </is>
      </c>
      <c r="D155" s="15" t="inlineStr">
        <is>
          <t>KOSDAQ GLOBAL</t>
        </is>
      </c>
      <c r="E155" s="15" t="inlineStr">
        <is>
          <t>소재</t>
        </is>
      </c>
      <c r="F155" s="15" t="n">
        <v>51.56</v>
      </c>
      <c r="G155" s="15" t="n">
        <v>28.57</v>
      </c>
      <c r="H155" s="15" t="inlineStr">
        <is>
          <t>중립</t>
        </is>
      </c>
      <c r="I155" s="15" t="inlineStr">
        <is>
          <t>0.4211836082778998</t>
        </is>
      </c>
      <c r="J155" t="inlineStr"/>
      <c r="K155" t="inlineStr"/>
      <c r="L155" t="inlineStr"/>
    </row>
    <row r="156" ht="22" customHeight="1">
      <c r="A156" s="15" t="inlineStr">
        <is>
          <t>엠케이전자</t>
        </is>
      </c>
      <c r="B156" t="inlineStr"/>
      <c r="C156" s="15" t="inlineStr">
        <is>
          <t>033160</t>
        </is>
      </c>
      <c r="D156" s="15" t="inlineStr">
        <is>
          <t>KOSDAQ</t>
        </is>
      </c>
      <c r="E156" s="15" t="inlineStr">
        <is>
          <t>소재</t>
        </is>
      </c>
      <c r="F156" s="15" t="n">
        <v>51.05</v>
      </c>
      <c r="G156" s="15" t="n">
        <v>57.14</v>
      </c>
      <c r="H156" s="15" t="inlineStr">
        <is>
          <t>중립</t>
        </is>
      </c>
      <c r="I156" s="15" t="inlineStr">
        <is>
          <t>0.801168459079624</t>
        </is>
      </c>
      <c r="J156" t="inlineStr"/>
      <c r="K156" t="inlineStr"/>
      <c r="L156" t="inlineStr"/>
    </row>
    <row r="157" ht="22" customHeight="1">
      <c r="A157" s="15" t="inlineStr">
        <is>
          <t>웰킵스하이텍</t>
        </is>
      </c>
      <c r="B157" t="inlineStr"/>
      <c r="C157" s="15" t="inlineStr">
        <is>
          <t>043590</t>
        </is>
      </c>
      <c r="D157" s="15" t="inlineStr">
        <is>
          <t>KOSDAQ</t>
        </is>
      </c>
      <c r="E157" s="15" t="inlineStr">
        <is>
          <t>IDM/제조/메모리</t>
        </is>
      </c>
      <c r="F157" s="15" t="n">
        <v>50.87</v>
      </c>
      <c r="G157" s="15" t="n">
        <v>71.43000000000001</v>
      </c>
      <c r="H157" s="15" t="inlineStr">
        <is>
          <t>중립</t>
        </is>
      </c>
      <c r="I157" s="15" t="inlineStr">
        <is>
          <t>0.7753200487478359</t>
        </is>
      </c>
      <c r="J157" t="inlineStr"/>
      <c r="K157" t="inlineStr"/>
      <c r="L157" t="inlineStr"/>
    </row>
    <row r="158" ht="22" customHeight="1">
      <c r="A158" s="15" t="inlineStr">
        <is>
          <t>타이거일렉</t>
        </is>
      </c>
      <c r="B158" t="inlineStr"/>
      <c r="C158" s="15" t="inlineStr">
        <is>
          <t>219130</t>
        </is>
      </c>
      <c r="D158" s="15" t="inlineStr">
        <is>
          <t>KOSDAQ</t>
        </is>
      </c>
      <c r="E158" s="15" t="inlineStr">
        <is>
          <t>부품/기판</t>
        </is>
      </c>
      <c r="F158" s="15" t="n">
        <v>50.67</v>
      </c>
      <c r="G158" s="15" t="n">
        <v>14.29</v>
      </c>
      <c r="H158" s="15" t="inlineStr">
        <is>
          <t>중립</t>
        </is>
      </c>
      <c r="I158" s="15" t="inlineStr">
        <is>
          <t>0.6463040733623892</t>
        </is>
      </c>
      <c r="J158" t="inlineStr"/>
      <c r="K158" t="inlineStr"/>
      <c r="L158" t="inlineStr"/>
    </row>
    <row r="159" ht="22" customHeight="1">
      <c r="A159" s="15" t="inlineStr">
        <is>
          <t>이수페타시스</t>
        </is>
      </c>
      <c r="B159" t="inlineStr"/>
      <c r="C159" s="15" t="inlineStr">
        <is>
          <t>007660</t>
        </is>
      </c>
      <c r="D159" s="15" t="inlineStr">
        <is>
          <t>KOSPI</t>
        </is>
      </c>
      <c r="E159" s="15" t="inlineStr">
        <is>
          <t>부품/기판</t>
        </is>
      </c>
      <c r="F159" s="15" t="n">
        <v>50.62</v>
      </c>
      <c r="G159" s="15" t="n">
        <v>0</v>
      </c>
      <c r="H159" s="15" t="inlineStr">
        <is>
          <t>중립</t>
        </is>
      </c>
      <c r="I159" s="15" t="inlineStr">
        <is>
          <t>0.599589540069591</t>
        </is>
      </c>
      <c r="J159" t="inlineStr"/>
      <c r="K159" t="inlineStr"/>
      <c r="L159" t="inlineStr"/>
    </row>
    <row r="160" ht="22" customHeight="1">
      <c r="A160" s="15" t="inlineStr">
        <is>
          <t>에이팩트</t>
        </is>
      </c>
      <c r="B160" t="inlineStr"/>
      <c r="C160" s="15" t="inlineStr">
        <is>
          <t>200470</t>
        </is>
      </c>
      <c r="D160" s="15" t="inlineStr">
        <is>
          <t>KOSDAQ</t>
        </is>
      </c>
      <c r="E160" s="15" t="inlineStr">
        <is>
          <t>후공정/패키징/테스트</t>
        </is>
      </c>
      <c r="F160" s="15" t="n">
        <v>50.27</v>
      </c>
      <c r="G160" s="15" t="n">
        <v>42.86</v>
      </c>
      <c r="H160" s="15" t="inlineStr">
        <is>
          <t>중립</t>
        </is>
      </c>
      <c r="I160" s="15" t="inlineStr">
        <is>
          <t>0.8010795762920226</t>
        </is>
      </c>
      <c r="J160" t="inlineStr"/>
      <c r="K160" t="inlineStr"/>
      <c r="L160" t="inlineStr"/>
    </row>
    <row r="161" ht="22" customHeight="1">
      <c r="A161" s="15" t="inlineStr">
        <is>
          <t>와이엠티</t>
        </is>
      </c>
      <c r="B161" t="inlineStr"/>
      <c r="C161" s="15" t="inlineStr">
        <is>
          <t>251370</t>
        </is>
      </c>
      <c r="D161" s="15" t="inlineStr">
        <is>
          <t>KOSDAQ</t>
        </is>
      </c>
      <c r="E161" s="15" t="inlineStr">
        <is>
          <t>소재</t>
        </is>
      </c>
      <c r="F161" s="15" t="n">
        <v>49.9</v>
      </c>
      <c r="G161" s="15" t="n">
        <v>21.43</v>
      </c>
      <c r="H161" s="15" t="inlineStr">
        <is>
          <t>중립</t>
        </is>
      </c>
      <c r="I161" s="15" t="inlineStr">
        <is>
          <t>0.730943868859095</t>
        </is>
      </c>
      <c r="J161" t="inlineStr"/>
      <c r="K161" t="inlineStr"/>
      <c r="L161" t="inlineStr"/>
    </row>
    <row r="162" ht="22" customHeight="1">
      <c r="A162" s="15" t="inlineStr">
        <is>
          <t>아이케이세미콘</t>
        </is>
      </c>
      <c r="B162" t="inlineStr"/>
      <c r="C162" s="15" t="inlineStr">
        <is>
          <t>149010</t>
        </is>
      </c>
      <c r="D162" s="15" t="inlineStr">
        <is>
          <t>KONEX</t>
        </is>
      </c>
      <c r="E162" s="15" t="inlineStr">
        <is>
          <t>팹리스/설계</t>
        </is>
      </c>
      <c r="F162" s="15" t="n">
        <v>49.8</v>
      </c>
      <c r="G162" s="15" t="n">
        <v>64.29000000000001</v>
      </c>
      <c r="H162" s="15" t="inlineStr">
        <is>
          <t>중립</t>
        </is>
      </c>
      <c r="I162" s="15" t="inlineStr">
        <is>
          <t>0.9626560040296214</t>
        </is>
      </c>
      <c r="J162" t="inlineStr"/>
      <c r="K162" t="inlineStr"/>
      <c r="L162" t="inlineStr"/>
    </row>
    <row r="163" ht="22" customHeight="1">
      <c r="A163" s="15" t="inlineStr">
        <is>
          <t>코세스</t>
        </is>
      </c>
      <c r="B163" t="inlineStr"/>
      <c r="C163" s="15" t="inlineStr">
        <is>
          <t>089890</t>
        </is>
      </c>
      <c r="D163" s="15" t="inlineStr">
        <is>
          <t>KOSDAQ</t>
        </is>
      </c>
      <c r="E163" s="15" t="inlineStr">
        <is>
          <t>장비</t>
        </is>
      </c>
      <c r="F163" s="15" t="n">
        <v>49.79</v>
      </c>
      <c r="G163" s="15" t="n">
        <v>7.14</v>
      </c>
      <c r="H163" s="15" t="inlineStr">
        <is>
          <t>중립</t>
        </is>
      </c>
      <c r="I163" s="15" t="inlineStr">
        <is>
          <t>0.7228094449358575</t>
        </is>
      </c>
      <c r="J163" t="inlineStr"/>
      <c r="K163" t="inlineStr"/>
      <c r="L163" t="inlineStr"/>
    </row>
    <row r="164" ht="22" customHeight="1">
      <c r="A164" s="15" t="inlineStr">
        <is>
          <t>코스텍시스템</t>
        </is>
      </c>
      <c r="B164" t="inlineStr"/>
      <c r="C164" s="15" t="inlineStr">
        <is>
          <t>169670</t>
        </is>
      </c>
      <c r="D164" s="15" t="inlineStr">
        <is>
          <t>KONEX</t>
        </is>
      </c>
      <c r="E164" s="15" t="inlineStr">
        <is>
          <t>장비</t>
        </is>
      </c>
      <c r="F164" s="15" t="n">
        <v>49.6</v>
      </c>
      <c r="G164" s="15" t="n">
        <v>21.43</v>
      </c>
      <c r="H164" s="15" t="inlineStr">
        <is>
          <t>중립</t>
        </is>
      </c>
      <c r="I164" s="15" t="inlineStr">
        <is>
          <t>0.9640840061970892</t>
        </is>
      </c>
      <c r="J164" t="inlineStr"/>
      <c r="K164" t="inlineStr"/>
      <c r="L164" t="inlineStr"/>
    </row>
    <row r="165" ht="22" customHeight="1">
      <c r="A165" s="15" t="inlineStr">
        <is>
          <t>삼성전기</t>
        </is>
      </c>
      <c r="B165" t="inlineStr"/>
      <c r="C165" s="15" t="inlineStr">
        <is>
          <t>009150</t>
        </is>
      </c>
      <c r="D165" s="15" t="inlineStr">
        <is>
          <t>KOSPI</t>
        </is>
      </c>
      <c r="E165" s="15" t="inlineStr">
        <is>
          <t>후공정/패키징/테스트</t>
        </is>
      </c>
      <c r="F165" s="15" t="n">
        <v>49.57</v>
      </c>
      <c r="G165" s="15" t="n">
        <v>0</v>
      </c>
      <c r="H165" s="15" t="inlineStr">
        <is>
          <t>중립</t>
        </is>
      </c>
      <c r="I165" s="15" t="inlineStr">
        <is>
          <t>0.5297655139045552</t>
        </is>
      </c>
      <c r="J165" t="inlineStr"/>
      <c r="K165" t="inlineStr"/>
      <c r="L165" t="inlineStr"/>
    </row>
    <row r="166" ht="22" customHeight="1">
      <c r="A166" s="15" t="inlineStr">
        <is>
          <t>티씨케이</t>
        </is>
      </c>
      <c r="B166" t="inlineStr"/>
      <c r="C166" s="15" t="inlineStr">
        <is>
          <t>064760</t>
        </is>
      </c>
      <c r="D166" s="15" t="inlineStr">
        <is>
          <t>KOSDAQ GLOBAL</t>
        </is>
      </c>
      <c r="E166" s="15" t="inlineStr">
        <is>
          <t>소재</t>
        </is>
      </c>
      <c r="F166" s="15" t="n">
        <v>49.56</v>
      </c>
      <c r="G166" s="15" t="n">
        <v>0</v>
      </c>
      <c r="H166" s="15" t="inlineStr">
        <is>
          <t>중립</t>
        </is>
      </c>
      <c r="I166" s="15" t="inlineStr">
        <is>
          <t>0.6535546916238612</t>
        </is>
      </c>
      <c r="J166" t="inlineStr"/>
      <c r="K166" t="inlineStr"/>
      <c r="L166" t="inlineStr"/>
    </row>
    <row r="167" ht="22" customHeight="1">
      <c r="A167" s="15" t="inlineStr">
        <is>
          <t>텔레칩스</t>
        </is>
      </c>
      <c r="B167" t="inlineStr"/>
      <c r="C167" s="15" t="inlineStr">
        <is>
          <t>054450</t>
        </is>
      </c>
      <c r="D167" s="15" t="inlineStr">
        <is>
          <t>KOSDAQ</t>
        </is>
      </c>
      <c r="E167" s="15" t="inlineStr">
        <is>
          <t>팹리스/설계</t>
        </is>
      </c>
      <c r="F167" s="15" t="n">
        <v>49.43</v>
      </c>
      <c r="G167" s="15" t="n">
        <v>71.43000000000001</v>
      </c>
      <c r="H167" s="15" t="inlineStr">
        <is>
          <t>중립</t>
        </is>
      </c>
      <c r="I167" s="15" t="inlineStr">
        <is>
          <t>0.5716537225721987</t>
        </is>
      </c>
      <c r="J167" t="inlineStr"/>
      <c r="K167" t="inlineStr"/>
      <c r="L167" t="inlineStr"/>
    </row>
    <row r="168" ht="22" customHeight="1">
      <c r="A168" s="15" t="inlineStr">
        <is>
          <t>에이엘티</t>
        </is>
      </c>
      <c r="B168" t="inlineStr"/>
      <c r="C168" s="15" t="inlineStr">
        <is>
          <t>172670</t>
        </is>
      </c>
      <c r="D168" s="15" t="inlineStr">
        <is>
          <t>KOSDAQ</t>
        </is>
      </c>
      <c r="E168" s="15" t="inlineStr">
        <is>
          <t>후공정/패키징/테스트</t>
        </is>
      </c>
      <c r="F168" s="15" t="n">
        <v>48.77</v>
      </c>
      <c r="G168" s="15" t="n">
        <v>35.71</v>
      </c>
      <c r="H168" s="15" t="inlineStr">
        <is>
          <t>중립</t>
        </is>
      </c>
      <c r="I168" s="15" t="inlineStr">
        <is>
          <t>0.5308622758067901</t>
        </is>
      </c>
      <c r="J168" t="inlineStr"/>
      <c r="K168" t="inlineStr"/>
      <c r="L168" t="inlineStr"/>
    </row>
    <row r="169" ht="22" customHeight="1">
      <c r="A169" s="15" t="inlineStr">
        <is>
          <t>알파칩스</t>
        </is>
      </c>
      <c r="B169" t="inlineStr"/>
      <c r="C169" s="15" t="inlineStr">
        <is>
          <t>117670</t>
        </is>
      </c>
      <c r="D169" s="15" t="inlineStr">
        <is>
          <t>KOSDAQ</t>
        </is>
      </c>
      <c r="E169" s="15" t="inlineStr">
        <is>
          <t>팹리스/설계</t>
        </is>
      </c>
      <c r="F169" s="15" t="n">
        <v>48.26</v>
      </c>
      <c r="G169" s="15" t="n">
        <v>28.57</v>
      </c>
      <c r="H169" s="15" t="inlineStr">
        <is>
          <t>중립</t>
        </is>
      </c>
      <c r="I169" s="15" t="inlineStr">
        <is>
          <t>0.7398835550872951</t>
        </is>
      </c>
      <c r="J169" t="inlineStr"/>
      <c r="K169" t="inlineStr"/>
      <c r="L169" t="inlineStr"/>
    </row>
    <row r="170" ht="22" customHeight="1">
      <c r="A170" s="15" t="inlineStr">
        <is>
          <t>큐알티</t>
        </is>
      </c>
      <c r="B170" t="inlineStr"/>
      <c r="C170" s="15" t="inlineStr">
        <is>
          <t>405100</t>
        </is>
      </c>
      <c r="D170" s="15" t="inlineStr">
        <is>
          <t>KOSDAQ</t>
        </is>
      </c>
      <c r="E170" s="15" t="inlineStr">
        <is>
          <t>후공정/패키징/테스트</t>
        </is>
      </c>
      <c r="F170" s="15" t="n">
        <v>47.82</v>
      </c>
      <c r="G170" s="15" t="n">
        <v>0</v>
      </c>
      <c r="H170" s="15" t="inlineStr">
        <is>
          <t>중립</t>
        </is>
      </c>
      <c r="I170" s="15" t="inlineStr">
        <is>
          <t>0.4463498311096922</t>
        </is>
      </c>
      <c r="J170" t="inlineStr"/>
      <c r="K170" t="inlineStr"/>
      <c r="L170" t="inlineStr"/>
    </row>
    <row r="171" ht="22" customHeight="1">
      <c r="A171" s="15" t="inlineStr">
        <is>
          <t>테크엘</t>
        </is>
      </c>
      <c r="B171" t="inlineStr"/>
      <c r="C171" s="15" t="inlineStr">
        <is>
          <t>064520</t>
        </is>
      </c>
      <c r="D171" s="15" t="inlineStr">
        <is>
          <t>KOSDAQ</t>
        </is>
      </c>
      <c r="E171" s="15" t="inlineStr">
        <is>
          <t>IDM/제조/메모리</t>
        </is>
      </c>
      <c r="F171" s="15" t="n">
        <v>47.57</v>
      </c>
      <c r="G171" s="15" t="n">
        <v>50</v>
      </c>
      <c r="H171" s="15" t="inlineStr">
        <is>
          <t>중립</t>
        </is>
      </c>
      <c r="I171" s="15" t="inlineStr">
        <is>
          <t>0.7806095936743286</t>
        </is>
      </c>
      <c r="J171" t="inlineStr"/>
      <c r="K171" t="inlineStr"/>
      <c r="L171" t="inlineStr"/>
    </row>
    <row r="172" ht="22" customHeight="1">
      <c r="A172" s="15" t="inlineStr">
        <is>
          <t>HPSP</t>
        </is>
      </c>
      <c r="B172" t="inlineStr"/>
      <c r="C172" s="15" t="inlineStr">
        <is>
          <t>403870</t>
        </is>
      </c>
      <c r="D172" s="15" t="inlineStr">
        <is>
          <t>KOSDAQ GLOBAL</t>
        </is>
      </c>
      <c r="E172" s="15" t="inlineStr">
        <is>
          <t>장비</t>
        </is>
      </c>
      <c r="F172" s="15" t="n">
        <v>47.52</v>
      </c>
      <c r="G172" s="15" t="n">
        <v>0</v>
      </c>
      <c r="H172" s="15" t="inlineStr">
        <is>
          <t>중립</t>
        </is>
      </c>
      <c r="I172" s="15" t="inlineStr">
        <is>
          <t>0.7108284021978194</t>
        </is>
      </c>
      <c r="J172" t="inlineStr"/>
      <c r="K172" t="inlineStr"/>
      <c r="L172" t="inlineStr"/>
    </row>
    <row r="173" ht="22" customHeight="1">
      <c r="A173" s="15" t="inlineStr">
        <is>
          <t>라온로보틱스</t>
        </is>
      </c>
      <c r="B173" t="inlineStr"/>
      <c r="C173" s="15" t="inlineStr">
        <is>
          <t>232680</t>
        </is>
      </c>
      <c r="D173" s="15" t="inlineStr">
        <is>
          <t>KOSDAQ</t>
        </is>
      </c>
      <c r="E173" s="15" t="inlineStr">
        <is>
          <t>팹리스/설계</t>
        </is>
      </c>
      <c r="F173" s="15" t="n">
        <v>47.45</v>
      </c>
      <c r="G173" s="15" t="n">
        <v>14.29</v>
      </c>
      <c r="H173" s="15" t="inlineStr">
        <is>
          <t>중립</t>
        </is>
      </c>
      <c r="I173" s="15" t="inlineStr">
        <is>
          <t>0.7863374675167921</t>
        </is>
      </c>
      <c r="J173" t="inlineStr"/>
      <c r="K173" t="inlineStr"/>
      <c r="L173" t="inlineStr"/>
    </row>
    <row r="174" ht="22" customHeight="1">
      <c r="A174" s="15" t="inlineStr">
        <is>
          <t>서울반도체</t>
        </is>
      </c>
      <c r="B174" t="inlineStr"/>
      <c r="C174" s="15" t="inlineStr">
        <is>
          <t>046890</t>
        </is>
      </c>
      <c r="D174" s="15" t="inlineStr">
        <is>
          <t>KOSDAQ GLOBAL</t>
        </is>
      </c>
      <c r="E174" s="15" t="inlineStr">
        <is>
          <t>IDM/제조/메모리</t>
        </is>
      </c>
      <c r="F174" s="15" t="n">
        <v>47.13</v>
      </c>
      <c r="G174" s="15" t="n">
        <v>42.86</v>
      </c>
      <c r="H174" s="15" t="inlineStr">
        <is>
          <t>중립</t>
        </is>
      </c>
      <c r="I174" s="15" t="inlineStr">
        <is>
          <t>0.8223266790603506</t>
        </is>
      </c>
      <c r="J174" t="inlineStr"/>
      <c r="K174" t="inlineStr"/>
      <c r="L174" t="inlineStr"/>
    </row>
    <row r="175" ht="22" customHeight="1">
      <c r="A175" s="15" t="inlineStr">
        <is>
          <t>한미반도체</t>
        </is>
      </c>
      <c r="B175" s="15" t="inlineStr">
        <is>
          <t>hanmi</t>
        </is>
      </c>
      <c r="C175" s="15" t="inlineStr">
        <is>
          <t>042700</t>
        </is>
      </c>
      <c r="D175" s="15" t="inlineStr">
        <is>
          <t>KOSPI</t>
        </is>
      </c>
      <c r="E175" s="15" t="inlineStr">
        <is>
          <t>후공정/패키징/테스트</t>
        </is>
      </c>
      <c r="F175" s="15" t="n">
        <v>47.13</v>
      </c>
      <c r="G175" s="15" t="n">
        <v>0</v>
      </c>
      <c r="H175" s="15" t="inlineStr">
        <is>
          <t>중립</t>
        </is>
      </c>
      <c r="I175" s="15" t="inlineStr">
        <is>
          <t>0.618072727307107</t>
        </is>
      </c>
      <c r="J175" s="15" t="inlineStr">
        <is>
          <t>예</t>
        </is>
      </c>
      <c r="K175" t="inlineStr"/>
      <c r="L175" t="inlineStr"/>
    </row>
    <row r="176" ht="22" customHeight="1">
      <c r="A176" s="15" t="inlineStr">
        <is>
          <t>큐엠씨</t>
        </is>
      </c>
      <c r="B176" t="inlineStr"/>
      <c r="C176" s="15" t="inlineStr">
        <is>
          <t>136660</t>
        </is>
      </c>
      <c r="D176" s="15" t="inlineStr">
        <is>
          <t>KONEX</t>
        </is>
      </c>
      <c r="E176" s="15" t="inlineStr">
        <is>
          <t>후공정/패키징/테스트</t>
        </is>
      </c>
      <c r="F176" s="15" t="n">
        <v>47.11</v>
      </c>
      <c r="G176" s="15" t="n">
        <v>28.57</v>
      </c>
      <c r="H176" s="15" t="inlineStr">
        <is>
          <t>중립</t>
        </is>
      </c>
      <c r="I176" s="15" t="inlineStr">
        <is>
          <t>0.9731046168075388</t>
        </is>
      </c>
      <c r="J176" t="inlineStr"/>
      <c r="K176" t="inlineStr"/>
      <c r="L176" t="inlineStr"/>
    </row>
    <row r="177" ht="22" customHeight="1">
      <c r="A177" s="15" t="inlineStr">
        <is>
          <t>동진쎄미켐</t>
        </is>
      </c>
      <c r="B177" t="inlineStr"/>
      <c r="C177" s="15" t="inlineStr">
        <is>
          <t>005290</t>
        </is>
      </c>
      <c r="D177" s="15" t="inlineStr">
        <is>
          <t>KOSDAQ</t>
        </is>
      </c>
      <c r="E177" s="15" t="inlineStr">
        <is>
          <t>소재</t>
        </is>
      </c>
      <c r="F177" s="15" t="n">
        <v>47.03</v>
      </c>
      <c r="G177" s="15" t="n">
        <v>0</v>
      </c>
      <c r="H177" s="15" t="inlineStr">
        <is>
          <t>중립</t>
        </is>
      </c>
      <c r="I177" s="15" t="inlineStr">
        <is>
          <t>0.48929755601795294</t>
        </is>
      </c>
      <c r="J177" t="inlineStr"/>
      <c r="K177" t="inlineStr"/>
      <c r="L177" t="inlineStr"/>
    </row>
    <row r="178" ht="22" customHeight="1">
      <c r="A178" s="15" t="inlineStr">
        <is>
          <t>럭스피아</t>
        </is>
      </c>
      <c r="B178" t="inlineStr"/>
      <c r="C178" s="15" t="inlineStr">
        <is>
          <t>092590</t>
        </is>
      </c>
      <c r="D178" s="15" t="inlineStr">
        <is>
          <t>KONEX</t>
        </is>
      </c>
      <c r="E178" s="15" t="inlineStr">
        <is>
          <t>후공정/패키징/테스트</t>
        </is>
      </c>
      <c r="F178" s="15" t="n">
        <v>46.81</v>
      </c>
      <c r="G178" s="15" t="n">
        <v>28.57</v>
      </c>
      <c r="H178" s="15" t="inlineStr">
        <is>
          <t>중립</t>
        </is>
      </c>
      <c r="I178" s="15" t="inlineStr">
        <is>
          <t>0.969533908094729</t>
        </is>
      </c>
      <c r="J178" t="inlineStr"/>
      <c r="K178" t="inlineStr"/>
      <c r="L178" t="inlineStr"/>
    </row>
    <row r="179" ht="22" customHeight="1">
      <c r="A179" s="15" t="inlineStr">
        <is>
          <t>코리아써키트</t>
        </is>
      </c>
      <c r="B179" t="inlineStr"/>
      <c r="C179" s="15" t="inlineStr">
        <is>
          <t>007810</t>
        </is>
      </c>
      <c r="D179" s="15" t="inlineStr">
        <is>
          <t>KOSPI</t>
        </is>
      </c>
      <c r="E179" s="15" t="inlineStr">
        <is>
          <t>부품/기판</t>
        </is>
      </c>
      <c r="F179" s="15" t="n">
        <v>46.76</v>
      </c>
      <c r="G179" s="15" t="n">
        <v>28.57</v>
      </c>
      <c r="H179" s="15" t="inlineStr">
        <is>
          <t>중립</t>
        </is>
      </c>
      <c r="I179" s="15" t="inlineStr">
        <is>
          <t>0.8409076697911426</t>
        </is>
      </c>
      <c r="J179" t="inlineStr"/>
      <c r="K179" t="inlineStr"/>
      <c r="L179" t="inlineStr"/>
    </row>
    <row r="180" ht="22" customHeight="1">
      <c r="A180" s="15" t="inlineStr">
        <is>
          <t>싸이닉솔루션</t>
        </is>
      </c>
      <c r="B180" t="inlineStr"/>
      <c r="C180" s="15" t="inlineStr">
        <is>
          <t>234030</t>
        </is>
      </c>
      <c r="D180" s="15" t="inlineStr">
        <is>
          <t>KOSDAQ</t>
        </is>
      </c>
      <c r="E180" s="15" t="inlineStr">
        <is>
          <t>팹리스/설계</t>
        </is>
      </c>
      <c r="F180" s="15" t="n">
        <v>46.71</v>
      </c>
      <c r="G180" s="15" t="n">
        <v>35.71</v>
      </c>
      <c r="H180" s="15" t="inlineStr">
        <is>
          <t>중립</t>
        </is>
      </c>
      <c r="I180" s="15" t="inlineStr">
        <is>
          <t>0.7962034217650586</t>
        </is>
      </c>
      <c r="J180" t="inlineStr"/>
      <c r="K180" t="inlineStr"/>
      <c r="L180" t="inlineStr"/>
    </row>
    <row r="181" ht="22" customHeight="1">
      <c r="A181" s="15" t="inlineStr">
        <is>
          <t>HD현대에너지솔루션</t>
        </is>
      </c>
      <c r="B181" t="inlineStr"/>
      <c r="C181" s="15" t="inlineStr">
        <is>
          <t>322000</t>
        </is>
      </c>
      <c r="D181" s="15" t="inlineStr">
        <is>
          <t>KOSPI</t>
        </is>
      </c>
      <c r="E181" s="15" t="inlineStr">
        <is>
          <t>IDM/제조/메모리</t>
        </is>
      </c>
      <c r="F181" s="15" t="n">
        <v>46.5</v>
      </c>
      <c r="G181" s="15" t="n">
        <v>14.29</v>
      </c>
      <c r="H181" s="15" t="inlineStr">
        <is>
          <t>중립</t>
        </is>
      </c>
      <c r="I181" s="15" t="inlineStr">
        <is>
          <t>0.6226975287022534</t>
        </is>
      </c>
      <c r="J181" t="inlineStr"/>
      <c r="K181" t="inlineStr"/>
      <c r="L181" t="inlineStr"/>
    </row>
    <row r="182" ht="22" customHeight="1">
      <c r="A182" s="15" t="inlineStr">
        <is>
          <t>원익IPS</t>
        </is>
      </c>
      <c r="B182" t="inlineStr"/>
      <c r="C182" s="15" t="inlineStr">
        <is>
          <t>240810</t>
        </is>
      </c>
      <c r="D182" s="15" t="inlineStr">
        <is>
          <t>KOSDAQ GLOBAL</t>
        </is>
      </c>
      <c r="E182" s="15" t="inlineStr">
        <is>
          <t>장비</t>
        </is>
      </c>
      <c r="F182" s="15" t="n">
        <v>46.35</v>
      </c>
      <c r="G182" s="15" t="n">
        <v>7.14</v>
      </c>
      <c r="H182" s="15" t="inlineStr">
        <is>
          <t>중립</t>
        </is>
      </c>
      <c r="I182" s="15" t="inlineStr">
        <is>
          <t>0.5727476694226805</t>
        </is>
      </c>
      <c r="J182" t="inlineStr"/>
      <c r="K182" t="inlineStr"/>
      <c r="L182" t="inlineStr"/>
    </row>
    <row r="183" ht="22" customHeight="1">
      <c r="A183" s="15" t="inlineStr">
        <is>
          <t>파크시스템스</t>
        </is>
      </c>
      <c r="B183" t="inlineStr"/>
      <c r="C183" s="15" t="inlineStr">
        <is>
          <t>140860</t>
        </is>
      </c>
      <c r="D183" s="15" t="inlineStr">
        <is>
          <t>KOSDAQ GLOBAL</t>
        </is>
      </c>
      <c r="E183" s="15" t="inlineStr">
        <is>
          <t>장비</t>
        </is>
      </c>
      <c r="F183" s="15" t="n">
        <v>46.12</v>
      </c>
      <c r="G183" s="15" t="n">
        <v>7.14</v>
      </c>
      <c r="H183" s="15" t="inlineStr">
        <is>
          <t>중립</t>
        </is>
      </c>
      <c r="I183" s="15" t="inlineStr">
        <is>
          <t>0.7158734205313764</t>
        </is>
      </c>
      <c r="J183" t="inlineStr"/>
      <c r="K183" t="inlineStr"/>
      <c r="L183" t="inlineStr"/>
    </row>
    <row r="184" ht="22" customHeight="1">
      <c r="A184" s="15" t="inlineStr">
        <is>
          <t>와이투솔루션</t>
        </is>
      </c>
      <c r="B184" t="inlineStr"/>
      <c r="C184" s="15" t="inlineStr">
        <is>
          <t>011690</t>
        </is>
      </c>
      <c r="D184" s="15" t="inlineStr">
        <is>
          <t>KOSPI</t>
        </is>
      </c>
      <c r="E184" s="15" t="inlineStr">
        <is>
          <t>IDM/제조/메모리</t>
        </is>
      </c>
      <c r="F184" s="15" t="n">
        <v>46.02</v>
      </c>
      <c r="G184" s="15" t="n">
        <v>57.14</v>
      </c>
      <c r="H184" s="15" t="inlineStr">
        <is>
          <t>중립</t>
        </is>
      </c>
      <c r="I184" s="15" t="inlineStr">
        <is>
          <t>0.7379153959384467</t>
        </is>
      </c>
      <c r="J184" t="inlineStr"/>
      <c r="K184" t="inlineStr"/>
      <c r="L184" t="inlineStr"/>
    </row>
    <row r="185" ht="22" customHeight="1">
      <c r="A185" s="15" t="inlineStr">
        <is>
          <t>서플러스글로벌</t>
        </is>
      </c>
      <c r="B185" t="inlineStr"/>
      <c r="C185" s="15" t="inlineStr">
        <is>
          <t>140070</t>
        </is>
      </c>
      <c r="D185" s="15" t="inlineStr">
        <is>
          <t>KOSDAQ</t>
        </is>
      </c>
      <c r="E185" s="15" t="inlineStr">
        <is>
          <t>장비</t>
        </is>
      </c>
      <c r="F185" s="15" t="n">
        <v>45.95</v>
      </c>
      <c r="G185" s="15" t="n">
        <v>71.43000000000001</v>
      </c>
      <c r="H185" s="15" t="inlineStr">
        <is>
          <t>중립</t>
        </is>
      </c>
      <c r="I185" s="15" t="inlineStr">
        <is>
          <t>0.6515364241286621</t>
        </is>
      </c>
      <c r="J185" t="inlineStr"/>
      <c r="K185" t="inlineStr"/>
      <c r="L185" t="inlineStr"/>
    </row>
    <row r="186" ht="22" customHeight="1">
      <c r="A186" s="15" t="inlineStr">
        <is>
          <t>아이텍</t>
        </is>
      </c>
      <c r="B186" t="inlineStr"/>
      <c r="C186" s="15" t="inlineStr">
        <is>
          <t>119830</t>
        </is>
      </c>
      <c r="D186" s="15" t="inlineStr">
        <is>
          <t>KOSDAQ</t>
        </is>
      </c>
      <c r="E186" s="15" t="inlineStr">
        <is>
          <t>후공정/패키징/테스트</t>
        </is>
      </c>
      <c r="F186" s="15" t="n">
        <v>45.73</v>
      </c>
      <c r="G186" s="15" t="n">
        <v>21.43</v>
      </c>
      <c r="H186" s="15" t="inlineStr">
        <is>
          <t>중립</t>
        </is>
      </c>
      <c r="I186" s="15" t="inlineStr">
        <is>
          <t>0.6018206034002739</t>
        </is>
      </c>
      <c r="J186" t="inlineStr"/>
      <c r="K186" t="inlineStr"/>
      <c r="L186" t="inlineStr"/>
    </row>
    <row r="187" ht="22" customHeight="1">
      <c r="A187" s="15" t="inlineStr">
        <is>
          <t>신성이엔지</t>
        </is>
      </c>
      <c r="B187" t="inlineStr"/>
      <c r="C187" s="15" t="inlineStr">
        <is>
          <t>011930</t>
        </is>
      </c>
      <c r="D187" s="15" t="inlineStr">
        <is>
          <t>KOSPI</t>
        </is>
      </c>
      <c r="E187" s="15" t="inlineStr">
        <is>
          <t>IDM/제조/메모리</t>
        </is>
      </c>
      <c r="F187" s="15" t="n">
        <v>45.52</v>
      </c>
      <c r="G187" s="15" t="n">
        <v>57.14</v>
      </c>
      <c r="H187" s="15" t="inlineStr">
        <is>
          <t>중립</t>
        </is>
      </c>
      <c r="I187" s="15" t="inlineStr">
        <is>
          <t>0.7610157176994289</t>
        </is>
      </c>
      <c r="J187" t="inlineStr"/>
      <c r="K187" t="inlineStr"/>
      <c r="L187" t="inlineStr"/>
    </row>
    <row r="188" ht="22" customHeight="1">
      <c r="A188" s="15" t="inlineStr">
        <is>
          <t>KEC</t>
        </is>
      </c>
      <c r="B188" t="inlineStr"/>
      <c r="C188" s="15" t="inlineStr">
        <is>
          <t>092220</t>
        </is>
      </c>
      <c r="D188" s="15" t="inlineStr">
        <is>
          <t>KOSPI</t>
        </is>
      </c>
      <c r="E188" s="15" t="inlineStr">
        <is>
          <t>IDM/제조/메모리</t>
        </is>
      </c>
      <c r="F188" s="15" t="n">
        <v>45.5</v>
      </c>
      <c r="G188" s="15" t="n">
        <v>50</v>
      </c>
      <c r="H188" s="15" t="inlineStr">
        <is>
          <t>중립</t>
        </is>
      </c>
      <c r="I188" s="15" t="inlineStr">
        <is>
          <t>0.7937660338126779</t>
        </is>
      </c>
      <c r="J188" t="inlineStr"/>
      <c r="K188" t="inlineStr"/>
      <c r="L188" t="inlineStr"/>
    </row>
    <row r="189" ht="22" customHeight="1">
      <c r="A189" s="15" t="inlineStr">
        <is>
          <t>에스티아이</t>
        </is>
      </c>
      <c r="B189" t="inlineStr"/>
      <c r="C189" s="15" t="inlineStr">
        <is>
          <t>039440</t>
        </is>
      </c>
      <c r="D189" s="15" t="inlineStr">
        <is>
          <t>KOSDAQ</t>
        </is>
      </c>
      <c r="E189" s="15" t="inlineStr">
        <is>
          <t>장비</t>
        </is>
      </c>
      <c r="F189" s="15" t="n">
        <v>45.5</v>
      </c>
      <c r="G189" s="15" t="n">
        <v>0</v>
      </c>
      <c r="H189" s="15" t="inlineStr">
        <is>
          <t>중립</t>
        </is>
      </c>
      <c r="I189" s="15" t="inlineStr">
        <is>
          <t>0.53270990340385</t>
        </is>
      </c>
      <c r="J189" t="inlineStr"/>
      <c r="K189" t="inlineStr"/>
      <c r="L189" t="inlineStr"/>
    </row>
    <row r="190" ht="22" customHeight="1">
      <c r="A190" s="15" t="inlineStr">
        <is>
          <t>윈팩</t>
        </is>
      </c>
      <c r="B190" t="inlineStr"/>
      <c r="C190" s="15" t="inlineStr">
        <is>
          <t>097800</t>
        </is>
      </c>
      <c r="D190" s="15" t="inlineStr">
        <is>
          <t>KOSDAQ</t>
        </is>
      </c>
      <c r="E190" s="15" t="inlineStr">
        <is>
          <t>후공정/패키징/테스트</t>
        </is>
      </c>
      <c r="F190" s="15" t="n">
        <v>44.18</v>
      </c>
      <c r="G190" s="15" t="n">
        <v>71.43000000000001</v>
      </c>
      <c r="H190" s="15" t="inlineStr">
        <is>
          <t>중립</t>
        </is>
      </c>
      <c r="I190" s="15" t="inlineStr">
        <is>
          <t>0.5735742758518154</t>
        </is>
      </c>
      <c r="J190" t="inlineStr"/>
      <c r="K190" t="inlineStr"/>
      <c r="L190" t="inlineStr"/>
    </row>
    <row r="191" ht="22" customHeight="1">
      <c r="A191" s="15" t="inlineStr">
        <is>
          <t>켐트로닉스</t>
        </is>
      </c>
      <c r="B191" t="inlineStr"/>
      <c r="C191" s="15" t="inlineStr">
        <is>
          <t>089010</t>
        </is>
      </c>
      <c r="D191" s="15" t="inlineStr">
        <is>
          <t>KOSDAQ</t>
        </is>
      </c>
      <c r="E191" s="15" t="inlineStr">
        <is>
          <t>소재</t>
        </is>
      </c>
      <c r="F191" s="15" t="n">
        <v>44.13</v>
      </c>
      <c r="G191" s="15" t="n">
        <v>35.71</v>
      </c>
      <c r="H191" s="15" t="inlineStr">
        <is>
          <t>중립</t>
        </is>
      </c>
      <c r="I191" s="15" t="inlineStr">
        <is>
          <t>0.7697961799623572</t>
        </is>
      </c>
      <c r="J191" t="inlineStr"/>
      <c r="K191" t="inlineStr"/>
      <c r="L191" t="inlineStr"/>
    </row>
    <row r="192" ht="22" customHeight="1">
      <c r="A192" s="15" t="inlineStr">
        <is>
          <t>팸텍</t>
        </is>
      </c>
      <c r="B192" t="inlineStr"/>
      <c r="C192" s="15" t="inlineStr">
        <is>
          <t>271830</t>
        </is>
      </c>
      <c r="D192" s="15" t="inlineStr">
        <is>
          <t>KOSDAQ</t>
        </is>
      </c>
      <c r="E192" s="15" t="inlineStr">
        <is>
          <t>후공정/패키징/테스트</t>
        </is>
      </c>
      <c r="F192" s="15" t="n">
        <v>44.03</v>
      </c>
      <c r="G192" s="15" t="n">
        <v>57.14</v>
      </c>
      <c r="H192" s="15" t="inlineStr">
        <is>
          <t>중립</t>
        </is>
      </c>
      <c r="I192" s="15" t="inlineStr">
        <is>
          <t>0.6809009837226325</t>
        </is>
      </c>
      <c r="J192" t="inlineStr"/>
      <c r="K192" t="inlineStr"/>
      <c r="L192" t="inlineStr"/>
    </row>
    <row r="193" ht="22" customHeight="1">
      <c r="A193" s="15" t="inlineStr">
        <is>
          <t>LB세미콘</t>
        </is>
      </c>
      <c r="B193" t="inlineStr"/>
      <c r="C193" s="15" t="inlineStr">
        <is>
          <t>061970</t>
        </is>
      </c>
      <c r="D193" s="15" t="inlineStr">
        <is>
          <t>KOSDAQ</t>
        </is>
      </c>
      <c r="E193" s="15" t="inlineStr">
        <is>
          <t>후공정/패키징/테스트</t>
        </is>
      </c>
      <c r="F193" s="15" t="n">
        <v>43.94</v>
      </c>
      <c r="G193" s="15" t="n">
        <v>57.14</v>
      </c>
      <c r="H193" s="15" t="inlineStr">
        <is>
          <t>중립</t>
        </is>
      </c>
      <c r="I193" s="15" t="inlineStr">
        <is>
          <t>0.519835518569549</t>
        </is>
      </c>
      <c r="J193" t="inlineStr"/>
      <c r="K193" t="inlineStr"/>
      <c r="L193" t="inlineStr"/>
    </row>
    <row r="194" ht="22" customHeight="1">
      <c r="A194" s="15" t="inlineStr">
        <is>
          <t>유진테크</t>
        </is>
      </c>
      <c r="B194" t="inlineStr"/>
      <c r="C194" s="15" t="inlineStr">
        <is>
          <t>084370</t>
        </is>
      </c>
      <c r="D194" s="15" t="inlineStr">
        <is>
          <t>KOSDAQ</t>
        </is>
      </c>
      <c r="E194" s="15" t="inlineStr">
        <is>
          <t>장비</t>
        </is>
      </c>
      <c r="F194" s="15" t="n">
        <v>43.36</v>
      </c>
      <c r="G194" s="15" t="n">
        <v>0</v>
      </c>
      <c r="H194" s="15" t="inlineStr">
        <is>
          <t>중립</t>
        </is>
      </c>
      <c r="I194" s="15" t="inlineStr">
        <is>
          <t>0.7415227894291446</t>
        </is>
      </c>
      <c r="J194" t="inlineStr"/>
      <c r="K194" t="inlineStr"/>
      <c r="L194" t="inlineStr"/>
    </row>
    <row r="195" ht="22" customHeight="1">
      <c r="A195" s="15" t="inlineStr">
        <is>
          <t>일진디스플</t>
        </is>
      </c>
      <c r="B195" t="inlineStr"/>
      <c r="C195" s="15" t="inlineStr">
        <is>
          <t>020760</t>
        </is>
      </c>
      <c r="D195" s="15" t="inlineStr">
        <is>
          <t>KOSPI</t>
        </is>
      </c>
      <c r="E195" s="15" t="inlineStr">
        <is>
          <t>IDM/제조/메모리</t>
        </is>
      </c>
      <c r="F195" s="15" t="n">
        <v>43.35</v>
      </c>
      <c r="G195" s="15" t="n">
        <v>64.29000000000001</v>
      </c>
      <c r="H195" s="15" t="inlineStr">
        <is>
          <t>중립</t>
        </is>
      </c>
      <c r="I195" s="15" t="inlineStr">
        <is>
          <t>0.7887205359697603</t>
        </is>
      </c>
      <c r="J195" t="inlineStr"/>
      <c r="K195" t="inlineStr"/>
      <c r="L195" t="inlineStr"/>
    </row>
    <row r="196" ht="22" customHeight="1">
      <c r="A196" s="15" t="inlineStr">
        <is>
          <t>덕산하이메탈</t>
        </is>
      </c>
      <c r="B196" t="inlineStr"/>
      <c r="C196" s="15" t="inlineStr">
        <is>
          <t>077360</t>
        </is>
      </c>
      <c r="D196" s="15" t="inlineStr">
        <is>
          <t>KOSDAQ</t>
        </is>
      </c>
      <c r="E196" s="15" t="inlineStr">
        <is>
          <t>IDM/제조/메모리</t>
        </is>
      </c>
      <c r="F196" s="15" t="n">
        <v>43.33</v>
      </c>
      <c r="G196" s="15" t="n">
        <v>28.57</v>
      </c>
      <c r="H196" s="15" t="inlineStr">
        <is>
          <t>중립</t>
        </is>
      </c>
      <c r="I196" s="15" t="inlineStr">
        <is>
          <t>0.6698541971057747</t>
        </is>
      </c>
      <c r="J196" t="inlineStr"/>
      <c r="K196" t="inlineStr"/>
      <c r="L196" t="inlineStr"/>
    </row>
    <row r="197" ht="22" customHeight="1">
      <c r="A197" s="15" t="inlineStr">
        <is>
          <t>솔브레인</t>
        </is>
      </c>
      <c r="B197" t="inlineStr"/>
      <c r="C197" s="15" t="inlineStr">
        <is>
          <t>357780</t>
        </is>
      </c>
      <c r="D197" s="15" t="inlineStr">
        <is>
          <t>KOSDAQ GLOBAL</t>
        </is>
      </c>
      <c r="E197" s="15" t="inlineStr">
        <is>
          <t>소재</t>
        </is>
      </c>
      <c r="F197" s="15" t="n">
        <v>43.31</v>
      </c>
      <c r="G197" s="15" t="n">
        <v>0</v>
      </c>
      <c r="H197" s="15" t="inlineStr">
        <is>
          <t>중립</t>
        </is>
      </c>
      <c r="I197" s="15" t="inlineStr">
        <is>
          <t>0.6367158518654258</t>
        </is>
      </c>
      <c r="J197" t="inlineStr"/>
      <c r="K197" t="inlineStr"/>
      <c r="L197" t="inlineStr"/>
    </row>
    <row r="198" ht="22" customHeight="1">
      <c r="A198" s="15" t="inlineStr">
        <is>
          <t>제이티</t>
        </is>
      </c>
      <c r="B198" t="inlineStr"/>
      <c r="C198" s="15" t="inlineStr">
        <is>
          <t>089790</t>
        </is>
      </c>
      <c r="D198" s="15" t="inlineStr">
        <is>
          <t>KOSDAQ</t>
        </is>
      </c>
      <c r="E198" s="15" t="inlineStr">
        <is>
          <t>후공정/패키징/테스트</t>
        </is>
      </c>
      <c r="F198" s="15" t="n">
        <v>42.93</v>
      </c>
      <c r="G198" s="15" t="n">
        <v>28.57</v>
      </c>
      <c r="H198" s="15" t="inlineStr">
        <is>
          <t>중립</t>
        </is>
      </c>
      <c r="I198" s="15" t="inlineStr">
        <is>
          <t>0.7953438622461361</t>
        </is>
      </c>
      <c r="J198" t="inlineStr"/>
      <c r="K198" t="inlineStr"/>
      <c r="L198" t="inlineStr"/>
    </row>
    <row r="199" ht="22" customHeight="1">
      <c r="A199" s="15" t="inlineStr">
        <is>
          <t>아이언디바이스</t>
        </is>
      </c>
      <c r="B199" t="inlineStr"/>
      <c r="C199" s="15" t="inlineStr">
        <is>
          <t>464500</t>
        </is>
      </c>
      <c r="D199" s="15" t="inlineStr">
        <is>
          <t>KOSDAQ</t>
        </is>
      </c>
      <c r="E199" s="15" t="inlineStr">
        <is>
          <t>팹리스/설계</t>
        </is>
      </c>
      <c r="F199" s="15" t="n">
        <v>42.79</v>
      </c>
      <c r="G199" s="15" t="n">
        <v>57.14</v>
      </c>
      <c r="H199" s="15" t="inlineStr">
        <is>
          <t>중립</t>
        </is>
      </c>
      <c r="I199" s="15" t="inlineStr">
        <is>
          <t>0.767854918982104</t>
        </is>
      </c>
      <c r="J199" t="inlineStr"/>
      <c r="K199" t="inlineStr"/>
      <c r="L199" t="inlineStr"/>
    </row>
    <row r="200" ht="22" customHeight="1">
      <c r="A200" s="15" t="inlineStr">
        <is>
          <t>제너셈</t>
        </is>
      </c>
      <c r="B200" t="inlineStr"/>
      <c r="C200" s="15" t="inlineStr">
        <is>
          <t>217190</t>
        </is>
      </c>
      <c r="D200" s="15" t="inlineStr">
        <is>
          <t>KOSDAQ</t>
        </is>
      </c>
      <c r="E200" s="15" t="inlineStr">
        <is>
          <t>후공정/패키징/테스트</t>
        </is>
      </c>
      <c r="F200" s="15" t="n">
        <v>42.79</v>
      </c>
      <c r="G200" s="15" t="n">
        <v>28.57</v>
      </c>
      <c r="H200" s="15" t="inlineStr">
        <is>
          <t>중립</t>
        </is>
      </c>
      <c r="I200" s="15" t="inlineStr">
        <is>
          <t>0.7410125545144256</t>
        </is>
      </c>
      <c r="J200" t="inlineStr"/>
      <c r="K200" t="inlineStr"/>
      <c r="L200" t="inlineStr"/>
    </row>
    <row r="201" ht="22" customHeight="1">
      <c r="A201" s="15" t="inlineStr">
        <is>
          <t>에이디테크놀로지</t>
        </is>
      </c>
      <c r="B201" t="inlineStr"/>
      <c r="C201" s="15" t="inlineStr">
        <is>
          <t>200710</t>
        </is>
      </c>
      <c r="D201" s="15" t="inlineStr">
        <is>
          <t>KOSDAQ</t>
        </is>
      </c>
      <c r="E201" s="15" t="inlineStr">
        <is>
          <t>IDM/제조/메모리</t>
        </is>
      </c>
      <c r="F201" s="15" t="n">
        <v>42.72</v>
      </c>
      <c r="G201" s="15" t="n">
        <v>28.57</v>
      </c>
      <c r="H201" s="15" t="inlineStr">
        <is>
          <t>중립</t>
        </is>
      </c>
      <c r="I201" s="15" t="inlineStr">
        <is>
          <t>0.6637416757093363</t>
        </is>
      </c>
      <c r="J201" t="inlineStr"/>
      <c r="K201" t="inlineStr"/>
      <c r="L201" t="inlineStr"/>
    </row>
    <row r="202" ht="22" customHeight="1">
      <c r="A202" s="15" t="inlineStr">
        <is>
          <t>쓰리에이로직스</t>
        </is>
      </c>
      <c r="B202" t="inlineStr"/>
      <c r="C202" s="15" t="inlineStr">
        <is>
          <t>177900</t>
        </is>
      </c>
      <c r="D202" s="15" t="inlineStr">
        <is>
          <t>KOSDAQ</t>
        </is>
      </c>
      <c r="E202" s="15" t="inlineStr">
        <is>
          <t>팹리스/설계</t>
        </is>
      </c>
      <c r="F202" s="15" t="n">
        <v>42.67</v>
      </c>
      <c r="G202" s="15" t="n">
        <v>57.14</v>
      </c>
      <c r="H202" s="15" t="inlineStr">
        <is>
          <t>중립</t>
        </is>
      </c>
      <c r="I202" s="15" t="inlineStr">
        <is>
          <t>0.5793703556022938</t>
        </is>
      </c>
      <c r="J202" t="inlineStr"/>
      <c r="K202" t="inlineStr"/>
      <c r="L202" t="inlineStr"/>
    </row>
    <row r="203" ht="22" customHeight="1">
      <c r="A203" s="15" t="inlineStr">
        <is>
          <t>제우스</t>
        </is>
      </c>
      <c r="B203" t="inlineStr"/>
      <c r="C203" s="15" t="inlineStr">
        <is>
          <t>079370</t>
        </is>
      </c>
      <c r="D203" s="15" t="inlineStr">
        <is>
          <t>KOSDAQ</t>
        </is>
      </c>
      <c r="E203" s="15" t="inlineStr">
        <is>
          <t>장비</t>
        </is>
      </c>
      <c r="F203" s="15" t="n">
        <v>42.59</v>
      </c>
      <c r="G203" s="15" t="n">
        <v>21.43</v>
      </c>
      <c r="H203" s="15" t="inlineStr">
        <is>
          <t>중립</t>
        </is>
      </c>
      <c r="I203" s="15" t="inlineStr">
        <is>
          <t>0.7744454918412472</t>
        </is>
      </c>
      <c r="J203" t="inlineStr"/>
      <c r="K203" t="inlineStr"/>
      <c r="L203" t="inlineStr"/>
    </row>
    <row r="204" ht="22" customHeight="1">
      <c r="A204" s="15" t="inlineStr">
        <is>
          <t>네패스아크</t>
        </is>
      </c>
      <c r="B204" t="inlineStr"/>
      <c r="C204" s="15" t="inlineStr">
        <is>
          <t>330860</t>
        </is>
      </c>
      <c r="D204" s="15" t="inlineStr">
        <is>
          <t>KOSDAQ</t>
        </is>
      </c>
      <c r="E204" s="15" t="inlineStr">
        <is>
          <t>후공정/패키징/테스트</t>
        </is>
      </c>
      <c r="F204" s="15" t="n">
        <v>42.07</v>
      </c>
      <c r="G204" s="15" t="n">
        <v>0</v>
      </c>
      <c r="H204" s="15" t="inlineStr">
        <is>
          <t>고평가 부담</t>
        </is>
      </c>
      <c r="I204" s="15" t="inlineStr">
        <is>
          <t>0.5804758808286147</t>
        </is>
      </c>
      <c r="J204" t="inlineStr"/>
      <c r="K204" t="inlineStr"/>
      <c r="L204" t="inlineStr"/>
    </row>
    <row r="205" ht="22" customHeight="1">
      <c r="A205" s="15" t="inlineStr">
        <is>
          <t>마이크로투나노</t>
        </is>
      </c>
      <c r="B205" t="inlineStr"/>
      <c r="C205" s="15" t="inlineStr">
        <is>
          <t>424980</t>
        </is>
      </c>
      <c r="D205" s="15" t="inlineStr">
        <is>
          <t>KOSDAQ</t>
        </is>
      </c>
      <c r="E205" s="15" t="inlineStr">
        <is>
          <t>후공정/패키징/테스트</t>
        </is>
      </c>
      <c r="F205" s="15" t="n">
        <v>41.88</v>
      </c>
      <c r="G205" s="15" t="n">
        <v>57.14</v>
      </c>
      <c r="H205" s="15" t="inlineStr">
        <is>
          <t>고평가 부담</t>
        </is>
      </c>
      <c r="I205" s="15" t="inlineStr">
        <is>
          <t>0.8919952418828875</t>
        </is>
      </c>
      <c r="J205" t="inlineStr"/>
      <c r="K205" t="inlineStr"/>
      <c r="L205" t="inlineStr"/>
    </row>
    <row r="206" ht="22" customHeight="1">
      <c r="A206" s="15" t="inlineStr">
        <is>
          <t>광전자</t>
        </is>
      </c>
      <c r="B206" t="inlineStr"/>
      <c r="C206" s="15" t="inlineStr">
        <is>
          <t>017900</t>
        </is>
      </c>
      <c r="D206" s="15" t="inlineStr">
        <is>
          <t>KOSPI</t>
        </is>
      </c>
      <c r="E206" s="15" t="inlineStr">
        <is>
          <t>IDM/제조/메모리</t>
        </is>
      </c>
      <c r="F206" s="15" t="n">
        <v>41.84</v>
      </c>
      <c r="G206" s="15" t="n">
        <v>21.43</v>
      </c>
      <c r="H206" s="15" t="inlineStr">
        <is>
          <t>고평가 부담</t>
        </is>
      </c>
      <c r="I206" s="15" t="inlineStr">
        <is>
          <t>0.6817751829328556</t>
        </is>
      </c>
      <c r="J206" t="inlineStr"/>
      <c r="K206" t="inlineStr"/>
      <c r="L206" t="inlineStr"/>
    </row>
    <row r="207" ht="22" customHeight="1">
      <c r="A207" s="15" t="inlineStr">
        <is>
          <t>아진엑스텍</t>
        </is>
      </c>
      <c r="B207" t="inlineStr"/>
      <c r="C207" s="15" t="inlineStr">
        <is>
          <t>059120</t>
        </is>
      </c>
      <c r="D207" s="15" t="inlineStr">
        <is>
          <t>KOSDAQ</t>
        </is>
      </c>
      <c r="E207" s="15" t="inlineStr">
        <is>
          <t>IDM/제조/메모리</t>
        </is>
      </c>
      <c r="F207" s="15" t="n">
        <v>41.28</v>
      </c>
      <c r="G207" s="15" t="n">
        <v>7.14</v>
      </c>
      <c r="H207" s="15" t="inlineStr">
        <is>
          <t>고평가 부담</t>
        </is>
      </c>
      <c r="I207" s="15" t="inlineStr">
        <is>
          <t>0.6635799672057409</t>
        </is>
      </c>
      <c r="J207" t="inlineStr"/>
      <c r="K207" t="inlineStr"/>
      <c r="L207" t="inlineStr"/>
    </row>
    <row r="208" ht="22" customHeight="1">
      <c r="A208" s="15" t="inlineStr">
        <is>
          <t>아이티엠반도체</t>
        </is>
      </c>
      <c r="B208" t="inlineStr"/>
      <c r="C208" s="15" t="inlineStr">
        <is>
          <t>084850</t>
        </is>
      </c>
      <c r="D208" s="15" t="inlineStr">
        <is>
          <t>KOSDAQ GLOBAL</t>
        </is>
      </c>
      <c r="E208" s="15" t="inlineStr">
        <is>
          <t>부품/기판</t>
        </is>
      </c>
      <c r="F208" s="15" t="n">
        <v>41.24</v>
      </c>
      <c r="G208" s="15" t="n">
        <v>50</v>
      </c>
      <c r="H208" s="15" t="inlineStr">
        <is>
          <t>고평가 부담</t>
        </is>
      </c>
      <c r="I208" s="15" t="inlineStr">
        <is>
          <t>0.599341656390115</t>
        </is>
      </c>
      <c r="J208" t="inlineStr"/>
      <c r="K208" t="inlineStr"/>
      <c r="L208" t="inlineStr"/>
    </row>
    <row r="209" ht="22" customHeight="1">
      <c r="A209" s="15" t="inlineStr">
        <is>
          <t>램테크놀러지</t>
        </is>
      </c>
      <c r="B209" t="inlineStr"/>
      <c r="C209" s="15" t="inlineStr">
        <is>
          <t>171010</t>
        </is>
      </c>
      <c r="D209" s="15" t="inlineStr">
        <is>
          <t>KOSDAQ</t>
        </is>
      </c>
      <c r="E209" s="15" t="inlineStr">
        <is>
          <t>장비</t>
        </is>
      </c>
      <c r="F209" s="15" t="n">
        <v>40.97</v>
      </c>
      <c r="G209" s="15" t="n">
        <v>64.29000000000001</v>
      </c>
      <c r="H209" s="15" t="inlineStr">
        <is>
          <t>고평가 부담</t>
        </is>
      </c>
      <c r="I209" s="15" t="inlineStr">
        <is>
          <t>0.500591784236833</t>
        </is>
      </c>
      <c r="J209" t="inlineStr"/>
      <c r="K209" t="inlineStr"/>
      <c r="L209" t="inlineStr"/>
    </row>
    <row r="210" ht="22" customHeight="1">
      <c r="A210" s="15" t="inlineStr">
        <is>
          <t>코스텍시스</t>
        </is>
      </c>
      <c r="B210" t="inlineStr"/>
      <c r="C210" s="15" t="inlineStr">
        <is>
          <t>355150</t>
        </is>
      </c>
      <c r="D210" s="15" t="inlineStr">
        <is>
          <t>KOSDAQ</t>
        </is>
      </c>
      <c r="E210" s="15" t="inlineStr">
        <is>
          <t>IDM/제조/메모리</t>
        </is>
      </c>
      <c r="F210" s="15" t="n">
        <v>40.97</v>
      </c>
      <c r="G210" s="15" t="n">
        <v>50</v>
      </c>
      <c r="H210" s="15" t="inlineStr">
        <is>
          <t>고평가 부담</t>
        </is>
      </c>
      <c r="I210" s="15" t="inlineStr">
        <is>
          <t>0.7518748972741711</t>
        </is>
      </c>
      <c r="J210" t="inlineStr"/>
      <c r="K210" t="inlineStr"/>
      <c r="L210" t="inlineStr"/>
    </row>
    <row r="211" ht="22" customHeight="1">
      <c r="A211" s="15" t="inlineStr">
        <is>
          <t>시그네틱스</t>
        </is>
      </c>
      <c r="B211" t="inlineStr"/>
      <c r="C211" s="15" t="inlineStr">
        <is>
          <t>033170</t>
        </is>
      </c>
      <c r="D211" s="15" t="inlineStr">
        <is>
          <t>KOSDAQ</t>
        </is>
      </c>
      <c r="E211" s="15" t="inlineStr">
        <is>
          <t>후공정/패키징/테스트</t>
        </is>
      </c>
      <c r="F211" s="15" t="n">
        <v>40.68</v>
      </c>
      <c r="G211" s="15" t="n">
        <v>64.29000000000001</v>
      </c>
      <c r="H211" s="15" t="inlineStr">
        <is>
          <t>고평가 부담</t>
        </is>
      </c>
      <c r="I211" s="15" t="inlineStr">
        <is>
          <t>0.6660306558324866</t>
        </is>
      </c>
      <c r="J211" t="inlineStr"/>
      <c r="K211" t="inlineStr"/>
      <c r="L211" t="inlineStr"/>
    </row>
    <row r="212" ht="22" customHeight="1">
      <c r="A212" s="15" t="inlineStr">
        <is>
          <t>디엔에프</t>
        </is>
      </c>
      <c r="B212" t="inlineStr"/>
      <c r="C212" s="15" t="inlineStr">
        <is>
          <t>092070</t>
        </is>
      </c>
      <c r="D212" s="15" t="inlineStr">
        <is>
          <t>KOSDAQ</t>
        </is>
      </c>
      <c r="E212" s="15" t="inlineStr">
        <is>
          <t>소재</t>
        </is>
      </c>
      <c r="F212" s="15" t="n">
        <v>40.41</v>
      </c>
      <c r="G212" s="15" t="n">
        <v>14.29</v>
      </c>
      <c r="H212" s="15" t="inlineStr">
        <is>
          <t>고평가 부담</t>
        </is>
      </c>
      <c r="I212" s="15" t="inlineStr">
        <is>
          <t>0.6833535693717029</t>
        </is>
      </c>
      <c r="J212" t="inlineStr"/>
      <c r="K212" t="inlineStr"/>
      <c r="L212" t="inlineStr"/>
    </row>
    <row r="213" ht="22" customHeight="1">
      <c r="A213" s="15" t="inlineStr">
        <is>
          <t>저스템</t>
        </is>
      </c>
      <c r="B213" t="inlineStr"/>
      <c r="C213" s="15" t="inlineStr">
        <is>
          <t>417840</t>
        </is>
      </c>
      <c r="D213" s="15" t="inlineStr">
        <is>
          <t>KOSDAQ</t>
        </is>
      </c>
      <c r="E213" s="15" t="inlineStr">
        <is>
          <t>장비</t>
        </is>
      </c>
      <c r="F213" s="15" t="n">
        <v>40.36</v>
      </c>
      <c r="G213" s="15" t="n">
        <v>28.57</v>
      </c>
      <c r="H213" s="15" t="inlineStr">
        <is>
          <t>고평가 부담</t>
        </is>
      </c>
      <c r="I213" s="15" t="inlineStr">
        <is>
          <t>0.7213257522774291</t>
        </is>
      </c>
      <c r="J213" t="inlineStr"/>
      <c r="K213" t="inlineStr"/>
      <c r="L213" t="inlineStr"/>
    </row>
    <row r="214" ht="22" customHeight="1">
      <c r="A214" s="15" t="inlineStr">
        <is>
          <t>지아이에스</t>
        </is>
      </c>
      <c r="B214" t="inlineStr"/>
      <c r="C214" s="15" t="inlineStr">
        <is>
          <t>306620</t>
        </is>
      </c>
      <c r="D214" s="15" t="inlineStr">
        <is>
          <t>KOSDAQ</t>
        </is>
      </c>
      <c r="E214" s="15" t="inlineStr">
        <is>
          <t>장비</t>
        </is>
      </c>
      <c r="F214" s="15" t="n">
        <v>40.15</v>
      </c>
      <c r="G214" s="15" t="n">
        <v>57.14</v>
      </c>
      <c r="H214" s="15" t="inlineStr">
        <is>
          <t>고평가 부담</t>
        </is>
      </c>
      <c r="I214" s="15" t="inlineStr">
        <is>
          <t>0.745903271306321</t>
        </is>
      </c>
      <c r="J214" t="inlineStr"/>
      <c r="K214" t="inlineStr"/>
      <c r="L214" t="inlineStr"/>
    </row>
    <row r="215" ht="22" customHeight="1">
      <c r="A215" s="15" t="inlineStr">
        <is>
          <t>대덕전자</t>
        </is>
      </c>
      <c r="B215" t="inlineStr"/>
      <c r="C215" s="15" t="inlineStr">
        <is>
          <t>353200</t>
        </is>
      </c>
      <c r="D215" s="15" t="inlineStr">
        <is>
          <t>KOSPI</t>
        </is>
      </c>
      <c r="E215" s="15" t="inlineStr">
        <is>
          <t>부품/기판</t>
        </is>
      </c>
      <c r="F215" s="15" t="n">
        <v>39.67</v>
      </c>
      <c r="G215" s="15" t="n">
        <v>14.29</v>
      </c>
      <c r="H215" s="15" t="inlineStr">
        <is>
          <t>고평가 부담</t>
        </is>
      </c>
      <c r="I215" s="15" t="inlineStr">
        <is>
          <t>0.6645756407915718</t>
        </is>
      </c>
      <c r="J215" t="inlineStr"/>
      <c r="K215" t="inlineStr"/>
      <c r="L215" t="inlineStr"/>
    </row>
    <row r="216" ht="22" customHeight="1">
      <c r="A216" s="15" t="inlineStr">
        <is>
          <t>고영</t>
        </is>
      </c>
      <c r="B216" t="inlineStr"/>
      <c r="C216" s="15" t="inlineStr">
        <is>
          <t>098460</t>
        </is>
      </c>
      <c r="D216" s="15" t="inlineStr">
        <is>
          <t>KOSDAQ</t>
        </is>
      </c>
      <c r="E216" s="15" t="inlineStr">
        <is>
          <t>후공정/패키징/테스트</t>
        </is>
      </c>
      <c r="F216" s="15" t="n">
        <v>39.33</v>
      </c>
      <c r="G216" s="15" t="n">
        <v>7.14</v>
      </c>
      <c r="H216" s="15" t="inlineStr">
        <is>
          <t>고평가 부담</t>
        </is>
      </c>
      <c r="I216" s="15" t="inlineStr">
        <is>
          <t>0.4306692416005982</t>
        </is>
      </c>
      <c r="J216" t="inlineStr"/>
      <c r="K216" t="inlineStr"/>
      <c r="L216" t="inlineStr"/>
    </row>
    <row r="217" ht="22" customHeight="1">
      <c r="A217" s="15" t="inlineStr">
        <is>
          <t>와이씨켐</t>
        </is>
      </c>
      <c r="B217" t="inlineStr"/>
      <c r="C217" s="15" t="inlineStr">
        <is>
          <t>112290</t>
        </is>
      </c>
      <c r="D217" s="15" t="inlineStr">
        <is>
          <t>KOSDAQ</t>
        </is>
      </c>
      <c r="E217" s="15" t="inlineStr">
        <is>
          <t>소재</t>
        </is>
      </c>
      <c r="F217" s="15" t="n">
        <v>38.36</v>
      </c>
      <c r="G217" s="15" t="n">
        <v>50</v>
      </c>
      <c r="H217" s="15" t="inlineStr">
        <is>
          <t>고평가 부담</t>
        </is>
      </c>
      <c r="I217" s="15" t="inlineStr">
        <is>
          <t>0.7576999610053956</t>
        </is>
      </c>
      <c r="J217" t="inlineStr"/>
      <c r="K217" t="inlineStr"/>
      <c r="L217" t="inlineStr"/>
    </row>
    <row r="218" ht="22" customHeight="1">
      <c r="A218" s="15" t="inlineStr">
        <is>
          <t>에프에스티</t>
        </is>
      </c>
      <c r="B218" t="inlineStr"/>
      <c r="C218" s="15" t="inlineStr">
        <is>
          <t>036810</t>
        </is>
      </c>
      <c r="D218" s="15" t="inlineStr">
        <is>
          <t>KOSDAQ</t>
        </is>
      </c>
      <c r="E218" s="15" t="inlineStr">
        <is>
          <t>장비</t>
        </is>
      </c>
      <c r="F218" s="15" t="n">
        <v>38.27</v>
      </c>
      <c r="G218" s="15" t="n">
        <v>50</v>
      </c>
      <c r="H218" s="15" t="inlineStr">
        <is>
          <t>고평가 부담</t>
        </is>
      </c>
      <c r="I218" s="15" t="inlineStr">
        <is>
          <t>0.8925631629286743</t>
        </is>
      </c>
      <c r="J218" t="inlineStr"/>
      <c r="K218" t="inlineStr"/>
      <c r="L218" t="inlineStr"/>
    </row>
    <row r="219" ht="22" customHeight="1">
      <c r="A219" s="15" t="inlineStr">
        <is>
          <t>나노신소재</t>
        </is>
      </c>
      <c r="B219" t="inlineStr"/>
      <c r="C219" s="15" t="inlineStr">
        <is>
          <t>121600</t>
        </is>
      </c>
      <c r="D219" s="15" t="inlineStr">
        <is>
          <t>KOSDAQ</t>
        </is>
      </c>
      <c r="E219" s="15" t="inlineStr">
        <is>
          <t>장비</t>
        </is>
      </c>
      <c r="F219" s="15" t="n">
        <v>38.23</v>
      </c>
      <c r="G219" s="15" t="n">
        <v>0</v>
      </c>
      <c r="H219" s="15" t="inlineStr">
        <is>
          <t>고평가 부담</t>
        </is>
      </c>
      <c r="I219" s="15" t="inlineStr">
        <is>
          <t>0.7555342246021253</t>
        </is>
      </c>
      <c r="J219" t="inlineStr"/>
      <c r="K219" t="inlineStr"/>
      <c r="L219" t="inlineStr"/>
    </row>
    <row r="220" ht="22" customHeight="1">
      <c r="A220" s="15" t="inlineStr">
        <is>
          <t>심텍</t>
        </is>
      </c>
      <c r="B220" t="inlineStr"/>
      <c r="C220" s="15" t="inlineStr">
        <is>
          <t>222800</t>
        </is>
      </c>
      <c r="D220" s="15" t="inlineStr">
        <is>
          <t>KOSDAQ GLOBAL</t>
        </is>
      </c>
      <c r="E220" s="15" t="inlineStr">
        <is>
          <t>부품/기판</t>
        </is>
      </c>
      <c r="F220" s="15" t="n">
        <v>37.76</v>
      </c>
      <c r="G220" s="15" t="n">
        <v>57.14</v>
      </c>
      <c r="H220" s="15" t="inlineStr">
        <is>
          <t>고평가 부담</t>
        </is>
      </c>
      <c r="I220" s="15" t="inlineStr">
        <is>
          <t>0.5170784842162837</t>
        </is>
      </c>
      <c r="J220" t="inlineStr"/>
      <c r="K220" t="inlineStr"/>
      <c r="L220" t="inlineStr"/>
    </row>
    <row r="221" ht="22" customHeight="1">
      <c r="A221" s="15" t="inlineStr">
        <is>
          <t>아이에이</t>
        </is>
      </c>
      <c r="B221" t="inlineStr"/>
      <c r="C221" s="15" t="inlineStr">
        <is>
          <t>038880</t>
        </is>
      </c>
      <c r="D221" s="15" t="inlineStr">
        <is>
          <t>KOSDAQ</t>
        </is>
      </c>
      <c r="E221" s="15" t="inlineStr">
        <is>
          <t>부품/기판</t>
        </is>
      </c>
      <c r="F221" s="15" t="n">
        <v>37.76</v>
      </c>
      <c r="G221" s="15" t="n">
        <v>71.43000000000001</v>
      </c>
      <c r="H221" s="15" t="inlineStr">
        <is>
          <t>고평가 부담</t>
        </is>
      </c>
      <c r="I221" s="15" t="inlineStr">
        <is>
          <t>0.7739089828714508</t>
        </is>
      </c>
      <c r="J221" t="inlineStr"/>
      <c r="K221" t="inlineStr"/>
      <c r="L221" t="inlineStr"/>
    </row>
    <row r="222" ht="22" customHeight="1">
      <c r="A222" s="15" t="inlineStr">
        <is>
          <t>웨이비스</t>
        </is>
      </c>
      <c r="B222" t="inlineStr"/>
      <c r="C222" s="15" t="inlineStr">
        <is>
          <t>289930</t>
        </is>
      </c>
      <c r="D222" s="15" t="inlineStr">
        <is>
          <t>KOSDAQ</t>
        </is>
      </c>
      <c r="E222" s="15" t="inlineStr">
        <is>
          <t>후공정/패키징/테스트</t>
        </is>
      </c>
      <c r="F222" s="15" t="n">
        <v>37.66</v>
      </c>
      <c r="G222" s="15" t="n">
        <v>14.29</v>
      </c>
      <c r="H222" s="15" t="inlineStr">
        <is>
          <t>고평가 부담</t>
        </is>
      </c>
      <c r="I222" s="15" t="inlineStr">
        <is>
          <t>0.5209890944205295</t>
        </is>
      </c>
      <c r="J222" t="inlineStr"/>
      <c r="K222" t="inlineStr"/>
      <c r="L222" t="inlineStr"/>
    </row>
    <row r="223" ht="22" customHeight="1">
      <c r="A223" s="15" t="inlineStr">
        <is>
          <t>넥스트칩</t>
        </is>
      </c>
      <c r="B223" t="inlineStr"/>
      <c r="C223" s="15" t="inlineStr">
        <is>
          <t>396270</t>
        </is>
      </c>
      <c r="D223" s="15" t="inlineStr">
        <is>
          <t>KOSDAQ</t>
        </is>
      </c>
      <c r="E223" s="15" t="inlineStr">
        <is>
          <t>팹리스/설계</t>
        </is>
      </c>
      <c r="F223" s="15" t="n">
        <v>37.43</v>
      </c>
      <c r="G223" s="15" t="n">
        <v>71.43000000000001</v>
      </c>
      <c r="H223" s="15" t="inlineStr">
        <is>
          <t>고평가 부담</t>
        </is>
      </c>
      <c r="I223" s="15" t="inlineStr">
        <is>
          <t>0.9380466040149497</t>
        </is>
      </c>
      <c r="J223" t="inlineStr"/>
      <c r="K223" t="inlineStr"/>
      <c r="L223" t="inlineStr"/>
    </row>
    <row r="224" ht="22" customHeight="1">
      <c r="A224" s="15" t="inlineStr">
        <is>
          <t>SFA반도체</t>
        </is>
      </c>
      <c r="B224" t="inlineStr"/>
      <c r="C224" s="15" t="inlineStr">
        <is>
          <t>036540</t>
        </is>
      </c>
      <c r="D224" s="15" t="inlineStr">
        <is>
          <t>KOSDAQ</t>
        </is>
      </c>
      <c r="E224" s="15" t="inlineStr">
        <is>
          <t>후공정/패키징/테스트</t>
        </is>
      </c>
      <c r="F224" s="15" t="n">
        <v>37.26</v>
      </c>
      <c r="G224" s="15" t="n">
        <v>28.57</v>
      </c>
      <c r="H224" s="15" t="inlineStr">
        <is>
          <t>고평가 부담</t>
        </is>
      </c>
      <c r="I224" s="15" t="inlineStr">
        <is>
          <t>0.7912156659089058</t>
        </is>
      </c>
      <c r="J224" t="inlineStr"/>
      <c r="K224" t="inlineStr"/>
      <c r="L224" t="inlineStr"/>
    </row>
    <row r="225" ht="22" customHeight="1">
      <c r="A225" s="15" t="inlineStr">
        <is>
          <t>사피엔반도체</t>
        </is>
      </c>
      <c r="B225" t="inlineStr"/>
      <c r="C225" s="15" t="inlineStr">
        <is>
          <t>452430</t>
        </is>
      </c>
      <c r="D225" s="15" t="inlineStr">
        <is>
          <t>KOSDAQ</t>
        </is>
      </c>
      <c r="E225" s="15" t="inlineStr">
        <is>
          <t>팹리스/설계</t>
        </is>
      </c>
      <c r="F225" s="15" t="n">
        <v>37.21</v>
      </c>
      <c r="G225" s="15" t="n">
        <v>57.14</v>
      </c>
      <c r="H225" s="15" t="inlineStr">
        <is>
          <t>고평가 부담</t>
        </is>
      </c>
      <c r="I225" s="15" t="inlineStr">
        <is>
          <t>0.8482781866315999</t>
        </is>
      </c>
      <c r="J225" t="inlineStr"/>
      <c r="K225" t="inlineStr"/>
      <c r="L225" t="inlineStr"/>
    </row>
    <row r="226" ht="22" customHeight="1">
      <c r="A226" s="15" t="inlineStr">
        <is>
          <t>동운아나텍</t>
        </is>
      </c>
      <c r="B226" t="inlineStr"/>
      <c r="C226" s="15" t="inlineStr">
        <is>
          <t>094170</t>
        </is>
      </c>
      <c r="D226" s="15" t="inlineStr">
        <is>
          <t>KOSDAQ</t>
        </is>
      </c>
      <c r="E226" s="15" t="inlineStr">
        <is>
          <t>팹리스/설계</t>
        </is>
      </c>
      <c r="F226" s="15" t="n">
        <v>36.71</v>
      </c>
      <c r="G226" s="15" t="n">
        <v>21.43</v>
      </c>
      <c r="H226" s="15" t="inlineStr">
        <is>
          <t>고평가 부담</t>
        </is>
      </c>
      <c r="I226" s="15" t="inlineStr">
        <is>
          <t>0.4894423516429773</t>
        </is>
      </c>
      <c r="J226" t="inlineStr"/>
      <c r="K226" t="inlineStr"/>
      <c r="L226" t="inlineStr"/>
    </row>
    <row r="227" ht="22" customHeight="1">
      <c r="A227" s="15" t="inlineStr">
        <is>
          <t>씨엠티엑스</t>
        </is>
      </c>
      <c r="B227" t="inlineStr"/>
      <c r="C227" s="15" t="inlineStr">
        <is>
          <t>388210</t>
        </is>
      </c>
      <c r="D227" s="15" t="inlineStr">
        <is>
          <t>KOSDAQ</t>
        </is>
      </c>
      <c r="E227" s="15" t="inlineStr">
        <is>
          <t>장비</t>
        </is>
      </c>
      <c r="F227" s="15" t="n">
        <v>36.53</v>
      </c>
      <c r="G227" s="15" t="n">
        <v>21.43</v>
      </c>
      <c r="H227" s="15" t="inlineStr">
        <is>
          <t>고평가 부담</t>
        </is>
      </c>
      <c r="I227" s="15" t="inlineStr">
        <is>
          <t>0.7157707609420977</t>
        </is>
      </c>
      <c r="J227" t="inlineStr"/>
      <c r="K227" t="inlineStr"/>
      <c r="L227" t="inlineStr"/>
    </row>
    <row r="228" ht="22" customHeight="1">
      <c r="A228" s="15" t="inlineStr">
        <is>
          <t>세미파이브</t>
        </is>
      </c>
      <c r="B228" t="inlineStr"/>
      <c r="C228" s="15" t="inlineStr">
        <is>
          <t>490470</t>
        </is>
      </c>
      <c r="D228" s="15" t="inlineStr">
        <is>
          <t>KOSDAQ</t>
        </is>
      </c>
      <c r="E228" s="15" t="inlineStr">
        <is>
          <t>팹리스/설계</t>
        </is>
      </c>
      <c r="F228" s="15" t="n">
        <v>36.46</v>
      </c>
      <c r="G228" s="15" t="n">
        <v>50</v>
      </c>
      <c r="H228" s="15" t="inlineStr">
        <is>
          <t>고평가 부담</t>
        </is>
      </c>
      <c r="I228" s="15" t="inlineStr">
        <is>
          <t>0.9277538303818181</t>
        </is>
      </c>
      <c r="J228" t="inlineStr"/>
      <c r="K228" t="inlineStr"/>
      <c r="L228" t="inlineStr"/>
    </row>
    <row r="229" ht="22" customHeight="1">
      <c r="A229" s="15" t="inlineStr">
        <is>
          <t>이미지스</t>
        </is>
      </c>
      <c r="B229" t="inlineStr"/>
      <c r="C229" s="15" t="inlineStr">
        <is>
          <t>115610</t>
        </is>
      </c>
      <c r="D229" s="15" t="inlineStr">
        <is>
          <t>KOSDAQ</t>
        </is>
      </c>
      <c r="E229" s="15" t="inlineStr">
        <is>
          <t>IDM/제조/메모리</t>
        </is>
      </c>
      <c r="F229" s="15" t="n">
        <v>36.33</v>
      </c>
      <c r="G229" s="15" t="n">
        <v>64.29000000000001</v>
      </c>
      <c r="H229" s="15" t="inlineStr">
        <is>
          <t>고평가 부담</t>
        </is>
      </c>
      <c r="I229" s="15" t="inlineStr">
        <is>
          <t>0.7470098487547145</t>
        </is>
      </c>
      <c r="J229" t="inlineStr"/>
      <c r="K229" t="inlineStr"/>
      <c r="L229" t="inlineStr"/>
    </row>
    <row r="230" ht="22" customHeight="1">
      <c r="A230" s="15" t="inlineStr">
        <is>
          <t>시지트로닉스</t>
        </is>
      </c>
      <c r="B230" t="inlineStr"/>
      <c r="C230" s="15" t="inlineStr">
        <is>
          <t>429270</t>
        </is>
      </c>
      <c r="D230" s="15" t="inlineStr">
        <is>
          <t>KOSDAQ</t>
        </is>
      </c>
      <c r="E230" s="15" t="inlineStr">
        <is>
          <t>IDM/제조/메모리</t>
        </is>
      </c>
      <c r="F230" s="15" t="n">
        <v>35.13</v>
      </c>
      <c r="G230" s="15" t="n">
        <v>71.43000000000001</v>
      </c>
      <c r="H230" s="15" t="inlineStr">
        <is>
          <t>고평가 부담</t>
        </is>
      </c>
      <c r="I230" s="15" t="inlineStr">
        <is>
          <t>0.8423539115807104</t>
        </is>
      </c>
      <c r="J230" t="inlineStr"/>
      <c r="K230" t="inlineStr"/>
      <c r="L230" t="inlineStr"/>
    </row>
    <row r="231" ht="22" customHeight="1">
      <c r="A231" s="15" t="inlineStr">
        <is>
          <t>인텍플러스</t>
        </is>
      </c>
      <c r="B231" t="inlineStr"/>
      <c r="C231" s="15" t="inlineStr">
        <is>
          <t>064290</t>
        </is>
      </c>
      <c r="D231" s="15" t="inlineStr">
        <is>
          <t>KOSDAQ</t>
        </is>
      </c>
      <c r="E231" s="15" t="inlineStr">
        <is>
          <t>후공정/패키징/테스트</t>
        </is>
      </c>
      <c r="F231" s="15" t="n">
        <v>34.31</v>
      </c>
      <c r="G231" s="15" t="n">
        <v>42.86</v>
      </c>
      <c r="H231" s="15" t="inlineStr">
        <is>
          <t>고평가 부담</t>
        </is>
      </c>
      <c r="I231" s="15" t="inlineStr">
        <is>
          <t>0.7612288958400996</t>
        </is>
      </c>
      <c r="J231" t="inlineStr"/>
      <c r="K231" t="inlineStr"/>
      <c r="L231" t="inlineStr"/>
    </row>
    <row r="232" ht="22" customHeight="1">
      <c r="A232" s="15" t="inlineStr">
        <is>
          <t>3S</t>
        </is>
      </c>
      <c r="B232" t="inlineStr"/>
      <c r="C232" s="15" t="inlineStr">
        <is>
          <t>060310</t>
        </is>
      </c>
      <c r="D232" s="15" t="inlineStr">
        <is>
          <t>KOSDAQ</t>
        </is>
      </c>
      <c r="E232" s="15" t="inlineStr">
        <is>
          <t>부품/기판</t>
        </is>
      </c>
      <c r="F232" s="15" t="n">
        <v>34.1</v>
      </c>
      <c r="G232" s="15" t="n">
        <v>57.14</v>
      </c>
      <c r="H232" s="15" t="inlineStr">
        <is>
          <t>고평가 부담</t>
        </is>
      </c>
      <c r="I232" s="15" t="inlineStr">
        <is>
          <t>0.8755971854841007</t>
        </is>
      </c>
      <c r="J232" t="inlineStr"/>
      <c r="K232" t="inlineStr"/>
      <c r="L232" t="inlineStr"/>
    </row>
    <row r="233" ht="22" customHeight="1">
      <c r="A233" s="15" t="inlineStr">
        <is>
          <t>천보</t>
        </is>
      </c>
      <c r="B233" t="inlineStr"/>
      <c r="C233" s="15" t="inlineStr">
        <is>
          <t>278280</t>
        </is>
      </c>
      <c r="D233" s="15" t="inlineStr">
        <is>
          <t>KOSDAQ</t>
        </is>
      </c>
      <c r="E233" s="15" t="inlineStr">
        <is>
          <t>소재</t>
        </is>
      </c>
      <c r="F233" s="15" t="n">
        <v>33.87</v>
      </c>
      <c r="G233" s="15" t="n">
        <v>35.71</v>
      </c>
      <c r="H233" s="15" t="inlineStr">
        <is>
          <t>고평가 부담</t>
        </is>
      </c>
      <c r="I233" s="15" t="inlineStr">
        <is>
          <t>0.5721835844163214</t>
        </is>
      </c>
      <c r="J233" t="inlineStr"/>
      <c r="K233" t="inlineStr"/>
      <c r="L233" t="inlineStr"/>
    </row>
    <row r="234" ht="22" customHeight="1">
      <c r="A234" s="15" t="inlineStr">
        <is>
          <t>후성</t>
        </is>
      </c>
      <c r="B234" t="inlineStr"/>
      <c r="C234" s="15" t="inlineStr">
        <is>
          <t>093370</t>
        </is>
      </c>
      <c r="D234" s="15" t="inlineStr">
        <is>
          <t>KOSPI</t>
        </is>
      </c>
      <c r="E234" s="15" t="inlineStr">
        <is>
          <t>소재</t>
        </is>
      </c>
      <c r="F234" s="15" t="n">
        <v>33.87</v>
      </c>
      <c r="G234" s="15" t="n">
        <v>14.29</v>
      </c>
      <c r="H234" s="15" t="inlineStr">
        <is>
          <t>고평가 부담</t>
        </is>
      </c>
      <c r="I234" s="15" t="inlineStr">
        <is>
          <t>0.7388215177779633</t>
        </is>
      </c>
      <c r="J234" t="inlineStr"/>
      <c r="K234" t="inlineStr"/>
      <c r="L234" t="inlineStr"/>
    </row>
    <row r="235" ht="22" customHeight="1">
      <c r="A235" s="15" t="inlineStr">
        <is>
          <t>한울반도체</t>
        </is>
      </c>
      <c r="B235" t="inlineStr"/>
      <c r="C235" s="15" t="inlineStr">
        <is>
          <t>320000</t>
        </is>
      </c>
      <c r="D235" s="15" t="inlineStr">
        <is>
          <t>KOSDAQ</t>
        </is>
      </c>
      <c r="E235" s="15" t="inlineStr">
        <is>
          <t>후공정/패키징/테스트</t>
        </is>
      </c>
      <c r="F235" s="15" t="n">
        <v>33.76</v>
      </c>
      <c r="G235" s="15" t="n">
        <v>71.43000000000001</v>
      </c>
      <c r="H235" s="15" t="inlineStr">
        <is>
          <t>고평가 부담</t>
        </is>
      </c>
      <c r="I235" s="15" t="inlineStr">
        <is>
          <t>0.7769228627558715</t>
        </is>
      </c>
      <c r="J235" t="inlineStr"/>
      <c r="K235" t="inlineStr"/>
      <c r="L235" t="inlineStr"/>
    </row>
    <row r="236" ht="22" customHeight="1">
      <c r="A236" s="15" t="inlineStr">
        <is>
          <t>유니테스트</t>
        </is>
      </c>
      <c r="B236" t="inlineStr"/>
      <c r="C236" s="15" t="inlineStr">
        <is>
          <t>086390</t>
        </is>
      </c>
      <c r="D236" s="15" t="inlineStr">
        <is>
          <t>KOSDAQ</t>
        </is>
      </c>
      <c r="E236" s="15" t="inlineStr">
        <is>
          <t>후공정/패키징/테스트</t>
        </is>
      </c>
      <c r="F236" s="15" t="n">
        <v>33.72</v>
      </c>
      <c r="G236" s="15" t="n">
        <v>57.14</v>
      </c>
      <c r="H236" s="15" t="inlineStr">
        <is>
          <t>고평가 부담</t>
        </is>
      </c>
      <c r="I236" s="15" t="inlineStr">
        <is>
          <t>0.9109345080202441</t>
        </is>
      </c>
      <c r="J236" t="inlineStr"/>
      <c r="K236" t="inlineStr"/>
      <c r="L236" t="inlineStr"/>
    </row>
    <row r="237" ht="22" customHeight="1">
      <c r="A237" s="15" t="inlineStr">
        <is>
          <t>에이직랜드</t>
        </is>
      </c>
      <c r="B237" t="inlineStr"/>
      <c r="C237" s="15" t="inlineStr">
        <is>
          <t>445090</t>
        </is>
      </c>
      <c r="D237" s="15" t="inlineStr">
        <is>
          <t>KOSDAQ</t>
        </is>
      </c>
      <c r="E237" s="15" t="inlineStr">
        <is>
          <t>팹리스/설계</t>
        </is>
      </c>
      <c r="F237" s="15" t="n">
        <v>32.95</v>
      </c>
      <c r="G237" s="15" t="n">
        <v>78.56999999999999</v>
      </c>
      <c r="H237" s="15" t="inlineStr">
        <is>
          <t>고평가 부담</t>
        </is>
      </c>
      <c r="I237" s="15" t="inlineStr">
        <is>
          <t>0.9058303131641584</t>
        </is>
      </c>
      <c r="J237" t="inlineStr"/>
      <c r="K237" t="inlineStr"/>
      <c r="L237" t="inlineStr"/>
    </row>
    <row r="238" ht="22" customHeight="1">
      <c r="A238" s="15" t="inlineStr">
        <is>
          <t>지니틱스</t>
        </is>
      </c>
      <c r="B238" t="inlineStr"/>
      <c r="C238" s="15" t="inlineStr">
        <is>
          <t>303030</t>
        </is>
      </c>
      <c r="D238" s="15" t="inlineStr">
        <is>
          <t>KOSDAQ</t>
        </is>
      </c>
      <c r="E238" s="15" t="inlineStr">
        <is>
          <t>IDM/제조/메모리</t>
        </is>
      </c>
      <c r="F238" s="15" t="n">
        <v>32.93</v>
      </c>
      <c r="G238" s="15" t="n">
        <v>71.43000000000001</v>
      </c>
      <c r="H238" s="15" t="inlineStr">
        <is>
          <t>고평가 부담</t>
        </is>
      </c>
      <c r="I238" s="15" t="inlineStr">
        <is>
          <t>0.6029464801919612</t>
        </is>
      </c>
      <c r="J238" t="inlineStr"/>
      <c r="K238" t="inlineStr"/>
      <c r="L238" t="inlineStr"/>
    </row>
    <row r="239" ht="22" customHeight="1">
      <c r="A239" s="15" t="inlineStr">
        <is>
          <t>엘케이켐</t>
        </is>
      </c>
      <c r="B239" t="inlineStr"/>
      <c r="C239" s="15" t="inlineStr">
        <is>
          <t>489500</t>
        </is>
      </c>
      <c r="D239" s="15" t="inlineStr">
        <is>
          <t>KOSDAQ</t>
        </is>
      </c>
      <c r="E239" s="15" t="inlineStr">
        <is>
          <t>소재</t>
        </is>
      </c>
      <c r="F239" s="15" t="n">
        <v>32.38</v>
      </c>
      <c r="G239" s="15" t="n">
        <v>28.57</v>
      </c>
      <c r="H239" s="15" t="inlineStr">
        <is>
          <t>고평가 부담</t>
        </is>
      </c>
      <c r="I239" s="15" t="inlineStr">
        <is>
          <t>0.702794478496214</t>
        </is>
      </c>
      <c r="J239" t="inlineStr"/>
      <c r="K239" t="inlineStr"/>
      <c r="L239" t="inlineStr"/>
    </row>
    <row r="240" ht="22" customHeight="1">
      <c r="A240" s="15" t="inlineStr">
        <is>
          <t>SKC</t>
        </is>
      </c>
      <c r="B240" t="inlineStr"/>
      <c r="C240" s="15" t="inlineStr">
        <is>
          <t>011790</t>
        </is>
      </c>
      <c r="D240" s="15" t="inlineStr">
        <is>
          <t>KOSPI</t>
        </is>
      </c>
      <c r="E240" s="15" t="inlineStr">
        <is>
          <t>소재</t>
        </is>
      </c>
      <c r="F240" s="15" t="n">
        <v>32.18</v>
      </c>
      <c r="G240" s="15" t="n">
        <v>71.43000000000001</v>
      </c>
      <c r="H240" s="15" t="inlineStr">
        <is>
          <t>고평가 부담</t>
        </is>
      </c>
      <c r="I240" s="15" t="inlineStr">
        <is>
          <t>0.865330691240198</t>
        </is>
      </c>
      <c r="J240" t="inlineStr"/>
      <c r="K240" t="inlineStr"/>
      <c r="L240" t="inlineStr"/>
    </row>
    <row r="241" ht="22" customHeight="1">
      <c r="A241" s="15" t="inlineStr">
        <is>
          <t>두산테스나</t>
        </is>
      </c>
      <c r="B241" t="inlineStr"/>
      <c r="C241" s="15" t="inlineStr">
        <is>
          <t>131970</t>
        </is>
      </c>
      <c r="D241" s="15" t="inlineStr">
        <is>
          <t>KOSDAQ GLOBAL</t>
        </is>
      </c>
      <c r="E241" s="15" t="inlineStr">
        <is>
          <t>후공정/패키징/테스트</t>
        </is>
      </c>
      <c r="F241" s="15" t="n">
        <v>32.17</v>
      </c>
      <c r="G241" s="15" t="n">
        <v>14.29</v>
      </c>
      <c r="H241" s="15" t="inlineStr">
        <is>
          <t>고평가 부담</t>
        </is>
      </c>
      <c r="I241" s="15" t="inlineStr">
        <is>
          <t>0.5774876642912814</t>
        </is>
      </c>
      <c r="J241" t="inlineStr"/>
      <c r="K241" t="inlineStr"/>
      <c r="L241" t="inlineStr"/>
    </row>
    <row r="242" ht="22" customHeight="1">
      <c r="A242" s="15" t="inlineStr">
        <is>
          <t>라닉스</t>
        </is>
      </c>
      <c r="B242" t="inlineStr"/>
      <c r="C242" s="15" t="inlineStr">
        <is>
          <t>317120</t>
        </is>
      </c>
      <c r="D242" s="15" t="inlineStr">
        <is>
          <t>KOSDAQ</t>
        </is>
      </c>
      <c r="E242" s="15" t="inlineStr">
        <is>
          <t>팹리스/설계</t>
        </is>
      </c>
      <c r="F242" s="15" t="n">
        <v>32.08</v>
      </c>
      <c r="G242" s="15" t="n">
        <v>71.43000000000001</v>
      </c>
      <c r="H242" s="15" t="inlineStr">
        <is>
          <t>고평가 부담</t>
        </is>
      </c>
      <c r="I242" s="15" t="inlineStr">
        <is>
          <t>0.9281808400807596</t>
        </is>
      </c>
      <c r="J242" t="inlineStr"/>
      <c r="K242" t="inlineStr"/>
      <c r="L242" t="inlineStr"/>
    </row>
    <row r="243" ht="22" customHeight="1">
      <c r="A243" s="15" t="inlineStr">
        <is>
          <t>아이에스티이</t>
        </is>
      </c>
      <c r="B243" t="inlineStr"/>
      <c r="C243" s="15" t="inlineStr">
        <is>
          <t>212710</t>
        </is>
      </c>
      <c r="D243" s="15" t="inlineStr">
        <is>
          <t>KOSDAQ</t>
        </is>
      </c>
      <c r="E243" s="15" t="inlineStr">
        <is>
          <t>IDM/제조/메모리</t>
        </is>
      </c>
      <c r="F243" s="15" t="n">
        <v>31.27</v>
      </c>
      <c r="G243" s="15" t="n">
        <v>71.43000000000001</v>
      </c>
      <c r="H243" s="15" t="inlineStr">
        <is>
          <t>고평가 부담</t>
        </is>
      </c>
      <c r="I243" s="15" t="inlineStr">
        <is>
          <t>0.6642993493743579</t>
        </is>
      </c>
      <c r="J243" t="inlineStr"/>
      <c r="K243" t="inlineStr"/>
      <c r="L243" t="inlineStr"/>
    </row>
    <row r="244" ht="22" customHeight="1">
      <c r="A244" s="15" t="inlineStr">
        <is>
          <t>가온칩스</t>
        </is>
      </c>
      <c r="B244" t="inlineStr"/>
      <c r="C244" s="15" t="inlineStr">
        <is>
          <t>399720</t>
        </is>
      </c>
      <c r="D244" s="15" t="inlineStr">
        <is>
          <t>KOSDAQ</t>
        </is>
      </c>
      <c r="E244" s="15" t="inlineStr">
        <is>
          <t>팹리스/설계</t>
        </is>
      </c>
      <c r="F244" s="15" t="n">
        <v>31.19</v>
      </c>
      <c r="G244" s="15" t="n">
        <v>57.14</v>
      </c>
      <c r="H244" s="15" t="inlineStr">
        <is>
          <t>고평가 부담</t>
        </is>
      </c>
      <c r="I244" s="15" t="inlineStr">
        <is>
          <t>0.9202856043409283</t>
        </is>
      </c>
      <c r="J244" t="inlineStr"/>
      <c r="K244" t="inlineStr"/>
      <c r="L244" t="inlineStr"/>
    </row>
    <row r="245" ht="22" customHeight="1">
      <c r="A245" s="15" t="inlineStr">
        <is>
          <t>네오셈</t>
        </is>
      </c>
      <c r="B245" t="inlineStr"/>
      <c r="C245" s="15" t="inlineStr">
        <is>
          <t>253590</t>
        </is>
      </c>
      <c r="D245" s="15" t="inlineStr">
        <is>
          <t>KOSDAQ</t>
        </is>
      </c>
      <c r="E245" s="15" t="inlineStr">
        <is>
          <t>후공정/패키징/테스트</t>
        </is>
      </c>
      <c r="F245" s="15" t="n">
        <v>30.59</v>
      </c>
      <c r="G245" s="15" t="n">
        <v>7.14</v>
      </c>
      <c r="H245" s="15" t="inlineStr">
        <is>
          <t>고평가 부담</t>
        </is>
      </c>
      <c r="I245" s="15" t="inlineStr">
        <is>
          <t>0.7695353673338539</t>
        </is>
      </c>
      <c r="J245" t="inlineStr"/>
      <c r="K245" t="inlineStr"/>
      <c r="L245" t="inlineStr"/>
    </row>
    <row r="246" ht="22" customHeight="1">
      <c r="A246" s="15" t="inlineStr">
        <is>
          <t>아스플로</t>
        </is>
      </c>
      <c r="B246" t="inlineStr"/>
      <c r="C246" s="15" t="inlineStr">
        <is>
          <t>159010</t>
        </is>
      </c>
      <c r="D246" s="15" t="inlineStr">
        <is>
          <t>KOSDAQ</t>
        </is>
      </c>
      <c r="E246" s="15" t="inlineStr">
        <is>
          <t>장비</t>
        </is>
      </c>
      <c r="F246" s="15" t="n">
        <v>30.25</v>
      </c>
      <c r="G246" s="15" t="n">
        <v>57.14</v>
      </c>
      <c r="H246" s="15" t="inlineStr">
        <is>
          <t>고평가 부담</t>
        </is>
      </c>
      <c r="I246" s="15" t="inlineStr">
        <is>
          <t>0.8970141905473263</t>
        </is>
      </c>
      <c r="J246" t="inlineStr"/>
      <c r="K246" t="inlineStr"/>
      <c r="L246" t="inlineStr"/>
    </row>
    <row r="247" ht="22" customHeight="1">
      <c r="A247" s="15" t="inlineStr">
        <is>
          <t>케이알엠</t>
        </is>
      </c>
      <c r="B247" t="inlineStr"/>
      <c r="C247" s="15" t="inlineStr">
        <is>
          <t>093640</t>
        </is>
      </c>
      <c r="D247" s="15" t="inlineStr">
        <is>
          <t>KOSDAQ</t>
        </is>
      </c>
      <c r="E247" s="15" t="inlineStr">
        <is>
          <t>IDM/제조/메모리</t>
        </is>
      </c>
      <c r="F247" s="15" t="n">
        <v>30.1</v>
      </c>
      <c r="G247" s="15" t="n">
        <v>42.86</v>
      </c>
      <c r="H247" s="15" t="inlineStr">
        <is>
          <t>고평가 부담</t>
        </is>
      </c>
      <c r="I247" s="15" t="inlineStr">
        <is>
          <t>0.7957205872008264</t>
        </is>
      </c>
      <c r="J247" t="inlineStr"/>
      <c r="K247" t="inlineStr"/>
      <c r="L247" t="inlineStr"/>
    </row>
    <row r="248" ht="22" customHeight="1">
      <c r="A248" s="15" t="inlineStr">
        <is>
          <t>오로스테크놀로지</t>
        </is>
      </c>
      <c r="B248" t="inlineStr"/>
      <c r="C248" s="15" t="inlineStr">
        <is>
          <t>322310</t>
        </is>
      </c>
      <c r="D248" s="15" t="inlineStr">
        <is>
          <t>KOSDAQ</t>
        </is>
      </c>
      <c r="E248" s="15" t="inlineStr">
        <is>
          <t>장비</t>
        </is>
      </c>
      <c r="F248" s="15" t="n">
        <v>29.69</v>
      </c>
      <c r="G248" s="15" t="n">
        <v>28.57</v>
      </c>
      <c r="H248" s="15" t="inlineStr">
        <is>
          <t>고평가 부담</t>
        </is>
      </c>
      <c r="I248" s="15" t="inlineStr">
        <is>
          <t>0.9263479879516093</t>
        </is>
      </c>
      <c r="J248" t="inlineStr"/>
      <c r="K248" t="inlineStr"/>
      <c r="L248" t="inlineStr"/>
    </row>
    <row r="249" ht="22" customHeight="1">
      <c r="A249" s="15" t="inlineStr">
        <is>
          <t>쏘닉스</t>
        </is>
      </c>
      <c r="B249" t="inlineStr"/>
      <c r="C249" s="15" t="inlineStr">
        <is>
          <t>088280</t>
        </is>
      </c>
      <c r="D249" s="15" t="inlineStr">
        <is>
          <t>KOSDAQ</t>
        </is>
      </c>
      <c r="E249" s="15" t="inlineStr">
        <is>
          <t>IDM/제조/메모리</t>
        </is>
      </c>
      <c r="F249" s="15" t="n">
        <v>29.25</v>
      </c>
      <c r="G249" s="15" t="n">
        <v>57.14</v>
      </c>
      <c r="H249" s="15" t="inlineStr">
        <is>
          <t>고평가 부담</t>
        </is>
      </c>
      <c r="I249" s="15" t="inlineStr">
        <is>
          <t>0.9167677788852596</t>
        </is>
      </c>
      <c r="J249" t="inlineStr"/>
      <c r="K249" t="inlineStr"/>
      <c r="L249" t="inlineStr"/>
    </row>
    <row r="250" ht="22" customHeight="1">
      <c r="A250" s="15" t="inlineStr">
        <is>
          <t>러셀</t>
        </is>
      </c>
      <c r="B250" t="inlineStr"/>
      <c r="C250" s="15" t="inlineStr">
        <is>
          <t>217500</t>
        </is>
      </c>
      <c r="D250" s="15" t="inlineStr">
        <is>
          <t>KOSDAQ</t>
        </is>
      </c>
      <c r="E250" s="15" t="inlineStr">
        <is>
          <t>장비</t>
        </is>
      </c>
      <c r="F250" s="15" t="n">
        <v>28.89</v>
      </c>
      <c r="G250" s="15" t="n">
        <v>57.14</v>
      </c>
      <c r="H250" s="15" t="inlineStr">
        <is>
          <t>고평가 부담</t>
        </is>
      </c>
      <c r="I250" s="15" t="inlineStr">
        <is>
          <t>0.873177337125051</t>
        </is>
      </c>
      <c r="J250" t="inlineStr"/>
      <c r="K250" t="inlineStr"/>
      <c r="L250" t="inlineStr"/>
    </row>
    <row r="251" ht="22" customHeight="1">
      <c r="A251" s="15" t="inlineStr">
        <is>
          <t>미래컴퍼니</t>
        </is>
      </c>
      <c r="B251" t="inlineStr"/>
      <c r="C251" s="15" t="inlineStr">
        <is>
          <t>049950</t>
        </is>
      </c>
      <c r="D251" s="15" t="inlineStr">
        <is>
          <t>KOSDAQ</t>
        </is>
      </c>
      <c r="E251" s="15" t="inlineStr">
        <is>
          <t>장비</t>
        </is>
      </c>
      <c r="F251" s="15" t="n">
        <v>28.75</v>
      </c>
      <c r="G251" s="15" t="n">
        <v>42.86</v>
      </c>
      <c r="H251" s="15" t="inlineStr">
        <is>
          <t>고평가 부담</t>
        </is>
      </c>
      <c r="I251" s="15" t="inlineStr">
        <is>
          <t>0.8354805452058427</t>
        </is>
      </c>
      <c r="J251" t="inlineStr"/>
      <c r="K251" t="inlineStr"/>
      <c r="L251" t="inlineStr"/>
    </row>
    <row r="252" ht="22" customHeight="1">
      <c r="A252" s="15" t="inlineStr">
        <is>
          <t>파두</t>
        </is>
      </c>
      <c r="B252" t="inlineStr"/>
      <c r="C252" s="15" t="inlineStr">
        <is>
          <t>440110</t>
        </is>
      </c>
      <c r="D252" s="15" t="inlineStr">
        <is>
          <t>KOSDAQ</t>
        </is>
      </c>
      <c r="E252" s="15" t="inlineStr">
        <is>
          <t>팹리스/설계</t>
        </is>
      </c>
      <c r="F252" s="15" t="n">
        <v>28.17</v>
      </c>
      <c r="G252" s="15" t="n">
        <v>71.43000000000001</v>
      </c>
      <c r="H252" s="15" t="inlineStr">
        <is>
          <t>고평가 부담</t>
        </is>
      </c>
      <c r="I252" s="15" t="inlineStr">
        <is>
          <t>0.9722302520284296</t>
        </is>
      </c>
      <c r="J252" t="inlineStr"/>
      <c r="K252" t="inlineStr"/>
      <c r="L252" t="inlineStr"/>
    </row>
    <row r="253" ht="22" customHeight="1">
      <c r="A253" s="15" t="inlineStr">
        <is>
          <t>예스티</t>
        </is>
      </c>
      <c r="B253" t="inlineStr"/>
      <c r="C253" s="15" t="inlineStr">
        <is>
          <t>122640</t>
        </is>
      </c>
      <c r="D253" s="15" t="inlineStr">
        <is>
          <t>KOSDAQ</t>
        </is>
      </c>
      <c r="E253" s="15" t="inlineStr">
        <is>
          <t>장비</t>
        </is>
      </c>
      <c r="F253" s="15" t="n">
        <v>27.79</v>
      </c>
      <c r="G253" s="15" t="n">
        <v>21.43</v>
      </c>
      <c r="H253" s="15" t="inlineStr">
        <is>
          <t>고평가 부담</t>
        </is>
      </c>
      <c r="I253" s="15" t="inlineStr">
        <is>
          <t>0.8070752756860592</t>
        </is>
      </c>
      <c r="J253" t="inlineStr"/>
      <c r="K253" t="inlineStr"/>
      <c r="L253" t="inlineStr"/>
    </row>
    <row r="254" ht="22" customHeight="1">
      <c r="A254" s="15" t="inlineStr">
        <is>
          <t>레이크머티리얼즈</t>
        </is>
      </c>
      <c r="B254" t="inlineStr"/>
      <c r="C254" s="15" t="inlineStr">
        <is>
          <t>281740</t>
        </is>
      </c>
      <c r="D254" s="15" t="inlineStr">
        <is>
          <t>KOSDAQ</t>
        </is>
      </c>
      <c r="E254" s="15" t="inlineStr">
        <is>
          <t>소재</t>
        </is>
      </c>
      <c r="F254" s="15" t="n">
        <v>26.77</v>
      </c>
      <c r="G254" s="15" t="n">
        <v>28.57</v>
      </c>
      <c r="H254" s="15" t="inlineStr">
        <is>
          <t>고평가 부담</t>
        </is>
      </c>
      <c r="I254" s="15" t="inlineStr">
        <is>
          <t>0.7822727417954645</t>
        </is>
      </c>
      <c r="J254" t="inlineStr"/>
      <c r="K254" t="inlineStr"/>
      <c r="L254" t="inlineStr"/>
    </row>
    <row r="255" ht="22" customHeight="1">
      <c r="A255" s="15" t="inlineStr">
        <is>
          <t>덕산테코피아</t>
        </is>
      </c>
      <c r="B255" s="15" t="inlineStr">
        <is>
          <t>duksan</t>
        </is>
      </c>
      <c r="C255" s="15" t="inlineStr">
        <is>
          <t>317330</t>
        </is>
      </c>
      <c r="D255" s="15" t="inlineStr">
        <is>
          <t>KOSDAQ</t>
        </is>
      </c>
      <c r="E255" s="15" t="inlineStr">
        <is>
          <t>소재</t>
        </is>
      </c>
      <c r="F255" s="15" t="n">
        <v>25.1</v>
      </c>
      <c r="G255" s="15" t="n">
        <v>71.43000000000001</v>
      </c>
      <c r="H255" s="15" t="inlineStr">
        <is>
          <t>고평가 부담</t>
        </is>
      </c>
      <c r="I255" s="15" t="inlineStr">
        <is>
          <t>0.9683283970250778</t>
        </is>
      </c>
      <c r="J255" s="15" t="inlineStr">
        <is>
          <t>예</t>
        </is>
      </c>
      <c r="K255" t="inlineStr"/>
      <c r="L255" t="inlineStr"/>
    </row>
    <row r="256" ht="22" customHeight="1">
      <c r="A256" s="15" t="inlineStr">
        <is>
          <t>피엠티</t>
        </is>
      </c>
      <c r="B256" t="inlineStr"/>
      <c r="C256" s="15" t="inlineStr">
        <is>
          <t>147760</t>
        </is>
      </c>
      <c r="D256" s="15" t="inlineStr">
        <is>
          <t>KOSDAQ</t>
        </is>
      </c>
      <c r="E256" s="15" t="inlineStr">
        <is>
          <t>후공정/패키징/테스트</t>
        </is>
      </c>
      <c r="F256" s="15" t="n">
        <v>24.71</v>
      </c>
      <c r="G256" s="15" t="n">
        <v>78.56999999999999</v>
      </c>
      <c r="H256" s="15" t="inlineStr">
        <is>
          <t>고평가 부담</t>
        </is>
      </c>
      <c r="I256" s="15" t="inlineStr">
        <is>
          <t>0.952821790032095</t>
        </is>
      </c>
      <c r="J256" t="inlineStr"/>
      <c r="K256" t="inlineStr"/>
      <c r="L256" t="inlineStr"/>
    </row>
    <row r="257" ht="22" customHeight="1">
      <c r="A257" s="15" t="inlineStr">
        <is>
          <t>아이씨티케이</t>
        </is>
      </c>
      <c r="B257" t="inlineStr"/>
      <c r="C257" s="15" t="inlineStr">
        <is>
          <t>456010</t>
        </is>
      </c>
      <c r="D257" s="15" t="inlineStr">
        <is>
          <t>KOSDAQ</t>
        </is>
      </c>
      <c r="E257" s="15" t="inlineStr">
        <is>
          <t>팹리스/설계</t>
        </is>
      </c>
      <c r="F257" s="15" t="n">
        <v>24.21</v>
      </c>
      <c r="G257" s="15" t="n">
        <v>57.14</v>
      </c>
      <c r="H257" s="15" t="inlineStr">
        <is>
          <t>고평가 부담</t>
        </is>
      </c>
      <c r="I257" s="15" t="inlineStr">
        <is>
          <t>0.9318776222941163</t>
        </is>
      </c>
      <c r="J257" t="inlineStr"/>
      <c r="K257" t="inlineStr"/>
      <c r="L257" t="inlineStr"/>
    </row>
    <row r="258" ht="22" customHeight="1">
      <c r="A258" s="15" t="inlineStr">
        <is>
          <t>오픈엣지테크놀로지</t>
        </is>
      </c>
      <c r="B258" t="inlineStr"/>
      <c r="C258" s="15" t="inlineStr">
        <is>
          <t>394280</t>
        </is>
      </c>
      <c r="D258" s="15" t="inlineStr">
        <is>
          <t>KOSDAQ</t>
        </is>
      </c>
      <c r="E258" s="15" t="inlineStr">
        <is>
          <t>팹리스/설계</t>
        </is>
      </c>
      <c r="F258" s="15" t="n">
        <v>23.84</v>
      </c>
      <c r="G258" s="15" t="n">
        <v>57.14</v>
      </c>
      <c r="H258" s="15" t="inlineStr">
        <is>
          <t>고평가 부담</t>
        </is>
      </c>
      <c r="I258" s="15" t="inlineStr">
        <is>
          <t>0.9776205348568181</t>
        </is>
      </c>
      <c r="J258" t="inlineStr"/>
      <c r="K258" t="inlineStr"/>
      <c r="L258" t="inlineStr"/>
    </row>
    <row r="259" ht="22" customHeight="1">
      <c r="A259" s="15" t="inlineStr">
        <is>
          <t>기가레인</t>
        </is>
      </c>
      <c r="B259" t="inlineStr"/>
      <c r="C259" s="15" t="inlineStr">
        <is>
          <t>049080</t>
        </is>
      </c>
      <c r="D259" s="15" t="inlineStr">
        <is>
          <t>KOSDAQ</t>
        </is>
      </c>
      <c r="E259" s="15" t="inlineStr">
        <is>
          <t>장비</t>
        </is>
      </c>
      <c r="F259" s="15" t="n">
        <v>23.53</v>
      </c>
      <c r="G259" s="15" t="n">
        <v>50</v>
      </c>
      <c r="H259" s="15" t="inlineStr">
        <is>
          <t>고평가 부담</t>
        </is>
      </c>
      <c r="I259" s="15" t="inlineStr">
        <is>
          <t>0.9628494209555842</t>
        </is>
      </c>
      <c r="J259" t="inlineStr"/>
      <c r="K259" t="inlineStr"/>
      <c r="L259" t="inlineStr"/>
    </row>
    <row r="260" ht="22" customHeight="1">
      <c r="A260" s="15" t="inlineStr">
        <is>
          <t>넥스틴</t>
        </is>
      </c>
      <c r="B260" t="inlineStr"/>
      <c r="C260" s="15" t="inlineStr">
        <is>
          <t>348210</t>
        </is>
      </c>
      <c r="D260" s="15" t="inlineStr">
        <is>
          <t>KOSDAQ GLOBAL</t>
        </is>
      </c>
      <c r="E260" s="15" t="inlineStr">
        <is>
          <t>장비</t>
        </is>
      </c>
      <c r="F260" s="15" t="n">
        <v>23.53</v>
      </c>
      <c r="G260" s="15" t="n">
        <v>42.86</v>
      </c>
      <c r="H260" s="15" t="inlineStr">
        <is>
          <t>고평가 부담</t>
        </is>
      </c>
      <c r="I260" s="15" t="inlineStr">
        <is>
          <t>0.7906546201121369</t>
        </is>
      </c>
      <c r="J260" t="inlineStr"/>
      <c r="K260" t="inlineStr"/>
      <c r="L260" t="inlineStr"/>
    </row>
    <row r="261" ht="22" customHeight="1">
      <c r="A261" s="15" t="inlineStr">
        <is>
          <t>주성엔지니어링</t>
        </is>
      </c>
      <c r="B261" t="inlineStr"/>
      <c r="C261" s="15" t="inlineStr">
        <is>
          <t>036930</t>
        </is>
      </c>
      <c r="D261" s="15" t="inlineStr">
        <is>
          <t>KOSDAQ GLOBAL</t>
        </is>
      </c>
      <c r="E261" s="15" t="inlineStr">
        <is>
          <t>장비</t>
        </is>
      </c>
      <c r="F261" s="15" t="n">
        <v>23.36</v>
      </c>
      <c r="G261" s="15" t="n">
        <v>28.57</v>
      </c>
      <c r="H261" s="15" t="inlineStr">
        <is>
          <t>고평가 부담</t>
        </is>
      </c>
      <c r="I261" s="15" t="inlineStr">
        <is>
          <t>0.7918979957613304</t>
        </is>
      </c>
      <c r="J261" t="inlineStr"/>
      <c r="K261" t="inlineStr"/>
      <c r="L261" t="inlineStr"/>
    </row>
    <row r="262" ht="22" customHeight="1">
      <c r="A262" s="15" t="inlineStr">
        <is>
          <t>테크윙</t>
        </is>
      </c>
      <c r="B262" t="inlineStr"/>
      <c r="C262" s="15" t="inlineStr">
        <is>
          <t>089030</t>
        </is>
      </c>
      <c r="D262" s="15" t="inlineStr">
        <is>
          <t>KOSDAQ</t>
        </is>
      </c>
      <c r="E262" s="15" t="inlineStr">
        <is>
          <t>후공정/패키징/테스트</t>
        </is>
      </c>
      <c r="F262" s="15" t="n">
        <v>22.06</v>
      </c>
      <c r="G262" s="15" t="n">
        <v>57.14</v>
      </c>
      <c r="H262" s="15" t="inlineStr">
        <is>
          <t>고평가 부담</t>
        </is>
      </c>
      <c r="I262" s="15" t="inlineStr">
        <is>
          <t>0.7946423848576873</t>
        </is>
      </c>
      <c r="J262" t="inlineStr"/>
      <c r="K262" t="inlineStr"/>
      <c r="L262" t="inlineStr"/>
    </row>
    <row r="263" ht="22" customHeight="1">
      <c r="A263" s="15" t="inlineStr">
        <is>
          <t>퀄리타스반도체</t>
        </is>
      </c>
      <c r="B263" t="inlineStr"/>
      <c r="C263" s="15" t="inlineStr">
        <is>
          <t>432720</t>
        </is>
      </c>
      <c r="D263" s="15" t="inlineStr">
        <is>
          <t>KOSDAQ</t>
        </is>
      </c>
      <c r="E263" s="15" t="inlineStr">
        <is>
          <t>팹리스/설계</t>
        </is>
      </c>
      <c r="F263" s="15" t="n">
        <v>21.19</v>
      </c>
      <c r="G263" s="15" t="n">
        <v>57.14</v>
      </c>
      <c r="H263" s="15" t="inlineStr">
        <is>
          <t>고평가 부담</t>
        </is>
      </c>
      <c r="I263" s="15" t="inlineStr">
        <is>
          <t>0.9844433173148716</t>
        </is>
      </c>
      <c r="J263" t="inlineStr"/>
      <c r="K263" t="inlineStr"/>
      <c r="L263" t="inlineStr"/>
    </row>
    <row r="264" ht="22" customHeight="1">
      <c r="A264" s="15" t="inlineStr">
        <is>
          <t>자람테크놀로지</t>
        </is>
      </c>
      <c r="B264" t="inlineStr"/>
      <c r="C264" s="15" t="inlineStr">
        <is>
          <t>389020</t>
        </is>
      </c>
      <c r="D264" s="15" t="inlineStr">
        <is>
          <t>KOSDAQ</t>
        </is>
      </c>
      <c r="E264" s="15" t="inlineStr">
        <is>
          <t>IDM/제조/메모리</t>
        </is>
      </c>
      <c r="F264" s="15" t="n">
        <v>19.95</v>
      </c>
      <c r="G264" s="15" t="n">
        <v>21.43</v>
      </c>
      <c r="H264" s="15" t="inlineStr">
        <is>
          <t>고평가 부담</t>
        </is>
      </c>
      <c r="I264" s="15" t="inlineStr">
        <is>
          <t>0.6873284389381621</t>
        </is>
      </c>
      <c r="J264" t="inlineStr"/>
      <c r="K264" t="inlineStr"/>
      <c r="L264" t="inlineStr"/>
    </row>
    <row r="265" ht="22" customHeight="1">
      <c r="A265" s="15" t="inlineStr">
        <is>
          <t>필옵틱스</t>
        </is>
      </c>
      <c r="B265" t="inlineStr"/>
      <c r="C265" s="15" t="inlineStr">
        <is>
          <t>161580</t>
        </is>
      </c>
      <c r="D265" s="15" t="inlineStr">
        <is>
          <t>KOSDAQ</t>
        </is>
      </c>
      <c r="E265" s="15" t="inlineStr">
        <is>
          <t>장비</t>
        </is>
      </c>
      <c r="F265" s="15" t="n">
        <v>17.41</v>
      </c>
      <c r="G265" s="15" t="n">
        <v>28.57</v>
      </c>
      <c r="H265" s="15" t="inlineStr">
        <is>
          <t>고평가 부담</t>
        </is>
      </c>
      <c r="I265" s="15" t="inlineStr">
        <is>
          <t>0.9632435860929522</t>
        </is>
      </c>
      <c r="J265" t="inlineStr"/>
      <c r="K265" t="inlineStr"/>
      <c r="L265" t="inlineStr"/>
    </row>
    <row r="266" ht="22" customHeight="1">
      <c r="A266" s="15" t="inlineStr">
        <is>
          <t>하이딥</t>
        </is>
      </c>
      <c r="B266" t="inlineStr"/>
      <c r="C266" s="15" t="inlineStr">
        <is>
          <t>365590</t>
        </is>
      </c>
      <c r="D266" s="15" t="inlineStr">
        <is>
          <t>KOSDAQ</t>
        </is>
      </c>
      <c r="E266" s="15" t="inlineStr">
        <is>
          <t>IDM/제조/메모리</t>
        </is>
      </c>
      <c r="F266" s="15" t="n">
        <v>12.5</v>
      </c>
      <c r="G266" s="15" t="n">
        <v>85.70999999999999</v>
      </c>
      <c r="H266" s="15" t="inlineStr">
        <is>
          <t>고평가 부담</t>
        </is>
      </c>
      <c r="I266" s="15" t="inlineStr">
        <is>
          <t>0.93355514861914</t>
        </is>
      </c>
      <c r="J266" t="inlineStr"/>
      <c r="K266" t="inlineStr"/>
      <c r="L266" t="inlineStr"/>
    </row>
  </sheetData>
  <mergeCells count="2">
    <mergeCell ref="A2:N2"/>
    <mergeCell ref="A1:N1"/>
  </mergeCells>
  <dataValidations count="1">
    <dataValidation sqref="B4" showDropDown="0" showInputMessage="0" showErrorMessage="0" allowBlank="0" type="list">
      <formula1>$A$59:$A$266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표시 개선 단계에서 예외가 발생했지만 가치평가 계산 결과는 정상 생성되었습니다.</t>
        </is>
      </c>
    </row>
    <row r="2">
      <c r="A2" t="inlineStr">
        <is>
          <t>'Cell' object is not iterable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2026-05-20T03:31:57Z</dcterms:created>
  <dcterms:modified xmlns:dcterms="http://purl.org/dc/terms/" xmlns:xsi="http://www.w3.org/2001/XMLSchema-instance" xsi:type="dcterms:W3CDTF">2026-05-20T03:32:02Z</dcterms:modified>
</cp:coreProperties>
</file>