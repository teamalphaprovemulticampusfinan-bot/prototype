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2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4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5.xml" ContentType="application/vnd.openxmlformats-officedocument.drawing+xml"/>
  <Override PartName="/xl/worksheets/sheet3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_발표용_원페이지" sheetId="1" state="visible" r:id="rId1"/>
    <sheet xmlns:r="http://schemas.openxmlformats.org/officeDocument/2006/relationships" name="00_대시보드" sheetId="2" state="visible" r:id="rId2"/>
    <sheet xmlns:r="http://schemas.openxmlformats.org/officeDocument/2006/relationships" name="01_사용안내" sheetId="3" state="visible" r:id="rId3"/>
    <sheet xmlns:r="http://schemas.openxmlformats.org/officeDocument/2006/relationships" name="02_출처맵" sheetId="4" state="visible" r:id="rId4"/>
    <sheet xmlns:r="http://schemas.openxmlformats.org/officeDocument/2006/relationships" name="03_원천_DART" sheetId="5" state="visible" r:id="rId5"/>
    <sheet xmlns:r="http://schemas.openxmlformats.org/officeDocument/2006/relationships" name="04_주가_데이터" sheetId="6" state="visible" r:id="rId6"/>
    <sheet xmlns:r="http://schemas.openxmlformats.org/officeDocument/2006/relationships" name="05_정규재무제표" sheetId="7" state="visible" r:id="rId7"/>
    <sheet xmlns:r="http://schemas.openxmlformats.org/officeDocument/2006/relationships" name="06_핵심비율" sheetId="8" state="visible" r:id="rId8"/>
    <sheet xmlns:r="http://schemas.openxmlformats.org/officeDocument/2006/relationships" name="07_WACC" sheetId="9" state="visible" r:id="rId9"/>
    <sheet xmlns:r="http://schemas.openxmlformats.org/officeDocument/2006/relationships" name="08_FCF_추정" sheetId="10" state="visible" r:id="rId10"/>
    <sheet xmlns:r="http://schemas.openxmlformats.org/officeDocument/2006/relationships" name="09_DCF_가치평가" sheetId="11" state="visible" r:id="rId11"/>
    <sheet xmlns:r="http://schemas.openxmlformats.org/officeDocument/2006/relationships" name="10_피어비교" sheetId="12" state="visible" r:id="rId12"/>
    <sheet xmlns:r="http://schemas.openxmlformats.org/officeDocument/2006/relationships" name="11_ML_보조판단" sheetId="13" state="visible" r:id="rId13"/>
    <sheet xmlns:r="http://schemas.openxmlformats.org/officeDocument/2006/relationships" name="12_민감도" sheetId="14" state="visible" r:id="rId14"/>
    <sheet xmlns:r="http://schemas.openxmlformats.org/officeDocument/2006/relationships" name="13_검증체크" sheetId="15" state="visible" r:id="rId15"/>
    <sheet xmlns:r="http://schemas.openxmlformats.org/officeDocument/2006/relationships" name="14_대시보드_JSON" sheetId="16" state="visible" r:id="rId16"/>
    <sheet xmlns:r="http://schemas.openxmlformats.org/officeDocument/2006/relationships" name="15_감사추적" sheetId="17" state="visible" r:id="rId17"/>
    <sheet xmlns:r="http://schemas.openxmlformats.org/officeDocument/2006/relationships" name="16_모델링_설계" sheetId="18" state="visible" r:id="rId18"/>
    <sheet xmlns:r="http://schemas.openxmlformats.org/officeDocument/2006/relationships" name="17_투자자요약" sheetId="19" state="visible" r:id="rId19"/>
    <sheet xmlns:r="http://schemas.openxmlformats.org/officeDocument/2006/relationships" name="18_밸류에이션_유니버스" sheetId="20" state="visible" r:id="rId20"/>
    <sheet xmlns:r="http://schemas.openxmlformats.org/officeDocument/2006/relationships" name="19_가치평가_브릿지" sheetId="21" state="visible" r:id="rId21"/>
    <sheet xmlns:r="http://schemas.openxmlformats.org/officeDocument/2006/relationships" name="20_시나리오_요약" sheetId="22" state="visible" r:id="rId22"/>
    <sheet xmlns:r="http://schemas.openxmlformats.org/officeDocument/2006/relationships" name="21_품질_커버리지" sheetId="23" state="visible" r:id="rId23"/>
    <sheet xmlns:r="http://schemas.openxmlformats.org/officeDocument/2006/relationships" name="22_종합가치평가" sheetId="24" state="visible" r:id="rId24"/>
    <sheet xmlns:r="http://schemas.openxmlformats.org/officeDocument/2006/relationships" name="23_가치범위표" sheetId="25" state="visible" r:id="rId25"/>
    <sheet xmlns:r="http://schemas.openxmlformats.org/officeDocument/2006/relationships" name="24_역산DCF" sheetId="26" state="visible" r:id="rId26"/>
    <sheet xmlns:r="http://schemas.openxmlformats.org/officeDocument/2006/relationships" name="25_데이터수집현황" sheetId="27" state="visible" r:id="rId27"/>
    <sheet xmlns:r="http://schemas.openxmlformats.org/officeDocument/2006/relationships" name="26_투자판단_요약" sheetId="28" state="visible" r:id="rId28"/>
    <sheet xmlns:r="http://schemas.openxmlformats.org/officeDocument/2006/relationships" name="27_데이터보강_내역" sheetId="29" state="visible" r:id="rId29"/>
    <sheet xmlns:r="http://schemas.openxmlformats.org/officeDocument/2006/relationships" name="28_대시보드_연동키" sheetId="30" state="visible" r:id="rId30"/>
    <sheet xmlns:r="http://schemas.openxmlformats.org/officeDocument/2006/relationships" name="29_시장위치_맵" sheetId="31" state="visible" r:id="rId31"/>
    <sheet xmlns:r="http://schemas.openxmlformats.org/officeDocument/2006/relationships" name="99_표시개선_점검" sheetId="32" state="visible" r:id="rId32"/>
  </sheets>
  <definedNames>
    <definedName name="_xlnm._FilterDatabase" localSheetId="2" hidden="1">'01_사용안내'!$A$5:$B$11</definedName>
    <definedName name="_xlnm._FilterDatabase" localSheetId="3" hidden="1">'02_출처맵'!$A$7:$I$27</definedName>
    <definedName name="_xlnm._FilterDatabase" localSheetId="4" hidden="1">'03_원천_DART'!$A$2:$Q$1141</definedName>
    <definedName name="_xlnm._FilterDatabase" localSheetId="5" hidden="1">'04_주가_데이터'!$A$18:$AE$718</definedName>
    <definedName name="_xlnm._FilterDatabase" localSheetId="6" hidden="1">'05_정규재무제표'!$A$2:$AK$7</definedName>
    <definedName name="_xlnm._FilterDatabase" localSheetId="7" hidden="1">'06_핵심비율'!$A$2:$L$7</definedName>
    <definedName name="_xlnm._FilterDatabase" localSheetId="9" hidden="1">'08_FCF_추정'!$A$2:$J$7</definedName>
    <definedName name="_xlnm._FilterDatabase" localSheetId="10" hidden="1">'09_DCF_가치평가'!$A$5:$C$21</definedName>
    <definedName name="_xlnm._FilterDatabase" localSheetId="11" hidden="1">'10_피어비교'!$A$2:$AI$7</definedName>
    <definedName name="_xlnm._FilterDatabase" localSheetId="12" hidden="1">'11_ML_보조판단'!$A$16:$B$21</definedName>
    <definedName name="_xlnm._FilterDatabase" localSheetId="13" hidden="1">'12_민감도'!$A$2:$C$27</definedName>
    <definedName name="_xlnm._FilterDatabase" localSheetId="14" hidden="1">'13_검증체크'!$A$2:$C$3</definedName>
    <definedName name="_xlnm._FilterDatabase" localSheetId="15" hidden="1">'14_대시보드_JSON'!$A$2:$D$205</definedName>
    <definedName name="_xlnm._FilterDatabase" localSheetId="16" hidden="1">'15_감사추적'!$A$2:$F$8</definedName>
    <definedName name="_xlnm._FilterDatabase" localSheetId="17" hidden="1">'16_모델링_설계'!$A$2:$G$11</definedName>
    <definedName name="_xlnm._FilterDatabase" localSheetId="18" hidden="1">'17_투자자요약'!$A$23:$B$28</definedName>
    <definedName name="_xlnm._FilterDatabase" localSheetId="19" hidden="1">'18_밸류에이션_유니버스'!$A$66:$AF$274</definedName>
    <definedName name="_xlnm._FilterDatabase" localSheetId="20" hidden="1">'19_가치평가_브릿지'!$A$29:$C$34</definedName>
    <definedName name="_xlnm._FilterDatabase" localSheetId="21" hidden="1">'20_시나리오_요약'!$A$12:$B$14</definedName>
    <definedName name="_xlnm._FilterDatabase" localSheetId="22" hidden="1">'21_품질_커버리지'!$A$15:$C$16</definedName>
    <definedName name="_xlnm._FilterDatabase" localSheetId="23" hidden="1">'22_종합가치평가'!$A$34:$D$42</definedName>
    <definedName name="_xlnm._FilterDatabase" localSheetId="24" hidden="1">'23_가치범위표'!$A$21:$B$23</definedName>
    <definedName name="_xlnm._FilterDatabase" localSheetId="25" hidden="1">'24_역산DCF'!$A$20:$B$23</definedName>
    <definedName name="_xlnm._FilterDatabase" localSheetId="26" hidden="1">'25_데이터수집현황'!$A$15:$C$29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[Red](#,##0);-"/>
    <numFmt numFmtId="165" formatCode="0.0x;[Red](0.0x);-"/>
    <numFmt numFmtId="166" formatCode="0.0%;[Red](0.0%);-"/>
    <numFmt numFmtId="167" formatCode="0.0%"/>
    <numFmt numFmtId="168" formatCode="0.0"/>
  </numFmts>
  <fonts count="17">
    <font>
      <name val="Calibri"/>
      <family val="2"/>
      <color theme="1"/>
      <sz val="11"/>
      <scheme val="minor"/>
    </font>
    <font>
      <b val="1"/>
      <color rgb="00FFFFFF"/>
      <sz val="16"/>
    </font>
    <font>
      <color rgb="000B1F33"/>
      <sz val="10"/>
    </font>
    <font>
      <b val="1"/>
      <color rgb="00FFFFFF"/>
      <sz val="10"/>
    </font>
    <font>
      <b val="1"/>
      <color rgb="000B1F33"/>
      <sz val="13"/>
    </font>
    <font>
      <color rgb="00475569"/>
      <sz val="9"/>
    </font>
    <font>
      <b val="1"/>
      <color rgb="00FFFFFF"/>
    </font>
    <font>
      <b val="1"/>
      <color rgb="000B1F33"/>
    </font>
    <font>
      <color rgb="000000FF"/>
    </font>
    <font>
      <color rgb="00000000"/>
    </font>
    <font>
      <b val="1"/>
      <color rgb="00FFFFFF"/>
      <sz val="18"/>
    </font>
    <font>
      <color rgb="00243B53"/>
      <sz val="10"/>
    </font>
    <font>
      <b val="1"/>
      <color rgb="00102A43"/>
      <sz val="11"/>
    </font>
    <font>
      <b val="1"/>
      <color rgb="00FFFFFF"/>
      <sz val="12"/>
    </font>
    <font>
      <color rgb="00102A43"/>
      <sz val="11"/>
    </font>
    <font>
      <b val="1"/>
      <color rgb="00FFFFFF"/>
      <sz val="15"/>
    </font>
    <font>
      <b val="1"/>
      <color rgb="00102A43"/>
    </font>
  </fonts>
  <fills count="20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E6EEF8"/>
      </patternFill>
    </fill>
    <fill>
      <patternFill patternType="solid">
        <fgColor rgb="00F3F6F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24476B"/>
      </patternFill>
    </fill>
    <fill>
      <patternFill patternType="solid">
        <fgColor rgb="00F8FAFC"/>
      </patternFill>
    </fill>
    <fill>
      <patternFill patternType="solid">
        <fgColor rgb="00FFF2CC"/>
      </patternFill>
    </fill>
    <fill>
      <patternFill patternType="solid">
        <fgColor rgb="00EEF6FF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7C3AED"/>
      </patternFill>
    </fill>
    <fill>
      <patternFill patternType="solid">
        <fgColor rgb="00F59E0B"/>
      </patternFill>
    </fill>
    <fill>
      <patternFill patternType="solid">
        <fgColor rgb="00DDF7EC"/>
      </patternFill>
    </fill>
    <fill>
      <patternFill patternType="solid">
        <fgColor rgb="00F2EEFF"/>
      </patternFill>
    </fill>
    <fill>
      <patternFill patternType="solid">
        <fgColor rgb="00243B53"/>
      </patternFill>
    </fill>
    <fill>
      <patternFill patternType="solid">
        <fgColor rgb="00102A43"/>
      </patternFill>
    </fill>
    <fill>
      <patternFill patternType="solid">
        <fgColor rgb="00FFF7E6"/>
      </patternFill>
    </fill>
  </fills>
  <borders count="8">
    <border>
      <left/>
      <right/>
      <top/>
      <bottom/>
      <diagonal/>
    </border>
    <border>
      <left style="medium">
        <color rgb="009FB3C8"/>
      </left>
      <right style="medium">
        <color rgb="009FB3C8"/>
      </right>
      <top style="medium">
        <color rgb="009FB3C8"/>
      </top>
      <bottom style="medium">
        <color rgb="009FB3C8"/>
      </bottom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 style="thin">
        <color rgb="00D8E1EA"/>
      </left>
      <right style="thin">
        <color rgb="00D8E1EA"/>
      </right>
      <top style="thin">
        <color rgb="00D8E1EA"/>
      </top>
      <bottom style="thin">
        <color rgb="00D8E1EA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0" fillId="2" borderId="7" applyAlignment="1" pivotButton="0" quotePrefix="0" xfId="0">
      <alignment horizontal="left" vertical="center" wrapText="1"/>
    </xf>
    <xf numFmtId="0" fontId="11" fillId="10" borderId="7" applyAlignment="1" pivotButton="0" quotePrefix="0" xfId="0">
      <alignment horizontal="left" vertical="center" wrapText="1"/>
    </xf>
    <xf numFmtId="0" fontId="6" fillId="11" borderId="7" applyAlignment="1" pivotButton="0" quotePrefix="0" xfId="0">
      <alignment horizontal="left" vertical="center" wrapText="1"/>
    </xf>
    <xf numFmtId="0" fontId="12" fillId="15" borderId="7" applyAlignment="1" pivotButton="0" quotePrefix="0" xfId="0">
      <alignment horizontal="left" vertical="center" wrapText="1"/>
    </xf>
    <xf numFmtId="0" fontId="6" fillId="12" borderId="7" applyAlignment="1" pivotButton="0" quotePrefix="0" xfId="0">
      <alignment horizontal="left" vertical="center" wrapText="1"/>
    </xf>
    <xf numFmtId="0" fontId="6" fillId="13" borderId="7" applyAlignment="1" pivotButton="0" quotePrefix="0" xfId="0">
      <alignment horizontal="left" vertical="center" wrapText="1"/>
    </xf>
    <xf numFmtId="0" fontId="6" fillId="14" borderId="7" applyAlignment="1" pivotButton="0" quotePrefix="0" xfId="0">
      <alignment horizontal="left" vertical="center" wrapText="1"/>
    </xf>
    <xf numFmtId="0" fontId="12" fillId="10" borderId="7" applyAlignment="1" pivotButton="0" quotePrefix="0" xfId="0">
      <alignment horizontal="left" vertical="center" wrapText="1"/>
    </xf>
    <xf numFmtId="0" fontId="12" fillId="16" borderId="7" applyAlignment="1" pivotButton="0" quotePrefix="0" xfId="0">
      <alignment horizontal="left" vertical="center" wrapText="1"/>
    </xf>
    <xf numFmtId="0" fontId="13" fillId="2" borderId="7" applyAlignment="1" pivotButton="0" quotePrefix="0" xfId="0">
      <alignment horizontal="left" vertical="center" wrapText="1"/>
    </xf>
    <xf numFmtId="0" fontId="14" fillId="6" borderId="7" applyAlignment="1" pivotButton="0" quotePrefix="0" xfId="0">
      <alignment horizontal="left" vertical="center" wrapText="1"/>
    </xf>
    <xf numFmtId="0" fontId="6" fillId="17" borderId="7" applyAlignment="1" pivotButton="0" quotePrefix="0" xfId="0">
      <alignment horizontal="left" vertical="center" wrapText="1"/>
    </xf>
    <xf numFmtId="0" fontId="0" fillId="8" borderId="7" applyAlignment="1" pivotButton="0" quotePrefix="0" xfId="0">
      <alignment horizontal="left" vertical="center" wrapText="1"/>
    </xf>
    <xf numFmtId="0" fontId="0" fillId="6" borderId="7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164" fontId="0" fillId="0" borderId="2" applyAlignment="1" pivotButton="0" quotePrefix="0" xfId="0">
      <alignment horizontal="left" vertical="center" wrapText="1"/>
    </xf>
    <xf numFmtId="165" fontId="0" fillId="0" borderId="2" applyAlignment="1" pivotButton="0" quotePrefix="0" xfId="0">
      <alignment horizontal="left" vertical="center" wrapText="1"/>
    </xf>
    <xf numFmtId="0" fontId="0" fillId="8" borderId="2" applyAlignment="1" pivotButton="0" quotePrefix="0" xfId="0">
      <alignment horizontal="left" vertical="center" wrapText="1"/>
    </xf>
    <xf numFmtId="164" fontId="0" fillId="6" borderId="2" applyAlignment="1" pivotButton="0" quotePrefix="0" xfId="0">
      <alignment horizontal="left" vertical="center" wrapText="1"/>
    </xf>
    <xf numFmtId="164" fontId="0" fillId="8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164" fontId="6" fillId="7" borderId="2" applyAlignment="1" pivotButton="0" quotePrefix="0" xfId="0">
      <alignment horizontal="left" vertical="center" wrapText="1"/>
    </xf>
    <xf numFmtId="166" fontId="0" fillId="6" borderId="2" applyAlignment="1" pivotButton="0" quotePrefix="0" xfId="0">
      <alignment horizontal="left" vertical="center" wrapText="1"/>
    </xf>
    <xf numFmtId="166" fontId="0" fillId="8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6" fontId="8" fillId="9" borderId="2" applyAlignment="1" pivotButton="0" quotePrefix="0" xfId="0">
      <alignment horizontal="left" vertical="center" wrapText="1"/>
    </xf>
    <xf numFmtId="164" fontId="8" fillId="9" borderId="2" applyAlignment="1" pivotButton="0" quotePrefix="0" xfId="0">
      <alignment horizontal="left" vertical="center" wrapText="1"/>
    </xf>
    <xf numFmtId="164" fontId="9" fillId="0" borderId="2" applyAlignment="1" pivotButton="0" quotePrefix="0" xfId="0">
      <alignment horizontal="left" vertical="center" wrapText="1"/>
    </xf>
    <xf numFmtId="166" fontId="9" fillId="0" borderId="2" applyAlignment="1" pivotButton="0" quotePrefix="0" xfId="0">
      <alignment horizontal="left" vertical="center" wrapText="1"/>
    </xf>
    <xf numFmtId="165" fontId="0" fillId="6" borderId="2" applyAlignment="1" pivotButton="0" quotePrefix="0" xfId="0">
      <alignment horizontal="left" vertical="center" wrapText="1"/>
    </xf>
    <xf numFmtId="165" fontId="0" fillId="8" borderId="2" applyAlignment="1" pivotButton="0" quotePrefix="0" xfId="0">
      <alignment horizontal="left" vertical="center" wrapText="1"/>
    </xf>
    <xf numFmtId="0" fontId="15" fillId="18" borderId="7" applyAlignment="1" pivotButton="0" quotePrefix="0" xfId="0">
      <alignment horizontal="left" vertical="center" wrapText="1"/>
    </xf>
    <xf numFmtId="0" fontId="16" fillId="15" borderId="7" applyAlignment="1" pivotButton="0" quotePrefix="0" xfId="0">
      <alignment horizontal="left" vertical="center" wrapText="1"/>
    </xf>
    <xf numFmtId="168" fontId="16" fillId="15" borderId="7" applyAlignment="1" pivotButton="0" quotePrefix="0" xfId="0">
      <alignment horizontal="left" vertical="center" wrapText="1"/>
    </xf>
    <xf numFmtId="167" fontId="16" fillId="15" borderId="7" applyAlignment="1" pivotButton="0" quotePrefix="0" xfId="0">
      <alignment horizontal="left" vertical="center" wrapText="1"/>
    </xf>
    <xf numFmtId="0" fontId="0" fillId="15" borderId="7" applyAlignment="1" pivotButton="0" quotePrefix="0" xfId="0">
      <alignment horizontal="left" vertical="center" wrapText="1"/>
    </xf>
    <xf numFmtId="0" fontId="0" fillId="10" borderId="7" applyAlignment="1" pivotButton="0" quotePrefix="0" xfId="0">
      <alignment horizontal="left" vertical="center" wrapText="1"/>
    </xf>
    <xf numFmtId="0" fontId="0" fillId="16" borderId="7" applyAlignment="1" pivotButton="0" quotePrefix="0" xfId="0">
      <alignment horizontal="left" vertical="center" wrapText="1"/>
    </xf>
    <xf numFmtId="0" fontId="0" fillId="19" borderId="7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투자자 관점 핵심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'30_발표용_원페이지'!B30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'30_발표용_원페이지'!$A$31:$A$34</f>
            </numRef>
          </cat>
          <val>
            <numRef>
              <f>'30_발표용_원페이지'!$B$31:$B$34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항목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TAM/SAM/SOM 범위</a:t>
            </a:r>
          </a:p>
        </rich>
      </tx>
    </title>
    <plotArea>
      <doughnutChart>
        <varyColors val="1"/>
        <ser>
          <idx val="0"/>
          <order val="0"/>
          <tx>
            <strRef>
              <f>'30_발표용_원페이지'!F30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'30_발표용_원페이지'!$E$31:$E$33</f>
            </numRef>
          </cat>
          <val>
            <numRef>
              <f>'30_발표용_원페이지'!$F$31:$F$33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매출·영업이익·FCF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'00_대시보드'!B31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'00_대시보드'!$B$32:$B$36</f>
            </numRef>
          </val>
        </ser>
        <ser>
          <idx val="1"/>
          <order val="1"/>
          <tx>
            <strRef>
              <f>'00_대시보드'!C31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'00_대시보드'!$C$32:$C$36</f>
            </numRef>
          </val>
        </ser>
        <ser>
          <idx val="2"/>
          <order val="2"/>
          <tx>
            <strRef>
              <f>'00_대시보드'!D31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'00_대시보드'!$D$32:$D$36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FCF 추정</a:t>
            </a:r>
          </a:p>
        </rich>
      </tx>
    </title>
    <plotArea>
      <lineChart>
        <grouping val="standard"/>
        <ser>
          <idx val="0"/>
          <order val="0"/>
          <tx>
            <strRef>
              <f>'00_대시보드'!F31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'00_대시보드'!$F$32:$F$36</f>
            </numRef>
          </val>
        </ser>
        <ser>
          <idx val="1"/>
          <order val="1"/>
          <tx>
            <strRef>
              <f>'00_대시보드'!G31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'00_대시보드'!$G$32:$G$36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Peer P/S 비교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'00_대시보드'!J31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'00_대시보드'!$I$32:$I$36</f>
            </numRef>
          </cat>
          <val>
            <numRef>
              <f>'00_대시보드'!$J$32:$J$36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배수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종가·이동평균 추이</a:t>
            </a:r>
          </a:p>
        </rich>
      </tx>
    </title>
    <plotArea>
      <lineChart>
        <grouping val="standard"/>
        <ser>
          <idx val="0"/>
          <order val="0"/>
          <tx>
            <strRef>
              <f>'04_주가_데이터'!E18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'04_주가_데이터'!$A$19:$A$718</f>
            </numRef>
          </cat>
          <val>
            <numRef>
              <f>'04_주가_데이터'!$E$19:$E$718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일자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가치평가 방법별 중앙 주당가치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'23_가치범위표'!G10</f>
            </strRef>
          </tx>
          <spPr>
            <a:ln xmlns:a="http://schemas.openxmlformats.org/drawingml/2006/main">
              <a:prstDash val="solid"/>
            </a:ln>
          </spPr>
          <cat>
            <numRef>
              <f>'23_가치범위표'!$B$11:$B$17</f>
            </numRef>
          </cat>
          <val>
            <numRef>
              <f>'23_가치범위표'!$G$11:$G$17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가치평가 방법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원/주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선택기업 vs 동일 세부군 vs 208개 평균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'29_시장위치_맵'!$B$9:$B$11</f>
            </numRef>
          </val>
        </ser>
        <ser>
          <idx val="1"/>
          <order val="1"/>
          <tx>
            <strRef>
              <f>'29_시장위치_맵'!C8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'29_시장위치_맵'!$C$9:$C$11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비교 기준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 / SAM / SOM 범위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'29_시장위치_맵'!$A$17:$A$19</f>
            </numRef>
          </cat>
          <val>
            <numRef>
              <f>'29_시장위치_맵'!$B$17:$B$19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기업 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범위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5개 핵심기업 밸류에이션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'29_시장위치_맵'!C25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'29_시장위치_맵'!$A$26:$A$30</f>
            </numRef>
          </cat>
          <val>
            <numRef>
              <f>'29_시장위치_맵'!$C$26:$C$30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AlphaProve</author>
  </authors>
  <commentList>
    <comment ref="B4" authorId="0" shapeId="0">
      <text>
        <t>출처: valuation/intake/valuation_assumptions.json</t>
      </text>
    </comment>
  </commentList>
</comments>
</file>

<file path=xl/comments/comment2.xml><?xml version="1.0" encoding="utf-8"?>
<comments xmlns="http://schemas.openxmlformats.org/spreadsheetml/2006/main">
  <authors>
    <author>AlphaProve</author>
  </authors>
  <commentList>
    <comment ref="B18" authorId="0" shapeId="0">
      <text>
        <t>출처: DART 발행주식 수 intake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24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33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16</col>
      <colOff>0</colOff>
      <row>33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16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13</col>
      <colOff>0</colOff>
      <row>8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24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41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N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7" customWidth="1" min="3" max="3"/>
    <col width="18" customWidth="1" min="4" max="4"/>
    <col width="16" customWidth="1" min="5" max="5"/>
    <col width="16" customWidth="1" min="6" max="6"/>
    <col width="15" customWidth="1" min="7" max="7"/>
    <col width="16" customWidth="1" min="8" max="8"/>
    <col width="3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38" customHeight="1">
      <c r="A1" s="1" t="inlineStr">
        <is>
          <t>미코 가치평가 원페이지</t>
        </is>
      </c>
    </row>
    <row r="2" ht="25" customHeight="1">
      <c r="A2" s="2" t="inlineStr">
        <is>
          <t>DCF·상대가치·시장내재 배수·주가 리스크·208개 비교군 위치를 한 장에서 검토하는 투자자용 요약입니다.</t>
        </is>
      </c>
    </row>
    <row r="3" ht="24" customHeight="1"/>
    <row r="4" ht="24" customHeight="1">
      <c r="A4" s="3" t="inlineStr">
        <is>
          <t>현재가</t>
        </is>
      </c>
      <c r="B4" s="4" t="inlineStr">
        <is>
          <t>19,230원</t>
        </is>
      </c>
      <c r="C4" s="5" t="inlineStr">
        <is>
          <t>DCF 내재주가</t>
        </is>
      </c>
      <c r="D4" s="4" t="inlineStr">
        <is>
          <t>46,518원</t>
        </is>
      </c>
      <c r="E4" s="6" t="inlineStr">
        <is>
          <t>괴리율</t>
        </is>
      </c>
      <c r="F4" s="4" t="inlineStr">
        <is>
          <t>141.9%</t>
        </is>
      </c>
      <c r="G4" s="7" t="inlineStr">
        <is>
          <t>WACC</t>
        </is>
      </c>
      <c r="H4" s="4" t="inlineStr">
        <is>
          <t>7.1%</t>
        </is>
      </c>
    </row>
    <row r="5" ht="24" customHeight="1">
      <c r="A5" s="3" t="inlineStr">
        <is>
          <t>P/S</t>
        </is>
      </c>
      <c r="B5" s="8" t="inlineStr">
        <is>
          <t>1.23배</t>
        </is>
      </c>
      <c r="C5" s="5" t="inlineStr">
        <is>
          <t>비교기업 P/S 중앙값</t>
        </is>
      </c>
      <c r="D5" s="8" t="inlineStr">
        <is>
          <t>3.55배</t>
        </is>
      </c>
      <c r="E5" s="6" t="inlineStr">
        <is>
          <t>가치범위 중앙값</t>
        </is>
      </c>
      <c r="F5" s="8" t="inlineStr">
        <is>
          <t>52,495원</t>
        </is>
      </c>
      <c r="G5" s="7" t="inlineStr">
        <is>
          <t>검증 상태</t>
        </is>
      </c>
      <c r="H5" s="8" t="inlineStr">
        <is>
          <t>통과</t>
        </is>
      </c>
    </row>
    <row r="6" ht="24" customHeight="1">
      <c r="A6" s="3" t="inlineStr">
        <is>
          <t>종합 가치평가 점수</t>
        </is>
      </c>
      <c r="B6" s="9" t="inlineStr">
        <is>
          <t>94.0/100</t>
        </is>
      </c>
      <c r="C6" s="5" t="inlineStr">
        <is>
          <t>보조 가치평가 점수</t>
        </is>
      </c>
      <c r="D6" s="9" t="inlineStr">
        <is>
          <t>83.8/100</t>
        </is>
      </c>
      <c r="E6" s="6" t="inlineStr">
        <is>
          <t>역산 영구성장률</t>
        </is>
      </c>
      <c r="F6" s="9" t="inlineStr">
        <is>
          <t>-2.2%</t>
        </is>
      </c>
      <c r="G6" s="7" t="inlineStr">
        <is>
          <t>오너이익 주당가치</t>
        </is>
      </c>
      <c r="H6" s="9" t="inlineStr">
        <is>
          <t>7,774원</t>
        </is>
      </c>
    </row>
    <row r="7" ht="24" customHeight="1"/>
    <row r="8" ht="24" customHeight="1">
      <c r="A8" s="10" t="inlineStr">
        <is>
          <t>핵심 판단</t>
        </is>
      </c>
    </row>
    <row r="9" ht="62" customHeight="1">
      <c r="A9" s="11" t="inlineStr">
        <is>
          <t>가치평가 관점 우호 — DCF 기준 안전마진이 20% 이상입니다. 보조 가치평가 점수가 70점 이상으로 우호적입니다. 종합 가치평가 점수가 70점 이상으로 우호적입니다.</t>
        </is>
      </c>
    </row>
    <row r="10" ht="24" customHeight="1"/>
    <row r="11" ht="24" customHeight="1"/>
    <row r="12" ht="24" customHeight="1"/>
    <row r="13" ht="24" customHeight="1">
      <c r="A13" s="12" t="inlineStr">
        <is>
          <t>분석 축</t>
        </is>
      </c>
      <c r="B13" s="12" t="inlineStr">
        <is>
          <t>현재 결론</t>
        </is>
      </c>
      <c r="C13" s="12" t="inlineStr">
        <is>
          <t>대시보드에서 볼 것</t>
        </is>
      </c>
      <c r="D13" s="12" t="inlineStr">
        <is>
          <t>실무 체크포인트</t>
        </is>
      </c>
    </row>
    <row r="14" ht="24" customHeight="1">
      <c r="A14" s="13" t="inlineStr">
        <is>
          <t>절대가치</t>
        </is>
      </c>
      <c r="B14" s="14" t="inlineStr">
        <is>
          <t>46,518원</t>
        </is>
      </c>
      <c r="C14" s="13" t="inlineStr">
        <is>
          <t>DCF 내재주가·민감도</t>
        </is>
      </c>
      <c r="D14" s="14" t="inlineStr">
        <is>
          <t>WACC와 영구성장률 가정이 바뀌면 결론이 크게 달라질 수 있습니다.</t>
        </is>
      </c>
    </row>
    <row r="15" ht="24" customHeight="1">
      <c r="A15" s="14" t="inlineStr">
        <is>
          <t>상대가치</t>
        </is>
      </c>
      <c r="B15" s="13" t="inlineStr">
        <is>
          <t>1.23배</t>
        </is>
      </c>
      <c r="C15" s="14" t="inlineStr">
        <is>
          <t>P/S·P/B·PER·EV/Sales</t>
        </is>
      </c>
      <c r="D15" s="13" t="inlineStr">
        <is>
          <t>동일 세부군 기준으로 비교기업 품질을 재확인합니다.</t>
        </is>
      </c>
    </row>
    <row r="16" ht="24" customHeight="1">
      <c r="A16" s="13" t="inlineStr">
        <is>
          <t>시장내재</t>
        </is>
      </c>
      <c r="B16" s="14" t="inlineStr">
        <is>
          <t>0.66배</t>
        </is>
      </c>
      <c r="C16" s="13" t="inlineStr">
        <is>
          <t>현재가가 반영한 배수</t>
        </is>
      </c>
      <c r="D16" s="14" t="inlineStr">
        <is>
          <t>현재 시장이 이미 반영한 성장 기대를 역산합니다.</t>
        </is>
      </c>
    </row>
    <row r="17" ht="24" customHeight="1">
      <c r="A17" s="14" t="inlineStr">
        <is>
          <t>유동성/리스크</t>
        </is>
      </c>
      <c r="B17" s="13" t="inlineStr">
        <is>
          <t>204.2억원</t>
        </is>
      </c>
      <c r="C17" s="14" t="inlineStr">
        <is>
          <t>거래대금·MDD·변동성</t>
        </is>
      </c>
      <c r="D17" s="13" t="inlineStr">
        <is>
          <t>거래대금이 낮은 기업은 실전 매매비용을 보수적으로 봅니다.</t>
        </is>
      </c>
    </row>
    <row r="18" ht="24" customHeight="1">
      <c r="A18" s="13" t="inlineStr">
        <is>
          <t>208개 비교군</t>
        </is>
      </c>
      <c r="B18" s="14" t="inlineStr">
        <is>
          <t>208</t>
        </is>
      </c>
      <c r="C18" s="13" t="inlineStr">
        <is>
          <t>시장위치 맵·백분위</t>
        </is>
      </c>
      <c r="D18" s="14" t="inlineStr">
        <is>
          <t>동일 섹터 안에서 상대적 위치를 먼저 확인합니다.</t>
        </is>
      </c>
    </row>
    <row r="19" ht="24" customHeight="1"/>
    <row r="20" ht="24" customHeight="1"/>
    <row r="21" ht="24" customHeight="1">
      <c r="A21" s="3" t="inlineStr">
        <is>
          <t>완성도 점검</t>
        </is>
      </c>
      <c r="B21" s="3" t="inlineStr">
        <is>
          <t>결과</t>
        </is>
      </c>
      <c r="C21" s="3" t="inlineStr">
        <is>
          <t>의미</t>
        </is>
      </c>
    </row>
    <row r="22" ht="24" customHeight="1">
      <c r="A22" s="15" t="inlineStr">
        <is>
          <t>품질 점검</t>
        </is>
      </c>
      <c r="B22" t="inlineStr"/>
      <c r="C22" s="15" t="inlineStr">
        <is>
          <t>검토 완료</t>
        </is>
      </c>
    </row>
    <row r="23" ht="24" customHeight="1">
      <c r="A23" s="15" t="inlineStr">
        <is>
          <t>품질 점검</t>
        </is>
      </c>
      <c r="B23" t="inlineStr"/>
      <c r="C23" s="15" t="inlineStr">
        <is>
          <t>검토 완료</t>
        </is>
      </c>
    </row>
    <row r="24" ht="24" customHeight="1">
      <c r="A24" s="15" t="inlineStr">
        <is>
          <t>품질 점검</t>
        </is>
      </c>
      <c r="B24" t="inlineStr"/>
      <c r="C24" s="15" t="inlineStr">
        <is>
          <t>검토 완료</t>
        </is>
      </c>
    </row>
    <row r="25" ht="24" customHeight="1">
      <c r="A25" s="15" t="inlineStr">
        <is>
          <t>품질 점검</t>
        </is>
      </c>
      <c r="B25" t="inlineStr"/>
      <c r="C25" s="15" t="inlineStr">
        <is>
          <t>검토 완료</t>
        </is>
      </c>
    </row>
    <row r="26" ht="24" customHeight="1">
      <c r="A26" s="15" t="inlineStr">
        <is>
          <t>품질 점검</t>
        </is>
      </c>
      <c r="B26" t="inlineStr"/>
      <c r="C26" s="15" t="inlineStr">
        <is>
          <t>검토 완료</t>
        </is>
      </c>
    </row>
    <row r="27" ht="24" customHeight="1">
      <c r="A27" s="15" t="inlineStr">
        <is>
          <t>품질 점검</t>
        </is>
      </c>
      <c r="B27" t="inlineStr"/>
      <c r="C27" s="15" t="inlineStr">
        <is>
          <t>검토 완료</t>
        </is>
      </c>
    </row>
    <row r="28" ht="24" customHeight="1">
      <c r="A28" s="15" t="inlineStr">
        <is>
          <t>품질 점검</t>
        </is>
      </c>
      <c r="B28" t="inlineStr"/>
      <c r="C28" s="15" t="inlineStr">
        <is>
          <t>검토 완료</t>
        </is>
      </c>
    </row>
    <row r="29" ht="24" customHeight="1"/>
    <row r="30" ht="24" customHeight="1">
      <c r="A30" s="12" t="inlineStr">
        <is>
          <t>항목</t>
        </is>
      </c>
      <c r="B30" s="12" t="inlineStr">
        <is>
          <t>점수</t>
        </is>
      </c>
      <c r="E30" s="15" t="inlineStr">
        <is>
          <t>범위</t>
        </is>
      </c>
      <c r="F30" s="15" t="inlineStr">
        <is>
          <t>기업 수</t>
        </is>
      </c>
    </row>
    <row r="31" ht="24" customHeight="1">
      <c r="A31" s="15" t="inlineStr">
        <is>
          <t>DCF 안전마진</t>
        </is>
      </c>
      <c r="B31" s="15" t="n">
        <v>1.92</v>
      </c>
      <c r="E31" s="15" t="inlineStr">
        <is>
          <t>전체 반도체 비교군</t>
        </is>
      </c>
      <c r="F31" s="15" t="n">
        <v>208</v>
      </c>
    </row>
    <row r="32" ht="24" customHeight="1">
      <c r="A32" s="15" t="inlineStr">
        <is>
          <t>종합 가치평가</t>
        </is>
      </c>
      <c r="B32" s="15" t="n">
        <v>94</v>
      </c>
      <c r="E32" s="15" t="inlineStr">
        <is>
          <t>동일 세부군</t>
        </is>
      </c>
      <c r="F32" s="15" t="n">
        <v>40</v>
      </c>
    </row>
    <row r="33" ht="24" customHeight="1">
      <c r="A33" s="15" t="inlineStr">
        <is>
          <t>보조 점수</t>
        </is>
      </c>
      <c r="B33" s="15" t="n">
        <v>83.81</v>
      </c>
      <c r="E33" s="15" t="inlineStr">
        <is>
          <t>선택기업</t>
        </is>
      </c>
      <c r="F33" s="15" t="n">
        <v>1</v>
      </c>
    </row>
    <row r="34" ht="24" customHeight="1">
      <c r="A34" s="15" t="inlineStr">
        <is>
          <t>데이터 검증</t>
        </is>
      </c>
      <c r="B34" s="15" t="n">
        <v>100</v>
      </c>
    </row>
    <row r="35" ht="24" customHeight="1"/>
    <row r="36" ht="24" customHeight="1"/>
    <row r="37" ht="24" customHeight="1"/>
    <row r="38" ht="24" customHeight="1"/>
  </sheetData>
  <mergeCells count="4">
    <mergeCell ref="A9:H11"/>
    <mergeCell ref="A8:H8"/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5" customWidth="1" min="1" max="1"/>
    <col width="18" customWidth="1" min="2" max="2"/>
    <col width="15" customWidth="1" min="3" max="3"/>
    <col width="18" customWidth="1" min="4" max="4"/>
    <col width="15" customWidth="1" min="5" max="5"/>
    <col width="18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미코 독립 가치평가 대시보드</t>
        </is>
      </c>
    </row>
    <row r="2" ht="28" customHeight="1">
      <c r="A2" s="17" t="inlineStr">
        <is>
          <t>DCF · WACC · 피어 비교 · 주가/민감도 · ML 보조판단 · 검증체크 자동 생성</t>
        </is>
      </c>
    </row>
    <row r="3" ht="24" customHeight="1"/>
    <row r="4" ht="24" customHeight="1">
      <c r="A4" s="18" t="inlineStr">
        <is>
          <t>WACC</t>
        </is>
      </c>
      <c r="B4" s="19" t="n"/>
      <c r="C4" s="18" t="inlineStr">
        <is>
          <t>DCF 기업가치</t>
        </is>
      </c>
      <c r="D4" s="19" t="n"/>
      <c r="E4" s="18" t="inlineStr">
        <is>
          <t>DCF 지분가치</t>
        </is>
      </c>
      <c r="F4" s="19" t="n"/>
      <c r="G4" s="18" t="inlineStr">
        <is>
          <t>내재주가</t>
        </is>
      </c>
      <c r="H4" s="19" t="n"/>
      <c r="I4" s="18" t="inlineStr">
        <is>
          <t>괴리율</t>
        </is>
      </c>
      <c r="J4" s="19" t="n"/>
      <c r="K4" s="18" t="inlineStr">
        <is>
          <t>검증 상태</t>
        </is>
      </c>
      <c r="L4" s="19" t="n"/>
    </row>
    <row r="5" ht="24" customHeight="1">
      <c r="A5" s="20" t="inlineStr">
        <is>
          <t>7.1%</t>
        </is>
      </c>
      <c r="B5" s="19" t="n"/>
      <c r="C5" s="20" t="inlineStr">
        <is>
          <t>28,219.1억원</t>
        </is>
      </c>
      <c r="D5" s="19" t="n"/>
      <c r="E5" s="20" t="inlineStr">
        <is>
          <t>15,544.8억원</t>
        </is>
      </c>
      <c r="F5" s="19" t="n"/>
      <c r="G5" s="20" t="inlineStr">
        <is>
          <t>46,518원</t>
        </is>
      </c>
      <c r="H5" s="19" t="n"/>
      <c r="I5" s="20" t="inlineStr">
        <is>
          <t>141.9%</t>
        </is>
      </c>
      <c r="J5" s="19" t="n"/>
      <c r="K5" s="20" t="inlineStr">
        <is>
          <t>PASS</t>
        </is>
      </c>
      <c r="L5" s="19" t="n"/>
    </row>
    <row r="6" ht="24" customHeight="1">
      <c r="A6" s="21" t="inlineStr">
        <is>
          <t>시장가중/장부가중 혼합</t>
        </is>
      </c>
      <c r="B6" s="19" t="n"/>
      <c r="C6" s="21" t="inlineStr">
        <is>
          <t>EV 기준</t>
        </is>
      </c>
      <c r="D6" s="19" t="n"/>
      <c r="E6" s="21" t="inlineStr">
        <is>
          <t>EV + 현금 - 부채 proxy</t>
        </is>
      </c>
      <c r="F6" s="19" t="n"/>
      <c r="G6" s="21" t="inlineStr">
        <is>
          <t>발행주식 수 기준</t>
        </is>
      </c>
      <c r="H6" s="19" t="n"/>
      <c r="I6" s="21" t="inlineStr">
        <is>
          <t>현재가 대비</t>
        </is>
      </c>
      <c r="J6" s="19" t="n"/>
      <c r="K6" s="21" t="inlineStr">
        <is>
          <t>가치평가 보조근거 중립</t>
        </is>
      </c>
      <c r="L6" s="19" t="n"/>
    </row>
    <row r="7" ht="24" customHeight="1">
      <c r="A7" s="18" t="inlineStr">
        <is>
          <t>현재가</t>
        </is>
      </c>
      <c r="B7" s="19" t="n"/>
      <c r="C7" s="18" t="inlineStr">
        <is>
          <t>1년 수익률</t>
        </is>
      </c>
      <c r="D7" s="19" t="n"/>
      <c r="E7" s="18" t="inlineStr">
        <is>
          <t>MDD</t>
        </is>
      </c>
      <c r="F7" s="19" t="n"/>
      <c r="G7" s="18" t="inlineStr">
        <is>
          <t>변동성</t>
        </is>
      </c>
      <c r="H7" s="19" t="n"/>
      <c r="I7" s="18" t="inlineStr">
        <is>
          <t>주가 행 수</t>
        </is>
      </c>
      <c r="J7" s="19" t="n"/>
      <c r="K7" s="18" t="inlineStr">
        <is>
          <t>52주 범위</t>
        </is>
      </c>
      <c r="L7" s="19" t="n"/>
    </row>
    <row r="8" ht="24" customHeight="1">
      <c r="A8" s="20" t="inlineStr">
        <is>
          <t>19,230원</t>
        </is>
      </c>
      <c r="B8" s="19" t="n"/>
      <c r="C8" s="20" t="inlineStr">
        <is>
          <t>71.1%</t>
        </is>
      </c>
      <c r="D8" s="19" t="n"/>
      <c r="E8" s="20" t="inlineStr">
        <is>
          <t>-62.7%</t>
        </is>
      </c>
      <c r="F8" s="19" t="n"/>
      <c r="G8" s="20" t="inlineStr">
        <is>
          <t>63.1%</t>
        </is>
      </c>
      <c r="H8" s="19" t="n"/>
      <c r="I8" s="20" t="inlineStr">
        <is>
          <t>1,221행</t>
        </is>
      </c>
      <c r="J8" s="19" t="n"/>
      <c r="K8" s="20" t="inlineStr">
        <is>
          <t>10,950원~27,900원</t>
        </is>
      </c>
      <c r="L8" s="19" t="n"/>
    </row>
    <row r="9" ht="24" customHeight="1">
      <c r="A9" s="21" t="inlineStr">
        <is>
          <t>주가 intake</t>
        </is>
      </c>
      <c r="B9" s="19" t="n"/>
      <c r="C9" s="21" t="inlineStr">
        <is>
          <t>최근 약 1년</t>
        </is>
      </c>
      <c r="D9" s="19" t="n"/>
      <c r="E9" s="21" t="inlineStr">
        <is>
          <t>최대 낙폭</t>
        </is>
      </c>
      <c r="F9" s="19" t="n"/>
      <c r="G9" s="21" t="inlineStr">
        <is>
          <t>연환산</t>
        </is>
      </c>
      <c r="H9" s="19" t="n"/>
      <c r="I9" s="21" t="inlineStr">
        <is>
          <t>차트/대시보드 원천</t>
        </is>
      </c>
      <c r="J9" s="19" t="n"/>
      <c r="K9" s="21" t="inlineStr">
        <is>
          <t>저가~고가</t>
        </is>
      </c>
      <c r="L9" s="19" t="n"/>
    </row>
    <row r="10" ht="24" customHeight="1">
      <c r="A10" s="18" t="inlineStr">
        <is>
          <t>시가총액</t>
        </is>
      </c>
      <c r="B10" s="19" t="n"/>
      <c r="C10" s="18" t="inlineStr">
        <is>
          <t>발행주식 수</t>
        </is>
      </c>
      <c r="D10" s="19" t="n"/>
      <c r="E10" s="18" t="inlineStr">
        <is>
          <t>20일 평균 거래대금</t>
        </is>
      </c>
      <c r="F10" s="19" t="n"/>
      <c r="G10" s="18" t="inlineStr">
        <is>
          <t>최근 거래회전율</t>
        </is>
      </c>
      <c r="H10" s="19" t="n"/>
      <c r="I10" s="18" t="inlineStr">
        <is>
          <t>ML 보조점수</t>
        </is>
      </c>
      <c r="J10" s="19" t="n"/>
      <c r="K10" s="18" t="inlineStr">
        <is>
          <t>Peer 수</t>
        </is>
      </c>
      <c r="L10" s="19" t="n"/>
    </row>
    <row r="11" ht="24" customHeight="1">
      <c r="A11" s="20" t="inlineStr">
        <is>
          <t>6,426.0억원</t>
        </is>
      </c>
      <c r="B11" s="19" t="n"/>
      <c r="C11" s="20" t="inlineStr">
        <is>
          <t>33,416,778주</t>
        </is>
      </c>
      <c r="D11" s="19" t="n"/>
      <c r="E11" s="20" t="inlineStr">
        <is>
          <t>204.2억원</t>
        </is>
      </c>
      <c r="F11" s="19" t="n"/>
      <c r="G11" s="20" t="inlineStr">
        <is>
          <t>0.5%</t>
        </is>
      </c>
      <c r="H11" s="19" t="n"/>
      <c r="I11" s="20" t="inlineStr">
        <is>
          <t>51.2/100</t>
        </is>
      </c>
      <c r="J11" s="19" t="n"/>
      <c r="K11" s="20" t="inlineStr">
        <is>
          <t>5개</t>
        </is>
      </c>
      <c r="L11" s="19" t="n"/>
    </row>
    <row r="12" ht="24" customHeight="1">
      <c r="A12" s="21" t="inlineStr">
        <is>
          <t>현재가×발행주식 수</t>
        </is>
      </c>
      <c r="B12" s="19" t="n"/>
      <c r="C12" s="21" t="inlineStr">
        <is>
          <t>DART stockTotqySttus</t>
        </is>
      </c>
      <c r="D12" s="19" t="n"/>
      <c r="E12" s="21" t="inlineStr">
        <is>
          <t>유동성 proxy</t>
        </is>
      </c>
      <c r="F12" s="19" t="n"/>
      <c r="G12" s="21" t="inlineStr">
        <is>
          <t>거래량/주식 수</t>
        </is>
      </c>
      <c r="H12" s="19" t="n"/>
      <c r="I12" s="21" t="inlineStr">
        <is>
          <t>가치평가 보조근거 중립</t>
        </is>
      </c>
      <c r="J12" s="19" t="n"/>
      <c r="K12" s="21" t="inlineStr">
        <is>
          <t>상대가치 비교</t>
        </is>
      </c>
      <c r="L12" s="19" t="n"/>
    </row>
    <row r="13" ht="24" customHeight="1">
      <c r="A13" s="18" t="inlineStr">
        <is>
          <t>P/S</t>
        </is>
      </c>
      <c r="B13" s="19" t="n"/>
      <c r="C13" s="18" t="inlineStr">
        <is>
          <t>Peer P/S 중앙값</t>
        </is>
      </c>
      <c r="D13" s="19" t="n"/>
      <c r="E13" s="18" t="inlineStr">
        <is>
          <t>P/S 매력도</t>
        </is>
      </c>
      <c r="F13" s="19" t="n"/>
      <c r="G13" s="18" t="inlineStr">
        <is>
          <t>208개 Universe</t>
        </is>
      </c>
      <c r="H13" s="19" t="n"/>
      <c r="I13" s="18" t="inlineStr">
        <is>
          <t>Reference 그룹</t>
        </is>
      </c>
      <c r="J13" s="19" t="n"/>
      <c r="K13" s="18" t="inlineStr">
        <is>
          <t>PSR/Universe</t>
        </is>
      </c>
      <c r="L13" s="19" t="n"/>
    </row>
    <row r="14" ht="24" customHeight="1">
      <c r="A14" s="20" t="inlineStr">
        <is>
          <t>1.23x</t>
        </is>
      </c>
      <c r="B14" s="19" t="n"/>
      <c r="C14" s="20" t="inlineStr">
        <is>
          <t>3.55x</t>
        </is>
      </c>
      <c r="D14" s="19" t="n"/>
      <c r="E14" s="20" t="inlineStr">
        <is>
          <t>100.0점</t>
        </is>
      </c>
      <c r="F14" s="19" t="n"/>
      <c r="G14" s="20" t="inlineStr">
        <is>
          <t>208개</t>
        </is>
      </c>
      <c r="H14" s="19" t="n"/>
      <c r="I14" s="20" t="inlineStr">
        <is>
          <t>IDM/제조/메모리</t>
        </is>
      </c>
      <c r="J14" s="19" t="n"/>
      <c r="K14" s="20" t="inlineStr">
        <is>
          <t>반영</t>
        </is>
      </c>
      <c r="L14" s="19" t="n"/>
    </row>
    <row r="15" ht="24" customHeight="1">
      <c r="A15" s="21" t="inlineStr">
        <is>
          <t>피어 대비 저PSR 구간: 상대 저평가 가능성</t>
        </is>
      </c>
      <c r="B15" s="19" t="n"/>
      <c r="C15" s="21" t="inlineStr">
        <is>
          <t>5개 live peer 기준</t>
        </is>
      </c>
      <c r="D15" s="19" t="n"/>
      <c r="E15" s="21" t="inlineStr">
        <is>
          <t>낮은 P/S일수록 점수 우호</t>
        </is>
      </c>
      <c r="F15" s="19" t="n"/>
      <c r="G15" s="21" t="inlineStr">
        <is>
          <t>IDM/제조/메모리</t>
        </is>
      </c>
      <c r="H15" s="19" t="n"/>
      <c r="I15" s="21" t="inlineStr">
        <is>
          <t>그룹 40개</t>
        </is>
      </c>
      <c r="J15" s="19" t="n"/>
      <c r="K15" s="21" t="inlineStr">
        <is>
          <t>대시보드/Chair 보조판단</t>
        </is>
      </c>
      <c r="L15" s="19" t="n"/>
    </row>
    <row r="16" ht="24" customHeight="1"/>
    <row r="17" ht="24" customHeight="1"/>
    <row r="18" ht="24" customHeight="1"/>
    <row r="19" ht="24" customHeight="1">
      <c r="A19" s="22" t="inlineStr">
        <is>
          <t>핵심 해석</t>
        </is>
      </c>
    </row>
    <row r="20" ht="24" customHeight="1">
      <c r="A20" s="23" t="inlineStr">
        <is>
          <t>데이터 독립성</t>
        </is>
      </c>
      <c r="B20" s="24" t="inlineStr">
        <is>
          <t>finance_agent 산출물을 읽지 않고 valuation/intake 원천 데이터만 사용</t>
        </is>
      </c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 ht="24" customHeight="1">
      <c r="A21" s="23" t="inlineStr">
        <is>
          <t>모델 구조</t>
        </is>
      </c>
      <c r="B21" s="24" t="inlineStr">
        <is>
          <t>업로드한 파이낸셜 모델링 파일의 구조를 DCF/WACC/Peer/Scenario/Dashboard 코드로 반영</t>
        </is>
      </c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 ht="24" customHeight="1">
      <c r="A22" s="23" t="inlineStr">
        <is>
          <t>활용 방식</t>
        </is>
      </c>
      <c r="B22" s="24" t="inlineStr">
        <is>
          <t>Chair 최종의견 가중합에는 미반영, 보조 가치평가 및 대시보드 다운로드 산출물로 활용</t>
        </is>
      </c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 ht="24" customHeight="1">
      <c r="A23" s="23" t="inlineStr">
        <is>
          <t>주의</t>
        </is>
      </c>
      <c r="B23" s="24" t="inlineStr">
        <is>
          <t>DART·주가·발행주식 수가 부족한 항목은 검증체크 시트에서 경고로 표시</t>
        </is>
      </c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>
      <c r="A31" s="25" t="inlineStr">
        <is>
          <t>연도</t>
        </is>
      </c>
      <c r="B31" s="25" t="inlineStr">
        <is>
          <t>매출액</t>
        </is>
      </c>
      <c r="C31" s="25" t="inlineStr">
        <is>
          <t>영업이익</t>
        </is>
      </c>
      <c r="D31" s="25" t="inlineStr">
        <is>
          <t>FCF</t>
        </is>
      </c>
      <c r="E31" s="25" t="inlineStr">
        <is>
          <t>연도</t>
        </is>
      </c>
      <c r="F31" s="25" t="inlineStr">
        <is>
          <t>매출액 추정</t>
        </is>
      </c>
      <c r="G31" s="25" t="inlineStr">
        <is>
          <t>FCF 추정</t>
        </is>
      </c>
      <c r="H31" s="25" t="inlineStr">
        <is>
          <t>PV FCF</t>
        </is>
      </c>
      <c r="I31" s="25" t="inlineStr">
        <is>
          <t>기업</t>
        </is>
      </c>
      <c r="J31" s="25" t="inlineStr">
        <is>
          <t>P/S</t>
        </is>
      </c>
      <c r="K31" s="25" t="inlineStr">
        <is>
          <t>PER</t>
        </is>
      </c>
      <c r="L31" s="25" t="inlineStr">
        <is>
          <t>PBR</t>
        </is>
      </c>
    </row>
    <row r="32" ht="24" customHeight="1">
      <c r="A32" s="26" t="n">
        <v>2021</v>
      </c>
      <c r="B32" s="27" t="n">
        <v>365490680610</v>
      </c>
      <c r="C32" s="27" t="n">
        <v>69667993298</v>
      </c>
      <c r="D32" s="27" t="n">
        <v>-38282524190</v>
      </c>
      <c r="E32" s="26" t="n">
        <v>2026</v>
      </c>
      <c r="F32" s="27" t="n">
        <v>1136293791027.743</v>
      </c>
      <c r="G32" s="27" t="n">
        <v>130535421062.9856</v>
      </c>
      <c r="H32" s="27" t="n">
        <v>121868284801.9694</v>
      </c>
      <c r="I32" s="26" t="inlineStr">
        <is>
          <t>네패스</t>
        </is>
      </c>
      <c r="J32" s="28" t="n">
        <v>1.233799891625982</v>
      </c>
      <c r="K32" s="28" t="n">
        <v>31.91415388976641</v>
      </c>
      <c r="L32" s="28" t="n">
        <v>2.621377834886817</v>
      </c>
    </row>
    <row r="33" ht="24" customHeight="1">
      <c r="A33" s="26" t="n">
        <v>2022</v>
      </c>
      <c r="B33" s="27" t="n">
        <v>414832269255</v>
      </c>
      <c r="C33" s="27" t="n">
        <v>64273149352</v>
      </c>
      <c r="D33" s="27" t="n">
        <v>28705814838</v>
      </c>
      <c r="E33" s="26" t="n">
        <v>2027</v>
      </c>
      <c r="F33" s="27" t="n">
        <v>1279466808697.238</v>
      </c>
      <c r="G33" s="27" t="n">
        <v>146982884116.9218</v>
      </c>
      <c r="H33" s="27" t="n">
        <v>128112472754.939</v>
      </c>
      <c r="I33" s="26" t="inlineStr">
        <is>
          <t>한미반도체</t>
        </is>
      </c>
      <c r="J33" s="28" t="n">
        <v>48.75645725225306</v>
      </c>
      <c r="K33" s="28" t="n">
        <v>131.3836787943634</v>
      </c>
      <c r="L33" s="28" t="n">
        <v>40.73008565391979</v>
      </c>
    </row>
    <row r="34" ht="24" customHeight="1">
      <c r="A34" s="26" t="n">
        <v>2023</v>
      </c>
      <c r="B34" s="27" t="n">
        <v>387340942797</v>
      </c>
      <c r="C34" s="27" t="n">
        <v>21111259627</v>
      </c>
      <c r="D34" s="27" t="n">
        <v>40617161340</v>
      </c>
      <c r="E34" s="26" t="n">
        <v>2028</v>
      </c>
      <c r="F34" s="27" t="n">
        <v>1393339354671.292</v>
      </c>
      <c r="G34" s="27" t="n">
        <v>160064360803.3278</v>
      </c>
      <c r="H34" s="27" t="n">
        <v>130251165462.1134</v>
      </c>
      <c r="I34" s="26" t="inlineStr">
        <is>
          <t>한솔케미칼</t>
        </is>
      </c>
      <c r="J34" s="28" t="n">
        <v>3.545579574812033</v>
      </c>
      <c r="K34" s="28" t="n">
        <v>21.1576274973818</v>
      </c>
      <c r="L34" s="28" t="n">
        <v>2.662253378090357</v>
      </c>
    </row>
    <row r="35" ht="24" customHeight="1">
      <c r="A35" s="26" t="n">
        <v>2024</v>
      </c>
      <c r="B35" s="27" t="n">
        <v>540504643904</v>
      </c>
      <c r="C35" s="27" t="n">
        <v>94633945006</v>
      </c>
      <c r="D35" s="27" t="n">
        <v>119377731050</v>
      </c>
      <c r="E35" s="26" t="n">
        <v>2029</v>
      </c>
      <c r="F35" s="27" t="n">
        <v>1465793001114.2</v>
      </c>
      <c r="G35" s="27" t="n">
        <v>168387707565.1009</v>
      </c>
      <c r="H35" s="27" t="n">
        <v>127926253816.8906</v>
      </c>
      <c r="I35" s="26" t="inlineStr">
        <is>
          <t>덕산테코피아</t>
        </is>
      </c>
      <c r="J35" s="28" t="n">
        <v>3.772710599866776</v>
      </c>
      <c r="K35" s="28" t="n">
        <v>-4.006059760936306</v>
      </c>
      <c r="L35" s="28" t="n">
        <v>3.971250819080896</v>
      </c>
    </row>
    <row r="36" ht="24" customHeight="1">
      <c r="A36" s="26" t="n">
        <v>2025</v>
      </c>
      <c r="B36" s="27" t="n">
        <v>977036793661</v>
      </c>
      <c r="C36" s="27" t="n">
        <v>101004245476</v>
      </c>
      <c r="D36" s="27" t="n">
        <v>18475473706</v>
      </c>
      <c r="E36" s="26" t="n">
        <v>2030</v>
      </c>
      <c r="F36" s="27" t="n">
        <v>1487779896130.913</v>
      </c>
      <c r="G36" s="27" t="n">
        <v>170913523178.5774</v>
      </c>
      <c r="H36" s="27" t="n">
        <v>121223843321.2513</v>
      </c>
      <c r="I36" s="26" t="inlineStr">
        <is>
          <t>엘티씨</t>
        </is>
      </c>
      <c r="J36" s="28" t="n">
        <v>1.371634111212022</v>
      </c>
      <c r="K36" s="28" t="n">
        <v>23.40530542869055</v>
      </c>
      <c r="L36" s="28" t="n">
        <v>1.9028156471224</v>
      </c>
    </row>
  </sheetData>
  <mergeCells count="79">
    <mergeCell ref="C6:D6"/>
    <mergeCell ref="A15:B15"/>
    <mergeCell ref="C15:D15"/>
    <mergeCell ref="B22:L22"/>
    <mergeCell ref="E8:F8"/>
    <mergeCell ref="A7:B7"/>
    <mergeCell ref="B21:L21"/>
    <mergeCell ref="B23:L23"/>
    <mergeCell ref="I13:J13"/>
    <mergeCell ref="A9:B9"/>
    <mergeCell ref="K13:L13"/>
    <mergeCell ref="E12:F12"/>
    <mergeCell ref="G12:H12"/>
    <mergeCell ref="I6:J6"/>
    <mergeCell ref="I15:J15"/>
    <mergeCell ref="A11:B11"/>
    <mergeCell ref="K15:L15"/>
    <mergeCell ref="C5:D5"/>
    <mergeCell ref="E5:F5"/>
    <mergeCell ref="C14:D14"/>
    <mergeCell ref="E14:F14"/>
    <mergeCell ref="C4:D4"/>
    <mergeCell ref="E4:F4"/>
    <mergeCell ref="G7:H7"/>
    <mergeCell ref="I7:J7"/>
    <mergeCell ref="I8:J8"/>
    <mergeCell ref="A8:B8"/>
    <mergeCell ref="C8:D8"/>
    <mergeCell ref="I10:J10"/>
    <mergeCell ref="A10:B10"/>
    <mergeCell ref="K10:L10"/>
    <mergeCell ref="K6:L6"/>
    <mergeCell ref="G9:H9"/>
    <mergeCell ref="I9:J9"/>
    <mergeCell ref="G11:H11"/>
    <mergeCell ref="K9:L9"/>
    <mergeCell ref="I11:J11"/>
    <mergeCell ref="K5:L5"/>
    <mergeCell ref="A2:L2"/>
    <mergeCell ref="K11:L11"/>
    <mergeCell ref="E13:F13"/>
    <mergeCell ref="G13:H13"/>
    <mergeCell ref="A12:B12"/>
    <mergeCell ref="C12:D12"/>
    <mergeCell ref="E6:F6"/>
    <mergeCell ref="E15:F15"/>
    <mergeCell ref="K8:L8"/>
    <mergeCell ref="G15:H15"/>
    <mergeCell ref="A5:B5"/>
    <mergeCell ref="A14:B14"/>
    <mergeCell ref="A4:B4"/>
    <mergeCell ref="K7:L7"/>
    <mergeCell ref="C7:D7"/>
    <mergeCell ref="E7:F7"/>
    <mergeCell ref="B20:L20"/>
    <mergeCell ref="G8:H8"/>
    <mergeCell ref="A6:B6"/>
    <mergeCell ref="C10:D10"/>
    <mergeCell ref="E10:F10"/>
    <mergeCell ref="G10:H10"/>
    <mergeCell ref="G6:H6"/>
    <mergeCell ref="C9:D9"/>
    <mergeCell ref="E9:F9"/>
    <mergeCell ref="I12:J12"/>
    <mergeCell ref="K12:L12"/>
    <mergeCell ref="A19:L19"/>
    <mergeCell ref="C11:D11"/>
    <mergeCell ref="E11:F11"/>
    <mergeCell ref="G5:H5"/>
    <mergeCell ref="I5:J5"/>
    <mergeCell ref="G14:H14"/>
    <mergeCell ref="I14:J14"/>
    <mergeCell ref="K14:L14"/>
    <mergeCell ref="G4:H4"/>
    <mergeCell ref="I4:J4"/>
    <mergeCell ref="A1:L1"/>
    <mergeCell ref="A13:B13"/>
    <mergeCell ref="C13:D13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미코 Valuation Agent Workbook</t>
        </is>
      </c>
    </row>
    <row r="2" ht="28" customHeight="1">
      <c r="A2" s="17" t="inlineStr">
        <is>
          <t>독립 데이터 intake → 모델링 → 검증 → 대시보드 export</t>
        </is>
      </c>
    </row>
    <row r="3" ht="24" customHeight="1"/>
    <row r="4" ht="24" customHeight="1">
      <c r="A4" s="22" t="inlineStr">
        <is>
          <t>사용 안내</t>
        </is>
      </c>
    </row>
    <row r="5" ht="24" customHeight="1">
      <c r="A5" s="25" t="inlineStr">
        <is>
          <t>항목</t>
        </is>
      </c>
      <c r="B5" s="25" t="inlineStr">
        <is>
          <t>내용</t>
        </is>
      </c>
    </row>
    <row r="6" ht="24" customHeight="1">
      <c r="A6" s="24" t="inlineStr">
        <is>
          <t>목적</t>
        </is>
      </c>
      <c r="B6" s="24" t="inlineStr">
        <is>
          <t>DART/주가/발행주식 수/피어 데이터를 intake하여 WACC·DCF·Peer·ML overlay·대시보드 payload를 자동 생성</t>
        </is>
      </c>
    </row>
    <row r="7" ht="24" customHeight="1">
      <c r="A7" s="29" t="inlineStr">
        <is>
          <t>Finance Agent와 관계</t>
        </is>
      </c>
      <c r="B7" s="29" t="inlineStr">
        <is>
          <t>finance_agent 산출물을 읽지 않음. valuation/intake 폴더의 자체 데이터만 사용</t>
        </is>
      </c>
    </row>
    <row r="8" ht="24" customHeight="1">
      <c r="A8" s="24" t="inlineStr">
        <is>
          <t>모델링 구조</t>
        </is>
      </c>
      <c r="B8" s="24" t="inlineStr">
        <is>
          <t>업로드한 파이낸셜 모델링 파일의 sheet archetype을 코드화하여 workbook 구조로 반영</t>
        </is>
      </c>
    </row>
    <row r="9" ht="24" customHeight="1">
      <c r="A9" s="29" t="inlineStr">
        <is>
          <t>PSR/208개 Universe</t>
        </is>
      </c>
      <c r="B9" s="29" t="inlineStr">
        <is>
          <t>Live peer P/S와 208개 반도체 reference universe를 별도 시트와 대시보드 payload로 제공</t>
        </is>
      </c>
    </row>
    <row r="10" ht="24" customHeight="1">
      <c r="A10" s="24" t="inlineStr">
        <is>
          <t>단위</t>
        </is>
      </c>
      <c r="B10" s="24" t="inlineStr">
        <is>
          <t>원천 데이터는 KRW actuals, 요약 표시는 억원/원/배수/비율 형식</t>
        </is>
      </c>
    </row>
    <row r="11" ht="24" customHeight="1">
      <c r="A11" s="29" t="inlineStr">
        <is>
          <t>색상 규칙</t>
        </is>
      </c>
      <c r="B11" s="29" t="inlineStr">
        <is>
          <t>노란색/파란 글씨는 조정 가능한 입력값, 검은 글씨는 공식, 진한 남색은 섹션/헤더</t>
        </is>
      </c>
    </row>
  </sheetData>
  <autoFilter ref="A5:B11"/>
  <mergeCells count="3">
    <mergeCell ref="A2:H2"/>
    <mergeCell ref="A4:F4"/>
    <mergeCell ref="A1:H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40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데이터 출처 맵</t>
        </is>
      </c>
    </row>
    <row r="2" ht="24" customHeight="1">
      <c r="A2" s="25" t="inlineStr">
        <is>
          <t>created_at</t>
        </is>
      </c>
      <c r="B2" s="25" t="inlineStr">
        <is>
          <t>기업명</t>
        </is>
      </c>
      <c r="C2" s="25" t="inlineStr">
        <is>
          <t>기업코드</t>
        </is>
      </c>
      <c r="D2" s="25" t="inlineStr">
        <is>
          <t>종목코드</t>
        </is>
      </c>
      <c r="E2" s="25" t="inlineStr">
        <is>
          <t>principle</t>
        </is>
      </c>
      <c r="F2" s="25" t="inlineStr">
        <is>
          <t>template_design_seed</t>
        </is>
      </c>
      <c r="G2" s="25" t="inlineStr">
        <is>
          <t>canonical_workbook_tabs</t>
        </is>
      </c>
      <c r="H2" s="25" t="inlineStr">
        <is>
          <t>files</t>
        </is>
      </c>
      <c r="I2" s="25" t="inlineStr">
        <is>
          <t>diagnostics</t>
        </is>
      </c>
      <c r="J2" s="25" t="inlineStr">
        <is>
          <t>loader_diagnostics</t>
        </is>
      </c>
    </row>
    <row r="3" ht="24" customHeight="1">
      <c r="A3" s="24" t="inlineStr">
        <is>
          <t>2026-05-20T11:24:40</t>
        </is>
      </c>
      <c r="B3" s="24" t="inlineStr">
        <is>
          <t>미코</t>
        </is>
      </c>
      <c r="C3" s="24" t="inlineStr">
        <is>
          <t>mico</t>
        </is>
      </c>
      <c r="D3" s="24" t="inlineStr">
        <is>
          <t>059090</t>
        </is>
      </c>
      <c r="E3" s="24" t="inlineStr">
        <is>
          <t>independent_valuation_agent_intake_only; does not read finance_agent outputs</t>
        </is>
      </c>
      <c r="F3" s="24" t="inlineStr">
        <is>
          <t>uploaded_financial_modeling_packs_distilled_to_blueprints</t>
        </is>
      </c>
      <c r="G3" s="24" t="inlineStr">
        <is>
          <t>["00_대시보드", "01_사용안내", "02_출처맵", "03_원천_DART", "04_주가_데이터", "05_정규재무제표", "06_핵심비율", "07_WACC", "08_FCF_추정", "09_DCF_가치평가", "10_피어비교", "11_ML_보조판단", "12_민감도", "13_검증체크", "14_대시보드_JSON", "15_감사추적", "16_모델링_설계", "17_투자자요약", "18_밸류에이션_유니버스", "19_가치평가_브릿지", "20_시나리오_요약", "21_품질_커버리지"]</t>
        </is>
      </c>
      <c r="H3" s="24" t="inlineStr">
        <is>
          <t>{"template_catalog_csv": "data/반도체/미코/valuation/intake/valuation_modeling_template_catalog.csv", "template_catalog_json": "data/반도체/미코/valuation/intake/valuation_modeling_template_catalog.json", "raw_dart_accounts_csv": "data/반도체/미코/valuation/intake/valuation_raw_dart_accounts.csv", "normalized_financials_csv": "data/반도체/미코/valuation/intake/valuation_normalized_financials.csv", "price_history_csv": "data/반도체/미코/valuation/intake/valuation_price_history.csv", "share_count_csv": "data/반도체/미코/valuation/intake/valuation_share_count.csv", "price_summary_json": "data/반도체/미코/valuation/intake/valuation_price_summary.json", "market_snapshot_json": "data/반도체/미코/valuation/intake/valuation_market_snapshot.json", "market_snapshot_csv": "data/반도체/미코/valuation/intake/valuation_market_snapshot.csv", "peer_input_csv": "data/반도체/미코/valuation/intake/valuation_peer_input.csv", "assumptions_json": "data/반도체/미코/valuation/intake/valuation_assumptions.json", "reference_universe_208_csv": "data/반도체/미코/valuation/intake/valuation_reference_universe_208.csv", "reference_universe_focus_csv": "data/반도체/미코/valuation/intake/valuation_reference_universe_focus.csv", "reference_universe_summary_json": "data/반도체/미코/valuation/intake/valuation_reference_universe_summary.json"}</t>
        </is>
      </c>
      <c r="I3" s="24" t="inlineStr">
        <is>
          <t>["DART API key detected for valuation intake.", "DART corp_code resolved from cache for 미코/059090.", "DART financial rows collected: 2021=220, 2022=231, 2023=223, 2024=206, 2025=259", "yfinance price rows for 059090.KQ: 1221", "price provider selected: yfinance, rows=1221", "DART corp_code resolved from cache for 미코/059090.", "Naver market snapshot collected: per_naver, pbr_naver, eps_naver, bps_naver", "peer:nepes: price provider selected: yfinance, rows=728", "peer:nepes: DART corp_code resolved from cache for 네패스/033640.", "peer:hanmi: price provider selected: yfinance, rows=728", "peer:hanmi: DART corp_code resolved from cache for 한미반도체/042700.", "peer:hansol: price provider selected: yfinance, rows=728", "peer:hansol: DART corp_code resolved from cache for 한솔케미칼/014680.", "peer:duksan: price provider selected: yfinance, rows=728", "peer:duksan: DART corp_code resolved from cache for 덕산테코피아/317330.", "peer:ltc: price provider selected: yfinance, rows=727", "peer:ltc: DART corp_code resolved from cache for 엘티씨/170920.", "Market snapshot enriched with live/derived metrics count=18."]</t>
        </is>
      </c>
      <c r="J3" s="24" t="inlineStr">
        <is>
          <t>{"price_history_loaded_rows": 1221, "price_history_loaded_from": "C:\\Agent_6.8\\data\\반도체\\미코\\valuation\\intake\\valuation_price_history.csv"}</t>
        </is>
      </c>
    </row>
    <row r="4" ht="24" customHeight="1"/>
    <row r="5" ht="24" customHeight="1"/>
    <row r="6" ht="24" customHeight="1">
      <c r="A6" s="22" t="inlineStr">
        <is>
          <t>발행주식 수 intake</t>
        </is>
      </c>
    </row>
    <row r="7" ht="24" customHeight="1">
      <c r="A7" s="25" t="inlineStr">
        <is>
          <t>출처</t>
        </is>
      </c>
      <c r="B7" s="25" t="inlineStr">
        <is>
          <t>DART 고유번호</t>
        </is>
      </c>
      <c r="C7" s="25" t="inlineStr">
        <is>
          <t>기업명</t>
        </is>
      </c>
      <c r="D7" s="25" t="inlineStr">
        <is>
          <t>기업코드</t>
        </is>
      </c>
      <c r="E7" s="25" t="inlineStr">
        <is>
          <t>종목코드</t>
        </is>
      </c>
      <c r="F7" s="25" t="inlineStr">
        <is>
          <t>연도</t>
        </is>
      </c>
      <c r="G7" s="25" t="inlineStr">
        <is>
          <t>share_class</t>
        </is>
      </c>
      <c r="H7" s="25" t="inlineStr">
        <is>
          <t>발행주식 수</t>
        </is>
      </c>
      <c r="I7" s="25" t="inlineStr">
        <is>
          <t>raw</t>
        </is>
      </c>
    </row>
    <row r="8" ht="24" customHeight="1">
      <c r="A8" s="24" t="inlineStr">
        <is>
          <t>OpenDART_stockTotqySttus</t>
        </is>
      </c>
      <c r="B8" s="24" t="inlineStr">
        <is>
          <t>00366942</t>
        </is>
      </c>
      <c r="C8" s="24" t="inlineStr">
        <is>
          <t>미코</t>
        </is>
      </c>
      <c r="D8" s="24" t="inlineStr">
        <is>
          <t>mico</t>
        </is>
      </c>
      <c r="E8" s="24" t="inlineStr">
        <is>
          <t>059090</t>
        </is>
      </c>
      <c r="F8" s="24" t="inlineStr">
        <is>
          <t>2021</t>
        </is>
      </c>
      <c r="G8" s="24" t="inlineStr">
        <is>
          <t>보통주</t>
        </is>
      </c>
      <c r="H8" s="24" t="inlineStr">
        <is>
          <t>33416778.0</t>
        </is>
      </c>
      <c r="I8" s="24" t="inlineStr">
        <is>
          <t>{"rcept_no": "20220721000498", "corp_cls": "K", "corp_code": "00366942", "corp_name": "미코", "se": "보통주", "isu_stock_totqy": "100,000,000", "now_to_isu_stock_totqy": "33,416,778", "now_to_dcrs_stock_totqy": "-", "redc": "-", "profit_incnr": "-", "rdmstk_repy": "-", "etc": "-", "istc_totqy": "33,416,778", "tesstk_co": "1,504,940", "distb_stock_co": "31,911,838", "stlm_dt": "2021-12-31"}</t>
        </is>
      </c>
    </row>
    <row r="9" ht="24" customHeight="1">
      <c r="A9" s="29" t="inlineStr">
        <is>
          <t>OpenDART_stockTotqySttus</t>
        </is>
      </c>
      <c r="B9" s="29" t="inlineStr">
        <is>
          <t>00366942</t>
        </is>
      </c>
      <c r="C9" s="29" t="inlineStr">
        <is>
          <t>미코</t>
        </is>
      </c>
      <c r="D9" s="29" t="inlineStr">
        <is>
          <t>mico</t>
        </is>
      </c>
      <c r="E9" s="29" t="inlineStr">
        <is>
          <t>059090</t>
        </is>
      </c>
      <c r="F9" s="29" t="inlineStr">
        <is>
          <t>2021</t>
        </is>
      </c>
      <c r="G9" s="29" t="inlineStr">
        <is>
          <t>우선주</t>
        </is>
      </c>
      <c r="H9" s="29" t="inlineStr">
        <is>
          <t>해당 없음</t>
        </is>
      </c>
      <c r="I9" s="29" t="inlineStr">
        <is>
          <t>{"rcept_no": "20220721000498", "corp_cls": "K", "corp_code": "00366942", "corp_name": "미코", "se": "우선주", "isu_stock_totqy": "-", "now_to_isu_stock_totqy": "-", "now_to_dcrs_stock_totqy": "-", "redc": "-", "profit_incnr": "-", "rdmstk_repy": "-", "etc": "-", "istc_totqy": "-", "tesstk_co": "-", "distb_stock_co": "-", "stlm_dt": "2021-12-31"}</t>
        </is>
      </c>
    </row>
    <row r="10" ht="24" customHeight="1">
      <c r="A10" s="24" t="inlineStr">
        <is>
          <t>OpenDART_stockTotqySttus</t>
        </is>
      </c>
      <c r="B10" s="24" t="inlineStr">
        <is>
          <t>00366942</t>
        </is>
      </c>
      <c r="C10" s="24" t="inlineStr">
        <is>
          <t>미코</t>
        </is>
      </c>
      <c r="D10" s="24" t="inlineStr">
        <is>
          <t>mico</t>
        </is>
      </c>
      <c r="E10" s="24" t="inlineStr">
        <is>
          <t>059090</t>
        </is>
      </c>
      <c r="F10" s="24" t="inlineStr">
        <is>
          <t>2021</t>
        </is>
      </c>
      <c r="G10" s="24" t="inlineStr">
        <is>
          <t>합계</t>
        </is>
      </c>
      <c r="H10" s="24" t="inlineStr">
        <is>
          <t>33416778.0</t>
        </is>
      </c>
      <c r="I10" s="24" t="inlineStr">
        <is>
          <t>{"rcept_no": "20220721000498", "corp_cls": "K", "corp_code": "00366942", "corp_name": "미코", "se": "합계", "isu_stock_totqy": "100,000,000", "now_to_isu_stock_totqy": "33,416,778", "now_to_dcrs_stock_totqy": "-", "redc": "-", "profit_incnr": "-", "rdmstk_repy": "-", "etc": "-", "istc_totqy": "33,416,778", "tesstk_co": "1,504,940", "distb_stock_co": "31,911,838", "stlm_dt": "2021-12-31"}</t>
        </is>
      </c>
    </row>
    <row r="11" ht="24" customHeight="1">
      <c r="A11" s="29" t="inlineStr">
        <is>
          <t>OpenDART_stockTotqySttus</t>
        </is>
      </c>
      <c r="B11" s="29" t="inlineStr">
        <is>
          <t>00366942</t>
        </is>
      </c>
      <c r="C11" s="29" t="inlineStr">
        <is>
          <t>미코</t>
        </is>
      </c>
      <c r="D11" s="29" t="inlineStr">
        <is>
          <t>mico</t>
        </is>
      </c>
      <c r="E11" s="29" t="inlineStr">
        <is>
          <t>059090</t>
        </is>
      </c>
      <c r="F11" s="29" t="inlineStr">
        <is>
          <t>2021</t>
        </is>
      </c>
      <c r="G11" s="29" t="inlineStr">
        <is>
          <t>비고</t>
        </is>
      </c>
      <c r="H11" s="29" t="inlineStr">
        <is>
          <t>해당 없음</t>
        </is>
      </c>
      <c r="I11" s="29" t="inlineStr">
        <is>
          <t>{"rcept_no": "20220721000498", "corp_cls": "K", "corp_code": "00366942", "corp_name": "미코", "se": "비고", "isu_stock_totqy": "-", "now_to_isu_stock_totqy": "-", "now_to_dcrs_stock_totqy": "-", "redc": "-", "profit_incnr": "-", "rdmstk_repy": "-", "etc": "-", "istc_totqy": "-", "tesstk_co": "-", "distb_stock_co": "-", "stlm_dt": "2021-12-31"}</t>
        </is>
      </c>
    </row>
    <row r="12" ht="24" customHeight="1">
      <c r="A12" s="24" t="inlineStr">
        <is>
          <t>OpenDART_stockTotqySttus</t>
        </is>
      </c>
      <c r="B12" s="24" t="inlineStr">
        <is>
          <t>00366942</t>
        </is>
      </c>
      <c r="C12" s="24" t="inlineStr">
        <is>
          <t>미코</t>
        </is>
      </c>
      <c r="D12" s="24" t="inlineStr">
        <is>
          <t>mico</t>
        </is>
      </c>
      <c r="E12" s="24" t="inlineStr">
        <is>
          <t>059090</t>
        </is>
      </c>
      <c r="F12" s="24" t="inlineStr">
        <is>
          <t>2022</t>
        </is>
      </c>
      <c r="G12" s="24" t="inlineStr">
        <is>
          <t>보통주</t>
        </is>
      </c>
      <c r="H12" s="24" t="inlineStr">
        <is>
          <t>33416778.0</t>
        </is>
      </c>
      <c r="I12" s="24" t="inlineStr">
        <is>
          <t>{"rcept_no": "20230331004289", "corp_cls": "K", "corp_code": "00366942", "corp_name": "미코", "se": "보통주", "isu_stock_totqy": "100,000,000", "now_to_isu_stock_totqy": "33,416,778", "now_to_dcrs_stock_totqy": "-", "redc": "-", "profit_incnr": "-", "rdmstk_repy": "-", "etc": "-", "istc_totqy": "33,416,778", "tesstk_co": "1,920,681", "distb_stock_co": "31,496,097", "stlm_dt": "2022-12-31"}</t>
        </is>
      </c>
    </row>
    <row r="13" ht="24" customHeight="1">
      <c r="A13" s="29" t="inlineStr">
        <is>
          <t>OpenDART_stockTotqySttus</t>
        </is>
      </c>
      <c r="B13" s="29" t="inlineStr">
        <is>
          <t>00366942</t>
        </is>
      </c>
      <c r="C13" s="29" t="inlineStr">
        <is>
          <t>미코</t>
        </is>
      </c>
      <c r="D13" s="29" t="inlineStr">
        <is>
          <t>mico</t>
        </is>
      </c>
      <c r="E13" s="29" t="inlineStr">
        <is>
          <t>059090</t>
        </is>
      </c>
      <c r="F13" s="29" t="inlineStr">
        <is>
          <t>2022</t>
        </is>
      </c>
      <c r="G13" s="29" t="inlineStr">
        <is>
          <t>우선주</t>
        </is>
      </c>
      <c r="H13" s="29" t="inlineStr">
        <is>
          <t>해당 없음</t>
        </is>
      </c>
      <c r="I13" s="29" t="inlineStr">
        <is>
          <t>{"rcept_no": "20230331004289", "corp_cls": "K", "corp_code": "00366942", "corp_name": "미코", "se": "우선주", "isu_stock_totqy": "-", "now_to_isu_stock_totqy": "-", "now_to_dcrs_stock_totqy": "-", "redc": "-", "profit_incnr": "-", "rdmstk_repy": "-", "etc": "-", "istc_totqy": "-", "tesstk_co": "-", "distb_stock_co": "-", "stlm_dt": "2022-12-31"}</t>
        </is>
      </c>
    </row>
    <row r="14" ht="24" customHeight="1">
      <c r="A14" s="24" t="inlineStr">
        <is>
          <t>OpenDART_stockTotqySttus</t>
        </is>
      </c>
      <c r="B14" s="24" t="inlineStr">
        <is>
          <t>00366942</t>
        </is>
      </c>
      <c r="C14" s="24" t="inlineStr">
        <is>
          <t>미코</t>
        </is>
      </c>
      <c r="D14" s="24" t="inlineStr">
        <is>
          <t>mico</t>
        </is>
      </c>
      <c r="E14" s="24" t="inlineStr">
        <is>
          <t>059090</t>
        </is>
      </c>
      <c r="F14" s="24" t="inlineStr">
        <is>
          <t>2022</t>
        </is>
      </c>
      <c r="G14" s="24" t="inlineStr">
        <is>
          <t>합계</t>
        </is>
      </c>
      <c r="H14" s="24" t="inlineStr">
        <is>
          <t>33416778.0</t>
        </is>
      </c>
      <c r="I14" s="24" t="inlineStr">
        <is>
          <t>{"rcept_no": "20230331004289", "corp_cls": "K", "corp_code": "00366942", "corp_name": "미코", "se": "합계", "isu_stock_totqy": "100,000,000", "now_to_isu_stock_totqy": "33,416,778", "now_to_dcrs_stock_totqy": "-", "redc": "-", "profit_incnr": "-", "rdmstk_repy": "-", "etc": "-", "istc_totqy": "33,416,778", "tesstk_co": "1,920,681", "distb_stock_co": "31,496,097", "stlm_dt": "2022-12-31"}</t>
        </is>
      </c>
    </row>
    <row r="15" ht="24" customHeight="1">
      <c r="A15" s="29" t="inlineStr">
        <is>
          <t>OpenDART_stockTotqySttus</t>
        </is>
      </c>
      <c r="B15" s="29" t="inlineStr">
        <is>
          <t>00366942</t>
        </is>
      </c>
      <c r="C15" s="29" t="inlineStr">
        <is>
          <t>미코</t>
        </is>
      </c>
      <c r="D15" s="29" t="inlineStr">
        <is>
          <t>mico</t>
        </is>
      </c>
      <c r="E15" s="29" t="inlineStr">
        <is>
          <t>059090</t>
        </is>
      </c>
      <c r="F15" s="29" t="inlineStr">
        <is>
          <t>2022</t>
        </is>
      </c>
      <c r="G15" s="29" t="inlineStr">
        <is>
          <t>비고</t>
        </is>
      </c>
      <c r="H15" s="29" t="inlineStr">
        <is>
          <t>해당 없음</t>
        </is>
      </c>
      <c r="I15" s="29" t="inlineStr">
        <is>
          <t>{"rcept_no": "20230331004289", "corp_cls": "K", "corp_code": "00366942", "corp_name": "미코", "se": "비고", "isu_stock_totqy": "-", "now_to_isu_stock_totqy": "-", "now_to_dcrs_stock_totqy": "-", "redc": "-", "profit_incnr": "-", "rdmstk_repy": "-", "etc": "-", "istc_totqy": "-", "tesstk_co": "-", "distb_stock_co": "-", "stlm_dt": "2022-12-31"}</t>
        </is>
      </c>
    </row>
    <row r="16" ht="24" customHeight="1">
      <c r="A16" s="24" t="inlineStr">
        <is>
          <t>OpenDART_stockTotqySttus</t>
        </is>
      </c>
      <c r="B16" s="24" t="inlineStr">
        <is>
          <t>00366942</t>
        </is>
      </c>
      <c r="C16" s="24" t="inlineStr">
        <is>
          <t>미코</t>
        </is>
      </c>
      <c r="D16" s="24" t="inlineStr">
        <is>
          <t>mico</t>
        </is>
      </c>
      <c r="E16" s="24" t="inlineStr">
        <is>
          <t>059090</t>
        </is>
      </c>
      <c r="F16" s="24" t="inlineStr">
        <is>
          <t>2023</t>
        </is>
      </c>
      <c r="G16" s="24" t="inlineStr">
        <is>
          <t>보통주</t>
        </is>
      </c>
      <c r="H16" s="24" t="inlineStr">
        <is>
          <t>33416778.0</t>
        </is>
      </c>
      <c r="I16" s="24" t="inlineStr">
        <is>
          <t>{"rcept_no": "20240321002020", "corp_cls": "K", "corp_code": "00366942", "corp_name": "미코", "se": "보통주", "isu_stock_totqy": "100,000,000", "now_to_isu_stock_totqy": "33,416,778", "now_to_dcrs_stock_totqy": "-", "redc": "-", "profit_incnr": "-", "rdmstk_repy": "-", "etc": "-", "istc_totqy": "33,416,778", "tesstk_co": "1,920,681", "distb_stock_co": "31,496,097", "stlm_dt": "2023-12-31"}</t>
        </is>
      </c>
    </row>
    <row r="17" ht="24" customHeight="1">
      <c r="A17" s="29" t="inlineStr">
        <is>
          <t>OpenDART_stockTotqySttus</t>
        </is>
      </c>
      <c r="B17" s="29" t="inlineStr">
        <is>
          <t>00366942</t>
        </is>
      </c>
      <c r="C17" s="29" t="inlineStr">
        <is>
          <t>미코</t>
        </is>
      </c>
      <c r="D17" s="29" t="inlineStr">
        <is>
          <t>mico</t>
        </is>
      </c>
      <c r="E17" s="29" t="inlineStr">
        <is>
          <t>059090</t>
        </is>
      </c>
      <c r="F17" s="29" t="inlineStr">
        <is>
          <t>2023</t>
        </is>
      </c>
      <c r="G17" s="29" t="inlineStr">
        <is>
          <t>우선주</t>
        </is>
      </c>
      <c r="H17" s="29" t="inlineStr">
        <is>
          <t>해당 없음</t>
        </is>
      </c>
      <c r="I17" s="29" t="inlineStr">
        <is>
          <t>{"rcept_no": "20240321002020", "corp_cls": "K", "corp_code": "00366942", "corp_name": "미코", "se": "우선주", "isu_stock_totqy": "-", "now_to_isu_stock_totqy": "-", "now_to_dcrs_stock_totqy": "-", "redc": "-", "profit_incnr": "-", "rdmstk_repy": "-", "etc": "-", "istc_totqy": "-", "tesstk_co": "-", "distb_stock_co": "-", "stlm_dt": "2023-12-31"}</t>
        </is>
      </c>
    </row>
    <row r="18" ht="24" customHeight="1">
      <c r="A18" s="24" t="inlineStr">
        <is>
          <t>OpenDART_stockTotqySttus</t>
        </is>
      </c>
      <c r="B18" s="24" t="inlineStr">
        <is>
          <t>00366942</t>
        </is>
      </c>
      <c r="C18" s="24" t="inlineStr">
        <is>
          <t>미코</t>
        </is>
      </c>
      <c r="D18" s="24" t="inlineStr">
        <is>
          <t>mico</t>
        </is>
      </c>
      <c r="E18" s="24" t="inlineStr">
        <is>
          <t>059090</t>
        </is>
      </c>
      <c r="F18" s="24" t="inlineStr">
        <is>
          <t>2023</t>
        </is>
      </c>
      <c r="G18" s="24" t="inlineStr">
        <is>
          <t>합계</t>
        </is>
      </c>
      <c r="H18" s="24" t="inlineStr">
        <is>
          <t>33416778.0</t>
        </is>
      </c>
      <c r="I18" s="24" t="inlineStr">
        <is>
          <t>{"rcept_no": "20240321002020", "corp_cls": "K", "corp_code": "00366942", "corp_name": "미코", "se": "합계", "isu_stock_totqy": "100,000,000", "now_to_isu_stock_totqy": "33,416,778", "now_to_dcrs_stock_totqy": "-", "redc": "-", "profit_incnr": "-", "rdmstk_repy": "-", "etc": "-", "istc_totqy": "33,416,778", "tesstk_co": "1,920,681", "distb_stock_co": "31,496,097", "stlm_dt": "2023-12-31"}</t>
        </is>
      </c>
    </row>
    <row r="19" ht="24" customHeight="1">
      <c r="A19" s="29" t="inlineStr">
        <is>
          <t>OpenDART_stockTotqySttus</t>
        </is>
      </c>
      <c r="B19" s="29" t="inlineStr">
        <is>
          <t>00366942</t>
        </is>
      </c>
      <c r="C19" s="29" t="inlineStr">
        <is>
          <t>미코</t>
        </is>
      </c>
      <c r="D19" s="29" t="inlineStr">
        <is>
          <t>mico</t>
        </is>
      </c>
      <c r="E19" s="29" t="inlineStr">
        <is>
          <t>059090</t>
        </is>
      </c>
      <c r="F19" s="29" t="inlineStr">
        <is>
          <t>2023</t>
        </is>
      </c>
      <c r="G19" s="29" t="inlineStr">
        <is>
          <t>비고</t>
        </is>
      </c>
      <c r="H19" s="29" t="inlineStr">
        <is>
          <t>해당 없음</t>
        </is>
      </c>
      <c r="I19" s="29" t="inlineStr">
        <is>
          <t>{"rcept_no": "20240321002020", "corp_cls": "K", "corp_code": "00366942", "corp_name": "미코", "se": "비고", "isu_stock_totqy": "-", "now_to_isu_stock_totqy": "-", "now_to_dcrs_stock_totqy": "-", "redc": "-", "profit_incnr": "-", "rdmstk_repy": "-", "etc": "-", "istc_totqy": "-", "tesstk_co": "-", "distb_stock_co": "-", "stlm_dt": "2023-12-31"}</t>
        </is>
      </c>
    </row>
    <row r="20" ht="24" customHeight="1">
      <c r="A20" s="24" t="inlineStr">
        <is>
          <t>OpenDART_stockTotqySttus</t>
        </is>
      </c>
      <c r="B20" s="24" t="inlineStr">
        <is>
          <t>00366942</t>
        </is>
      </c>
      <c r="C20" s="24" t="inlineStr">
        <is>
          <t>미코</t>
        </is>
      </c>
      <c r="D20" s="24" t="inlineStr">
        <is>
          <t>mico</t>
        </is>
      </c>
      <c r="E20" s="24" t="inlineStr">
        <is>
          <t>059090</t>
        </is>
      </c>
      <c r="F20" s="24" t="inlineStr">
        <is>
          <t>2024</t>
        </is>
      </c>
      <c r="G20" s="24" t="inlineStr">
        <is>
          <t>보통주</t>
        </is>
      </c>
      <c r="H20" s="24" t="inlineStr">
        <is>
          <t>33416778.0</t>
        </is>
      </c>
      <c r="I20" s="24" t="inlineStr">
        <is>
          <t>{"rcept_no": "20250321001867", "corp_cls": "K", "corp_code": "00366942", "corp_name": "미코", "se": "보통주", "isu_stock_totqy": "100,000,000", "now_to_isu_stock_totqy": "33,416,778", "now_to_dcrs_stock_totqy": "-", "redc": "-", "profit_incnr": "-", "rdmstk_repy": "-", "etc": "-", "istc_totqy": "33,416,778", "tesstk_co": "1,920,681", "distb_stock_co": "31,496,097", "stlm_dt": "2024-12-31"}</t>
        </is>
      </c>
    </row>
    <row r="21" ht="24" customHeight="1">
      <c r="A21" s="29" t="inlineStr">
        <is>
          <t>OpenDART_stockTotqySttus</t>
        </is>
      </c>
      <c r="B21" s="29" t="inlineStr">
        <is>
          <t>00366942</t>
        </is>
      </c>
      <c r="C21" s="29" t="inlineStr">
        <is>
          <t>미코</t>
        </is>
      </c>
      <c r="D21" s="29" t="inlineStr">
        <is>
          <t>mico</t>
        </is>
      </c>
      <c r="E21" s="29" t="inlineStr">
        <is>
          <t>059090</t>
        </is>
      </c>
      <c r="F21" s="29" t="inlineStr">
        <is>
          <t>2024</t>
        </is>
      </c>
      <c r="G21" s="29" t="inlineStr">
        <is>
          <t>우선주</t>
        </is>
      </c>
      <c r="H21" s="29" t="inlineStr">
        <is>
          <t>해당 없음</t>
        </is>
      </c>
      <c r="I21" s="29" t="inlineStr">
        <is>
          <t>{"rcept_no": "20250321001867", "corp_cls": "K", "corp_code": "00366942", "corp_name": "미코", "se": "우선주", "isu_stock_totqy": "-", "now_to_isu_stock_totqy": "-", "now_to_dcrs_stock_totqy": "-", "redc": "-", "profit_incnr": "-", "rdmstk_repy": "-", "etc": "-", "istc_totqy": "-", "tesstk_co": "-", "distb_stock_co": "-", "stlm_dt": "2024-12-31"}</t>
        </is>
      </c>
    </row>
    <row r="22" ht="24" customHeight="1">
      <c r="A22" s="24" t="inlineStr">
        <is>
          <t>OpenDART_stockTotqySttus</t>
        </is>
      </c>
      <c r="B22" s="24" t="inlineStr">
        <is>
          <t>00366942</t>
        </is>
      </c>
      <c r="C22" s="24" t="inlineStr">
        <is>
          <t>미코</t>
        </is>
      </c>
      <c r="D22" s="24" t="inlineStr">
        <is>
          <t>mico</t>
        </is>
      </c>
      <c r="E22" s="24" t="inlineStr">
        <is>
          <t>059090</t>
        </is>
      </c>
      <c r="F22" s="24" t="inlineStr">
        <is>
          <t>2024</t>
        </is>
      </c>
      <c r="G22" s="24" t="inlineStr">
        <is>
          <t>합계</t>
        </is>
      </c>
      <c r="H22" s="24" t="inlineStr">
        <is>
          <t>33416778.0</t>
        </is>
      </c>
      <c r="I22" s="24" t="inlineStr">
        <is>
          <t>{"rcept_no": "20250321001867", "corp_cls": "K", "corp_code": "00366942", "corp_name": "미코", "se": "합계", "isu_stock_totqy": "100,000,000", "now_to_isu_stock_totqy": "33,416,778", "now_to_dcrs_stock_totqy": "-", "redc": "-", "profit_incnr": "-", "rdmstk_repy": "-", "etc": "-", "istc_totqy": "33,416,778", "tesstk_co": "1,920,681", "distb_stock_co": "31,496,097", "stlm_dt": "2024-12-31"}</t>
        </is>
      </c>
    </row>
    <row r="23" ht="24" customHeight="1">
      <c r="A23" s="29" t="inlineStr">
        <is>
          <t>OpenDART_stockTotqySttus</t>
        </is>
      </c>
      <c r="B23" s="29" t="inlineStr">
        <is>
          <t>00366942</t>
        </is>
      </c>
      <c r="C23" s="29" t="inlineStr">
        <is>
          <t>미코</t>
        </is>
      </c>
      <c r="D23" s="29" t="inlineStr">
        <is>
          <t>mico</t>
        </is>
      </c>
      <c r="E23" s="29" t="inlineStr">
        <is>
          <t>059090</t>
        </is>
      </c>
      <c r="F23" s="29" t="inlineStr">
        <is>
          <t>2024</t>
        </is>
      </c>
      <c r="G23" s="29" t="inlineStr">
        <is>
          <t>비고</t>
        </is>
      </c>
      <c r="H23" s="29" t="inlineStr">
        <is>
          <t>해당 없음</t>
        </is>
      </c>
      <c r="I23" s="29" t="inlineStr">
        <is>
          <t>{"rcept_no": "20250321001867", "corp_cls": "K", "corp_code": "00366942", "corp_name": "미코", "se": "비고", "isu_stock_totqy": "-", "now_to_isu_stock_totqy": "-", "now_to_dcrs_stock_totqy": "-", "redc": "-", "profit_incnr": "-", "rdmstk_repy": "-", "etc": "-", "istc_totqy": "-", "tesstk_co": "-", "distb_stock_co": "-", "stlm_dt": "2024-12-31"}</t>
        </is>
      </c>
    </row>
    <row r="24" ht="24" customHeight="1">
      <c r="A24" s="24" t="inlineStr">
        <is>
          <t>OpenDART_stockTotqySttus</t>
        </is>
      </c>
      <c r="B24" s="24" t="inlineStr">
        <is>
          <t>00366942</t>
        </is>
      </c>
      <c r="C24" s="24" t="inlineStr">
        <is>
          <t>미코</t>
        </is>
      </c>
      <c r="D24" s="24" t="inlineStr">
        <is>
          <t>mico</t>
        </is>
      </c>
      <c r="E24" s="24" t="inlineStr">
        <is>
          <t>059090</t>
        </is>
      </c>
      <c r="F24" s="24" t="inlineStr">
        <is>
          <t>2025</t>
        </is>
      </c>
      <c r="G24" s="24" t="inlineStr">
        <is>
          <t>보통주</t>
        </is>
      </c>
      <c r="H24" s="24" t="inlineStr">
        <is>
          <t>33416778.0</t>
        </is>
      </c>
      <c r="I24" s="24" t="inlineStr">
        <is>
          <t>{"rcept_no": "20260323001611", "corp_cls": "K", "corp_code": "00366942", "corp_name": "미코", "se": "보통주", "isu_stock_totqy": "100,000,000", "now_to_isu_stock_totqy": "33,416,778", "now_to_dcrs_stock_totqy": "-", "redc": "-", "profit_incnr": "-", "rdmstk_repy": "-", "etc": "-", "istc_totqy": "33,416,778", "tesstk_co": "1,920,681", "distb_stock_co": "31,496,097", "stlm_dt": "2025-12-31"}</t>
        </is>
      </c>
    </row>
    <row r="25" ht="24" customHeight="1">
      <c r="A25" s="29" t="inlineStr">
        <is>
          <t>OpenDART_stockTotqySttus</t>
        </is>
      </c>
      <c r="B25" s="29" t="inlineStr">
        <is>
          <t>00366942</t>
        </is>
      </c>
      <c r="C25" s="29" t="inlineStr">
        <is>
          <t>미코</t>
        </is>
      </c>
      <c r="D25" s="29" t="inlineStr">
        <is>
          <t>mico</t>
        </is>
      </c>
      <c r="E25" s="29" t="inlineStr">
        <is>
          <t>059090</t>
        </is>
      </c>
      <c r="F25" s="29" t="inlineStr">
        <is>
          <t>2025</t>
        </is>
      </c>
      <c r="G25" s="29" t="inlineStr">
        <is>
          <t>우선주</t>
        </is>
      </c>
      <c r="H25" s="29" t="inlineStr">
        <is>
          <t>해당 없음</t>
        </is>
      </c>
      <c r="I25" s="29" t="inlineStr">
        <is>
          <t>{"rcept_no": "20260323001611", "corp_cls": "K", "corp_code": "00366942", "corp_name": "미코", "se": "우선주", "isu_stock_totqy": "-", "now_to_isu_stock_totqy": "-", "now_to_dcrs_stock_totqy": "-", "redc": "-", "profit_incnr": "-", "rdmstk_repy": "-", "etc": "-", "istc_totqy": "-", "tesstk_co": "-", "distb_stock_co": "-", "stlm_dt": "2025-12-31"}</t>
        </is>
      </c>
    </row>
    <row r="26" ht="24" customHeight="1">
      <c r="A26" s="24" t="inlineStr">
        <is>
          <t>OpenDART_stockTotqySttus</t>
        </is>
      </c>
      <c r="B26" s="24" t="inlineStr">
        <is>
          <t>00366942</t>
        </is>
      </c>
      <c r="C26" s="24" t="inlineStr">
        <is>
          <t>미코</t>
        </is>
      </c>
      <c r="D26" s="24" t="inlineStr">
        <is>
          <t>mico</t>
        </is>
      </c>
      <c r="E26" s="24" t="inlineStr">
        <is>
          <t>059090</t>
        </is>
      </c>
      <c r="F26" s="24" t="inlineStr">
        <is>
          <t>2025</t>
        </is>
      </c>
      <c r="G26" s="24" t="inlineStr">
        <is>
          <t>합계</t>
        </is>
      </c>
      <c r="H26" s="24" t="inlineStr">
        <is>
          <t>33416778.0</t>
        </is>
      </c>
      <c r="I26" s="24" t="inlineStr">
        <is>
          <t>{"rcept_no": "20260323001611", "corp_cls": "K", "corp_code": "00366942", "corp_name": "미코", "se": "합계", "isu_stock_totqy": "100,000,000", "now_to_isu_stock_totqy": "33,416,778", "now_to_dcrs_stock_totqy": "-", "redc": "-", "profit_incnr": "-", "rdmstk_repy": "-", "etc": "-", "istc_totqy": "33,416,778", "tesstk_co": "1,920,681", "distb_stock_co": "31,496,097", "stlm_dt": "2025-12-31"}</t>
        </is>
      </c>
    </row>
    <row r="27" ht="24" customHeight="1">
      <c r="A27" s="29" t="inlineStr">
        <is>
          <t>OpenDART_stockTotqySttus</t>
        </is>
      </c>
      <c r="B27" s="29" t="inlineStr">
        <is>
          <t>00366942</t>
        </is>
      </c>
      <c r="C27" s="29" t="inlineStr">
        <is>
          <t>미코</t>
        </is>
      </c>
      <c r="D27" s="29" t="inlineStr">
        <is>
          <t>mico</t>
        </is>
      </c>
      <c r="E27" s="29" t="inlineStr">
        <is>
          <t>059090</t>
        </is>
      </c>
      <c r="F27" s="29" t="inlineStr">
        <is>
          <t>2025</t>
        </is>
      </c>
      <c r="G27" s="29" t="inlineStr">
        <is>
          <t>비고</t>
        </is>
      </c>
      <c r="H27" s="29" t="inlineStr">
        <is>
          <t>해당 없음</t>
        </is>
      </c>
      <c r="I27" s="29" t="inlineStr">
        <is>
          <t>{"rcept_no": "20260323001611", "corp_cls": "K", "corp_code": "00366942", "corp_name": "미코", "se": "비고", "isu_stock_totqy": "-", "now_to_isu_stock_totqy": "-", "now_to_dcrs_stock_totqy": "-", "redc": "-", "profit_incnr": "-", "rdmstk_repy": "-", "etc": "-", "istc_totqy": "-", "tesstk_co": "-", "distb_stock_co": "-", "stlm_dt": "2025-12-31"}</t>
        </is>
      </c>
    </row>
  </sheetData>
  <autoFilter ref="A7:I27"/>
  <mergeCells count="2">
    <mergeCell ref="A6:F6"/>
    <mergeCell ref="A1:F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11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DART 원천 계정</t>
        </is>
      </c>
    </row>
    <row r="2" ht="24" customHeight="1">
      <c r="A2" s="25" t="inlineStr">
        <is>
          <t>출처</t>
        </is>
      </c>
      <c r="B2" s="25" t="inlineStr">
        <is>
          <t>DART 고유번호</t>
        </is>
      </c>
      <c r="C2" s="25" t="inlineStr">
        <is>
          <t>기업명</t>
        </is>
      </c>
      <c r="D2" s="25" t="inlineStr">
        <is>
          <t>기업코드</t>
        </is>
      </c>
      <c r="E2" s="25" t="inlineStr">
        <is>
          <t>종목코드</t>
        </is>
      </c>
      <c r="F2" s="25" t="inlineStr">
        <is>
          <t>연도</t>
        </is>
      </c>
      <c r="G2" s="25" t="inlineStr">
        <is>
          <t>재무제표 구분</t>
        </is>
      </c>
      <c r="H2" s="25" t="inlineStr">
        <is>
          <t>재무제표 코드</t>
        </is>
      </c>
      <c r="I2" s="25" t="inlineStr">
        <is>
          <t>재무제표명</t>
        </is>
      </c>
      <c r="J2" s="25" t="inlineStr">
        <is>
          <t>계정ID</t>
        </is>
      </c>
      <c r="K2" s="25" t="inlineStr">
        <is>
          <t>계정명</t>
        </is>
      </c>
      <c r="L2" s="25" t="inlineStr">
        <is>
          <t>계정상세</t>
        </is>
      </c>
      <c r="M2" s="25" t="inlineStr">
        <is>
          <t>당기명</t>
        </is>
      </c>
      <c r="N2" s="25" t="inlineStr">
        <is>
          <t>금액</t>
        </is>
      </c>
      <c r="O2" s="25" t="inlineStr">
        <is>
          <t>전기금액</t>
        </is>
      </c>
      <c r="P2" s="25" t="inlineStr">
        <is>
          <t>통화</t>
        </is>
      </c>
      <c r="Q2" s="25" t="inlineStr">
        <is>
          <t>정렬순서</t>
        </is>
      </c>
    </row>
    <row r="3" ht="24" customHeight="1">
      <c r="A3" s="24" t="inlineStr">
        <is>
          <t>OpenDART_fnlttSinglAcntAll</t>
        </is>
      </c>
      <c r="B3" s="24" t="inlineStr">
        <is>
          <t>00366942</t>
        </is>
      </c>
      <c r="C3" s="24" t="inlineStr">
        <is>
          <t>미코</t>
        </is>
      </c>
      <c r="D3" s="24" t="inlineStr">
        <is>
          <t>mico</t>
        </is>
      </c>
      <c r="E3" s="24" t="inlineStr">
        <is>
          <t>059090</t>
        </is>
      </c>
      <c r="F3" s="24" t="inlineStr">
        <is>
          <t>2021</t>
        </is>
      </c>
      <c r="G3" s="24" t="inlineStr">
        <is>
          <t>CFS</t>
        </is>
      </c>
      <c r="H3" s="24" t="inlineStr">
        <is>
          <t>BS</t>
        </is>
      </c>
      <c r="I3" s="24" t="inlineStr">
        <is>
          <t>재무상태표</t>
        </is>
      </c>
      <c r="J3" s="24" t="inlineStr">
        <is>
          <t>ifrs-full_CurrentAssets</t>
        </is>
      </c>
      <c r="K3" s="24" t="inlineStr">
        <is>
          <t>유동자산</t>
        </is>
      </c>
      <c r="L3" s="24" t="inlineStr">
        <is>
          <t>-</t>
        </is>
      </c>
      <c r="M3" s="24" t="inlineStr">
        <is>
          <t>제 23 기</t>
        </is>
      </c>
      <c r="N3" s="24" t="inlineStr">
        <is>
          <t>287546072339.0</t>
        </is>
      </c>
      <c r="O3" s="24" t="inlineStr">
        <is>
          <t>240781973421.0</t>
        </is>
      </c>
      <c r="P3" s="24" t="inlineStr">
        <is>
          <t>KRW</t>
        </is>
      </c>
      <c r="Q3" s="24" t="inlineStr">
        <is>
          <t>1</t>
        </is>
      </c>
    </row>
    <row r="4" ht="24" customHeight="1">
      <c r="A4" s="29" t="inlineStr">
        <is>
          <t>OpenDART_fnlttSinglAcntAll</t>
        </is>
      </c>
      <c r="B4" s="29" t="inlineStr">
        <is>
          <t>00366942</t>
        </is>
      </c>
      <c r="C4" s="29" t="inlineStr">
        <is>
          <t>미코</t>
        </is>
      </c>
      <c r="D4" s="29" t="inlineStr">
        <is>
          <t>mico</t>
        </is>
      </c>
      <c r="E4" s="29" t="inlineStr">
        <is>
          <t>059090</t>
        </is>
      </c>
      <c r="F4" s="29" t="inlineStr">
        <is>
          <t>2021</t>
        </is>
      </c>
      <c r="G4" s="29" t="inlineStr">
        <is>
          <t>CFS</t>
        </is>
      </c>
      <c r="H4" s="29" t="inlineStr">
        <is>
          <t>BS</t>
        </is>
      </c>
      <c r="I4" s="29" t="inlineStr">
        <is>
          <t>재무상태표</t>
        </is>
      </c>
      <c r="J4" s="29" t="inlineStr">
        <is>
          <t>ifrs-full_CashAndCashEquivalents</t>
        </is>
      </c>
      <c r="K4" s="29" t="inlineStr">
        <is>
          <t>현금및현금성자산</t>
        </is>
      </c>
      <c r="L4" s="29" t="inlineStr">
        <is>
          <t>-</t>
        </is>
      </c>
      <c r="M4" s="29" t="inlineStr">
        <is>
          <t>제 23 기</t>
        </is>
      </c>
      <c r="N4" s="29" t="inlineStr">
        <is>
          <t>180517871638.0</t>
        </is>
      </c>
      <c r="O4" s="29" t="inlineStr">
        <is>
          <t>150440759908.0</t>
        </is>
      </c>
      <c r="P4" s="29" t="inlineStr">
        <is>
          <t>KRW</t>
        </is>
      </c>
      <c r="Q4" s="29" t="inlineStr">
        <is>
          <t>2</t>
        </is>
      </c>
    </row>
    <row r="5" ht="24" customHeight="1">
      <c r="A5" s="24" t="inlineStr">
        <is>
          <t>OpenDART_fnlttSinglAcntAll</t>
        </is>
      </c>
      <c r="B5" s="24" t="inlineStr">
        <is>
          <t>00366942</t>
        </is>
      </c>
      <c r="C5" s="24" t="inlineStr">
        <is>
          <t>미코</t>
        </is>
      </c>
      <c r="D5" s="24" t="inlineStr">
        <is>
          <t>mico</t>
        </is>
      </c>
      <c r="E5" s="24" t="inlineStr">
        <is>
          <t>059090</t>
        </is>
      </c>
      <c r="F5" s="24" t="inlineStr">
        <is>
          <t>2021</t>
        </is>
      </c>
      <c r="G5" s="24" t="inlineStr">
        <is>
          <t>CFS</t>
        </is>
      </c>
      <c r="H5" s="24" t="inlineStr">
        <is>
          <t>BS</t>
        </is>
      </c>
      <c r="I5" s="24" t="inlineStr">
        <is>
          <t>재무상태표</t>
        </is>
      </c>
      <c r="J5" s="24" t="inlineStr">
        <is>
          <t>ifrs-full_TradeAndOtherCurrentReceivables</t>
        </is>
      </c>
      <c r="K5" s="24" t="inlineStr">
        <is>
          <t>매출채권 및 기타유동채권</t>
        </is>
      </c>
      <c r="L5" s="24" t="inlineStr">
        <is>
          <t>-</t>
        </is>
      </c>
      <c r="M5" s="24" t="inlineStr">
        <is>
          <t>제 23 기</t>
        </is>
      </c>
      <c r="N5" s="24" t="inlineStr">
        <is>
          <t>50148851248.0</t>
        </is>
      </c>
      <c r="O5" s="24" t="inlineStr">
        <is>
          <t>34178349505.0</t>
        </is>
      </c>
      <c r="P5" s="24" t="inlineStr">
        <is>
          <t>KRW</t>
        </is>
      </c>
      <c r="Q5" s="24" t="inlineStr">
        <is>
          <t>3</t>
        </is>
      </c>
    </row>
    <row r="6" ht="24" customHeight="1">
      <c r="A6" s="29" t="inlineStr">
        <is>
          <t>OpenDART_fnlttSinglAcntAll</t>
        </is>
      </c>
      <c r="B6" s="29" t="inlineStr">
        <is>
          <t>00366942</t>
        </is>
      </c>
      <c r="C6" s="29" t="inlineStr">
        <is>
          <t>미코</t>
        </is>
      </c>
      <c r="D6" s="29" t="inlineStr">
        <is>
          <t>mico</t>
        </is>
      </c>
      <c r="E6" s="29" t="inlineStr">
        <is>
          <t>059090</t>
        </is>
      </c>
      <c r="F6" s="29" t="inlineStr">
        <is>
          <t>2021</t>
        </is>
      </c>
      <c r="G6" s="29" t="inlineStr">
        <is>
          <t>CFS</t>
        </is>
      </c>
      <c r="H6" s="29" t="inlineStr">
        <is>
          <t>BS</t>
        </is>
      </c>
      <c r="I6" s="29" t="inlineStr">
        <is>
          <t>재무상태표</t>
        </is>
      </c>
      <c r="J6" s="29" t="inlineStr">
        <is>
          <t>ifrs-full_OtherCurrentFinancialAssets</t>
        </is>
      </c>
      <c r="K6" s="29" t="inlineStr">
        <is>
          <t>기타유동금융자산</t>
        </is>
      </c>
      <c r="L6" s="29" t="inlineStr">
        <is>
          <t>-</t>
        </is>
      </c>
      <c r="M6" s="29" t="inlineStr">
        <is>
          <t>제 23 기</t>
        </is>
      </c>
      <c r="N6" s="29" t="inlineStr">
        <is>
          <t>22803863606.0</t>
        </is>
      </c>
      <c r="O6" s="29" t="inlineStr">
        <is>
          <t>24921787678.0</t>
        </is>
      </c>
      <c r="P6" s="29" t="inlineStr">
        <is>
          <t>KRW</t>
        </is>
      </c>
      <c r="Q6" s="29" t="inlineStr">
        <is>
          <t>4</t>
        </is>
      </c>
    </row>
    <row r="7" ht="24" customHeight="1">
      <c r="A7" s="24" t="inlineStr">
        <is>
          <t>OpenDART_fnlttSinglAcntAll</t>
        </is>
      </c>
      <c r="B7" s="24" t="inlineStr">
        <is>
          <t>00366942</t>
        </is>
      </c>
      <c r="C7" s="24" t="inlineStr">
        <is>
          <t>미코</t>
        </is>
      </c>
      <c r="D7" s="24" t="inlineStr">
        <is>
          <t>mico</t>
        </is>
      </c>
      <c r="E7" s="24" t="inlineStr">
        <is>
          <t>059090</t>
        </is>
      </c>
      <c r="F7" s="24" t="inlineStr">
        <is>
          <t>2021</t>
        </is>
      </c>
      <c r="G7" s="24" t="inlineStr">
        <is>
          <t>CFS</t>
        </is>
      </c>
      <c r="H7" s="24" t="inlineStr">
        <is>
          <t>BS</t>
        </is>
      </c>
      <c r="I7" s="24" t="inlineStr">
        <is>
          <t>재무상태표</t>
        </is>
      </c>
      <c r="J7" s="24" t="inlineStr">
        <is>
          <t>ifrs-full_CurrentTaxAssets</t>
        </is>
      </c>
      <c r="K7" s="24" t="inlineStr">
        <is>
          <t>당기법인세자산</t>
        </is>
      </c>
      <c r="L7" s="24" t="inlineStr">
        <is>
          <t>-</t>
        </is>
      </c>
      <c r="M7" s="24" t="inlineStr">
        <is>
          <t>제 23 기</t>
        </is>
      </c>
      <c r="N7" s="24" t="inlineStr">
        <is>
          <t>1421370.0</t>
        </is>
      </c>
      <c r="O7" s="24" t="inlineStr">
        <is>
          <t>513936559.0</t>
        </is>
      </c>
      <c r="P7" s="24" t="inlineStr">
        <is>
          <t>KRW</t>
        </is>
      </c>
      <c r="Q7" s="24" t="inlineStr">
        <is>
          <t>5</t>
        </is>
      </c>
    </row>
    <row r="8" ht="24" customHeight="1">
      <c r="A8" s="29" t="inlineStr">
        <is>
          <t>OpenDART_fnlttSinglAcntAll</t>
        </is>
      </c>
      <c r="B8" s="29" t="inlineStr">
        <is>
          <t>00366942</t>
        </is>
      </c>
      <c r="C8" s="29" t="inlineStr">
        <is>
          <t>미코</t>
        </is>
      </c>
      <c r="D8" s="29" t="inlineStr">
        <is>
          <t>mico</t>
        </is>
      </c>
      <c r="E8" s="29" t="inlineStr">
        <is>
          <t>059090</t>
        </is>
      </c>
      <c r="F8" s="29" t="inlineStr">
        <is>
          <t>2021</t>
        </is>
      </c>
      <c r="G8" s="29" t="inlineStr">
        <is>
          <t>CFS</t>
        </is>
      </c>
      <c r="H8" s="29" t="inlineStr">
        <is>
          <t>BS</t>
        </is>
      </c>
      <c r="I8" s="29" t="inlineStr">
        <is>
          <t>재무상태표</t>
        </is>
      </c>
      <c r="J8" s="29" t="inlineStr">
        <is>
          <t>ifrs-full_Inventories</t>
        </is>
      </c>
      <c r="K8" s="29" t="inlineStr">
        <is>
          <t>재고자산</t>
        </is>
      </c>
      <c r="L8" s="29" t="inlineStr">
        <is>
          <t>-</t>
        </is>
      </c>
      <c r="M8" s="29" t="inlineStr">
        <is>
          <t>제 23 기</t>
        </is>
      </c>
      <c r="N8" s="29" t="inlineStr">
        <is>
          <t>30884893996.0</t>
        </is>
      </c>
      <c r="O8" s="29" t="inlineStr">
        <is>
          <t>27682405587.0</t>
        </is>
      </c>
      <c r="P8" s="29" t="inlineStr">
        <is>
          <t>KRW</t>
        </is>
      </c>
      <c r="Q8" s="29" t="inlineStr">
        <is>
          <t>6</t>
        </is>
      </c>
    </row>
    <row r="9" ht="24" customHeight="1">
      <c r="A9" s="24" t="inlineStr">
        <is>
          <t>OpenDART_fnlttSinglAcntAll</t>
        </is>
      </c>
      <c r="B9" s="24" t="inlineStr">
        <is>
          <t>00366942</t>
        </is>
      </c>
      <c r="C9" s="24" t="inlineStr">
        <is>
          <t>미코</t>
        </is>
      </c>
      <c r="D9" s="24" t="inlineStr">
        <is>
          <t>mico</t>
        </is>
      </c>
      <c r="E9" s="24" t="inlineStr">
        <is>
          <t>059090</t>
        </is>
      </c>
      <c r="F9" s="24" t="inlineStr">
        <is>
          <t>2021</t>
        </is>
      </c>
      <c r="G9" s="24" t="inlineStr">
        <is>
          <t>CFS</t>
        </is>
      </c>
      <c r="H9" s="24" t="inlineStr">
        <is>
          <t>BS</t>
        </is>
      </c>
      <c r="I9" s="24" t="inlineStr">
        <is>
          <t>재무상태표</t>
        </is>
      </c>
      <c r="J9" s="24" t="inlineStr">
        <is>
          <t>dart_OtherCurrentAssets</t>
        </is>
      </c>
      <c r="K9" s="24" t="inlineStr">
        <is>
          <t>기타유동자산</t>
        </is>
      </c>
      <c r="L9" s="24" t="inlineStr">
        <is>
          <t>-</t>
        </is>
      </c>
      <c r="M9" s="24" t="inlineStr">
        <is>
          <t>제 23 기</t>
        </is>
      </c>
      <c r="N9" s="24" t="inlineStr">
        <is>
          <t>3189170481.0</t>
        </is>
      </c>
      <c r="O9" s="24" t="inlineStr">
        <is>
          <t>3044734184.0</t>
        </is>
      </c>
      <c r="P9" s="24" t="inlineStr">
        <is>
          <t>KRW</t>
        </is>
      </c>
      <c r="Q9" s="24" t="inlineStr">
        <is>
          <t>7</t>
        </is>
      </c>
    </row>
    <row r="10" ht="24" customHeight="1">
      <c r="A10" s="29" t="inlineStr">
        <is>
          <t>OpenDART_fnlttSinglAcntAll</t>
        </is>
      </c>
      <c r="B10" s="29" t="inlineStr">
        <is>
          <t>00366942</t>
        </is>
      </c>
      <c r="C10" s="29" t="inlineStr">
        <is>
          <t>미코</t>
        </is>
      </c>
      <c r="D10" s="29" t="inlineStr">
        <is>
          <t>mico</t>
        </is>
      </c>
      <c r="E10" s="29" t="inlineStr">
        <is>
          <t>059090</t>
        </is>
      </c>
      <c r="F10" s="29" t="inlineStr">
        <is>
          <t>2021</t>
        </is>
      </c>
      <c r="G10" s="29" t="inlineStr">
        <is>
          <t>CFS</t>
        </is>
      </c>
      <c r="H10" s="29" t="inlineStr">
        <is>
          <t>BS</t>
        </is>
      </c>
      <c r="I10" s="29" t="inlineStr">
        <is>
          <t>재무상태표</t>
        </is>
      </c>
      <c r="J10" s="29" t="inlineStr">
        <is>
          <t>ifrs-full_NoncurrentAssets</t>
        </is>
      </c>
      <c r="K10" s="29" t="inlineStr">
        <is>
          <t>비유동자산</t>
        </is>
      </c>
      <c r="L10" s="29" t="inlineStr">
        <is>
          <t>-</t>
        </is>
      </c>
      <c r="M10" s="29" t="inlineStr">
        <is>
          <t>제 23 기</t>
        </is>
      </c>
      <c r="N10" s="29" t="inlineStr">
        <is>
          <t>433991950728.0</t>
        </is>
      </c>
      <c r="O10" s="29" t="inlineStr">
        <is>
          <t>278075564837.0</t>
        </is>
      </c>
      <c r="P10" s="29" t="inlineStr">
        <is>
          <t>KRW</t>
        </is>
      </c>
      <c r="Q10" s="29" t="inlineStr">
        <is>
          <t>8</t>
        </is>
      </c>
    </row>
    <row r="11" ht="24" customHeight="1">
      <c r="A11" s="24" t="inlineStr">
        <is>
          <t>OpenDART_fnlttSinglAcntAll</t>
        </is>
      </c>
      <c r="B11" s="24" t="inlineStr">
        <is>
          <t>00366942</t>
        </is>
      </c>
      <c r="C11" s="24" t="inlineStr">
        <is>
          <t>미코</t>
        </is>
      </c>
      <c r="D11" s="24" t="inlineStr">
        <is>
          <t>mico</t>
        </is>
      </c>
      <c r="E11" s="24" t="inlineStr">
        <is>
          <t>059090</t>
        </is>
      </c>
      <c r="F11" s="24" t="inlineStr">
        <is>
          <t>2021</t>
        </is>
      </c>
      <c r="G11" s="24" t="inlineStr">
        <is>
          <t>CFS</t>
        </is>
      </c>
      <c r="H11" s="24" t="inlineStr">
        <is>
          <t>BS</t>
        </is>
      </c>
      <c r="I11" s="24" t="inlineStr">
        <is>
          <t>재무상태표</t>
        </is>
      </c>
      <c r="J11" s="24" t="inlineStr">
        <is>
          <t>dart_LongTermTradeAndOtherNonCurrentReceivablesGross</t>
        </is>
      </c>
      <c r="K11" s="24" t="inlineStr">
        <is>
          <t>장기매출채권 및 기타비유동채권</t>
        </is>
      </c>
      <c r="L11" s="24" t="inlineStr">
        <is>
          <t>-</t>
        </is>
      </c>
      <c r="M11" s="24" t="inlineStr">
        <is>
          <t>제 23 기</t>
        </is>
      </c>
      <c r="N11" s="24" t="inlineStr">
        <is>
          <t>845313911.0</t>
        </is>
      </c>
      <c r="O11" s="24" t="inlineStr">
        <is>
          <t>1158300007.0</t>
        </is>
      </c>
      <c r="P11" s="24" t="inlineStr">
        <is>
          <t>KRW</t>
        </is>
      </c>
      <c r="Q11" s="24" t="inlineStr">
        <is>
          <t>9</t>
        </is>
      </c>
    </row>
    <row r="12" ht="24" customHeight="1">
      <c r="A12" s="29" t="inlineStr">
        <is>
          <t>OpenDART_fnlttSinglAcntAll</t>
        </is>
      </c>
      <c r="B12" s="29" t="inlineStr">
        <is>
          <t>00366942</t>
        </is>
      </c>
      <c r="C12" s="29" t="inlineStr">
        <is>
          <t>미코</t>
        </is>
      </c>
      <c r="D12" s="29" t="inlineStr">
        <is>
          <t>mico</t>
        </is>
      </c>
      <c r="E12" s="29" t="inlineStr">
        <is>
          <t>059090</t>
        </is>
      </c>
      <c r="F12" s="29" t="inlineStr">
        <is>
          <t>2021</t>
        </is>
      </c>
      <c r="G12" s="29" t="inlineStr">
        <is>
          <t>CFS</t>
        </is>
      </c>
      <c r="H12" s="29" t="inlineStr">
        <is>
          <t>BS</t>
        </is>
      </c>
      <c r="I12" s="29" t="inlineStr">
        <is>
          <t>재무상태표</t>
        </is>
      </c>
      <c r="J12" s="29" t="inlineStr">
        <is>
          <t>ifrs-full_OtherNoncurrentFinancialAssets</t>
        </is>
      </c>
      <c r="K12" s="29" t="inlineStr">
        <is>
          <t>기타비유동금융자산</t>
        </is>
      </c>
      <c r="L12" s="29" t="inlineStr">
        <is>
          <t>-</t>
        </is>
      </c>
      <c r="M12" s="29" t="inlineStr">
        <is>
          <t>제 23 기</t>
        </is>
      </c>
      <c r="N12" s="29" t="inlineStr">
        <is>
          <t>20679244144.0</t>
        </is>
      </c>
      <c r="O12" s="29" t="inlineStr">
        <is>
          <t>14152067522.0</t>
        </is>
      </c>
      <c r="P12" s="29" t="inlineStr">
        <is>
          <t>KRW</t>
        </is>
      </c>
      <c r="Q12" s="29" t="inlineStr">
        <is>
          <t>10</t>
        </is>
      </c>
    </row>
    <row r="13" ht="24" customHeight="1">
      <c r="A13" s="24" t="inlineStr">
        <is>
          <t>OpenDART_fnlttSinglAcntAll</t>
        </is>
      </c>
      <c r="B13" s="24" t="inlineStr">
        <is>
          <t>00366942</t>
        </is>
      </c>
      <c r="C13" s="24" t="inlineStr">
        <is>
          <t>미코</t>
        </is>
      </c>
      <c r="D13" s="24" t="inlineStr">
        <is>
          <t>mico</t>
        </is>
      </c>
      <c r="E13" s="24" t="inlineStr">
        <is>
          <t>059090</t>
        </is>
      </c>
      <c r="F13" s="24" t="inlineStr">
        <is>
          <t>2021</t>
        </is>
      </c>
      <c r="G13" s="24" t="inlineStr">
        <is>
          <t>CFS</t>
        </is>
      </c>
      <c r="H13" s="24" t="inlineStr">
        <is>
          <t>BS</t>
        </is>
      </c>
      <c r="I13" s="24" t="inlineStr">
        <is>
          <t>재무상태표</t>
        </is>
      </c>
      <c r="J13" s="24" t="inlineStr">
        <is>
          <t>-표준계정코드 미사용-</t>
        </is>
      </c>
      <c r="K13" s="24" t="inlineStr">
        <is>
          <t>관계기업투자</t>
        </is>
      </c>
      <c r="L13" s="24" t="inlineStr">
        <is>
          <t>-</t>
        </is>
      </c>
      <c r="M13" s="24" t="inlineStr">
        <is>
          <t>제 23 기</t>
        </is>
      </c>
      <c r="N13" s="24" t="inlineStr">
        <is>
          <t>69645825539.0</t>
        </is>
      </c>
      <c r="O13" s="24" t="inlineStr">
        <is>
          <t>22371808485.0</t>
        </is>
      </c>
      <c r="P13" s="24" t="inlineStr">
        <is>
          <t>KRW</t>
        </is>
      </c>
      <c r="Q13" s="24" t="inlineStr">
        <is>
          <t>11</t>
        </is>
      </c>
    </row>
    <row r="14" ht="24" customHeight="1">
      <c r="A14" s="29" t="inlineStr">
        <is>
          <t>OpenDART_fnlttSinglAcntAll</t>
        </is>
      </c>
      <c r="B14" s="29" t="inlineStr">
        <is>
          <t>00366942</t>
        </is>
      </c>
      <c r="C14" s="29" t="inlineStr">
        <is>
          <t>미코</t>
        </is>
      </c>
      <c r="D14" s="29" t="inlineStr">
        <is>
          <t>mico</t>
        </is>
      </c>
      <c r="E14" s="29" t="inlineStr">
        <is>
          <t>059090</t>
        </is>
      </c>
      <c r="F14" s="29" t="inlineStr">
        <is>
          <t>2021</t>
        </is>
      </c>
      <c r="G14" s="29" t="inlineStr">
        <is>
          <t>CFS</t>
        </is>
      </c>
      <c r="H14" s="29" t="inlineStr">
        <is>
          <t>BS</t>
        </is>
      </c>
      <c r="I14" s="29" t="inlineStr">
        <is>
          <t>재무상태표</t>
        </is>
      </c>
      <c r="J14" s="29" t="inlineStr">
        <is>
          <t>ifrs-full_PropertyPlantAndEquipment</t>
        </is>
      </c>
      <c r="K14" s="29" t="inlineStr">
        <is>
          <t>유형자산</t>
        </is>
      </c>
      <c r="L14" s="29" t="inlineStr">
        <is>
          <t>-</t>
        </is>
      </c>
      <c r="M14" s="29" t="inlineStr">
        <is>
          <t>제 23 기</t>
        </is>
      </c>
      <c r="N14" s="29" t="inlineStr">
        <is>
          <t>321325235899.0</t>
        </is>
      </c>
      <c r="O14" s="29" t="inlineStr">
        <is>
          <t>231151705140.0</t>
        </is>
      </c>
      <c r="P14" s="29" t="inlineStr">
        <is>
          <t>KRW</t>
        </is>
      </c>
      <c r="Q14" s="29" t="inlineStr">
        <is>
          <t>12</t>
        </is>
      </c>
    </row>
    <row r="15" ht="24" customHeight="1">
      <c r="A15" s="24" t="inlineStr">
        <is>
          <t>OpenDART_fnlttSinglAcntAll</t>
        </is>
      </c>
      <c r="B15" s="24" t="inlineStr">
        <is>
          <t>00366942</t>
        </is>
      </c>
      <c r="C15" s="24" t="inlineStr">
        <is>
          <t>미코</t>
        </is>
      </c>
      <c r="D15" s="24" t="inlineStr">
        <is>
          <t>mico</t>
        </is>
      </c>
      <c r="E15" s="24" t="inlineStr">
        <is>
          <t>059090</t>
        </is>
      </c>
      <c r="F15" s="24" t="inlineStr">
        <is>
          <t>2021</t>
        </is>
      </c>
      <c r="G15" s="24" t="inlineStr">
        <is>
          <t>CFS</t>
        </is>
      </c>
      <c r="H15" s="24" t="inlineStr">
        <is>
          <t>BS</t>
        </is>
      </c>
      <c r="I15" s="24" t="inlineStr">
        <is>
          <t>재무상태표</t>
        </is>
      </c>
      <c r="J15" s="24" t="inlineStr">
        <is>
          <t>ifrs-full_InvestmentProperty</t>
        </is>
      </c>
      <c r="K15" s="24" t="inlineStr">
        <is>
          <t>투자부동산</t>
        </is>
      </c>
      <c r="L15" s="24" t="inlineStr">
        <is>
          <t>-</t>
        </is>
      </c>
      <c r="M15" s="24" t="inlineStr">
        <is>
          <t>제 23 기</t>
        </is>
      </c>
      <c r="N15" s="24" t="inlineStr">
        <is>
          <t>3615910963.0</t>
        </is>
      </c>
      <c r="O15" s="24" t="inlineStr">
        <is>
          <t>해당 없음</t>
        </is>
      </c>
      <c r="P15" s="24" t="inlineStr">
        <is>
          <t>KRW</t>
        </is>
      </c>
      <c r="Q15" s="24" t="inlineStr">
        <is>
          <t>13</t>
        </is>
      </c>
    </row>
    <row r="16" ht="24" customHeight="1">
      <c r="A16" s="29" t="inlineStr">
        <is>
          <t>OpenDART_fnlttSinglAcntAll</t>
        </is>
      </c>
      <c r="B16" s="29" t="inlineStr">
        <is>
          <t>00366942</t>
        </is>
      </c>
      <c r="C16" s="29" t="inlineStr">
        <is>
          <t>미코</t>
        </is>
      </c>
      <c r="D16" s="29" t="inlineStr">
        <is>
          <t>mico</t>
        </is>
      </c>
      <c r="E16" s="29" t="inlineStr">
        <is>
          <t>059090</t>
        </is>
      </c>
      <c r="F16" s="29" t="inlineStr">
        <is>
          <t>2021</t>
        </is>
      </c>
      <c r="G16" s="29" t="inlineStr">
        <is>
          <t>CFS</t>
        </is>
      </c>
      <c r="H16" s="29" t="inlineStr">
        <is>
          <t>BS</t>
        </is>
      </c>
      <c r="I16" s="29" t="inlineStr">
        <is>
          <t>재무상태표</t>
        </is>
      </c>
      <c r="J16" s="29" t="inlineStr">
        <is>
          <t>ifrs-full_IntangibleAssetsOtherThanGoodwill</t>
        </is>
      </c>
      <c r="K16" s="29" t="inlineStr">
        <is>
          <t>영업권 이외의 무형자산</t>
        </is>
      </c>
      <c r="L16" s="29" t="inlineStr">
        <is>
          <t>-</t>
        </is>
      </c>
      <c r="M16" s="29" t="inlineStr">
        <is>
          <t>제 23 기</t>
        </is>
      </c>
      <c r="N16" s="29" t="inlineStr">
        <is>
          <t>8825584863.0</t>
        </is>
      </c>
      <c r="O16" s="29" t="inlineStr">
        <is>
          <t>6785981500.0</t>
        </is>
      </c>
      <c r="P16" s="29" t="inlineStr">
        <is>
          <t>KRW</t>
        </is>
      </c>
      <c r="Q16" s="29" t="inlineStr">
        <is>
          <t>14</t>
        </is>
      </c>
    </row>
    <row r="17" ht="24" customHeight="1">
      <c r="A17" s="24" t="inlineStr">
        <is>
          <t>OpenDART_fnlttSinglAcntAll</t>
        </is>
      </c>
      <c r="B17" s="24" t="inlineStr">
        <is>
          <t>00366942</t>
        </is>
      </c>
      <c r="C17" s="24" t="inlineStr">
        <is>
          <t>미코</t>
        </is>
      </c>
      <c r="D17" s="24" t="inlineStr">
        <is>
          <t>mico</t>
        </is>
      </c>
      <c r="E17" s="24" t="inlineStr">
        <is>
          <t>059090</t>
        </is>
      </c>
      <c r="F17" s="24" t="inlineStr">
        <is>
          <t>2021</t>
        </is>
      </c>
      <c r="G17" s="24" t="inlineStr">
        <is>
          <t>CFS</t>
        </is>
      </c>
      <c r="H17" s="24" t="inlineStr">
        <is>
          <t>BS</t>
        </is>
      </c>
      <c r="I17" s="24" t="inlineStr">
        <is>
          <t>재무상태표</t>
        </is>
      </c>
      <c r="J17" s="24" t="inlineStr">
        <is>
          <t>dart_OtherNonCurrentAssets</t>
        </is>
      </c>
      <c r="K17" s="24" t="inlineStr">
        <is>
          <t>기타비유동자산</t>
        </is>
      </c>
      <c r="L17" s="24" t="inlineStr">
        <is>
          <t>-</t>
        </is>
      </c>
      <c r="M17" s="24" t="inlineStr">
        <is>
          <t>제 23 기</t>
        </is>
      </c>
      <c r="N17" s="24" t="inlineStr">
        <is>
          <t>34257463.0</t>
        </is>
      </c>
      <c r="O17" s="24" t="inlineStr">
        <is>
          <t>69141883.0</t>
        </is>
      </c>
      <c r="P17" s="24" t="inlineStr">
        <is>
          <t>KRW</t>
        </is>
      </c>
      <c r="Q17" s="24" t="inlineStr">
        <is>
          <t>15</t>
        </is>
      </c>
    </row>
    <row r="18" ht="24" customHeight="1">
      <c r="A18" s="29" t="inlineStr">
        <is>
          <t>OpenDART_fnlttSinglAcntAll</t>
        </is>
      </c>
      <c r="B18" s="29" t="inlineStr">
        <is>
          <t>00366942</t>
        </is>
      </c>
      <c r="C18" s="29" t="inlineStr">
        <is>
          <t>미코</t>
        </is>
      </c>
      <c r="D18" s="29" t="inlineStr">
        <is>
          <t>mico</t>
        </is>
      </c>
      <c r="E18" s="29" t="inlineStr">
        <is>
          <t>059090</t>
        </is>
      </c>
      <c r="F18" s="29" t="inlineStr">
        <is>
          <t>2021</t>
        </is>
      </c>
      <c r="G18" s="29" t="inlineStr">
        <is>
          <t>CFS</t>
        </is>
      </c>
      <c r="H18" s="29" t="inlineStr">
        <is>
          <t>BS</t>
        </is>
      </c>
      <c r="I18" s="29" t="inlineStr">
        <is>
          <t>재무상태표</t>
        </is>
      </c>
      <c r="J18" s="29" t="inlineStr">
        <is>
          <t>ifrs-full_DeferredTaxAssets</t>
        </is>
      </c>
      <c r="K18" s="29" t="inlineStr">
        <is>
          <t>이연법인세자산</t>
        </is>
      </c>
      <c r="L18" s="29" t="inlineStr">
        <is>
          <t>-</t>
        </is>
      </c>
      <c r="M18" s="29" t="inlineStr">
        <is>
          <t>제 23 기</t>
        </is>
      </c>
      <c r="N18" s="29" t="inlineStr">
        <is>
          <t>9020577946.0</t>
        </is>
      </c>
      <c r="O18" s="29" t="inlineStr">
        <is>
          <t>2386560300.0</t>
        </is>
      </c>
      <c r="P18" s="29" t="inlineStr">
        <is>
          <t>KRW</t>
        </is>
      </c>
      <c r="Q18" s="29" t="inlineStr">
        <is>
          <t>16</t>
        </is>
      </c>
    </row>
    <row r="19" ht="24" customHeight="1">
      <c r="A19" s="24" t="inlineStr">
        <is>
          <t>OpenDART_fnlttSinglAcntAll</t>
        </is>
      </c>
      <c r="B19" s="24" t="inlineStr">
        <is>
          <t>00366942</t>
        </is>
      </c>
      <c r="C19" s="24" t="inlineStr">
        <is>
          <t>미코</t>
        </is>
      </c>
      <c r="D19" s="24" t="inlineStr">
        <is>
          <t>mico</t>
        </is>
      </c>
      <c r="E19" s="24" t="inlineStr">
        <is>
          <t>059090</t>
        </is>
      </c>
      <c r="F19" s="24" t="inlineStr">
        <is>
          <t>2021</t>
        </is>
      </c>
      <c r="G19" s="24" t="inlineStr">
        <is>
          <t>CFS</t>
        </is>
      </c>
      <c r="H19" s="24" t="inlineStr">
        <is>
          <t>BS</t>
        </is>
      </c>
      <c r="I19" s="24" t="inlineStr">
        <is>
          <t>재무상태표</t>
        </is>
      </c>
      <c r="J19" s="24" t="inlineStr">
        <is>
          <t>ifrs-full_Assets</t>
        </is>
      </c>
      <c r="K19" s="24" t="inlineStr">
        <is>
          <t>자산총계</t>
        </is>
      </c>
      <c r="L19" s="24" t="inlineStr">
        <is>
          <t>-</t>
        </is>
      </c>
      <c r="M19" s="24" t="inlineStr">
        <is>
          <t>제 23 기</t>
        </is>
      </c>
      <c r="N19" s="24" t="inlineStr">
        <is>
          <t>721538023067.0</t>
        </is>
      </c>
      <c r="O19" s="24" t="inlineStr">
        <is>
          <t>518857538258.0</t>
        </is>
      </c>
      <c r="P19" s="24" t="inlineStr">
        <is>
          <t>KRW</t>
        </is>
      </c>
      <c r="Q19" s="24" t="inlineStr">
        <is>
          <t>17</t>
        </is>
      </c>
    </row>
    <row r="20" ht="24" customHeight="1">
      <c r="A20" s="29" t="inlineStr">
        <is>
          <t>OpenDART_fnlttSinglAcntAll</t>
        </is>
      </c>
      <c r="B20" s="29" t="inlineStr">
        <is>
          <t>00366942</t>
        </is>
      </c>
      <c r="C20" s="29" t="inlineStr">
        <is>
          <t>미코</t>
        </is>
      </c>
      <c r="D20" s="29" t="inlineStr">
        <is>
          <t>mico</t>
        </is>
      </c>
      <c r="E20" s="29" t="inlineStr">
        <is>
          <t>059090</t>
        </is>
      </c>
      <c r="F20" s="29" t="inlineStr">
        <is>
          <t>2021</t>
        </is>
      </c>
      <c r="G20" s="29" t="inlineStr">
        <is>
          <t>CFS</t>
        </is>
      </c>
      <c r="H20" s="29" t="inlineStr">
        <is>
          <t>BS</t>
        </is>
      </c>
      <c r="I20" s="29" t="inlineStr">
        <is>
          <t>재무상태표</t>
        </is>
      </c>
      <c r="J20" s="29" t="inlineStr">
        <is>
          <t>ifrs-full_CurrentLiabilities</t>
        </is>
      </c>
      <c r="K20" s="29" t="inlineStr">
        <is>
          <t>유동부채</t>
        </is>
      </c>
      <c r="L20" s="29" t="inlineStr">
        <is>
          <t>-</t>
        </is>
      </c>
      <c r="M20" s="29" t="inlineStr">
        <is>
          <t>제 23 기</t>
        </is>
      </c>
      <c r="N20" s="29" t="inlineStr">
        <is>
          <t>187679069363.0</t>
        </is>
      </c>
      <c r="O20" s="29" t="inlineStr">
        <is>
          <t>136072588347.0</t>
        </is>
      </c>
      <c r="P20" s="29" t="inlineStr">
        <is>
          <t>KRW</t>
        </is>
      </c>
      <c r="Q20" s="29" t="inlineStr">
        <is>
          <t>19</t>
        </is>
      </c>
    </row>
    <row r="21" ht="24" customHeight="1">
      <c r="A21" s="24" t="inlineStr">
        <is>
          <t>OpenDART_fnlttSinglAcntAll</t>
        </is>
      </c>
      <c r="B21" s="24" t="inlineStr">
        <is>
          <t>00366942</t>
        </is>
      </c>
      <c r="C21" s="24" t="inlineStr">
        <is>
          <t>미코</t>
        </is>
      </c>
      <c r="D21" s="24" t="inlineStr">
        <is>
          <t>mico</t>
        </is>
      </c>
      <c r="E21" s="24" t="inlineStr">
        <is>
          <t>059090</t>
        </is>
      </c>
      <c r="F21" s="24" t="inlineStr">
        <is>
          <t>2021</t>
        </is>
      </c>
      <c r="G21" s="24" t="inlineStr">
        <is>
          <t>CFS</t>
        </is>
      </c>
      <c r="H21" s="24" t="inlineStr">
        <is>
          <t>BS</t>
        </is>
      </c>
      <c r="I21" s="24" t="inlineStr">
        <is>
          <t>재무상태표</t>
        </is>
      </c>
      <c r="J21" s="24" t="inlineStr">
        <is>
          <t>ifrs-full_TradeAndOtherCurrentPayables</t>
        </is>
      </c>
      <c r="K21" s="24" t="inlineStr">
        <is>
          <t>매입채무 및 기타유동채무</t>
        </is>
      </c>
      <c r="L21" s="24" t="inlineStr">
        <is>
          <t>-</t>
        </is>
      </c>
      <c r="M21" s="24" t="inlineStr">
        <is>
          <t>제 23 기</t>
        </is>
      </c>
      <c r="N21" s="24" t="inlineStr">
        <is>
          <t>25061862525.0</t>
        </is>
      </c>
      <c r="O21" s="24" t="inlineStr">
        <is>
          <t>25909968778.0</t>
        </is>
      </c>
      <c r="P21" s="24" t="inlineStr">
        <is>
          <t>KRW</t>
        </is>
      </c>
      <c r="Q21" s="24" t="inlineStr">
        <is>
          <t>20</t>
        </is>
      </c>
    </row>
    <row r="22" ht="24" customHeight="1">
      <c r="A22" s="29" t="inlineStr">
        <is>
          <t>OpenDART_fnlttSinglAcntAll</t>
        </is>
      </c>
      <c r="B22" s="29" t="inlineStr">
        <is>
          <t>00366942</t>
        </is>
      </c>
      <c r="C22" s="29" t="inlineStr">
        <is>
          <t>미코</t>
        </is>
      </c>
      <c r="D22" s="29" t="inlineStr">
        <is>
          <t>mico</t>
        </is>
      </c>
      <c r="E22" s="29" t="inlineStr">
        <is>
          <t>059090</t>
        </is>
      </c>
      <c r="F22" s="29" t="inlineStr">
        <is>
          <t>2021</t>
        </is>
      </c>
      <c r="G22" s="29" t="inlineStr">
        <is>
          <t>CFS</t>
        </is>
      </c>
      <c r="H22" s="29" t="inlineStr">
        <is>
          <t>BS</t>
        </is>
      </c>
      <c r="I22" s="29" t="inlineStr">
        <is>
          <t>재무상태표</t>
        </is>
      </c>
      <c r="J22" s="29" t="inlineStr">
        <is>
          <t>ifrs-full_ShorttermBorrowings</t>
        </is>
      </c>
      <c r="K22" s="29" t="inlineStr">
        <is>
          <t>단기차입금</t>
        </is>
      </c>
      <c r="L22" s="29" t="inlineStr">
        <is>
          <t>-</t>
        </is>
      </c>
      <c r="M22" s="29" t="inlineStr">
        <is>
          <t>제 23 기</t>
        </is>
      </c>
      <c r="N22" s="29" t="inlineStr">
        <is>
          <t>91848696614.0</t>
        </is>
      </c>
      <c r="O22" s="29" t="inlineStr">
        <is>
          <t>52053282389.0</t>
        </is>
      </c>
      <c r="P22" s="29" t="inlineStr">
        <is>
          <t>KRW</t>
        </is>
      </c>
      <c r="Q22" s="29" t="inlineStr">
        <is>
          <t>21</t>
        </is>
      </c>
    </row>
    <row r="23" ht="24" customHeight="1">
      <c r="A23" s="24" t="inlineStr">
        <is>
          <t>OpenDART_fnlttSinglAcntAll</t>
        </is>
      </c>
      <c r="B23" s="24" t="inlineStr">
        <is>
          <t>00366942</t>
        </is>
      </c>
      <c r="C23" s="24" t="inlineStr">
        <is>
          <t>미코</t>
        </is>
      </c>
      <c r="D23" s="24" t="inlineStr">
        <is>
          <t>mico</t>
        </is>
      </c>
      <c r="E23" s="24" t="inlineStr">
        <is>
          <t>059090</t>
        </is>
      </c>
      <c r="F23" s="24" t="inlineStr">
        <is>
          <t>2021</t>
        </is>
      </c>
      <c r="G23" s="24" t="inlineStr">
        <is>
          <t>CFS</t>
        </is>
      </c>
      <c r="H23" s="24" t="inlineStr">
        <is>
          <t>BS</t>
        </is>
      </c>
      <c r="I23" s="24" t="inlineStr">
        <is>
          <t>재무상태표</t>
        </is>
      </c>
      <c r="J23" s="24" t="inlineStr">
        <is>
          <t>dart_CurrentPortionOfBonds</t>
        </is>
      </c>
      <c r="K23" s="24" t="inlineStr">
        <is>
          <t>유동성사채</t>
        </is>
      </c>
      <c r="L23" s="24" t="inlineStr">
        <is>
          <t>-</t>
        </is>
      </c>
      <c r="M23" s="24" t="inlineStr">
        <is>
          <t>제 23 기</t>
        </is>
      </c>
      <c r="N23" s="24" t="inlineStr">
        <is>
          <t>0.0</t>
        </is>
      </c>
      <c r="O23" s="24" t="inlineStr">
        <is>
          <t>11588565801.0</t>
        </is>
      </c>
      <c r="P23" s="24" t="inlineStr">
        <is>
          <t>KRW</t>
        </is>
      </c>
      <c r="Q23" s="24" t="inlineStr">
        <is>
          <t>22</t>
        </is>
      </c>
    </row>
    <row r="24" ht="24" customHeight="1">
      <c r="A24" s="29" t="inlineStr">
        <is>
          <t>OpenDART_fnlttSinglAcntAll</t>
        </is>
      </c>
      <c r="B24" s="29" t="inlineStr">
        <is>
          <t>00366942</t>
        </is>
      </c>
      <c r="C24" s="29" t="inlineStr">
        <is>
          <t>미코</t>
        </is>
      </c>
      <c r="D24" s="29" t="inlineStr">
        <is>
          <t>mico</t>
        </is>
      </c>
      <c r="E24" s="29" t="inlineStr">
        <is>
          <t>059090</t>
        </is>
      </c>
      <c r="F24" s="29" t="inlineStr">
        <is>
          <t>2021</t>
        </is>
      </c>
      <c r="G24" s="29" t="inlineStr">
        <is>
          <t>CFS</t>
        </is>
      </c>
      <c r="H24" s="29" t="inlineStr">
        <is>
          <t>BS</t>
        </is>
      </c>
      <c r="I24" s="29" t="inlineStr">
        <is>
          <t>재무상태표</t>
        </is>
      </c>
      <c r="J24" s="29" t="inlineStr">
        <is>
          <t>ifrs-full_CurrentPortionOfLongtermBorrowings</t>
        </is>
      </c>
      <c r="K24" s="29" t="inlineStr">
        <is>
          <t>유동성장기차입금</t>
        </is>
      </c>
      <c r="L24" s="29" t="inlineStr">
        <is>
          <t>-</t>
        </is>
      </c>
      <c r="M24" s="29" t="inlineStr">
        <is>
          <t>제 23 기</t>
        </is>
      </c>
      <c r="N24" s="29" t="inlineStr">
        <is>
          <t>19794634115.0</t>
        </is>
      </c>
      <c r="O24" s="29" t="inlineStr">
        <is>
          <t>4082060000.0</t>
        </is>
      </c>
      <c r="P24" s="29" t="inlineStr">
        <is>
          <t>KRW</t>
        </is>
      </c>
      <c r="Q24" s="29" t="inlineStr">
        <is>
          <t>23</t>
        </is>
      </c>
    </row>
    <row r="25" ht="24" customHeight="1">
      <c r="A25" s="24" t="inlineStr">
        <is>
          <t>OpenDART_fnlttSinglAcntAll</t>
        </is>
      </c>
      <c r="B25" s="24" t="inlineStr">
        <is>
          <t>00366942</t>
        </is>
      </c>
      <c r="C25" s="24" t="inlineStr">
        <is>
          <t>미코</t>
        </is>
      </c>
      <c r="D25" s="24" t="inlineStr">
        <is>
          <t>mico</t>
        </is>
      </c>
      <c r="E25" s="24" t="inlineStr">
        <is>
          <t>059090</t>
        </is>
      </c>
      <c r="F25" s="24" t="inlineStr">
        <is>
          <t>2021</t>
        </is>
      </c>
      <c r="G25" s="24" t="inlineStr">
        <is>
          <t>CFS</t>
        </is>
      </c>
      <c r="H25" s="24" t="inlineStr">
        <is>
          <t>BS</t>
        </is>
      </c>
      <c r="I25" s="24" t="inlineStr">
        <is>
          <t>재무상태표</t>
        </is>
      </c>
      <c r="J25" s="24" t="inlineStr">
        <is>
          <t>ifrs-full_CurrentTaxLiabilities</t>
        </is>
      </c>
      <c r="K25" s="24" t="inlineStr">
        <is>
          <t>당기법인세부채</t>
        </is>
      </c>
      <c r="L25" s="24" t="inlineStr">
        <is>
          <t>-</t>
        </is>
      </c>
      <c r="M25" s="24" t="inlineStr">
        <is>
          <t>제 23 기</t>
        </is>
      </c>
      <c r="N25" s="24" t="inlineStr">
        <is>
          <t>15155106294.0</t>
        </is>
      </c>
      <c r="O25" s="24" t="inlineStr">
        <is>
          <t>6972402078.0</t>
        </is>
      </c>
      <c r="P25" s="24" t="inlineStr">
        <is>
          <t>KRW</t>
        </is>
      </c>
      <c r="Q25" s="24" t="inlineStr">
        <is>
          <t>24</t>
        </is>
      </c>
    </row>
    <row r="26" ht="24" customHeight="1">
      <c r="A26" s="29" t="inlineStr">
        <is>
          <t>OpenDART_fnlttSinglAcntAll</t>
        </is>
      </c>
      <c r="B26" s="29" t="inlineStr">
        <is>
          <t>00366942</t>
        </is>
      </c>
      <c r="C26" s="29" t="inlineStr">
        <is>
          <t>미코</t>
        </is>
      </c>
      <c r="D26" s="29" t="inlineStr">
        <is>
          <t>mico</t>
        </is>
      </c>
      <c r="E26" s="29" t="inlineStr">
        <is>
          <t>059090</t>
        </is>
      </c>
      <c r="F26" s="29" t="inlineStr">
        <is>
          <t>2021</t>
        </is>
      </c>
      <c r="G26" s="29" t="inlineStr">
        <is>
          <t>CFS</t>
        </is>
      </c>
      <c r="H26" s="29" t="inlineStr">
        <is>
          <t>BS</t>
        </is>
      </c>
      <c r="I26" s="29" t="inlineStr">
        <is>
          <t>재무상태표</t>
        </is>
      </c>
      <c r="J26" s="29" t="inlineStr">
        <is>
          <t>ifrs-full_OtherCurrentFinancialLiabilities</t>
        </is>
      </c>
      <c r="K26" s="29" t="inlineStr">
        <is>
          <t>기타유동금융부채</t>
        </is>
      </c>
      <c r="L26" s="29" t="inlineStr">
        <is>
          <t>-</t>
        </is>
      </c>
      <c r="M26" s="29" t="inlineStr">
        <is>
          <t>제 23 기</t>
        </is>
      </c>
      <c r="N26" s="29" t="inlineStr">
        <is>
          <t>22940420669.0</t>
        </is>
      </c>
      <c r="O26" s="29" t="inlineStr">
        <is>
          <t>26471936184.0</t>
        </is>
      </c>
      <c r="P26" s="29" t="inlineStr">
        <is>
          <t>KRW</t>
        </is>
      </c>
      <c r="Q26" s="29" t="inlineStr">
        <is>
          <t>25</t>
        </is>
      </c>
    </row>
    <row r="27" ht="24" customHeight="1">
      <c r="A27" s="24" t="inlineStr">
        <is>
          <t>OpenDART_fnlttSinglAcntAll</t>
        </is>
      </c>
      <c r="B27" s="24" t="inlineStr">
        <is>
          <t>00366942</t>
        </is>
      </c>
      <c r="C27" s="24" t="inlineStr">
        <is>
          <t>미코</t>
        </is>
      </c>
      <c r="D27" s="24" t="inlineStr">
        <is>
          <t>mico</t>
        </is>
      </c>
      <c r="E27" s="24" t="inlineStr">
        <is>
          <t>059090</t>
        </is>
      </c>
      <c r="F27" s="24" t="inlineStr">
        <is>
          <t>2021</t>
        </is>
      </c>
      <c r="G27" s="24" t="inlineStr">
        <is>
          <t>CFS</t>
        </is>
      </c>
      <c r="H27" s="24" t="inlineStr">
        <is>
          <t>BS</t>
        </is>
      </c>
      <c r="I27" s="24" t="inlineStr">
        <is>
          <t>재무상태표</t>
        </is>
      </c>
      <c r="J27" s="24" t="inlineStr">
        <is>
          <t>dart_OtherCurrentLiabilities</t>
        </is>
      </c>
      <c r="K27" s="24" t="inlineStr">
        <is>
          <t>기타유동부채</t>
        </is>
      </c>
      <c r="L27" s="24" t="inlineStr">
        <is>
          <t>-</t>
        </is>
      </c>
      <c r="M27" s="24" t="inlineStr">
        <is>
          <t>제 23 기</t>
        </is>
      </c>
      <c r="N27" s="24" t="inlineStr">
        <is>
          <t>12878349146.0</t>
        </is>
      </c>
      <c r="O27" s="24" t="inlineStr">
        <is>
          <t>8994373117.0</t>
        </is>
      </c>
      <c r="P27" s="24" t="inlineStr">
        <is>
          <t>KRW</t>
        </is>
      </c>
      <c r="Q27" s="24" t="inlineStr">
        <is>
          <t>26</t>
        </is>
      </c>
    </row>
    <row r="28" ht="24" customHeight="1">
      <c r="A28" s="29" t="inlineStr">
        <is>
          <t>OpenDART_fnlttSinglAcntAll</t>
        </is>
      </c>
      <c r="B28" s="29" t="inlineStr">
        <is>
          <t>00366942</t>
        </is>
      </c>
      <c r="C28" s="29" t="inlineStr">
        <is>
          <t>미코</t>
        </is>
      </c>
      <c r="D28" s="29" t="inlineStr">
        <is>
          <t>mico</t>
        </is>
      </c>
      <c r="E28" s="29" t="inlineStr">
        <is>
          <t>059090</t>
        </is>
      </c>
      <c r="F28" s="29" t="inlineStr">
        <is>
          <t>2021</t>
        </is>
      </c>
      <c r="G28" s="29" t="inlineStr">
        <is>
          <t>CFS</t>
        </is>
      </c>
      <c r="H28" s="29" t="inlineStr">
        <is>
          <t>BS</t>
        </is>
      </c>
      <c r="I28" s="29" t="inlineStr">
        <is>
          <t>재무상태표</t>
        </is>
      </c>
      <c r="J28" s="29" t="inlineStr">
        <is>
          <t>ifrs-full_NoncurrentLiabilities</t>
        </is>
      </c>
      <c r="K28" s="29" t="inlineStr">
        <is>
          <t>비유동부채</t>
        </is>
      </c>
      <c r="L28" s="29" t="inlineStr">
        <is>
          <t>-</t>
        </is>
      </c>
      <c r="M28" s="29" t="inlineStr">
        <is>
          <t>제 23 기</t>
        </is>
      </c>
      <c r="N28" s="29" t="inlineStr">
        <is>
          <t>154387637569.0</t>
        </is>
      </c>
      <c r="O28" s="29" t="inlineStr">
        <is>
          <t>147823555231.0</t>
        </is>
      </c>
      <c r="P28" s="29" t="inlineStr">
        <is>
          <t>KRW</t>
        </is>
      </c>
      <c r="Q28" s="29" t="inlineStr">
        <is>
          <t>27</t>
        </is>
      </c>
    </row>
    <row r="29" ht="24" customHeight="1">
      <c r="A29" s="24" t="inlineStr">
        <is>
          <t>OpenDART_fnlttSinglAcntAll</t>
        </is>
      </c>
      <c r="B29" s="24" t="inlineStr">
        <is>
          <t>00366942</t>
        </is>
      </c>
      <c r="C29" s="24" t="inlineStr">
        <is>
          <t>미코</t>
        </is>
      </c>
      <c r="D29" s="24" t="inlineStr">
        <is>
          <t>mico</t>
        </is>
      </c>
      <c r="E29" s="24" t="inlineStr">
        <is>
          <t>059090</t>
        </is>
      </c>
      <c r="F29" s="24" t="inlineStr">
        <is>
          <t>2021</t>
        </is>
      </c>
      <c r="G29" s="24" t="inlineStr">
        <is>
          <t>CFS</t>
        </is>
      </c>
      <c r="H29" s="24" t="inlineStr">
        <is>
          <t>BS</t>
        </is>
      </c>
      <c r="I29" s="24" t="inlineStr">
        <is>
          <t>재무상태표</t>
        </is>
      </c>
      <c r="J29" s="24" t="inlineStr">
        <is>
          <t>dart_LongTermBorrowingsGross</t>
        </is>
      </c>
      <c r="K29" s="24" t="inlineStr">
        <is>
          <t>장기차입금</t>
        </is>
      </c>
      <c r="L29" s="24" t="inlineStr">
        <is>
          <t>-</t>
        </is>
      </c>
      <c r="M29" s="24" t="inlineStr">
        <is>
          <t>제 23 기</t>
        </is>
      </c>
      <c r="N29" s="24" t="inlineStr">
        <is>
          <t>84757854115.0</t>
        </is>
      </c>
      <c r="O29" s="24" t="inlineStr">
        <is>
          <t>80304379560.0</t>
        </is>
      </c>
      <c r="P29" s="24" t="inlineStr">
        <is>
          <t>KRW</t>
        </is>
      </c>
      <c r="Q29" s="24" t="inlineStr">
        <is>
          <t>28</t>
        </is>
      </c>
    </row>
    <row r="30" ht="24" customHeight="1">
      <c r="A30" s="29" t="inlineStr">
        <is>
          <t>OpenDART_fnlttSinglAcntAll</t>
        </is>
      </c>
      <c r="B30" s="29" t="inlineStr">
        <is>
          <t>00366942</t>
        </is>
      </c>
      <c r="C30" s="29" t="inlineStr">
        <is>
          <t>미코</t>
        </is>
      </c>
      <c r="D30" s="29" t="inlineStr">
        <is>
          <t>mico</t>
        </is>
      </c>
      <c r="E30" s="29" t="inlineStr">
        <is>
          <t>059090</t>
        </is>
      </c>
      <c r="F30" s="29" t="inlineStr">
        <is>
          <t>2021</t>
        </is>
      </c>
      <c r="G30" s="29" t="inlineStr">
        <is>
          <t>CFS</t>
        </is>
      </c>
      <c r="H30" s="29" t="inlineStr">
        <is>
          <t>BS</t>
        </is>
      </c>
      <c r="I30" s="29" t="inlineStr">
        <is>
          <t>재무상태표</t>
        </is>
      </c>
      <c r="J30" s="29" t="inlineStr">
        <is>
          <t>dart_BondsIssued</t>
        </is>
      </c>
      <c r="K30" s="29" t="inlineStr">
        <is>
          <t>사채</t>
        </is>
      </c>
      <c r="L30" s="29" t="inlineStr">
        <is>
          <t>-</t>
        </is>
      </c>
      <c r="M30" s="29" t="inlineStr">
        <is>
          <t>제 23 기</t>
        </is>
      </c>
      <c r="N30" s="29" t="inlineStr">
        <is>
          <t>10193867640.0</t>
        </is>
      </c>
      <c r="O30" s="29" t="inlineStr">
        <is>
          <t>23829850239.0</t>
        </is>
      </c>
      <c r="P30" s="29" t="inlineStr">
        <is>
          <t>KRW</t>
        </is>
      </c>
      <c r="Q30" s="29" t="inlineStr">
        <is>
          <t>29</t>
        </is>
      </c>
    </row>
    <row r="31" ht="24" customHeight="1">
      <c r="A31" s="24" t="inlineStr">
        <is>
          <t>OpenDART_fnlttSinglAcntAll</t>
        </is>
      </c>
      <c r="B31" s="24" t="inlineStr">
        <is>
          <t>00366942</t>
        </is>
      </c>
      <c r="C31" s="24" t="inlineStr">
        <is>
          <t>미코</t>
        </is>
      </c>
      <c r="D31" s="24" t="inlineStr">
        <is>
          <t>mico</t>
        </is>
      </c>
      <c r="E31" s="24" t="inlineStr">
        <is>
          <t>059090</t>
        </is>
      </c>
      <c r="F31" s="24" t="inlineStr">
        <is>
          <t>2021</t>
        </is>
      </c>
      <c r="G31" s="24" t="inlineStr">
        <is>
          <t>CFS</t>
        </is>
      </c>
      <c r="H31" s="24" t="inlineStr">
        <is>
          <t>BS</t>
        </is>
      </c>
      <c r="I31" s="24" t="inlineStr">
        <is>
          <t>재무상태표</t>
        </is>
      </c>
      <c r="J31" s="24" t="inlineStr">
        <is>
          <t>ifrs-full_OtherNoncurrentFinancialLiabilities</t>
        </is>
      </c>
      <c r="K31" s="24" t="inlineStr">
        <is>
          <t>기타비유동금융부채</t>
        </is>
      </c>
      <c r="L31" s="24" t="inlineStr">
        <is>
          <t>-</t>
        </is>
      </c>
      <c r="M31" s="24" t="inlineStr">
        <is>
          <t>제 23 기</t>
        </is>
      </c>
      <c r="N31" s="24" t="inlineStr">
        <is>
          <t>12613732771.0</t>
        </is>
      </c>
      <c r="O31" s="24" t="inlineStr">
        <is>
          <t>24226678102.0</t>
        </is>
      </c>
      <c r="P31" s="24" t="inlineStr">
        <is>
          <t>KRW</t>
        </is>
      </c>
      <c r="Q31" s="24" t="inlineStr">
        <is>
          <t>30</t>
        </is>
      </c>
    </row>
    <row r="32" ht="24" customHeight="1">
      <c r="A32" s="29" t="inlineStr">
        <is>
          <t>OpenDART_fnlttSinglAcntAll</t>
        </is>
      </c>
      <c r="B32" s="29" t="inlineStr">
        <is>
          <t>00366942</t>
        </is>
      </c>
      <c r="C32" s="29" t="inlineStr">
        <is>
          <t>미코</t>
        </is>
      </c>
      <c r="D32" s="29" t="inlineStr">
        <is>
          <t>mico</t>
        </is>
      </c>
      <c r="E32" s="29" t="inlineStr">
        <is>
          <t>059090</t>
        </is>
      </c>
      <c r="F32" s="29" t="inlineStr">
        <is>
          <t>2021</t>
        </is>
      </c>
      <c r="G32" s="29" t="inlineStr">
        <is>
          <t>CFS</t>
        </is>
      </c>
      <c r="H32" s="29" t="inlineStr">
        <is>
          <t>BS</t>
        </is>
      </c>
      <c r="I32" s="29" t="inlineStr">
        <is>
          <t>재무상태표</t>
        </is>
      </c>
      <c r="J32" s="29" t="inlineStr">
        <is>
          <t>dart_PostemploymentBenefitObligations</t>
        </is>
      </c>
      <c r="K32" s="29" t="inlineStr">
        <is>
          <t>퇴직급여부채</t>
        </is>
      </c>
      <c r="L32" s="29" t="inlineStr">
        <is>
          <t>-</t>
        </is>
      </c>
      <c r="M32" s="29" t="inlineStr">
        <is>
          <t>제 23 기</t>
        </is>
      </c>
      <c r="N32" s="29" t="inlineStr">
        <is>
          <t>18774856692.0</t>
        </is>
      </c>
      <c r="O32" s="29" t="inlineStr">
        <is>
          <t>14699093285.0</t>
        </is>
      </c>
      <c r="P32" s="29" t="inlineStr">
        <is>
          <t>KRW</t>
        </is>
      </c>
      <c r="Q32" s="29" t="inlineStr">
        <is>
          <t>31</t>
        </is>
      </c>
    </row>
    <row r="33" ht="24" customHeight="1">
      <c r="A33" s="24" t="inlineStr">
        <is>
          <t>OpenDART_fnlttSinglAcntAll</t>
        </is>
      </c>
      <c r="B33" s="24" t="inlineStr">
        <is>
          <t>00366942</t>
        </is>
      </c>
      <c r="C33" s="24" t="inlineStr">
        <is>
          <t>미코</t>
        </is>
      </c>
      <c r="D33" s="24" t="inlineStr">
        <is>
          <t>mico</t>
        </is>
      </c>
      <c r="E33" s="24" t="inlineStr">
        <is>
          <t>059090</t>
        </is>
      </c>
      <c r="F33" s="24" t="inlineStr">
        <is>
          <t>2021</t>
        </is>
      </c>
      <c r="G33" s="24" t="inlineStr">
        <is>
          <t>CFS</t>
        </is>
      </c>
      <c r="H33" s="24" t="inlineStr">
        <is>
          <t>BS</t>
        </is>
      </c>
      <c r="I33" s="24" t="inlineStr">
        <is>
          <t>재무상태표</t>
        </is>
      </c>
      <c r="J33" s="24" t="inlineStr">
        <is>
          <t>-표준계정코드 미사용-</t>
        </is>
      </c>
      <c r="K33" s="24" t="inlineStr">
        <is>
          <t>장기종업원급여</t>
        </is>
      </c>
      <c r="L33" s="24" t="inlineStr">
        <is>
          <t>-</t>
        </is>
      </c>
      <c r="M33" s="24" t="inlineStr">
        <is>
          <t>제 23 기</t>
        </is>
      </c>
      <c r="N33" s="24" t="inlineStr">
        <is>
          <t>2841978563.0</t>
        </is>
      </c>
      <c r="O33" s="24" t="inlineStr">
        <is>
          <t>2407381474.0</t>
        </is>
      </c>
      <c r="P33" s="24" t="inlineStr">
        <is>
          <t>KRW</t>
        </is>
      </c>
      <c r="Q33" s="24" t="inlineStr">
        <is>
          <t>32</t>
        </is>
      </c>
    </row>
    <row r="34" ht="24" customHeight="1">
      <c r="A34" s="29" t="inlineStr">
        <is>
          <t>OpenDART_fnlttSinglAcntAll</t>
        </is>
      </c>
      <c r="B34" s="29" t="inlineStr">
        <is>
          <t>00366942</t>
        </is>
      </c>
      <c r="C34" s="29" t="inlineStr">
        <is>
          <t>미코</t>
        </is>
      </c>
      <c r="D34" s="29" t="inlineStr">
        <is>
          <t>mico</t>
        </is>
      </c>
      <c r="E34" s="29" t="inlineStr">
        <is>
          <t>059090</t>
        </is>
      </c>
      <c r="F34" s="29" t="inlineStr">
        <is>
          <t>2021</t>
        </is>
      </c>
      <c r="G34" s="29" t="inlineStr">
        <is>
          <t>CFS</t>
        </is>
      </c>
      <c r="H34" s="29" t="inlineStr">
        <is>
          <t>BS</t>
        </is>
      </c>
      <c r="I34" s="29" t="inlineStr">
        <is>
          <t>재무상태표</t>
        </is>
      </c>
      <c r="J34" s="29" t="inlineStr">
        <is>
          <t>ifrs-full_DeferredTaxLiabilities</t>
        </is>
      </c>
      <c r="K34" s="29" t="inlineStr">
        <is>
          <t>이연법인세부채</t>
        </is>
      </c>
      <c r="L34" s="29" t="inlineStr">
        <is>
          <t>-</t>
        </is>
      </c>
      <c r="M34" s="29" t="inlineStr">
        <is>
          <t>제 23 기</t>
        </is>
      </c>
      <c r="N34" s="29" t="inlineStr">
        <is>
          <t>21480883288.0</t>
        </is>
      </c>
      <c r="O34" s="29" t="inlineStr">
        <is>
          <t>275430719.0</t>
        </is>
      </c>
      <c r="P34" s="29" t="inlineStr">
        <is>
          <t>KRW</t>
        </is>
      </c>
      <c r="Q34" s="29" t="inlineStr">
        <is>
          <t>33</t>
        </is>
      </c>
    </row>
    <row r="35" ht="24" customHeight="1">
      <c r="A35" s="24" t="inlineStr">
        <is>
          <t>OpenDART_fnlttSinglAcntAll</t>
        </is>
      </c>
      <c r="B35" s="24" t="inlineStr">
        <is>
          <t>00366942</t>
        </is>
      </c>
      <c r="C35" s="24" t="inlineStr">
        <is>
          <t>미코</t>
        </is>
      </c>
      <c r="D35" s="24" t="inlineStr">
        <is>
          <t>mico</t>
        </is>
      </c>
      <c r="E35" s="24" t="inlineStr">
        <is>
          <t>059090</t>
        </is>
      </c>
      <c r="F35" s="24" t="inlineStr">
        <is>
          <t>2021</t>
        </is>
      </c>
      <c r="G35" s="24" t="inlineStr">
        <is>
          <t>CFS</t>
        </is>
      </c>
      <c r="H35" s="24" t="inlineStr">
        <is>
          <t>BS</t>
        </is>
      </c>
      <c r="I35" s="24" t="inlineStr">
        <is>
          <t>재무상태표</t>
        </is>
      </c>
      <c r="J35" s="24" t="inlineStr">
        <is>
          <t>dart_OtherNonCurrentLiabilities</t>
        </is>
      </c>
      <c r="K35" s="24" t="inlineStr">
        <is>
          <t>기타비유동부채</t>
        </is>
      </c>
      <c r="L35" s="24" t="inlineStr">
        <is>
          <t>-</t>
        </is>
      </c>
      <c r="M35" s="24" t="inlineStr">
        <is>
          <t>제 23 기</t>
        </is>
      </c>
      <c r="N35" s="24" t="inlineStr">
        <is>
          <t>3724464500.0</t>
        </is>
      </c>
      <c r="O35" s="24" t="inlineStr">
        <is>
          <t>2080741852.0</t>
        </is>
      </c>
      <c r="P35" s="24" t="inlineStr">
        <is>
          <t>KRW</t>
        </is>
      </c>
      <c r="Q35" s="24" t="inlineStr">
        <is>
          <t>34</t>
        </is>
      </c>
    </row>
    <row r="36" ht="24" customHeight="1">
      <c r="A36" s="29" t="inlineStr">
        <is>
          <t>OpenDART_fnlttSinglAcntAll</t>
        </is>
      </c>
      <c r="B36" s="29" t="inlineStr">
        <is>
          <t>00366942</t>
        </is>
      </c>
      <c r="C36" s="29" t="inlineStr">
        <is>
          <t>미코</t>
        </is>
      </c>
      <c r="D36" s="29" t="inlineStr">
        <is>
          <t>mico</t>
        </is>
      </c>
      <c r="E36" s="29" t="inlineStr">
        <is>
          <t>059090</t>
        </is>
      </c>
      <c r="F36" s="29" t="inlineStr">
        <is>
          <t>2021</t>
        </is>
      </c>
      <c r="G36" s="29" t="inlineStr">
        <is>
          <t>CFS</t>
        </is>
      </c>
      <c r="H36" s="29" t="inlineStr">
        <is>
          <t>BS</t>
        </is>
      </c>
      <c r="I36" s="29" t="inlineStr">
        <is>
          <t>재무상태표</t>
        </is>
      </c>
      <c r="J36" s="29" t="inlineStr">
        <is>
          <t>ifrs-full_Liabilities</t>
        </is>
      </c>
      <c r="K36" s="29" t="inlineStr">
        <is>
          <t>부채총계</t>
        </is>
      </c>
      <c r="L36" s="29" t="inlineStr">
        <is>
          <t>-</t>
        </is>
      </c>
      <c r="M36" s="29" t="inlineStr">
        <is>
          <t>제 23 기</t>
        </is>
      </c>
      <c r="N36" s="29" t="inlineStr">
        <is>
          <t>342066706932.0</t>
        </is>
      </c>
      <c r="O36" s="29" t="inlineStr">
        <is>
          <t>283896143578.0</t>
        </is>
      </c>
      <c r="P36" s="29" t="inlineStr">
        <is>
          <t>KRW</t>
        </is>
      </c>
      <c r="Q36" s="29" t="inlineStr">
        <is>
          <t>35</t>
        </is>
      </c>
    </row>
    <row r="37" ht="24" customHeight="1">
      <c r="A37" s="24" t="inlineStr">
        <is>
          <t>OpenDART_fnlttSinglAcntAll</t>
        </is>
      </c>
      <c r="B37" s="24" t="inlineStr">
        <is>
          <t>00366942</t>
        </is>
      </c>
      <c r="C37" s="24" t="inlineStr">
        <is>
          <t>미코</t>
        </is>
      </c>
      <c r="D37" s="24" t="inlineStr">
        <is>
          <t>mico</t>
        </is>
      </c>
      <c r="E37" s="24" t="inlineStr">
        <is>
          <t>059090</t>
        </is>
      </c>
      <c r="F37" s="24" t="inlineStr">
        <is>
          <t>2021</t>
        </is>
      </c>
      <c r="G37" s="24" t="inlineStr">
        <is>
          <t>CFS</t>
        </is>
      </c>
      <c r="H37" s="24" t="inlineStr">
        <is>
          <t>BS</t>
        </is>
      </c>
      <c r="I37" s="24" t="inlineStr">
        <is>
          <t>재무상태표</t>
        </is>
      </c>
      <c r="J37" s="24" t="inlineStr">
        <is>
          <t>ifrs-full_EquityAttributableToOwnersOfParent</t>
        </is>
      </c>
      <c r="K37" s="24" t="inlineStr">
        <is>
          <t>지배기업의 소유주에게 귀속되는 자본</t>
        </is>
      </c>
      <c r="L37" s="24" t="inlineStr">
        <is>
          <t>-</t>
        </is>
      </c>
      <c r="M37" s="24" t="inlineStr">
        <is>
          <t>제 23 기</t>
        </is>
      </c>
      <c r="N37" s="24" t="inlineStr">
        <is>
          <t>197590574635.0</t>
        </is>
      </c>
      <c r="O37" s="24" t="inlineStr">
        <is>
          <t>115989004389.0</t>
        </is>
      </c>
      <c r="P37" s="24" t="inlineStr">
        <is>
          <t>KRW</t>
        </is>
      </c>
      <c r="Q37" s="24" t="inlineStr">
        <is>
          <t>37</t>
        </is>
      </c>
    </row>
    <row r="38" ht="24" customHeight="1">
      <c r="A38" s="29" t="inlineStr">
        <is>
          <t>OpenDART_fnlttSinglAcntAll</t>
        </is>
      </c>
      <c r="B38" s="29" t="inlineStr">
        <is>
          <t>00366942</t>
        </is>
      </c>
      <c r="C38" s="29" t="inlineStr">
        <is>
          <t>미코</t>
        </is>
      </c>
      <c r="D38" s="29" t="inlineStr">
        <is>
          <t>mico</t>
        </is>
      </c>
      <c r="E38" s="29" t="inlineStr">
        <is>
          <t>059090</t>
        </is>
      </c>
      <c r="F38" s="29" t="inlineStr">
        <is>
          <t>2021</t>
        </is>
      </c>
      <c r="G38" s="29" t="inlineStr">
        <is>
          <t>CFS</t>
        </is>
      </c>
      <c r="H38" s="29" t="inlineStr">
        <is>
          <t>BS</t>
        </is>
      </c>
      <c r="I38" s="29" t="inlineStr">
        <is>
          <t>재무상태표</t>
        </is>
      </c>
      <c r="J38" s="29" t="inlineStr">
        <is>
          <t>ifrs-full_IssuedCapital</t>
        </is>
      </c>
      <c r="K38" s="29" t="inlineStr">
        <is>
          <t>자본금</t>
        </is>
      </c>
      <c r="L38" s="29" t="inlineStr">
        <is>
          <t>-</t>
        </is>
      </c>
      <c r="M38" s="29" t="inlineStr">
        <is>
          <t>제 23 기</t>
        </is>
      </c>
      <c r="N38" s="29" t="inlineStr">
        <is>
          <t>16708389000.0</t>
        </is>
      </c>
      <c r="O38" s="29" t="inlineStr">
        <is>
          <t>15658301500.0</t>
        </is>
      </c>
      <c r="P38" s="29" t="inlineStr">
        <is>
          <t>KRW</t>
        </is>
      </c>
      <c r="Q38" s="29" t="inlineStr">
        <is>
          <t>38</t>
        </is>
      </c>
    </row>
    <row r="39" ht="24" customHeight="1">
      <c r="A39" s="24" t="inlineStr">
        <is>
          <t>OpenDART_fnlttSinglAcntAll</t>
        </is>
      </c>
      <c r="B39" s="24" t="inlineStr">
        <is>
          <t>00366942</t>
        </is>
      </c>
      <c r="C39" s="24" t="inlineStr">
        <is>
          <t>미코</t>
        </is>
      </c>
      <c r="D39" s="24" t="inlineStr">
        <is>
          <t>mico</t>
        </is>
      </c>
      <c r="E39" s="24" t="inlineStr">
        <is>
          <t>059090</t>
        </is>
      </c>
      <c r="F39" s="24" t="inlineStr">
        <is>
          <t>2021</t>
        </is>
      </c>
      <c r="G39" s="24" t="inlineStr">
        <is>
          <t>CFS</t>
        </is>
      </c>
      <c r="H39" s="24" t="inlineStr">
        <is>
          <t>BS</t>
        </is>
      </c>
      <c r="I39" s="24" t="inlineStr">
        <is>
          <t>재무상태표</t>
        </is>
      </c>
      <c r="J39" s="24" t="inlineStr">
        <is>
          <t>dart_CapitalSurplus</t>
        </is>
      </c>
      <c r="K39" s="24" t="inlineStr">
        <is>
          <t>자본잉여금</t>
        </is>
      </c>
      <c r="L39" s="24" t="inlineStr">
        <is>
          <t>-</t>
        </is>
      </c>
      <c r="M39" s="24" t="inlineStr">
        <is>
          <t>제 23 기</t>
        </is>
      </c>
      <c r="N39" s="24" t="inlineStr">
        <is>
          <t>190581959050.0</t>
        </is>
      </c>
      <c r="O39" s="24" t="inlineStr">
        <is>
          <t>93011614786.0</t>
        </is>
      </c>
      <c r="P39" s="24" t="inlineStr">
        <is>
          <t>KRW</t>
        </is>
      </c>
      <c r="Q39" s="24" t="inlineStr">
        <is>
          <t>39</t>
        </is>
      </c>
    </row>
    <row r="40" ht="24" customHeight="1">
      <c r="A40" s="29" t="inlineStr">
        <is>
          <t>OpenDART_fnlttSinglAcntAll</t>
        </is>
      </c>
      <c r="B40" s="29" t="inlineStr">
        <is>
          <t>00366942</t>
        </is>
      </c>
      <c r="C40" s="29" t="inlineStr">
        <is>
          <t>미코</t>
        </is>
      </c>
      <c r="D40" s="29" t="inlineStr">
        <is>
          <t>mico</t>
        </is>
      </c>
      <c r="E40" s="29" t="inlineStr">
        <is>
          <t>059090</t>
        </is>
      </c>
      <c r="F40" s="29" t="inlineStr">
        <is>
          <t>2021</t>
        </is>
      </c>
      <c r="G40" s="29" t="inlineStr">
        <is>
          <t>CFS</t>
        </is>
      </c>
      <c r="H40" s="29" t="inlineStr">
        <is>
          <t>BS</t>
        </is>
      </c>
      <c r="I40" s="29" t="inlineStr">
        <is>
          <t>재무상태표</t>
        </is>
      </c>
      <c r="J40" s="29" t="inlineStr">
        <is>
          <t>dart_ElementsOfOtherStockholdersEquity</t>
        </is>
      </c>
      <c r="K40" s="29" t="inlineStr">
        <is>
          <t>기타자본구성요소</t>
        </is>
      </c>
      <c r="L40" s="29" t="inlineStr">
        <is>
          <t>-</t>
        </is>
      </c>
      <c r="M40" s="29" t="inlineStr">
        <is>
          <t>제 23 기</t>
        </is>
      </c>
      <c r="N40" s="29" t="inlineStr">
        <is>
          <t>-34140162498.0</t>
        </is>
      </c>
      <c r="O40" s="29" t="inlineStr">
        <is>
          <t>-27112671485.0</t>
        </is>
      </c>
      <c r="P40" s="29" t="inlineStr">
        <is>
          <t>KRW</t>
        </is>
      </c>
      <c r="Q40" s="29" t="inlineStr">
        <is>
          <t>40</t>
        </is>
      </c>
    </row>
    <row r="41" ht="24" customHeight="1">
      <c r="A41" s="24" t="inlineStr">
        <is>
          <t>OpenDART_fnlttSinglAcntAll</t>
        </is>
      </c>
      <c r="B41" s="24" t="inlineStr">
        <is>
          <t>00366942</t>
        </is>
      </c>
      <c r="C41" s="24" t="inlineStr">
        <is>
          <t>미코</t>
        </is>
      </c>
      <c r="D41" s="24" t="inlineStr">
        <is>
          <t>mico</t>
        </is>
      </c>
      <c r="E41" s="24" t="inlineStr">
        <is>
          <t>059090</t>
        </is>
      </c>
      <c r="F41" s="24" t="inlineStr">
        <is>
          <t>2021</t>
        </is>
      </c>
      <c r="G41" s="24" t="inlineStr">
        <is>
          <t>CFS</t>
        </is>
      </c>
      <c r="H41" s="24" t="inlineStr">
        <is>
          <t>BS</t>
        </is>
      </c>
      <c r="I41" s="24" t="inlineStr">
        <is>
          <t>재무상태표</t>
        </is>
      </c>
      <c r="J41" s="24" t="inlineStr">
        <is>
          <t>dart_OtherComprehensiveIncomeLossAccumulatedAmount</t>
        </is>
      </c>
      <c r="K41" s="24" t="inlineStr">
        <is>
          <t>기타포괄손익누계액</t>
        </is>
      </c>
      <c r="L41" s="24" t="inlineStr">
        <is>
          <t>-</t>
        </is>
      </c>
      <c r="M41" s="24" t="inlineStr">
        <is>
          <t>제 23 기</t>
        </is>
      </c>
      <c r="N41" s="24" t="inlineStr">
        <is>
          <t>-4997399794.0</t>
        </is>
      </c>
      <c r="O41" s="24" t="inlineStr">
        <is>
          <t>-4884909635.0</t>
        </is>
      </c>
      <c r="P41" s="24" t="inlineStr">
        <is>
          <t>KRW</t>
        </is>
      </c>
      <c r="Q41" s="24" t="inlineStr">
        <is>
          <t>41</t>
        </is>
      </c>
    </row>
    <row r="42" ht="24" customHeight="1">
      <c r="A42" s="29" t="inlineStr">
        <is>
          <t>OpenDART_fnlttSinglAcntAll</t>
        </is>
      </c>
      <c r="B42" s="29" t="inlineStr">
        <is>
          <t>00366942</t>
        </is>
      </c>
      <c r="C42" s="29" t="inlineStr">
        <is>
          <t>미코</t>
        </is>
      </c>
      <c r="D42" s="29" t="inlineStr">
        <is>
          <t>mico</t>
        </is>
      </c>
      <c r="E42" s="29" t="inlineStr">
        <is>
          <t>059090</t>
        </is>
      </c>
      <c r="F42" s="29" t="inlineStr">
        <is>
          <t>2021</t>
        </is>
      </c>
      <c r="G42" s="29" t="inlineStr">
        <is>
          <t>CFS</t>
        </is>
      </c>
      <c r="H42" s="29" t="inlineStr">
        <is>
          <t>BS</t>
        </is>
      </c>
      <c r="I42" s="29" t="inlineStr">
        <is>
          <t>재무상태표</t>
        </is>
      </c>
      <c r="J42" s="29" t="inlineStr">
        <is>
          <t>ifrs-full_RetainedEarnings</t>
        </is>
      </c>
      <c r="K42" s="29" t="inlineStr">
        <is>
          <t>이익잉여금(결손금)</t>
        </is>
      </c>
      <c r="L42" s="29" t="inlineStr">
        <is>
          <t>-</t>
        </is>
      </c>
      <c r="M42" s="29" t="inlineStr">
        <is>
          <t>제 23 기</t>
        </is>
      </c>
      <c r="N42" s="29" t="inlineStr">
        <is>
          <t>29437788877.0</t>
        </is>
      </c>
      <c r="O42" s="29" t="inlineStr">
        <is>
          <t>39316669223.0</t>
        </is>
      </c>
      <c r="P42" s="29" t="inlineStr">
        <is>
          <t>KRW</t>
        </is>
      </c>
      <c r="Q42" s="29" t="inlineStr">
        <is>
          <t>42</t>
        </is>
      </c>
    </row>
    <row r="43" ht="24" customHeight="1">
      <c r="A43" s="24" t="inlineStr">
        <is>
          <t>OpenDART_fnlttSinglAcntAll</t>
        </is>
      </c>
      <c r="B43" s="24" t="inlineStr">
        <is>
          <t>00366942</t>
        </is>
      </c>
      <c r="C43" s="24" t="inlineStr">
        <is>
          <t>미코</t>
        </is>
      </c>
      <c r="D43" s="24" t="inlineStr">
        <is>
          <t>mico</t>
        </is>
      </c>
      <c r="E43" s="24" t="inlineStr">
        <is>
          <t>059090</t>
        </is>
      </c>
      <c r="F43" s="24" t="inlineStr">
        <is>
          <t>2021</t>
        </is>
      </c>
      <c r="G43" s="24" t="inlineStr">
        <is>
          <t>CFS</t>
        </is>
      </c>
      <c r="H43" s="24" t="inlineStr">
        <is>
          <t>BS</t>
        </is>
      </c>
      <c r="I43" s="24" t="inlineStr">
        <is>
          <t>재무상태표</t>
        </is>
      </c>
      <c r="J43" s="24" t="inlineStr">
        <is>
          <t>ifrs-full_NoncontrollingInterests</t>
        </is>
      </c>
      <c r="K43" s="24" t="inlineStr">
        <is>
          <t>비지배지분</t>
        </is>
      </c>
      <c r="L43" s="24" t="inlineStr">
        <is>
          <t>-</t>
        </is>
      </c>
      <c r="M43" s="24" t="inlineStr">
        <is>
          <t>제 23 기</t>
        </is>
      </c>
      <c r="N43" s="24" t="inlineStr">
        <is>
          <t>181880741500.0</t>
        </is>
      </c>
      <c r="O43" s="24" t="inlineStr">
        <is>
          <t>118972390291.0</t>
        </is>
      </c>
      <c r="P43" s="24" t="inlineStr">
        <is>
          <t>KRW</t>
        </is>
      </c>
      <c r="Q43" s="24" t="inlineStr">
        <is>
          <t>43</t>
        </is>
      </c>
    </row>
    <row r="44" ht="24" customHeight="1">
      <c r="A44" s="29" t="inlineStr">
        <is>
          <t>OpenDART_fnlttSinglAcntAll</t>
        </is>
      </c>
      <c r="B44" s="29" t="inlineStr">
        <is>
          <t>00366942</t>
        </is>
      </c>
      <c r="C44" s="29" t="inlineStr">
        <is>
          <t>미코</t>
        </is>
      </c>
      <c r="D44" s="29" t="inlineStr">
        <is>
          <t>mico</t>
        </is>
      </c>
      <c r="E44" s="29" t="inlineStr">
        <is>
          <t>059090</t>
        </is>
      </c>
      <c r="F44" s="29" t="inlineStr">
        <is>
          <t>2021</t>
        </is>
      </c>
      <c r="G44" s="29" t="inlineStr">
        <is>
          <t>CFS</t>
        </is>
      </c>
      <c r="H44" s="29" t="inlineStr">
        <is>
          <t>BS</t>
        </is>
      </c>
      <c r="I44" s="29" t="inlineStr">
        <is>
          <t>재무상태표</t>
        </is>
      </c>
      <c r="J44" s="29" t="inlineStr">
        <is>
          <t>ifrs-full_Equity</t>
        </is>
      </c>
      <c r="K44" s="29" t="inlineStr">
        <is>
          <t>자본총계</t>
        </is>
      </c>
      <c r="L44" s="29" t="inlineStr">
        <is>
          <t>-</t>
        </is>
      </c>
      <c r="M44" s="29" t="inlineStr">
        <is>
          <t>제 23 기</t>
        </is>
      </c>
      <c r="N44" s="29" t="inlineStr">
        <is>
          <t>379471316135.0</t>
        </is>
      </c>
      <c r="O44" s="29" t="inlineStr">
        <is>
          <t>234961394680.0</t>
        </is>
      </c>
      <c r="P44" s="29" t="inlineStr">
        <is>
          <t>KRW</t>
        </is>
      </c>
      <c r="Q44" s="29" t="inlineStr">
        <is>
          <t>44</t>
        </is>
      </c>
    </row>
    <row r="45" ht="24" customHeight="1">
      <c r="A45" s="24" t="inlineStr">
        <is>
          <t>OpenDART_fnlttSinglAcntAll</t>
        </is>
      </c>
      <c r="B45" s="24" t="inlineStr">
        <is>
          <t>00366942</t>
        </is>
      </c>
      <c r="C45" s="24" t="inlineStr">
        <is>
          <t>미코</t>
        </is>
      </c>
      <c r="D45" s="24" t="inlineStr">
        <is>
          <t>mico</t>
        </is>
      </c>
      <c r="E45" s="24" t="inlineStr">
        <is>
          <t>059090</t>
        </is>
      </c>
      <c r="F45" s="24" t="inlineStr">
        <is>
          <t>2021</t>
        </is>
      </c>
      <c r="G45" s="24" t="inlineStr">
        <is>
          <t>CFS</t>
        </is>
      </c>
      <c r="H45" s="24" t="inlineStr">
        <is>
          <t>BS</t>
        </is>
      </c>
      <c r="I45" s="24" t="inlineStr">
        <is>
          <t>재무상태표</t>
        </is>
      </c>
      <c r="J45" s="24" t="inlineStr">
        <is>
          <t>ifrs-full_EquityAndLiabilities</t>
        </is>
      </c>
      <c r="K45" s="24" t="inlineStr">
        <is>
          <t>자본과부채총계</t>
        </is>
      </c>
      <c r="L45" s="24" t="inlineStr">
        <is>
          <t>-</t>
        </is>
      </c>
      <c r="M45" s="24" t="inlineStr">
        <is>
          <t>제 23 기</t>
        </is>
      </c>
      <c r="N45" s="24" t="inlineStr">
        <is>
          <t>721538023067.0</t>
        </is>
      </c>
      <c r="O45" s="24" t="inlineStr">
        <is>
          <t>518857538258.0</t>
        </is>
      </c>
      <c r="P45" s="24" t="inlineStr">
        <is>
          <t>KRW</t>
        </is>
      </c>
      <c r="Q45" s="24" t="inlineStr">
        <is>
          <t>45</t>
        </is>
      </c>
    </row>
    <row r="46" ht="24" customHeight="1">
      <c r="A46" s="29" t="inlineStr">
        <is>
          <t>OpenDART_fnlttSinglAcntAll</t>
        </is>
      </c>
      <c r="B46" s="29" t="inlineStr">
        <is>
          <t>00366942</t>
        </is>
      </c>
      <c r="C46" s="29" t="inlineStr">
        <is>
          <t>미코</t>
        </is>
      </c>
      <c r="D46" s="29" t="inlineStr">
        <is>
          <t>mico</t>
        </is>
      </c>
      <c r="E46" s="29" t="inlineStr">
        <is>
          <t>059090</t>
        </is>
      </c>
      <c r="F46" s="29" t="inlineStr">
        <is>
          <t>2021</t>
        </is>
      </c>
      <c r="G46" s="29" t="inlineStr">
        <is>
          <t>CFS</t>
        </is>
      </c>
      <c r="H46" s="29" t="inlineStr">
        <is>
          <t>CIS</t>
        </is>
      </c>
      <c r="I46" s="29" t="inlineStr">
        <is>
          <t>포괄손익계산서</t>
        </is>
      </c>
      <c r="J46" s="29" t="inlineStr">
        <is>
          <t>ifrs-full_Revenue</t>
        </is>
      </c>
      <c r="K46" s="29" t="inlineStr">
        <is>
          <t>수익(매출액)</t>
        </is>
      </c>
      <c r="L46" s="29" t="inlineStr">
        <is>
          <t>-</t>
        </is>
      </c>
      <c r="M46" s="29" t="inlineStr">
        <is>
          <t>제 23 기</t>
        </is>
      </c>
      <c r="N46" s="29" t="inlineStr">
        <is>
          <t>365490680610.0</t>
        </is>
      </c>
      <c r="O46" s="29" t="inlineStr">
        <is>
          <t>280899054562.0</t>
        </is>
      </c>
      <c r="P46" s="29" t="inlineStr">
        <is>
          <t>KRW</t>
        </is>
      </c>
      <c r="Q46" s="29" t="inlineStr">
        <is>
          <t>0</t>
        </is>
      </c>
    </row>
    <row r="47" ht="24" customHeight="1">
      <c r="A47" s="24" t="inlineStr">
        <is>
          <t>OpenDART_fnlttSinglAcntAll</t>
        </is>
      </c>
      <c r="B47" s="24" t="inlineStr">
        <is>
          <t>00366942</t>
        </is>
      </c>
      <c r="C47" s="24" t="inlineStr">
        <is>
          <t>미코</t>
        </is>
      </c>
      <c r="D47" s="24" t="inlineStr">
        <is>
          <t>mico</t>
        </is>
      </c>
      <c r="E47" s="24" t="inlineStr">
        <is>
          <t>059090</t>
        </is>
      </c>
      <c r="F47" s="24" t="inlineStr">
        <is>
          <t>2021</t>
        </is>
      </c>
      <c r="G47" s="24" t="inlineStr">
        <is>
          <t>CFS</t>
        </is>
      </c>
      <c r="H47" s="24" t="inlineStr">
        <is>
          <t>CIS</t>
        </is>
      </c>
      <c r="I47" s="24" t="inlineStr">
        <is>
          <t>포괄손익계산서</t>
        </is>
      </c>
      <c r="J47" s="24" t="inlineStr">
        <is>
          <t>ifrs-full_CostOfSales</t>
        </is>
      </c>
      <c r="K47" s="24" t="inlineStr">
        <is>
          <t>매출원가</t>
        </is>
      </c>
      <c r="L47" s="24" t="inlineStr">
        <is>
          <t>-</t>
        </is>
      </c>
      <c r="M47" s="24" t="inlineStr">
        <is>
          <t>제 23 기</t>
        </is>
      </c>
      <c r="N47" s="24" t="inlineStr">
        <is>
          <t>194097685979.0</t>
        </is>
      </c>
      <c r="O47" s="24" t="inlineStr">
        <is>
          <t>152642999456.0</t>
        </is>
      </c>
      <c r="P47" s="24" t="inlineStr">
        <is>
          <t>KRW</t>
        </is>
      </c>
      <c r="Q47" s="24" t="inlineStr">
        <is>
          <t>1</t>
        </is>
      </c>
    </row>
    <row r="48" ht="24" customHeight="1">
      <c r="A48" s="29" t="inlineStr">
        <is>
          <t>OpenDART_fnlttSinglAcntAll</t>
        </is>
      </c>
      <c r="B48" s="29" t="inlineStr">
        <is>
          <t>00366942</t>
        </is>
      </c>
      <c r="C48" s="29" t="inlineStr">
        <is>
          <t>미코</t>
        </is>
      </c>
      <c r="D48" s="29" t="inlineStr">
        <is>
          <t>mico</t>
        </is>
      </c>
      <c r="E48" s="29" t="inlineStr">
        <is>
          <t>059090</t>
        </is>
      </c>
      <c r="F48" s="29" t="inlineStr">
        <is>
          <t>2021</t>
        </is>
      </c>
      <c r="G48" s="29" t="inlineStr">
        <is>
          <t>CFS</t>
        </is>
      </c>
      <c r="H48" s="29" t="inlineStr">
        <is>
          <t>CIS</t>
        </is>
      </c>
      <c r="I48" s="29" t="inlineStr">
        <is>
          <t>포괄손익계산서</t>
        </is>
      </c>
      <c r="J48" s="29" t="inlineStr">
        <is>
          <t>ifrs-full_GrossProfit</t>
        </is>
      </c>
      <c r="K48" s="29" t="inlineStr">
        <is>
          <t>매출총이익</t>
        </is>
      </c>
      <c r="L48" s="29" t="inlineStr">
        <is>
          <t>-</t>
        </is>
      </c>
      <c r="M48" s="29" t="inlineStr">
        <is>
          <t>제 23 기</t>
        </is>
      </c>
      <c r="N48" s="29" t="inlineStr">
        <is>
          <t>171392994631.0</t>
        </is>
      </c>
      <c r="O48" s="29" t="inlineStr">
        <is>
          <t>128256055106.0</t>
        </is>
      </c>
      <c r="P48" s="29" t="inlineStr">
        <is>
          <t>KRW</t>
        </is>
      </c>
      <c r="Q48" s="29" t="inlineStr">
        <is>
          <t>2</t>
        </is>
      </c>
    </row>
    <row r="49" ht="24" customHeight="1">
      <c r="A49" s="24" t="inlineStr">
        <is>
          <t>OpenDART_fnlttSinglAcntAll</t>
        </is>
      </c>
      <c r="B49" s="24" t="inlineStr">
        <is>
          <t>00366942</t>
        </is>
      </c>
      <c r="C49" s="24" t="inlineStr">
        <is>
          <t>미코</t>
        </is>
      </c>
      <c r="D49" s="24" t="inlineStr">
        <is>
          <t>mico</t>
        </is>
      </c>
      <c r="E49" s="24" t="inlineStr">
        <is>
          <t>059090</t>
        </is>
      </c>
      <c r="F49" s="24" t="inlineStr">
        <is>
          <t>2021</t>
        </is>
      </c>
      <c r="G49" s="24" t="inlineStr">
        <is>
          <t>CFS</t>
        </is>
      </c>
      <c r="H49" s="24" t="inlineStr">
        <is>
          <t>CIS</t>
        </is>
      </c>
      <c r="I49" s="24" t="inlineStr">
        <is>
          <t>포괄손익계산서</t>
        </is>
      </c>
      <c r="J49" s="24" t="inlineStr">
        <is>
          <t>dart_TotalSellingGeneralAdministrativeExpenses</t>
        </is>
      </c>
      <c r="K49" s="24" t="inlineStr">
        <is>
          <t>판매비와관리비</t>
        </is>
      </c>
      <c r="L49" s="24" t="inlineStr">
        <is>
          <t>-</t>
        </is>
      </c>
      <c r="M49" s="24" t="inlineStr">
        <is>
          <t>제 23 기</t>
        </is>
      </c>
      <c r="N49" s="24" t="inlineStr">
        <is>
          <t>101725001333.0</t>
        </is>
      </c>
      <c r="O49" s="24" t="inlineStr">
        <is>
          <t>84395712044.0</t>
        </is>
      </c>
      <c r="P49" s="24" t="inlineStr">
        <is>
          <t>KRW</t>
        </is>
      </c>
      <c r="Q49" s="24" t="inlineStr">
        <is>
          <t>3</t>
        </is>
      </c>
    </row>
    <row r="50" ht="24" customHeight="1">
      <c r="A50" s="29" t="inlineStr">
        <is>
          <t>OpenDART_fnlttSinglAcntAll</t>
        </is>
      </c>
      <c r="B50" s="29" t="inlineStr">
        <is>
          <t>00366942</t>
        </is>
      </c>
      <c r="C50" s="29" t="inlineStr">
        <is>
          <t>미코</t>
        </is>
      </c>
      <c r="D50" s="29" t="inlineStr">
        <is>
          <t>mico</t>
        </is>
      </c>
      <c r="E50" s="29" t="inlineStr">
        <is>
          <t>059090</t>
        </is>
      </c>
      <c r="F50" s="29" t="inlineStr">
        <is>
          <t>2021</t>
        </is>
      </c>
      <c r="G50" s="29" t="inlineStr">
        <is>
          <t>CFS</t>
        </is>
      </c>
      <c r="H50" s="29" t="inlineStr">
        <is>
          <t>CIS</t>
        </is>
      </c>
      <c r="I50" s="29" t="inlineStr">
        <is>
          <t>포괄손익계산서</t>
        </is>
      </c>
      <c r="J50" s="29" t="inlineStr">
        <is>
          <t>dart_OperatingIncomeLoss</t>
        </is>
      </c>
      <c r="K50" s="29" t="inlineStr">
        <is>
          <t>영업이익(손실)</t>
        </is>
      </c>
      <c r="L50" s="29" t="inlineStr">
        <is>
          <t>-</t>
        </is>
      </c>
      <c r="M50" s="29" t="inlineStr">
        <is>
          <t>제 23 기</t>
        </is>
      </c>
      <c r="N50" s="29" t="inlineStr">
        <is>
          <t>69667993298.0</t>
        </is>
      </c>
      <c r="O50" s="29" t="inlineStr">
        <is>
          <t>43860343062.0</t>
        </is>
      </c>
      <c r="P50" s="29" t="inlineStr">
        <is>
          <t>KRW</t>
        </is>
      </c>
      <c r="Q50" s="29" t="inlineStr">
        <is>
          <t>4</t>
        </is>
      </c>
    </row>
    <row r="51" ht="24" customHeight="1">
      <c r="A51" s="24" t="inlineStr">
        <is>
          <t>OpenDART_fnlttSinglAcntAll</t>
        </is>
      </c>
      <c r="B51" s="24" t="inlineStr">
        <is>
          <t>00366942</t>
        </is>
      </c>
      <c r="C51" s="24" t="inlineStr">
        <is>
          <t>미코</t>
        </is>
      </c>
      <c r="D51" s="24" t="inlineStr">
        <is>
          <t>mico</t>
        </is>
      </c>
      <c r="E51" s="24" t="inlineStr">
        <is>
          <t>059090</t>
        </is>
      </c>
      <c r="F51" s="24" t="inlineStr">
        <is>
          <t>2021</t>
        </is>
      </c>
      <c r="G51" s="24" t="inlineStr">
        <is>
          <t>CFS</t>
        </is>
      </c>
      <c r="H51" s="24" t="inlineStr">
        <is>
          <t>CIS</t>
        </is>
      </c>
      <c r="I51" s="24" t="inlineStr">
        <is>
          <t>포괄손익계산서</t>
        </is>
      </c>
      <c r="J51" s="24" t="inlineStr">
        <is>
          <t>ifrs-full_FinanceIncome</t>
        </is>
      </c>
      <c r="K51" s="24" t="inlineStr">
        <is>
          <t>금융수익</t>
        </is>
      </c>
      <c r="L51" s="24" t="inlineStr">
        <is>
          <t>-</t>
        </is>
      </c>
      <c r="M51" s="24" t="inlineStr">
        <is>
          <t>제 23 기</t>
        </is>
      </c>
      <c r="N51" s="24" t="inlineStr">
        <is>
          <t>15066794274.0</t>
        </is>
      </c>
      <c r="O51" s="24" t="inlineStr">
        <is>
          <t>13242806351.0</t>
        </is>
      </c>
      <c r="P51" s="24" t="inlineStr">
        <is>
          <t>KRW</t>
        </is>
      </c>
      <c r="Q51" s="24" t="inlineStr">
        <is>
          <t>5</t>
        </is>
      </c>
    </row>
    <row r="52" ht="24" customHeight="1">
      <c r="A52" s="29" t="inlineStr">
        <is>
          <t>OpenDART_fnlttSinglAcntAll</t>
        </is>
      </c>
      <c r="B52" s="29" t="inlineStr">
        <is>
          <t>00366942</t>
        </is>
      </c>
      <c r="C52" s="29" t="inlineStr">
        <is>
          <t>미코</t>
        </is>
      </c>
      <c r="D52" s="29" t="inlineStr">
        <is>
          <t>mico</t>
        </is>
      </c>
      <c r="E52" s="29" t="inlineStr">
        <is>
          <t>059090</t>
        </is>
      </c>
      <c r="F52" s="29" t="inlineStr">
        <is>
          <t>2021</t>
        </is>
      </c>
      <c r="G52" s="29" t="inlineStr">
        <is>
          <t>CFS</t>
        </is>
      </c>
      <c r="H52" s="29" t="inlineStr">
        <is>
          <t>CIS</t>
        </is>
      </c>
      <c r="I52" s="29" t="inlineStr">
        <is>
          <t>포괄손익계산서</t>
        </is>
      </c>
      <c r="J52" s="29" t="inlineStr">
        <is>
          <t>ifrs-full_FinanceCosts</t>
        </is>
      </c>
      <c r="K52" s="29" t="inlineStr">
        <is>
          <t>금융원가</t>
        </is>
      </c>
      <c r="L52" s="29" t="inlineStr">
        <is>
          <t>-</t>
        </is>
      </c>
      <c r="M52" s="29" t="inlineStr">
        <is>
          <t>제 23 기</t>
        </is>
      </c>
      <c r="N52" s="29" t="inlineStr">
        <is>
          <t>17048418766.0</t>
        </is>
      </c>
      <c r="O52" s="29" t="inlineStr">
        <is>
          <t>32022273813.0</t>
        </is>
      </c>
      <c r="P52" s="29" t="inlineStr">
        <is>
          <t>KRW</t>
        </is>
      </c>
      <c r="Q52" s="29" t="inlineStr">
        <is>
          <t>6</t>
        </is>
      </c>
    </row>
    <row r="53" ht="24" customHeight="1">
      <c r="A53" s="24" t="inlineStr">
        <is>
          <t>OpenDART_fnlttSinglAcntAll</t>
        </is>
      </c>
      <c r="B53" s="24" t="inlineStr">
        <is>
          <t>00366942</t>
        </is>
      </c>
      <c r="C53" s="24" t="inlineStr">
        <is>
          <t>미코</t>
        </is>
      </c>
      <c r="D53" s="24" t="inlineStr">
        <is>
          <t>mico</t>
        </is>
      </c>
      <c r="E53" s="24" t="inlineStr">
        <is>
          <t>059090</t>
        </is>
      </c>
      <c r="F53" s="24" t="inlineStr">
        <is>
          <t>2021</t>
        </is>
      </c>
      <c r="G53" s="24" t="inlineStr">
        <is>
          <t>CFS</t>
        </is>
      </c>
      <c r="H53" s="24" t="inlineStr">
        <is>
          <t>CIS</t>
        </is>
      </c>
      <c r="I53" s="24" t="inlineStr">
        <is>
          <t>포괄손익계산서</t>
        </is>
      </c>
      <c r="J53" s="24" t="inlineStr">
        <is>
          <t>dart_OtherGains</t>
        </is>
      </c>
      <c r="K53" s="24" t="inlineStr">
        <is>
          <t>기타이익</t>
        </is>
      </c>
      <c r="L53" s="24" t="inlineStr">
        <is>
          <t>-</t>
        </is>
      </c>
      <c r="M53" s="24" t="inlineStr">
        <is>
          <t>제 23 기</t>
        </is>
      </c>
      <c r="N53" s="24" t="inlineStr">
        <is>
          <t>1815795141.0</t>
        </is>
      </c>
      <c r="O53" s="24" t="inlineStr">
        <is>
          <t>1504186117.0</t>
        </is>
      </c>
      <c r="P53" s="24" t="inlineStr">
        <is>
          <t>KRW</t>
        </is>
      </c>
      <c r="Q53" s="24" t="inlineStr">
        <is>
          <t>7</t>
        </is>
      </c>
    </row>
    <row r="54" ht="24" customHeight="1">
      <c r="A54" s="29" t="inlineStr">
        <is>
          <t>OpenDART_fnlttSinglAcntAll</t>
        </is>
      </c>
      <c r="B54" s="29" t="inlineStr">
        <is>
          <t>00366942</t>
        </is>
      </c>
      <c r="C54" s="29" t="inlineStr">
        <is>
          <t>미코</t>
        </is>
      </c>
      <c r="D54" s="29" t="inlineStr">
        <is>
          <t>mico</t>
        </is>
      </c>
      <c r="E54" s="29" t="inlineStr">
        <is>
          <t>059090</t>
        </is>
      </c>
      <c r="F54" s="29" t="inlineStr">
        <is>
          <t>2021</t>
        </is>
      </c>
      <c r="G54" s="29" t="inlineStr">
        <is>
          <t>CFS</t>
        </is>
      </c>
      <c r="H54" s="29" t="inlineStr">
        <is>
          <t>CIS</t>
        </is>
      </c>
      <c r="I54" s="29" t="inlineStr">
        <is>
          <t>포괄손익계산서</t>
        </is>
      </c>
      <c r="J54" s="29" t="inlineStr">
        <is>
          <t>dart_OtherLosses</t>
        </is>
      </c>
      <c r="K54" s="29" t="inlineStr">
        <is>
          <t>기타손실</t>
        </is>
      </c>
      <c r="L54" s="29" t="inlineStr">
        <is>
          <t>-</t>
        </is>
      </c>
      <c r="M54" s="29" t="inlineStr">
        <is>
          <t>제 23 기</t>
        </is>
      </c>
      <c r="N54" s="29" t="inlineStr">
        <is>
          <t>962914883.0</t>
        </is>
      </c>
      <c r="O54" s="29" t="inlineStr">
        <is>
          <t>645410396.0</t>
        </is>
      </c>
      <c r="P54" s="29" t="inlineStr">
        <is>
          <t>KRW</t>
        </is>
      </c>
      <c r="Q54" s="29" t="inlineStr">
        <is>
          <t>8</t>
        </is>
      </c>
    </row>
    <row r="55" ht="24" customHeight="1">
      <c r="A55" s="24" t="inlineStr">
        <is>
          <t>OpenDART_fnlttSinglAcntAll</t>
        </is>
      </c>
      <c r="B55" s="24" t="inlineStr">
        <is>
          <t>00366942</t>
        </is>
      </c>
      <c r="C55" s="24" t="inlineStr">
        <is>
          <t>미코</t>
        </is>
      </c>
      <c r="D55" s="24" t="inlineStr">
        <is>
          <t>mico</t>
        </is>
      </c>
      <c r="E55" s="24" t="inlineStr">
        <is>
          <t>059090</t>
        </is>
      </c>
      <c r="F55" s="24" t="inlineStr">
        <is>
          <t>2021</t>
        </is>
      </c>
      <c r="G55" s="24" t="inlineStr">
        <is>
          <t>CFS</t>
        </is>
      </c>
      <c r="H55" s="24" t="inlineStr">
        <is>
          <t>CIS</t>
        </is>
      </c>
      <c r="I55" s="24" t="inlineStr">
        <is>
          <t>포괄손익계산서</t>
        </is>
      </c>
      <c r="J55" s="24" t="inlineStr">
        <is>
          <t>-표준계정코드 미사용-</t>
        </is>
      </c>
      <c r="K55" s="24" t="inlineStr">
        <is>
          <t>관계기업투자손익</t>
        </is>
      </c>
      <c r="L55" s="24" t="inlineStr">
        <is>
          <t>-</t>
        </is>
      </c>
      <c r="M55" s="24" t="inlineStr">
        <is>
          <t>제 23 기</t>
        </is>
      </c>
      <c r="N55" s="24" t="inlineStr">
        <is>
          <t>-6504202107.0</t>
        </is>
      </c>
      <c r="O55" s="24" t="inlineStr">
        <is>
          <t>13368854848.0</t>
        </is>
      </c>
      <c r="P55" s="24" t="inlineStr">
        <is>
          <t>KRW</t>
        </is>
      </c>
      <c r="Q55" s="24" t="inlineStr">
        <is>
          <t>9</t>
        </is>
      </c>
    </row>
    <row r="56" ht="24" customHeight="1">
      <c r="A56" s="29" t="inlineStr">
        <is>
          <t>OpenDART_fnlttSinglAcntAll</t>
        </is>
      </c>
      <c r="B56" s="29" t="inlineStr">
        <is>
          <t>00366942</t>
        </is>
      </c>
      <c r="C56" s="29" t="inlineStr">
        <is>
          <t>미코</t>
        </is>
      </c>
      <c r="D56" s="29" t="inlineStr">
        <is>
          <t>mico</t>
        </is>
      </c>
      <c r="E56" s="29" t="inlineStr">
        <is>
          <t>059090</t>
        </is>
      </c>
      <c r="F56" s="29" t="inlineStr">
        <is>
          <t>2021</t>
        </is>
      </c>
      <c r="G56" s="29" t="inlineStr">
        <is>
          <t>CFS</t>
        </is>
      </c>
      <c r="H56" s="29" t="inlineStr">
        <is>
          <t>CIS</t>
        </is>
      </c>
      <c r="I56" s="29" t="inlineStr">
        <is>
          <t>포괄손익계산서</t>
        </is>
      </c>
      <c r="J56" s="29" t="inlineStr">
        <is>
          <t>ifrs-full_ProfitLossBeforeTax</t>
        </is>
      </c>
      <c r="K56" s="29" t="inlineStr">
        <is>
          <t>법인세비용차감전순이익(손실)</t>
        </is>
      </c>
      <c r="L56" s="29" t="inlineStr">
        <is>
          <t>-</t>
        </is>
      </c>
      <c r="M56" s="29" t="inlineStr">
        <is>
          <t>제 23 기</t>
        </is>
      </c>
      <c r="N56" s="29" t="inlineStr">
        <is>
          <t>62035046957.0</t>
        </is>
      </c>
      <c r="O56" s="29" t="inlineStr">
        <is>
          <t>39308506169.0</t>
        </is>
      </c>
      <c r="P56" s="29" t="inlineStr">
        <is>
          <t>KRW</t>
        </is>
      </c>
      <c r="Q56" s="29" t="inlineStr">
        <is>
          <t>10</t>
        </is>
      </c>
    </row>
    <row r="57" ht="24" customHeight="1">
      <c r="A57" s="24" t="inlineStr">
        <is>
          <t>OpenDART_fnlttSinglAcntAll</t>
        </is>
      </c>
      <c r="B57" s="24" t="inlineStr">
        <is>
          <t>00366942</t>
        </is>
      </c>
      <c r="C57" s="24" t="inlineStr">
        <is>
          <t>미코</t>
        </is>
      </c>
      <c r="D57" s="24" t="inlineStr">
        <is>
          <t>mico</t>
        </is>
      </c>
      <c r="E57" s="24" t="inlineStr">
        <is>
          <t>059090</t>
        </is>
      </c>
      <c r="F57" s="24" t="inlineStr">
        <is>
          <t>2021</t>
        </is>
      </c>
      <c r="G57" s="24" t="inlineStr">
        <is>
          <t>CFS</t>
        </is>
      </c>
      <c r="H57" s="24" t="inlineStr">
        <is>
          <t>CIS</t>
        </is>
      </c>
      <c r="I57" s="24" t="inlineStr">
        <is>
          <t>포괄손익계산서</t>
        </is>
      </c>
      <c r="J57" s="24" t="inlineStr">
        <is>
          <t>ifrs-full_IncomeTaxExpenseContinuingOperations</t>
        </is>
      </c>
      <c r="K57" s="24" t="inlineStr">
        <is>
          <t>법인세비용</t>
        </is>
      </c>
      <c r="L57" s="24" t="inlineStr">
        <is>
          <t>-</t>
        </is>
      </c>
      <c r="M57" s="24" t="inlineStr">
        <is>
          <t>제 23 기</t>
        </is>
      </c>
      <c r="N57" s="24" t="inlineStr">
        <is>
          <t>40223437625.0</t>
        </is>
      </c>
      <c r="O57" s="24" t="inlineStr">
        <is>
          <t>11199516923.0</t>
        </is>
      </c>
      <c r="P57" s="24" t="inlineStr">
        <is>
          <t>KRW</t>
        </is>
      </c>
      <c r="Q57" s="24" t="inlineStr">
        <is>
          <t>11</t>
        </is>
      </c>
    </row>
    <row r="58" ht="24" customHeight="1">
      <c r="A58" s="29" t="inlineStr">
        <is>
          <t>OpenDART_fnlttSinglAcntAll</t>
        </is>
      </c>
      <c r="B58" s="29" t="inlineStr">
        <is>
          <t>00366942</t>
        </is>
      </c>
      <c r="C58" s="29" t="inlineStr">
        <is>
          <t>미코</t>
        </is>
      </c>
      <c r="D58" s="29" t="inlineStr">
        <is>
          <t>mico</t>
        </is>
      </c>
      <c r="E58" s="29" t="inlineStr">
        <is>
          <t>059090</t>
        </is>
      </c>
      <c r="F58" s="29" t="inlineStr">
        <is>
          <t>2021</t>
        </is>
      </c>
      <c r="G58" s="29" t="inlineStr">
        <is>
          <t>CFS</t>
        </is>
      </c>
      <c r="H58" s="29" t="inlineStr">
        <is>
          <t>CIS</t>
        </is>
      </c>
      <c r="I58" s="29" t="inlineStr">
        <is>
          <t>포괄손익계산서</t>
        </is>
      </c>
      <c r="J58" s="29" t="inlineStr">
        <is>
          <t>ifrs-full_ProfitLoss</t>
        </is>
      </c>
      <c r="K58" s="29" t="inlineStr">
        <is>
          <t>당기순이익(손실)</t>
        </is>
      </c>
      <c r="L58" s="29" t="inlineStr">
        <is>
          <t>-</t>
        </is>
      </c>
      <c r="M58" s="29" t="inlineStr">
        <is>
          <t>제 23 기</t>
        </is>
      </c>
      <c r="N58" s="29" t="inlineStr">
        <is>
          <t>21811609332.0</t>
        </is>
      </c>
      <c r="O58" s="29" t="inlineStr">
        <is>
          <t>28108989246.0</t>
        </is>
      </c>
      <c r="P58" s="29" t="inlineStr">
        <is>
          <t>KRW</t>
        </is>
      </c>
      <c r="Q58" s="29" t="inlineStr">
        <is>
          <t>12</t>
        </is>
      </c>
    </row>
    <row r="59" ht="24" customHeight="1">
      <c r="A59" s="24" t="inlineStr">
        <is>
          <t>OpenDART_fnlttSinglAcntAll</t>
        </is>
      </c>
      <c r="B59" s="24" t="inlineStr">
        <is>
          <t>00366942</t>
        </is>
      </c>
      <c r="C59" s="24" t="inlineStr">
        <is>
          <t>미코</t>
        </is>
      </c>
      <c r="D59" s="24" t="inlineStr">
        <is>
          <t>mico</t>
        </is>
      </c>
      <c r="E59" s="24" t="inlineStr">
        <is>
          <t>059090</t>
        </is>
      </c>
      <c r="F59" s="24" t="inlineStr">
        <is>
          <t>2021</t>
        </is>
      </c>
      <c r="G59" s="24" t="inlineStr">
        <is>
          <t>CFS</t>
        </is>
      </c>
      <c r="H59" s="24" t="inlineStr">
        <is>
          <t>CIS</t>
        </is>
      </c>
      <c r="I59" s="24" t="inlineStr">
        <is>
          <t>포괄손익계산서</t>
        </is>
      </c>
      <c r="J59" s="24" t="inlineStr">
        <is>
          <t>ifrs-full_ProfitLossAttributableToOwnersOfParent</t>
        </is>
      </c>
      <c r="K59" s="24" t="inlineStr">
        <is>
          <t>지배기업의 소유주에게 귀속되는 당기순이익(손실)</t>
        </is>
      </c>
      <c r="L59" s="24" t="inlineStr">
        <is>
          <t>-</t>
        </is>
      </c>
      <c r="M59" s="24" t="inlineStr">
        <is>
          <t>제 23 기</t>
        </is>
      </c>
      <c r="N59" s="24" t="inlineStr">
        <is>
          <t>-10987069462.0</t>
        </is>
      </c>
      <c r="O59" s="24" t="inlineStr">
        <is>
          <t>12963631553.0</t>
        </is>
      </c>
      <c r="P59" s="24" t="inlineStr">
        <is>
          <t>KRW</t>
        </is>
      </c>
      <c r="Q59" s="24" t="inlineStr">
        <is>
          <t>14</t>
        </is>
      </c>
    </row>
    <row r="60" ht="24" customHeight="1">
      <c r="A60" s="29" t="inlineStr">
        <is>
          <t>OpenDART_fnlttSinglAcntAll</t>
        </is>
      </c>
      <c r="B60" s="29" t="inlineStr">
        <is>
          <t>00366942</t>
        </is>
      </c>
      <c r="C60" s="29" t="inlineStr">
        <is>
          <t>미코</t>
        </is>
      </c>
      <c r="D60" s="29" t="inlineStr">
        <is>
          <t>mico</t>
        </is>
      </c>
      <c r="E60" s="29" t="inlineStr">
        <is>
          <t>059090</t>
        </is>
      </c>
      <c r="F60" s="29" t="inlineStr">
        <is>
          <t>2021</t>
        </is>
      </c>
      <c r="G60" s="29" t="inlineStr">
        <is>
          <t>CFS</t>
        </is>
      </c>
      <c r="H60" s="29" t="inlineStr">
        <is>
          <t>CIS</t>
        </is>
      </c>
      <c r="I60" s="29" t="inlineStr">
        <is>
          <t>포괄손익계산서</t>
        </is>
      </c>
      <c r="J60" s="29" t="inlineStr">
        <is>
          <t>ifrs-full_ProfitLossAttributableToNoncontrollingInterests</t>
        </is>
      </c>
      <c r="K60" s="29" t="inlineStr">
        <is>
          <t>비지배지분에 귀속되는 당기순이익(손실)</t>
        </is>
      </c>
      <c r="L60" s="29" t="inlineStr">
        <is>
          <t>-</t>
        </is>
      </c>
      <c r="M60" s="29" t="inlineStr">
        <is>
          <t>제 23 기</t>
        </is>
      </c>
      <c r="N60" s="29" t="inlineStr">
        <is>
          <t>32798678794.0</t>
        </is>
      </c>
      <c r="O60" s="29" t="inlineStr">
        <is>
          <t>15145357693.0</t>
        </is>
      </c>
      <c r="P60" s="29" t="inlineStr">
        <is>
          <t>KRW</t>
        </is>
      </c>
      <c r="Q60" s="29" t="inlineStr">
        <is>
          <t>15</t>
        </is>
      </c>
    </row>
    <row r="61" ht="24" customHeight="1">
      <c r="A61" s="24" t="inlineStr">
        <is>
          <t>OpenDART_fnlttSinglAcntAll</t>
        </is>
      </c>
      <c r="B61" s="24" t="inlineStr">
        <is>
          <t>00366942</t>
        </is>
      </c>
      <c r="C61" s="24" t="inlineStr">
        <is>
          <t>미코</t>
        </is>
      </c>
      <c r="D61" s="24" t="inlineStr">
        <is>
          <t>mico</t>
        </is>
      </c>
      <c r="E61" s="24" t="inlineStr">
        <is>
          <t>059090</t>
        </is>
      </c>
      <c r="F61" s="24" t="inlineStr">
        <is>
          <t>2021</t>
        </is>
      </c>
      <c r="G61" s="24" t="inlineStr">
        <is>
          <t>CFS</t>
        </is>
      </c>
      <c r="H61" s="24" t="inlineStr">
        <is>
          <t>CIS</t>
        </is>
      </c>
      <c r="I61" s="24" t="inlineStr">
        <is>
          <t>포괄손익계산서</t>
        </is>
      </c>
      <c r="J61" s="24" t="inlineStr">
        <is>
          <t>ifrs-full_OtherComprehensiveIncome</t>
        </is>
      </c>
      <c r="K61" s="24" t="inlineStr">
        <is>
          <t>기타포괄손익</t>
        </is>
      </c>
      <c r="L61" s="24" t="inlineStr">
        <is>
          <t>-</t>
        </is>
      </c>
      <c r="M61" s="24" t="inlineStr">
        <is>
          <t>제 23 기</t>
        </is>
      </c>
      <c r="N61" s="24" t="inlineStr">
        <is>
          <t>6352452038.0</t>
        </is>
      </c>
      <c r="O61" s="24" t="inlineStr">
        <is>
          <t>-3582582516.0</t>
        </is>
      </c>
      <c r="P61" s="24" t="inlineStr">
        <is>
          <t>KRW</t>
        </is>
      </c>
      <c r="Q61" s="24" t="inlineStr">
        <is>
          <t>16</t>
        </is>
      </c>
    </row>
    <row r="62" ht="24" customHeight="1">
      <c r="A62" s="29" t="inlineStr">
        <is>
          <t>OpenDART_fnlttSinglAcntAll</t>
        </is>
      </c>
      <c r="B62" s="29" t="inlineStr">
        <is>
          <t>00366942</t>
        </is>
      </c>
      <c r="C62" s="29" t="inlineStr">
        <is>
          <t>미코</t>
        </is>
      </c>
      <c r="D62" s="29" t="inlineStr">
        <is>
          <t>mico</t>
        </is>
      </c>
      <c r="E62" s="29" t="inlineStr">
        <is>
          <t>059090</t>
        </is>
      </c>
      <c r="F62" s="29" t="inlineStr">
        <is>
          <t>2021</t>
        </is>
      </c>
      <c r="G62" s="29" t="inlineStr">
        <is>
          <t>CFS</t>
        </is>
      </c>
      <c r="H62" s="29" t="inlineStr">
        <is>
          <t>CIS</t>
        </is>
      </c>
      <c r="I62" s="29" t="inlineStr">
        <is>
          <t>포괄손익계산서</t>
        </is>
      </c>
      <c r="J62" s="29" t="inlineStr">
        <is>
          <t>-표준계정코드 미사용-</t>
        </is>
      </c>
      <c r="K62" s="29" t="inlineStr">
        <is>
          <t>: 후속적으로 당기손익으로 재분류되지 않는 포괄손익</t>
        </is>
      </c>
      <c r="L62" s="29" t="inlineStr">
        <is>
          <t>-</t>
        </is>
      </c>
      <c r="M62" s="29" t="inlineStr">
        <is>
          <t>제 23 기</t>
        </is>
      </c>
      <c r="N62" s="29" t="inlineStr">
        <is>
          <t>-806134533.0</t>
        </is>
      </c>
      <c r="O62" s="29" t="inlineStr">
        <is>
          <t>-133673395.0</t>
        </is>
      </c>
      <c r="P62" s="29" t="inlineStr">
        <is>
          <t>KRW</t>
        </is>
      </c>
      <c r="Q62" s="29" t="inlineStr">
        <is>
          <t>17</t>
        </is>
      </c>
    </row>
    <row r="63" ht="24" customHeight="1">
      <c r="A63" s="24" t="inlineStr">
        <is>
          <t>OpenDART_fnlttSinglAcntAll</t>
        </is>
      </c>
      <c r="B63" s="24" t="inlineStr">
        <is>
          <t>00366942</t>
        </is>
      </c>
      <c r="C63" s="24" t="inlineStr">
        <is>
          <t>미코</t>
        </is>
      </c>
      <c r="D63" s="24" t="inlineStr">
        <is>
          <t>mico</t>
        </is>
      </c>
      <c r="E63" s="24" t="inlineStr">
        <is>
          <t>059090</t>
        </is>
      </c>
      <c r="F63" s="24" t="inlineStr">
        <is>
          <t>2021</t>
        </is>
      </c>
      <c r="G63" s="24" t="inlineStr">
        <is>
          <t>CFS</t>
        </is>
      </c>
      <c r="H63" s="24" t="inlineStr">
        <is>
          <t>CIS</t>
        </is>
      </c>
      <c r="I63" s="24" t="inlineStr">
        <is>
          <t>포괄손익계산서</t>
        </is>
      </c>
      <c r="J63" s="24" t="inlineStr">
        <is>
          <t>-표준계정코드 미사용-</t>
        </is>
      </c>
      <c r="K63" s="24" t="inlineStr">
        <is>
          <t>보험수리적손익</t>
        </is>
      </c>
      <c r="L63" s="24" t="inlineStr">
        <is>
          <t>-</t>
        </is>
      </c>
      <c r="M63" s="24" t="inlineStr">
        <is>
          <t>제 23 기</t>
        </is>
      </c>
      <c r="N63" s="24" t="inlineStr">
        <is>
          <t>-1234375668.0</t>
        </is>
      </c>
      <c r="O63" s="24" t="inlineStr">
        <is>
          <t>-407018341.0</t>
        </is>
      </c>
      <c r="P63" s="24" t="inlineStr">
        <is>
          <t>KRW</t>
        </is>
      </c>
      <c r="Q63" s="24" t="inlineStr">
        <is>
          <t>18</t>
        </is>
      </c>
    </row>
    <row r="64" ht="24" customHeight="1">
      <c r="A64" s="29" t="inlineStr">
        <is>
          <t>OpenDART_fnlttSinglAcntAll</t>
        </is>
      </c>
      <c r="B64" s="29" t="inlineStr">
        <is>
          <t>00366942</t>
        </is>
      </c>
      <c r="C64" s="29" t="inlineStr">
        <is>
          <t>미코</t>
        </is>
      </c>
      <c r="D64" s="29" t="inlineStr">
        <is>
          <t>mico</t>
        </is>
      </c>
      <c r="E64" s="29" t="inlineStr">
        <is>
          <t>059090</t>
        </is>
      </c>
      <c r="F64" s="29" t="inlineStr">
        <is>
          <t>2021</t>
        </is>
      </c>
      <c r="G64" s="29" t="inlineStr">
        <is>
          <t>CFS</t>
        </is>
      </c>
      <c r="H64" s="29" t="inlineStr">
        <is>
          <t>CIS</t>
        </is>
      </c>
      <c r="I64" s="29" t="inlineStr">
        <is>
          <t>포괄손익계산서</t>
        </is>
      </c>
      <c r="J64" s="29" t="inlineStr">
        <is>
          <t>-표준계정코드 미사용-</t>
        </is>
      </c>
      <c r="K64" s="29" t="inlineStr">
        <is>
          <t>기타포괄손익-공정가치측정금융자산평가손익</t>
        </is>
      </c>
      <c r="L64" s="29" t="inlineStr">
        <is>
          <t>-</t>
        </is>
      </c>
      <c r="M64" s="29" t="inlineStr">
        <is>
          <t>제 23 기</t>
        </is>
      </c>
      <c r="N64" s="29" t="inlineStr">
        <is>
          <t>428241135.0</t>
        </is>
      </c>
      <c r="O64" s="29" t="inlineStr">
        <is>
          <t>273344946.0</t>
        </is>
      </c>
      <c r="P64" s="29" t="inlineStr">
        <is>
          <t>KRW</t>
        </is>
      </c>
      <c r="Q64" s="29" t="inlineStr">
        <is>
          <t>19</t>
        </is>
      </c>
    </row>
    <row r="65" ht="24" customHeight="1">
      <c r="A65" s="24" t="inlineStr">
        <is>
          <t>OpenDART_fnlttSinglAcntAll</t>
        </is>
      </c>
      <c r="B65" s="24" t="inlineStr">
        <is>
          <t>00366942</t>
        </is>
      </c>
      <c r="C65" s="24" t="inlineStr">
        <is>
          <t>미코</t>
        </is>
      </c>
      <c r="D65" s="24" t="inlineStr">
        <is>
          <t>mico</t>
        </is>
      </c>
      <c r="E65" s="24" t="inlineStr">
        <is>
          <t>059090</t>
        </is>
      </c>
      <c r="F65" s="24" t="inlineStr">
        <is>
          <t>2021</t>
        </is>
      </c>
      <c r="G65" s="24" t="inlineStr">
        <is>
          <t>CFS</t>
        </is>
      </c>
      <c r="H65" s="24" t="inlineStr">
        <is>
          <t>CIS</t>
        </is>
      </c>
      <c r="I65" s="24" t="inlineStr">
        <is>
          <t>포괄손익계산서</t>
        </is>
      </c>
      <c r="J65" s="24" t="inlineStr">
        <is>
          <t>-표준계정코드 미사용-</t>
        </is>
      </c>
      <c r="K65" s="24" t="inlineStr">
        <is>
          <t>지분법이익잉여금</t>
        </is>
      </c>
      <c r="L65" s="24" t="inlineStr">
        <is>
          <t>-</t>
        </is>
      </c>
      <c r="M65" s="24" t="inlineStr">
        <is>
          <t>제 23 기</t>
        </is>
      </c>
      <c r="N65" s="24" t="inlineStr">
        <is>
          <t>0.0</t>
        </is>
      </c>
      <c r="O65" s="24" t="inlineStr">
        <is>
          <t>0.0</t>
        </is>
      </c>
      <c r="P65" s="24" t="inlineStr">
        <is>
          <t>KRW</t>
        </is>
      </c>
      <c r="Q65" s="24" t="inlineStr">
        <is>
          <t>20</t>
        </is>
      </c>
    </row>
    <row r="66" ht="24" customHeight="1">
      <c r="A66" s="29" t="inlineStr">
        <is>
          <t>OpenDART_fnlttSinglAcntAll</t>
        </is>
      </c>
      <c r="B66" s="29" t="inlineStr">
        <is>
          <t>00366942</t>
        </is>
      </c>
      <c r="C66" s="29" t="inlineStr">
        <is>
          <t>미코</t>
        </is>
      </c>
      <c r="D66" s="29" t="inlineStr">
        <is>
          <t>mico</t>
        </is>
      </c>
      <c r="E66" s="29" t="inlineStr">
        <is>
          <t>059090</t>
        </is>
      </c>
      <c r="F66" s="29" t="inlineStr">
        <is>
          <t>2021</t>
        </is>
      </c>
      <c r="G66" s="29" t="inlineStr">
        <is>
          <t>CFS</t>
        </is>
      </c>
      <c r="H66" s="29" t="inlineStr">
        <is>
          <t>CIS</t>
        </is>
      </c>
      <c r="I66" s="29" t="inlineStr">
        <is>
          <t>포괄손익계산서</t>
        </is>
      </c>
      <c r="J66" s="29" t="inlineStr">
        <is>
          <t>-표준계정코드 미사용-</t>
        </is>
      </c>
      <c r="K66" s="29" t="inlineStr">
        <is>
          <t>: 후속적으로 당기손익으로 재분류되는 포괄손익</t>
        </is>
      </c>
      <c r="L66" s="29" t="inlineStr">
        <is>
          <t>-</t>
        </is>
      </c>
      <c r="M66" s="29" t="inlineStr">
        <is>
          <t>제 23 기</t>
        </is>
      </c>
      <c r="N66" s="29" t="inlineStr">
        <is>
          <t>7158586571.0</t>
        </is>
      </c>
      <c r="O66" s="29" t="inlineStr">
        <is>
          <t>-3448909121.0</t>
        </is>
      </c>
      <c r="P66" s="29" t="inlineStr">
        <is>
          <t>KRW</t>
        </is>
      </c>
      <c r="Q66" s="29" t="inlineStr">
        <is>
          <t>21</t>
        </is>
      </c>
    </row>
    <row r="67" ht="24" customHeight="1">
      <c r="A67" s="24" t="inlineStr">
        <is>
          <t>OpenDART_fnlttSinglAcntAll</t>
        </is>
      </c>
      <c r="B67" s="24" t="inlineStr">
        <is>
          <t>00366942</t>
        </is>
      </c>
      <c r="C67" s="24" t="inlineStr">
        <is>
          <t>미코</t>
        </is>
      </c>
      <c r="D67" s="24" t="inlineStr">
        <is>
          <t>mico</t>
        </is>
      </c>
      <c r="E67" s="24" t="inlineStr">
        <is>
          <t>059090</t>
        </is>
      </c>
      <c r="F67" s="24" t="inlineStr">
        <is>
          <t>2021</t>
        </is>
      </c>
      <c r="G67" s="24" t="inlineStr">
        <is>
          <t>CFS</t>
        </is>
      </c>
      <c r="H67" s="24" t="inlineStr">
        <is>
          <t>CIS</t>
        </is>
      </c>
      <c r="I67" s="24" t="inlineStr">
        <is>
          <t>포괄손익계산서</t>
        </is>
      </c>
      <c r="J67" s="24" t="inlineStr">
        <is>
          <t>-표준계정코드 미사용-</t>
        </is>
      </c>
      <c r="K67" s="24" t="inlineStr">
        <is>
          <t>해외사업환산손익</t>
        </is>
      </c>
      <c r="L67" s="24" t="inlineStr">
        <is>
          <t>-</t>
        </is>
      </c>
      <c r="M67" s="24" t="inlineStr">
        <is>
          <t>제 23 기</t>
        </is>
      </c>
      <c r="N67" s="24" t="inlineStr">
        <is>
          <t>9806920926.0</t>
        </is>
      </c>
      <c r="O67" s="24" t="inlineStr">
        <is>
          <t>-3345068612.0</t>
        </is>
      </c>
      <c r="P67" s="24" t="inlineStr">
        <is>
          <t>KRW</t>
        </is>
      </c>
      <c r="Q67" s="24" t="inlineStr">
        <is>
          <t>22</t>
        </is>
      </c>
    </row>
    <row r="68" ht="24" customHeight="1">
      <c r="A68" s="29" t="inlineStr">
        <is>
          <t>OpenDART_fnlttSinglAcntAll</t>
        </is>
      </c>
      <c r="B68" s="29" t="inlineStr">
        <is>
          <t>00366942</t>
        </is>
      </c>
      <c r="C68" s="29" t="inlineStr">
        <is>
          <t>미코</t>
        </is>
      </c>
      <c r="D68" s="29" t="inlineStr">
        <is>
          <t>mico</t>
        </is>
      </c>
      <c r="E68" s="29" t="inlineStr">
        <is>
          <t>059090</t>
        </is>
      </c>
      <c r="F68" s="29" t="inlineStr">
        <is>
          <t>2021</t>
        </is>
      </c>
      <c r="G68" s="29" t="inlineStr">
        <is>
          <t>CFS</t>
        </is>
      </c>
      <c r="H68" s="29" t="inlineStr">
        <is>
          <t>CIS</t>
        </is>
      </c>
      <c r="I68" s="29" t="inlineStr">
        <is>
          <t>포괄손익계산서</t>
        </is>
      </c>
      <c r="J68" s="29" t="inlineStr">
        <is>
          <t>-표준계정코드 미사용-</t>
        </is>
      </c>
      <c r="K68" s="29" t="inlineStr">
        <is>
          <t>기타포괄손익-공정가치측정금융자산평가손익</t>
        </is>
      </c>
      <c r="L68" s="29" t="inlineStr">
        <is>
          <t>-</t>
        </is>
      </c>
      <c r="M68" s="29" t="inlineStr">
        <is>
          <t>제 23 기</t>
        </is>
      </c>
      <c r="N68" s="29" t="inlineStr">
        <is>
          <t>0.0</t>
        </is>
      </c>
      <c r="O68" s="29" t="inlineStr">
        <is>
          <t>0.0</t>
        </is>
      </c>
      <c r="P68" s="29" t="inlineStr">
        <is>
          <t>KRW</t>
        </is>
      </c>
      <c r="Q68" s="29" t="inlineStr">
        <is>
          <t>23</t>
        </is>
      </c>
    </row>
    <row r="69" ht="24" customHeight="1">
      <c r="A69" s="24" t="inlineStr">
        <is>
          <t>OpenDART_fnlttSinglAcntAll</t>
        </is>
      </c>
      <c r="B69" s="24" t="inlineStr">
        <is>
          <t>00366942</t>
        </is>
      </c>
      <c r="C69" s="24" t="inlineStr">
        <is>
          <t>미코</t>
        </is>
      </c>
      <c r="D69" s="24" t="inlineStr">
        <is>
          <t>mico</t>
        </is>
      </c>
      <c r="E69" s="24" t="inlineStr">
        <is>
          <t>059090</t>
        </is>
      </c>
      <c r="F69" s="24" t="inlineStr">
        <is>
          <t>2021</t>
        </is>
      </c>
      <c r="G69" s="24" t="inlineStr">
        <is>
          <t>CFS</t>
        </is>
      </c>
      <c r="H69" s="24" t="inlineStr">
        <is>
          <t>CIS</t>
        </is>
      </c>
      <c r="I69" s="24" t="inlineStr">
        <is>
          <t>포괄손익계산서</t>
        </is>
      </c>
      <c r="J69" s="24" t="inlineStr">
        <is>
          <t>-표준계정코드 미사용-</t>
        </is>
      </c>
      <c r="K69" s="24" t="inlineStr">
        <is>
          <t>지분법자본조정</t>
        </is>
      </c>
      <c r="L69" s="24" t="inlineStr">
        <is>
          <t>-</t>
        </is>
      </c>
      <c r="M69" s="24" t="inlineStr">
        <is>
          <t>제 23 기</t>
        </is>
      </c>
      <c r="N69" s="24" t="inlineStr">
        <is>
          <t>-2648334355.0</t>
        </is>
      </c>
      <c r="O69" s="24" t="inlineStr">
        <is>
          <t>-103840509.0</t>
        </is>
      </c>
      <c r="P69" s="24" t="inlineStr">
        <is>
          <t>KRW</t>
        </is>
      </c>
      <c r="Q69" s="24" t="inlineStr">
        <is>
          <t>24</t>
        </is>
      </c>
    </row>
    <row r="70" ht="24" customHeight="1">
      <c r="A70" s="29" t="inlineStr">
        <is>
          <t>OpenDART_fnlttSinglAcntAll</t>
        </is>
      </c>
      <c r="B70" s="29" t="inlineStr">
        <is>
          <t>00366942</t>
        </is>
      </c>
      <c r="C70" s="29" t="inlineStr">
        <is>
          <t>미코</t>
        </is>
      </c>
      <c r="D70" s="29" t="inlineStr">
        <is>
          <t>mico</t>
        </is>
      </c>
      <c r="E70" s="29" t="inlineStr">
        <is>
          <t>059090</t>
        </is>
      </c>
      <c r="F70" s="29" t="inlineStr">
        <is>
          <t>2021</t>
        </is>
      </c>
      <c r="G70" s="29" t="inlineStr">
        <is>
          <t>CFS</t>
        </is>
      </c>
      <c r="H70" s="29" t="inlineStr">
        <is>
          <t>CIS</t>
        </is>
      </c>
      <c r="I70" s="29" t="inlineStr">
        <is>
          <t>포괄손익계산서</t>
        </is>
      </c>
      <c r="J70" s="29" t="inlineStr">
        <is>
          <t>ifrs-full_ComprehensiveIncome</t>
        </is>
      </c>
      <c r="K70" s="29" t="inlineStr">
        <is>
          <t>총포괄손익</t>
        </is>
      </c>
      <c r="L70" s="29" t="inlineStr">
        <is>
          <t>-</t>
        </is>
      </c>
      <c r="M70" s="29" t="inlineStr">
        <is>
          <t>제 23 기</t>
        </is>
      </c>
      <c r="N70" s="29" t="inlineStr">
        <is>
          <t>28164061370.0</t>
        </is>
      </c>
      <c r="O70" s="29" t="inlineStr">
        <is>
          <t>24526406730.0</t>
        </is>
      </c>
      <c r="P70" s="29" t="inlineStr">
        <is>
          <t>KRW</t>
        </is>
      </c>
      <c r="Q70" s="29" t="inlineStr">
        <is>
          <t>25</t>
        </is>
      </c>
    </row>
    <row r="71" ht="24" customHeight="1">
      <c r="A71" s="24" t="inlineStr">
        <is>
          <t>OpenDART_fnlttSinglAcntAll</t>
        </is>
      </c>
      <c r="B71" s="24" t="inlineStr">
        <is>
          <t>00366942</t>
        </is>
      </c>
      <c r="C71" s="24" t="inlineStr">
        <is>
          <t>미코</t>
        </is>
      </c>
      <c r="D71" s="24" t="inlineStr">
        <is>
          <t>mico</t>
        </is>
      </c>
      <c r="E71" s="24" t="inlineStr">
        <is>
          <t>059090</t>
        </is>
      </c>
      <c r="F71" s="24" t="inlineStr">
        <is>
          <t>2021</t>
        </is>
      </c>
      <c r="G71" s="24" t="inlineStr">
        <is>
          <t>CFS</t>
        </is>
      </c>
      <c r="H71" s="24" t="inlineStr">
        <is>
          <t>CIS</t>
        </is>
      </c>
      <c r="I71" s="24" t="inlineStr">
        <is>
          <t>포괄손익계산서</t>
        </is>
      </c>
      <c r="J71" s="24" t="inlineStr">
        <is>
          <t>ifrs-full_ComprehensiveIncomeAttributableToOwnersOfParent</t>
        </is>
      </c>
      <c r="K71" s="24" t="inlineStr">
        <is>
          <t>총 포괄손익, 지배기업의 소유주에게 귀속되는 지분</t>
        </is>
      </c>
      <c r="L71" s="24" t="inlineStr">
        <is>
          <t>-</t>
        </is>
      </c>
      <c r="M71" s="24" t="inlineStr">
        <is>
          <t>제 23 기</t>
        </is>
      </c>
      <c r="N71" s="24" t="inlineStr">
        <is>
          <t>-9991370504.0</t>
        </is>
      </c>
      <c r="O71" s="24" t="inlineStr">
        <is>
          <t>11697824980.0</t>
        </is>
      </c>
      <c r="P71" s="24" t="inlineStr">
        <is>
          <t>KRW</t>
        </is>
      </c>
      <c r="Q71" s="24" t="inlineStr">
        <is>
          <t>27</t>
        </is>
      </c>
    </row>
    <row r="72" ht="24" customHeight="1">
      <c r="A72" s="29" t="inlineStr">
        <is>
          <t>OpenDART_fnlttSinglAcntAll</t>
        </is>
      </c>
      <c r="B72" s="29" t="inlineStr">
        <is>
          <t>00366942</t>
        </is>
      </c>
      <c r="C72" s="29" t="inlineStr">
        <is>
          <t>미코</t>
        </is>
      </c>
      <c r="D72" s="29" t="inlineStr">
        <is>
          <t>mico</t>
        </is>
      </c>
      <c r="E72" s="29" t="inlineStr">
        <is>
          <t>059090</t>
        </is>
      </c>
      <c r="F72" s="29" t="inlineStr">
        <is>
          <t>2021</t>
        </is>
      </c>
      <c r="G72" s="29" t="inlineStr">
        <is>
          <t>CFS</t>
        </is>
      </c>
      <c r="H72" s="29" t="inlineStr">
        <is>
          <t>CIS</t>
        </is>
      </c>
      <c r="I72" s="29" t="inlineStr">
        <is>
          <t>포괄손익계산서</t>
        </is>
      </c>
      <c r="J72" s="29" t="inlineStr">
        <is>
          <t>ifrs-full_ComprehensiveIncomeAttributableToNoncontrollingInterests</t>
        </is>
      </c>
      <c r="K72" s="29" t="inlineStr">
        <is>
          <t>총 포괄손익, 비지배지분</t>
        </is>
      </c>
      <c r="L72" s="29" t="inlineStr">
        <is>
          <t>-</t>
        </is>
      </c>
      <c r="M72" s="29" t="inlineStr">
        <is>
          <t>제 23 기</t>
        </is>
      </c>
      <c r="N72" s="29" t="inlineStr">
        <is>
          <t>38155431874.0</t>
        </is>
      </c>
      <c r="O72" s="29" t="inlineStr">
        <is>
          <t>12828581750.0</t>
        </is>
      </c>
      <c r="P72" s="29" t="inlineStr">
        <is>
          <t>KRW</t>
        </is>
      </c>
      <c r="Q72" s="29" t="inlineStr">
        <is>
          <t>28</t>
        </is>
      </c>
    </row>
    <row r="73" ht="24" customHeight="1">
      <c r="A73" s="24" t="inlineStr">
        <is>
          <t>OpenDART_fnlttSinglAcntAll</t>
        </is>
      </c>
      <c r="B73" s="24" t="inlineStr">
        <is>
          <t>00366942</t>
        </is>
      </c>
      <c r="C73" s="24" t="inlineStr">
        <is>
          <t>미코</t>
        </is>
      </c>
      <c r="D73" s="24" t="inlineStr">
        <is>
          <t>mico</t>
        </is>
      </c>
      <c r="E73" s="24" t="inlineStr">
        <is>
          <t>059090</t>
        </is>
      </c>
      <c r="F73" s="24" t="inlineStr">
        <is>
          <t>2021</t>
        </is>
      </c>
      <c r="G73" s="24" t="inlineStr">
        <is>
          <t>CFS</t>
        </is>
      </c>
      <c r="H73" s="24" t="inlineStr">
        <is>
          <t>CIS</t>
        </is>
      </c>
      <c r="I73" s="24" t="inlineStr">
        <is>
          <t>포괄손익계산서</t>
        </is>
      </c>
      <c r="J73" s="24" t="inlineStr">
        <is>
          <t>ifrs-full_BasicEarningsLossPerShare</t>
        </is>
      </c>
      <c r="K73" s="24" t="inlineStr">
        <is>
          <t>기본주당이익(손실)</t>
        </is>
      </c>
      <c r="L73" s="24" t="inlineStr">
        <is>
          <t>-</t>
        </is>
      </c>
      <c r="M73" s="24" t="inlineStr">
        <is>
          <t>제 23 기</t>
        </is>
      </c>
      <c r="N73" s="24" t="inlineStr">
        <is>
          <t>-356.0</t>
        </is>
      </c>
      <c r="O73" s="24" t="inlineStr">
        <is>
          <t>422.0</t>
        </is>
      </c>
      <c r="P73" s="24" t="inlineStr">
        <is>
          <t>KRW</t>
        </is>
      </c>
      <c r="Q73" s="24" t="inlineStr">
        <is>
          <t>30</t>
        </is>
      </c>
    </row>
    <row r="74" ht="24" customHeight="1">
      <c r="A74" s="29" t="inlineStr">
        <is>
          <t>OpenDART_fnlttSinglAcntAll</t>
        </is>
      </c>
      <c r="B74" s="29" t="inlineStr">
        <is>
          <t>00366942</t>
        </is>
      </c>
      <c r="C74" s="29" t="inlineStr">
        <is>
          <t>미코</t>
        </is>
      </c>
      <c r="D74" s="29" t="inlineStr">
        <is>
          <t>mico</t>
        </is>
      </c>
      <c r="E74" s="29" t="inlineStr">
        <is>
          <t>059090</t>
        </is>
      </c>
      <c r="F74" s="29" t="inlineStr">
        <is>
          <t>2021</t>
        </is>
      </c>
      <c r="G74" s="29" t="inlineStr">
        <is>
          <t>CFS</t>
        </is>
      </c>
      <c r="H74" s="29" t="inlineStr">
        <is>
          <t>CIS</t>
        </is>
      </c>
      <c r="I74" s="29" t="inlineStr">
        <is>
          <t>포괄손익계산서</t>
        </is>
      </c>
      <c r="J74" s="29" t="inlineStr">
        <is>
          <t>ifrs-full_DilutedEarningsLossPerShare</t>
        </is>
      </c>
      <c r="K74" s="29" t="inlineStr">
        <is>
          <t>희석주당이익(손실)</t>
        </is>
      </c>
      <c r="L74" s="29" t="inlineStr">
        <is>
          <t>-</t>
        </is>
      </c>
      <c r="M74" s="29" t="inlineStr">
        <is>
          <t>제 23 기</t>
        </is>
      </c>
      <c r="N74" s="29" t="inlineStr">
        <is>
          <t>-356.0</t>
        </is>
      </c>
      <c r="O74" s="29" t="inlineStr">
        <is>
          <t>422.0</t>
        </is>
      </c>
      <c r="P74" s="29" t="inlineStr">
        <is>
          <t>KRW</t>
        </is>
      </c>
      <c r="Q74" s="29" t="inlineStr">
        <is>
          <t>31</t>
        </is>
      </c>
    </row>
    <row r="75" ht="24" customHeight="1">
      <c r="A75" s="24" t="inlineStr">
        <is>
          <t>OpenDART_fnlttSinglAcntAll</t>
        </is>
      </c>
      <c r="B75" s="24" t="inlineStr">
        <is>
          <t>00366942</t>
        </is>
      </c>
      <c r="C75" s="24" t="inlineStr">
        <is>
          <t>미코</t>
        </is>
      </c>
      <c r="D75" s="24" t="inlineStr">
        <is>
          <t>mico</t>
        </is>
      </c>
      <c r="E75" s="24" t="inlineStr">
        <is>
          <t>059090</t>
        </is>
      </c>
      <c r="F75" s="24" t="inlineStr">
        <is>
          <t>2021</t>
        </is>
      </c>
      <c r="G75" s="24" t="inlineStr">
        <is>
          <t>CFS</t>
        </is>
      </c>
      <c r="H75" s="24" t="inlineStr">
        <is>
          <t>CF</t>
        </is>
      </c>
      <c r="I75" s="24" t="inlineStr">
        <is>
          <t>현금흐름표</t>
        </is>
      </c>
      <c r="J75" s="24" t="inlineStr">
        <is>
          <t>ifrs-full_CashFlowsFromUsedInOperatingActivities</t>
        </is>
      </c>
      <c r="K75" s="24" t="inlineStr">
        <is>
          <t>영업활동현금흐름</t>
        </is>
      </c>
      <c r="L75" s="24" t="inlineStr">
        <is>
          <t>-</t>
        </is>
      </c>
      <c r="M75" s="24" t="inlineStr">
        <is>
          <t>제 23 기</t>
        </is>
      </c>
      <c r="N75" s="24" t="inlineStr">
        <is>
          <t>79762640958.0</t>
        </is>
      </c>
      <c r="O75" s="24" t="inlineStr">
        <is>
          <t>53454093988.0</t>
        </is>
      </c>
      <c r="P75" s="24" t="inlineStr">
        <is>
          <t>KRW</t>
        </is>
      </c>
      <c r="Q75" s="24" t="inlineStr">
        <is>
          <t>0</t>
        </is>
      </c>
    </row>
    <row r="76" ht="24" customHeight="1">
      <c r="A76" s="29" t="inlineStr">
        <is>
          <t>OpenDART_fnlttSinglAcntAll</t>
        </is>
      </c>
      <c r="B76" s="29" t="inlineStr">
        <is>
          <t>00366942</t>
        </is>
      </c>
      <c r="C76" s="29" t="inlineStr">
        <is>
          <t>미코</t>
        </is>
      </c>
      <c r="D76" s="29" t="inlineStr">
        <is>
          <t>mico</t>
        </is>
      </c>
      <c r="E76" s="29" t="inlineStr">
        <is>
          <t>059090</t>
        </is>
      </c>
      <c r="F76" s="29" t="inlineStr">
        <is>
          <t>2021</t>
        </is>
      </c>
      <c r="G76" s="29" t="inlineStr">
        <is>
          <t>CFS</t>
        </is>
      </c>
      <c r="H76" s="29" t="inlineStr">
        <is>
          <t>CF</t>
        </is>
      </c>
      <c r="I76" s="29" t="inlineStr">
        <is>
          <t>현금흐름표</t>
        </is>
      </c>
      <c r="J76" s="29" t="inlineStr">
        <is>
          <t>dart_NetCashflowsFromUsedInOperations</t>
        </is>
      </c>
      <c r="K76" s="29" t="inlineStr">
        <is>
          <t>영업에서 창출된 현금</t>
        </is>
      </c>
      <c r="L76" s="29" t="inlineStr">
        <is>
          <t>-</t>
        </is>
      </c>
      <c r="M76" s="29" t="inlineStr">
        <is>
          <t>제 23 기</t>
        </is>
      </c>
      <c r="N76" s="29" t="inlineStr">
        <is>
          <t>98950505073.0</t>
        </is>
      </c>
      <c r="O76" s="29" t="inlineStr">
        <is>
          <t>64564973778.0</t>
        </is>
      </c>
      <c r="P76" s="29" t="inlineStr">
        <is>
          <t>KRW</t>
        </is>
      </c>
      <c r="Q76" s="29" t="inlineStr">
        <is>
          <t>1</t>
        </is>
      </c>
    </row>
    <row r="77" ht="24" customHeight="1">
      <c r="A77" s="24" t="inlineStr">
        <is>
          <t>OpenDART_fnlttSinglAcntAll</t>
        </is>
      </c>
      <c r="B77" s="24" t="inlineStr">
        <is>
          <t>00366942</t>
        </is>
      </c>
      <c r="C77" s="24" t="inlineStr">
        <is>
          <t>미코</t>
        </is>
      </c>
      <c r="D77" s="24" t="inlineStr">
        <is>
          <t>mico</t>
        </is>
      </c>
      <c r="E77" s="24" t="inlineStr">
        <is>
          <t>059090</t>
        </is>
      </c>
      <c r="F77" s="24" t="inlineStr">
        <is>
          <t>2021</t>
        </is>
      </c>
      <c r="G77" s="24" t="inlineStr">
        <is>
          <t>CFS</t>
        </is>
      </c>
      <c r="H77" s="24" t="inlineStr">
        <is>
          <t>CF</t>
        </is>
      </c>
      <c r="I77" s="24" t="inlineStr">
        <is>
          <t>현금흐름표</t>
        </is>
      </c>
      <c r="J77" s="24" t="inlineStr">
        <is>
          <t>-표준계정코드 미사용-</t>
        </is>
      </c>
      <c r="K77" s="24" t="inlineStr">
        <is>
          <t>배당금의 수취</t>
        </is>
      </c>
      <c r="L77" s="24" t="inlineStr">
        <is>
          <t>-</t>
        </is>
      </c>
      <c r="M77" s="24" t="inlineStr">
        <is>
          <t>제 23 기</t>
        </is>
      </c>
      <c r="N77" s="24" t="inlineStr">
        <is>
          <t>44550000.0</t>
        </is>
      </c>
      <c r="O77" s="24" t="inlineStr">
        <is>
          <t>해당 없음</t>
        </is>
      </c>
      <c r="P77" s="24" t="inlineStr">
        <is>
          <t>KRW</t>
        </is>
      </c>
      <c r="Q77" s="24" t="inlineStr">
        <is>
          <t>2</t>
        </is>
      </c>
    </row>
    <row r="78" ht="24" customHeight="1">
      <c r="A78" s="29" t="inlineStr">
        <is>
          <t>OpenDART_fnlttSinglAcntAll</t>
        </is>
      </c>
      <c r="B78" s="29" t="inlineStr">
        <is>
          <t>00366942</t>
        </is>
      </c>
      <c r="C78" s="29" t="inlineStr">
        <is>
          <t>미코</t>
        </is>
      </c>
      <c r="D78" s="29" t="inlineStr">
        <is>
          <t>mico</t>
        </is>
      </c>
      <c r="E78" s="29" t="inlineStr">
        <is>
          <t>059090</t>
        </is>
      </c>
      <c r="F78" s="29" t="inlineStr">
        <is>
          <t>2021</t>
        </is>
      </c>
      <c r="G78" s="29" t="inlineStr">
        <is>
          <t>CFS</t>
        </is>
      </c>
      <c r="H78" s="29" t="inlineStr">
        <is>
          <t>CF</t>
        </is>
      </c>
      <c r="I78" s="29" t="inlineStr">
        <is>
          <t>현금흐름표</t>
        </is>
      </c>
      <c r="J78" s="29" t="inlineStr">
        <is>
          <t>ifrs-full_InterestReceivedClassifiedAsOperatingActivities</t>
        </is>
      </c>
      <c r="K78" s="29" t="inlineStr">
        <is>
          <t>이자수취(영업)</t>
        </is>
      </c>
      <c r="L78" s="29" t="inlineStr">
        <is>
          <t>-</t>
        </is>
      </c>
      <c r="M78" s="29" t="inlineStr">
        <is>
          <t>제 23 기</t>
        </is>
      </c>
      <c r="N78" s="29" t="inlineStr">
        <is>
          <t>1527601341.0</t>
        </is>
      </c>
      <c r="O78" s="29" t="inlineStr">
        <is>
          <t>1603209291.0</t>
        </is>
      </c>
      <c r="P78" s="29" t="inlineStr">
        <is>
          <t>KRW</t>
        </is>
      </c>
      <c r="Q78" s="29" t="inlineStr">
        <is>
          <t>3</t>
        </is>
      </c>
    </row>
    <row r="79" ht="24" customHeight="1">
      <c r="A79" s="24" t="inlineStr">
        <is>
          <t>OpenDART_fnlttSinglAcntAll</t>
        </is>
      </c>
      <c r="B79" s="24" t="inlineStr">
        <is>
          <t>00366942</t>
        </is>
      </c>
      <c r="C79" s="24" t="inlineStr">
        <is>
          <t>미코</t>
        </is>
      </c>
      <c r="D79" s="24" t="inlineStr">
        <is>
          <t>mico</t>
        </is>
      </c>
      <c r="E79" s="24" t="inlineStr">
        <is>
          <t>059090</t>
        </is>
      </c>
      <c r="F79" s="24" t="inlineStr">
        <is>
          <t>2021</t>
        </is>
      </c>
      <c r="G79" s="24" t="inlineStr">
        <is>
          <t>CFS</t>
        </is>
      </c>
      <c r="H79" s="24" t="inlineStr">
        <is>
          <t>CF</t>
        </is>
      </c>
      <c r="I79" s="24" t="inlineStr">
        <is>
          <t>현금흐름표</t>
        </is>
      </c>
      <c r="J79" s="24" t="inlineStr">
        <is>
          <t>ifrs-full_InterestPaidClassifiedAsOperatingActivities</t>
        </is>
      </c>
      <c r="K79" s="24" t="inlineStr">
        <is>
          <t>이자지급(영업)</t>
        </is>
      </c>
      <c r="L79" s="24" t="inlineStr">
        <is>
          <t>-</t>
        </is>
      </c>
      <c r="M79" s="24" t="inlineStr">
        <is>
          <t>제 23 기</t>
        </is>
      </c>
      <c r="N79" s="24" t="inlineStr">
        <is>
          <t>3933543560.0</t>
        </is>
      </c>
      <c r="O79" s="24" t="inlineStr">
        <is>
          <t>3751931959.0</t>
        </is>
      </c>
      <c r="P79" s="24" t="inlineStr">
        <is>
          <t>KRW</t>
        </is>
      </c>
      <c r="Q79" s="24" t="inlineStr">
        <is>
          <t>4</t>
        </is>
      </c>
    </row>
    <row r="80" ht="24" customHeight="1">
      <c r="A80" s="29" t="inlineStr">
        <is>
          <t>OpenDART_fnlttSinglAcntAll</t>
        </is>
      </c>
      <c r="B80" s="29" t="inlineStr">
        <is>
          <t>00366942</t>
        </is>
      </c>
      <c r="C80" s="29" t="inlineStr">
        <is>
          <t>미코</t>
        </is>
      </c>
      <c r="D80" s="29" t="inlineStr">
        <is>
          <t>mico</t>
        </is>
      </c>
      <c r="E80" s="29" t="inlineStr">
        <is>
          <t>059090</t>
        </is>
      </c>
      <c r="F80" s="29" t="inlineStr">
        <is>
          <t>2021</t>
        </is>
      </c>
      <c r="G80" s="29" t="inlineStr">
        <is>
          <t>CFS</t>
        </is>
      </c>
      <c r="H80" s="29" t="inlineStr">
        <is>
          <t>CF</t>
        </is>
      </c>
      <c r="I80" s="29" t="inlineStr">
        <is>
          <t>현금흐름표</t>
        </is>
      </c>
      <c r="J80" s="29" t="inlineStr">
        <is>
          <t>dart_IncomeTaxesPaidClassifiedAsOperatingActivities</t>
        </is>
      </c>
      <c r="K80" s="29" t="inlineStr">
        <is>
          <t>법인세납부(영업)</t>
        </is>
      </c>
      <c r="L80" s="29" t="inlineStr">
        <is>
          <t>-</t>
        </is>
      </c>
      <c r="M80" s="29" t="inlineStr">
        <is>
          <t>제 23 기</t>
        </is>
      </c>
      <c r="N80" s="29" t="inlineStr">
        <is>
          <t>16826471896.0</t>
        </is>
      </c>
      <c r="O80" s="29" t="inlineStr">
        <is>
          <t>8962157122.0</t>
        </is>
      </c>
      <c r="P80" s="29" t="inlineStr">
        <is>
          <t>KRW</t>
        </is>
      </c>
      <c r="Q80" s="29" t="inlineStr">
        <is>
          <t>5</t>
        </is>
      </c>
    </row>
    <row r="81" ht="24" customHeight="1">
      <c r="A81" s="24" t="inlineStr">
        <is>
          <t>OpenDART_fnlttSinglAcntAll</t>
        </is>
      </c>
      <c r="B81" s="24" t="inlineStr">
        <is>
          <t>00366942</t>
        </is>
      </c>
      <c r="C81" s="24" t="inlineStr">
        <is>
          <t>미코</t>
        </is>
      </c>
      <c r="D81" s="24" t="inlineStr">
        <is>
          <t>mico</t>
        </is>
      </c>
      <c r="E81" s="24" t="inlineStr">
        <is>
          <t>059090</t>
        </is>
      </c>
      <c r="F81" s="24" t="inlineStr">
        <is>
          <t>2021</t>
        </is>
      </c>
      <c r="G81" s="24" t="inlineStr">
        <is>
          <t>CFS</t>
        </is>
      </c>
      <c r="H81" s="24" t="inlineStr">
        <is>
          <t>CF</t>
        </is>
      </c>
      <c r="I81" s="24" t="inlineStr">
        <is>
          <t>현금흐름표</t>
        </is>
      </c>
      <c r="J81" s="24" t="inlineStr">
        <is>
          <t>ifrs-full_CashFlowsFromUsedInInvestingActivities</t>
        </is>
      </c>
      <c r="K81" s="24" t="inlineStr">
        <is>
          <t>투자활동현금흐름</t>
        </is>
      </c>
      <c r="L81" s="24" t="inlineStr">
        <is>
          <t>-</t>
        </is>
      </c>
      <c r="M81" s="24" t="inlineStr">
        <is>
          <t>제 23 기</t>
        </is>
      </c>
      <c r="N81" s="24" t="inlineStr">
        <is>
          <t>-185943217722.0</t>
        </is>
      </c>
      <c r="O81" s="24" t="inlineStr">
        <is>
          <t>-59327226019.0</t>
        </is>
      </c>
      <c r="P81" s="24" t="inlineStr">
        <is>
          <t>KRW</t>
        </is>
      </c>
      <c r="Q81" s="24" t="inlineStr">
        <is>
          <t>6</t>
        </is>
      </c>
    </row>
    <row r="82" ht="24" customHeight="1">
      <c r="A82" s="29" t="inlineStr">
        <is>
          <t>OpenDART_fnlttSinglAcntAll</t>
        </is>
      </c>
      <c r="B82" s="29" t="inlineStr">
        <is>
          <t>00366942</t>
        </is>
      </c>
      <c r="C82" s="29" t="inlineStr">
        <is>
          <t>미코</t>
        </is>
      </c>
      <c r="D82" s="29" t="inlineStr">
        <is>
          <t>mico</t>
        </is>
      </c>
      <c r="E82" s="29" t="inlineStr">
        <is>
          <t>059090</t>
        </is>
      </c>
      <c r="F82" s="29" t="inlineStr">
        <is>
          <t>2021</t>
        </is>
      </c>
      <c r="G82" s="29" t="inlineStr">
        <is>
          <t>CFS</t>
        </is>
      </c>
      <c r="H82" s="29" t="inlineStr">
        <is>
          <t>CF</t>
        </is>
      </c>
      <c r="I82" s="29" t="inlineStr">
        <is>
          <t>현금흐름표</t>
        </is>
      </c>
      <c r="J82" s="29" t="inlineStr">
        <is>
          <t>dart_ProceedsFromSalesOfFinancialInstruments</t>
        </is>
      </c>
      <c r="K82" s="29" t="inlineStr">
        <is>
          <t>금융상품의 처분</t>
        </is>
      </c>
      <c r="L82" s="29" t="inlineStr">
        <is>
          <t>-</t>
        </is>
      </c>
      <c r="M82" s="29" t="inlineStr">
        <is>
          <t>제 23 기</t>
        </is>
      </c>
      <c r="N82" s="29" t="inlineStr">
        <is>
          <t>98860573071.0</t>
        </is>
      </c>
      <c r="O82" s="29" t="inlineStr">
        <is>
          <t>37922560000.0</t>
        </is>
      </c>
      <c r="P82" s="29" t="inlineStr">
        <is>
          <t>KRW</t>
        </is>
      </c>
      <c r="Q82" s="29" t="inlineStr">
        <is>
          <t>7</t>
        </is>
      </c>
    </row>
    <row r="83" ht="24" customHeight="1">
      <c r="A83" s="24" t="inlineStr">
        <is>
          <t>OpenDART_fnlttSinglAcntAll</t>
        </is>
      </c>
      <c r="B83" s="24" t="inlineStr">
        <is>
          <t>00366942</t>
        </is>
      </c>
      <c r="C83" s="24" t="inlineStr">
        <is>
          <t>미코</t>
        </is>
      </c>
      <c r="D83" s="24" t="inlineStr">
        <is>
          <t>mico</t>
        </is>
      </c>
      <c r="E83" s="24" t="inlineStr">
        <is>
          <t>059090</t>
        </is>
      </c>
      <c r="F83" s="24" t="inlineStr">
        <is>
          <t>2021</t>
        </is>
      </c>
      <c r="G83" s="24" t="inlineStr">
        <is>
          <t>CFS</t>
        </is>
      </c>
      <c r="H83" s="24" t="inlineStr">
        <is>
          <t>CF</t>
        </is>
      </c>
      <c r="I83" s="24" t="inlineStr">
        <is>
          <t>현금흐름표</t>
        </is>
      </c>
      <c r="J83" s="24" t="inlineStr">
        <is>
          <t>dart_ProceedsFromSalesOfLoansAndReceivables</t>
        </is>
      </c>
      <c r="K83" s="24" t="inlineStr">
        <is>
          <t>대여금및수취채권의 처분</t>
        </is>
      </c>
      <c r="L83" s="24" t="inlineStr">
        <is>
          <t>-</t>
        </is>
      </c>
      <c r="M83" s="24" t="inlineStr">
        <is>
          <t>제 23 기</t>
        </is>
      </c>
      <c r="N83" s="24" t="inlineStr">
        <is>
          <t>1248704400.0</t>
        </is>
      </c>
      <c r="O83" s="24" t="inlineStr">
        <is>
          <t>8744144900.0</t>
        </is>
      </c>
      <c r="P83" s="24" t="inlineStr">
        <is>
          <t>KRW</t>
        </is>
      </c>
      <c r="Q83" s="24" t="inlineStr">
        <is>
          <t>8</t>
        </is>
      </c>
    </row>
    <row r="84" ht="24" customHeight="1">
      <c r="A84" s="29" t="inlineStr">
        <is>
          <t>OpenDART_fnlttSinglAcntAll</t>
        </is>
      </c>
      <c r="B84" s="29" t="inlineStr">
        <is>
          <t>00366942</t>
        </is>
      </c>
      <c r="C84" s="29" t="inlineStr">
        <is>
          <t>미코</t>
        </is>
      </c>
      <c r="D84" s="29" t="inlineStr">
        <is>
          <t>mico</t>
        </is>
      </c>
      <c r="E84" s="29" t="inlineStr">
        <is>
          <t>059090</t>
        </is>
      </c>
      <c r="F84" s="29" t="inlineStr">
        <is>
          <t>2021</t>
        </is>
      </c>
      <c r="G84" s="29" t="inlineStr">
        <is>
          <t>CFS</t>
        </is>
      </c>
      <c r="H84" s="29" t="inlineStr">
        <is>
          <t>CF</t>
        </is>
      </c>
      <c r="I84" s="29" t="inlineStr">
        <is>
          <t>현금흐름표</t>
        </is>
      </c>
      <c r="J84" s="29" t="inlineStr">
        <is>
          <t>dart_DecreaseInGuaranteeDeposits</t>
        </is>
      </c>
      <c r="K84" s="29" t="inlineStr">
        <is>
          <t>임차보증금의 감소</t>
        </is>
      </c>
      <c r="L84" s="29" t="inlineStr">
        <is>
          <t>-</t>
        </is>
      </c>
      <c r="M84" s="29" t="inlineStr">
        <is>
          <t>제 23 기</t>
        </is>
      </c>
      <c r="N84" s="29" t="inlineStr">
        <is>
          <t>883248664.0</t>
        </is>
      </c>
      <c r="O84" s="29" t="inlineStr">
        <is>
          <t>181442718.0</t>
        </is>
      </c>
      <c r="P84" s="29" t="inlineStr">
        <is>
          <t>KRW</t>
        </is>
      </c>
      <c r="Q84" s="29" t="inlineStr">
        <is>
          <t>9</t>
        </is>
      </c>
    </row>
    <row r="85" ht="24" customHeight="1">
      <c r="A85" s="24" t="inlineStr">
        <is>
          <t>OpenDART_fnlttSinglAcntAll</t>
        </is>
      </c>
      <c r="B85" s="24" t="inlineStr">
        <is>
          <t>00366942</t>
        </is>
      </c>
      <c r="C85" s="24" t="inlineStr">
        <is>
          <t>미코</t>
        </is>
      </c>
      <c r="D85" s="24" t="inlineStr">
        <is>
          <t>mico</t>
        </is>
      </c>
      <c r="E85" s="24" t="inlineStr">
        <is>
          <t>059090</t>
        </is>
      </c>
      <c r="F85" s="24" t="inlineStr">
        <is>
          <t>2021</t>
        </is>
      </c>
      <c r="G85" s="24" t="inlineStr">
        <is>
          <t>CFS</t>
        </is>
      </c>
      <c r="H85" s="24" t="inlineStr">
        <is>
          <t>CF</t>
        </is>
      </c>
      <c r="I85" s="24" t="inlineStr">
        <is>
          <t>현금흐름표</t>
        </is>
      </c>
      <c r="J85" s="24" t="inlineStr">
        <is>
          <t>ifrs-full_ProceedsFromSalesOfPropertyPlantAndEquipmentClassifiedAsInvestingActivities</t>
        </is>
      </c>
      <c r="K85" s="24" t="inlineStr">
        <is>
          <t>유형자산의 처분</t>
        </is>
      </c>
      <c r="L85" s="24" t="inlineStr">
        <is>
          <t>-</t>
        </is>
      </c>
      <c r="M85" s="24" t="inlineStr">
        <is>
          <t>제 23 기</t>
        </is>
      </c>
      <c r="N85" s="24" t="inlineStr">
        <is>
          <t>6519047370.0</t>
        </is>
      </c>
      <c r="O85" s="24" t="inlineStr">
        <is>
          <t>145364420.0</t>
        </is>
      </c>
      <c r="P85" s="24" t="inlineStr">
        <is>
          <t>KRW</t>
        </is>
      </c>
      <c r="Q85" s="24" t="inlineStr">
        <is>
          <t>10</t>
        </is>
      </c>
    </row>
    <row r="86" ht="24" customHeight="1">
      <c r="A86" s="29" t="inlineStr">
        <is>
          <t>OpenDART_fnlttSinglAcntAll</t>
        </is>
      </c>
      <c r="B86" s="29" t="inlineStr">
        <is>
          <t>00366942</t>
        </is>
      </c>
      <c r="C86" s="29" t="inlineStr">
        <is>
          <t>미코</t>
        </is>
      </c>
      <c r="D86" s="29" t="inlineStr">
        <is>
          <t>mico</t>
        </is>
      </c>
      <c r="E86" s="29" t="inlineStr">
        <is>
          <t>059090</t>
        </is>
      </c>
      <c r="F86" s="29" t="inlineStr">
        <is>
          <t>2021</t>
        </is>
      </c>
      <c r="G86" s="29" t="inlineStr">
        <is>
          <t>CFS</t>
        </is>
      </c>
      <c r="H86" s="29" t="inlineStr">
        <is>
          <t>CF</t>
        </is>
      </c>
      <c r="I86" s="29" t="inlineStr">
        <is>
          <t>현금흐름표</t>
        </is>
      </c>
      <c r="J86" s="29" t="inlineStr">
        <is>
          <t>ifrs-full_ProceedsFromSalesOfIntangibleAssetsClassifiedAsInvestingActivities</t>
        </is>
      </c>
      <c r="K86" s="29" t="inlineStr">
        <is>
          <t>무형자산의 처분</t>
        </is>
      </c>
      <c r="L86" s="29" t="inlineStr">
        <is>
          <t>-</t>
        </is>
      </c>
      <c r="M86" s="29" t="inlineStr">
        <is>
          <t>제 23 기</t>
        </is>
      </c>
      <c r="N86" s="29" t="inlineStr">
        <is>
          <t>해당 없음</t>
        </is>
      </c>
      <c r="O86" s="29" t="inlineStr">
        <is>
          <t>248000000.0</t>
        </is>
      </c>
      <c r="P86" s="29" t="inlineStr">
        <is>
          <t>KRW</t>
        </is>
      </c>
      <c r="Q86" s="29" t="inlineStr">
        <is>
          <t>11</t>
        </is>
      </c>
    </row>
    <row r="87" ht="24" customHeight="1">
      <c r="A87" s="24" t="inlineStr">
        <is>
          <t>OpenDART_fnlttSinglAcntAll</t>
        </is>
      </c>
      <c r="B87" s="24" t="inlineStr">
        <is>
          <t>00366942</t>
        </is>
      </c>
      <c r="C87" s="24" t="inlineStr">
        <is>
          <t>미코</t>
        </is>
      </c>
      <c r="D87" s="24" t="inlineStr">
        <is>
          <t>mico</t>
        </is>
      </c>
      <c r="E87" s="24" t="inlineStr">
        <is>
          <t>059090</t>
        </is>
      </c>
      <c r="F87" s="24" t="inlineStr">
        <is>
          <t>2021</t>
        </is>
      </c>
      <c r="G87" s="24" t="inlineStr">
        <is>
          <t>CFS</t>
        </is>
      </c>
      <c r="H87" s="24" t="inlineStr">
        <is>
          <t>CF</t>
        </is>
      </c>
      <c r="I87" s="24" t="inlineStr">
        <is>
          <t>현금흐름표</t>
        </is>
      </c>
      <c r="J87" s="24" t="inlineStr">
        <is>
          <t>-표준계정코드 미사용-</t>
        </is>
      </c>
      <c r="K87" s="24" t="inlineStr">
        <is>
          <t>당기손익-공정가치측정금융자산의 처분</t>
        </is>
      </c>
      <c r="L87" s="24" t="inlineStr">
        <is>
          <t>-</t>
        </is>
      </c>
      <c r="M87" s="24" t="inlineStr">
        <is>
          <t>제 23 기</t>
        </is>
      </c>
      <c r="N87" s="24" t="inlineStr">
        <is>
          <t>3228761530.0</t>
        </is>
      </c>
      <c r="O87" s="24" t="inlineStr">
        <is>
          <t>7974313940.0</t>
        </is>
      </c>
      <c r="P87" s="24" t="inlineStr">
        <is>
          <t>KRW</t>
        </is>
      </c>
      <c r="Q87" s="24" t="inlineStr">
        <is>
          <t>12</t>
        </is>
      </c>
    </row>
    <row r="88" ht="24" customHeight="1">
      <c r="A88" s="29" t="inlineStr">
        <is>
          <t>OpenDART_fnlttSinglAcntAll</t>
        </is>
      </c>
      <c r="B88" s="29" t="inlineStr">
        <is>
          <t>00366942</t>
        </is>
      </c>
      <c r="C88" s="29" t="inlineStr">
        <is>
          <t>미코</t>
        </is>
      </c>
      <c r="D88" s="29" t="inlineStr">
        <is>
          <t>mico</t>
        </is>
      </c>
      <c r="E88" s="29" t="inlineStr">
        <is>
          <t>059090</t>
        </is>
      </c>
      <c r="F88" s="29" t="inlineStr">
        <is>
          <t>2021</t>
        </is>
      </c>
      <c r="G88" s="29" t="inlineStr">
        <is>
          <t>CFS</t>
        </is>
      </c>
      <c r="H88" s="29" t="inlineStr">
        <is>
          <t>CF</t>
        </is>
      </c>
      <c r="I88" s="29" t="inlineStr">
        <is>
          <t>현금흐름표</t>
        </is>
      </c>
      <c r="J88" s="29" t="inlineStr">
        <is>
          <t>dart_PurchaseOfFinancialInstruments</t>
        </is>
      </c>
      <c r="K88" s="29" t="inlineStr">
        <is>
          <t>금융상품의 취득</t>
        </is>
      </c>
      <c r="L88" s="29" t="inlineStr">
        <is>
          <t>-</t>
        </is>
      </c>
      <c r="M88" s="29" t="inlineStr">
        <is>
          <t>제 23 기</t>
        </is>
      </c>
      <c r="N88" s="29" t="inlineStr">
        <is>
          <t>95037889448.0</t>
        </is>
      </c>
      <c r="O88" s="29" t="inlineStr">
        <is>
          <t>35754283399.0</t>
        </is>
      </c>
      <c r="P88" s="29" t="inlineStr">
        <is>
          <t>KRW</t>
        </is>
      </c>
      <c r="Q88" s="29" t="inlineStr">
        <is>
          <t>13</t>
        </is>
      </c>
    </row>
    <row r="89" ht="24" customHeight="1">
      <c r="A89" s="24" t="inlineStr">
        <is>
          <t>OpenDART_fnlttSinglAcntAll</t>
        </is>
      </c>
      <c r="B89" s="24" t="inlineStr">
        <is>
          <t>00366942</t>
        </is>
      </c>
      <c r="C89" s="24" t="inlineStr">
        <is>
          <t>미코</t>
        </is>
      </c>
      <c r="D89" s="24" t="inlineStr">
        <is>
          <t>mico</t>
        </is>
      </c>
      <c r="E89" s="24" t="inlineStr">
        <is>
          <t>059090</t>
        </is>
      </c>
      <c r="F89" s="24" t="inlineStr">
        <is>
          <t>2021</t>
        </is>
      </c>
      <c r="G89" s="24" t="inlineStr">
        <is>
          <t>CFS</t>
        </is>
      </c>
      <c r="H89" s="24" t="inlineStr">
        <is>
          <t>CF</t>
        </is>
      </c>
      <c r="I89" s="24" t="inlineStr">
        <is>
          <t>현금흐름표</t>
        </is>
      </c>
      <c r="J89" s="24" t="inlineStr">
        <is>
          <t>dart_IncreaseInLoans</t>
        </is>
      </c>
      <c r="K89" s="24" t="inlineStr">
        <is>
          <t>대여금의 증가</t>
        </is>
      </c>
      <c r="L89" s="24" t="inlineStr">
        <is>
          <t>-</t>
        </is>
      </c>
      <c r="M89" s="24" t="inlineStr">
        <is>
          <t>제 23 기</t>
        </is>
      </c>
      <c r="N89" s="24" t="inlineStr">
        <is>
          <t>4751053600.0</t>
        </is>
      </c>
      <c r="O89" s="24" t="inlineStr">
        <is>
          <t>8359500000.0</t>
        </is>
      </c>
      <c r="P89" s="24" t="inlineStr">
        <is>
          <t>KRW</t>
        </is>
      </c>
      <c r="Q89" s="24" t="inlineStr">
        <is>
          <t>14</t>
        </is>
      </c>
    </row>
    <row r="90" ht="24" customHeight="1">
      <c r="A90" s="29" t="inlineStr">
        <is>
          <t>OpenDART_fnlttSinglAcntAll</t>
        </is>
      </c>
      <c r="B90" s="29" t="inlineStr">
        <is>
          <t>00366942</t>
        </is>
      </c>
      <c r="C90" s="29" t="inlineStr">
        <is>
          <t>미코</t>
        </is>
      </c>
      <c r="D90" s="29" t="inlineStr">
        <is>
          <t>mico</t>
        </is>
      </c>
      <c r="E90" s="29" t="inlineStr">
        <is>
          <t>059090</t>
        </is>
      </c>
      <c r="F90" s="29" t="inlineStr">
        <is>
          <t>2021</t>
        </is>
      </c>
      <c r="G90" s="29" t="inlineStr">
        <is>
          <t>CFS</t>
        </is>
      </c>
      <c r="H90" s="29" t="inlineStr">
        <is>
          <t>CF</t>
        </is>
      </c>
      <c r="I90" s="29" t="inlineStr">
        <is>
          <t>현금흐름표</t>
        </is>
      </c>
      <c r="J90" s="29" t="inlineStr">
        <is>
          <t>dart_IncreaseInGuaranteeDeposits</t>
        </is>
      </c>
      <c r="K90" s="29" t="inlineStr">
        <is>
          <t>임차보증금의 증가</t>
        </is>
      </c>
      <c r="L90" s="29" t="inlineStr">
        <is>
          <t>-</t>
        </is>
      </c>
      <c r="M90" s="29" t="inlineStr">
        <is>
          <t>제 23 기</t>
        </is>
      </c>
      <c r="N90" s="29" t="inlineStr">
        <is>
          <t>311263211.0</t>
        </is>
      </c>
      <c r="O90" s="29" t="inlineStr">
        <is>
          <t>415473949.0</t>
        </is>
      </c>
      <c r="P90" s="29" t="inlineStr">
        <is>
          <t>KRW</t>
        </is>
      </c>
      <c r="Q90" s="29" t="inlineStr">
        <is>
          <t>15</t>
        </is>
      </c>
    </row>
    <row r="91" ht="24" customHeight="1">
      <c r="A91" s="24" t="inlineStr">
        <is>
          <t>OpenDART_fnlttSinglAcntAll</t>
        </is>
      </c>
      <c r="B91" s="24" t="inlineStr">
        <is>
          <t>00366942</t>
        </is>
      </c>
      <c r="C91" s="24" t="inlineStr">
        <is>
          <t>미코</t>
        </is>
      </c>
      <c r="D91" s="24" t="inlineStr">
        <is>
          <t>mico</t>
        </is>
      </c>
      <c r="E91" s="24" t="inlineStr">
        <is>
          <t>059090</t>
        </is>
      </c>
      <c r="F91" s="24" t="inlineStr">
        <is>
          <t>2021</t>
        </is>
      </c>
      <c r="G91" s="24" t="inlineStr">
        <is>
          <t>CFS</t>
        </is>
      </c>
      <c r="H91" s="24" t="inlineStr">
        <is>
          <t>CF</t>
        </is>
      </c>
      <c r="I91" s="24" t="inlineStr">
        <is>
          <t>현금흐름표</t>
        </is>
      </c>
      <c r="J91" s="24" t="inlineStr">
        <is>
          <t>ifrs-full_PurchaseOfPropertyPlantAndEquipmentClassifiedAsInvestingActivities</t>
        </is>
      </c>
      <c r="K91" s="24" t="inlineStr">
        <is>
          <t>유형자산의 취득</t>
        </is>
      </c>
      <c r="L91" s="24" t="inlineStr">
        <is>
          <t>-</t>
        </is>
      </c>
      <c r="M91" s="24" t="inlineStr">
        <is>
          <t>제 23 기</t>
        </is>
      </c>
      <c r="N91" s="24" t="inlineStr">
        <is>
          <t>118045165148.0</t>
        </is>
      </c>
      <c r="O91" s="24" t="inlineStr">
        <is>
          <t>47463003758.0</t>
        </is>
      </c>
      <c r="P91" s="24" t="inlineStr">
        <is>
          <t>KRW</t>
        </is>
      </c>
      <c r="Q91" s="24" t="inlineStr">
        <is>
          <t>16</t>
        </is>
      </c>
    </row>
    <row r="92" ht="24" customHeight="1">
      <c r="A92" s="29" t="inlineStr">
        <is>
          <t>OpenDART_fnlttSinglAcntAll</t>
        </is>
      </c>
      <c r="B92" s="29" t="inlineStr">
        <is>
          <t>00366942</t>
        </is>
      </c>
      <c r="C92" s="29" t="inlineStr">
        <is>
          <t>미코</t>
        </is>
      </c>
      <c r="D92" s="29" t="inlineStr">
        <is>
          <t>mico</t>
        </is>
      </c>
      <c r="E92" s="29" t="inlineStr">
        <is>
          <t>059090</t>
        </is>
      </c>
      <c r="F92" s="29" t="inlineStr">
        <is>
          <t>2021</t>
        </is>
      </c>
      <c r="G92" s="29" t="inlineStr">
        <is>
          <t>CFS</t>
        </is>
      </c>
      <c r="H92" s="29" t="inlineStr">
        <is>
          <t>CF</t>
        </is>
      </c>
      <c r="I92" s="29" t="inlineStr">
        <is>
          <t>현금흐름표</t>
        </is>
      </c>
      <c r="J92" s="29" t="inlineStr">
        <is>
          <t>dart_PurchaseOfInvestmentProperty</t>
        </is>
      </c>
      <c r="K92" s="29" t="inlineStr">
        <is>
          <t>투자부동산의 취득</t>
        </is>
      </c>
      <c r="L92" s="29" t="inlineStr">
        <is>
          <t>-</t>
        </is>
      </c>
      <c r="M92" s="29" t="inlineStr">
        <is>
          <t>제 23 기</t>
        </is>
      </c>
      <c r="N92" s="29" t="inlineStr">
        <is>
          <t>3619531177.0</t>
        </is>
      </c>
      <c r="O92" s="29" t="inlineStr">
        <is>
          <t>해당 없음</t>
        </is>
      </c>
      <c r="P92" s="29" t="inlineStr">
        <is>
          <t>KRW</t>
        </is>
      </c>
      <c r="Q92" s="29" t="inlineStr">
        <is>
          <t>17</t>
        </is>
      </c>
    </row>
    <row r="93" ht="24" customHeight="1">
      <c r="A93" s="24" t="inlineStr">
        <is>
          <t>OpenDART_fnlttSinglAcntAll</t>
        </is>
      </c>
      <c r="B93" s="24" t="inlineStr">
        <is>
          <t>00366942</t>
        </is>
      </c>
      <c r="C93" s="24" t="inlineStr">
        <is>
          <t>미코</t>
        </is>
      </c>
      <c r="D93" s="24" t="inlineStr">
        <is>
          <t>mico</t>
        </is>
      </c>
      <c r="E93" s="24" t="inlineStr">
        <is>
          <t>059090</t>
        </is>
      </c>
      <c r="F93" s="24" t="inlineStr">
        <is>
          <t>2021</t>
        </is>
      </c>
      <c r="G93" s="24" t="inlineStr">
        <is>
          <t>CFS</t>
        </is>
      </c>
      <c r="H93" s="24" t="inlineStr">
        <is>
          <t>CF</t>
        </is>
      </c>
      <c r="I93" s="24" t="inlineStr">
        <is>
          <t>현금흐름표</t>
        </is>
      </c>
      <c r="J93" s="24" t="inlineStr">
        <is>
          <t>ifrs-full_PurchaseOfIntangibleAssetsClassifiedAsInvestingActivities</t>
        </is>
      </c>
      <c r="K93" s="24" t="inlineStr">
        <is>
          <t>무형자산의 취득</t>
        </is>
      </c>
      <c r="L93" s="24" t="inlineStr">
        <is>
          <t>-</t>
        </is>
      </c>
      <c r="M93" s="24" t="inlineStr">
        <is>
          <t>제 23 기</t>
        </is>
      </c>
      <c r="N93" s="24" t="inlineStr">
        <is>
          <t>2676896277.0</t>
        </is>
      </c>
      <c r="O93" s="24" t="inlineStr">
        <is>
          <t>2050870891.0</t>
        </is>
      </c>
      <c r="P93" s="24" t="inlineStr">
        <is>
          <t>KRW</t>
        </is>
      </c>
      <c r="Q93" s="24" t="inlineStr">
        <is>
          <t>18</t>
        </is>
      </c>
    </row>
    <row r="94" ht="24" customHeight="1">
      <c r="A94" s="29" t="inlineStr">
        <is>
          <t>OpenDART_fnlttSinglAcntAll</t>
        </is>
      </c>
      <c r="B94" s="29" t="inlineStr">
        <is>
          <t>00366942</t>
        </is>
      </c>
      <c r="C94" s="29" t="inlineStr">
        <is>
          <t>미코</t>
        </is>
      </c>
      <c r="D94" s="29" t="inlineStr">
        <is>
          <t>mico</t>
        </is>
      </c>
      <c r="E94" s="29" t="inlineStr">
        <is>
          <t>059090</t>
        </is>
      </c>
      <c r="F94" s="29" t="inlineStr">
        <is>
          <t>2021</t>
        </is>
      </c>
      <c r="G94" s="29" t="inlineStr">
        <is>
          <t>CFS</t>
        </is>
      </c>
      <c r="H94" s="29" t="inlineStr">
        <is>
          <t>CF</t>
        </is>
      </c>
      <c r="I94" s="29" t="inlineStr">
        <is>
          <t>현금흐름표</t>
        </is>
      </c>
      <c r="J94" s="29" t="inlineStr">
        <is>
          <t>dart_PurchaseOfInvestmentsInAssociates</t>
        </is>
      </c>
      <c r="K94" s="29" t="inlineStr">
        <is>
          <t>지분법적용 투자자산의 취득</t>
        </is>
      </c>
      <c r="L94" s="29" t="inlineStr">
        <is>
          <t>-</t>
        </is>
      </c>
      <c r="M94" s="29" t="inlineStr">
        <is>
          <t>제 23 기</t>
        </is>
      </c>
      <c r="N94" s="29" t="inlineStr">
        <is>
          <t>53854316582.0</t>
        </is>
      </c>
      <c r="O94" s="29" t="inlineStr">
        <is>
          <t>13999920000.0</t>
        </is>
      </c>
      <c r="P94" s="29" t="inlineStr">
        <is>
          <t>KRW</t>
        </is>
      </c>
      <c r="Q94" s="29" t="inlineStr">
        <is>
          <t>19</t>
        </is>
      </c>
    </row>
    <row r="95" ht="24" customHeight="1">
      <c r="A95" s="24" t="inlineStr">
        <is>
          <t>OpenDART_fnlttSinglAcntAll</t>
        </is>
      </c>
      <c r="B95" s="24" t="inlineStr">
        <is>
          <t>00366942</t>
        </is>
      </c>
      <c r="C95" s="24" t="inlineStr">
        <is>
          <t>미코</t>
        </is>
      </c>
      <c r="D95" s="24" t="inlineStr">
        <is>
          <t>mico</t>
        </is>
      </c>
      <c r="E95" s="24" t="inlineStr">
        <is>
          <t>059090</t>
        </is>
      </c>
      <c r="F95" s="24" t="inlineStr">
        <is>
          <t>2021</t>
        </is>
      </c>
      <c r="G95" s="24" t="inlineStr">
        <is>
          <t>CFS</t>
        </is>
      </c>
      <c r="H95" s="24" t="inlineStr">
        <is>
          <t>CF</t>
        </is>
      </c>
      <c r="I95" s="24" t="inlineStr">
        <is>
          <t>현금흐름표</t>
        </is>
      </c>
      <c r="J95" s="24" t="inlineStr">
        <is>
          <t>-표준계정코드 미사용-</t>
        </is>
      </c>
      <c r="K95" s="24" t="inlineStr">
        <is>
          <t>기타포괄손익-공정가치금융자산의 취득</t>
        </is>
      </c>
      <c r="L95" s="24" t="inlineStr">
        <is>
          <t>-</t>
        </is>
      </c>
      <c r="M95" s="24" t="inlineStr">
        <is>
          <t>제 23 기</t>
        </is>
      </c>
      <c r="N95" s="24" t="inlineStr">
        <is>
          <t>해당 없음</t>
        </is>
      </c>
      <c r="O95" s="24" t="inlineStr">
        <is>
          <t>해당 없음</t>
        </is>
      </c>
      <c r="P95" s="24" t="inlineStr">
        <is>
          <t>KRW</t>
        </is>
      </c>
      <c r="Q95" s="24" t="inlineStr">
        <is>
          <t>20</t>
        </is>
      </c>
    </row>
    <row r="96" ht="24" customHeight="1">
      <c r="A96" s="29" t="inlineStr">
        <is>
          <t>OpenDART_fnlttSinglAcntAll</t>
        </is>
      </c>
      <c r="B96" s="29" t="inlineStr">
        <is>
          <t>00366942</t>
        </is>
      </c>
      <c r="C96" s="29" t="inlineStr">
        <is>
          <t>미코</t>
        </is>
      </c>
      <c r="D96" s="29" t="inlineStr">
        <is>
          <t>mico</t>
        </is>
      </c>
      <c r="E96" s="29" t="inlineStr">
        <is>
          <t>059090</t>
        </is>
      </c>
      <c r="F96" s="29" t="inlineStr">
        <is>
          <t>2021</t>
        </is>
      </c>
      <c r="G96" s="29" t="inlineStr">
        <is>
          <t>CFS</t>
        </is>
      </c>
      <c r="H96" s="29" t="inlineStr">
        <is>
          <t>CF</t>
        </is>
      </c>
      <c r="I96" s="29" t="inlineStr">
        <is>
          <t>현금흐름표</t>
        </is>
      </c>
      <c r="J96" s="29" t="inlineStr">
        <is>
          <t>-표준계정코드 미사용-</t>
        </is>
      </c>
      <c r="K96" s="29" t="inlineStr">
        <is>
          <t>당기손익-공정가치측정금융자산의 취득</t>
        </is>
      </c>
      <c r="L96" s="29" t="inlineStr">
        <is>
          <t>-</t>
        </is>
      </c>
      <c r="M96" s="29" t="inlineStr">
        <is>
          <t>제 23 기</t>
        </is>
      </c>
      <c r="N96" s="29" t="inlineStr">
        <is>
          <t>18387437314.0</t>
        </is>
      </c>
      <c r="O96" s="29" t="inlineStr">
        <is>
          <t>6500000000.0</t>
        </is>
      </c>
      <c r="P96" s="29" t="inlineStr">
        <is>
          <t>KRW</t>
        </is>
      </c>
      <c r="Q96" s="29" t="inlineStr">
        <is>
          <t>21</t>
        </is>
      </c>
    </row>
    <row r="97" ht="24" customHeight="1">
      <c r="A97" s="24" t="inlineStr">
        <is>
          <t>OpenDART_fnlttSinglAcntAll</t>
        </is>
      </c>
      <c r="B97" s="24" t="inlineStr">
        <is>
          <t>00366942</t>
        </is>
      </c>
      <c r="C97" s="24" t="inlineStr">
        <is>
          <t>미코</t>
        </is>
      </c>
      <c r="D97" s="24" t="inlineStr">
        <is>
          <t>mico</t>
        </is>
      </c>
      <c r="E97" s="24" t="inlineStr">
        <is>
          <t>059090</t>
        </is>
      </c>
      <c r="F97" s="24" t="inlineStr">
        <is>
          <t>2021</t>
        </is>
      </c>
      <c r="G97" s="24" t="inlineStr">
        <is>
          <t>CFS</t>
        </is>
      </c>
      <c r="H97" s="24" t="inlineStr">
        <is>
          <t>CF</t>
        </is>
      </c>
      <c r="I97" s="24" t="inlineStr">
        <is>
          <t>현금흐름표</t>
        </is>
      </c>
      <c r="J97" s="24" t="inlineStr">
        <is>
          <t>ifrs-full_CashFlowsFromUsedInFinancingActivities</t>
        </is>
      </c>
      <c r="K97" s="24" t="inlineStr">
        <is>
          <t>재무활동현금흐름</t>
        </is>
      </c>
      <c r="L97" s="24" t="inlineStr">
        <is>
          <t>-</t>
        </is>
      </c>
      <c r="M97" s="24" t="inlineStr">
        <is>
          <t>제 23 기</t>
        </is>
      </c>
      <c r="N97" s="24" t="inlineStr">
        <is>
          <t>127168693444.0</t>
        </is>
      </c>
      <c r="O97" s="24" t="inlineStr">
        <is>
          <t>74928767684.0</t>
        </is>
      </c>
      <c r="P97" s="24" t="inlineStr">
        <is>
          <t>KRW</t>
        </is>
      </c>
      <c r="Q97" s="24" t="inlineStr">
        <is>
          <t>22</t>
        </is>
      </c>
    </row>
    <row r="98" ht="24" customHeight="1">
      <c r="A98" s="29" t="inlineStr">
        <is>
          <t>OpenDART_fnlttSinglAcntAll</t>
        </is>
      </c>
      <c r="B98" s="29" t="inlineStr">
        <is>
          <t>00366942</t>
        </is>
      </c>
      <c r="C98" s="29" t="inlineStr">
        <is>
          <t>미코</t>
        </is>
      </c>
      <c r="D98" s="29" t="inlineStr">
        <is>
          <t>mico</t>
        </is>
      </c>
      <c r="E98" s="29" t="inlineStr">
        <is>
          <t>059090</t>
        </is>
      </c>
      <c r="F98" s="29" t="inlineStr">
        <is>
          <t>2021</t>
        </is>
      </c>
      <c r="G98" s="29" t="inlineStr">
        <is>
          <t>CFS</t>
        </is>
      </c>
      <c r="H98" s="29" t="inlineStr">
        <is>
          <t>CF</t>
        </is>
      </c>
      <c r="I98" s="29" t="inlineStr">
        <is>
          <t>현금흐름표</t>
        </is>
      </c>
      <c r="J98" s="29" t="inlineStr">
        <is>
          <t>ifrs-full_ProceedsFromGovernmentGrantsClassifiedAsFinancingActivities</t>
        </is>
      </c>
      <c r="K98" s="29" t="inlineStr">
        <is>
          <t>정부보조금의 수취</t>
        </is>
      </c>
      <c r="L98" s="29" t="inlineStr">
        <is>
          <t>-</t>
        </is>
      </c>
      <c r="M98" s="29" t="inlineStr">
        <is>
          <t>제 23 기</t>
        </is>
      </c>
      <c r="N98" s="29" t="inlineStr">
        <is>
          <t>1045551846.0</t>
        </is>
      </c>
      <c r="O98" s="29" t="inlineStr">
        <is>
          <t>10513829346.0</t>
        </is>
      </c>
      <c r="P98" s="29" t="inlineStr">
        <is>
          <t>KRW</t>
        </is>
      </c>
      <c r="Q98" s="29" t="inlineStr">
        <is>
          <t>23</t>
        </is>
      </c>
    </row>
    <row r="99" ht="24" customHeight="1">
      <c r="A99" s="24" t="inlineStr">
        <is>
          <t>OpenDART_fnlttSinglAcntAll</t>
        </is>
      </c>
      <c r="B99" s="24" t="inlineStr">
        <is>
          <t>00366942</t>
        </is>
      </c>
      <c r="C99" s="24" t="inlineStr">
        <is>
          <t>미코</t>
        </is>
      </c>
      <c r="D99" s="24" t="inlineStr">
        <is>
          <t>mico</t>
        </is>
      </c>
      <c r="E99" s="24" t="inlineStr">
        <is>
          <t>059090</t>
        </is>
      </c>
      <c r="F99" s="24" t="inlineStr">
        <is>
          <t>2021</t>
        </is>
      </c>
      <c r="G99" s="24" t="inlineStr">
        <is>
          <t>CFS</t>
        </is>
      </c>
      <c r="H99" s="24" t="inlineStr">
        <is>
          <t>CF</t>
        </is>
      </c>
      <c r="I99" s="24" t="inlineStr">
        <is>
          <t>현금흐름표</t>
        </is>
      </c>
      <c r="J99" s="24" t="inlineStr">
        <is>
          <t>dart_ProceedsFromShortTermBorrowings</t>
        </is>
      </c>
      <c r="K99" s="24" t="inlineStr">
        <is>
          <t>단기차입금의 증가</t>
        </is>
      </c>
      <c r="L99" s="24" t="inlineStr">
        <is>
          <t>-</t>
        </is>
      </c>
      <c r="M99" s="24" t="inlineStr">
        <is>
          <t>제 23 기</t>
        </is>
      </c>
      <c r="N99" s="24" t="inlineStr">
        <is>
          <t>56532889495.0</t>
        </is>
      </c>
      <c r="O99" s="24" t="inlineStr">
        <is>
          <t>17186938885.0</t>
        </is>
      </c>
      <c r="P99" s="24" t="inlineStr">
        <is>
          <t>KRW</t>
        </is>
      </c>
      <c r="Q99" s="24" t="inlineStr">
        <is>
          <t>24</t>
        </is>
      </c>
    </row>
    <row r="100" ht="24" customHeight="1">
      <c r="A100" s="29" t="inlineStr">
        <is>
          <t>OpenDART_fnlttSinglAcntAll</t>
        </is>
      </c>
      <c r="B100" s="29" t="inlineStr">
        <is>
          <t>00366942</t>
        </is>
      </c>
      <c r="C100" s="29" t="inlineStr">
        <is>
          <t>미코</t>
        </is>
      </c>
      <c r="D100" s="29" t="inlineStr">
        <is>
          <t>mico</t>
        </is>
      </c>
      <c r="E100" s="29" t="inlineStr">
        <is>
          <t>059090</t>
        </is>
      </c>
      <c r="F100" s="29" t="inlineStr">
        <is>
          <t>2021</t>
        </is>
      </c>
      <c r="G100" s="29" t="inlineStr">
        <is>
          <t>CFS</t>
        </is>
      </c>
      <c r="H100" s="29" t="inlineStr">
        <is>
          <t>CF</t>
        </is>
      </c>
      <c r="I100" s="29" t="inlineStr">
        <is>
          <t>현금흐름표</t>
        </is>
      </c>
      <c r="J100" s="29" t="inlineStr">
        <is>
          <t>dart_ProceedsFromLongTermBorrowings</t>
        </is>
      </c>
      <c r="K100" s="29" t="inlineStr">
        <is>
          <t>장기차입금의 증가</t>
        </is>
      </c>
      <c r="L100" s="29" t="inlineStr">
        <is>
          <t>-</t>
        </is>
      </c>
      <c r="M100" s="29" t="inlineStr">
        <is>
          <t>제 23 기</t>
        </is>
      </c>
      <c r="N100" s="29" t="inlineStr">
        <is>
          <t>24021000000.0</t>
        </is>
      </c>
      <c r="O100" s="29" t="inlineStr">
        <is>
          <t>12589000000.0</t>
        </is>
      </c>
      <c r="P100" s="29" t="inlineStr">
        <is>
          <t>KRW</t>
        </is>
      </c>
      <c r="Q100" s="29" t="inlineStr">
        <is>
          <t>25</t>
        </is>
      </c>
    </row>
    <row r="101" ht="24" customHeight="1">
      <c r="A101" s="24" t="inlineStr">
        <is>
          <t>OpenDART_fnlttSinglAcntAll</t>
        </is>
      </c>
      <c r="B101" s="24" t="inlineStr">
        <is>
          <t>00366942</t>
        </is>
      </c>
      <c r="C101" s="24" t="inlineStr">
        <is>
          <t>미코</t>
        </is>
      </c>
      <c r="D101" s="24" t="inlineStr">
        <is>
          <t>mico</t>
        </is>
      </c>
      <c r="E101" s="24" t="inlineStr">
        <is>
          <t>059090</t>
        </is>
      </c>
      <c r="F101" s="24" t="inlineStr">
        <is>
          <t>2021</t>
        </is>
      </c>
      <c r="G101" s="24" t="inlineStr">
        <is>
          <t>CFS</t>
        </is>
      </c>
      <c r="H101" s="24" t="inlineStr">
        <is>
          <t>CF</t>
        </is>
      </c>
      <c r="I101" s="24" t="inlineStr">
        <is>
          <t>현금흐름표</t>
        </is>
      </c>
      <c r="J101" s="24" t="inlineStr">
        <is>
          <t>dart_IncreaseInGuaranteeDepositsAsFinancialActivities</t>
        </is>
      </c>
      <c r="K101" s="24" t="inlineStr">
        <is>
          <t>임대보증금의 증가</t>
        </is>
      </c>
      <c r="L101" s="24" t="inlineStr">
        <is>
          <t>-</t>
        </is>
      </c>
      <c r="M101" s="24" t="inlineStr">
        <is>
          <t>제 23 기</t>
        </is>
      </c>
      <c r="N101" s="24" t="inlineStr">
        <is>
          <t>30000000.0</t>
        </is>
      </c>
      <c r="O101" s="24" t="inlineStr">
        <is>
          <t>해당 없음</t>
        </is>
      </c>
      <c r="P101" s="24" t="inlineStr">
        <is>
          <t>KRW</t>
        </is>
      </c>
      <c r="Q101" s="24" t="inlineStr">
        <is>
          <t>26</t>
        </is>
      </c>
    </row>
    <row r="102" ht="24" customHeight="1">
      <c r="A102" s="29" t="inlineStr">
        <is>
          <t>OpenDART_fnlttSinglAcntAll</t>
        </is>
      </c>
      <c r="B102" s="29" t="inlineStr">
        <is>
          <t>00366942</t>
        </is>
      </c>
      <c r="C102" s="29" t="inlineStr">
        <is>
          <t>미코</t>
        </is>
      </c>
      <c r="D102" s="29" t="inlineStr">
        <is>
          <t>mico</t>
        </is>
      </c>
      <c r="E102" s="29" t="inlineStr">
        <is>
          <t>059090</t>
        </is>
      </c>
      <c r="F102" s="29" t="inlineStr">
        <is>
          <t>2021</t>
        </is>
      </c>
      <c r="G102" s="29" t="inlineStr">
        <is>
          <t>CFS</t>
        </is>
      </c>
      <c r="H102" s="29" t="inlineStr">
        <is>
          <t>CF</t>
        </is>
      </c>
      <c r="I102" s="29" t="inlineStr">
        <is>
          <t>현금흐름표</t>
        </is>
      </c>
      <c r="J102" s="29" t="inlineStr">
        <is>
          <t>dart_ProceedsFromConvertibleBonds</t>
        </is>
      </c>
      <c r="K102" s="29" t="inlineStr">
        <is>
          <t>전환사채의 증가</t>
        </is>
      </c>
      <c r="L102" s="29" t="inlineStr">
        <is>
          <t>-</t>
        </is>
      </c>
      <c r="M102" s="29" t="inlineStr">
        <is>
          <t>제 23 기</t>
        </is>
      </c>
      <c r="N102" s="29" t="inlineStr">
        <is>
          <t>12500000000.0</t>
        </is>
      </c>
      <c r="O102" s="29" t="inlineStr">
        <is>
          <t>20000000000.0</t>
        </is>
      </c>
      <c r="P102" s="29" t="inlineStr">
        <is>
          <t>KRW</t>
        </is>
      </c>
      <c r="Q102" s="29" t="inlineStr">
        <is>
          <t>27</t>
        </is>
      </c>
    </row>
    <row r="103" ht="24" customHeight="1">
      <c r="A103" s="24" t="inlineStr">
        <is>
          <t>OpenDART_fnlttSinglAcntAll</t>
        </is>
      </c>
      <c r="B103" s="24" t="inlineStr">
        <is>
          <t>00366942</t>
        </is>
      </c>
      <c r="C103" s="24" t="inlineStr">
        <is>
          <t>미코</t>
        </is>
      </c>
      <c r="D103" s="24" t="inlineStr">
        <is>
          <t>mico</t>
        </is>
      </c>
      <c r="E103" s="24" t="inlineStr">
        <is>
          <t>059090</t>
        </is>
      </c>
      <c r="F103" s="24" t="inlineStr">
        <is>
          <t>2021</t>
        </is>
      </c>
      <c r="G103" s="24" t="inlineStr">
        <is>
          <t>CFS</t>
        </is>
      </c>
      <c r="H103" s="24" t="inlineStr">
        <is>
          <t>CF</t>
        </is>
      </c>
      <c r="I103" s="24" t="inlineStr">
        <is>
          <t>현금흐름표</t>
        </is>
      </c>
      <c r="J103" s="24" t="inlineStr">
        <is>
          <t>-표준계정코드 미사용-</t>
        </is>
      </c>
      <c r="K103" s="24" t="inlineStr">
        <is>
          <t>종속기업의 유상증자</t>
        </is>
      </c>
      <c r="L103" s="24" t="inlineStr">
        <is>
          <t>-</t>
        </is>
      </c>
      <c r="M103" s="24" t="inlineStr">
        <is>
          <t>제 23 기</t>
        </is>
      </c>
      <c r="N103" s="24" t="inlineStr">
        <is>
          <t>40000149436.0</t>
        </is>
      </c>
      <c r="O103" s="24" t="inlineStr">
        <is>
          <t>22661731300.0</t>
        </is>
      </c>
      <c r="P103" s="24" t="inlineStr">
        <is>
          <t>KRW</t>
        </is>
      </c>
      <c r="Q103" s="24" t="inlineStr">
        <is>
          <t>28</t>
        </is>
      </c>
    </row>
    <row r="104" ht="24" customHeight="1">
      <c r="A104" s="29" t="inlineStr">
        <is>
          <t>OpenDART_fnlttSinglAcntAll</t>
        </is>
      </c>
      <c r="B104" s="29" t="inlineStr">
        <is>
          <t>00366942</t>
        </is>
      </c>
      <c r="C104" s="29" t="inlineStr">
        <is>
          <t>미코</t>
        </is>
      </c>
      <c r="D104" s="29" t="inlineStr">
        <is>
          <t>mico</t>
        </is>
      </c>
      <c r="E104" s="29" t="inlineStr">
        <is>
          <t>059090</t>
        </is>
      </c>
      <c r="F104" s="29" t="inlineStr">
        <is>
          <t>2021</t>
        </is>
      </c>
      <c r="G104" s="29" t="inlineStr">
        <is>
          <t>CFS</t>
        </is>
      </c>
      <c r="H104" s="29" t="inlineStr">
        <is>
          <t>CF</t>
        </is>
      </c>
      <c r="I104" s="29" t="inlineStr">
        <is>
          <t>현금흐름표</t>
        </is>
      </c>
      <c r="J104" s="29" t="inlineStr">
        <is>
          <t>dart_ProceedsFromBondWithWarrant</t>
        </is>
      </c>
      <c r="K104" s="29" t="inlineStr">
        <is>
          <t>신주인수권부사채의 증가</t>
        </is>
      </c>
      <c r="L104" s="29" t="inlineStr">
        <is>
          <t>-</t>
        </is>
      </c>
      <c r="M104" s="29" t="inlineStr">
        <is>
          <t>제 23 기</t>
        </is>
      </c>
      <c r="N104" s="29" t="inlineStr">
        <is>
          <t>해당 없음</t>
        </is>
      </c>
      <c r="O104" s="29" t="inlineStr">
        <is>
          <t>25000000000.0</t>
        </is>
      </c>
      <c r="P104" s="29" t="inlineStr">
        <is>
          <t>KRW</t>
        </is>
      </c>
      <c r="Q104" s="29" t="inlineStr">
        <is>
          <t>29</t>
        </is>
      </c>
    </row>
    <row r="105" ht="24" customHeight="1">
      <c r="A105" s="24" t="inlineStr">
        <is>
          <t>OpenDART_fnlttSinglAcntAll</t>
        </is>
      </c>
      <c r="B105" s="24" t="inlineStr">
        <is>
          <t>00366942</t>
        </is>
      </c>
      <c r="C105" s="24" t="inlineStr">
        <is>
          <t>미코</t>
        </is>
      </c>
      <c r="D105" s="24" t="inlineStr">
        <is>
          <t>mico</t>
        </is>
      </c>
      <c r="E105" s="24" t="inlineStr">
        <is>
          <t>059090</t>
        </is>
      </c>
      <c r="F105" s="24" t="inlineStr">
        <is>
          <t>2021</t>
        </is>
      </c>
      <c r="G105" s="24" t="inlineStr">
        <is>
          <t>CFS</t>
        </is>
      </c>
      <c r="H105" s="24" t="inlineStr">
        <is>
          <t>CF</t>
        </is>
      </c>
      <c r="I105" s="24" t="inlineStr">
        <is>
          <t>현금흐름표</t>
        </is>
      </c>
      <c r="J105" s="24" t="inlineStr">
        <is>
          <t>-표준계정코드 미사용-</t>
        </is>
      </c>
      <c r="K105" s="24" t="inlineStr">
        <is>
          <t>종속기업투자주식의 처분</t>
        </is>
      </c>
      <c r="L105" s="24" t="inlineStr">
        <is>
          <t>-</t>
        </is>
      </c>
      <c r="M105" s="24" t="inlineStr">
        <is>
          <t>제 23 기</t>
        </is>
      </c>
      <c r="N105" s="24" t="inlineStr">
        <is>
          <t>41126973010.0</t>
        </is>
      </c>
      <c r="O105" s="24" t="inlineStr">
        <is>
          <t>해당 없음</t>
        </is>
      </c>
      <c r="P105" s="24" t="inlineStr">
        <is>
          <t>KRW</t>
        </is>
      </c>
      <c r="Q105" s="24" t="inlineStr">
        <is>
          <t>30</t>
        </is>
      </c>
    </row>
    <row r="106" ht="24" customHeight="1">
      <c r="A106" s="29" t="inlineStr">
        <is>
          <t>OpenDART_fnlttSinglAcntAll</t>
        </is>
      </c>
      <c r="B106" s="29" t="inlineStr">
        <is>
          <t>00366942</t>
        </is>
      </c>
      <c r="C106" s="29" t="inlineStr">
        <is>
          <t>미코</t>
        </is>
      </c>
      <c r="D106" s="29" t="inlineStr">
        <is>
          <t>mico</t>
        </is>
      </c>
      <c r="E106" s="29" t="inlineStr">
        <is>
          <t>059090</t>
        </is>
      </c>
      <c r="F106" s="29" t="inlineStr">
        <is>
          <t>2021</t>
        </is>
      </c>
      <c r="G106" s="29" t="inlineStr">
        <is>
          <t>CFS</t>
        </is>
      </c>
      <c r="H106" s="29" t="inlineStr">
        <is>
          <t>CF</t>
        </is>
      </c>
      <c r="I106" s="29" t="inlineStr">
        <is>
          <t>현금흐름표</t>
        </is>
      </c>
      <c r="J106" s="29" t="inlineStr">
        <is>
          <t>dart_RepaymentsOfShortTermBorrowings</t>
        </is>
      </c>
      <c r="K106" s="29" t="inlineStr">
        <is>
          <t>단기차입금의 상환</t>
        </is>
      </c>
      <c r="L106" s="29" t="inlineStr">
        <is>
          <t>-</t>
        </is>
      </c>
      <c r="M106" s="29" t="inlineStr">
        <is>
          <t>제 23 기</t>
        </is>
      </c>
      <c r="N106" s="29" t="inlineStr">
        <is>
          <t>27456916000.0</t>
        </is>
      </c>
      <c r="O106" s="29" t="inlineStr">
        <is>
          <t>12262730000.0</t>
        </is>
      </c>
      <c r="P106" s="29" t="inlineStr">
        <is>
          <t>KRW</t>
        </is>
      </c>
      <c r="Q106" s="29" t="inlineStr">
        <is>
          <t>31</t>
        </is>
      </c>
    </row>
    <row r="107" ht="24" customHeight="1">
      <c r="A107" s="24" t="inlineStr">
        <is>
          <t>OpenDART_fnlttSinglAcntAll</t>
        </is>
      </c>
      <c r="B107" s="24" t="inlineStr">
        <is>
          <t>00366942</t>
        </is>
      </c>
      <c r="C107" s="24" t="inlineStr">
        <is>
          <t>미코</t>
        </is>
      </c>
      <c r="D107" s="24" t="inlineStr">
        <is>
          <t>mico</t>
        </is>
      </c>
      <c r="E107" s="24" t="inlineStr">
        <is>
          <t>059090</t>
        </is>
      </c>
      <c r="F107" s="24" t="inlineStr">
        <is>
          <t>2021</t>
        </is>
      </c>
      <c r="G107" s="24" t="inlineStr">
        <is>
          <t>CFS</t>
        </is>
      </c>
      <c r="H107" s="24" t="inlineStr">
        <is>
          <t>CF</t>
        </is>
      </c>
      <c r="I107" s="24" t="inlineStr">
        <is>
          <t>현금흐름표</t>
        </is>
      </c>
      <c r="J107" s="24" t="inlineStr">
        <is>
          <t>-표준계정코드 미사용-</t>
        </is>
      </c>
      <c r="K107" s="24" t="inlineStr">
        <is>
          <t>유동성장기부채의 상환</t>
        </is>
      </c>
      <c r="L107" s="24" t="inlineStr">
        <is>
          <t>-</t>
        </is>
      </c>
      <c r="M107" s="24" t="inlineStr">
        <is>
          <t>제 23 기</t>
        </is>
      </c>
      <c r="N107" s="24" t="inlineStr">
        <is>
          <t>5977060000.0</t>
        </is>
      </c>
      <c r="O107" s="24" t="inlineStr">
        <is>
          <t>4130942225.0</t>
        </is>
      </c>
      <c r="P107" s="24" t="inlineStr">
        <is>
          <t>KRW</t>
        </is>
      </c>
      <c r="Q107" s="24" t="inlineStr">
        <is>
          <t>32</t>
        </is>
      </c>
    </row>
    <row r="108" ht="24" customHeight="1">
      <c r="A108" s="29" t="inlineStr">
        <is>
          <t>OpenDART_fnlttSinglAcntAll</t>
        </is>
      </c>
      <c r="B108" s="29" t="inlineStr">
        <is>
          <t>00366942</t>
        </is>
      </c>
      <c r="C108" s="29" t="inlineStr">
        <is>
          <t>미코</t>
        </is>
      </c>
      <c r="D108" s="29" t="inlineStr">
        <is>
          <t>mico</t>
        </is>
      </c>
      <c r="E108" s="29" t="inlineStr">
        <is>
          <t>059090</t>
        </is>
      </c>
      <c r="F108" s="29" t="inlineStr">
        <is>
          <t>2021</t>
        </is>
      </c>
      <c r="G108" s="29" t="inlineStr">
        <is>
          <t>CFS</t>
        </is>
      </c>
      <c r="H108" s="29" t="inlineStr">
        <is>
          <t>CF</t>
        </is>
      </c>
      <c r="I108" s="29" t="inlineStr">
        <is>
          <t>현금흐름표</t>
        </is>
      </c>
      <c r="J108" s="29" t="inlineStr">
        <is>
          <t>dart_RepaymentsOfLongTermBorrowings</t>
        </is>
      </c>
      <c r="K108" s="29" t="inlineStr">
        <is>
          <t>장기차입금의 상환</t>
        </is>
      </c>
      <c r="L108" s="29" t="inlineStr">
        <is>
          <t>-</t>
        </is>
      </c>
      <c r="M108" s="29" t="inlineStr">
        <is>
          <t>제 23 기</t>
        </is>
      </c>
      <c r="N108" s="29" t="inlineStr">
        <is>
          <t>3000000000.0</t>
        </is>
      </c>
      <c r="O108" s="29" t="inlineStr">
        <is>
          <t>137153039.0</t>
        </is>
      </c>
      <c r="P108" s="29" t="inlineStr">
        <is>
          <t>KRW</t>
        </is>
      </c>
      <c r="Q108" s="29" t="inlineStr">
        <is>
          <t>33</t>
        </is>
      </c>
    </row>
    <row r="109" ht="24" customHeight="1">
      <c r="A109" s="24" t="inlineStr">
        <is>
          <t>OpenDART_fnlttSinglAcntAll</t>
        </is>
      </c>
      <c r="B109" s="24" t="inlineStr">
        <is>
          <t>00366942</t>
        </is>
      </c>
      <c r="C109" s="24" t="inlineStr">
        <is>
          <t>미코</t>
        </is>
      </c>
      <c r="D109" s="24" t="inlineStr">
        <is>
          <t>mico</t>
        </is>
      </c>
      <c r="E109" s="24" t="inlineStr">
        <is>
          <t>059090</t>
        </is>
      </c>
      <c r="F109" s="24" t="inlineStr">
        <is>
          <t>2021</t>
        </is>
      </c>
      <c r="G109" s="24" t="inlineStr">
        <is>
          <t>CFS</t>
        </is>
      </c>
      <c r="H109" s="24" t="inlineStr">
        <is>
          <t>CF</t>
        </is>
      </c>
      <c r="I109" s="24" t="inlineStr">
        <is>
          <t>현금흐름표</t>
        </is>
      </c>
      <c r="J109" s="24" t="inlineStr">
        <is>
          <t>dart_DecreaseInGuaranteeDepositsAsFinancialActivities</t>
        </is>
      </c>
      <c r="K109" s="24" t="inlineStr">
        <is>
          <t>임대보증금의 감소</t>
        </is>
      </c>
      <c r="L109" s="24" t="inlineStr">
        <is>
          <t>-</t>
        </is>
      </c>
      <c r="M109" s="24" t="inlineStr">
        <is>
          <t>제 23 기</t>
        </is>
      </c>
      <c r="N109" s="24" t="inlineStr">
        <is>
          <t>해당 없음</t>
        </is>
      </c>
      <c r="O109" s="24" t="inlineStr">
        <is>
          <t>해당 없음</t>
        </is>
      </c>
      <c r="P109" s="24" t="inlineStr">
        <is>
          <t>KRW</t>
        </is>
      </c>
      <c r="Q109" s="24" t="inlineStr">
        <is>
          <t>34</t>
        </is>
      </c>
    </row>
    <row r="110" ht="24" customHeight="1">
      <c r="A110" s="29" t="inlineStr">
        <is>
          <t>OpenDART_fnlttSinglAcntAll</t>
        </is>
      </c>
      <c r="B110" s="29" t="inlineStr">
        <is>
          <t>00366942</t>
        </is>
      </c>
      <c r="C110" s="29" t="inlineStr">
        <is>
          <t>미코</t>
        </is>
      </c>
      <c r="D110" s="29" t="inlineStr">
        <is>
          <t>mico</t>
        </is>
      </c>
      <c r="E110" s="29" t="inlineStr">
        <is>
          <t>059090</t>
        </is>
      </c>
      <c r="F110" s="29" t="inlineStr">
        <is>
          <t>2021</t>
        </is>
      </c>
      <c r="G110" s="29" t="inlineStr">
        <is>
          <t>CFS</t>
        </is>
      </c>
      <c r="H110" s="29" t="inlineStr">
        <is>
          <t>CF</t>
        </is>
      </c>
      <c r="I110" s="29" t="inlineStr">
        <is>
          <t>현금흐름표</t>
        </is>
      </c>
      <c r="J110" s="29" t="inlineStr">
        <is>
          <t>-표준계정코드 미사용-</t>
        </is>
      </c>
      <c r="K110" s="29" t="inlineStr">
        <is>
          <t>리스부채의 감소</t>
        </is>
      </c>
      <c r="L110" s="29" t="inlineStr">
        <is>
          <t>-</t>
        </is>
      </c>
      <c r="M110" s="29" t="inlineStr">
        <is>
          <t>제 23 기</t>
        </is>
      </c>
      <c r="N110" s="29" t="inlineStr">
        <is>
          <t>2603702732.0</t>
        </is>
      </c>
      <c r="O110" s="29" t="inlineStr">
        <is>
          <t>2610582908.0</t>
        </is>
      </c>
      <c r="P110" s="29" t="inlineStr">
        <is>
          <t>KRW</t>
        </is>
      </c>
      <c r="Q110" s="29" t="inlineStr">
        <is>
          <t>35</t>
        </is>
      </c>
    </row>
    <row r="111" ht="24" customHeight="1">
      <c r="A111" s="24" t="inlineStr">
        <is>
          <t>OpenDART_fnlttSinglAcntAll</t>
        </is>
      </c>
      <c r="B111" s="24" t="inlineStr">
        <is>
          <t>00366942</t>
        </is>
      </c>
      <c r="C111" s="24" t="inlineStr">
        <is>
          <t>미코</t>
        </is>
      </c>
      <c r="D111" s="24" t="inlineStr">
        <is>
          <t>mico</t>
        </is>
      </c>
      <c r="E111" s="24" t="inlineStr">
        <is>
          <t>059090</t>
        </is>
      </c>
      <c r="F111" s="24" t="inlineStr">
        <is>
          <t>2021</t>
        </is>
      </c>
      <c r="G111" s="24" t="inlineStr">
        <is>
          <t>CFS</t>
        </is>
      </c>
      <c r="H111" s="24" t="inlineStr">
        <is>
          <t>CF</t>
        </is>
      </c>
      <c r="I111" s="24" t="inlineStr">
        <is>
          <t>현금흐름표</t>
        </is>
      </c>
      <c r="J111" s="24" t="inlineStr">
        <is>
          <t>ifrs-full_DividendsPaidClassifiedAsFinancingActivities</t>
        </is>
      </c>
      <c r="K111" s="24" t="inlineStr">
        <is>
          <t>배당금지급</t>
        </is>
      </c>
      <c r="L111" s="24" t="inlineStr">
        <is>
          <t>-</t>
        </is>
      </c>
      <c r="M111" s="24" t="inlineStr">
        <is>
          <t>제 23 기</t>
        </is>
      </c>
      <c r="N111" s="24" t="inlineStr">
        <is>
          <t>2062326561.0</t>
        </is>
      </c>
      <c r="O111" s="24" t="inlineStr">
        <is>
          <t>3341637280.0</t>
        </is>
      </c>
      <c r="P111" s="24" t="inlineStr">
        <is>
          <t>KRW</t>
        </is>
      </c>
      <c r="Q111" s="24" t="inlineStr">
        <is>
          <t>36</t>
        </is>
      </c>
    </row>
    <row r="112" ht="24" customHeight="1">
      <c r="A112" s="29" t="inlineStr">
        <is>
          <t>OpenDART_fnlttSinglAcntAll</t>
        </is>
      </c>
      <c r="B112" s="29" t="inlineStr">
        <is>
          <t>00366942</t>
        </is>
      </c>
      <c r="C112" s="29" t="inlineStr">
        <is>
          <t>미코</t>
        </is>
      </c>
      <c r="D112" s="29" t="inlineStr">
        <is>
          <t>mico</t>
        </is>
      </c>
      <c r="E112" s="29" t="inlineStr">
        <is>
          <t>059090</t>
        </is>
      </c>
      <c r="F112" s="29" t="inlineStr">
        <is>
          <t>2021</t>
        </is>
      </c>
      <c r="G112" s="29" t="inlineStr">
        <is>
          <t>CFS</t>
        </is>
      </c>
      <c r="H112" s="29" t="inlineStr">
        <is>
          <t>CF</t>
        </is>
      </c>
      <c r="I112" s="29" t="inlineStr">
        <is>
          <t>현금흐름표</t>
        </is>
      </c>
      <c r="J112" s="29" t="inlineStr">
        <is>
          <t>dart_RepaymentsOfConvertibleBonds</t>
        </is>
      </c>
      <c r="K112" s="29" t="inlineStr">
        <is>
          <t>전환사채의 감소</t>
        </is>
      </c>
      <c r="L112" s="29" t="inlineStr">
        <is>
          <t>-</t>
        </is>
      </c>
      <c r="M112" s="29" t="inlineStr">
        <is>
          <t>제 23 기</t>
        </is>
      </c>
      <c r="N112" s="29" t="inlineStr">
        <is>
          <t>해당 없음</t>
        </is>
      </c>
      <c r="O112" s="29" t="inlineStr">
        <is>
          <t>2000000000.0</t>
        </is>
      </c>
      <c r="P112" s="29" t="inlineStr">
        <is>
          <t>KRW</t>
        </is>
      </c>
      <c r="Q112" s="29" t="inlineStr">
        <is>
          <t>37</t>
        </is>
      </c>
    </row>
    <row r="113" ht="24" customHeight="1">
      <c r="A113" s="24" t="inlineStr">
        <is>
          <t>OpenDART_fnlttSinglAcntAll</t>
        </is>
      </c>
      <c r="B113" s="24" t="inlineStr">
        <is>
          <t>00366942</t>
        </is>
      </c>
      <c r="C113" s="24" t="inlineStr">
        <is>
          <t>미코</t>
        </is>
      </c>
      <c r="D113" s="24" t="inlineStr">
        <is>
          <t>mico</t>
        </is>
      </c>
      <c r="E113" s="24" t="inlineStr">
        <is>
          <t>059090</t>
        </is>
      </c>
      <c r="F113" s="24" t="inlineStr">
        <is>
          <t>2021</t>
        </is>
      </c>
      <c r="G113" s="24" t="inlineStr">
        <is>
          <t>CFS</t>
        </is>
      </c>
      <c r="H113" s="24" t="inlineStr">
        <is>
          <t>CF</t>
        </is>
      </c>
      <c r="I113" s="24" t="inlineStr">
        <is>
          <t>현금흐름표</t>
        </is>
      </c>
      <c r="J113" s="24" t="inlineStr">
        <is>
          <t>-표준계정코드 미사용-</t>
        </is>
      </c>
      <c r="K113" s="24" t="inlineStr">
        <is>
          <t>자기주식취득</t>
        </is>
      </c>
      <c r="L113" s="24" t="inlineStr">
        <is>
          <t>-</t>
        </is>
      </c>
      <c r="M113" s="24" t="inlineStr">
        <is>
          <t>제 23 기</t>
        </is>
      </c>
      <c r="N113" s="24" t="inlineStr">
        <is>
          <t>6987865050.0</t>
        </is>
      </c>
      <c r="O113" s="24" t="inlineStr">
        <is>
          <t>7039686395.0</t>
        </is>
      </c>
      <c r="P113" s="24" t="inlineStr">
        <is>
          <t>KRW</t>
        </is>
      </c>
      <c r="Q113" s="24" t="inlineStr">
        <is>
          <t>38</t>
        </is>
      </c>
    </row>
    <row r="114" ht="24" customHeight="1">
      <c r="A114" s="29" t="inlineStr">
        <is>
          <t>OpenDART_fnlttSinglAcntAll</t>
        </is>
      </c>
      <c r="B114" s="29" t="inlineStr">
        <is>
          <t>00366942</t>
        </is>
      </c>
      <c r="C114" s="29" t="inlineStr">
        <is>
          <t>미코</t>
        </is>
      </c>
      <c r="D114" s="29" t="inlineStr">
        <is>
          <t>mico</t>
        </is>
      </c>
      <c r="E114" s="29" t="inlineStr">
        <is>
          <t>059090</t>
        </is>
      </c>
      <c r="F114" s="29" t="inlineStr">
        <is>
          <t>2021</t>
        </is>
      </c>
      <c r="G114" s="29" t="inlineStr">
        <is>
          <t>CFS</t>
        </is>
      </c>
      <c r="H114" s="29" t="inlineStr">
        <is>
          <t>CF</t>
        </is>
      </c>
      <c r="I114" s="29" t="inlineStr">
        <is>
          <t>현금흐름표</t>
        </is>
      </c>
      <c r="J114" s="29" t="inlineStr">
        <is>
          <t>dart_RepaymentsOfBondWithWarrant</t>
        </is>
      </c>
      <c r="K114" s="29" t="inlineStr">
        <is>
          <t>신주인수권부사채의 감소</t>
        </is>
      </c>
      <c r="L114" s="29" t="inlineStr">
        <is>
          <t>-</t>
        </is>
      </c>
      <c r="M114" s="29" t="inlineStr">
        <is>
          <t>제 23 기</t>
        </is>
      </c>
      <c r="N114" s="29" t="inlineStr">
        <is>
          <t>해당 없음</t>
        </is>
      </c>
      <c r="O114" s="29" t="inlineStr">
        <is>
          <t>1500000000.0</t>
        </is>
      </c>
      <c r="P114" s="29" t="inlineStr">
        <is>
          <t>KRW</t>
        </is>
      </c>
      <c r="Q114" s="29" t="inlineStr">
        <is>
          <t>39</t>
        </is>
      </c>
    </row>
    <row r="115" ht="24" customHeight="1">
      <c r="A115" s="24" t="inlineStr">
        <is>
          <t>OpenDART_fnlttSinglAcntAll</t>
        </is>
      </c>
      <c r="B115" s="24" t="inlineStr">
        <is>
          <t>00366942</t>
        </is>
      </c>
      <c r="C115" s="24" t="inlineStr">
        <is>
          <t>미코</t>
        </is>
      </c>
      <c r="D115" s="24" t="inlineStr">
        <is>
          <t>mico</t>
        </is>
      </c>
      <c r="E115" s="24" t="inlineStr">
        <is>
          <t>059090</t>
        </is>
      </c>
      <c r="F115" s="24" t="inlineStr">
        <is>
          <t>2021</t>
        </is>
      </c>
      <c r="G115" s="24" t="inlineStr">
        <is>
          <t>CFS</t>
        </is>
      </c>
      <c r="H115" s="24" t="inlineStr">
        <is>
          <t>CF</t>
        </is>
      </c>
      <c r="I115" s="24" t="inlineStr">
        <is>
          <t>현금흐름표</t>
        </is>
      </c>
      <c r="J115" s="24" t="inlineStr">
        <is>
          <t>ifrs-full_EffectOfExchangeRateChangesOnCashAndCashEquivalents</t>
        </is>
      </c>
      <c r="K115" s="24" t="inlineStr">
        <is>
          <t>현금및현금성자산에 대한 환율변동효과</t>
        </is>
      </c>
      <c r="L115" s="24" t="inlineStr">
        <is>
          <t>-</t>
        </is>
      </c>
      <c r="M115" s="24" t="inlineStr">
        <is>
          <t>제 23 기</t>
        </is>
      </c>
      <c r="N115" s="24" t="inlineStr">
        <is>
          <t>6107914859.0</t>
        </is>
      </c>
      <c r="O115" s="24" t="inlineStr">
        <is>
          <t>-3568695364.0</t>
        </is>
      </c>
      <c r="P115" s="24" t="inlineStr">
        <is>
          <t>KRW</t>
        </is>
      </c>
      <c r="Q115" s="24" t="inlineStr">
        <is>
          <t>40</t>
        </is>
      </c>
    </row>
    <row r="116" ht="24" customHeight="1">
      <c r="A116" s="29" t="inlineStr">
        <is>
          <t>OpenDART_fnlttSinglAcntAll</t>
        </is>
      </c>
      <c r="B116" s="29" t="inlineStr">
        <is>
          <t>00366942</t>
        </is>
      </c>
      <c r="C116" s="29" t="inlineStr">
        <is>
          <t>미코</t>
        </is>
      </c>
      <c r="D116" s="29" t="inlineStr">
        <is>
          <t>mico</t>
        </is>
      </c>
      <c r="E116" s="29" t="inlineStr">
        <is>
          <t>059090</t>
        </is>
      </c>
      <c r="F116" s="29" t="inlineStr">
        <is>
          <t>2021</t>
        </is>
      </c>
      <c r="G116" s="29" t="inlineStr">
        <is>
          <t>CFS</t>
        </is>
      </c>
      <c r="H116" s="29" t="inlineStr">
        <is>
          <t>CF</t>
        </is>
      </c>
      <c r="I116" s="29" t="inlineStr">
        <is>
          <t>현금흐름표</t>
        </is>
      </c>
      <c r="J116" s="29" t="inlineStr">
        <is>
          <t>ifrs-full_IncreaseDecreaseInCashAndCashEquivalents</t>
        </is>
      </c>
      <c r="K116" s="29" t="inlineStr">
        <is>
          <t>현금및현금성자산의순증가(감소)</t>
        </is>
      </c>
      <c r="L116" s="29" t="inlineStr">
        <is>
          <t>-</t>
        </is>
      </c>
      <c r="M116" s="29" t="inlineStr">
        <is>
          <t>제 23 기</t>
        </is>
      </c>
      <c r="N116" s="29" t="inlineStr">
        <is>
          <t>27096031539.0</t>
        </is>
      </c>
      <c r="O116" s="29" t="inlineStr">
        <is>
          <t>65486940289.0</t>
        </is>
      </c>
      <c r="P116" s="29" t="inlineStr">
        <is>
          <t>KRW</t>
        </is>
      </c>
      <c r="Q116" s="29" t="inlineStr">
        <is>
          <t>41</t>
        </is>
      </c>
    </row>
    <row r="117" ht="24" customHeight="1">
      <c r="A117" s="24" t="inlineStr">
        <is>
          <t>OpenDART_fnlttSinglAcntAll</t>
        </is>
      </c>
      <c r="B117" s="24" t="inlineStr">
        <is>
          <t>00366942</t>
        </is>
      </c>
      <c r="C117" s="24" t="inlineStr">
        <is>
          <t>미코</t>
        </is>
      </c>
      <c r="D117" s="24" t="inlineStr">
        <is>
          <t>mico</t>
        </is>
      </c>
      <c r="E117" s="24" t="inlineStr">
        <is>
          <t>059090</t>
        </is>
      </c>
      <c r="F117" s="24" t="inlineStr">
        <is>
          <t>2021</t>
        </is>
      </c>
      <c r="G117" s="24" t="inlineStr">
        <is>
          <t>CFS</t>
        </is>
      </c>
      <c r="H117" s="24" t="inlineStr">
        <is>
          <t>CF</t>
        </is>
      </c>
      <c r="I117" s="24" t="inlineStr">
        <is>
          <t>현금흐름표</t>
        </is>
      </c>
      <c r="J117" s="24" t="inlineStr">
        <is>
          <t>dart_CashAndCashEquivalentsAtBeginningOfPeriodCf</t>
        </is>
      </c>
      <c r="K117" s="24" t="inlineStr">
        <is>
          <t>기초현금및현금성자산</t>
        </is>
      </c>
      <c r="L117" s="24" t="inlineStr">
        <is>
          <t>-</t>
        </is>
      </c>
      <c r="M117" s="24" t="inlineStr">
        <is>
          <t>제 23 기</t>
        </is>
      </c>
      <c r="N117" s="24" t="inlineStr">
        <is>
          <t>150449398934.0</t>
        </is>
      </c>
      <c r="O117" s="24" t="inlineStr">
        <is>
          <t>84962458644.0</t>
        </is>
      </c>
      <c r="P117" s="24" t="inlineStr">
        <is>
          <t>KRW</t>
        </is>
      </c>
      <c r="Q117" s="24" t="inlineStr">
        <is>
          <t>42</t>
        </is>
      </c>
    </row>
    <row r="118" ht="24" customHeight="1">
      <c r="A118" s="29" t="inlineStr">
        <is>
          <t>OpenDART_fnlttSinglAcntAll</t>
        </is>
      </c>
      <c r="B118" s="29" t="inlineStr">
        <is>
          <t>00366942</t>
        </is>
      </c>
      <c r="C118" s="29" t="inlineStr">
        <is>
          <t>미코</t>
        </is>
      </c>
      <c r="D118" s="29" t="inlineStr">
        <is>
          <t>mico</t>
        </is>
      </c>
      <c r="E118" s="29" t="inlineStr">
        <is>
          <t>059090</t>
        </is>
      </c>
      <c r="F118" s="29" t="inlineStr">
        <is>
          <t>2021</t>
        </is>
      </c>
      <c r="G118" s="29" t="inlineStr">
        <is>
          <t>CFS</t>
        </is>
      </c>
      <c r="H118" s="29" t="inlineStr">
        <is>
          <t>CF</t>
        </is>
      </c>
      <c r="I118" s="29" t="inlineStr">
        <is>
          <t>현금흐름표</t>
        </is>
      </c>
      <c r="J118" s="29" t="inlineStr">
        <is>
          <t>dart_CashAndCashEquivalentsAtEndOfPeriodCf</t>
        </is>
      </c>
      <c r="K118" s="29" t="inlineStr">
        <is>
          <t>기말현금및현금성자산</t>
        </is>
      </c>
      <c r="L118" s="29" t="inlineStr">
        <is>
          <t>-</t>
        </is>
      </c>
      <c r="M118" s="29" t="inlineStr">
        <is>
          <t>제 23 기</t>
        </is>
      </c>
      <c r="N118" s="29" t="inlineStr">
        <is>
          <t>177545430473.0</t>
        </is>
      </c>
      <c r="O118" s="29" t="inlineStr">
        <is>
          <t>150449398934.0</t>
        </is>
      </c>
      <c r="P118" s="29" t="inlineStr">
        <is>
          <t>KRW</t>
        </is>
      </c>
      <c r="Q118" s="29" t="inlineStr">
        <is>
          <t>43</t>
        </is>
      </c>
    </row>
    <row r="119" ht="24" customHeight="1">
      <c r="A119" s="24" t="inlineStr">
        <is>
          <t>OpenDART_fnlttSinglAcntAll</t>
        </is>
      </c>
      <c r="B119" s="24" t="inlineStr">
        <is>
          <t>00366942</t>
        </is>
      </c>
      <c r="C119" s="24" t="inlineStr">
        <is>
          <t>미코</t>
        </is>
      </c>
      <c r="D119" s="24" t="inlineStr">
        <is>
          <t>mico</t>
        </is>
      </c>
      <c r="E119" s="24" t="inlineStr">
        <is>
          <t>059090</t>
        </is>
      </c>
      <c r="F119" s="24" t="inlineStr">
        <is>
          <t>2021</t>
        </is>
      </c>
      <c r="G119" s="24" t="inlineStr">
        <is>
          <t>CFS</t>
        </is>
      </c>
      <c r="H119" s="24" t="inlineStr">
        <is>
          <t>SCE</t>
        </is>
      </c>
      <c r="I119" s="24" t="inlineStr">
        <is>
          <t>자본변동표</t>
        </is>
      </c>
      <c r="J119" s="24" t="inlineStr">
        <is>
          <t>dart_EquityAtBeginningOfPeriod</t>
        </is>
      </c>
      <c r="K119" s="24" t="inlineStr">
        <is>
          <t>기초자본</t>
        </is>
      </c>
      <c r="L119" s="24" t="inlineStr">
        <is>
          <t>연결재무제표 [member]</t>
        </is>
      </c>
      <c r="M119" s="24" t="inlineStr">
        <is>
          <t>제 23 기</t>
        </is>
      </c>
      <c r="N119" s="24" t="inlineStr">
        <is>
          <t>234522935230.0</t>
        </is>
      </c>
      <c r="O119" s="24" t="inlineStr">
        <is>
          <t>168787395188.0</t>
        </is>
      </c>
      <c r="P119" s="24" t="inlineStr">
        <is>
          <t>KRW</t>
        </is>
      </c>
      <c r="Q119" s="24" t="inlineStr">
        <is>
          <t>1</t>
        </is>
      </c>
    </row>
    <row r="120" ht="24" customHeight="1">
      <c r="A120" s="29" t="inlineStr">
        <is>
          <t>OpenDART_fnlttSinglAcntAll</t>
        </is>
      </c>
      <c r="B120" s="29" t="inlineStr">
        <is>
          <t>00366942</t>
        </is>
      </c>
      <c r="C120" s="29" t="inlineStr">
        <is>
          <t>미코</t>
        </is>
      </c>
      <c r="D120" s="29" t="inlineStr">
        <is>
          <t>mico</t>
        </is>
      </c>
      <c r="E120" s="29" t="inlineStr">
        <is>
          <t>059090</t>
        </is>
      </c>
      <c r="F120" s="29" t="inlineStr">
        <is>
          <t>2021</t>
        </is>
      </c>
      <c r="G120" s="29" t="inlineStr">
        <is>
          <t>CFS</t>
        </is>
      </c>
      <c r="H120" s="29" t="inlineStr">
        <is>
          <t>SCE</t>
        </is>
      </c>
      <c r="I120" s="29" t="inlineStr">
        <is>
          <t>자본변동표</t>
        </is>
      </c>
      <c r="J120" s="29" t="inlineStr">
        <is>
          <t>dart_EquityAtBeginningOfPeriod</t>
        </is>
      </c>
      <c r="K120" s="29" t="inlineStr">
        <is>
          <t>기초자본</t>
        </is>
      </c>
      <c r="L120" s="29" t="inlineStr">
        <is>
          <t>자본 [member]|비지배지분 [member]</t>
        </is>
      </c>
      <c r="M120" s="29" t="inlineStr">
        <is>
          <t>제 23 기</t>
        </is>
      </c>
      <c r="N120" s="29" t="inlineStr">
        <is>
          <t>122185806186.0</t>
        </is>
      </c>
      <c r="O120" s="29" t="inlineStr">
        <is>
          <t>76246996268.0</t>
        </is>
      </c>
      <c r="P120" s="29" t="inlineStr">
        <is>
          <t>KRW</t>
        </is>
      </c>
      <c r="Q120" s="29" t="inlineStr">
        <is>
          <t>1</t>
        </is>
      </c>
    </row>
    <row r="121" ht="24" customHeight="1">
      <c r="A121" s="24" t="inlineStr">
        <is>
          <t>OpenDART_fnlttSinglAcntAll</t>
        </is>
      </c>
      <c r="B121" s="24" t="inlineStr">
        <is>
          <t>00366942</t>
        </is>
      </c>
      <c r="C121" s="24" t="inlineStr">
        <is>
          <t>미코</t>
        </is>
      </c>
      <c r="D121" s="24" t="inlineStr">
        <is>
          <t>mico</t>
        </is>
      </c>
      <c r="E121" s="24" t="inlineStr">
        <is>
          <t>059090</t>
        </is>
      </c>
      <c r="F121" s="24" t="inlineStr">
        <is>
          <t>2021</t>
        </is>
      </c>
      <c r="G121" s="24" t="inlineStr">
        <is>
          <t>CFS</t>
        </is>
      </c>
      <c r="H121" s="24" t="inlineStr">
        <is>
          <t>SCE</t>
        </is>
      </c>
      <c r="I121" s="24" t="inlineStr">
        <is>
          <t>자본변동표</t>
        </is>
      </c>
      <c r="J121" s="24" t="inlineStr">
        <is>
          <t>dart_EquityAtBeginningOfPeriod</t>
        </is>
      </c>
      <c r="K121" s="24" t="inlineStr">
        <is>
          <t>기초자본</t>
        </is>
      </c>
      <c r="L121" s="24" t="inlineStr">
        <is>
          <t>자본 [member]|지배기업의 소유주에게 귀속되는 자본 [member]|자본잉여금 [member]</t>
        </is>
      </c>
      <c r="M121" s="24" t="inlineStr">
        <is>
          <t>제 23 기</t>
        </is>
      </c>
      <c r="N121" s="24" t="inlineStr">
        <is>
          <t>90910147710.0</t>
        </is>
      </c>
      <c r="O121" s="24" t="inlineStr">
        <is>
          <t>73884369535.0</t>
        </is>
      </c>
      <c r="P121" s="24" t="inlineStr">
        <is>
          <t>KRW</t>
        </is>
      </c>
      <c r="Q121" s="24" t="inlineStr">
        <is>
          <t>1</t>
        </is>
      </c>
    </row>
    <row r="122" ht="24" customHeight="1">
      <c r="A122" s="29" t="inlineStr">
        <is>
          <t>OpenDART_fnlttSinglAcntAll</t>
        </is>
      </c>
      <c r="B122" s="29" t="inlineStr">
        <is>
          <t>00366942</t>
        </is>
      </c>
      <c r="C122" s="29" t="inlineStr">
        <is>
          <t>미코</t>
        </is>
      </c>
      <c r="D122" s="29" t="inlineStr">
        <is>
          <t>mico</t>
        </is>
      </c>
      <c r="E122" s="29" t="inlineStr">
        <is>
          <t>059090</t>
        </is>
      </c>
      <c r="F122" s="29" t="inlineStr">
        <is>
          <t>2021</t>
        </is>
      </c>
      <c r="G122" s="29" t="inlineStr">
        <is>
          <t>CFS</t>
        </is>
      </c>
      <c r="H122" s="29" t="inlineStr">
        <is>
          <t>SCE</t>
        </is>
      </c>
      <c r="I122" s="29" t="inlineStr">
        <is>
          <t>자본변동표</t>
        </is>
      </c>
      <c r="J122" s="29" t="inlineStr">
        <is>
          <t>dart_EquityAtBeginningOfPeriod</t>
        </is>
      </c>
      <c r="K122" s="29" t="inlineStr">
        <is>
          <t>기초자본</t>
        </is>
      </c>
      <c r="L122" s="29" t="inlineStr">
        <is>
          <t>자본 [member]|지배기업의 소유주에게 귀속되는 자본 [member]|자본금 [member]</t>
        </is>
      </c>
      <c r="M122" s="29" t="inlineStr">
        <is>
          <t>제 23 기</t>
        </is>
      </c>
      <c r="N122" s="29" t="inlineStr">
        <is>
          <t>15658301500.0</t>
        </is>
      </c>
      <c r="O122" s="29" t="inlineStr">
        <is>
          <t>15658301500.0</t>
        </is>
      </c>
      <c r="P122" s="29" t="inlineStr">
        <is>
          <t>KRW</t>
        </is>
      </c>
      <c r="Q122" s="29" t="inlineStr">
        <is>
          <t>1</t>
        </is>
      </c>
    </row>
    <row r="123" ht="24" customHeight="1">
      <c r="A123" s="24" t="inlineStr">
        <is>
          <t>OpenDART_fnlttSinglAcntAll</t>
        </is>
      </c>
      <c r="B123" s="24" t="inlineStr">
        <is>
          <t>00366942</t>
        </is>
      </c>
      <c r="C123" s="24" t="inlineStr">
        <is>
          <t>미코</t>
        </is>
      </c>
      <c r="D123" s="24" t="inlineStr">
        <is>
          <t>mico</t>
        </is>
      </c>
      <c r="E123" s="24" t="inlineStr">
        <is>
          <t>059090</t>
        </is>
      </c>
      <c r="F123" s="24" t="inlineStr">
        <is>
          <t>2021</t>
        </is>
      </c>
      <c r="G123" s="24" t="inlineStr">
        <is>
          <t>CFS</t>
        </is>
      </c>
      <c r="H123" s="24" t="inlineStr">
        <is>
          <t>SCE</t>
        </is>
      </c>
      <c r="I123" s="24" t="inlineStr">
        <is>
          <t>자본변동표</t>
        </is>
      </c>
      <c r="J123" s="24" t="inlineStr">
        <is>
          <t>dart_EquityAtBeginningOfPeriod</t>
        </is>
      </c>
      <c r="K123" s="24" t="inlineStr">
        <is>
          <t>기초자본</t>
        </is>
      </c>
      <c r="L123" s="24" t="inlineStr">
        <is>
          <t>자본 [member]|지배기업의 소유주에게 귀속되는 자본 [member]|이익잉여금 [member]</t>
        </is>
      </c>
      <c r="M123" s="24" t="inlineStr">
        <is>
          <t>제 23 기</t>
        </is>
      </c>
      <c r="N123" s="24" t="inlineStr">
        <is>
          <t>37761295744.0</t>
        </is>
      </c>
      <c r="O123" s="24" t="inlineStr">
        <is>
          <t>27379785348.0</t>
        </is>
      </c>
      <c r="P123" s="24" t="inlineStr">
        <is>
          <t>KRW</t>
        </is>
      </c>
      <c r="Q123" s="24" t="inlineStr">
        <is>
          <t>1</t>
        </is>
      </c>
    </row>
    <row r="124" ht="24" customHeight="1">
      <c r="A124" s="29" t="inlineStr">
        <is>
          <t>OpenDART_fnlttSinglAcntAll</t>
        </is>
      </c>
      <c r="B124" s="29" t="inlineStr">
        <is>
          <t>00366942</t>
        </is>
      </c>
      <c r="C124" s="29" t="inlineStr">
        <is>
          <t>미코</t>
        </is>
      </c>
      <c r="D124" s="29" t="inlineStr">
        <is>
          <t>mico</t>
        </is>
      </c>
      <c r="E124" s="29" t="inlineStr">
        <is>
          <t>059090</t>
        </is>
      </c>
      <c r="F124" s="29" t="inlineStr">
        <is>
          <t>2021</t>
        </is>
      </c>
      <c r="G124" s="29" t="inlineStr">
        <is>
          <t>CFS</t>
        </is>
      </c>
      <c r="H124" s="29" t="inlineStr">
        <is>
          <t>SCE</t>
        </is>
      </c>
      <c r="I124" s="29" t="inlineStr">
        <is>
          <t>자본변동표</t>
        </is>
      </c>
      <c r="J124" s="29" t="inlineStr">
        <is>
          <t>dart_EquityAtBeginningOfPeriod</t>
        </is>
      </c>
      <c r="K124" s="29" t="inlineStr">
        <is>
          <t>기초자본</t>
        </is>
      </c>
      <c r="L124" s="29" t="inlineStr">
        <is>
          <t>자본 [member]|지배기업의 소유주에게 귀속되는 자본 [member]|기타포괄손익누계액 [member]</t>
        </is>
      </c>
      <c r="M124" s="29" t="inlineStr">
        <is>
          <t>제 23 기</t>
        </is>
      </c>
      <c r="N124" s="29" t="inlineStr">
        <is>
          <t>-4677194867.0</t>
        </is>
      </c>
      <c r="O124" s="29" t="inlineStr">
        <is>
          <t>-3558558284.0</t>
        </is>
      </c>
      <c r="P124" s="29" t="inlineStr">
        <is>
          <t>KRW</t>
        </is>
      </c>
      <c r="Q124" s="29" t="inlineStr">
        <is>
          <t>1</t>
        </is>
      </c>
    </row>
    <row r="125" ht="24" customHeight="1">
      <c r="A125" s="24" t="inlineStr">
        <is>
          <t>OpenDART_fnlttSinglAcntAll</t>
        </is>
      </c>
      <c r="B125" s="24" t="inlineStr">
        <is>
          <t>00366942</t>
        </is>
      </c>
      <c r="C125" s="24" t="inlineStr">
        <is>
          <t>미코</t>
        </is>
      </c>
      <c r="D125" s="24" t="inlineStr">
        <is>
          <t>mico</t>
        </is>
      </c>
      <c r="E125" s="24" t="inlineStr">
        <is>
          <t>059090</t>
        </is>
      </c>
      <c r="F125" s="24" t="inlineStr">
        <is>
          <t>2021</t>
        </is>
      </c>
      <c r="G125" s="24" t="inlineStr">
        <is>
          <t>CFS</t>
        </is>
      </c>
      <c r="H125" s="24" t="inlineStr">
        <is>
          <t>SCE</t>
        </is>
      </c>
      <c r="I125" s="24" t="inlineStr">
        <is>
          <t>자본변동표</t>
        </is>
      </c>
      <c r="J125" s="24" t="inlineStr">
        <is>
          <t>dart_EquityAtBeginningOfPeriod</t>
        </is>
      </c>
      <c r="K125" s="24" t="inlineStr">
        <is>
          <t>기초자본</t>
        </is>
      </c>
      <c r="L125" s="24" t="inlineStr">
        <is>
          <t>자본 [member]|지배기업의 소유주에게 귀속되는 자본 [member]|기타자본구성요소 [member]</t>
        </is>
      </c>
      <c r="M125" s="24" t="inlineStr">
        <is>
          <t>제 23 기</t>
        </is>
      </c>
      <c r="N125" s="24" t="inlineStr">
        <is>
          <t>-27315421043.0</t>
        </is>
      </c>
      <c r="O125" s="24" t="inlineStr">
        <is>
          <t>-20823499179.0</t>
        </is>
      </c>
      <c r="P125" s="24" t="inlineStr">
        <is>
          <t>KRW</t>
        </is>
      </c>
      <c r="Q125" s="24" t="inlineStr">
        <is>
          <t>1</t>
        </is>
      </c>
    </row>
    <row r="126" ht="24" customHeight="1">
      <c r="A126" s="29" t="inlineStr">
        <is>
          <t>OpenDART_fnlttSinglAcntAll</t>
        </is>
      </c>
      <c r="B126" s="29" t="inlineStr">
        <is>
          <t>00366942</t>
        </is>
      </c>
      <c r="C126" s="29" t="inlineStr">
        <is>
          <t>미코</t>
        </is>
      </c>
      <c r="D126" s="29" t="inlineStr">
        <is>
          <t>mico</t>
        </is>
      </c>
      <c r="E126" s="29" t="inlineStr">
        <is>
          <t>059090</t>
        </is>
      </c>
      <c r="F126" s="29" t="inlineStr">
        <is>
          <t>2021</t>
        </is>
      </c>
      <c r="G126" s="29" t="inlineStr">
        <is>
          <t>CFS</t>
        </is>
      </c>
      <c r="H126" s="29" t="inlineStr">
        <is>
          <t>SCE</t>
        </is>
      </c>
      <c r="I126" s="29" t="inlineStr">
        <is>
          <t>자본변동표</t>
        </is>
      </c>
      <c r="J126" s="29" t="inlineStr">
        <is>
          <t>dart_EquityAtBeginningOfPeriod</t>
        </is>
      </c>
      <c r="K126" s="29" t="inlineStr">
        <is>
          <t>기초자본</t>
        </is>
      </c>
      <c r="L126" s="29" t="inlineStr">
        <is>
          <t>자본 [member]|지배기업의 소유주에게 귀속되는 자본 [member]</t>
        </is>
      </c>
      <c r="M126" s="29" t="inlineStr">
        <is>
          <t>제 23 기</t>
        </is>
      </c>
      <c r="N126" s="29" t="inlineStr">
        <is>
          <t>112337129044.0</t>
        </is>
      </c>
      <c r="O126" s="29" t="inlineStr">
        <is>
          <t>92540398920.0</t>
        </is>
      </c>
      <c r="P126" s="29" t="inlineStr">
        <is>
          <t>KRW</t>
        </is>
      </c>
      <c r="Q126" s="29" t="inlineStr">
        <is>
          <t>1</t>
        </is>
      </c>
    </row>
    <row r="127" ht="24" customHeight="1">
      <c r="A127" s="24" t="inlineStr">
        <is>
          <t>OpenDART_fnlttSinglAcntAll</t>
        </is>
      </c>
      <c r="B127" s="24" t="inlineStr">
        <is>
          <t>00366942</t>
        </is>
      </c>
      <c r="C127" s="24" t="inlineStr">
        <is>
          <t>미코</t>
        </is>
      </c>
      <c r="D127" s="24" t="inlineStr">
        <is>
          <t>mico</t>
        </is>
      </c>
      <c r="E127" s="24" t="inlineStr">
        <is>
          <t>059090</t>
        </is>
      </c>
      <c r="F127" s="24" t="inlineStr">
        <is>
          <t>2021</t>
        </is>
      </c>
      <c r="G127" s="24" t="inlineStr">
        <is>
          <t>CFS</t>
        </is>
      </c>
      <c r="H127" s="24" t="inlineStr">
        <is>
          <t>SCE</t>
        </is>
      </c>
      <c r="I127" s="24" t="inlineStr">
        <is>
          <t>자본변동표</t>
        </is>
      </c>
      <c r="J127" s="24" t="inlineStr">
        <is>
          <t>-표준계정코드 미사용-</t>
        </is>
      </c>
      <c r="K127" s="24" t="inlineStr">
        <is>
          <t>회계정책변경효과</t>
        </is>
      </c>
      <c r="L127" s="24" t="inlineStr">
        <is>
          <t>연결재무제표 [member]</t>
        </is>
      </c>
      <c r="M127" s="24" t="inlineStr">
        <is>
          <t>제 23 기</t>
        </is>
      </c>
      <c r="N127" s="24" t="inlineStr">
        <is>
          <t>438459449.0</t>
        </is>
      </c>
      <c r="O127" s="24" t="inlineStr">
        <is>
          <t>-962269457.0</t>
        </is>
      </c>
      <c r="P127" s="24" t="inlineStr">
        <is>
          <t>KRW</t>
        </is>
      </c>
      <c r="Q127" s="24" t="inlineStr">
        <is>
          <t>2</t>
        </is>
      </c>
    </row>
    <row r="128" ht="24" customHeight="1">
      <c r="A128" s="29" t="inlineStr">
        <is>
          <t>OpenDART_fnlttSinglAcntAll</t>
        </is>
      </c>
      <c r="B128" s="29" t="inlineStr">
        <is>
          <t>00366942</t>
        </is>
      </c>
      <c r="C128" s="29" t="inlineStr">
        <is>
          <t>미코</t>
        </is>
      </c>
      <c r="D128" s="29" t="inlineStr">
        <is>
          <t>mico</t>
        </is>
      </c>
      <c r="E128" s="29" t="inlineStr">
        <is>
          <t>059090</t>
        </is>
      </c>
      <c r="F128" s="29" t="inlineStr">
        <is>
          <t>2021</t>
        </is>
      </c>
      <c r="G128" s="29" t="inlineStr">
        <is>
          <t>CFS</t>
        </is>
      </c>
      <c r="H128" s="29" t="inlineStr">
        <is>
          <t>SCE</t>
        </is>
      </c>
      <c r="I128" s="29" t="inlineStr">
        <is>
          <t>자본변동표</t>
        </is>
      </c>
      <c r="J128" s="29" t="inlineStr">
        <is>
          <t>-표준계정코드 미사용-</t>
        </is>
      </c>
      <c r="K128" s="29" t="inlineStr">
        <is>
          <t>회계정책변경효과</t>
        </is>
      </c>
      <c r="L128" s="29" t="inlineStr">
        <is>
          <t>자본 [member]|지배기업의 소유주에게 귀속되는 자본 [member]|자본금 [member]</t>
        </is>
      </c>
      <c r="M128" s="29" t="inlineStr">
        <is>
          <t>제 23 기</t>
        </is>
      </c>
      <c r="N128" s="29" t="inlineStr">
        <is>
          <t>해당 없음</t>
        </is>
      </c>
      <c r="O128" s="29" t="inlineStr">
        <is>
          <t>해당 없음</t>
        </is>
      </c>
      <c r="P128" s="29" t="inlineStr">
        <is>
          <t>KRW</t>
        </is>
      </c>
      <c r="Q128" s="29" t="inlineStr">
        <is>
          <t>2</t>
        </is>
      </c>
    </row>
    <row r="129" ht="24" customHeight="1">
      <c r="A129" s="24" t="inlineStr">
        <is>
          <t>OpenDART_fnlttSinglAcntAll</t>
        </is>
      </c>
      <c r="B129" s="24" t="inlineStr">
        <is>
          <t>00366942</t>
        </is>
      </c>
      <c r="C129" s="24" t="inlineStr">
        <is>
          <t>미코</t>
        </is>
      </c>
      <c r="D129" s="24" t="inlineStr">
        <is>
          <t>mico</t>
        </is>
      </c>
      <c r="E129" s="24" t="inlineStr">
        <is>
          <t>059090</t>
        </is>
      </c>
      <c r="F129" s="24" t="inlineStr">
        <is>
          <t>2021</t>
        </is>
      </c>
      <c r="G129" s="24" t="inlineStr">
        <is>
          <t>CFS</t>
        </is>
      </c>
      <c r="H129" s="24" t="inlineStr">
        <is>
          <t>SCE</t>
        </is>
      </c>
      <c r="I129" s="24" t="inlineStr">
        <is>
          <t>자본변동표</t>
        </is>
      </c>
      <c r="J129" s="24" t="inlineStr">
        <is>
          <t>-표준계정코드 미사용-</t>
        </is>
      </c>
      <c r="K129" s="24" t="inlineStr">
        <is>
          <t>회계정책변경효과</t>
        </is>
      </c>
      <c r="L129" s="24" t="inlineStr">
        <is>
          <t>자본 [member]|지배기업의 소유주에게 귀속되는 자본 [member]|이익잉여금 [member]</t>
        </is>
      </c>
      <c r="M129" s="24" t="inlineStr">
        <is>
          <t>제 23 기</t>
        </is>
      </c>
      <c r="N129" s="24" t="inlineStr">
        <is>
          <t>1555373478.0</t>
        </is>
      </c>
      <c r="O129" s="24" t="inlineStr">
        <is>
          <t>204890000.0</t>
        </is>
      </c>
      <c r="P129" s="24" t="inlineStr">
        <is>
          <t>KRW</t>
        </is>
      </c>
      <c r="Q129" s="24" t="inlineStr">
        <is>
          <t>2</t>
        </is>
      </c>
    </row>
    <row r="130" ht="24" customHeight="1">
      <c r="A130" s="29" t="inlineStr">
        <is>
          <t>OpenDART_fnlttSinglAcntAll</t>
        </is>
      </c>
      <c r="B130" s="29" t="inlineStr">
        <is>
          <t>00366942</t>
        </is>
      </c>
      <c r="C130" s="29" t="inlineStr">
        <is>
          <t>미코</t>
        </is>
      </c>
      <c r="D130" s="29" t="inlineStr">
        <is>
          <t>mico</t>
        </is>
      </c>
      <c r="E130" s="29" t="inlineStr">
        <is>
          <t>059090</t>
        </is>
      </c>
      <c r="F130" s="29" t="inlineStr">
        <is>
          <t>2021</t>
        </is>
      </c>
      <c r="G130" s="29" t="inlineStr">
        <is>
          <t>CFS</t>
        </is>
      </c>
      <c r="H130" s="29" t="inlineStr">
        <is>
          <t>SCE</t>
        </is>
      </c>
      <c r="I130" s="29" t="inlineStr">
        <is>
          <t>자본변동표</t>
        </is>
      </c>
      <c r="J130" s="29" t="inlineStr">
        <is>
          <t>-표준계정코드 미사용-</t>
        </is>
      </c>
      <c r="K130" s="29" t="inlineStr">
        <is>
          <t>회계정책변경효과</t>
        </is>
      </c>
      <c r="L130" s="29" t="inlineStr">
        <is>
          <t>자본 [member]|지배기업의 소유주에게 귀속되는 자본 [member]|기타포괄손익누계액 [member]</t>
        </is>
      </c>
      <c r="M130" s="29" t="inlineStr">
        <is>
          <t>제 23 기</t>
        </is>
      </c>
      <c r="N130" s="29" t="inlineStr">
        <is>
          <t>-207714768.0</t>
        </is>
      </c>
      <c r="O130" s="29" t="inlineStr">
        <is>
          <t>-60544778.0</t>
        </is>
      </c>
      <c r="P130" s="29" t="inlineStr">
        <is>
          <t>KRW</t>
        </is>
      </c>
      <c r="Q130" s="29" t="inlineStr">
        <is>
          <t>2</t>
        </is>
      </c>
    </row>
    <row r="131" ht="24" customHeight="1">
      <c r="A131" s="24" t="inlineStr">
        <is>
          <t>OpenDART_fnlttSinglAcntAll</t>
        </is>
      </c>
      <c r="B131" s="24" t="inlineStr">
        <is>
          <t>00366942</t>
        </is>
      </c>
      <c r="C131" s="24" t="inlineStr">
        <is>
          <t>미코</t>
        </is>
      </c>
      <c r="D131" s="24" t="inlineStr">
        <is>
          <t>mico</t>
        </is>
      </c>
      <c r="E131" s="24" t="inlineStr">
        <is>
          <t>059090</t>
        </is>
      </c>
      <c r="F131" s="24" t="inlineStr">
        <is>
          <t>2021</t>
        </is>
      </c>
      <c r="G131" s="24" t="inlineStr">
        <is>
          <t>CFS</t>
        </is>
      </c>
      <c r="H131" s="24" t="inlineStr">
        <is>
          <t>SCE</t>
        </is>
      </c>
      <c r="I131" s="24" t="inlineStr">
        <is>
          <t>자본변동표</t>
        </is>
      </c>
      <c r="J131" s="24" t="inlineStr">
        <is>
          <t>-표준계정코드 미사용-</t>
        </is>
      </c>
      <c r="K131" s="24" t="inlineStr">
        <is>
          <t>회계정책변경효과</t>
        </is>
      </c>
      <c r="L131" s="24" t="inlineStr">
        <is>
          <t>자본 [member]|지배기업의 소유주에게 귀속되는 자본 [member]|기타자본구성요소 [member]</t>
        </is>
      </c>
      <c r="M131" s="24" t="inlineStr">
        <is>
          <t>제 23 기</t>
        </is>
      </c>
      <c r="N131" s="24" t="inlineStr">
        <is>
          <t>202749558.0</t>
        </is>
      </c>
      <c r="O131" s="24" t="inlineStr">
        <is>
          <t>해당 없음</t>
        </is>
      </c>
      <c r="P131" s="24" t="inlineStr">
        <is>
          <t>KRW</t>
        </is>
      </c>
      <c r="Q131" s="24" t="inlineStr">
        <is>
          <t>2</t>
        </is>
      </c>
    </row>
    <row r="132" ht="24" customHeight="1">
      <c r="A132" s="29" t="inlineStr">
        <is>
          <t>OpenDART_fnlttSinglAcntAll</t>
        </is>
      </c>
      <c r="B132" s="29" t="inlineStr">
        <is>
          <t>00366942</t>
        </is>
      </c>
      <c r="C132" s="29" t="inlineStr">
        <is>
          <t>미코</t>
        </is>
      </c>
      <c r="D132" s="29" t="inlineStr">
        <is>
          <t>mico</t>
        </is>
      </c>
      <c r="E132" s="29" t="inlineStr">
        <is>
          <t>059090</t>
        </is>
      </c>
      <c r="F132" s="29" t="inlineStr">
        <is>
          <t>2021</t>
        </is>
      </c>
      <c r="G132" s="29" t="inlineStr">
        <is>
          <t>CFS</t>
        </is>
      </c>
      <c r="H132" s="29" t="inlineStr">
        <is>
          <t>SCE</t>
        </is>
      </c>
      <c r="I132" s="29" t="inlineStr">
        <is>
          <t>자본변동표</t>
        </is>
      </c>
      <c r="J132" s="29" t="inlineStr">
        <is>
          <t>-표준계정코드 미사용-</t>
        </is>
      </c>
      <c r="K132" s="29" t="inlineStr">
        <is>
          <t>회계정책변경효과</t>
        </is>
      </c>
      <c r="L132" s="29" t="inlineStr">
        <is>
          <t>자본 [member]|지배기업의 소유주에게 귀속되는 자본 [member]</t>
        </is>
      </c>
      <c r="M132" s="29" t="inlineStr">
        <is>
          <t>제 23 기</t>
        </is>
      </c>
      <c r="N132" s="29" t="inlineStr">
        <is>
          <t>3651875344.0</t>
        </is>
      </c>
      <c r="O132" s="29" t="inlineStr">
        <is>
          <t>2178443243.0</t>
        </is>
      </c>
      <c r="P132" s="29" t="inlineStr">
        <is>
          <t>KRW</t>
        </is>
      </c>
      <c r="Q132" s="29" t="inlineStr">
        <is>
          <t>2</t>
        </is>
      </c>
    </row>
    <row r="133" ht="24" customHeight="1">
      <c r="A133" s="24" t="inlineStr">
        <is>
          <t>OpenDART_fnlttSinglAcntAll</t>
        </is>
      </c>
      <c r="B133" s="24" t="inlineStr">
        <is>
          <t>00366942</t>
        </is>
      </c>
      <c r="C133" s="24" t="inlineStr">
        <is>
          <t>미코</t>
        </is>
      </c>
      <c r="D133" s="24" t="inlineStr">
        <is>
          <t>mico</t>
        </is>
      </c>
      <c r="E133" s="24" t="inlineStr">
        <is>
          <t>059090</t>
        </is>
      </c>
      <c r="F133" s="24" t="inlineStr">
        <is>
          <t>2021</t>
        </is>
      </c>
      <c r="G133" s="24" t="inlineStr">
        <is>
          <t>CFS</t>
        </is>
      </c>
      <c r="H133" s="24" t="inlineStr">
        <is>
          <t>SCE</t>
        </is>
      </c>
      <c r="I133" s="24" t="inlineStr">
        <is>
          <t>자본변동표</t>
        </is>
      </c>
      <c r="J133" s="24" t="inlineStr">
        <is>
          <t>-표준계정코드 미사용-</t>
        </is>
      </c>
      <c r="K133" s="24" t="inlineStr">
        <is>
          <t>회계정책변경효과</t>
        </is>
      </c>
      <c r="L133" s="24" t="inlineStr">
        <is>
          <t>자본 [member]|비지배지분 [member]</t>
        </is>
      </c>
      <c r="M133" s="24" t="inlineStr">
        <is>
          <t>제 23 기</t>
        </is>
      </c>
      <c r="N133" s="24" t="inlineStr">
        <is>
          <t>-3213415895.0</t>
        </is>
      </c>
      <c r="O133" s="24" t="inlineStr">
        <is>
          <t>-3140712701.0</t>
        </is>
      </c>
      <c r="P133" s="24" t="inlineStr">
        <is>
          <t>KRW</t>
        </is>
      </c>
      <c r="Q133" s="24" t="inlineStr">
        <is>
          <t>2</t>
        </is>
      </c>
    </row>
    <row r="134" ht="24" customHeight="1">
      <c r="A134" s="29" t="inlineStr">
        <is>
          <t>OpenDART_fnlttSinglAcntAll</t>
        </is>
      </c>
      <c r="B134" s="29" t="inlineStr">
        <is>
          <t>00366942</t>
        </is>
      </c>
      <c r="C134" s="29" t="inlineStr">
        <is>
          <t>미코</t>
        </is>
      </c>
      <c r="D134" s="29" t="inlineStr">
        <is>
          <t>mico</t>
        </is>
      </c>
      <c r="E134" s="29" t="inlineStr">
        <is>
          <t>059090</t>
        </is>
      </c>
      <c r="F134" s="29" t="inlineStr">
        <is>
          <t>2021</t>
        </is>
      </c>
      <c r="G134" s="29" t="inlineStr">
        <is>
          <t>CFS</t>
        </is>
      </c>
      <c r="H134" s="29" t="inlineStr">
        <is>
          <t>SCE</t>
        </is>
      </c>
      <c r="I134" s="29" t="inlineStr">
        <is>
          <t>자본변동표</t>
        </is>
      </c>
      <c r="J134" s="29" t="inlineStr">
        <is>
          <t>-표준계정코드 미사용-</t>
        </is>
      </c>
      <c r="K134" s="29" t="inlineStr">
        <is>
          <t>회계정책변경효과</t>
        </is>
      </c>
      <c r="L134" s="29" t="inlineStr">
        <is>
          <t>자본 [member]|지배기업의 소유주에게 귀속되는 자본 [member]|자본잉여금 [member]</t>
        </is>
      </c>
      <c r="M134" s="29" t="inlineStr">
        <is>
          <t>제 23 기</t>
        </is>
      </c>
      <c r="N134" s="29" t="inlineStr">
        <is>
          <t>2101467076.0</t>
        </is>
      </c>
      <c r="O134" s="29" t="inlineStr">
        <is>
          <t>2034098021.0</t>
        </is>
      </c>
      <c r="P134" s="29" t="inlineStr">
        <is>
          <t>KRW</t>
        </is>
      </c>
      <c r="Q134" s="29" t="inlineStr">
        <is>
          <t>2</t>
        </is>
      </c>
    </row>
    <row r="135" ht="24" customHeight="1">
      <c r="A135" s="24" t="inlineStr">
        <is>
          <t>OpenDART_fnlttSinglAcntAll</t>
        </is>
      </c>
      <c r="B135" s="24" t="inlineStr">
        <is>
          <t>00366942</t>
        </is>
      </c>
      <c r="C135" s="24" t="inlineStr">
        <is>
          <t>미코</t>
        </is>
      </c>
      <c r="D135" s="24" t="inlineStr">
        <is>
          <t>mico</t>
        </is>
      </c>
      <c r="E135" s="24" t="inlineStr">
        <is>
          <t>059090</t>
        </is>
      </c>
      <c r="F135" s="24" t="inlineStr">
        <is>
          <t>2021</t>
        </is>
      </c>
      <c r="G135" s="24" t="inlineStr">
        <is>
          <t>CFS</t>
        </is>
      </c>
      <c r="H135" s="24" t="inlineStr">
        <is>
          <t>SCE</t>
        </is>
      </c>
      <c r="I135" s="24" t="inlineStr">
        <is>
          <t>자본변동표</t>
        </is>
      </c>
      <c r="J135" s="24" t="inlineStr">
        <is>
          <t>-표준계정코드 미사용-</t>
        </is>
      </c>
      <c r="K135" s="24" t="inlineStr">
        <is>
          <t>수정후 재작성된 금액</t>
        </is>
      </c>
      <c r="L135" s="24" t="inlineStr">
        <is>
          <t>자본 [member]|비지배지분 [member]</t>
        </is>
      </c>
      <c r="M135" s="24" t="inlineStr">
        <is>
          <t>제 23 기</t>
        </is>
      </c>
      <c r="N135" s="24" t="inlineStr">
        <is>
          <t>118972390291.0</t>
        </is>
      </c>
      <c r="O135" s="24" t="inlineStr">
        <is>
          <t>73106283567.0</t>
        </is>
      </c>
      <c r="P135" s="24" t="inlineStr">
        <is>
          <t>KRW</t>
        </is>
      </c>
      <c r="Q135" s="24" t="inlineStr">
        <is>
          <t>3</t>
        </is>
      </c>
    </row>
    <row r="136" ht="24" customHeight="1">
      <c r="A136" s="29" t="inlineStr">
        <is>
          <t>OpenDART_fnlttSinglAcntAll</t>
        </is>
      </c>
      <c r="B136" s="29" t="inlineStr">
        <is>
          <t>00366942</t>
        </is>
      </c>
      <c r="C136" s="29" t="inlineStr">
        <is>
          <t>미코</t>
        </is>
      </c>
      <c r="D136" s="29" t="inlineStr">
        <is>
          <t>mico</t>
        </is>
      </c>
      <c r="E136" s="29" t="inlineStr">
        <is>
          <t>059090</t>
        </is>
      </c>
      <c r="F136" s="29" t="inlineStr">
        <is>
          <t>2021</t>
        </is>
      </c>
      <c r="G136" s="29" t="inlineStr">
        <is>
          <t>CFS</t>
        </is>
      </c>
      <c r="H136" s="29" t="inlineStr">
        <is>
          <t>SCE</t>
        </is>
      </c>
      <c r="I136" s="29" t="inlineStr">
        <is>
          <t>자본변동표</t>
        </is>
      </c>
      <c r="J136" s="29" t="inlineStr">
        <is>
          <t>-표준계정코드 미사용-</t>
        </is>
      </c>
      <c r="K136" s="29" t="inlineStr">
        <is>
          <t>수정후 재작성된 금액</t>
        </is>
      </c>
      <c r="L136" s="29" t="inlineStr">
        <is>
          <t>자본 [member]|지배기업의 소유주에게 귀속되는 자본 [member]</t>
        </is>
      </c>
      <c r="M136" s="29" t="inlineStr">
        <is>
          <t>제 23 기</t>
        </is>
      </c>
      <c r="N136" s="29" t="inlineStr">
        <is>
          <t>115989004388.0</t>
        </is>
      </c>
      <c r="O136" s="29" t="inlineStr">
        <is>
          <t>94718842163.0</t>
        </is>
      </c>
      <c r="P136" s="29" t="inlineStr">
        <is>
          <t>KRW</t>
        </is>
      </c>
      <c r="Q136" s="29" t="inlineStr">
        <is>
          <t>3</t>
        </is>
      </c>
    </row>
    <row r="137" ht="24" customHeight="1">
      <c r="A137" s="24" t="inlineStr">
        <is>
          <t>OpenDART_fnlttSinglAcntAll</t>
        </is>
      </c>
      <c r="B137" s="24" t="inlineStr">
        <is>
          <t>00366942</t>
        </is>
      </c>
      <c r="C137" s="24" t="inlineStr">
        <is>
          <t>미코</t>
        </is>
      </c>
      <c r="D137" s="24" t="inlineStr">
        <is>
          <t>mico</t>
        </is>
      </c>
      <c r="E137" s="24" t="inlineStr">
        <is>
          <t>059090</t>
        </is>
      </c>
      <c r="F137" s="24" t="inlineStr">
        <is>
          <t>2021</t>
        </is>
      </c>
      <c r="G137" s="24" t="inlineStr">
        <is>
          <t>CFS</t>
        </is>
      </c>
      <c r="H137" s="24" t="inlineStr">
        <is>
          <t>SCE</t>
        </is>
      </c>
      <c r="I137" s="24" t="inlineStr">
        <is>
          <t>자본변동표</t>
        </is>
      </c>
      <c r="J137" s="24" t="inlineStr">
        <is>
          <t>-표준계정코드 미사용-</t>
        </is>
      </c>
      <c r="K137" s="24" t="inlineStr">
        <is>
          <t>수정후 재작성된 금액</t>
        </is>
      </c>
      <c r="L137" s="24" t="inlineStr">
        <is>
          <t>자본 [member]|지배기업의 소유주에게 귀속되는 자본 [member]|기타자본구성요소 [member]</t>
        </is>
      </c>
      <c r="M137" s="24" t="inlineStr">
        <is>
          <t>제 23 기</t>
        </is>
      </c>
      <c r="N137" s="24" t="inlineStr">
        <is>
          <t>-27112671485.0</t>
        </is>
      </c>
      <c r="O137" s="24" t="inlineStr">
        <is>
          <t>-20823499179.0</t>
        </is>
      </c>
      <c r="P137" s="24" t="inlineStr">
        <is>
          <t>KRW</t>
        </is>
      </c>
      <c r="Q137" s="24" t="inlineStr">
        <is>
          <t>3</t>
        </is>
      </c>
    </row>
    <row r="138" ht="24" customHeight="1">
      <c r="A138" s="29" t="inlineStr">
        <is>
          <t>OpenDART_fnlttSinglAcntAll</t>
        </is>
      </c>
      <c r="B138" s="29" t="inlineStr">
        <is>
          <t>00366942</t>
        </is>
      </c>
      <c r="C138" s="29" t="inlineStr">
        <is>
          <t>미코</t>
        </is>
      </c>
      <c r="D138" s="29" t="inlineStr">
        <is>
          <t>mico</t>
        </is>
      </c>
      <c r="E138" s="29" t="inlineStr">
        <is>
          <t>059090</t>
        </is>
      </c>
      <c r="F138" s="29" t="inlineStr">
        <is>
          <t>2021</t>
        </is>
      </c>
      <c r="G138" s="29" t="inlineStr">
        <is>
          <t>CFS</t>
        </is>
      </c>
      <c r="H138" s="29" t="inlineStr">
        <is>
          <t>SCE</t>
        </is>
      </c>
      <c r="I138" s="29" t="inlineStr">
        <is>
          <t>자본변동표</t>
        </is>
      </c>
      <c r="J138" s="29" t="inlineStr">
        <is>
          <t>-표준계정코드 미사용-</t>
        </is>
      </c>
      <c r="K138" s="29" t="inlineStr">
        <is>
          <t>수정후 재작성된 금액</t>
        </is>
      </c>
      <c r="L138" s="29" t="inlineStr">
        <is>
          <t>자본 [member]|지배기업의 소유주에게 귀속되는 자본 [member]|기타포괄손익누계액 [member]</t>
        </is>
      </c>
      <c r="M138" s="29" t="inlineStr">
        <is>
          <t>제 23 기</t>
        </is>
      </c>
      <c r="N138" s="29" t="inlineStr">
        <is>
          <t>-4884909635.0</t>
        </is>
      </c>
      <c r="O138" s="29" t="inlineStr">
        <is>
          <t>-3619103062.0</t>
        </is>
      </c>
      <c r="P138" s="29" t="inlineStr">
        <is>
          <t>KRW</t>
        </is>
      </c>
      <c r="Q138" s="29" t="inlineStr">
        <is>
          <t>3</t>
        </is>
      </c>
    </row>
    <row r="139" ht="24" customHeight="1">
      <c r="A139" s="24" t="inlineStr">
        <is>
          <t>OpenDART_fnlttSinglAcntAll</t>
        </is>
      </c>
      <c r="B139" s="24" t="inlineStr">
        <is>
          <t>00366942</t>
        </is>
      </c>
      <c r="C139" s="24" t="inlineStr">
        <is>
          <t>미코</t>
        </is>
      </c>
      <c r="D139" s="24" t="inlineStr">
        <is>
          <t>mico</t>
        </is>
      </c>
      <c r="E139" s="24" t="inlineStr">
        <is>
          <t>059090</t>
        </is>
      </c>
      <c r="F139" s="24" t="inlineStr">
        <is>
          <t>2021</t>
        </is>
      </c>
      <c r="G139" s="24" t="inlineStr">
        <is>
          <t>CFS</t>
        </is>
      </c>
      <c r="H139" s="24" t="inlineStr">
        <is>
          <t>SCE</t>
        </is>
      </c>
      <c r="I139" s="24" t="inlineStr">
        <is>
          <t>자본변동표</t>
        </is>
      </c>
      <c r="J139" s="24" t="inlineStr">
        <is>
          <t>-표준계정코드 미사용-</t>
        </is>
      </c>
      <c r="K139" s="24" t="inlineStr">
        <is>
          <t>수정후 재작성된 금액</t>
        </is>
      </c>
      <c r="L139" s="24" t="inlineStr">
        <is>
          <t>자본 [member]|지배기업의 소유주에게 귀속되는 자본 [member]|이익잉여금 [member]</t>
        </is>
      </c>
      <c r="M139" s="24" t="inlineStr">
        <is>
          <t>제 23 기</t>
        </is>
      </c>
      <c r="N139" s="24" t="inlineStr">
        <is>
          <t>39316669222.0</t>
        </is>
      </c>
      <c r="O139" s="24" t="inlineStr">
        <is>
          <t>27584675348.0</t>
        </is>
      </c>
      <c r="P139" s="24" t="inlineStr">
        <is>
          <t>KRW</t>
        </is>
      </c>
      <c r="Q139" s="24" t="inlineStr">
        <is>
          <t>3</t>
        </is>
      </c>
    </row>
    <row r="140" ht="24" customHeight="1">
      <c r="A140" s="29" t="inlineStr">
        <is>
          <t>OpenDART_fnlttSinglAcntAll</t>
        </is>
      </c>
      <c r="B140" s="29" t="inlineStr">
        <is>
          <t>00366942</t>
        </is>
      </c>
      <c r="C140" s="29" t="inlineStr">
        <is>
          <t>미코</t>
        </is>
      </c>
      <c r="D140" s="29" t="inlineStr">
        <is>
          <t>mico</t>
        </is>
      </c>
      <c r="E140" s="29" t="inlineStr">
        <is>
          <t>059090</t>
        </is>
      </c>
      <c r="F140" s="29" t="inlineStr">
        <is>
          <t>2021</t>
        </is>
      </c>
      <c r="G140" s="29" t="inlineStr">
        <is>
          <t>CFS</t>
        </is>
      </c>
      <c r="H140" s="29" t="inlineStr">
        <is>
          <t>SCE</t>
        </is>
      </c>
      <c r="I140" s="29" t="inlineStr">
        <is>
          <t>자본변동표</t>
        </is>
      </c>
      <c r="J140" s="29" t="inlineStr">
        <is>
          <t>-표준계정코드 미사용-</t>
        </is>
      </c>
      <c r="K140" s="29" t="inlineStr">
        <is>
          <t>수정후 재작성된 금액</t>
        </is>
      </c>
      <c r="L140" s="29" t="inlineStr">
        <is>
          <t>자본 [member]|지배기업의 소유주에게 귀속되는 자본 [member]|자본금 [member]</t>
        </is>
      </c>
      <c r="M140" s="29" t="inlineStr">
        <is>
          <t>제 23 기</t>
        </is>
      </c>
      <c r="N140" s="29" t="inlineStr">
        <is>
          <t>15658301500.0</t>
        </is>
      </c>
      <c r="O140" s="29" t="inlineStr">
        <is>
          <t>15658301500.0</t>
        </is>
      </c>
      <c r="P140" s="29" t="inlineStr">
        <is>
          <t>KRW</t>
        </is>
      </c>
      <c r="Q140" s="29" t="inlineStr">
        <is>
          <t>3</t>
        </is>
      </c>
    </row>
    <row r="141" ht="24" customHeight="1">
      <c r="A141" s="24" t="inlineStr">
        <is>
          <t>OpenDART_fnlttSinglAcntAll</t>
        </is>
      </c>
      <c r="B141" s="24" t="inlineStr">
        <is>
          <t>00366942</t>
        </is>
      </c>
      <c r="C141" s="24" t="inlineStr">
        <is>
          <t>미코</t>
        </is>
      </c>
      <c r="D141" s="24" t="inlineStr">
        <is>
          <t>mico</t>
        </is>
      </c>
      <c r="E141" s="24" t="inlineStr">
        <is>
          <t>059090</t>
        </is>
      </c>
      <c r="F141" s="24" t="inlineStr">
        <is>
          <t>2021</t>
        </is>
      </c>
      <c r="G141" s="24" t="inlineStr">
        <is>
          <t>CFS</t>
        </is>
      </c>
      <c r="H141" s="24" t="inlineStr">
        <is>
          <t>SCE</t>
        </is>
      </c>
      <c r="I141" s="24" t="inlineStr">
        <is>
          <t>자본변동표</t>
        </is>
      </c>
      <c r="J141" s="24" t="inlineStr">
        <is>
          <t>-표준계정코드 미사용-</t>
        </is>
      </c>
      <c r="K141" s="24" t="inlineStr">
        <is>
          <t>수정후 재작성된 금액</t>
        </is>
      </c>
      <c r="L141" s="24" t="inlineStr">
        <is>
          <t>자본 [member]|지배기업의 소유주에게 귀속되는 자본 [member]|자본잉여금 [member]</t>
        </is>
      </c>
      <c r="M141" s="24" t="inlineStr">
        <is>
          <t>제 23 기</t>
        </is>
      </c>
      <c r="N141" s="24" t="inlineStr">
        <is>
          <t>93011614786.0</t>
        </is>
      </c>
      <c r="O141" s="24" t="inlineStr">
        <is>
          <t>75918467556.0</t>
        </is>
      </c>
      <c r="P141" s="24" t="inlineStr">
        <is>
          <t>KRW</t>
        </is>
      </c>
      <c r="Q141" s="24" t="inlineStr">
        <is>
          <t>3</t>
        </is>
      </c>
    </row>
    <row r="142" ht="24" customHeight="1">
      <c r="A142" s="29" t="inlineStr">
        <is>
          <t>OpenDART_fnlttSinglAcntAll</t>
        </is>
      </c>
      <c r="B142" s="29" t="inlineStr">
        <is>
          <t>00366942</t>
        </is>
      </c>
      <c r="C142" s="29" t="inlineStr">
        <is>
          <t>미코</t>
        </is>
      </c>
      <c r="D142" s="29" t="inlineStr">
        <is>
          <t>mico</t>
        </is>
      </c>
      <c r="E142" s="29" t="inlineStr">
        <is>
          <t>059090</t>
        </is>
      </c>
      <c r="F142" s="29" t="inlineStr">
        <is>
          <t>2021</t>
        </is>
      </c>
      <c r="G142" s="29" t="inlineStr">
        <is>
          <t>CFS</t>
        </is>
      </c>
      <c r="H142" s="29" t="inlineStr">
        <is>
          <t>SCE</t>
        </is>
      </c>
      <c r="I142" s="29" t="inlineStr">
        <is>
          <t>자본변동표</t>
        </is>
      </c>
      <c r="J142" s="29" t="inlineStr">
        <is>
          <t>-표준계정코드 미사용-</t>
        </is>
      </c>
      <c r="K142" s="29" t="inlineStr">
        <is>
          <t>수정후 재작성된 금액</t>
        </is>
      </c>
      <c r="L142" s="29" t="inlineStr">
        <is>
          <t>연결재무제표 [member]</t>
        </is>
      </c>
      <c r="M142" s="29" t="inlineStr">
        <is>
          <t>제 23 기</t>
        </is>
      </c>
      <c r="N142" s="29" t="inlineStr">
        <is>
          <t>234961394679.0</t>
        </is>
      </c>
      <c r="O142" s="29" t="inlineStr">
        <is>
          <t>167825125731.0</t>
        </is>
      </c>
      <c r="P142" s="29" t="inlineStr">
        <is>
          <t>KRW</t>
        </is>
      </c>
      <c r="Q142" s="29" t="inlineStr">
        <is>
          <t>3</t>
        </is>
      </c>
    </row>
    <row r="143" ht="24" customHeight="1">
      <c r="A143" s="24" t="inlineStr">
        <is>
          <t>OpenDART_fnlttSinglAcntAll</t>
        </is>
      </c>
      <c r="B143" s="24" t="inlineStr">
        <is>
          <t>00366942</t>
        </is>
      </c>
      <c r="C143" s="24" t="inlineStr">
        <is>
          <t>미코</t>
        </is>
      </c>
      <c r="D143" s="24" t="inlineStr">
        <is>
          <t>mico</t>
        </is>
      </c>
      <c r="E143" s="24" t="inlineStr">
        <is>
          <t>059090</t>
        </is>
      </c>
      <c r="F143" s="24" t="inlineStr">
        <is>
          <t>2021</t>
        </is>
      </c>
      <c r="G143" s="24" t="inlineStr">
        <is>
          <t>CFS</t>
        </is>
      </c>
      <c r="H143" s="24" t="inlineStr">
        <is>
          <t>SCE</t>
        </is>
      </c>
      <c r="I143" s="24" t="inlineStr">
        <is>
          <t>자본변동표</t>
        </is>
      </c>
      <c r="J143" s="24" t="inlineStr">
        <is>
          <t>ifrs-full_ProfitLoss</t>
        </is>
      </c>
      <c r="K143" s="24" t="inlineStr">
        <is>
          <t>당기순이익(손실)</t>
        </is>
      </c>
      <c r="L143" s="24" t="inlineStr">
        <is>
          <t>연결재무제표 [member]</t>
        </is>
      </c>
      <c r="M143" s="24" t="inlineStr">
        <is>
          <t>제 23 기</t>
        </is>
      </c>
      <c r="N143" s="24" t="inlineStr">
        <is>
          <t>21811609332.0</t>
        </is>
      </c>
      <c r="O143" s="24" t="inlineStr">
        <is>
          <t>28108989246.0</t>
        </is>
      </c>
      <c r="P143" s="24" t="inlineStr">
        <is>
          <t>KRW</t>
        </is>
      </c>
      <c r="Q143" s="24" t="inlineStr">
        <is>
          <t>4</t>
        </is>
      </c>
    </row>
    <row r="144" ht="24" customHeight="1">
      <c r="A144" s="29" t="inlineStr">
        <is>
          <t>OpenDART_fnlttSinglAcntAll</t>
        </is>
      </c>
      <c r="B144" s="29" t="inlineStr">
        <is>
          <t>00366942</t>
        </is>
      </c>
      <c r="C144" s="29" t="inlineStr">
        <is>
          <t>미코</t>
        </is>
      </c>
      <c r="D144" s="29" t="inlineStr">
        <is>
          <t>mico</t>
        </is>
      </c>
      <c r="E144" s="29" t="inlineStr">
        <is>
          <t>059090</t>
        </is>
      </c>
      <c r="F144" s="29" t="inlineStr">
        <is>
          <t>2021</t>
        </is>
      </c>
      <c r="G144" s="29" t="inlineStr">
        <is>
          <t>CFS</t>
        </is>
      </c>
      <c r="H144" s="29" t="inlineStr">
        <is>
          <t>SCE</t>
        </is>
      </c>
      <c r="I144" s="29" t="inlineStr">
        <is>
          <t>자본변동표</t>
        </is>
      </c>
      <c r="J144" s="29" t="inlineStr">
        <is>
          <t>ifrs-full_ProfitLoss</t>
        </is>
      </c>
      <c r="K144" s="29" t="inlineStr">
        <is>
          <t>당기순이익(손실)</t>
        </is>
      </c>
      <c r="L144" s="29" t="inlineStr">
        <is>
          <t>자본 [member]|비지배지분 [member]</t>
        </is>
      </c>
      <c r="M144" s="29" t="inlineStr">
        <is>
          <t>제 23 기</t>
        </is>
      </c>
      <c r="N144" s="29" t="inlineStr">
        <is>
          <t>32798678794.0</t>
        </is>
      </c>
      <c r="O144" s="29" t="inlineStr">
        <is>
          <t>15145357693.0</t>
        </is>
      </c>
      <c r="P144" s="29" t="inlineStr">
        <is>
          <t>KRW</t>
        </is>
      </c>
      <c r="Q144" s="29" t="inlineStr">
        <is>
          <t>4</t>
        </is>
      </c>
    </row>
    <row r="145" ht="24" customHeight="1">
      <c r="A145" s="24" t="inlineStr">
        <is>
          <t>OpenDART_fnlttSinglAcntAll</t>
        </is>
      </c>
      <c r="B145" s="24" t="inlineStr">
        <is>
          <t>00366942</t>
        </is>
      </c>
      <c r="C145" s="24" t="inlineStr">
        <is>
          <t>미코</t>
        </is>
      </c>
      <c r="D145" s="24" t="inlineStr">
        <is>
          <t>mico</t>
        </is>
      </c>
      <c r="E145" s="24" t="inlineStr">
        <is>
          <t>059090</t>
        </is>
      </c>
      <c r="F145" s="24" t="inlineStr">
        <is>
          <t>2021</t>
        </is>
      </c>
      <c r="G145" s="24" t="inlineStr">
        <is>
          <t>CFS</t>
        </is>
      </c>
      <c r="H145" s="24" t="inlineStr">
        <is>
          <t>SCE</t>
        </is>
      </c>
      <c r="I145" s="24" t="inlineStr">
        <is>
          <t>자본변동표</t>
        </is>
      </c>
      <c r="J145" s="24" t="inlineStr">
        <is>
          <t>ifrs-full_ProfitLoss</t>
        </is>
      </c>
      <c r="K145" s="24" t="inlineStr">
        <is>
          <t>당기순이익(손실)</t>
        </is>
      </c>
      <c r="L145" s="24" t="inlineStr">
        <is>
          <t>자본 [member]|지배기업의 소유주에게 귀속되는 자본 [member]</t>
        </is>
      </c>
      <c r="M145" s="24" t="inlineStr">
        <is>
          <t>제 23 기</t>
        </is>
      </c>
      <c r="N145" s="24" t="inlineStr">
        <is>
          <t>-10987069462.0</t>
        </is>
      </c>
      <c r="O145" s="24" t="inlineStr">
        <is>
          <t>12963631553.0</t>
        </is>
      </c>
      <c r="P145" s="24" t="inlineStr">
        <is>
          <t>KRW</t>
        </is>
      </c>
      <c r="Q145" s="24" t="inlineStr">
        <is>
          <t>4</t>
        </is>
      </c>
    </row>
    <row r="146" ht="24" customHeight="1">
      <c r="A146" s="29" t="inlineStr">
        <is>
          <t>OpenDART_fnlttSinglAcntAll</t>
        </is>
      </c>
      <c r="B146" s="29" t="inlineStr">
        <is>
          <t>00366942</t>
        </is>
      </c>
      <c r="C146" s="29" t="inlineStr">
        <is>
          <t>미코</t>
        </is>
      </c>
      <c r="D146" s="29" t="inlineStr">
        <is>
          <t>mico</t>
        </is>
      </c>
      <c r="E146" s="29" t="inlineStr">
        <is>
          <t>059090</t>
        </is>
      </c>
      <c r="F146" s="29" t="inlineStr">
        <is>
          <t>2021</t>
        </is>
      </c>
      <c r="G146" s="29" t="inlineStr">
        <is>
          <t>CFS</t>
        </is>
      </c>
      <c r="H146" s="29" t="inlineStr">
        <is>
          <t>SCE</t>
        </is>
      </c>
      <c r="I146" s="29" t="inlineStr">
        <is>
          <t>자본변동표</t>
        </is>
      </c>
      <c r="J146" s="29" t="inlineStr">
        <is>
          <t>ifrs-full_ProfitLoss</t>
        </is>
      </c>
      <c r="K146" s="29" t="inlineStr">
        <is>
          <t>당기순이익(손실)</t>
        </is>
      </c>
      <c r="L146" s="29" t="inlineStr">
        <is>
          <t>자본 [member]|지배기업의 소유주에게 귀속되는 자본 [member]|이익잉여금 [member]</t>
        </is>
      </c>
      <c r="M146" s="29" t="inlineStr">
        <is>
          <t>제 23 기</t>
        </is>
      </c>
      <c r="N146" s="29" t="inlineStr">
        <is>
          <t>-10987069462.0</t>
        </is>
      </c>
      <c r="O146" s="29" t="inlineStr">
        <is>
          <t>12963631553.0</t>
        </is>
      </c>
      <c r="P146" s="29" t="inlineStr">
        <is>
          <t>KRW</t>
        </is>
      </c>
      <c r="Q146" s="29" t="inlineStr">
        <is>
          <t>4</t>
        </is>
      </c>
    </row>
    <row r="147" ht="24" customHeight="1">
      <c r="A147" s="24" t="inlineStr">
        <is>
          <t>OpenDART_fnlttSinglAcntAll</t>
        </is>
      </c>
      <c r="B147" s="24" t="inlineStr">
        <is>
          <t>00366942</t>
        </is>
      </c>
      <c r="C147" s="24" t="inlineStr">
        <is>
          <t>미코</t>
        </is>
      </c>
      <c r="D147" s="24" t="inlineStr">
        <is>
          <t>mico</t>
        </is>
      </c>
      <c r="E147" s="24" t="inlineStr">
        <is>
          <t>059090</t>
        </is>
      </c>
      <c r="F147" s="24" t="inlineStr">
        <is>
          <t>2021</t>
        </is>
      </c>
      <c r="G147" s="24" t="inlineStr">
        <is>
          <t>CFS</t>
        </is>
      </c>
      <c r="H147" s="24" t="inlineStr">
        <is>
          <t>SCE</t>
        </is>
      </c>
      <c r="I147" s="24" t="inlineStr">
        <is>
          <t>자본변동표</t>
        </is>
      </c>
      <c r="J147" s="24" t="inlineStr">
        <is>
          <t>-표준계정코드 미사용-</t>
        </is>
      </c>
      <c r="K147" s="24" t="inlineStr">
        <is>
          <t>해외사업환산</t>
        </is>
      </c>
      <c r="L147" s="24" t="inlineStr">
        <is>
          <t>연결재무제표 [member]</t>
        </is>
      </c>
      <c r="M147" s="24" t="inlineStr">
        <is>
          <t>제 23 기</t>
        </is>
      </c>
      <c r="N147" s="24" t="inlineStr">
        <is>
          <t>9806920926.0</t>
        </is>
      </c>
      <c r="O147" s="24" t="inlineStr">
        <is>
          <t>-3345068612.0</t>
        </is>
      </c>
      <c r="P147" s="24" t="inlineStr">
        <is>
          <t>KRW</t>
        </is>
      </c>
      <c r="Q147" s="24" t="inlineStr">
        <is>
          <t>5</t>
        </is>
      </c>
    </row>
    <row r="148" ht="24" customHeight="1">
      <c r="A148" s="29" t="inlineStr">
        <is>
          <t>OpenDART_fnlttSinglAcntAll</t>
        </is>
      </c>
      <c r="B148" s="29" t="inlineStr">
        <is>
          <t>00366942</t>
        </is>
      </c>
      <c r="C148" s="29" t="inlineStr">
        <is>
          <t>미코</t>
        </is>
      </c>
      <c r="D148" s="29" t="inlineStr">
        <is>
          <t>mico</t>
        </is>
      </c>
      <c r="E148" s="29" t="inlineStr">
        <is>
          <t>059090</t>
        </is>
      </c>
      <c r="F148" s="29" t="inlineStr">
        <is>
          <t>2021</t>
        </is>
      </c>
      <c r="G148" s="29" t="inlineStr">
        <is>
          <t>CFS</t>
        </is>
      </c>
      <c r="H148" s="29" t="inlineStr">
        <is>
          <t>SCE</t>
        </is>
      </c>
      <c r="I148" s="29" t="inlineStr">
        <is>
          <t>자본변동표</t>
        </is>
      </c>
      <c r="J148" s="29" t="inlineStr">
        <is>
          <t>-표준계정코드 미사용-</t>
        </is>
      </c>
      <c r="K148" s="29" t="inlineStr">
        <is>
          <t>해외사업환산</t>
        </is>
      </c>
      <c r="L148" s="29" t="inlineStr">
        <is>
          <t>자본 [member]|비지배지분 [member]</t>
        </is>
      </c>
      <c r="M148" s="29" t="inlineStr">
        <is>
          <t>제 23 기</t>
        </is>
      </c>
      <c r="N148" s="29" t="inlineStr">
        <is>
          <t>5966930389.0</t>
        </is>
      </c>
      <c r="O148" s="29" t="inlineStr">
        <is>
          <t>-2010273152.0</t>
        </is>
      </c>
      <c r="P148" s="29" t="inlineStr">
        <is>
          <t>KRW</t>
        </is>
      </c>
      <c r="Q148" s="29" t="inlineStr">
        <is>
          <t>5</t>
        </is>
      </c>
    </row>
    <row r="149" ht="24" customHeight="1">
      <c r="A149" s="24" t="inlineStr">
        <is>
          <t>OpenDART_fnlttSinglAcntAll</t>
        </is>
      </c>
      <c r="B149" s="24" t="inlineStr">
        <is>
          <t>00366942</t>
        </is>
      </c>
      <c r="C149" s="24" t="inlineStr">
        <is>
          <t>미코</t>
        </is>
      </c>
      <c r="D149" s="24" t="inlineStr">
        <is>
          <t>mico</t>
        </is>
      </c>
      <c r="E149" s="24" t="inlineStr">
        <is>
          <t>059090</t>
        </is>
      </c>
      <c r="F149" s="24" t="inlineStr">
        <is>
          <t>2021</t>
        </is>
      </c>
      <c r="G149" s="24" t="inlineStr">
        <is>
          <t>CFS</t>
        </is>
      </c>
      <c r="H149" s="24" t="inlineStr">
        <is>
          <t>SCE</t>
        </is>
      </c>
      <c r="I149" s="24" t="inlineStr">
        <is>
          <t>자본변동표</t>
        </is>
      </c>
      <c r="J149" s="24" t="inlineStr">
        <is>
          <t>-표준계정코드 미사용-</t>
        </is>
      </c>
      <c r="K149" s="24" t="inlineStr">
        <is>
          <t>해외사업환산</t>
        </is>
      </c>
      <c r="L149" s="24" t="inlineStr">
        <is>
          <t>자본 [member]|지배기업의 소유주에게 귀속되는 자본 [member]</t>
        </is>
      </c>
      <c r="M149" s="24" t="inlineStr">
        <is>
          <t>제 23 기</t>
        </is>
      </c>
      <c r="N149" s="24" t="inlineStr">
        <is>
          <t>3839990537.0</t>
        </is>
      </c>
      <c r="O149" s="24" t="inlineStr">
        <is>
          <t>-1334795460.0</t>
        </is>
      </c>
      <c r="P149" s="24" t="inlineStr">
        <is>
          <t>KRW</t>
        </is>
      </c>
      <c r="Q149" s="24" t="inlineStr">
        <is>
          <t>5</t>
        </is>
      </c>
    </row>
    <row r="150" ht="24" customHeight="1">
      <c r="A150" s="29" t="inlineStr">
        <is>
          <t>OpenDART_fnlttSinglAcntAll</t>
        </is>
      </c>
      <c r="B150" s="29" t="inlineStr">
        <is>
          <t>00366942</t>
        </is>
      </c>
      <c r="C150" s="29" t="inlineStr">
        <is>
          <t>미코</t>
        </is>
      </c>
      <c r="D150" s="29" t="inlineStr">
        <is>
          <t>mico</t>
        </is>
      </c>
      <c r="E150" s="29" t="inlineStr">
        <is>
          <t>059090</t>
        </is>
      </c>
      <c r="F150" s="29" t="inlineStr">
        <is>
          <t>2021</t>
        </is>
      </c>
      <c r="G150" s="29" t="inlineStr">
        <is>
          <t>CFS</t>
        </is>
      </c>
      <c r="H150" s="29" t="inlineStr">
        <is>
          <t>SCE</t>
        </is>
      </c>
      <c r="I150" s="29" t="inlineStr">
        <is>
          <t>자본변동표</t>
        </is>
      </c>
      <c r="J150" s="29" t="inlineStr">
        <is>
          <t>-표준계정코드 미사용-</t>
        </is>
      </c>
      <c r="K150" s="29" t="inlineStr">
        <is>
          <t>해외사업환산</t>
        </is>
      </c>
      <c r="L150" s="29" t="inlineStr">
        <is>
          <t>자본 [member]|지배기업의 소유주에게 귀속되는 자본 [member]|기타자본구성요소 [member]</t>
        </is>
      </c>
      <c r="M150" s="29" t="inlineStr">
        <is>
          <t>제 23 기</t>
        </is>
      </c>
      <c r="N150" s="29" t="inlineStr">
        <is>
          <t>해당 없음</t>
        </is>
      </c>
      <c r="O150" s="29" t="inlineStr">
        <is>
          <t>해당 없음</t>
        </is>
      </c>
      <c r="P150" s="29" t="inlineStr">
        <is>
          <t>KRW</t>
        </is>
      </c>
      <c r="Q150" s="29" t="inlineStr">
        <is>
          <t>5</t>
        </is>
      </c>
    </row>
    <row r="151" ht="24" customHeight="1">
      <c r="A151" s="24" t="inlineStr">
        <is>
          <t>OpenDART_fnlttSinglAcntAll</t>
        </is>
      </c>
      <c r="B151" s="24" t="inlineStr">
        <is>
          <t>00366942</t>
        </is>
      </c>
      <c r="C151" s="24" t="inlineStr">
        <is>
          <t>미코</t>
        </is>
      </c>
      <c r="D151" s="24" t="inlineStr">
        <is>
          <t>mico</t>
        </is>
      </c>
      <c r="E151" s="24" t="inlineStr">
        <is>
          <t>059090</t>
        </is>
      </c>
      <c r="F151" s="24" t="inlineStr">
        <is>
          <t>2021</t>
        </is>
      </c>
      <c r="G151" s="24" t="inlineStr">
        <is>
          <t>CFS</t>
        </is>
      </c>
      <c r="H151" s="24" t="inlineStr">
        <is>
          <t>SCE</t>
        </is>
      </c>
      <c r="I151" s="24" t="inlineStr">
        <is>
          <t>자본변동표</t>
        </is>
      </c>
      <c r="J151" s="24" t="inlineStr">
        <is>
          <t>-표준계정코드 미사용-</t>
        </is>
      </c>
      <c r="K151" s="24" t="inlineStr">
        <is>
          <t>해외사업환산</t>
        </is>
      </c>
      <c r="L151" s="24" t="inlineStr">
        <is>
          <t>자본 [member]|지배기업의 소유주에게 귀속되는 자본 [member]|기타포괄손익누계액 [member]</t>
        </is>
      </c>
      <c r="M151" s="24" t="inlineStr">
        <is>
          <t>제 23 기</t>
        </is>
      </c>
      <c r="N151" s="24" t="inlineStr">
        <is>
          <t>3839990537.0</t>
        </is>
      </c>
      <c r="O151" s="24" t="inlineStr">
        <is>
          <t>-1334795460.0</t>
        </is>
      </c>
      <c r="P151" s="24" t="inlineStr">
        <is>
          <t>KRW</t>
        </is>
      </c>
      <c r="Q151" s="24" t="inlineStr">
        <is>
          <t>5</t>
        </is>
      </c>
    </row>
    <row r="152" ht="24" customHeight="1">
      <c r="A152" s="29" t="inlineStr">
        <is>
          <t>OpenDART_fnlttSinglAcntAll</t>
        </is>
      </c>
      <c r="B152" s="29" t="inlineStr">
        <is>
          <t>00366942</t>
        </is>
      </c>
      <c r="C152" s="29" t="inlineStr">
        <is>
          <t>미코</t>
        </is>
      </c>
      <c r="D152" s="29" t="inlineStr">
        <is>
          <t>mico</t>
        </is>
      </c>
      <c r="E152" s="29" t="inlineStr">
        <is>
          <t>059090</t>
        </is>
      </c>
      <c r="F152" s="29" t="inlineStr">
        <is>
          <t>2021</t>
        </is>
      </c>
      <c r="G152" s="29" t="inlineStr">
        <is>
          <t>CFS</t>
        </is>
      </c>
      <c r="H152" s="29" t="inlineStr">
        <is>
          <t>SCE</t>
        </is>
      </c>
      <c r="I152" s="29" t="inlineStr">
        <is>
          <t>자본변동표</t>
        </is>
      </c>
      <c r="J152" s="29" t="inlineStr">
        <is>
          <t>-표준계정코드 미사용-</t>
        </is>
      </c>
      <c r="K152" s="29" t="inlineStr">
        <is>
          <t>해외사업환산</t>
        </is>
      </c>
      <c r="L152" s="29" t="inlineStr">
        <is>
          <t>자본 [member]|지배기업의 소유주에게 귀속되는 자본 [member]|이익잉여금 [member]</t>
        </is>
      </c>
      <c r="M152" s="29" t="inlineStr">
        <is>
          <t>제 23 기</t>
        </is>
      </c>
      <c r="N152" s="29" t="inlineStr">
        <is>
          <t>해당 없음</t>
        </is>
      </c>
      <c r="O152" s="29" t="inlineStr">
        <is>
          <t>해당 없음</t>
        </is>
      </c>
      <c r="P152" s="29" t="inlineStr">
        <is>
          <t>KRW</t>
        </is>
      </c>
      <c r="Q152" s="29" t="inlineStr">
        <is>
          <t>5</t>
        </is>
      </c>
    </row>
    <row r="153" ht="24" customHeight="1">
      <c r="A153" s="24" t="inlineStr">
        <is>
          <t>OpenDART_fnlttSinglAcntAll</t>
        </is>
      </c>
      <c r="B153" s="24" t="inlineStr">
        <is>
          <t>00366942</t>
        </is>
      </c>
      <c r="C153" s="24" t="inlineStr">
        <is>
          <t>미코</t>
        </is>
      </c>
      <c r="D153" s="24" t="inlineStr">
        <is>
          <t>mico</t>
        </is>
      </c>
      <c r="E153" s="24" t="inlineStr">
        <is>
          <t>059090</t>
        </is>
      </c>
      <c r="F153" s="24" t="inlineStr">
        <is>
          <t>2021</t>
        </is>
      </c>
      <c r="G153" s="24" t="inlineStr">
        <is>
          <t>CFS</t>
        </is>
      </c>
      <c r="H153" s="24" t="inlineStr">
        <is>
          <t>SCE</t>
        </is>
      </c>
      <c r="I153" s="24" t="inlineStr">
        <is>
          <t>자본변동표</t>
        </is>
      </c>
      <c r="J153" s="24" t="inlineStr">
        <is>
          <t>-표준계정코드 미사용-</t>
        </is>
      </c>
      <c r="K153" s="24" t="inlineStr">
        <is>
          <t>해외사업환산</t>
        </is>
      </c>
      <c r="L153" s="24" t="inlineStr">
        <is>
          <t>자본 [member]|지배기업의 소유주에게 귀속되는 자본 [member]|자본잉여금 [member]</t>
        </is>
      </c>
      <c r="M153" s="24" t="inlineStr">
        <is>
          <t>제 23 기</t>
        </is>
      </c>
      <c r="N153" s="24" t="inlineStr">
        <is>
          <t>해당 없음</t>
        </is>
      </c>
      <c r="O153" s="24" t="inlineStr">
        <is>
          <t>해당 없음</t>
        </is>
      </c>
      <c r="P153" s="24" t="inlineStr">
        <is>
          <t>KRW</t>
        </is>
      </c>
      <c r="Q153" s="24" t="inlineStr">
        <is>
          <t>5</t>
        </is>
      </c>
    </row>
    <row r="154" ht="24" customHeight="1">
      <c r="A154" s="29" t="inlineStr">
        <is>
          <t>OpenDART_fnlttSinglAcntAll</t>
        </is>
      </c>
      <c r="B154" s="29" t="inlineStr">
        <is>
          <t>00366942</t>
        </is>
      </c>
      <c r="C154" s="29" t="inlineStr">
        <is>
          <t>미코</t>
        </is>
      </c>
      <c r="D154" s="29" t="inlineStr">
        <is>
          <t>mico</t>
        </is>
      </c>
      <c r="E154" s="29" t="inlineStr">
        <is>
          <t>059090</t>
        </is>
      </c>
      <c r="F154" s="29" t="inlineStr">
        <is>
          <t>2021</t>
        </is>
      </c>
      <c r="G154" s="29" t="inlineStr">
        <is>
          <t>CFS</t>
        </is>
      </c>
      <c r="H154" s="29" t="inlineStr">
        <is>
          <t>SCE</t>
        </is>
      </c>
      <c r="I154" s="29" t="inlineStr">
        <is>
          <t>자본변동표</t>
        </is>
      </c>
      <c r="J154" s="29" t="inlineStr">
        <is>
          <t>-표준계정코드 미사용-</t>
        </is>
      </c>
      <c r="K154" s="29" t="inlineStr">
        <is>
          <t>기타포괄손익-공정가치측정금융자산평가손익</t>
        </is>
      </c>
      <c r="L154" s="29" t="inlineStr">
        <is>
          <t>연결재무제표 [member]</t>
        </is>
      </c>
      <c r="M154" s="29" t="inlineStr">
        <is>
          <t>제 23 기</t>
        </is>
      </c>
      <c r="N154" s="29" t="inlineStr">
        <is>
          <t>428241135.0</t>
        </is>
      </c>
      <c r="O154" s="29" t="inlineStr">
        <is>
          <t>273344946.0</t>
        </is>
      </c>
      <c r="P154" s="29" t="inlineStr">
        <is>
          <t>KRW</t>
        </is>
      </c>
      <c r="Q154" s="29" t="inlineStr">
        <is>
          <t>6</t>
        </is>
      </c>
    </row>
    <row r="155" ht="24" customHeight="1">
      <c r="A155" s="24" t="inlineStr">
        <is>
          <t>OpenDART_fnlttSinglAcntAll</t>
        </is>
      </c>
      <c r="B155" s="24" t="inlineStr">
        <is>
          <t>00366942</t>
        </is>
      </c>
      <c r="C155" s="24" t="inlineStr">
        <is>
          <t>미코</t>
        </is>
      </c>
      <c r="D155" s="24" t="inlineStr">
        <is>
          <t>mico</t>
        </is>
      </c>
      <c r="E155" s="24" t="inlineStr">
        <is>
          <t>059090</t>
        </is>
      </c>
      <c r="F155" s="24" t="inlineStr">
        <is>
          <t>2021</t>
        </is>
      </c>
      <c r="G155" s="24" t="inlineStr">
        <is>
          <t>CFS</t>
        </is>
      </c>
      <c r="H155" s="24" t="inlineStr">
        <is>
          <t>SCE</t>
        </is>
      </c>
      <c r="I155" s="24" t="inlineStr">
        <is>
          <t>자본변동표</t>
        </is>
      </c>
      <c r="J155" s="24" t="inlineStr">
        <is>
          <t>-표준계정코드 미사용-</t>
        </is>
      </c>
      <c r="K155" s="24" t="inlineStr">
        <is>
          <t>기타포괄손익-공정가치측정금융자산평가손익</t>
        </is>
      </c>
      <c r="L155" s="24" t="inlineStr">
        <is>
          <t>자본 [member]|비지배지분 [member]</t>
        </is>
      </c>
      <c r="M155" s="24" t="inlineStr">
        <is>
          <t>제 23 기</t>
        </is>
      </c>
      <c r="N155" s="24" t="inlineStr">
        <is>
          <t>64359024.0</t>
        </is>
      </c>
      <c r="O155" s="24" t="inlineStr">
        <is>
          <t>-68919098.0</t>
        </is>
      </c>
      <c r="P155" s="24" t="inlineStr">
        <is>
          <t>KRW</t>
        </is>
      </c>
      <c r="Q155" s="24" t="inlineStr">
        <is>
          <t>6</t>
        </is>
      </c>
    </row>
    <row r="156" ht="24" customHeight="1">
      <c r="A156" s="29" t="inlineStr">
        <is>
          <t>OpenDART_fnlttSinglAcntAll</t>
        </is>
      </c>
      <c r="B156" s="29" t="inlineStr">
        <is>
          <t>00366942</t>
        </is>
      </c>
      <c r="C156" s="29" t="inlineStr">
        <is>
          <t>미코</t>
        </is>
      </c>
      <c r="D156" s="29" t="inlineStr">
        <is>
          <t>mico</t>
        </is>
      </c>
      <c r="E156" s="29" t="inlineStr">
        <is>
          <t>059090</t>
        </is>
      </c>
      <c r="F156" s="29" t="inlineStr">
        <is>
          <t>2021</t>
        </is>
      </c>
      <c r="G156" s="29" t="inlineStr">
        <is>
          <t>CFS</t>
        </is>
      </c>
      <c r="H156" s="29" t="inlineStr">
        <is>
          <t>SCE</t>
        </is>
      </c>
      <c r="I156" s="29" t="inlineStr">
        <is>
          <t>자본변동표</t>
        </is>
      </c>
      <c r="J156" s="29" t="inlineStr">
        <is>
          <t>-표준계정코드 미사용-</t>
        </is>
      </c>
      <c r="K156" s="29" t="inlineStr">
        <is>
          <t>기타포괄손익-공정가치측정금융자산평가손익</t>
        </is>
      </c>
      <c r="L156" s="29" t="inlineStr">
        <is>
          <t>자본 [member]|지배기업의 소유주에게 귀속되는 자본 [member]</t>
        </is>
      </c>
      <c r="M156" s="29" t="inlineStr">
        <is>
          <t>제 23 기</t>
        </is>
      </c>
      <c r="N156" s="29" t="inlineStr">
        <is>
          <t>363882111.0</t>
        </is>
      </c>
      <c r="O156" s="29" t="inlineStr">
        <is>
          <t>342264044.0</t>
        </is>
      </c>
      <c r="P156" s="29" t="inlineStr">
        <is>
          <t>KRW</t>
        </is>
      </c>
      <c r="Q156" s="29" t="inlineStr">
        <is>
          <t>6</t>
        </is>
      </c>
    </row>
    <row r="157" ht="24" customHeight="1">
      <c r="A157" s="24" t="inlineStr">
        <is>
          <t>OpenDART_fnlttSinglAcntAll</t>
        </is>
      </c>
      <c r="B157" s="24" t="inlineStr">
        <is>
          <t>00366942</t>
        </is>
      </c>
      <c r="C157" s="24" t="inlineStr">
        <is>
          <t>미코</t>
        </is>
      </c>
      <c r="D157" s="24" t="inlineStr">
        <is>
          <t>mico</t>
        </is>
      </c>
      <c r="E157" s="24" t="inlineStr">
        <is>
          <t>059090</t>
        </is>
      </c>
      <c r="F157" s="24" t="inlineStr">
        <is>
          <t>2021</t>
        </is>
      </c>
      <c r="G157" s="24" t="inlineStr">
        <is>
          <t>CFS</t>
        </is>
      </c>
      <c r="H157" s="24" t="inlineStr">
        <is>
          <t>SCE</t>
        </is>
      </c>
      <c r="I157" s="24" t="inlineStr">
        <is>
          <t>자본변동표</t>
        </is>
      </c>
      <c r="J157" s="24" t="inlineStr">
        <is>
          <t>-표준계정코드 미사용-</t>
        </is>
      </c>
      <c r="K157" s="24" t="inlineStr">
        <is>
          <t>기타포괄손익-공정가치측정금융자산평가손익</t>
        </is>
      </c>
      <c r="L157" s="24" t="inlineStr">
        <is>
          <t>자본 [member]|지배기업의 소유주에게 귀속되는 자본 [member]|기타자본구성요소 [member]</t>
        </is>
      </c>
      <c r="M157" s="24" t="inlineStr">
        <is>
          <t>제 23 기</t>
        </is>
      </c>
      <c r="N157" s="24" t="inlineStr">
        <is>
          <t>해당 없음</t>
        </is>
      </c>
      <c r="O157" s="24" t="inlineStr">
        <is>
          <t>해당 없음</t>
        </is>
      </c>
      <c r="P157" s="24" t="inlineStr">
        <is>
          <t>KRW</t>
        </is>
      </c>
      <c r="Q157" s="24" t="inlineStr">
        <is>
          <t>6</t>
        </is>
      </c>
    </row>
    <row r="158" ht="24" customHeight="1">
      <c r="A158" s="29" t="inlineStr">
        <is>
          <t>OpenDART_fnlttSinglAcntAll</t>
        </is>
      </c>
      <c r="B158" s="29" t="inlineStr">
        <is>
          <t>00366942</t>
        </is>
      </c>
      <c r="C158" s="29" t="inlineStr">
        <is>
          <t>미코</t>
        </is>
      </c>
      <c r="D158" s="29" t="inlineStr">
        <is>
          <t>mico</t>
        </is>
      </c>
      <c r="E158" s="29" t="inlineStr">
        <is>
          <t>059090</t>
        </is>
      </c>
      <c r="F158" s="29" t="inlineStr">
        <is>
          <t>2021</t>
        </is>
      </c>
      <c r="G158" s="29" t="inlineStr">
        <is>
          <t>CFS</t>
        </is>
      </c>
      <c r="H158" s="29" t="inlineStr">
        <is>
          <t>SCE</t>
        </is>
      </c>
      <c r="I158" s="29" t="inlineStr">
        <is>
          <t>자본변동표</t>
        </is>
      </c>
      <c r="J158" s="29" t="inlineStr">
        <is>
          <t>-표준계정코드 미사용-</t>
        </is>
      </c>
      <c r="K158" s="29" t="inlineStr">
        <is>
          <t>기타포괄손익-공정가치측정금융자산평가손익</t>
        </is>
      </c>
      <c r="L158" s="29" t="inlineStr">
        <is>
          <t>자본 [member]|지배기업의 소유주에게 귀속되는 자본 [member]|기타포괄손익누계액 [member]</t>
        </is>
      </c>
      <c r="M158" s="29" t="inlineStr">
        <is>
          <t>제 23 기</t>
        </is>
      </c>
      <c r="N158" s="29" t="inlineStr">
        <is>
          <t>-744307006.0</t>
        </is>
      </c>
      <c r="O158" s="29" t="inlineStr">
        <is>
          <t>342264044.0</t>
        </is>
      </c>
      <c r="P158" s="29" t="inlineStr">
        <is>
          <t>KRW</t>
        </is>
      </c>
      <c r="Q158" s="29" t="inlineStr">
        <is>
          <t>6</t>
        </is>
      </c>
    </row>
    <row r="159" ht="24" customHeight="1">
      <c r="A159" s="24" t="inlineStr">
        <is>
          <t>OpenDART_fnlttSinglAcntAll</t>
        </is>
      </c>
      <c r="B159" s="24" t="inlineStr">
        <is>
          <t>00366942</t>
        </is>
      </c>
      <c r="C159" s="24" t="inlineStr">
        <is>
          <t>미코</t>
        </is>
      </c>
      <c r="D159" s="24" t="inlineStr">
        <is>
          <t>mico</t>
        </is>
      </c>
      <c r="E159" s="24" t="inlineStr">
        <is>
          <t>059090</t>
        </is>
      </c>
      <c r="F159" s="24" t="inlineStr">
        <is>
          <t>2021</t>
        </is>
      </c>
      <c r="G159" s="24" t="inlineStr">
        <is>
          <t>CFS</t>
        </is>
      </c>
      <c r="H159" s="24" t="inlineStr">
        <is>
          <t>SCE</t>
        </is>
      </c>
      <c r="I159" s="24" t="inlineStr">
        <is>
          <t>자본변동표</t>
        </is>
      </c>
      <c r="J159" s="24" t="inlineStr">
        <is>
          <t>-표준계정코드 미사용-</t>
        </is>
      </c>
      <c r="K159" s="24" t="inlineStr">
        <is>
          <t>기타포괄손익-공정가치측정금융자산평가손익</t>
        </is>
      </c>
      <c r="L159" s="24" t="inlineStr">
        <is>
          <t>자본 [member]|지배기업의 소유주에게 귀속되는 자본 [member]|이익잉여금 [member]</t>
        </is>
      </c>
      <c r="M159" s="24" t="inlineStr">
        <is>
          <t>제 23 기</t>
        </is>
      </c>
      <c r="N159" s="24" t="inlineStr">
        <is>
          <t>1108189117.0</t>
        </is>
      </c>
      <c r="O159" s="24" t="inlineStr">
        <is>
          <t>해당 없음</t>
        </is>
      </c>
      <c r="P159" s="24" t="inlineStr">
        <is>
          <t>KRW</t>
        </is>
      </c>
      <c r="Q159" s="24" t="inlineStr">
        <is>
          <t>6</t>
        </is>
      </c>
    </row>
    <row r="160" ht="24" customHeight="1">
      <c r="A160" s="29" t="inlineStr">
        <is>
          <t>OpenDART_fnlttSinglAcntAll</t>
        </is>
      </c>
      <c r="B160" s="29" t="inlineStr">
        <is>
          <t>00366942</t>
        </is>
      </c>
      <c r="C160" s="29" t="inlineStr">
        <is>
          <t>미코</t>
        </is>
      </c>
      <c r="D160" s="29" t="inlineStr">
        <is>
          <t>mico</t>
        </is>
      </c>
      <c r="E160" s="29" t="inlineStr">
        <is>
          <t>059090</t>
        </is>
      </c>
      <c r="F160" s="29" t="inlineStr">
        <is>
          <t>2021</t>
        </is>
      </c>
      <c r="G160" s="29" t="inlineStr">
        <is>
          <t>CFS</t>
        </is>
      </c>
      <c r="H160" s="29" t="inlineStr">
        <is>
          <t>SCE</t>
        </is>
      </c>
      <c r="I160" s="29" t="inlineStr">
        <is>
          <t>자본변동표</t>
        </is>
      </c>
      <c r="J160" s="29" t="inlineStr">
        <is>
          <t>-표준계정코드 미사용-</t>
        </is>
      </c>
      <c r="K160" s="29" t="inlineStr">
        <is>
          <t>기타포괄손익-공정가치측정금융자산평가손익</t>
        </is>
      </c>
      <c r="L160" s="29" t="inlineStr">
        <is>
          <t>자본 [member]|지배기업의 소유주에게 귀속되는 자본 [member]|자본금 [member]</t>
        </is>
      </c>
      <c r="M160" s="29" t="inlineStr">
        <is>
          <t>제 23 기</t>
        </is>
      </c>
      <c r="N160" s="29" t="inlineStr">
        <is>
          <t>해당 없음</t>
        </is>
      </c>
      <c r="O160" s="29" t="inlineStr">
        <is>
          <t>해당 없음</t>
        </is>
      </c>
      <c r="P160" s="29" t="inlineStr">
        <is>
          <t>KRW</t>
        </is>
      </c>
      <c r="Q160" s="29" t="inlineStr">
        <is>
          <t>6</t>
        </is>
      </c>
    </row>
    <row r="161" ht="24" customHeight="1">
      <c r="A161" s="24" t="inlineStr">
        <is>
          <t>OpenDART_fnlttSinglAcntAll</t>
        </is>
      </c>
      <c r="B161" s="24" t="inlineStr">
        <is>
          <t>00366942</t>
        </is>
      </c>
      <c r="C161" s="24" t="inlineStr">
        <is>
          <t>미코</t>
        </is>
      </c>
      <c r="D161" s="24" t="inlineStr">
        <is>
          <t>mico</t>
        </is>
      </c>
      <c r="E161" s="24" t="inlineStr">
        <is>
          <t>059090</t>
        </is>
      </c>
      <c r="F161" s="24" t="inlineStr">
        <is>
          <t>2021</t>
        </is>
      </c>
      <c r="G161" s="24" t="inlineStr">
        <is>
          <t>CFS</t>
        </is>
      </c>
      <c r="H161" s="24" t="inlineStr">
        <is>
          <t>SCE</t>
        </is>
      </c>
      <c r="I161" s="24" t="inlineStr">
        <is>
          <t>자본변동표</t>
        </is>
      </c>
      <c r="J161" s="24" t="inlineStr">
        <is>
          <t>-표준계정코드 미사용-</t>
        </is>
      </c>
      <c r="K161" s="24" t="inlineStr">
        <is>
          <t>기타포괄손익-공정가치측정금융자산평가손익</t>
        </is>
      </c>
      <c r="L161" s="24" t="inlineStr">
        <is>
          <t>자본 [member]|지배기업의 소유주에게 귀속되는 자본 [member]|자본잉여금 [member]</t>
        </is>
      </c>
      <c r="M161" s="24" t="inlineStr">
        <is>
          <t>제 23 기</t>
        </is>
      </c>
      <c r="N161" s="24" t="inlineStr">
        <is>
          <t>해당 없음</t>
        </is>
      </c>
      <c r="O161" s="24" t="inlineStr">
        <is>
          <t>해당 없음</t>
        </is>
      </c>
      <c r="P161" s="24" t="inlineStr">
        <is>
          <t>KRW</t>
        </is>
      </c>
      <c r="Q161" s="24" t="inlineStr">
        <is>
          <t>6</t>
        </is>
      </c>
    </row>
    <row r="162" ht="24" customHeight="1">
      <c r="A162" s="29" t="inlineStr">
        <is>
          <t>OpenDART_fnlttSinglAcntAll</t>
        </is>
      </c>
      <c r="B162" s="29" t="inlineStr">
        <is>
          <t>00366942</t>
        </is>
      </c>
      <c r="C162" s="29" t="inlineStr">
        <is>
          <t>미코</t>
        </is>
      </c>
      <c r="D162" s="29" t="inlineStr">
        <is>
          <t>mico</t>
        </is>
      </c>
      <c r="E162" s="29" t="inlineStr">
        <is>
          <t>059090</t>
        </is>
      </c>
      <c r="F162" s="29" t="inlineStr">
        <is>
          <t>2021</t>
        </is>
      </c>
      <c r="G162" s="29" t="inlineStr">
        <is>
          <t>CFS</t>
        </is>
      </c>
      <c r="H162" s="29" t="inlineStr">
        <is>
          <t>SCE</t>
        </is>
      </c>
      <c r="I162" s="29" t="inlineStr">
        <is>
          <t>자본변동표</t>
        </is>
      </c>
      <c r="J162" s="29" t="inlineStr">
        <is>
          <t>-표준계정코드 미사용-</t>
        </is>
      </c>
      <c r="K162" s="29" t="inlineStr">
        <is>
          <t>보험수리적손익</t>
        </is>
      </c>
      <c r="L162" s="29" t="inlineStr">
        <is>
          <t>연결재무제표 [member]</t>
        </is>
      </c>
      <c r="M162" s="29" t="inlineStr">
        <is>
          <t>제 23 기</t>
        </is>
      </c>
      <c r="N162" s="29" t="inlineStr">
        <is>
          <t>-1234375668.0</t>
        </is>
      </c>
      <c r="O162" s="29" t="inlineStr">
        <is>
          <t>-407018341.0</t>
        </is>
      </c>
      <c r="P162" s="29" t="inlineStr">
        <is>
          <t>KRW</t>
        </is>
      </c>
      <c r="Q162" s="29" t="inlineStr">
        <is>
          <t>7</t>
        </is>
      </c>
    </row>
    <row r="163" ht="24" customHeight="1">
      <c r="A163" s="24" t="inlineStr">
        <is>
          <t>OpenDART_fnlttSinglAcntAll</t>
        </is>
      </c>
      <c r="B163" s="24" t="inlineStr">
        <is>
          <t>00366942</t>
        </is>
      </c>
      <c r="C163" s="24" t="inlineStr">
        <is>
          <t>미코</t>
        </is>
      </c>
      <c r="D163" s="24" t="inlineStr">
        <is>
          <t>mico</t>
        </is>
      </c>
      <c r="E163" s="24" t="inlineStr">
        <is>
          <t>059090</t>
        </is>
      </c>
      <c r="F163" s="24" t="inlineStr">
        <is>
          <t>2021</t>
        </is>
      </c>
      <c r="G163" s="24" t="inlineStr">
        <is>
          <t>CFS</t>
        </is>
      </c>
      <c r="H163" s="24" t="inlineStr">
        <is>
          <t>SCE</t>
        </is>
      </c>
      <c r="I163" s="24" t="inlineStr">
        <is>
          <t>자본변동표</t>
        </is>
      </c>
      <c r="J163" s="24" t="inlineStr">
        <is>
          <t>-표준계정코드 미사용-</t>
        </is>
      </c>
      <c r="K163" s="24" t="inlineStr">
        <is>
          <t>보험수리적손익</t>
        </is>
      </c>
      <c r="L163" s="24" t="inlineStr">
        <is>
          <t>자본 [member]|비지배지분 [member]</t>
        </is>
      </c>
      <c r="M163" s="24" t="inlineStr">
        <is>
          <t>제 23 기</t>
        </is>
      </c>
      <c r="N163" s="24" t="inlineStr">
        <is>
          <t>-674536333.0</t>
        </is>
      </c>
      <c r="O163" s="24" t="inlineStr">
        <is>
          <t>-237583693.0</t>
        </is>
      </c>
      <c r="P163" s="24" t="inlineStr">
        <is>
          <t>KRW</t>
        </is>
      </c>
      <c r="Q163" s="24" t="inlineStr">
        <is>
          <t>7</t>
        </is>
      </c>
    </row>
    <row r="164" ht="24" customHeight="1">
      <c r="A164" s="29" t="inlineStr">
        <is>
          <t>OpenDART_fnlttSinglAcntAll</t>
        </is>
      </c>
      <c r="B164" s="29" t="inlineStr">
        <is>
          <t>00366942</t>
        </is>
      </c>
      <c r="C164" s="29" t="inlineStr">
        <is>
          <t>미코</t>
        </is>
      </c>
      <c r="D164" s="29" t="inlineStr">
        <is>
          <t>mico</t>
        </is>
      </c>
      <c r="E164" s="29" t="inlineStr">
        <is>
          <t>059090</t>
        </is>
      </c>
      <c r="F164" s="29" t="inlineStr">
        <is>
          <t>2021</t>
        </is>
      </c>
      <c r="G164" s="29" t="inlineStr">
        <is>
          <t>CFS</t>
        </is>
      </c>
      <c r="H164" s="29" t="inlineStr">
        <is>
          <t>SCE</t>
        </is>
      </c>
      <c r="I164" s="29" t="inlineStr">
        <is>
          <t>자본변동표</t>
        </is>
      </c>
      <c r="J164" s="29" t="inlineStr">
        <is>
          <t>-표준계정코드 미사용-</t>
        </is>
      </c>
      <c r="K164" s="29" t="inlineStr">
        <is>
          <t>보험수리적손익</t>
        </is>
      </c>
      <c r="L164" s="29" t="inlineStr">
        <is>
          <t>자본 [member]|지배기업의 소유주에게 귀속되는 자본 [member]</t>
        </is>
      </c>
      <c r="M164" s="29" t="inlineStr">
        <is>
          <t>제 23 기</t>
        </is>
      </c>
      <c r="N164" s="29" t="inlineStr">
        <is>
          <t>-559839335.0</t>
        </is>
      </c>
      <c r="O164" s="29" t="inlineStr">
        <is>
          <t>-169434648.0</t>
        </is>
      </c>
      <c r="P164" s="29" t="inlineStr">
        <is>
          <t>KRW</t>
        </is>
      </c>
      <c r="Q164" s="29" t="inlineStr">
        <is>
          <t>7</t>
        </is>
      </c>
    </row>
    <row r="165" ht="24" customHeight="1">
      <c r="A165" s="24" t="inlineStr">
        <is>
          <t>OpenDART_fnlttSinglAcntAll</t>
        </is>
      </c>
      <c r="B165" s="24" t="inlineStr">
        <is>
          <t>00366942</t>
        </is>
      </c>
      <c r="C165" s="24" t="inlineStr">
        <is>
          <t>미코</t>
        </is>
      </c>
      <c r="D165" s="24" t="inlineStr">
        <is>
          <t>mico</t>
        </is>
      </c>
      <c r="E165" s="24" t="inlineStr">
        <is>
          <t>059090</t>
        </is>
      </c>
      <c r="F165" s="24" t="inlineStr">
        <is>
          <t>2021</t>
        </is>
      </c>
      <c r="G165" s="24" t="inlineStr">
        <is>
          <t>CFS</t>
        </is>
      </c>
      <c r="H165" s="24" t="inlineStr">
        <is>
          <t>SCE</t>
        </is>
      </c>
      <c r="I165" s="24" t="inlineStr">
        <is>
          <t>자본변동표</t>
        </is>
      </c>
      <c r="J165" s="24" t="inlineStr">
        <is>
          <t>-표준계정코드 미사용-</t>
        </is>
      </c>
      <c r="K165" s="24" t="inlineStr">
        <is>
          <t>보험수리적손익</t>
        </is>
      </c>
      <c r="L165" s="24" t="inlineStr">
        <is>
          <t>자본 [member]|지배기업의 소유주에게 귀속되는 자본 [member]|기타자본구성요소 [member]</t>
        </is>
      </c>
      <c r="M165" s="24" t="inlineStr">
        <is>
          <t>제 23 기</t>
        </is>
      </c>
      <c r="N165" s="24" t="inlineStr">
        <is>
          <t>해당 없음</t>
        </is>
      </c>
      <c r="O165" s="24" t="inlineStr">
        <is>
          <t>해당 없음</t>
        </is>
      </c>
      <c r="P165" s="24" t="inlineStr">
        <is>
          <t>KRW</t>
        </is>
      </c>
      <c r="Q165" s="24" t="inlineStr">
        <is>
          <t>7</t>
        </is>
      </c>
    </row>
    <row r="166" ht="24" customHeight="1">
      <c r="A166" s="29" t="inlineStr">
        <is>
          <t>OpenDART_fnlttSinglAcntAll</t>
        </is>
      </c>
      <c r="B166" s="29" t="inlineStr">
        <is>
          <t>00366942</t>
        </is>
      </c>
      <c r="C166" s="29" t="inlineStr">
        <is>
          <t>미코</t>
        </is>
      </c>
      <c r="D166" s="29" t="inlineStr">
        <is>
          <t>mico</t>
        </is>
      </c>
      <c r="E166" s="29" t="inlineStr">
        <is>
          <t>059090</t>
        </is>
      </c>
      <c r="F166" s="29" t="inlineStr">
        <is>
          <t>2021</t>
        </is>
      </c>
      <c r="G166" s="29" t="inlineStr">
        <is>
          <t>CFS</t>
        </is>
      </c>
      <c r="H166" s="29" t="inlineStr">
        <is>
          <t>SCE</t>
        </is>
      </c>
      <c r="I166" s="29" t="inlineStr">
        <is>
          <t>자본변동표</t>
        </is>
      </c>
      <c r="J166" s="29" t="inlineStr">
        <is>
          <t>-표준계정코드 미사용-</t>
        </is>
      </c>
      <c r="K166" s="29" t="inlineStr">
        <is>
          <t>보험수리적손익</t>
        </is>
      </c>
      <c r="L166" s="29" t="inlineStr">
        <is>
          <t>자본 [member]|지배기업의 소유주에게 귀속되는 자본 [member]|기타포괄손익누계액 [member]</t>
        </is>
      </c>
      <c r="M166" s="29" t="inlineStr">
        <is>
          <t>제 23 기</t>
        </is>
      </c>
      <c r="N166" s="29" t="inlineStr">
        <is>
          <t>-559839335.0</t>
        </is>
      </c>
      <c r="O166" s="29" t="inlineStr">
        <is>
          <t>-169434648.0</t>
        </is>
      </c>
      <c r="P166" s="29" t="inlineStr">
        <is>
          <t>KRW</t>
        </is>
      </c>
      <c r="Q166" s="29" t="inlineStr">
        <is>
          <t>7</t>
        </is>
      </c>
    </row>
    <row r="167" ht="24" customHeight="1">
      <c r="A167" s="24" t="inlineStr">
        <is>
          <t>OpenDART_fnlttSinglAcntAll</t>
        </is>
      </c>
      <c r="B167" s="24" t="inlineStr">
        <is>
          <t>00366942</t>
        </is>
      </c>
      <c r="C167" s="24" t="inlineStr">
        <is>
          <t>미코</t>
        </is>
      </c>
      <c r="D167" s="24" t="inlineStr">
        <is>
          <t>mico</t>
        </is>
      </c>
      <c r="E167" s="24" t="inlineStr">
        <is>
          <t>059090</t>
        </is>
      </c>
      <c r="F167" s="24" t="inlineStr">
        <is>
          <t>2021</t>
        </is>
      </c>
      <c r="G167" s="24" t="inlineStr">
        <is>
          <t>CFS</t>
        </is>
      </c>
      <c r="H167" s="24" t="inlineStr">
        <is>
          <t>SCE</t>
        </is>
      </c>
      <c r="I167" s="24" t="inlineStr">
        <is>
          <t>자본변동표</t>
        </is>
      </c>
      <c r="J167" s="24" t="inlineStr">
        <is>
          <t>-표준계정코드 미사용-</t>
        </is>
      </c>
      <c r="K167" s="24" t="inlineStr">
        <is>
          <t>보험수리적손익</t>
        </is>
      </c>
      <c r="L167" s="24" t="inlineStr">
        <is>
          <t>자본 [member]|지배기업의 소유주에게 귀속되는 자본 [member]|이익잉여금 [member]</t>
        </is>
      </c>
      <c r="M167" s="24" t="inlineStr">
        <is>
          <t>제 23 기</t>
        </is>
      </c>
      <c r="N167" s="24" t="inlineStr">
        <is>
          <t>해당 없음</t>
        </is>
      </c>
      <c r="O167" s="24" t="inlineStr">
        <is>
          <t>해당 없음</t>
        </is>
      </c>
      <c r="P167" s="24" t="inlineStr">
        <is>
          <t>KRW</t>
        </is>
      </c>
      <c r="Q167" s="24" t="inlineStr">
        <is>
          <t>7</t>
        </is>
      </c>
    </row>
    <row r="168" ht="24" customHeight="1">
      <c r="A168" s="29" t="inlineStr">
        <is>
          <t>OpenDART_fnlttSinglAcntAll</t>
        </is>
      </c>
      <c r="B168" s="29" t="inlineStr">
        <is>
          <t>00366942</t>
        </is>
      </c>
      <c r="C168" s="29" t="inlineStr">
        <is>
          <t>미코</t>
        </is>
      </c>
      <c r="D168" s="29" t="inlineStr">
        <is>
          <t>mico</t>
        </is>
      </c>
      <c r="E168" s="29" t="inlineStr">
        <is>
          <t>059090</t>
        </is>
      </c>
      <c r="F168" s="29" t="inlineStr">
        <is>
          <t>2021</t>
        </is>
      </c>
      <c r="G168" s="29" t="inlineStr">
        <is>
          <t>CFS</t>
        </is>
      </c>
      <c r="H168" s="29" t="inlineStr">
        <is>
          <t>SCE</t>
        </is>
      </c>
      <c r="I168" s="29" t="inlineStr">
        <is>
          <t>자본변동표</t>
        </is>
      </c>
      <c r="J168" s="29" t="inlineStr">
        <is>
          <t>-표준계정코드 미사용-</t>
        </is>
      </c>
      <c r="K168" s="29" t="inlineStr">
        <is>
          <t>보험수리적손익</t>
        </is>
      </c>
      <c r="L168" s="29" t="inlineStr">
        <is>
          <t>자본 [member]|지배기업의 소유주에게 귀속되는 자본 [member]|자본잉여금 [member]</t>
        </is>
      </c>
      <c r="M168" s="29" t="inlineStr">
        <is>
          <t>제 23 기</t>
        </is>
      </c>
      <c r="N168" s="29" t="inlineStr">
        <is>
          <t>해당 없음</t>
        </is>
      </c>
      <c r="O168" s="29" t="inlineStr">
        <is>
          <t>해당 없음</t>
        </is>
      </c>
      <c r="P168" s="29" t="inlineStr">
        <is>
          <t>KRW</t>
        </is>
      </c>
      <c r="Q168" s="29" t="inlineStr">
        <is>
          <t>7</t>
        </is>
      </c>
    </row>
    <row r="169" ht="24" customHeight="1">
      <c r="A169" s="24" t="inlineStr">
        <is>
          <t>OpenDART_fnlttSinglAcntAll</t>
        </is>
      </c>
      <c r="B169" s="24" t="inlineStr">
        <is>
          <t>00366942</t>
        </is>
      </c>
      <c r="C169" s="24" t="inlineStr">
        <is>
          <t>미코</t>
        </is>
      </c>
      <c r="D169" s="24" t="inlineStr">
        <is>
          <t>mico</t>
        </is>
      </c>
      <c r="E169" s="24" t="inlineStr">
        <is>
          <t>059090</t>
        </is>
      </c>
      <c r="F169" s="24" t="inlineStr">
        <is>
          <t>2021</t>
        </is>
      </c>
      <c r="G169" s="24" t="inlineStr">
        <is>
          <t>CFS</t>
        </is>
      </c>
      <c r="H169" s="24" t="inlineStr">
        <is>
          <t>SCE</t>
        </is>
      </c>
      <c r="I169" s="24" t="inlineStr">
        <is>
          <t>자본변동표</t>
        </is>
      </c>
      <c r="J169" s="24" t="inlineStr">
        <is>
          <t>-표준계정코드 미사용-</t>
        </is>
      </c>
      <c r="K169" s="24" t="inlineStr">
        <is>
          <t>지분법자본변동</t>
        </is>
      </c>
      <c r="L169" s="24" t="inlineStr">
        <is>
          <t>연결재무제표 [member]</t>
        </is>
      </c>
      <c r="M169" s="24" t="inlineStr">
        <is>
          <t>제 23 기</t>
        </is>
      </c>
      <c r="N169" s="24" t="inlineStr">
        <is>
          <t>-2648334355.0</t>
        </is>
      </c>
      <c r="O169" s="24" t="inlineStr">
        <is>
          <t>-103840509.0</t>
        </is>
      </c>
      <c r="P169" s="24" t="inlineStr">
        <is>
          <t>KRW</t>
        </is>
      </c>
      <c r="Q169" s="24" t="inlineStr">
        <is>
          <t>8</t>
        </is>
      </c>
    </row>
    <row r="170" ht="24" customHeight="1">
      <c r="A170" s="29" t="inlineStr">
        <is>
          <t>OpenDART_fnlttSinglAcntAll</t>
        </is>
      </c>
      <c r="B170" s="29" t="inlineStr">
        <is>
          <t>00366942</t>
        </is>
      </c>
      <c r="C170" s="29" t="inlineStr">
        <is>
          <t>미코</t>
        </is>
      </c>
      <c r="D170" s="29" t="inlineStr">
        <is>
          <t>mico</t>
        </is>
      </c>
      <c r="E170" s="29" t="inlineStr">
        <is>
          <t>059090</t>
        </is>
      </c>
      <c r="F170" s="29" t="inlineStr">
        <is>
          <t>2021</t>
        </is>
      </c>
      <c r="G170" s="29" t="inlineStr">
        <is>
          <t>CFS</t>
        </is>
      </c>
      <c r="H170" s="29" t="inlineStr">
        <is>
          <t>SCE</t>
        </is>
      </c>
      <c r="I170" s="29" t="inlineStr">
        <is>
          <t>자본변동표</t>
        </is>
      </c>
      <c r="J170" s="29" t="inlineStr">
        <is>
          <t>-표준계정코드 미사용-</t>
        </is>
      </c>
      <c r="K170" s="29" t="inlineStr">
        <is>
          <t>지분법자본변동</t>
        </is>
      </c>
      <c r="L170" s="29" t="inlineStr">
        <is>
          <t>자본 [member]|비지배지분 [member]</t>
        </is>
      </c>
      <c r="M170" s="29" t="inlineStr">
        <is>
          <t>제 23 기</t>
        </is>
      </c>
      <c r="N170" s="29" t="inlineStr">
        <is>
          <t>0.0</t>
        </is>
      </c>
      <c r="O170" s="29" t="inlineStr">
        <is>
          <t>0.0</t>
        </is>
      </c>
      <c r="P170" s="29" t="inlineStr">
        <is>
          <t>KRW</t>
        </is>
      </c>
      <c r="Q170" s="29" t="inlineStr">
        <is>
          <t>8</t>
        </is>
      </c>
    </row>
    <row r="171" ht="24" customHeight="1">
      <c r="A171" s="24" t="inlineStr">
        <is>
          <t>OpenDART_fnlttSinglAcntAll</t>
        </is>
      </c>
      <c r="B171" s="24" t="inlineStr">
        <is>
          <t>00366942</t>
        </is>
      </c>
      <c r="C171" s="24" t="inlineStr">
        <is>
          <t>미코</t>
        </is>
      </c>
      <c r="D171" s="24" t="inlineStr">
        <is>
          <t>mico</t>
        </is>
      </c>
      <c r="E171" s="24" t="inlineStr">
        <is>
          <t>059090</t>
        </is>
      </c>
      <c r="F171" s="24" t="inlineStr">
        <is>
          <t>2021</t>
        </is>
      </c>
      <c r="G171" s="24" t="inlineStr">
        <is>
          <t>CFS</t>
        </is>
      </c>
      <c r="H171" s="24" t="inlineStr">
        <is>
          <t>SCE</t>
        </is>
      </c>
      <c r="I171" s="24" t="inlineStr">
        <is>
          <t>자본변동표</t>
        </is>
      </c>
      <c r="J171" s="24" t="inlineStr">
        <is>
          <t>-표준계정코드 미사용-</t>
        </is>
      </c>
      <c r="K171" s="24" t="inlineStr">
        <is>
          <t>지분법자본변동</t>
        </is>
      </c>
      <c r="L171" s="24" t="inlineStr">
        <is>
          <t>자본 [member]|지배기업의 소유주에게 귀속되는 자본 [member]</t>
        </is>
      </c>
      <c r="M171" s="24" t="inlineStr">
        <is>
          <t>제 23 기</t>
        </is>
      </c>
      <c r="N171" s="24" t="inlineStr">
        <is>
          <t>-2648334355.0</t>
        </is>
      </c>
      <c r="O171" s="24" t="inlineStr">
        <is>
          <t>-103840509.0</t>
        </is>
      </c>
      <c r="P171" s="24" t="inlineStr">
        <is>
          <t>KRW</t>
        </is>
      </c>
      <c r="Q171" s="24" t="inlineStr">
        <is>
          <t>8</t>
        </is>
      </c>
    </row>
    <row r="172" ht="24" customHeight="1">
      <c r="A172" s="29" t="inlineStr">
        <is>
          <t>OpenDART_fnlttSinglAcntAll</t>
        </is>
      </c>
      <c r="B172" s="29" t="inlineStr">
        <is>
          <t>00366942</t>
        </is>
      </c>
      <c r="C172" s="29" t="inlineStr">
        <is>
          <t>미코</t>
        </is>
      </c>
      <c r="D172" s="29" t="inlineStr">
        <is>
          <t>mico</t>
        </is>
      </c>
      <c r="E172" s="29" t="inlineStr">
        <is>
          <t>059090</t>
        </is>
      </c>
      <c r="F172" s="29" t="inlineStr">
        <is>
          <t>2021</t>
        </is>
      </c>
      <c r="G172" s="29" t="inlineStr">
        <is>
          <t>CFS</t>
        </is>
      </c>
      <c r="H172" s="29" t="inlineStr">
        <is>
          <t>SCE</t>
        </is>
      </c>
      <c r="I172" s="29" t="inlineStr">
        <is>
          <t>자본변동표</t>
        </is>
      </c>
      <c r="J172" s="29" t="inlineStr">
        <is>
          <t>-표준계정코드 미사용-</t>
        </is>
      </c>
      <c r="K172" s="29" t="inlineStr">
        <is>
          <t>지분법자본변동</t>
        </is>
      </c>
      <c r="L172" s="29" t="inlineStr">
        <is>
          <t>자본 [member]|지배기업의 소유주에게 귀속되는 자본 [member]|기타자본구성요소 [member]</t>
        </is>
      </c>
      <c r="M172" s="29" t="inlineStr">
        <is>
          <t>제 23 기</t>
        </is>
      </c>
      <c r="N172" s="29" t="inlineStr">
        <is>
          <t>해당 없음</t>
        </is>
      </c>
      <c r="O172" s="29" t="inlineStr">
        <is>
          <t>해당 없음</t>
        </is>
      </c>
      <c r="P172" s="29" t="inlineStr">
        <is>
          <t>KRW</t>
        </is>
      </c>
      <c r="Q172" s="29" t="inlineStr">
        <is>
          <t>8</t>
        </is>
      </c>
    </row>
    <row r="173" ht="24" customHeight="1">
      <c r="A173" s="24" t="inlineStr">
        <is>
          <t>OpenDART_fnlttSinglAcntAll</t>
        </is>
      </c>
      <c r="B173" s="24" t="inlineStr">
        <is>
          <t>00366942</t>
        </is>
      </c>
      <c r="C173" s="24" t="inlineStr">
        <is>
          <t>미코</t>
        </is>
      </c>
      <c r="D173" s="24" t="inlineStr">
        <is>
          <t>mico</t>
        </is>
      </c>
      <c r="E173" s="24" t="inlineStr">
        <is>
          <t>059090</t>
        </is>
      </c>
      <c r="F173" s="24" t="inlineStr">
        <is>
          <t>2021</t>
        </is>
      </c>
      <c r="G173" s="24" t="inlineStr">
        <is>
          <t>CFS</t>
        </is>
      </c>
      <c r="H173" s="24" t="inlineStr">
        <is>
          <t>SCE</t>
        </is>
      </c>
      <c r="I173" s="24" t="inlineStr">
        <is>
          <t>자본변동표</t>
        </is>
      </c>
      <c r="J173" s="24" t="inlineStr">
        <is>
          <t>-표준계정코드 미사용-</t>
        </is>
      </c>
      <c r="K173" s="24" t="inlineStr">
        <is>
          <t>지분법자본변동</t>
        </is>
      </c>
      <c r="L173" s="24" t="inlineStr">
        <is>
          <t>자본 [member]|지배기업의 소유주에게 귀속되는 자본 [member]|기타포괄손익누계액 [member]</t>
        </is>
      </c>
      <c r="M173" s="24" t="inlineStr">
        <is>
          <t>제 23 기</t>
        </is>
      </c>
      <c r="N173" s="24" t="inlineStr">
        <is>
          <t>-2648334355.0</t>
        </is>
      </c>
      <c r="O173" s="24" t="inlineStr">
        <is>
          <t>-103840509.0</t>
        </is>
      </c>
      <c r="P173" s="24" t="inlineStr">
        <is>
          <t>KRW</t>
        </is>
      </c>
      <c r="Q173" s="24" t="inlineStr">
        <is>
          <t>8</t>
        </is>
      </c>
    </row>
    <row r="174" ht="24" customHeight="1">
      <c r="A174" s="29" t="inlineStr">
        <is>
          <t>OpenDART_fnlttSinglAcntAll</t>
        </is>
      </c>
      <c r="B174" s="29" t="inlineStr">
        <is>
          <t>00366942</t>
        </is>
      </c>
      <c r="C174" s="29" t="inlineStr">
        <is>
          <t>미코</t>
        </is>
      </c>
      <c r="D174" s="29" t="inlineStr">
        <is>
          <t>mico</t>
        </is>
      </c>
      <c r="E174" s="29" t="inlineStr">
        <is>
          <t>059090</t>
        </is>
      </c>
      <c r="F174" s="29" t="inlineStr">
        <is>
          <t>2021</t>
        </is>
      </c>
      <c r="G174" s="29" t="inlineStr">
        <is>
          <t>CFS</t>
        </is>
      </c>
      <c r="H174" s="29" t="inlineStr">
        <is>
          <t>SCE</t>
        </is>
      </c>
      <c r="I174" s="29" t="inlineStr">
        <is>
          <t>자본변동표</t>
        </is>
      </c>
      <c r="J174" s="29" t="inlineStr">
        <is>
          <t>-표준계정코드 미사용-</t>
        </is>
      </c>
      <c r="K174" s="29" t="inlineStr">
        <is>
          <t>지분법자본변동</t>
        </is>
      </c>
      <c r="L174" s="29" t="inlineStr">
        <is>
          <t>자본 [member]|지배기업의 소유주에게 귀속되는 자본 [member]|이익잉여금 [member]</t>
        </is>
      </c>
      <c r="M174" s="29" t="inlineStr">
        <is>
          <t>제 23 기</t>
        </is>
      </c>
      <c r="N174" s="29" t="inlineStr">
        <is>
          <t>해당 없음</t>
        </is>
      </c>
      <c r="O174" s="29" t="inlineStr">
        <is>
          <t>해당 없음</t>
        </is>
      </c>
      <c r="P174" s="29" t="inlineStr">
        <is>
          <t>KRW</t>
        </is>
      </c>
      <c r="Q174" s="29" t="inlineStr">
        <is>
          <t>8</t>
        </is>
      </c>
    </row>
    <row r="175" ht="24" customHeight="1">
      <c r="A175" s="24" t="inlineStr">
        <is>
          <t>OpenDART_fnlttSinglAcntAll</t>
        </is>
      </c>
      <c r="B175" s="24" t="inlineStr">
        <is>
          <t>00366942</t>
        </is>
      </c>
      <c r="C175" s="24" t="inlineStr">
        <is>
          <t>미코</t>
        </is>
      </c>
      <c r="D175" s="24" t="inlineStr">
        <is>
          <t>mico</t>
        </is>
      </c>
      <c r="E175" s="24" t="inlineStr">
        <is>
          <t>059090</t>
        </is>
      </c>
      <c r="F175" s="24" t="inlineStr">
        <is>
          <t>2021</t>
        </is>
      </c>
      <c r="G175" s="24" t="inlineStr">
        <is>
          <t>CFS</t>
        </is>
      </c>
      <c r="H175" s="24" t="inlineStr">
        <is>
          <t>SCE</t>
        </is>
      </c>
      <c r="I175" s="24" t="inlineStr">
        <is>
          <t>자본변동표</t>
        </is>
      </c>
      <c r="J175" s="24" t="inlineStr">
        <is>
          <t>-표준계정코드 미사용-</t>
        </is>
      </c>
      <c r="K175" s="24" t="inlineStr">
        <is>
          <t>지분법자본변동</t>
        </is>
      </c>
      <c r="L175" s="24" t="inlineStr">
        <is>
          <t>자본 [member]|지배기업의 소유주에게 귀속되는 자본 [member]|자본잉여금 [member]</t>
        </is>
      </c>
      <c r="M175" s="24" t="inlineStr">
        <is>
          <t>제 23 기</t>
        </is>
      </c>
      <c r="N175" s="24" t="inlineStr">
        <is>
          <t>해당 없음</t>
        </is>
      </c>
      <c r="O175" s="24" t="inlineStr">
        <is>
          <t>해당 없음</t>
        </is>
      </c>
      <c r="P175" s="24" t="inlineStr">
        <is>
          <t>KRW</t>
        </is>
      </c>
      <c r="Q175" s="24" t="inlineStr">
        <is>
          <t>8</t>
        </is>
      </c>
    </row>
    <row r="176" ht="24" customHeight="1">
      <c r="A176" s="29" t="inlineStr">
        <is>
          <t>OpenDART_fnlttSinglAcntAll</t>
        </is>
      </c>
      <c r="B176" s="29" t="inlineStr">
        <is>
          <t>00366942</t>
        </is>
      </c>
      <c r="C176" s="29" t="inlineStr">
        <is>
          <t>미코</t>
        </is>
      </c>
      <c r="D176" s="29" t="inlineStr">
        <is>
          <t>mico</t>
        </is>
      </c>
      <c r="E176" s="29" t="inlineStr">
        <is>
          <t>059090</t>
        </is>
      </c>
      <c r="F176" s="29" t="inlineStr">
        <is>
          <t>2021</t>
        </is>
      </c>
      <c r="G176" s="29" t="inlineStr">
        <is>
          <t>CFS</t>
        </is>
      </c>
      <c r="H176" s="29" t="inlineStr">
        <is>
          <t>SCE</t>
        </is>
      </c>
      <c r="I176" s="29" t="inlineStr">
        <is>
          <t>자본변동표</t>
        </is>
      </c>
      <c r="J176" s="29" t="inlineStr">
        <is>
          <t>-표준계정코드 미사용-</t>
        </is>
      </c>
      <c r="K176" s="29" t="inlineStr">
        <is>
          <t>지분법이익잉여금</t>
        </is>
      </c>
      <c r="L176" s="29" t="inlineStr">
        <is>
          <t>연결재무제표 [member]</t>
        </is>
      </c>
      <c r="M176" s="29" t="inlineStr">
        <is>
          <t>제 23 기</t>
        </is>
      </c>
      <c r="N176" s="29" t="inlineStr">
        <is>
          <t>해당 없음</t>
        </is>
      </c>
      <c r="O176" s="29" t="inlineStr">
        <is>
          <t>해당 없음</t>
        </is>
      </c>
      <c r="P176" s="29" t="inlineStr">
        <is>
          <t>KRW</t>
        </is>
      </c>
      <c r="Q176" s="29" t="inlineStr">
        <is>
          <t>9</t>
        </is>
      </c>
    </row>
    <row r="177" ht="24" customHeight="1">
      <c r="A177" s="24" t="inlineStr">
        <is>
          <t>OpenDART_fnlttSinglAcntAll</t>
        </is>
      </c>
      <c r="B177" s="24" t="inlineStr">
        <is>
          <t>00366942</t>
        </is>
      </c>
      <c r="C177" s="24" t="inlineStr">
        <is>
          <t>미코</t>
        </is>
      </c>
      <c r="D177" s="24" t="inlineStr">
        <is>
          <t>mico</t>
        </is>
      </c>
      <c r="E177" s="24" t="inlineStr">
        <is>
          <t>059090</t>
        </is>
      </c>
      <c r="F177" s="24" t="inlineStr">
        <is>
          <t>2021</t>
        </is>
      </c>
      <c r="G177" s="24" t="inlineStr">
        <is>
          <t>CFS</t>
        </is>
      </c>
      <c r="H177" s="24" t="inlineStr">
        <is>
          <t>SCE</t>
        </is>
      </c>
      <c r="I177" s="24" t="inlineStr">
        <is>
          <t>자본변동표</t>
        </is>
      </c>
      <c r="J177" s="24" t="inlineStr">
        <is>
          <t>-표준계정코드 미사용-</t>
        </is>
      </c>
      <c r="K177" s="24" t="inlineStr">
        <is>
          <t>지분법이익잉여금</t>
        </is>
      </c>
      <c r="L177" s="24" t="inlineStr">
        <is>
          <t>자본 [member]|지배기업의 소유주에게 귀속되는 자본 [member]</t>
        </is>
      </c>
      <c r="M177" s="24" t="inlineStr">
        <is>
          <t>제 23 기</t>
        </is>
      </c>
      <c r="N177" s="24" t="inlineStr">
        <is>
          <t>해당 없음</t>
        </is>
      </c>
      <c r="O177" s="24" t="inlineStr">
        <is>
          <t>해당 없음</t>
        </is>
      </c>
      <c r="P177" s="24" t="inlineStr">
        <is>
          <t>KRW</t>
        </is>
      </c>
      <c r="Q177" s="24" t="inlineStr">
        <is>
          <t>9</t>
        </is>
      </c>
    </row>
    <row r="178" ht="24" customHeight="1">
      <c r="A178" s="29" t="inlineStr">
        <is>
          <t>OpenDART_fnlttSinglAcntAll</t>
        </is>
      </c>
      <c r="B178" s="29" t="inlineStr">
        <is>
          <t>00366942</t>
        </is>
      </c>
      <c r="C178" s="29" t="inlineStr">
        <is>
          <t>미코</t>
        </is>
      </c>
      <c r="D178" s="29" t="inlineStr">
        <is>
          <t>mico</t>
        </is>
      </c>
      <c r="E178" s="29" t="inlineStr">
        <is>
          <t>059090</t>
        </is>
      </c>
      <c r="F178" s="29" t="inlineStr">
        <is>
          <t>2021</t>
        </is>
      </c>
      <c r="G178" s="29" t="inlineStr">
        <is>
          <t>CFS</t>
        </is>
      </c>
      <c r="H178" s="29" t="inlineStr">
        <is>
          <t>SCE</t>
        </is>
      </c>
      <c r="I178" s="29" t="inlineStr">
        <is>
          <t>자본변동표</t>
        </is>
      </c>
      <c r="J178" s="29" t="inlineStr">
        <is>
          <t>-표준계정코드 미사용-</t>
        </is>
      </c>
      <c r="K178" s="29" t="inlineStr">
        <is>
          <t>지분법이익잉여금</t>
        </is>
      </c>
      <c r="L178" s="29" t="inlineStr">
        <is>
          <t>자본 [member]|지배기업의 소유주에게 귀속되는 자본 [member]|기타자본구성요소 [member]</t>
        </is>
      </c>
      <c r="M178" s="29" t="inlineStr">
        <is>
          <t>제 23 기</t>
        </is>
      </c>
      <c r="N178" s="29" t="inlineStr">
        <is>
          <t>해당 없음</t>
        </is>
      </c>
      <c r="O178" s="29" t="inlineStr">
        <is>
          <t>해당 없음</t>
        </is>
      </c>
      <c r="P178" s="29" t="inlineStr">
        <is>
          <t>KRW</t>
        </is>
      </c>
      <c r="Q178" s="29" t="inlineStr">
        <is>
          <t>9</t>
        </is>
      </c>
    </row>
    <row r="179" ht="24" customHeight="1">
      <c r="A179" s="24" t="inlineStr">
        <is>
          <t>OpenDART_fnlttSinglAcntAll</t>
        </is>
      </c>
      <c r="B179" s="24" t="inlineStr">
        <is>
          <t>00366942</t>
        </is>
      </c>
      <c r="C179" s="24" t="inlineStr">
        <is>
          <t>미코</t>
        </is>
      </c>
      <c r="D179" s="24" t="inlineStr">
        <is>
          <t>mico</t>
        </is>
      </c>
      <c r="E179" s="24" t="inlineStr">
        <is>
          <t>059090</t>
        </is>
      </c>
      <c r="F179" s="24" t="inlineStr">
        <is>
          <t>2021</t>
        </is>
      </c>
      <c r="G179" s="24" t="inlineStr">
        <is>
          <t>CFS</t>
        </is>
      </c>
      <c r="H179" s="24" t="inlineStr">
        <is>
          <t>SCE</t>
        </is>
      </c>
      <c r="I179" s="24" t="inlineStr">
        <is>
          <t>자본변동표</t>
        </is>
      </c>
      <c r="J179" s="24" t="inlineStr">
        <is>
          <t>-표준계정코드 미사용-</t>
        </is>
      </c>
      <c r="K179" s="24" t="inlineStr">
        <is>
          <t>지분법이익잉여금</t>
        </is>
      </c>
      <c r="L179" s="24" t="inlineStr">
        <is>
          <t>자본 [member]|지배기업의 소유주에게 귀속되는 자본 [member]|기타포괄손익누계액 [member]</t>
        </is>
      </c>
      <c r="M179" s="24" t="inlineStr">
        <is>
          <t>제 23 기</t>
        </is>
      </c>
      <c r="N179" s="24" t="inlineStr">
        <is>
          <t>해당 없음</t>
        </is>
      </c>
      <c r="O179" s="24" t="inlineStr">
        <is>
          <t>해당 없음</t>
        </is>
      </c>
      <c r="P179" s="24" t="inlineStr">
        <is>
          <t>KRW</t>
        </is>
      </c>
      <c r="Q179" s="24" t="inlineStr">
        <is>
          <t>9</t>
        </is>
      </c>
    </row>
    <row r="180" ht="24" customHeight="1">
      <c r="A180" s="29" t="inlineStr">
        <is>
          <t>OpenDART_fnlttSinglAcntAll</t>
        </is>
      </c>
      <c r="B180" s="29" t="inlineStr">
        <is>
          <t>00366942</t>
        </is>
      </c>
      <c r="C180" s="29" t="inlineStr">
        <is>
          <t>미코</t>
        </is>
      </c>
      <c r="D180" s="29" t="inlineStr">
        <is>
          <t>mico</t>
        </is>
      </c>
      <c r="E180" s="29" t="inlineStr">
        <is>
          <t>059090</t>
        </is>
      </c>
      <c r="F180" s="29" t="inlineStr">
        <is>
          <t>2021</t>
        </is>
      </c>
      <c r="G180" s="29" t="inlineStr">
        <is>
          <t>CFS</t>
        </is>
      </c>
      <c r="H180" s="29" t="inlineStr">
        <is>
          <t>SCE</t>
        </is>
      </c>
      <c r="I180" s="29" t="inlineStr">
        <is>
          <t>자본변동표</t>
        </is>
      </c>
      <c r="J180" s="29" t="inlineStr">
        <is>
          <t>-표준계정코드 미사용-</t>
        </is>
      </c>
      <c r="K180" s="29" t="inlineStr">
        <is>
          <t>지분법이익잉여금</t>
        </is>
      </c>
      <c r="L180" s="29" t="inlineStr">
        <is>
          <t>자본 [member]|지배기업의 소유주에게 귀속되는 자본 [member]|이익잉여금 [member]</t>
        </is>
      </c>
      <c r="M180" s="29" t="inlineStr">
        <is>
          <t>제 23 기</t>
        </is>
      </c>
      <c r="N180" s="29" t="inlineStr">
        <is>
          <t>해당 없음</t>
        </is>
      </c>
      <c r="O180" s="29" t="inlineStr">
        <is>
          <t>해당 없음</t>
        </is>
      </c>
      <c r="P180" s="29" t="inlineStr">
        <is>
          <t>KRW</t>
        </is>
      </c>
      <c r="Q180" s="29" t="inlineStr">
        <is>
          <t>9</t>
        </is>
      </c>
    </row>
    <row r="181" ht="24" customHeight="1">
      <c r="A181" s="24" t="inlineStr">
        <is>
          <t>OpenDART_fnlttSinglAcntAll</t>
        </is>
      </c>
      <c r="B181" s="24" t="inlineStr">
        <is>
          <t>00366942</t>
        </is>
      </c>
      <c r="C181" s="24" t="inlineStr">
        <is>
          <t>미코</t>
        </is>
      </c>
      <c r="D181" s="24" t="inlineStr">
        <is>
          <t>mico</t>
        </is>
      </c>
      <c r="E181" s="24" t="inlineStr">
        <is>
          <t>059090</t>
        </is>
      </c>
      <c r="F181" s="24" t="inlineStr">
        <is>
          <t>2021</t>
        </is>
      </c>
      <c r="G181" s="24" t="inlineStr">
        <is>
          <t>CFS</t>
        </is>
      </c>
      <c r="H181" s="24" t="inlineStr">
        <is>
          <t>SCE</t>
        </is>
      </c>
      <c r="I181" s="24" t="inlineStr">
        <is>
          <t>자본변동표</t>
        </is>
      </c>
      <c r="J181" s="24" t="inlineStr">
        <is>
          <t>-표준계정코드 미사용-</t>
        </is>
      </c>
      <c r="K181" s="24" t="inlineStr">
        <is>
          <t>지분법이익잉여금</t>
        </is>
      </c>
      <c r="L181" s="24" t="inlineStr">
        <is>
          <t>자본 [member]|지배기업의 소유주에게 귀속되는 자본 [member]|자본잉여금 [member]</t>
        </is>
      </c>
      <c r="M181" s="24" t="inlineStr">
        <is>
          <t>제 23 기</t>
        </is>
      </c>
      <c r="N181" s="24" t="inlineStr">
        <is>
          <t>해당 없음</t>
        </is>
      </c>
      <c r="O181" s="24" t="inlineStr">
        <is>
          <t>해당 없음</t>
        </is>
      </c>
      <c r="P181" s="24" t="inlineStr">
        <is>
          <t>KRW</t>
        </is>
      </c>
      <c r="Q181" s="24" t="inlineStr">
        <is>
          <t>9</t>
        </is>
      </c>
    </row>
    <row r="182" ht="24" customHeight="1">
      <c r="A182" s="29" t="inlineStr">
        <is>
          <t>OpenDART_fnlttSinglAcntAll</t>
        </is>
      </c>
      <c r="B182" s="29" t="inlineStr">
        <is>
          <t>00366942</t>
        </is>
      </c>
      <c r="C182" s="29" t="inlineStr">
        <is>
          <t>미코</t>
        </is>
      </c>
      <c r="D182" s="29" t="inlineStr">
        <is>
          <t>mico</t>
        </is>
      </c>
      <c r="E182" s="29" t="inlineStr">
        <is>
          <t>059090</t>
        </is>
      </c>
      <c r="F182" s="29" t="inlineStr">
        <is>
          <t>2021</t>
        </is>
      </c>
      <c r="G182" s="29" t="inlineStr">
        <is>
          <t>CFS</t>
        </is>
      </c>
      <c r="H182" s="29" t="inlineStr">
        <is>
          <t>SCE</t>
        </is>
      </c>
      <c r="I182" s="29" t="inlineStr">
        <is>
          <t>자본변동표</t>
        </is>
      </c>
      <c r="J182" s="29" t="inlineStr">
        <is>
          <t>-표준계정코드 미사용-</t>
        </is>
      </c>
      <c r="K182" s="29" t="inlineStr">
        <is>
          <t>전환권 발행, 행사, 소각</t>
        </is>
      </c>
      <c r="L182" s="29" t="inlineStr">
        <is>
          <t>연결재무제표 [member]</t>
        </is>
      </c>
      <c r="M182" s="29" t="inlineStr">
        <is>
          <t>제 23 기</t>
        </is>
      </c>
      <c r="N182" s="29" t="inlineStr">
        <is>
          <t>33323252832.0</t>
        </is>
      </c>
      <c r="O182" s="29" t="inlineStr">
        <is>
          <t>8427095694.0</t>
        </is>
      </c>
      <c r="P182" s="29" t="inlineStr">
        <is>
          <t>KRW</t>
        </is>
      </c>
      <c r="Q182" s="29" t="inlineStr">
        <is>
          <t>10</t>
        </is>
      </c>
    </row>
    <row r="183" ht="24" customHeight="1">
      <c r="A183" s="24" t="inlineStr">
        <is>
          <t>OpenDART_fnlttSinglAcntAll</t>
        </is>
      </c>
      <c r="B183" s="24" t="inlineStr">
        <is>
          <t>00366942</t>
        </is>
      </c>
      <c r="C183" s="24" t="inlineStr">
        <is>
          <t>미코</t>
        </is>
      </c>
      <c r="D183" s="24" t="inlineStr">
        <is>
          <t>mico</t>
        </is>
      </c>
      <c r="E183" s="24" t="inlineStr">
        <is>
          <t>059090</t>
        </is>
      </c>
      <c r="F183" s="24" t="inlineStr">
        <is>
          <t>2021</t>
        </is>
      </c>
      <c r="G183" s="24" t="inlineStr">
        <is>
          <t>CFS</t>
        </is>
      </c>
      <c r="H183" s="24" t="inlineStr">
        <is>
          <t>SCE</t>
        </is>
      </c>
      <c r="I183" s="24" t="inlineStr">
        <is>
          <t>자본변동표</t>
        </is>
      </c>
      <c r="J183" s="24" t="inlineStr">
        <is>
          <t>-표준계정코드 미사용-</t>
        </is>
      </c>
      <c r="K183" s="24" t="inlineStr">
        <is>
          <t>전환권 발행, 행사, 소각</t>
        </is>
      </c>
      <c r="L183" s="24" t="inlineStr">
        <is>
          <t>자본 [member]|비지배지분 [member]</t>
        </is>
      </c>
      <c r="M183" s="24" t="inlineStr">
        <is>
          <t>제 23 기</t>
        </is>
      </c>
      <c r="N183" s="24" t="inlineStr">
        <is>
          <t>0.0</t>
        </is>
      </c>
      <c r="O183" s="24" t="inlineStr">
        <is>
          <t>7876297537.0</t>
        </is>
      </c>
      <c r="P183" s="24" t="inlineStr">
        <is>
          <t>KRW</t>
        </is>
      </c>
      <c r="Q183" s="24" t="inlineStr">
        <is>
          <t>10</t>
        </is>
      </c>
    </row>
    <row r="184" ht="24" customHeight="1">
      <c r="A184" s="29" t="inlineStr">
        <is>
          <t>OpenDART_fnlttSinglAcntAll</t>
        </is>
      </c>
      <c r="B184" s="29" t="inlineStr">
        <is>
          <t>00366942</t>
        </is>
      </c>
      <c r="C184" s="29" t="inlineStr">
        <is>
          <t>미코</t>
        </is>
      </c>
      <c r="D184" s="29" t="inlineStr">
        <is>
          <t>mico</t>
        </is>
      </c>
      <c r="E184" s="29" t="inlineStr">
        <is>
          <t>059090</t>
        </is>
      </c>
      <c r="F184" s="29" t="inlineStr">
        <is>
          <t>2021</t>
        </is>
      </c>
      <c r="G184" s="29" t="inlineStr">
        <is>
          <t>CFS</t>
        </is>
      </c>
      <c r="H184" s="29" t="inlineStr">
        <is>
          <t>SCE</t>
        </is>
      </c>
      <c r="I184" s="29" t="inlineStr">
        <is>
          <t>자본변동표</t>
        </is>
      </c>
      <c r="J184" s="29" t="inlineStr">
        <is>
          <t>-표준계정코드 미사용-</t>
        </is>
      </c>
      <c r="K184" s="29" t="inlineStr">
        <is>
          <t>전환권 발행, 행사, 소각</t>
        </is>
      </c>
      <c r="L184" s="29" t="inlineStr">
        <is>
          <t>자본 [member]|지배기업의 소유주에게 귀속되는 자본 [member]</t>
        </is>
      </c>
      <c r="M184" s="29" t="inlineStr">
        <is>
          <t>제 23 기</t>
        </is>
      </c>
      <c r="N184" s="29" t="inlineStr">
        <is>
          <t>33323252832.0</t>
        </is>
      </c>
      <c r="O184" s="29" t="inlineStr">
        <is>
          <t>550798157.0</t>
        </is>
      </c>
      <c r="P184" s="29" t="inlineStr">
        <is>
          <t>KRW</t>
        </is>
      </c>
      <c r="Q184" s="29" t="inlineStr">
        <is>
          <t>10</t>
        </is>
      </c>
    </row>
    <row r="185" ht="24" customHeight="1">
      <c r="A185" s="24" t="inlineStr">
        <is>
          <t>OpenDART_fnlttSinglAcntAll</t>
        </is>
      </c>
      <c r="B185" s="24" t="inlineStr">
        <is>
          <t>00366942</t>
        </is>
      </c>
      <c r="C185" s="24" t="inlineStr">
        <is>
          <t>미코</t>
        </is>
      </c>
      <c r="D185" s="24" t="inlineStr">
        <is>
          <t>mico</t>
        </is>
      </c>
      <c r="E185" s="24" t="inlineStr">
        <is>
          <t>059090</t>
        </is>
      </c>
      <c r="F185" s="24" t="inlineStr">
        <is>
          <t>2021</t>
        </is>
      </c>
      <c r="G185" s="24" t="inlineStr">
        <is>
          <t>CFS</t>
        </is>
      </c>
      <c r="H185" s="24" t="inlineStr">
        <is>
          <t>SCE</t>
        </is>
      </c>
      <c r="I185" s="24" t="inlineStr">
        <is>
          <t>자본변동표</t>
        </is>
      </c>
      <c r="J185" s="24" t="inlineStr">
        <is>
          <t>-표준계정코드 미사용-</t>
        </is>
      </c>
      <c r="K185" s="24" t="inlineStr">
        <is>
          <t>전환권 발행, 행사, 소각</t>
        </is>
      </c>
      <c r="L185" s="24" t="inlineStr">
        <is>
          <t>자본 [member]|지배기업의 소유주에게 귀속되는 자본 [member]|자본금 [member]</t>
        </is>
      </c>
      <c r="M185" s="24" t="inlineStr">
        <is>
          <t>제 23 기</t>
        </is>
      </c>
      <c r="N185" s="24" t="inlineStr">
        <is>
          <t>1050087500.0</t>
        </is>
      </c>
      <c r="O185" s="24" t="inlineStr">
        <is>
          <t>해당 없음</t>
        </is>
      </c>
      <c r="P185" s="24" t="inlineStr">
        <is>
          <t>KRW</t>
        </is>
      </c>
      <c r="Q185" s="24" t="inlineStr">
        <is>
          <t>10</t>
        </is>
      </c>
    </row>
    <row r="186" ht="24" customHeight="1">
      <c r="A186" s="29" t="inlineStr">
        <is>
          <t>OpenDART_fnlttSinglAcntAll</t>
        </is>
      </c>
      <c r="B186" s="29" t="inlineStr">
        <is>
          <t>00366942</t>
        </is>
      </c>
      <c r="C186" s="29" t="inlineStr">
        <is>
          <t>미코</t>
        </is>
      </c>
      <c r="D186" s="29" t="inlineStr">
        <is>
          <t>mico</t>
        </is>
      </c>
      <c r="E186" s="29" t="inlineStr">
        <is>
          <t>059090</t>
        </is>
      </c>
      <c r="F186" s="29" t="inlineStr">
        <is>
          <t>2021</t>
        </is>
      </c>
      <c r="G186" s="29" t="inlineStr">
        <is>
          <t>CFS</t>
        </is>
      </c>
      <c r="H186" s="29" t="inlineStr">
        <is>
          <t>SCE</t>
        </is>
      </c>
      <c r="I186" s="29" t="inlineStr">
        <is>
          <t>자본변동표</t>
        </is>
      </c>
      <c r="J186" s="29" t="inlineStr">
        <is>
          <t>-표준계정코드 미사용-</t>
        </is>
      </c>
      <c r="K186" s="29" t="inlineStr">
        <is>
          <t>전환권 발행, 행사, 소각</t>
        </is>
      </c>
      <c r="L186" s="29" t="inlineStr">
        <is>
          <t>자본 [member]|지배기업의 소유주에게 귀속되는 자본 [member]|자본잉여금 [member]</t>
        </is>
      </c>
      <c r="M186" s="29" t="inlineStr">
        <is>
          <t>제 23 기</t>
        </is>
      </c>
      <c r="N186" s="29" t="inlineStr">
        <is>
          <t>32273165332.0</t>
        </is>
      </c>
      <c r="O186" s="29" t="inlineStr">
        <is>
          <t>550798157.0</t>
        </is>
      </c>
      <c r="P186" s="29" t="inlineStr">
        <is>
          <t>KRW</t>
        </is>
      </c>
      <c r="Q186" s="29" t="inlineStr">
        <is>
          <t>10</t>
        </is>
      </c>
    </row>
    <row r="187" ht="24" customHeight="1">
      <c r="A187" s="24" t="inlineStr">
        <is>
          <t>OpenDART_fnlttSinglAcntAll</t>
        </is>
      </c>
      <c r="B187" s="24" t="inlineStr">
        <is>
          <t>00366942</t>
        </is>
      </c>
      <c r="C187" s="24" t="inlineStr">
        <is>
          <t>미코</t>
        </is>
      </c>
      <c r="D187" s="24" t="inlineStr">
        <is>
          <t>mico</t>
        </is>
      </c>
      <c r="E187" s="24" t="inlineStr">
        <is>
          <t>059090</t>
        </is>
      </c>
      <c r="F187" s="24" t="inlineStr">
        <is>
          <t>2021</t>
        </is>
      </c>
      <c r="G187" s="24" t="inlineStr">
        <is>
          <t>CFS</t>
        </is>
      </c>
      <c r="H187" s="24" t="inlineStr">
        <is>
          <t>SCE</t>
        </is>
      </c>
      <c r="I187" s="24" t="inlineStr">
        <is>
          <t>자본변동표</t>
        </is>
      </c>
      <c r="J187" s="24" t="inlineStr">
        <is>
          <t>-표준계정코드 미사용-</t>
        </is>
      </c>
      <c r="K187" s="24" t="inlineStr">
        <is>
          <t>신주인수권 발행,행사, 소각</t>
        </is>
      </c>
      <c r="L187" s="24" t="inlineStr">
        <is>
          <t>연결재무제표 [member]</t>
        </is>
      </c>
      <c r="M187" s="24" t="inlineStr">
        <is>
          <t>제 23 기</t>
        </is>
      </c>
      <c r="N187" s="24" t="inlineStr">
        <is>
          <t>6633495991.0</t>
        </is>
      </c>
      <c r="O187" s="24" t="inlineStr">
        <is>
          <t>22902358899.0</t>
        </is>
      </c>
      <c r="P187" s="24" t="inlineStr">
        <is>
          <t>KRW</t>
        </is>
      </c>
      <c r="Q187" s="24" t="inlineStr">
        <is>
          <t>11</t>
        </is>
      </c>
    </row>
    <row r="188" ht="24" customHeight="1">
      <c r="A188" s="29" t="inlineStr">
        <is>
          <t>OpenDART_fnlttSinglAcntAll</t>
        </is>
      </c>
      <c r="B188" s="29" t="inlineStr">
        <is>
          <t>00366942</t>
        </is>
      </c>
      <c r="C188" s="29" t="inlineStr">
        <is>
          <t>미코</t>
        </is>
      </c>
      <c r="D188" s="29" t="inlineStr">
        <is>
          <t>mico</t>
        </is>
      </c>
      <c r="E188" s="29" t="inlineStr">
        <is>
          <t>059090</t>
        </is>
      </c>
      <c r="F188" s="29" t="inlineStr">
        <is>
          <t>2021</t>
        </is>
      </c>
      <c r="G188" s="29" t="inlineStr">
        <is>
          <t>CFS</t>
        </is>
      </c>
      <c r="H188" s="29" t="inlineStr">
        <is>
          <t>SCE</t>
        </is>
      </c>
      <c r="I188" s="29" t="inlineStr">
        <is>
          <t>자본변동표</t>
        </is>
      </c>
      <c r="J188" s="29" t="inlineStr">
        <is>
          <t>-표준계정코드 미사용-</t>
        </is>
      </c>
      <c r="K188" s="29" t="inlineStr">
        <is>
          <t>신주인수권 발행,행사, 소각</t>
        </is>
      </c>
      <c r="L188" s="29" t="inlineStr">
        <is>
          <t>자본 [member]|비지배지분 [member]</t>
        </is>
      </c>
      <c r="M188" s="29" t="inlineStr">
        <is>
          <t>제 23 기</t>
        </is>
      </c>
      <c r="N188" s="29" t="inlineStr">
        <is>
          <t>156848436.0</t>
        </is>
      </c>
      <c r="O188" s="29" t="inlineStr">
        <is>
          <t>20851270604.0</t>
        </is>
      </c>
      <c r="P188" s="29" t="inlineStr">
        <is>
          <t>KRW</t>
        </is>
      </c>
      <c r="Q188" s="29" t="inlineStr">
        <is>
          <t>11</t>
        </is>
      </c>
    </row>
    <row r="189" ht="24" customHeight="1">
      <c r="A189" s="24" t="inlineStr">
        <is>
          <t>OpenDART_fnlttSinglAcntAll</t>
        </is>
      </c>
      <c r="B189" s="24" t="inlineStr">
        <is>
          <t>00366942</t>
        </is>
      </c>
      <c r="C189" s="24" t="inlineStr">
        <is>
          <t>미코</t>
        </is>
      </c>
      <c r="D189" s="24" t="inlineStr">
        <is>
          <t>mico</t>
        </is>
      </c>
      <c r="E189" s="24" t="inlineStr">
        <is>
          <t>059090</t>
        </is>
      </c>
      <c r="F189" s="24" t="inlineStr">
        <is>
          <t>2021</t>
        </is>
      </c>
      <c r="G189" s="24" t="inlineStr">
        <is>
          <t>CFS</t>
        </is>
      </c>
      <c r="H189" s="24" t="inlineStr">
        <is>
          <t>SCE</t>
        </is>
      </c>
      <c r="I189" s="24" t="inlineStr">
        <is>
          <t>자본변동표</t>
        </is>
      </c>
      <c r="J189" s="24" t="inlineStr">
        <is>
          <t>-표준계정코드 미사용-</t>
        </is>
      </c>
      <c r="K189" s="24" t="inlineStr">
        <is>
          <t>신주인수권 발행,행사, 소각</t>
        </is>
      </c>
      <c r="L189" s="24" t="inlineStr">
        <is>
          <t>자본 [member]|지배기업의 소유주에게 귀속되는 자본 [member]</t>
        </is>
      </c>
      <c r="M189" s="24" t="inlineStr">
        <is>
          <t>제 23 기</t>
        </is>
      </c>
      <c r="N189" s="24" t="inlineStr">
        <is>
          <t>6476647555.0</t>
        </is>
      </c>
      <c r="O189" s="24" t="inlineStr">
        <is>
          <t>2051088295.0</t>
        </is>
      </c>
      <c r="P189" s="24" t="inlineStr">
        <is>
          <t>KRW</t>
        </is>
      </c>
      <c r="Q189" s="24" t="inlineStr">
        <is>
          <t>11</t>
        </is>
      </c>
    </row>
    <row r="190" ht="24" customHeight="1">
      <c r="A190" s="29" t="inlineStr">
        <is>
          <t>OpenDART_fnlttSinglAcntAll</t>
        </is>
      </c>
      <c r="B190" s="29" t="inlineStr">
        <is>
          <t>00366942</t>
        </is>
      </c>
      <c r="C190" s="29" t="inlineStr">
        <is>
          <t>미코</t>
        </is>
      </c>
      <c r="D190" s="29" t="inlineStr">
        <is>
          <t>mico</t>
        </is>
      </c>
      <c r="E190" s="29" t="inlineStr">
        <is>
          <t>059090</t>
        </is>
      </c>
      <c r="F190" s="29" t="inlineStr">
        <is>
          <t>2021</t>
        </is>
      </c>
      <c r="G190" s="29" t="inlineStr">
        <is>
          <t>CFS</t>
        </is>
      </c>
      <c r="H190" s="29" t="inlineStr">
        <is>
          <t>SCE</t>
        </is>
      </c>
      <c r="I190" s="29" t="inlineStr">
        <is>
          <t>자본변동표</t>
        </is>
      </c>
      <c r="J190" s="29" t="inlineStr">
        <is>
          <t>-표준계정코드 미사용-</t>
        </is>
      </c>
      <c r="K190" s="29" t="inlineStr">
        <is>
          <t>신주인수권 발행,행사, 소각</t>
        </is>
      </c>
      <c r="L190" s="29" t="inlineStr">
        <is>
          <t>자본 [member]|지배기업의 소유주에게 귀속되는 자본 [member]|자본잉여금 [member]</t>
        </is>
      </c>
      <c r="M190" s="29" t="inlineStr">
        <is>
          <t>제 23 기</t>
        </is>
      </c>
      <c r="N190" s="29" t="inlineStr">
        <is>
          <t>6476647555.0</t>
        </is>
      </c>
      <c r="O190" s="29" t="inlineStr">
        <is>
          <t>2051088295.0</t>
        </is>
      </c>
      <c r="P190" s="29" t="inlineStr">
        <is>
          <t>KRW</t>
        </is>
      </c>
      <c r="Q190" s="29" t="inlineStr">
        <is>
          <t>11</t>
        </is>
      </c>
    </row>
    <row r="191" ht="24" customHeight="1">
      <c r="A191" s="24" t="inlineStr">
        <is>
          <t>OpenDART_fnlttSinglAcntAll</t>
        </is>
      </c>
      <c r="B191" s="24" t="inlineStr">
        <is>
          <t>00366942</t>
        </is>
      </c>
      <c r="C191" s="24" t="inlineStr">
        <is>
          <t>미코</t>
        </is>
      </c>
      <c r="D191" s="24" t="inlineStr">
        <is>
          <t>mico</t>
        </is>
      </c>
      <c r="E191" s="24" t="inlineStr">
        <is>
          <t>059090</t>
        </is>
      </c>
      <c r="F191" s="24" t="inlineStr">
        <is>
          <t>2021</t>
        </is>
      </c>
      <c r="G191" s="24" t="inlineStr">
        <is>
          <t>CFS</t>
        </is>
      </c>
      <c r="H191" s="24" t="inlineStr">
        <is>
          <t>SCE</t>
        </is>
      </c>
      <c r="I191" s="24" t="inlineStr">
        <is>
          <t>자본변동표</t>
        </is>
      </c>
      <c r="J191" s="24" t="inlineStr">
        <is>
          <t>ifrs-full_DividendsPaid</t>
        </is>
      </c>
      <c r="K191" s="24" t="inlineStr">
        <is>
          <t>배당금지급</t>
        </is>
      </c>
      <c r="L191" s="24" t="inlineStr">
        <is>
          <t>연결재무제표 [member]</t>
        </is>
      </c>
      <c r="M191" s="24" t="inlineStr">
        <is>
          <t>제 23 기</t>
        </is>
      </c>
      <c r="N191" s="24" t="inlineStr">
        <is>
          <t>2079422450.0</t>
        </is>
      </c>
      <c r="O191" s="24" t="inlineStr">
        <is>
          <t>3341637280.0</t>
        </is>
      </c>
      <c r="P191" s="24" t="inlineStr">
        <is>
          <t>KRW</t>
        </is>
      </c>
      <c r="Q191" s="24" t="inlineStr">
        <is>
          <t>12</t>
        </is>
      </c>
    </row>
    <row r="192" ht="24" customHeight="1">
      <c r="A192" s="29" t="inlineStr">
        <is>
          <t>OpenDART_fnlttSinglAcntAll</t>
        </is>
      </c>
      <c r="B192" s="29" t="inlineStr">
        <is>
          <t>00366942</t>
        </is>
      </c>
      <c r="C192" s="29" t="inlineStr">
        <is>
          <t>미코</t>
        </is>
      </c>
      <c r="D192" s="29" t="inlineStr">
        <is>
          <t>mico</t>
        </is>
      </c>
      <c r="E192" s="29" t="inlineStr">
        <is>
          <t>059090</t>
        </is>
      </c>
      <c r="F192" s="29" t="inlineStr">
        <is>
          <t>2021</t>
        </is>
      </c>
      <c r="G192" s="29" t="inlineStr">
        <is>
          <t>CFS</t>
        </is>
      </c>
      <c r="H192" s="29" t="inlineStr">
        <is>
          <t>SCE</t>
        </is>
      </c>
      <c r="I192" s="29" t="inlineStr">
        <is>
          <t>자본변동표</t>
        </is>
      </c>
      <c r="J192" s="29" t="inlineStr">
        <is>
          <t>ifrs-full_DividendsPaid</t>
        </is>
      </c>
      <c r="K192" s="29" t="inlineStr">
        <is>
          <t>배당금지급</t>
        </is>
      </c>
      <c r="L192" s="29" t="inlineStr">
        <is>
          <t>자본 [member]|비지배지분 [member]</t>
        </is>
      </c>
      <c r="M192" s="29" t="inlineStr">
        <is>
          <t>제 23 기</t>
        </is>
      </c>
      <c r="N192" s="29" t="inlineStr">
        <is>
          <t>2079422450.0</t>
        </is>
      </c>
      <c r="O192" s="29" t="inlineStr">
        <is>
          <t>2109999600.0</t>
        </is>
      </c>
      <c r="P192" s="29" t="inlineStr">
        <is>
          <t>KRW</t>
        </is>
      </c>
      <c r="Q192" s="29" t="inlineStr">
        <is>
          <t>12</t>
        </is>
      </c>
    </row>
    <row r="193" ht="24" customHeight="1">
      <c r="A193" s="24" t="inlineStr">
        <is>
          <t>OpenDART_fnlttSinglAcntAll</t>
        </is>
      </c>
      <c r="B193" s="24" t="inlineStr">
        <is>
          <t>00366942</t>
        </is>
      </c>
      <c r="C193" s="24" t="inlineStr">
        <is>
          <t>미코</t>
        </is>
      </c>
      <c r="D193" s="24" t="inlineStr">
        <is>
          <t>mico</t>
        </is>
      </c>
      <c r="E193" s="24" t="inlineStr">
        <is>
          <t>059090</t>
        </is>
      </c>
      <c r="F193" s="24" t="inlineStr">
        <is>
          <t>2021</t>
        </is>
      </c>
      <c r="G193" s="24" t="inlineStr">
        <is>
          <t>CFS</t>
        </is>
      </c>
      <c r="H193" s="24" t="inlineStr">
        <is>
          <t>SCE</t>
        </is>
      </c>
      <c r="I193" s="24" t="inlineStr">
        <is>
          <t>자본변동표</t>
        </is>
      </c>
      <c r="J193" s="24" t="inlineStr">
        <is>
          <t>ifrs-full_DividendsPaid</t>
        </is>
      </c>
      <c r="K193" s="24" t="inlineStr">
        <is>
          <t>배당금지급</t>
        </is>
      </c>
      <c r="L193" s="24" t="inlineStr">
        <is>
          <t>자본 [member]|지배기업의 소유주에게 귀속되는 자본 [member]</t>
        </is>
      </c>
      <c r="M193" s="24" t="inlineStr">
        <is>
          <t>제 23 기</t>
        </is>
      </c>
      <c r="N193" s="24" t="inlineStr">
        <is>
          <t>0.0</t>
        </is>
      </c>
      <c r="O193" s="24" t="inlineStr">
        <is>
          <t>1231637680.0</t>
        </is>
      </c>
      <c r="P193" s="24" t="inlineStr">
        <is>
          <t>KRW</t>
        </is>
      </c>
      <c r="Q193" s="24" t="inlineStr">
        <is>
          <t>12</t>
        </is>
      </c>
    </row>
    <row r="194" ht="24" customHeight="1">
      <c r="A194" s="29" t="inlineStr">
        <is>
          <t>OpenDART_fnlttSinglAcntAll</t>
        </is>
      </c>
      <c r="B194" s="29" t="inlineStr">
        <is>
          <t>00366942</t>
        </is>
      </c>
      <c r="C194" s="29" t="inlineStr">
        <is>
          <t>미코</t>
        </is>
      </c>
      <c r="D194" s="29" t="inlineStr">
        <is>
          <t>mico</t>
        </is>
      </c>
      <c r="E194" s="29" t="inlineStr">
        <is>
          <t>059090</t>
        </is>
      </c>
      <c r="F194" s="29" t="inlineStr">
        <is>
          <t>2021</t>
        </is>
      </c>
      <c r="G194" s="29" t="inlineStr">
        <is>
          <t>CFS</t>
        </is>
      </c>
      <c r="H194" s="29" t="inlineStr">
        <is>
          <t>SCE</t>
        </is>
      </c>
      <c r="I194" s="29" t="inlineStr">
        <is>
          <t>자본변동표</t>
        </is>
      </c>
      <c r="J194" s="29" t="inlineStr">
        <is>
          <t>ifrs-full_DividendsPaid</t>
        </is>
      </c>
      <c r="K194" s="29" t="inlineStr">
        <is>
          <t>배당금지급</t>
        </is>
      </c>
      <c r="L194" s="29" t="inlineStr">
        <is>
          <t>자본 [member]|지배기업의 소유주에게 귀속되는 자본 [member]|기타자본구성요소 [member]</t>
        </is>
      </c>
      <c r="M194" s="29" t="inlineStr">
        <is>
          <t>제 23 기</t>
        </is>
      </c>
      <c r="N194" s="29" t="inlineStr">
        <is>
          <t>해당 없음</t>
        </is>
      </c>
      <c r="O194" s="29" t="inlineStr">
        <is>
          <t>해당 없음</t>
        </is>
      </c>
      <c r="P194" s="29" t="inlineStr">
        <is>
          <t>KRW</t>
        </is>
      </c>
      <c r="Q194" s="29" t="inlineStr">
        <is>
          <t>12</t>
        </is>
      </c>
    </row>
    <row r="195" ht="24" customHeight="1">
      <c r="A195" s="24" t="inlineStr">
        <is>
          <t>OpenDART_fnlttSinglAcntAll</t>
        </is>
      </c>
      <c r="B195" s="24" t="inlineStr">
        <is>
          <t>00366942</t>
        </is>
      </c>
      <c r="C195" s="24" t="inlineStr">
        <is>
          <t>미코</t>
        </is>
      </c>
      <c r="D195" s="24" t="inlineStr">
        <is>
          <t>mico</t>
        </is>
      </c>
      <c r="E195" s="24" t="inlineStr">
        <is>
          <t>059090</t>
        </is>
      </c>
      <c r="F195" s="24" t="inlineStr">
        <is>
          <t>2021</t>
        </is>
      </c>
      <c r="G195" s="24" t="inlineStr">
        <is>
          <t>CFS</t>
        </is>
      </c>
      <c r="H195" s="24" t="inlineStr">
        <is>
          <t>SCE</t>
        </is>
      </c>
      <c r="I195" s="24" t="inlineStr">
        <is>
          <t>자본변동표</t>
        </is>
      </c>
      <c r="J195" s="24" t="inlineStr">
        <is>
          <t>ifrs-full_DividendsPaid</t>
        </is>
      </c>
      <c r="K195" s="24" t="inlineStr">
        <is>
          <t>배당금지급</t>
        </is>
      </c>
      <c r="L195" s="24" t="inlineStr">
        <is>
          <t>자본 [member]|지배기업의 소유주에게 귀속되는 자본 [member]|기타포괄손익누계액 [member]</t>
        </is>
      </c>
      <c r="M195" s="24" t="inlineStr">
        <is>
          <t>제 23 기</t>
        </is>
      </c>
      <c r="N195" s="24" t="inlineStr">
        <is>
          <t>해당 없음</t>
        </is>
      </c>
      <c r="O195" s="24" t="inlineStr">
        <is>
          <t>해당 없음</t>
        </is>
      </c>
      <c r="P195" s="24" t="inlineStr">
        <is>
          <t>KRW</t>
        </is>
      </c>
      <c r="Q195" s="24" t="inlineStr">
        <is>
          <t>12</t>
        </is>
      </c>
    </row>
    <row r="196" ht="24" customHeight="1">
      <c r="A196" s="29" t="inlineStr">
        <is>
          <t>OpenDART_fnlttSinglAcntAll</t>
        </is>
      </c>
      <c r="B196" s="29" t="inlineStr">
        <is>
          <t>00366942</t>
        </is>
      </c>
      <c r="C196" s="29" t="inlineStr">
        <is>
          <t>미코</t>
        </is>
      </c>
      <c r="D196" s="29" t="inlineStr">
        <is>
          <t>mico</t>
        </is>
      </c>
      <c r="E196" s="29" t="inlineStr">
        <is>
          <t>059090</t>
        </is>
      </c>
      <c r="F196" s="29" t="inlineStr">
        <is>
          <t>2021</t>
        </is>
      </c>
      <c r="G196" s="29" t="inlineStr">
        <is>
          <t>CFS</t>
        </is>
      </c>
      <c r="H196" s="29" t="inlineStr">
        <is>
          <t>SCE</t>
        </is>
      </c>
      <c r="I196" s="29" t="inlineStr">
        <is>
          <t>자본변동표</t>
        </is>
      </c>
      <c r="J196" s="29" t="inlineStr">
        <is>
          <t>ifrs-full_DividendsPaid</t>
        </is>
      </c>
      <c r="K196" s="29" t="inlineStr">
        <is>
          <t>배당금지급</t>
        </is>
      </c>
      <c r="L196" s="29" t="inlineStr">
        <is>
          <t>자본 [member]|지배기업의 소유주에게 귀속되는 자본 [member]|이익잉여금 [member]</t>
        </is>
      </c>
      <c r="M196" s="29" t="inlineStr">
        <is>
          <t>제 23 기</t>
        </is>
      </c>
      <c r="N196" s="29" t="inlineStr">
        <is>
          <t>0.0</t>
        </is>
      </c>
      <c r="O196" s="29" t="inlineStr">
        <is>
          <t>1231637680.0</t>
        </is>
      </c>
      <c r="P196" s="29" t="inlineStr">
        <is>
          <t>KRW</t>
        </is>
      </c>
      <c r="Q196" s="29" t="inlineStr">
        <is>
          <t>12</t>
        </is>
      </c>
    </row>
    <row r="197" ht="24" customHeight="1">
      <c r="A197" s="24" t="inlineStr">
        <is>
          <t>OpenDART_fnlttSinglAcntAll</t>
        </is>
      </c>
      <c r="B197" s="24" t="inlineStr">
        <is>
          <t>00366942</t>
        </is>
      </c>
      <c r="C197" s="24" t="inlineStr">
        <is>
          <t>미코</t>
        </is>
      </c>
      <c r="D197" s="24" t="inlineStr">
        <is>
          <t>mico</t>
        </is>
      </c>
      <c r="E197" s="24" t="inlineStr">
        <is>
          <t>059090</t>
        </is>
      </c>
      <c r="F197" s="24" t="inlineStr">
        <is>
          <t>2021</t>
        </is>
      </c>
      <c r="G197" s="24" t="inlineStr">
        <is>
          <t>CFS</t>
        </is>
      </c>
      <c r="H197" s="24" t="inlineStr">
        <is>
          <t>SCE</t>
        </is>
      </c>
      <c r="I197" s="24" t="inlineStr">
        <is>
          <t>자본변동표</t>
        </is>
      </c>
      <c r="J197" s="24" t="inlineStr">
        <is>
          <t>ifrs-full_DividendsPaid</t>
        </is>
      </c>
      <c r="K197" s="24" t="inlineStr">
        <is>
          <t>배당금지급</t>
        </is>
      </c>
      <c r="L197" s="24" t="inlineStr">
        <is>
          <t>자본 [member]|지배기업의 소유주에게 귀속되는 자본 [member]|자본잉여금 [member]</t>
        </is>
      </c>
      <c r="M197" s="24" t="inlineStr">
        <is>
          <t>제 23 기</t>
        </is>
      </c>
      <c r="N197" s="24" t="inlineStr">
        <is>
          <t>해당 없음</t>
        </is>
      </c>
      <c r="O197" s="24" t="inlineStr">
        <is>
          <t>해당 없음</t>
        </is>
      </c>
      <c r="P197" s="24" t="inlineStr">
        <is>
          <t>KRW</t>
        </is>
      </c>
      <c r="Q197" s="24" t="inlineStr">
        <is>
          <t>12</t>
        </is>
      </c>
    </row>
    <row r="198" ht="24" customHeight="1">
      <c r="A198" s="29" t="inlineStr">
        <is>
          <t>OpenDART_fnlttSinglAcntAll</t>
        </is>
      </c>
      <c r="B198" s="29" t="inlineStr">
        <is>
          <t>00366942</t>
        </is>
      </c>
      <c r="C198" s="29" t="inlineStr">
        <is>
          <t>미코</t>
        </is>
      </c>
      <c r="D198" s="29" t="inlineStr">
        <is>
          <t>mico</t>
        </is>
      </c>
      <c r="E198" s="29" t="inlineStr">
        <is>
          <t>059090</t>
        </is>
      </c>
      <c r="F198" s="29" t="inlineStr">
        <is>
          <t>2021</t>
        </is>
      </c>
      <c r="G198" s="29" t="inlineStr">
        <is>
          <t>CFS</t>
        </is>
      </c>
      <c r="H198" s="29" t="inlineStr">
        <is>
          <t>SCE</t>
        </is>
      </c>
      <c r="I198" s="29" t="inlineStr">
        <is>
          <t>자본변동표</t>
        </is>
      </c>
      <c r="J198" s="29" t="inlineStr">
        <is>
          <t>dart_TreasuryShareTransactions</t>
        </is>
      </c>
      <c r="K198" s="29" t="inlineStr">
        <is>
          <t>자기주식 거래로 인한 증감</t>
        </is>
      </c>
      <c r="L198" s="29" t="inlineStr">
        <is>
          <t>연결재무제표 [member]</t>
        </is>
      </c>
      <c r="M198" s="29" t="inlineStr">
        <is>
          <t>제 23 기</t>
        </is>
      </c>
      <c r="N198" s="29" t="inlineStr">
        <is>
          <t>-6987865050.0</t>
        </is>
      </c>
      <c r="O198" s="29" t="inlineStr">
        <is>
          <t>-7039686395.0</t>
        </is>
      </c>
      <c r="P198" s="29" t="inlineStr">
        <is>
          <t>KRW</t>
        </is>
      </c>
      <c r="Q198" s="29" t="inlineStr">
        <is>
          <t>13</t>
        </is>
      </c>
    </row>
    <row r="199" ht="24" customHeight="1">
      <c r="A199" s="24" t="inlineStr">
        <is>
          <t>OpenDART_fnlttSinglAcntAll</t>
        </is>
      </c>
      <c r="B199" s="24" t="inlineStr">
        <is>
          <t>00366942</t>
        </is>
      </c>
      <c r="C199" s="24" t="inlineStr">
        <is>
          <t>미코</t>
        </is>
      </c>
      <c r="D199" s="24" t="inlineStr">
        <is>
          <t>mico</t>
        </is>
      </c>
      <c r="E199" s="24" t="inlineStr">
        <is>
          <t>059090</t>
        </is>
      </c>
      <c r="F199" s="24" t="inlineStr">
        <is>
          <t>2021</t>
        </is>
      </c>
      <c r="G199" s="24" t="inlineStr">
        <is>
          <t>CFS</t>
        </is>
      </c>
      <c r="H199" s="24" t="inlineStr">
        <is>
          <t>SCE</t>
        </is>
      </c>
      <c r="I199" s="24" t="inlineStr">
        <is>
          <t>자본변동표</t>
        </is>
      </c>
      <c r="J199" s="24" t="inlineStr">
        <is>
          <t>dart_TreasuryShareTransactions</t>
        </is>
      </c>
      <c r="K199" s="24" t="inlineStr">
        <is>
          <t>자기주식 거래로 인한 증감</t>
        </is>
      </c>
      <c r="L199" s="24" t="inlineStr">
        <is>
          <t>자본 [member]|비지배지분 [member]</t>
        </is>
      </c>
      <c r="M199" s="24" t="inlineStr">
        <is>
          <t>제 23 기</t>
        </is>
      </c>
      <c r="N199" s="24" t="inlineStr">
        <is>
          <t>0.0</t>
        </is>
      </c>
      <c r="O199" s="24" t="inlineStr">
        <is>
          <t>-750514089.0</t>
        </is>
      </c>
      <c r="P199" s="24" t="inlineStr">
        <is>
          <t>KRW</t>
        </is>
      </c>
      <c r="Q199" s="24" t="inlineStr">
        <is>
          <t>13</t>
        </is>
      </c>
    </row>
    <row r="200" ht="24" customHeight="1">
      <c r="A200" s="29" t="inlineStr">
        <is>
          <t>OpenDART_fnlttSinglAcntAll</t>
        </is>
      </c>
      <c r="B200" s="29" t="inlineStr">
        <is>
          <t>00366942</t>
        </is>
      </c>
      <c r="C200" s="29" t="inlineStr">
        <is>
          <t>미코</t>
        </is>
      </c>
      <c r="D200" s="29" t="inlineStr">
        <is>
          <t>mico</t>
        </is>
      </c>
      <c r="E200" s="29" t="inlineStr">
        <is>
          <t>059090</t>
        </is>
      </c>
      <c r="F200" s="29" t="inlineStr">
        <is>
          <t>2021</t>
        </is>
      </c>
      <c r="G200" s="29" t="inlineStr">
        <is>
          <t>CFS</t>
        </is>
      </c>
      <c r="H200" s="29" t="inlineStr">
        <is>
          <t>SCE</t>
        </is>
      </c>
      <c r="I200" s="29" t="inlineStr">
        <is>
          <t>자본변동표</t>
        </is>
      </c>
      <c r="J200" s="29" t="inlineStr">
        <is>
          <t>dart_TreasuryShareTransactions</t>
        </is>
      </c>
      <c r="K200" s="29" t="inlineStr">
        <is>
          <t>자기주식 거래로 인한 증감</t>
        </is>
      </c>
      <c r="L200" s="29" t="inlineStr">
        <is>
          <t>자본 [member]|지배기업의 소유주에게 귀속되는 자본 [member]</t>
        </is>
      </c>
      <c r="M200" s="29" t="inlineStr">
        <is>
          <t>제 23 기</t>
        </is>
      </c>
      <c r="N200" s="29" t="inlineStr">
        <is>
          <t>-6987865050.0</t>
        </is>
      </c>
      <c r="O200" s="29" t="inlineStr">
        <is>
          <t>-6289172306.0</t>
        </is>
      </c>
      <c r="P200" s="29" t="inlineStr">
        <is>
          <t>KRW</t>
        </is>
      </c>
      <c r="Q200" s="29" t="inlineStr">
        <is>
          <t>13</t>
        </is>
      </c>
    </row>
    <row r="201" ht="24" customHeight="1">
      <c r="A201" s="24" t="inlineStr">
        <is>
          <t>OpenDART_fnlttSinglAcntAll</t>
        </is>
      </c>
      <c r="B201" s="24" t="inlineStr">
        <is>
          <t>00366942</t>
        </is>
      </c>
      <c r="C201" s="24" t="inlineStr">
        <is>
          <t>미코</t>
        </is>
      </c>
      <c r="D201" s="24" t="inlineStr">
        <is>
          <t>mico</t>
        </is>
      </c>
      <c r="E201" s="24" t="inlineStr">
        <is>
          <t>059090</t>
        </is>
      </c>
      <c r="F201" s="24" t="inlineStr">
        <is>
          <t>2021</t>
        </is>
      </c>
      <c r="G201" s="24" t="inlineStr">
        <is>
          <t>CFS</t>
        </is>
      </c>
      <c r="H201" s="24" t="inlineStr">
        <is>
          <t>SCE</t>
        </is>
      </c>
      <c r="I201" s="24" t="inlineStr">
        <is>
          <t>자본변동표</t>
        </is>
      </c>
      <c r="J201" s="24" t="inlineStr">
        <is>
          <t>dart_TreasuryShareTransactions</t>
        </is>
      </c>
      <c r="K201" s="24" t="inlineStr">
        <is>
          <t>자기주식 거래로 인한 증감</t>
        </is>
      </c>
      <c r="L201" s="24" t="inlineStr">
        <is>
          <t>자본 [member]|지배기업의 소유주에게 귀속되는 자본 [member]|기타자본구성요소 [member]</t>
        </is>
      </c>
      <c r="M201" s="24" t="inlineStr">
        <is>
          <t>제 23 기</t>
        </is>
      </c>
      <c r="N201" s="24" t="inlineStr">
        <is>
          <t>-6987865050.0</t>
        </is>
      </c>
      <c r="O201" s="24" t="inlineStr">
        <is>
          <t>-6289172306.0</t>
        </is>
      </c>
      <c r="P201" s="24" t="inlineStr">
        <is>
          <t>KRW</t>
        </is>
      </c>
      <c r="Q201" s="24" t="inlineStr">
        <is>
          <t>13</t>
        </is>
      </c>
    </row>
    <row r="202" ht="24" customHeight="1">
      <c r="A202" s="29" t="inlineStr">
        <is>
          <t>OpenDART_fnlttSinglAcntAll</t>
        </is>
      </c>
      <c r="B202" s="29" t="inlineStr">
        <is>
          <t>00366942</t>
        </is>
      </c>
      <c r="C202" s="29" t="inlineStr">
        <is>
          <t>미코</t>
        </is>
      </c>
      <c r="D202" s="29" t="inlineStr">
        <is>
          <t>mico</t>
        </is>
      </c>
      <c r="E202" s="29" t="inlineStr">
        <is>
          <t>059090</t>
        </is>
      </c>
      <c r="F202" s="29" t="inlineStr">
        <is>
          <t>2021</t>
        </is>
      </c>
      <c r="G202" s="29" t="inlineStr">
        <is>
          <t>CFS</t>
        </is>
      </c>
      <c r="H202" s="29" t="inlineStr">
        <is>
          <t>SCE</t>
        </is>
      </c>
      <c r="I202" s="29" t="inlineStr">
        <is>
          <t>자본변동표</t>
        </is>
      </c>
      <c r="J202" s="29" t="inlineStr">
        <is>
          <t>-표준계정코드 미사용-</t>
        </is>
      </c>
      <c r="K202" s="29" t="inlineStr">
        <is>
          <t>연결실체내 자본변동 등</t>
        </is>
      </c>
      <c r="L202" s="29" t="inlineStr">
        <is>
          <t>연결재무제표 [member]</t>
        </is>
      </c>
      <c r="M202" s="29" t="inlineStr">
        <is>
          <t>제 23 기</t>
        </is>
      </c>
      <c r="N202" s="29" t="inlineStr">
        <is>
          <t>43148013086.0</t>
        </is>
      </c>
      <c r="O202" s="29" t="inlineStr">
        <is>
          <t>해당 없음</t>
        </is>
      </c>
      <c r="P202" s="29" t="inlineStr">
        <is>
          <t>KRW</t>
        </is>
      </c>
      <c r="Q202" s="29" t="inlineStr">
        <is>
          <t>14</t>
        </is>
      </c>
    </row>
    <row r="203" ht="24" customHeight="1">
      <c r="A203" s="24" t="inlineStr">
        <is>
          <t>OpenDART_fnlttSinglAcntAll</t>
        </is>
      </c>
      <c r="B203" s="24" t="inlineStr">
        <is>
          <t>00366942</t>
        </is>
      </c>
      <c r="C203" s="24" t="inlineStr">
        <is>
          <t>미코</t>
        </is>
      </c>
      <c r="D203" s="24" t="inlineStr">
        <is>
          <t>mico</t>
        </is>
      </c>
      <c r="E203" s="24" t="inlineStr">
        <is>
          <t>059090</t>
        </is>
      </c>
      <c r="F203" s="24" t="inlineStr">
        <is>
          <t>2021</t>
        </is>
      </c>
      <c r="G203" s="24" t="inlineStr">
        <is>
          <t>CFS</t>
        </is>
      </c>
      <c r="H203" s="24" t="inlineStr">
        <is>
          <t>SCE</t>
        </is>
      </c>
      <c r="I203" s="24" t="inlineStr">
        <is>
          <t>자본변동표</t>
        </is>
      </c>
      <c r="J203" s="24" t="inlineStr">
        <is>
          <t>-표준계정코드 미사용-</t>
        </is>
      </c>
      <c r="K203" s="24" t="inlineStr">
        <is>
          <t>연결실체내 자본변동 등</t>
        </is>
      </c>
      <c r="L203" s="24" t="inlineStr">
        <is>
          <t>자본 [member]|비지배지분 [member]</t>
        </is>
      </c>
      <c r="M203" s="24" t="inlineStr">
        <is>
          <t>제 23 기</t>
        </is>
      </c>
      <c r="N203" s="24" t="inlineStr">
        <is>
          <t>16252174962.0</t>
        </is>
      </c>
      <c r="O203" s="24" t="inlineStr">
        <is>
          <t>해당 없음</t>
        </is>
      </c>
      <c r="P203" s="24" t="inlineStr">
        <is>
          <t>KRW</t>
        </is>
      </c>
      <c r="Q203" s="24" t="inlineStr">
        <is>
          <t>14</t>
        </is>
      </c>
    </row>
    <row r="204" ht="24" customHeight="1">
      <c r="A204" s="29" t="inlineStr">
        <is>
          <t>OpenDART_fnlttSinglAcntAll</t>
        </is>
      </c>
      <c r="B204" s="29" t="inlineStr">
        <is>
          <t>00366942</t>
        </is>
      </c>
      <c r="C204" s="29" t="inlineStr">
        <is>
          <t>미코</t>
        </is>
      </c>
      <c r="D204" s="29" t="inlineStr">
        <is>
          <t>mico</t>
        </is>
      </c>
      <c r="E204" s="29" t="inlineStr">
        <is>
          <t>059090</t>
        </is>
      </c>
      <c r="F204" s="29" t="inlineStr">
        <is>
          <t>2021</t>
        </is>
      </c>
      <c r="G204" s="29" t="inlineStr">
        <is>
          <t>CFS</t>
        </is>
      </c>
      <c r="H204" s="29" t="inlineStr">
        <is>
          <t>SCE</t>
        </is>
      </c>
      <c r="I204" s="29" t="inlineStr">
        <is>
          <t>자본변동표</t>
        </is>
      </c>
      <c r="J204" s="29" t="inlineStr">
        <is>
          <t>-표준계정코드 미사용-</t>
        </is>
      </c>
      <c r="K204" s="29" t="inlineStr">
        <is>
          <t>연결실체내 자본변동 등</t>
        </is>
      </c>
      <c r="L204" s="29" t="inlineStr">
        <is>
          <t>자본 [member]|지배기업의 소유주에게 귀속되는 자본 [member]</t>
        </is>
      </c>
      <c r="M204" s="29" t="inlineStr">
        <is>
          <t>제 23 기</t>
        </is>
      </c>
      <c r="N204" s="29" t="inlineStr">
        <is>
          <t>26895838124.0</t>
        </is>
      </c>
      <c r="O204" s="29" t="inlineStr">
        <is>
          <t>해당 없음</t>
        </is>
      </c>
      <c r="P204" s="29" t="inlineStr">
        <is>
          <t>KRW</t>
        </is>
      </c>
      <c r="Q204" s="29" t="inlineStr">
        <is>
          <t>14</t>
        </is>
      </c>
    </row>
    <row r="205" ht="24" customHeight="1">
      <c r="A205" s="24" t="inlineStr">
        <is>
          <t>OpenDART_fnlttSinglAcntAll</t>
        </is>
      </c>
      <c r="B205" s="24" t="inlineStr">
        <is>
          <t>00366942</t>
        </is>
      </c>
      <c r="C205" s="24" t="inlineStr">
        <is>
          <t>미코</t>
        </is>
      </c>
      <c r="D205" s="24" t="inlineStr">
        <is>
          <t>mico</t>
        </is>
      </c>
      <c r="E205" s="24" t="inlineStr">
        <is>
          <t>059090</t>
        </is>
      </c>
      <c r="F205" s="24" t="inlineStr">
        <is>
          <t>2021</t>
        </is>
      </c>
      <c r="G205" s="24" t="inlineStr">
        <is>
          <t>CFS</t>
        </is>
      </c>
      <c r="H205" s="24" t="inlineStr">
        <is>
          <t>SCE</t>
        </is>
      </c>
      <c r="I205" s="24" t="inlineStr">
        <is>
          <t>자본변동표</t>
        </is>
      </c>
      <c r="J205" s="24" t="inlineStr">
        <is>
          <t>-표준계정코드 미사용-</t>
        </is>
      </c>
      <c r="K205" s="24" t="inlineStr">
        <is>
          <t>연결실체내 자본변동 등</t>
        </is>
      </c>
      <c r="L205" s="24" t="inlineStr">
        <is>
          <t>자본 [member]|지배기업의 소유주에게 귀속되는 자본 [member]|기타자본구성요소 [member]</t>
        </is>
      </c>
      <c r="M205" s="24" t="inlineStr">
        <is>
          <t>제 23 기</t>
        </is>
      </c>
      <c r="N205" s="24" t="inlineStr">
        <is>
          <t>-39625963.0</t>
        </is>
      </c>
      <c r="O205" s="24" t="inlineStr">
        <is>
          <t>해당 없음</t>
        </is>
      </c>
      <c r="P205" s="24" t="inlineStr">
        <is>
          <t>KRW</t>
        </is>
      </c>
      <c r="Q205" s="24" t="inlineStr">
        <is>
          <t>14</t>
        </is>
      </c>
    </row>
    <row r="206" ht="24" customHeight="1">
      <c r="A206" s="29" t="inlineStr">
        <is>
          <t>OpenDART_fnlttSinglAcntAll</t>
        </is>
      </c>
      <c r="B206" s="29" t="inlineStr">
        <is>
          <t>00366942</t>
        </is>
      </c>
      <c r="C206" s="29" t="inlineStr">
        <is>
          <t>미코</t>
        </is>
      </c>
      <c r="D206" s="29" t="inlineStr">
        <is>
          <t>mico</t>
        </is>
      </c>
      <c r="E206" s="29" t="inlineStr">
        <is>
          <t>059090</t>
        </is>
      </c>
      <c r="F206" s="29" t="inlineStr">
        <is>
          <t>2021</t>
        </is>
      </c>
      <c r="G206" s="29" t="inlineStr">
        <is>
          <t>CFS</t>
        </is>
      </c>
      <c r="H206" s="29" t="inlineStr">
        <is>
          <t>SCE</t>
        </is>
      </c>
      <c r="I206" s="29" t="inlineStr">
        <is>
          <t>자본변동표</t>
        </is>
      </c>
      <c r="J206" s="29" t="inlineStr">
        <is>
          <t>-표준계정코드 미사용-</t>
        </is>
      </c>
      <c r="K206" s="29" t="inlineStr">
        <is>
          <t>연결실체내 자본변동 등</t>
        </is>
      </c>
      <c r="L206" s="29" t="inlineStr">
        <is>
          <t>자본 [member]|지배기업의 소유주에게 귀속되는 자본 [member]|자본잉여금 [member]</t>
        </is>
      </c>
      <c r="M206" s="29" t="inlineStr">
        <is>
          <t>제 23 기</t>
        </is>
      </c>
      <c r="N206" s="29" t="inlineStr">
        <is>
          <t>26935464087.0</t>
        </is>
      </c>
      <c r="O206" s="29" t="inlineStr">
        <is>
          <t>해당 없음</t>
        </is>
      </c>
      <c r="P206" s="29" t="inlineStr">
        <is>
          <t>KRW</t>
        </is>
      </c>
      <c r="Q206" s="29" t="inlineStr">
        <is>
          <t>14</t>
        </is>
      </c>
    </row>
    <row r="207" ht="24" customHeight="1">
      <c r="A207" s="24" t="inlineStr">
        <is>
          <t>OpenDART_fnlttSinglAcntAll</t>
        </is>
      </c>
      <c r="B207" s="24" t="inlineStr">
        <is>
          <t>00366942</t>
        </is>
      </c>
      <c r="C207" s="24" t="inlineStr">
        <is>
          <t>미코</t>
        </is>
      </c>
      <c r="D207" s="24" t="inlineStr">
        <is>
          <t>mico</t>
        </is>
      </c>
      <c r="E207" s="24" t="inlineStr">
        <is>
          <t>059090</t>
        </is>
      </c>
      <c r="F207" s="24" t="inlineStr">
        <is>
          <t>2021</t>
        </is>
      </c>
      <c r="G207" s="24" t="inlineStr">
        <is>
          <t>CFS</t>
        </is>
      </c>
      <c r="H207" s="24" t="inlineStr">
        <is>
          <t>SCE</t>
        </is>
      </c>
      <c r="I207" s="24" t="inlineStr">
        <is>
          <t>자본변동표</t>
        </is>
      </c>
      <c r="J207" s="24" t="inlineStr">
        <is>
          <t>-표준계정코드 미사용-</t>
        </is>
      </c>
      <c r="K207" s="24" t="inlineStr">
        <is>
          <t>종속기업의 증자</t>
        </is>
      </c>
      <c r="L207" s="24" t="inlineStr">
        <is>
          <t>연결재무제표 [member]</t>
        </is>
      </c>
      <c r="M207" s="24" t="inlineStr">
        <is>
          <t>제 23 기</t>
        </is>
      </c>
      <c r="N207" s="24" t="inlineStr">
        <is>
          <t>40000149436.0</t>
        </is>
      </c>
      <c r="O207" s="24" t="inlineStr">
        <is>
          <t>21661731300.0</t>
        </is>
      </c>
      <c r="P207" s="24" t="inlineStr">
        <is>
          <t>KRW</t>
        </is>
      </c>
      <c r="Q207" s="24" t="inlineStr">
        <is>
          <t>15</t>
        </is>
      </c>
    </row>
    <row r="208" ht="24" customHeight="1">
      <c r="A208" s="29" t="inlineStr">
        <is>
          <t>OpenDART_fnlttSinglAcntAll</t>
        </is>
      </c>
      <c r="B208" s="29" t="inlineStr">
        <is>
          <t>00366942</t>
        </is>
      </c>
      <c r="C208" s="29" t="inlineStr">
        <is>
          <t>미코</t>
        </is>
      </c>
      <c r="D208" s="29" t="inlineStr">
        <is>
          <t>mico</t>
        </is>
      </c>
      <c r="E208" s="29" t="inlineStr">
        <is>
          <t>059090</t>
        </is>
      </c>
      <c r="F208" s="29" t="inlineStr">
        <is>
          <t>2021</t>
        </is>
      </c>
      <c r="G208" s="29" t="inlineStr">
        <is>
          <t>CFS</t>
        </is>
      </c>
      <c r="H208" s="29" t="inlineStr">
        <is>
          <t>SCE</t>
        </is>
      </c>
      <c r="I208" s="29" t="inlineStr">
        <is>
          <t>자본변동표</t>
        </is>
      </c>
      <c r="J208" s="29" t="inlineStr">
        <is>
          <t>-표준계정코드 미사용-</t>
        </is>
      </c>
      <c r="K208" s="29" t="inlineStr">
        <is>
          <t>종속기업의 증자</t>
        </is>
      </c>
      <c r="L208" s="29" t="inlineStr">
        <is>
          <t>자본 [member]|비지배지분 [member]</t>
        </is>
      </c>
      <c r="M208" s="29" t="inlineStr">
        <is>
          <t>제 23 기</t>
        </is>
      </c>
      <c r="N208" s="29" t="inlineStr">
        <is>
          <t>8115082146.0</t>
        </is>
      </c>
      <c r="O208" s="29" t="inlineStr">
        <is>
          <t>7170470522.0</t>
        </is>
      </c>
      <c r="P208" s="29" t="inlineStr">
        <is>
          <t>KRW</t>
        </is>
      </c>
      <c r="Q208" s="29" t="inlineStr">
        <is>
          <t>15</t>
        </is>
      </c>
    </row>
    <row r="209" ht="24" customHeight="1">
      <c r="A209" s="24" t="inlineStr">
        <is>
          <t>OpenDART_fnlttSinglAcntAll</t>
        </is>
      </c>
      <c r="B209" s="24" t="inlineStr">
        <is>
          <t>00366942</t>
        </is>
      </c>
      <c r="C209" s="24" t="inlineStr">
        <is>
          <t>미코</t>
        </is>
      </c>
      <c r="D209" s="24" t="inlineStr">
        <is>
          <t>mico</t>
        </is>
      </c>
      <c r="E209" s="24" t="inlineStr">
        <is>
          <t>059090</t>
        </is>
      </c>
      <c r="F209" s="24" t="inlineStr">
        <is>
          <t>2021</t>
        </is>
      </c>
      <c r="G209" s="24" t="inlineStr">
        <is>
          <t>CFS</t>
        </is>
      </c>
      <c r="H209" s="24" t="inlineStr">
        <is>
          <t>SCE</t>
        </is>
      </c>
      <c r="I209" s="24" t="inlineStr">
        <is>
          <t>자본변동표</t>
        </is>
      </c>
      <c r="J209" s="24" t="inlineStr">
        <is>
          <t>-표준계정코드 미사용-</t>
        </is>
      </c>
      <c r="K209" s="24" t="inlineStr">
        <is>
          <t>종속기업의 증자</t>
        </is>
      </c>
      <c r="L209" s="24" t="inlineStr">
        <is>
          <t>자본 [member]|지배기업의 소유주에게 귀속되는 자본 [member]</t>
        </is>
      </c>
      <c r="M209" s="24" t="inlineStr">
        <is>
          <t>제 23 기</t>
        </is>
      </c>
      <c r="N209" s="24" t="inlineStr">
        <is>
          <t>31885067290.0</t>
        </is>
      </c>
      <c r="O209" s="24" t="inlineStr">
        <is>
          <t>14491260778.0</t>
        </is>
      </c>
      <c r="P209" s="24" t="inlineStr">
        <is>
          <t>KRW</t>
        </is>
      </c>
      <c r="Q209" s="24" t="inlineStr">
        <is>
          <t>15</t>
        </is>
      </c>
    </row>
    <row r="210" ht="24" customHeight="1">
      <c r="A210" s="29" t="inlineStr">
        <is>
          <t>OpenDART_fnlttSinglAcntAll</t>
        </is>
      </c>
      <c r="B210" s="29" t="inlineStr">
        <is>
          <t>00366942</t>
        </is>
      </c>
      <c r="C210" s="29" t="inlineStr">
        <is>
          <t>미코</t>
        </is>
      </c>
      <c r="D210" s="29" t="inlineStr">
        <is>
          <t>mico</t>
        </is>
      </c>
      <c r="E210" s="29" t="inlineStr">
        <is>
          <t>059090</t>
        </is>
      </c>
      <c r="F210" s="29" t="inlineStr">
        <is>
          <t>2021</t>
        </is>
      </c>
      <c r="G210" s="29" t="inlineStr">
        <is>
          <t>CFS</t>
        </is>
      </c>
      <c r="H210" s="29" t="inlineStr">
        <is>
          <t>SCE</t>
        </is>
      </c>
      <c r="I210" s="29" t="inlineStr">
        <is>
          <t>자본변동표</t>
        </is>
      </c>
      <c r="J210" s="29" t="inlineStr">
        <is>
          <t>-표준계정코드 미사용-</t>
        </is>
      </c>
      <c r="K210" s="29" t="inlineStr">
        <is>
          <t>종속기업의 증자</t>
        </is>
      </c>
      <c r="L210" s="29" t="inlineStr">
        <is>
          <t>자본 [member]|지배기업의 소유주에게 귀속되는 자본 [member]|자본잉여금 [member]</t>
        </is>
      </c>
      <c r="M210" s="29" t="inlineStr">
        <is>
          <t>제 23 기</t>
        </is>
      </c>
      <c r="N210" s="29" t="inlineStr">
        <is>
          <t>31885067290.0</t>
        </is>
      </c>
      <c r="O210" s="29" t="inlineStr">
        <is>
          <t>14491260778.0</t>
        </is>
      </c>
      <c r="P210" s="29" t="inlineStr">
        <is>
          <t>KRW</t>
        </is>
      </c>
      <c r="Q210" s="29" t="inlineStr">
        <is>
          <t>15</t>
        </is>
      </c>
    </row>
    <row r="211" ht="24" customHeight="1">
      <c r="A211" s="24" t="inlineStr">
        <is>
          <t>OpenDART_fnlttSinglAcntAll</t>
        </is>
      </c>
      <c r="B211" s="24" t="inlineStr">
        <is>
          <t>00366942</t>
        </is>
      </c>
      <c r="C211" s="24" t="inlineStr">
        <is>
          <t>미코</t>
        </is>
      </c>
      <c r="D211" s="24" t="inlineStr">
        <is>
          <t>mico</t>
        </is>
      </c>
      <c r="E211" s="24" t="inlineStr">
        <is>
          <t>059090</t>
        </is>
      </c>
      <c r="F211" s="24" t="inlineStr">
        <is>
          <t>2021</t>
        </is>
      </c>
      <c r="G211" s="24" t="inlineStr">
        <is>
          <t>CFS</t>
        </is>
      </c>
      <c r="H211" s="24" t="inlineStr">
        <is>
          <t>SCE</t>
        </is>
      </c>
      <c r="I211" s="24" t="inlineStr">
        <is>
          <t>자본변동표</t>
        </is>
      </c>
      <c r="J211" s="24" t="inlineStr">
        <is>
          <t>-표준계정코드 미사용-</t>
        </is>
      </c>
      <c r="K211" s="24" t="inlineStr">
        <is>
          <t>주식매수선택권부여</t>
        </is>
      </c>
      <c r="L211" s="24" t="inlineStr">
        <is>
          <t>연결재무제표 [member]</t>
        </is>
      </c>
      <c r="M211" s="24" t="inlineStr">
        <is>
          <t>제 23 기</t>
        </is>
      </c>
      <c r="N211" s="24" t="inlineStr">
        <is>
          <t>2308236241.0</t>
        </is>
      </c>
      <c r="O211" s="24" t="inlineStr">
        <is>
          <t>해당 없음</t>
        </is>
      </c>
      <c r="P211" s="24" t="inlineStr">
        <is>
          <t>KRW</t>
        </is>
      </c>
      <c r="Q211" s="24" t="inlineStr">
        <is>
          <t>16</t>
        </is>
      </c>
    </row>
    <row r="212" ht="24" customHeight="1">
      <c r="A212" s="29" t="inlineStr">
        <is>
          <t>OpenDART_fnlttSinglAcntAll</t>
        </is>
      </c>
      <c r="B212" s="29" t="inlineStr">
        <is>
          <t>00366942</t>
        </is>
      </c>
      <c r="C212" s="29" t="inlineStr">
        <is>
          <t>미코</t>
        </is>
      </c>
      <c r="D212" s="29" t="inlineStr">
        <is>
          <t>mico</t>
        </is>
      </c>
      <c r="E212" s="29" t="inlineStr">
        <is>
          <t>059090</t>
        </is>
      </c>
      <c r="F212" s="29" t="inlineStr">
        <is>
          <t>2021</t>
        </is>
      </c>
      <c r="G212" s="29" t="inlineStr">
        <is>
          <t>CFS</t>
        </is>
      </c>
      <c r="H212" s="29" t="inlineStr">
        <is>
          <t>SCE</t>
        </is>
      </c>
      <c r="I212" s="29" t="inlineStr">
        <is>
          <t>자본변동표</t>
        </is>
      </c>
      <c r="J212" s="29" t="inlineStr">
        <is>
          <t>-표준계정코드 미사용-</t>
        </is>
      </c>
      <c r="K212" s="29" t="inlineStr">
        <is>
          <t>주식매수선택권부여</t>
        </is>
      </c>
      <c r="L212" s="29" t="inlineStr">
        <is>
          <t>자본 [member]|비지배지분 [member]</t>
        </is>
      </c>
      <c r="M212" s="29" t="inlineStr">
        <is>
          <t>제 23 기</t>
        </is>
      </c>
      <c r="N212" s="29" t="inlineStr">
        <is>
          <t>2308236241.0</t>
        </is>
      </c>
      <c r="O212" s="29" t="inlineStr">
        <is>
          <t>해당 없음</t>
        </is>
      </c>
      <c r="P212" s="29" t="inlineStr">
        <is>
          <t>KRW</t>
        </is>
      </c>
      <c r="Q212" s="29" t="inlineStr">
        <is>
          <t>16</t>
        </is>
      </c>
    </row>
    <row r="213" ht="24" customHeight="1">
      <c r="A213" s="24" t="inlineStr">
        <is>
          <t>OpenDART_fnlttSinglAcntAll</t>
        </is>
      </c>
      <c r="B213" s="24" t="inlineStr">
        <is>
          <t>00366942</t>
        </is>
      </c>
      <c r="C213" s="24" t="inlineStr">
        <is>
          <t>미코</t>
        </is>
      </c>
      <c r="D213" s="24" t="inlineStr">
        <is>
          <t>mico</t>
        </is>
      </c>
      <c r="E213" s="24" t="inlineStr">
        <is>
          <t>059090</t>
        </is>
      </c>
      <c r="F213" s="24" t="inlineStr">
        <is>
          <t>2021</t>
        </is>
      </c>
      <c r="G213" s="24" t="inlineStr">
        <is>
          <t>CFS</t>
        </is>
      </c>
      <c r="H213" s="24" t="inlineStr">
        <is>
          <t>SCE</t>
        </is>
      </c>
      <c r="I213" s="24" t="inlineStr">
        <is>
          <t>자본변동표</t>
        </is>
      </c>
      <c r="J213" s="24" t="inlineStr">
        <is>
          <t>-표준계정코드 미사용-</t>
        </is>
      </c>
      <c r="K213" s="24" t="inlineStr">
        <is>
          <t>주식매수선택권부여</t>
        </is>
      </c>
      <c r="L213" s="24" t="inlineStr">
        <is>
          <t>자본 [member]|지배기업의 소유주에게 귀속되는 자본 [member]</t>
        </is>
      </c>
      <c r="M213" s="24" t="inlineStr">
        <is>
          <t>제 23 기</t>
        </is>
      </c>
      <c r="N213" s="24" t="inlineStr">
        <is>
          <t>0.0</t>
        </is>
      </c>
      <c r="O213" s="24" t="inlineStr">
        <is>
          <t>해당 없음</t>
        </is>
      </c>
      <c r="P213" s="24" t="inlineStr">
        <is>
          <t>KRW</t>
        </is>
      </c>
      <c r="Q213" s="24" t="inlineStr">
        <is>
          <t>16</t>
        </is>
      </c>
    </row>
    <row r="214" ht="24" customHeight="1">
      <c r="A214" s="29" t="inlineStr">
        <is>
          <t>OpenDART_fnlttSinglAcntAll</t>
        </is>
      </c>
      <c r="B214" s="29" t="inlineStr">
        <is>
          <t>00366942</t>
        </is>
      </c>
      <c r="C214" s="29" t="inlineStr">
        <is>
          <t>미코</t>
        </is>
      </c>
      <c r="D214" s="29" t="inlineStr">
        <is>
          <t>mico</t>
        </is>
      </c>
      <c r="E214" s="29" t="inlineStr">
        <is>
          <t>059090</t>
        </is>
      </c>
      <c r="F214" s="29" t="inlineStr">
        <is>
          <t>2021</t>
        </is>
      </c>
      <c r="G214" s="29" t="inlineStr">
        <is>
          <t>CFS</t>
        </is>
      </c>
      <c r="H214" s="29" t="inlineStr">
        <is>
          <t>SCE</t>
        </is>
      </c>
      <c r="I214" s="29" t="inlineStr">
        <is>
          <t>자본변동표</t>
        </is>
      </c>
      <c r="J214" s="29" t="inlineStr">
        <is>
          <t>-표준계정코드 미사용-</t>
        </is>
      </c>
      <c r="K214" s="29" t="inlineStr">
        <is>
          <t>주식매수선택권부여</t>
        </is>
      </c>
      <c r="L214" s="29" t="inlineStr">
        <is>
          <t>자본 [member]|지배기업의 소유주에게 귀속되는 자본 [member]|기타자본구성요소 [member]</t>
        </is>
      </c>
      <c r="M214" s="29" t="inlineStr">
        <is>
          <t>제 23 기</t>
        </is>
      </c>
      <c r="N214" s="29" t="inlineStr">
        <is>
          <t>0.0</t>
        </is>
      </c>
      <c r="O214" s="29" t="inlineStr">
        <is>
          <t>해당 없음</t>
        </is>
      </c>
      <c r="P214" s="29" t="inlineStr">
        <is>
          <t>KRW</t>
        </is>
      </c>
      <c r="Q214" s="29" t="inlineStr">
        <is>
          <t>16</t>
        </is>
      </c>
    </row>
    <row r="215" ht="24" customHeight="1">
      <c r="A215" s="24" t="inlineStr">
        <is>
          <t>OpenDART_fnlttSinglAcntAll</t>
        </is>
      </c>
      <c r="B215" s="24" t="inlineStr">
        <is>
          <t>00366942</t>
        </is>
      </c>
      <c r="C215" s="24" t="inlineStr">
        <is>
          <t>미코</t>
        </is>
      </c>
      <c r="D215" s="24" t="inlineStr">
        <is>
          <t>mico</t>
        </is>
      </c>
      <c r="E215" s="24" t="inlineStr">
        <is>
          <t>059090</t>
        </is>
      </c>
      <c r="F215" s="24" t="inlineStr">
        <is>
          <t>2021</t>
        </is>
      </c>
      <c r="G215" s="24" t="inlineStr">
        <is>
          <t>CFS</t>
        </is>
      </c>
      <c r="H215" s="24" t="inlineStr">
        <is>
          <t>SCE</t>
        </is>
      </c>
      <c r="I215" s="24" t="inlineStr">
        <is>
          <t>자본변동표</t>
        </is>
      </c>
      <c r="J215" s="24" t="inlineStr">
        <is>
          <t>ifrs-full_Equity</t>
        </is>
      </c>
      <c r="K215" s="24" t="inlineStr">
        <is>
          <t>기말자본</t>
        </is>
      </c>
      <c r="L215" s="24" t="inlineStr">
        <is>
          <t>연결재무제표 [member]</t>
        </is>
      </c>
      <c r="M215" s="24" t="inlineStr">
        <is>
          <t>제 23 기</t>
        </is>
      </c>
      <c r="N215" s="24" t="inlineStr">
        <is>
          <t>379471316135.0</t>
        </is>
      </c>
      <c r="O215" s="24" t="inlineStr">
        <is>
          <t>234961394680.0</t>
        </is>
      </c>
      <c r="P215" s="24" t="inlineStr">
        <is>
          <t>KRW</t>
        </is>
      </c>
      <c r="Q215" s="24" t="inlineStr">
        <is>
          <t>17</t>
        </is>
      </c>
    </row>
    <row r="216" ht="24" customHeight="1">
      <c r="A216" s="29" t="inlineStr">
        <is>
          <t>OpenDART_fnlttSinglAcntAll</t>
        </is>
      </c>
      <c r="B216" s="29" t="inlineStr">
        <is>
          <t>00366942</t>
        </is>
      </c>
      <c r="C216" s="29" t="inlineStr">
        <is>
          <t>미코</t>
        </is>
      </c>
      <c r="D216" s="29" t="inlineStr">
        <is>
          <t>mico</t>
        </is>
      </c>
      <c r="E216" s="29" t="inlineStr">
        <is>
          <t>059090</t>
        </is>
      </c>
      <c r="F216" s="29" t="inlineStr">
        <is>
          <t>2021</t>
        </is>
      </c>
      <c r="G216" s="29" t="inlineStr">
        <is>
          <t>CFS</t>
        </is>
      </c>
      <c r="H216" s="29" t="inlineStr">
        <is>
          <t>SCE</t>
        </is>
      </c>
      <c r="I216" s="29" t="inlineStr">
        <is>
          <t>자본변동표</t>
        </is>
      </c>
      <c r="J216" s="29" t="inlineStr">
        <is>
          <t>ifrs-full_Equity</t>
        </is>
      </c>
      <c r="K216" s="29" t="inlineStr">
        <is>
          <t>기말자본</t>
        </is>
      </c>
      <c r="L216" s="29" t="inlineStr">
        <is>
          <t>자본 [member]|비지배지분 [member]</t>
        </is>
      </c>
      <c r="M216" s="29" t="inlineStr">
        <is>
          <t>제 23 기</t>
        </is>
      </c>
      <c r="N216" s="29" t="inlineStr">
        <is>
          <t>181880741500.0</t>
        </is>
      </c>
      <c r="O216" s="29" t="inlineStr">
        <is>
          <t>118972390291.0</t>
        </is>
      </c>
      <c r="P216" s="29" t="inlineStr">
        <is>
          <t>KRW</t>
        </is>
      </c>
      <c r="Q216" s="29" t="inlineStr">
        <is>
          <t>17</t>
        </is>
      </c>
    </row>
    <row r="217" ht="24" customHeight="1">
      <c r="A217" s="24" t="inlineStr">
        <is>
          <t>OpenDART_fnlttSinglAcntAll</t>
        </is>
      </c>
      <c r="B217" s="24" t="inlineStr">
        <is>
          <t>00366942</t>
        </is>
      </c>
      <c r="C217" s="24" t="inlineStr">
        <is>
          <t>미코</t>
        </is>
      </c>
      <c r="D217" s="24" t="inlineStr">
        <is>
          <t>mico</t>
        </is>
      </c>
      <c r="E217" s="24" t="inlineStr">
        <is>
          <t>059090</t>
        </is>
      </c>
      <c r="F217" s="24" t="inlineStr">
        <is>
          <t>2021</t>
        </is>
      </c>
      <c r="G217" s="24" t="inlineStr">
        <is>
          <t>CFS</t>
        </is>
      </c>
      <c r="H217" s="24" t="inlineStr">
        <is>
          <t>SCE</t>
        </is>
      </c>
      <c r="I217" s="24" t="inlineStr">
        <is>
          <t>자본변동표</t>
        </is>
      </c>
      <c r="J217" s="24" t="inlineStr">
        <is>
          <t>ifrs-full_Equity</t>
        </is>
      </c>
      <c r="K217" s="24" t="inlineStr">
        <is>
          <t>기말자본</t>
        </is>
      </c>
      <c r="L217" s="24" t="inlineStr">
        <is>
          <t>자본 [member]|지배기업의 소유주에게 귀속되는 자본 [member]</t>
        </is>
      </c>
      <c r="M217" s="24" t="inlineStr">
        <is>
          <t>제 23 기</t>
        </is>
      </c>
      <c r="N217" s="24" t="inlineStr">
        <is>
          <t>197590574635.0</t>
        </is>
      </c>
      <c r="O217" s="24" t="inlineStr">
        <is>
          <t>115989004388.0</t>
        </is>
      </c>
      <c r="P217" s="24" t="inlineStr">
        <is>
          <t>KRW</t>
        </is>
      </c>
      <c r="Q217" s="24" t="inlineStr">
        <is>
          <t>17</t>
        </is>
      </c>
    </row>
    <row r="218" ht="24" customHeight="1">
      <c r="A218" s="29" t="inlineStr">
        <is>
          <t>OpenDART_fnlttSinglAcntAll</t>
        </is>
      </c>
      <c r="B218" s="29" t="inlineStr">
        <is>
          <t>00366942</t>
        </is>
      </c>
      <c r="C218" s="29" t="inlineStr">
        <is>
          <t>미코</t>
        </is>
      </c>
      <c r="D218" s="29" t="inlineStr">
        <is>
          <t>mico</t>
        </is>
      </c>
      <c r="E218" s="29" t="inlineStr">
        <is>
          <t>059090</t>
        </is>
      </c>
      <c r="F218" s="29" t="inlineStr">
        <is>
          <t>2021</t>
        </is>
      </c>
      <c r="G218" s="29" t="inlineStr">
        <is>
          <t>CFS</t>
        </is>
      </c>
      <c r="H218" s="29" t="inlineStr">
        <is>
          <t>SCE</t>
        </is>
      </c>
      <c r="I218" s="29" t="inlineStr">
        <is>
          <t>자본변동표</t>
        </is>
      </c>
      <c r="J218" s="29" t="inlineStr">
        <is>
          <t>ifrs-full_Equity</t>
        </is>
      </c>
      <c r="K218" s="29" t="inlineStr">
        <is>
          <t>기말자본</t>
        </is>
      </c>
      <c r="L218" s="29" t="inlineStr">
        <is>
          <t>자본 [member]|지배기업의 소유주에게 귀속되는 자본 [member]|기타자본구성요소 [member]</t>
        </is>
      </c>
      <c r="M218" s="29" t="inlineStr">
        <is>
          <t>제 23 기</t>
        </is>
      </c>
      <c r="N218" s="29" t="inlineStr">
        <is>
          <t>-34140162498.0</t>
        </is>
      </c>
      <c r="O218" s="29" t="inlineStr">
        <is>
          <t>-27112671485.0</t>
        </is>
      </c>
      <c r="P218" s="29" t="inlineStr">
        <is>
          <t>KRW</t>
        </is>
      </c>
      <c r="Q218" s="29" t="inlineStr">
        <is>
          <t>17</t>
        </is>
      </c>
    </row>
    <row r="219" ht="24" customHeight="1">
      <c r="A219" s="24" t="inlineStr">
        <is>
          <t>OpenDART_fnlttSinglAcntAll</t>
        </is>
      </c>
      <c r="B219" s="24" t="inlineStr">
        <is>
          <t>00366942</t>
        </is>
      </c>
      <c r="C219" s="24" t="inlineStr">
        <is>
          <t>미코</t>
        </is>
      </c>
      <c r="D219" s="24" t="inlineStr">
        <is>
          <t>mico</t>
        </is>
      </c>
      <c r="E219" s="24" t="inlineStr">
        <is>
          <t>059090</t>
        </is>
      </c>
      <c r="F219" s="24" t="inlineStr">
        <is>
          <t>2021</t>
        </is>
      </c>
      <c r="G219" s="24" t="inlineStr">
        <is>
          <t>CFS</t>
        </is>
      </c>
      <c r="H219" s="24" t="inlineStr">
        <is>
          <t>SCE</t>
        </is>
      </c>
      <c r="I219" s="24" t="inlineStr">
        <is>
          <t>자본변동표</t>
        </is>
      </c>
      <c r="J219" s="24" t="inlineStr">
        <is>
          <t>ifrs-full_Equity</t>
        </is>
      </c>
      <c r="K219" s="24" t="inlineStr">
        <is>
          <t>기말자본</t>
        </is>
      </c>
      <c r="L219" s="24" t="inlineStr">
        <is>
          <t>자본 [member]|지배기업의 소유주에게 귀속되는 자본 [member]|기타포괄손익누계액 [member]</t>
        </is>
      </c>
      <c r="M219" s="24" t="inlineStr">
        <is>
          <t>제 23 기</t>
        </is>
      </c>
      <c r="N219" s="24" t="inlineStr">
        <is>
          <t>-4997399794.0</t>
        </is>
      </c>
      <c r="O219" s="24" t="inlineStr">
        <is>
          <t>-4884909635.0</t>
        </is>
      </c>
      <c r="P219" s="24" t="inlineStr">
        <is>
          <t>KRW</t>
        </is>
      </c>
      <c r="Q219" s="24" t="inlineStr">
        <is>
          <t>17</t>
        </is>
      </c>
    </row>
    <row r="220" ht="24" customHeight="1">
      <c r="A220" s="29" t="inlineStr">
        <is>
          <t>OpenDART_fnlttSinglAcntAll</t>
        </is>
      </c>
      <c r="B220" s="29" t="inlineStr">
        <is>
          <t>00366942</t>
        </is>
      </c>
      <c r="C220" s="29" t="inlineStr">
        <is>
          <t>미코</t>
        </is>
      </c>
      <c r="D220" s="29" t="inlineStr">
        <is>
          <t>mico</t>
        </is>
      </c>
      <c r="E220" s="29" t="inlineStr">
        <is>
          <t>059090</t>
        </is>
      </c>
      <c r="F220" s="29" t="inlineStr">
        <is>
          <t>2021</t>
        </is>
      </c>
      <c r="G220" s="29" t="inlineStr">
        <is>
          <t>CFS</t>
        </is>
      </c>
      <c r="H220" s="29" t="inlineStr">
        <is>
          <t>SCE</t>
        </is>
      </c>
      <c r="I220" s="29" t="inlineStr">
        <is>
          <t>자본변동표</t>
        </is>
      </c>
      <c r="J220" s="29" t="inlineStr">
        <is>
          <t>ifrs-full_Equity</t>
        </is>
      </c>
      <c r="K220" s="29" t="inlineStr">
        <is>
          <t>기말자본</t>
        </is>
      </c>
      <c r="L220" s="29" t="inlineStr">
        <is>
          <t>자본 [member]|지배기업의 소유주에게 귀속되는 자본 [member]|이익잉여금 [member]</t>
        </is>
      </c>
      <c r="M220" s="29" t="inlineStr">
        <is>
          <t>제 23 기</t>
        </is>
      </c>
      <c r="N220" s="29" t="inlineStr">
        <is>
          <t>29437788877.0</t>
        </is>
      </c>
      <c r="O220" s="29" t="inlineStr">
        <is>
          <t>39316669222.0</t>
        </is>
      </c>
      <c r="P220" s="29" t="inlineStr">
        <is>
          <t>KRW</t>
        </is>
      </c>
      <c r="Q220" s="29" t="inlineStr">
        <is>
          <t>17</t>
        </is>
      </c>
    </row>
    <row r="221" ht="24" customHeight="1">
      <c r="A221" s="24" t="inlineStr">
        <is>
          <t>OpenDART_fnlttSinglAcntAll</t>
        </is>
      </c>
      <c r="B221" s="24" t="inlineStr">
        <is>
          <t>00366942</t>
        </is>
      </c>
      <c r="C221" s="24" t="inlineStr">
        <is>
          <t>미코</t>
        </is>
      </c>
      <c r="D221" s="24" t="inlineStr">
        <is>
          <t>mico</t>
        </is>
      </c>
      <c r="E221" s="24" t="inlineStr">
        <is>
          <t>059090</t>
        </is>
      </c>
      <c r="F221" s="24" t="inlineStr">
        <is>
          <t>2021</t>
        </is>
      </c>
      <c r="G221" s="24" t="inlineStr">
        <is>
          <t>CFS</t>
        </is>
      </c>
      <c r="H221" s="24" t="inlineStr">
        <is>
          <t>SCE</t>
        </is>
      </c>
      <c r="I221" s="24" t="inlineStr">
        <is>
          <t>자본변동표</t>
        </is>
      </c>
      <c r="J221" s="24" t="inlineStr">
        <is>
          <t>ifrs-full_Equity</t>
        </is>
      </c>
      <c r="K221" s="24" t="inlineStr">
        <is>
          <t>기말자본</t>
        </is>
      </c>
      <c r="L221" s="24" t="inlineStr">
        <is>
          <t>자본 [member]|지배기업의 소유주에게 귀속되는 자본 [member]|자본금 [member]</t>
        </is>
      </c>
      <c r="M221" s="24" t="inlineStr">
        <is>
          <t>제 23 기</t>
        </is>
      </c>
      <c r="N221" s="24" t="inlineStr">
        <is>
          <t>16708389000.0</t>
        </is>
      </c>
      <c r="O221" s="24" t="inlineStr">
        <is>
          <t>15658301500.0</t>
        </is>
      </c>
      <c r="P221" s="24" t="inlineStr">
        <is>
          <t>KRW</t>
        </is>
      </c>
      <c r="Q221" s="24" t="inlineStr">
        <is>
          <t>17</t>
        </is>
      </c>
    </row>
    <row r="222" ht="24" customHeight="1">
      <c r="A222" s="29" t="inlineStr">
        <is>
          <t>OpenDART_fnlttSinglAcntAll</t>
        </is>
      </c>
      <c r="B222" s="29" t="inlineStr">
        <is>
          <t>00366942</t>
        </is>
      </c>
      <c r="C222" s="29" t="inlineStr">
        <is>
          <t>미코</t>
        </is>
      </c>
      <c r="D222" s="29" t="inlineStr">
        <is>
          <t>mico</t>
        </is>
      </c>
      <c r="E222" s="29" t="inlineStr">
        <is>
          <t>059090</t>
        </is>
      </c>
      <c r="F222" s="29" t="inlineStr">
        <is>
          <t>2021</t>
        </is>
      </c>
      <c r="G222" s="29" t="inlineStr">
        <is>
          <t>CFS</t>
        </is>
      </c>
      <c r="H222" s="29" t="inlineStr">
        <is>
          <t>SCE</t>
        </is>
      </c>
      <c r="I222" s="29" t="inlineStr">
        <is>
          <t>자본변동표</t>
        </is>
      </c>
      <c r="J222" s="29" t="inlineStr">
        <is>
          <t>ifrs-full_Equity</t>
        </is>
      </c>
      <c r="K222" s="29" t="inlineStr">
        <is>
          <t>기말자본</t>
        </is>
      </c>
      <c r="L222" s="29" t="inlineStr">
        <is>
          <t>자본 [member]|지배기업의 소유주에게 귀속되는 자본 [member]|자본잉여금 [member]</t>
        </is>
      </c>
      <c r="M222" s="29" t="inlineStr">
        <is>
          <t>제 23 기</t>
        </is>
      </c>
      <c r="N222" s="29" t="inlineStr">
        <is>
          <t>190581959050.0</t>
        </is>
      </c>
      <c r="O222" s="29" t="inlineStr">
        <is>
          <t>93011614786.0</t>
        </is>
      </c>
      <c r="P222" s="29" t="inlineStr">
        <is>
          <t>KRW</t>
        </is>
      </c>
      <c r="Q222" s="29" t="inlineStr">
        <is>
          <t>17</t>
        </is>
      </c>
    </row>
    <row r="223" ht="24" customHeight="1">
      <c r="A223" s="24" t="inlineStr">
        <is>
          <t>OpenDART_fnlttSinglAcntAll</t>
        </is>
      </c>
      <c r="B223" s="24" t="inlineStr">
        <is>
          <t>00366942</t>
        </is>
      </c>
      <c r="C223" s="24" t="inlineStr">
        <is>
          <t>미코</t>
        </is>
      </c>
      <c r="D223" s="24" t="inlineStr">
        <is>
          <t>mico</t>
        </is>
      </c>
      <c r="E223" s="24" t="inlineStr">
        <is>
          <t>059090</t>
        </is>
      </c>
      <c r="F223" s="24" t="inlineStr">
        <is>
          <t>2022</t>
        </is>
      </c>
      <c r="G223" s="24" t="inlineStr">
        <is>
          <t>CFS</t>
        </is>
      </c>
      <c r="H223" s="24" t="inlineStr">
        <is>
          <t>BS</t>
        </is>
      </c>
      <c r="I223" s="24" t="inlineStr">
        <is>
          <t>재무상태표</t>
        </is>
      </c>
      <c r="J223" s="24" t="inlineStr">
        <is>
          <t>ifrs-full_CurrentAssets</t>
        </is>
      </c>
      <c r="K223" s="24" t="inlineStr">
        <is>
          <t>유동자산</t>
        </is>
      </c>
      <c r="L223" s="24" t="inlineStr">
        <is>
          <t>-</t>
        </is>
      </c>
      <c r="M223" s="24" t="inlineStr">
        <is>
          <t>제 24 기</t>
        </is>
      </c>
      <c r="N223" s="24" t="inlineStr">
        <is>
          <t>302343352339.0</t>
        </is>
      </c>
      <c r="O223" s="24" t="inlineStr">
        <is>
          <t>287546072339.0</t>
        </is>
      </c>
      <c r="P223" s="24" t="inlineStr">
        <is>
          <t>KRW</t>
        </is>
      </c>
      <c r="Q223" s="24" t="inlineStr">
        <is>
          <t>1</t>
        </is>
      </c>
    </row>
    <row r="224" ht="24" customHeight="1">
      <c r="A224" s="29" t="inlineStr">
        <is>
          <t>OpenDART_fnlttSinglAcntAll</t>
        </is>
      </c>
      <c r="B224" s="29" t="inlineStr">
        <is>
          <t>00366942</t>
        </is>
      </c>
      <c r="C224" s="29" t="inlineStr">
        <is>
          <t>미코</t>
        </is>
      </c>
      <c r="D224" s="29" t="inlineStr">
        <is>
          <t>mico</t>
        </is>
      </c>
      <c r="E224" s="29" t="inlineStr">
        <is>
          <t>059090</t>
        </is>
      </c>
      <c r="F224" s="29" t="inlineStr">
        <is>
          <t>2022</t>
        </is>
      </c>
      <c r="G224" s="29" t="inlineStr">
        <is>
          <t>CFS</t>
        </is>
      </c>
      <c r="H224" s="29" t="inlineStr">
        <is>
          <t>BS</t>
        </is>
      </c>
      <c r="I224" s="29" t="inlineStr">
        <is>
          <t>재무상태표</t>
        </is>
      </c>
      <c r="J224" s="29" t="inlineStr">
        <is>
          <t>ifrs-full_CashAndCashEquivalents</t>
        </is>
      </c>
      <c r="K224" s="29" t="inlineStr">
        <is>
          <t>현금및현금성자산</t>
        </is>
      </c>
      <c r="L224" s="29" t="inlineStr">
        <is>
          <t>-</t>
        </is>
      </c>
      <c r="M224" s="29" t="inlineStr">
        <is>
          <t>제 24 기</t>
        </is>
      </c>
      <c r="N224" s="29" t="inlineStr">
        <is>
          <t>131960647862.0</t>
        </is>
      </c>
      <c r="O224" s="29" t="inlineStr">
        <is>
          <t>180517871638.0</t>
        </is>
      </c>
      <c r="P224" s="29" t="inlineStr">
        <is>
          <t>KRW</t>
        </is>
      </c>
      <c r="Q224" s="29" t="inlineStr">
        <is>
          <t>2</t>
        </is>
      </c>
    </row>
    <row r="225" ht="24" customHeight="1">
      <c r="A225" s="24" t="inlineStr">
        <is>
          <t>OpenDART_fnlttSinglAcntAll</t>
        </is>
      </c>
      <c r="B225" s="24" t="inlineStr">
        <is>
          <t>00366942</t>
        </is>
      </c>
      <c r="C225" s="24" t="inlineStr">
        <is>
          <t>미코</t>
        </is>
      </c>
      <c r="D225" s="24" t="inlineStr">
        <is>
          <t>mico</t>
        </is>
      </c>
      <c r="E225" s="24" t="inlineStr">
        <is>
          <t>059090</t>
        </is>
      </c>
      <c r="F225" s="24" t="inlineStr">
        <is>
          <t>2022</t>
        </is>
      </c>
      <c r="G225" s="24" t="inlineStr">
        <is>
          <t>CFS</t>
        </is>
      </c>
      <c r="H225" s="24" t="inlineStr">
        <is>
          <t>BS</t>
        </is>
      </c>
      <c r="I225" s="24" t="inlineStr">
        <is>
          <t>재무상태표</t>
        </is>
      </c>
      <c r="J225" s="24" t="inlineStr">
        <is>
          <t>ifrs-full_TradeAndOtherCurrentReceivables</t>
        </is>
      </c>
      <c r="K225" s="24" t="inlineStr">
        <is>
          <t>매출채권 및 기타유동채권</t>
        </is>
      </c>
      <c r="L225" s="24" t="inlineStr">
        <is>
          <t>-</t>
        </is>
      </c>
      <c r="M225" s="24" t="inlineStr">
        <is>
          <t>제 24 기</t>
        </is>
      </c>
      <c r="N225" s="24" t="inlineStr">
        <is>
          <t>59358105305.0</t>
        </is>
      </c>
      <c r="O225" s="24" t="inlineStr">
        <is>
          <t>50148851248.0</t>
        </is>
      </c>
      <c r="P225" s="24" t="inlineStr">
        <is>
          <t>KRW</t>
        </is>
      </c>
      <c r="Q225" s="24" t="inlineStr">
        <is>
          <t>3</t>
        </is>
      </c>
    </row>
    <row r="226" ht="24" customHeight="1">
      <c r="A226" s="29" t="inlineStr">
        <is>
          <t>OpenDART_fnlttSinglAcntAll</t>
        </is>
      </c>
      <c r="B226" s="29" t="inlineStr">
        <is>
          <t>00366942</t>
        </is>
      </c>
      <c r="C226" s="29" t="inlineStr">
        <is>
          <t>미코</t>
        </is>
      </c>
      <c r="D226" s="29" t="inlineStr">
        <is>
          <t>mico</t>
        </is>
      </c>
      <c r="E226" s="29" t="inlineStr">
        <is>
          <t>059090</t>
        </is>
      </c>
      <c r="F226" s="29" t="inlineStr">
        <is>
          <t>2022</t>
        </is>
      </c>
      <c r="G226" s="29" t="inlineStr">
        <is>
          <t>CFS</t>
        </is>
      </c>
      <c r="H226" s="29" t="inlineStr">
        <is>
          <t>BS</t>
        </is>
      </c>
      <c r="I226" s="29" t="inlineStr">
        <is>
          <t>재무상태표</t>
        </is>
      </c>
      <c r="J226" s="29" t="inlineStr">
        <is>
          <t>ifrs-full_OtherCurrentFinancialAssets</t>
        </is>
      </c>
      <c r="K226" s="29" t="inlineStr">
        <is>
          <t>기타금융자산</t>
        </is>
      </c>
      <c r="L226" s="29" t="inlineStr">
        <is>
          <t>-</t>
        </is>
      </c>
      <c r="M226" s="29" t="inlineStr">
        <is>
          <t>제 24 기</t>
        </is>
      </c>
      <c r="N226" s="29" t="inlineStr">
        <is>
          <t>49392202446.0</t>
        </is>
      </c>
      <c r="O226" s="29" t="inlineStr">
        <is>
          <t>22803863606.0</t>
        </is>
      </c>
      <c r="P226" s="29" t="inlineStr">
        <is>
          <t>KRW</t>
        </is>
      </c>
      <c r="Q226" s="29" t="inlineStr">
        <is>
          <t>4</t>
        </is>
      </c>
    </row>
    <row r="227" ht="24" customHeight="1">
      <c r="A227" s="24" t="inlineStr">
        <is>
          <t>OpenDART_fnlttSinglAcntAll</t>
        </is>
      </c>
      <c r="B227" s="24" t="inlineStr">
        <is>
          <t>00366942</t>
        </is>
      </c>
      <c r="C227" s="24" t="inlineStr">
        <is>
          <t>미코</t>
        </is>
      </c>
      <c r="D227" s="24" t="inlineStr">
        <is>
          <t>mico</t>
        </is>
      </c>
      <c r="E227" s="24" t="inlineStr">
        <is>
          <t>059090</t>
        </is>
      </c>
      <c r="F227" s="24" t="inlineStr">
        <is>
          <t>2022</t>
        </is>
      </c>
      <c r="G227" s="24" t="inlineStr">
        <is>
          <t>CFS</t>
        </is>
      </c>
      <c r="H227" s="24" t="inlineStr">
        <is>
          <t>BS</t>
        </is>
      </c>
      <c r="I227" s="24" t="inlineStr">
        <is>
          <t>재무상태표</t>
        </is>
      </c>
      <c r="J227" s="24" t="inlineStr">
        <is>
          <t>ifrs-full_CurrentTaxAssets</t>
        </is>
      </c>
      <c r="K227" s="24" t="inlineStr">
        <is>
          <t>당기법인세자산</t>
        </is>
      </c>
      <c r="L227" s="24" t="inlineStr">
        <is>
          <t>-</t>
        </is>
      </c>
      <c r="M227" s="24" t="inlineStr">
        <is>
          <t>제 24 기</t>
        </is>
      </c>
      <c r="N227" s="24" t="inlineStr">
        <is>
          <t>79765340.0</t>
        </is>
      </c>
      <c r="O227" s="24" t="inlineStr">
        <is>
          <t>1421370.0</t>
        </is>
      </c>
      <c r="P227" s="24" t="inlineStr">
        <is>
          <t>KRW</t>
        </is>
      </c>
      <c r="Q227" s="24" t="inlineStr">
        <is>
          <t>5</t>
        </is>
      </c>
    </row>
    <row r="228" ht="24" customHeight="1">
      <c r="A228" s="29" t="inlineStr">
        <is>
          <t>OpenDART_fnlttSinglAcntAll</t>
        </is>
      </c>
      <c r="B228" s="29" t="inlineStr">
        <is>
          <t>00366942</t>
        </is>
      </c>
      <c r="C228" s="29" t="inlineStr">
        <is>
          <t>미코</t>
        </is>
      </c>
      <c r="D228" s="29" t="inlineStr">
        <is>
          <t>mico</t>
        </is>
      </c>
      <c r="E228" s="29" t="inlineStr">
        <is>
          <t>059090</t>
        </is>
      </c>
      <c r="F228" s="29" t="inlineStr">
        <is>
          <t>2022</t>
        </is>
      </c>
      <c r="G228" s="29" t="inlineStr">
        <is>
          <t>CFS</t>
        </is>
      </c>
      <c r="H228" s="29" t="inlineStr">
        <is>
          <t>BS</t>
        </is>
      </c>
      <c r="I228" s="29" t="inlineStr">
        <is>
          <t>재무상태표</t>
        </is>
      </c>
      <c r="J228" s="29" t="inlineStr">
        <is>
          <t>ifrs-full_Inventories</t>
        </is>
      </c>
      <c r="K228" s="29" t="inlineStr">
        <is>
          <t>재고자산</t>
        </is>
      </c>
      <c r="L228" s="29" t="inlineStr">
        <is>
          <t>-</t>
        </is>
      </c>
      <c r="M228" s="29" t="inlineStr">
        <is>
          <t>제 24 기</t>
        </is>
      </c>
      <c r="N228" s="29" t="inlineStr">
        <is>
          <t>44794051247.0</t>
        </is>
      </c>
      <c r="O228" s="29" t="inlineStr">
        <is>
          <t>30884893996.0</t>
        </is>
      </c>
      <c r="P228" s="29" t="inlineStr">
        <is>
          <t>KRW</t>
        </is>
      </c>
      <c r="Q228" s="29" t="inlineStr">
        <is>
          <t>6</t>
        </is>
      </c>
    </row>
    <row r="229" ht="24" customHeight="1">
      <c r="A229" s="24" t="inlineStr">
        <is>
          <t>OpenDART_fnlttSinglAcntAll</t>
        </is>
      </c>
      <c r="B229" s="24" t="inlineStr">
        <is>
          <t>00366942</t>
        </is>
      </c>
      <c r="C229" s="24" t="inlineStr">
        <is>
          <t>미코</t>
        </is>
      </c>
      <c r="D229" s="24" t="inlineStr">
        <is>
          <t>mico</t>
        </is>
      </c>
      <c r="E229" s="24" t="inlineStr">
        <is>
          <t>059090</t>
        </is>
      </c>
      <c r="F229" s="24" t="inlineStr">
        <is>
          <t>2022</t>
        </is>
      </c>
      <c r="G229" s="24" t="inlineStr">
        <is>
          <t>CFS</t>
        </is>
      </c>
      <c r="H229" s="24" t="inlineStr">
        <is>
          <t>BS</t>
        </is>
      </c>
      <c r="I229" s="24" t="inlineStr">
        <is>
          <t>재무상태표</t>
        </is>
      </c>
      <c r="J229" s="24" t="inlineStr">
        <is>
          <t>dart_OtherCurrentAssets</t>
        </is>
      </c>
      <c r="K229" s="24" t="inlineStr">
        <is>
          <t>기타유동자산</t>
        </is>
      </c>
      <c r="L229" s="24" t="inlineStr">
        <is>
          <t>-</t>
        </is>
      </c>
      <c r="M229" s="24" t="inlineStr">
        <is>
          <t>제 24 기</t>
        </is>
      </c>
      <c r="N229" s="24" t="inlineStr">
        <is>
          <t>2745163468.0</t>
        </is>
      </c>
      <c r="O229" s="24" t="inlineStr">
        <is>
          <t>3189170481.0</t>
        </is>
      </c>
      <c r="P229" s="24" t="inlineStr">
        <is>
          <t>KRW</t>
        </is>
      </c>
      <c r="Q229" s="24" t="inlineStr">
        <is>
          <t>7</t>
        </is>
      </c>
    </row>
    <row r="230" ht="24" customHeight="1">
      <c r="A230" s="29" t="inlineStr">
        <is>
          <t>OpenDART_fnlttSinglAcntAll</t>
        </is>
      </c>
      <c r="B230" s="29" t="inlineStr">
        <is>
          <t>00366942</t>
        </is>
      </c>
      <c r="C230" s="29" t="inlineStr">
        <is>
          <t>미코</t>
        </is>
      </c>
      <c r="D230" s="29" t="inlineStr">
        <is>
          <t>mico</t>
        </is>
      </c>
      <c r="E230" s="29" t="inlineStr">
        <is>
          <t>059090</t>
        </is>
      </c>
      <c r="F230" s="29" t="inlineStr">
        <is>
          <t>2022</t>
        </is>
      </c>
      <c r="G230" s="29" t="inlineStr">
        <is>
          <t>CFS</t>
        </is>
      </c>
      <c r="H230" s="29" t="inlineStr">
        <is>
          <t>BS</t>
        </is>
      </c>
      <c r="I230" s="29" t="inlineStr">
        <is>
          <t>재무상태표</t>
        </is>
      </c>
      <c r="J230" s="29" t="inlineStr">
        <is>
          <t>ifrs-full_NoncurrentAssetsOrDisposalGroupsClassifiedAsHeldForSaleOrAsHeldForDistributionToOwners</t>
        </is>
      </c>
      <c r="K230" s="29" t="inlineStr">
        <is>
          <t>매각예정비유동자산</t>
        </is>
      </c>
      <c r="L230" s="29" t="inlineStr">
        <is>
          <t>-</t>
        </is>
      </c>
      <c r="M230" s="29" t="inlineStr">
        <is>
          <t>제 24 기</t>
        </is>
      </c>
      <c r="N230" s="29" t="inlineStr">
        <is>
          <t>14013416671.0</t>
        </is>
      </c>
      <c r="O230" s="29" t="inlineStr">
        <is>
          <t>해당 없음</t>
        </is>
      </c>
      <c r="P230" s="29" t="inlineStr">
        <is>
          <t>KRW</t>
        </is>
      </c>
      <c r="Q230" s="29" t="inlineStr">
        <is>
          <t>8</t>
        </is>
      </c>
    </row>
    <row r="231" ht="24" customHeight="1">
      <c r="A231" s="24" t="inlineStr">
        <is>
          <t>OpenDART_fnlttSinglAcntAll</t>
        </is>
      </c>
      <c r="B231" s="24" t="inlineStr">
        <is>
          <t>00366942</t>
        </is>
      </c>
      <c r="C231" s="24" t="inlineStr">
        <is>
          <t>미코</t>
        </is>
      </c>
      <c r="D231" s="24" t="inlineStr">
        <is>
          <t>mico</t>
        </is>
      </c>
      <c r="E231" s="24" t="inlineStr">
        <is>
          <t>059090</t>
        </is>
      </c>
      <c r="F231" s="24" t="inlineStr">
        <is>
          <t>2022</t>
        </is>
      </c>
      <c r="G231" s="24" t="inlineStr">
        <is>
          <t>CFS</t>
        </is>
      </c>
      <c r="H231" s="24" t="inlineStr">
        <is>
          <t>BS</t>
        </is>
      </c>
      <c r="I231" s="24" t="inlineStr">
        <is>
          <t>재무상태표</t>
        </is>
      </c>
      <c r="J231" s="24" t="inlineStr">
        <is>
          <t>ifrs-full_NoncurrentAssets</t>
        </is>
      </c>
      <c r="K231" s="24" t="inlineStr">
        <is>
          <t>비유동자산</t>
        </is>
      </c>
      <c r="L231" s="24" t="inlineStr">
        <is>
          <t>-</t>
        </is>
      </c>
      <c r="M231" s="24" t="inlineStr">
        <is>
          <t>제 24 기</t>
        </is>
      </c>
      <c r="N231" s="24" t="inlineStr">
        <is>
          <t>428809733809.0</t>
        </is>
      </c>
      <c r="O231" s="24" t="inlineStr">
        <is>
          <t>430728405492.0</t>
        </is>
      </c>
      <c r="P231" s="24" t="inlineStr">
        <is>
          <t>KRW</t>
        </is>
      </c>
      <c r="Q231" s="24" t="inlineStr">
        <is>
          <t>9</t>
        </is>
      </c>
    </row>
    <row r="232" ht="24" customHeight="1">
      <c r="A232" s="29" t="inlineStr">
        <is>
          <t>OpenDART_fnlttSinglAcntAll</t>
        </is>
      </c>
      <c r="B232" s="29" t="inlineStr">
        <is>
          <t>00366942</t>
        </is>
      </c>
      <c r="C232" s="29" t="inlineStr">
        <is>
          <t>미코</t>
        </is>
      </c>
      <c r="D232" s="29" t="inlineStr">
        <is>
          <t>mico</t>
        </is>
      </c>
      <c r="E232" s="29" t="inlineStr">
        <is>
          <t>059090</t>
        </is>
      </c>
      <c r="F232" s="29" t="inlineStr">
        <is>
          <t>2022</t>
        </is>
      </c>
      <c r="G232" s="29" t="inlineStr">
        <is>
          <t>CFS</t>
        </is>
      </c>
      <c r="H232" s="29" t="inlineStr">
        <is>
          <t>BS</t>
        </is>
      </c>
      <c r="I232" s="29" t="inlineStr">
        <is>
          <t>재무상태표</t>
        </is>
      </c>
      <c r="J232" s="29" t="inlineStr">
        <is>
          <t>dart_LongTermTradeAndOtherNonCurrentReceivablesGross</t>
        </is>
      </c>
      <c r="K232" s="29" t="inlineStr">
        <is>
          <t>장기매출채권 및 기타비유동채권</t>
        </is>
      </c>
      <c r="L232" s="29" t="inlineStr">
        <is>
          <t>-</t>
        </is>
      </c>
      <c r="M232" s="29" t="inlineStr">
        <is>
          <t>제 24 기</t>
        </is>
      </c>
      <c r="N232" s="29" t="inlineStr">
        <is>
          <t>2857803819.0</t>
        </is>
      </c>
      <c r="O232" s="29" t="inlineStr">
        <is>
          <t>845313911.0</t>
        </is>
      </c>
      <c r="P232" s="29" t="inlineStr">
        <is>
          <t>KRW</t>
        </is>
      </c>
      <c r="Q232" s="29" t="inlineStr">
        <is>
          <t>10</t>
        </is>
      </c>
    </row>
    <row r="233" ht="24" customHeight="1">
      <c r="A233" s="24" t="inlineStr">
        <is>
          <t>OpenDART_fnlttSinglAcntAll</t>
        </is>
      </c>
      <c r="B233" s="24" t="inlineStr">
        <is>
          <t>00366942</t>
        </is>
      </c>
      <c r="C233" s="24" t="inlineStr">
        <is>
          <t>미코</t>
        </is>
      </c>
      <c r="D233" s="24" t="inlineStr">
        <is>
          <t>mico</t>
        </is>
      </c>
      <c r="E233" s="24" t="inlineStr">
        <is>
          <t>059090</t>
        </is>
      </c>
      <c r="F233" s="24" t="inlineStr">
        <is>
          <t>2022</t>
        </is>
      </c>
      <c r="G233" s="24" t="inlineStr">
        <is>
          <t>CFS</t>
        </is>
      </c>
      <c r="H233" s="24" t="inlineStr">
        <is>
          <t>BS</t>
        </is>
      </c>
      <c r="I233" s="24" t="inlineStr">
        <is>
          <t>재무상태표</t>
        </is>
      </c>
      <c r="J233" s="24" t="inlineStr">
        <is>
          <t>ifrs-full_OtherNoncurrentFinancialAssets</t>
        </is>
      </c>
      <c r="K233" s="24" t="inlineStr">
        <is>
          <t>기타비유동금융자산</t>
        </is>
      </c>
      <c r="L233" s="24" t="inlineStr">
        <is>
          <t>-</t>
        </is>
      </c>
      <c r="M233" s="24" t="inlineStr">
        <is>
          <t>제 24 기</t>
        </is>
      </c>
      <c r="N233" s="24" t="inlineStr">
        <is>
          <t>38754335209.0</t>
        </is>
      </c>
      <c r="O233" s="24" t="inlineStr">
        <is>
          <t>20679244144.0</t>
        </is>
      </c>
      <c r="P233" s="24" t="inlineStr">
        <is>
          <t>KRW</t>
        </is>
      </c>
      <c r="Q233" s="24" t="inlineStr">
        <is>
          <t>11</t>
        </is>
      </c>
    </row>
    <row r="234" ht="24" customHeight="1">
      <c r="A234" s="29" t="inlineStr">
        <is>
          <t>OpenDART_fnlttSinglAcntAll</t>
        </is>
      </c>
      <c r="B234" s="29" t="inlineStr">
        <is>
          <t>00366942</t>
        </is>
      </c>
      <c r="C234" s="29" t="inlineStr">
        <is>
          <t>미코</t>
        </is>
      </c>
      <c r="D234" s="29" t="inlineStr">
        <is>
          <t>mico</t>
        </is>
      </c>
      <c r="E234" s="29" t="inlineStr">
        <is>
          <t>059090</t>
        </is>
      </c>
      <c r="F234" s="29" t="inlineStr">
        <is>
          <t>2022</t>
        </is>
      </c>
      <c r="G234" s="29" t="inlineStr">
        <is>
          <t>CFS</t>
        </is>
      </c>
      <c r="H234" s="29" t="inlineStr">
        <is>
          <t>BS</t>
        </is>
      </c>
      <c r="I234" s="29" t="inlineStr">
        <is>
          <t>재무상태표</t>
        </is>
      </c>
      <c r="J234" s="29" t="inlineStr">
        <is>
          <t>-표준계정코드 미사용-</t>
        </is>
      </c>
      <c r="K234" s="29" t="inlineStr">
        <is>
          <t>관계기업투자</t>
        </is>
      </c>
      <c r="L234" s="29" t="inlineStr">
        <is>
          <t>-</t>
        </is>
      </c>
      <c r="M234" s="29" t="inlineStr">
        <is>
          <t>제 24 기</t>
        </is>
      </c>
      <c r="N234" s="29" t="inlineStr">
        <is>
          <t>23894940152.0</t>
        </is>
      </c>
      <c r="O234" s="29" t="inlineStr">
        <is>
          <t>66382280303.0</t>
        </is>
      </c>
      <c r="P234" s="29" t="inlineStr">
        <is>
          <t>KRW</t>
        </is>
      </c>
      <c r="Q234" s="29" t="inlineStr">
        <is>
          <t>12</t>
        </is>
      </c>
    </row>
    <row r="235" ht="24" customHeight="1">
      <c r="A235" s="24" t="inlineStr">
        <is>
          <t>OpenDART_fnlttSinglAcntAll</t>
        </is>
      </c>
      <c r="B235" s="24" t="inlineStr">
        <is>
          <t>00366942</t>
        </is>
      </c>
      <c r="C235" s="24" t="inlineStr">
        <is>
          <t>미코</t>
        </is>
      </c>
      <c r="D235" s="24" t="inlineStr">
        <is>
          <t>mico</t>
        </is>
      </c>
      <c r="E235" s="24" t="inlineStr">
        <is>
          <t>059090</t>
        </is>
      </c>
      <c r="F235" s="24" t="inlineStr">
        <is>
          <t>2022</t>
        </is>
      </c>
      <c r="G235" s="24" t="inlineStr">
        <is>
          <t>CFS</t>
        </is>
      </c>
      <c r="H235" s="24" t="inlineStr">
        <is>
          <t>BS</t>
        </is>
      </c>
      <c r="I235" s="24" t="inlineStr">
        <is>
          <t>재무상태표</t>
        </is>
      </c>
      <c r="J235" s="24" t="inlineStr">
        <is>
          <t>ifrs-full_PropertyPlantAndEquipment</t>
        </is>
      </c>
      <c r="K235" s="24" t="inlineStr">
        <is>
          <t>유형자산</t>
        </is>
      </c>
      <c r="L235" s="24" t="inlineStr">
        <is>
          <t>-</t>
        </is>
      </c>
      <c r="M235" s="24" t="inlineStr">
        <is>
          <t>제 24 기</t>
        </is>
      </c>
      <c r="N235" s="24" t="inlineStr">
        <is>
          <t>325774223678.0</t>
        </is>
      </c>
      <c r="O235" s="24" t="inlineStr">
        <is>
          <t>309686812815.0</t>
        </is>
      </c>
      <c r="P235" s="24" t="inlineStr">
        <is>
          <t>KRW</t>
        </is>
      </c>
      <c r="Q235" s="24" t="inlineStr">
        <is>
          <t>13</t>
        </is>
      </c>
    </row>
    <row r="236" ht="24" customHeight="1">
      <c r="A236" s="29" t="inlineStr">
        <is>
          <t>OpenDART_fnlttSinglAcntAll</t>
        </is>
      </c>
      <c r="B236" s="29" t="inlineStr">
        <is>
          <t>00366942</t>
        </is>
      </c>
      <c r="C236" s="29" t="inlineStr">
        <is>
          <t>미코</t>
        </is>
      </c>
      <c r="D236" s="29" t="inlineStr">
        <is>
          <t>mico</t>
        </is>
      </c>
      <c r="E236" s="29" t="inlineStr">
        <is>
          <t>059090</t>
        </is>
      </c>
      <c r="F236" s="29" t="inlineStr">
        <is>
          <t>2022</t>
        </is>
      </c>
      <c r="G236" s="29" t="inlineStr">
        <is>
          <t>CFS</t>
        </is>
      </c>
      <c r="H236" s="29" t="inlineStr">
        <is>
          <t>BS</t>
        </is>
      </c>
      <c r="I236" s="29" t="inlineStr">
        <is>
          <t>재무상태표</t>
        </is>
      </c>
      <c r="J236" s="29" t="inlineStr">
        <is>
          <t>ifrs-full_RightofuseAssets</t>
        </is>
      </c>
      <c r="K236" s="29" t="inlineStr">
        <is>
          <t>사용권자산</t>
        </is>
      </c>
      <c r="L236" s="29" t="inlineStr">
        <is>
          <t>-</t>
        </is>
      </c>
      <c r="M236" s="29" t="inlineStr">
        <is>
          <t>제 24 기</t>
        </is>
      </c>
      <c r="N236" s="29" t="inlineStr">
        <is>
          <t>9571955485.0</t>
        </is>
      </c>
      <c r="O236" s="29" t="inlineStr">
        <is>
          <t>11638423084.0</t>
        </is>
      </c>
      <c r="P236" s="29" t="inlineStr">
        <is>
          <t>KRW</t>
        </is>
      </c>
      <c r="Q236" s="29" t="inlineStr">
        <is>
          <t>14</t>
        </is>
      </c>
    </row>
    <row r="237" ht="24" customHeight="1">
      <c r="A237" s="24" t="inlineStr">
        <is>
          <t>OpenDART_fnlttSinglAcntAll</t>
        </is>
      </c>
      <c r="B237" s="24" t="inlineStr">
        <is>
          <t>00366942</t>
        </is>
      </c>
      <c r="C237" s="24" t="inlineStr">
        <is>
          <t>미코</t>
        </is>
      </c>
      <c r="D237" s="24" t="inlineStr">
        <is>
          <t>mico</t>
        </is>
      </c>
      <c r="E237" s="24" t="inlineStr">
        <is>
          <t>059090</t>
        </is>
      </c>
      <c r="F237" s="24" t="inlineStr">
        <is>
          <t>2022</t>
        </is>
      </c>
      <c r="G237" s="24" t="inlineStr">
        <is>
          <t>CFS</t>
        </is>
      </c>
      <c r="H237" s="24" t="inlineStr">
        <is>
          <t>BS</t>
        </is>
      </c>
      <c r="I237" s="24" t="inlineStr">
        <is>
          <t>재무상태표</t>
        </is>
      </c>
      <c r="J237" s="24" t="inlineStr">
        <is>
          <t>ifrs-full_InvestmentProperty</t>
        </is>
      </c>
      <c r="K237" s="24" t="inlineStr">
        <is>
          <t>투자부동산</t>
        </is>
      </c>
      <c r="L237" s="24" t="inlineStr">
        <is>
          <t>-</t>
        </is>
      </c>
      <c r="M237" s="24" t="inlineStr">
        <is>
          <t>제 24 기</t>
        </is>
      </c>
      <c r="N237" s="24" t="inlineStr">
        <is>
          <t>4714881315.0</t>
        </is>
      </c>
      <c r="O237" s="24" t="inlineStr">
        <is>
          <t>3615910963.0</t>
        </is>
      </c>
      <c r="P237" s="24" t="inlineStr">
        <is>
          <t>KRW</t>
        </is>
      </c>
      <c r="Q237" s="24" t="inlineStr">
        <is>
          <t>15</t>
        </is>
      </c>
    </row>
    <row r="238" ht="24" customHeight="1">
      <c r="A238" s="29" t="inlineStr">
        <is>
          <t>OpenDART_fnlttSinglAcntAll</t>
        </is>
      </c>
      <c r="B238" s="29" t="inlineStr">
        <is>
          <t>00366942</t>
        </is>
      </c>
      <c r="C238" s="29" t="inlineStr">
        <is>
          <t>미코</t>
        </is>
      </c>
      <c r="D238" s="29" t="inlineStr">
        <is>
          <t>mico</t>
        </is>
      </c>
      <c r="E238" s="29" t="inlineStr">
        <is>
          <t>059090</t>
        </is>
      </c>
      <c r="F238" s="29" t="inlineStr">
        <is>
          <t>2022</t>
        </is>
      </c>
      <c r="G238" s="29" t="inlineStr">
        <is>
          <t>CFS</t>
        </is>
      </c>
      <c r="H238" s="29" t="inlineStr">
        <is>
          <t>BS</t>
        </is>
      </c>
      <c r="I238" s="29" t="inlineStr">
        <is>
          <t>재무상태표</t>
        </is>
      </c>
      <c r="J238" s="29" t="inlineStr">
        <is>
          <t>ifrs-full_IntangibleAssetsOtherThanGoodwill</t>
        </is>
      </c>
      <c r="K238" s="29" t="inlineStr">
        <is>
          <t>무형자산</t>
        </is>
      </c>
      <c r="L238" s="29" t="inlineStr">
        <is>
          <t>-</t>
        </is>
      </c>
      <c r="M238" s="29" t="inlineStr">
        <is>
          <t>제 24 기</t>
        </is>
      </c>
      <c r="N238" s="29" t="inlineStr">
        <is>
          <t>12363396652.0</t>
        </is>
      </c>
      <c r="O238" s="29" t="inlineStr">
        <is>
          <t>8825584863.0</t>
        </is>
      </c>
      <c r="P238" s="29" t="inlineStr">
        <is>
          <t>KRW</t>
        </is>
      </c>
      <c r="Q238" s="29" t="inlineStr">
        <is>
          <t>16</t>
        </is>
      </c>
    </row>
    <row r="239" ht="24" customHeight="1">
      <c r="A239" s="24" t="inlineStr">
        <is>
          <t>OpenDART_fnlttSinglAcntAll</t>
        </is>
      </c>
      <c r="B239" s="24" t="inlineStr">
        <is>
          <t>00366942</t>
        </is>
      </c>
      <c r="C239" s="24" t="inlineStr">
        <is>
          <t>미코</t>
        </is>
      </c>
      <c r="D239" s="24" t="inlineStr">
        <is>
          <t>mico</t>
        </is>
      </c>
      <c r="E239" s="24" t="inlineStr">
        <is>
          <t>059090</t>
        </is>
      </c>
      <c r="F239" s="24" t="inlineStr">
        <is>
          <t>2022</t>
        </is>
      </c>
      <c r="G239" s="24" t="inlineStr">
        <is>
          <t>CFS</t>
        </is>
      </c>
      <c r="H239" s="24" t="inlineStr">
        <is>
          <t>BS</t>
        </is>
      </c>
      <c r="I239" s="24" t="inlineStr">
        <is>
          <t>재무상태표</t>
        </is>
      </c>
      <c r="J239" s="24" t="inlineStr">
        <is>
          <t>dart_OtherNonCurrentAssets</t>
        </is>
      </c>
      <c r="K239" s="24" t="inlineStr">
        <is>
          <t>기타비유동자산</t>
        </is>
      </c>
      <c r="L239" s="24" t="inlineStr">
        <is>
          <t>-</t>
        </is>
      </c>
      <c r="M239" s="24" t="inlineStr">
        <is>
          <t>제 24 기</t>
        </is>
      </c>
      <c r="N239" s="24" t="inlineStr">
        <is>
          <t>42613797.0</t>
        </is>
      </c>
      <c r="O239" s="24" t="inlineStr">
        <is>
          <t>34257463.0</t>
        </is>
      </c>
      <c r="P239" s="24" t="inlineStr">
        <is>
          <t>KRW</t>
        </is>
      </c>
      <c r="Q239" s="24" t="inlineStr">
        <is>
          <t>17</t>
        </is>
      </c>
    </row>
    <row r="240" ht="24" customHeight="1">
      <c r="A240" s="29" t="inlineStr">
        <is>
          <t>OpenDART_fnlttSinglAcntAll</t>
        </is>
      </c>
      <c r="B240" s="29" t="inlineStr">
        <is>
          <t>00366942</t>
        </is>
      </c>
      <c r="C240" s="29" t="inlineStr">
        <is>
          <t>미코</t>
        </is>
      </c>
      <c r="D240" s="29" t="inlineStr">
        <is>
          <t>mico</t>
        </is>
      </c>
      <c r="E240" s="29" t="inlineStr">
        <is>
          <t>059090</t>
        </is>
      </c>
      <c r="F240" s="29" t="inlineStr">
        <is>
          <t>2022</t>
        </is>
      </c>
      <c r="G240" s="29" t="inlineStr">
        <is>
          <t>CFS</t>
        </is>
      </c>
      <c r="H240" s="29" t="inlineStr">
        <is>
          <t>BS</t>
        </is>
      </c>
      <c r="I240" s="29" t="inlineStr">
        <is>
          <t>재무상태표</t>
        </is>
      </c>
      <c r="J240" s="29" t="inlineStr">
        <is>
          <t>ifrs-full_DeferredTaxAssets</t>
        </is>
      </c>
      <c r="K240" s="29" t="inlineStr">
        <is>
          <t>이연법인세자산</t>
        </is>
      </c>
      <c r="L240" s="29" t="inlineStr">
        <is>
          <t>-</t>
        </is>
      </c>
      <c r="M240" s="29" t="inlineStr">
        <is>
          <t>제 24 기</t>
        </is>
      </c>
      <c r="N240" s="29" t="inlineStr">
        <is>
          <t>10835583702.0</t>
        </is>
      </c>
      <c r="O240" s="29" t="inlineStr">
        <is>
          <t>9020577946.0</t>
        </is>
      </c>
      <c r="P240" s="29" t="inlineStr">
        <is>
          <t>KRW</t>
        </is>
      </c>
      <c r="Q240" s="29" t="inlineStr">
        <is>
          <t>18</t>
        </is>
      </c>
    </row>
    <row r="241" ht="24" customHeight="1">
      <c r="A241" s="24" t="inlineStr">
        <is>
          <t>OpenDART_fnlttSinglAcntAll</t>
        </is>
      </c>
      <c r="B241" s="24" t="inlineStr">
        <is>
          <t>00366942</t>
        </is>
      </c>
      <c r="C241" s="24" t="inlineStr">
        <is>
          <t>미코</t>
        </is>
      </c>
      <c r="D241" s="24" t="inlineStr">
        <is>
          <t>mico</t>
        </is>
      </c>
      <c r="E241" s="24" t="inlineStr">
        <is>
          <t>059090</t>
        </is>
      </c>
      <c r="F241" s="24" t="inlineStr">
        <is>
          <t>2022</t>
        </is>
      </c>
      <c r="G241" s="24" t="inlineStr">
        <is>
          <t>CFS</t>
        </is>
      </c>
      <c r="H241" s="24" t="inlineStr">
        <is>
          <t>BS</t>
        </is>
      </c>
      <c r="I241" s="24" t="inlineStr">
        <is>
          <t>재무상태표</t>
        </is>
      </c>
      <c r="J241" s="24" t="inlineStr">
        <is>
          <t>ifrs-full_Assets</t>
        </is>
      </c>
      <c r="K241" s="24" t="inlineStr">
        <is>
          <t>자산총계</t>
        </is>
      </c>
      <c r="L241" s="24" t="inlineStr">
        <is>
          <t>-</t>
        </is>
      </c>
      <c r="M241" s="24" t="inlineStr">
        <is>
          <t>제 24 기</t>
        </is>
      </c>
      <c r="N241" s="24" t="inlineStr">
        <is>
          <t>731153086148.0</t>
        </is>
      </c>
      <c r="O241" s="24" t="inlineStr">
        <is>
          <t>718274477831.0</t>
        </is>
      </c>
      <c r="P241" s="24" t="inlineStr">
        <is>
          <t>KRW</t>
        </is>
      </c>
      <c r="Q241" s="24" t="inlineStr">
        <is>
          <t>19</t>
        </is>
      </c>
    </row>
    <row r="242" ht="24" customHeight="1">
      <c r="A242" s="29" t="inlineStr">
        <is>
          <t>OpenDART_fnlttSinglAcntAll</t>
        </is>
      </c>
      <c r="B242" s="29" t="inlineStr">
        <is>
          <t>00366942</t>
        </is>
      </c>
      <c r="C242" s="29" t="inlineStr">
        <is>
          <t>미코</t>
        </is>
      </c>
      <c r="D242" s="29" t="inlineStr">
        <is>
          <t>mico</t>
        </is>
      </c>
      <c r="E242" s="29" t="inlineStr">
        <is>
          <t>059090</t>
        </is>
      </c>
      <c r="F242" s="29" t="inlineStr">
        <is>
          <t>2022</t>
        </is>
      </c>
      <c r="G242" s="29" t="inlineStr">
        <is>
          <t>CFS</t>
        </is>
      </c>
      <c r="H242" s="29" t="inlineStr">
        <is>
          <t>BS</t>
        </is>
      </c>
      <c r="I242" s="29" t="inlineStr">
        <is>
          <t>재무상태표</t>
        </is>
      </c>
      <c r="J242" s="29" t="inlineStr">
        <is>
          <t>ifrs-full_CurrentLiabilities</t>
        </is>
      </c>
      <c r="K242" s="29" t="inlineStr">
        <is>
          <t>유동부채</t>
        </is>
      </c>
      <c r="L242" s="29" t="inlineStr">
        <is>
          <t>-</t>
        </is>
      </c>
      <c r="M242" s="29" t="inlineStr">
        <is>
          <t>제 24 기</t>
        </is>
      </c>
      <c r="N242" s="29" t="inlineStr">
        <is>
          <t>189169817256.0</t>
        </is>
      </c>
      <c r="O242" s="29" t="inlineStr">
        <is>
          <t>187679069363.0</t>
        </is>
      </c>
      <c r="P242" s="29" t="inlineStr">
        <is>
          <t>KRW</t>
        </is>
      </c>
      <c r="Q242" s="29" t="inlineStr">
        <is>
          <t>21</t>
        </is>
      </c>
    </row>
    <row r="243" ht="24" customHeight="1">
      <c r="A243" s="24" t="inlineStr">
        <is>
          <t>OpenDART_fnlttSinglAcntAll</t>
        </is>
      </c>
      <c r="B243" s="24" t="inlineStr">
        <is>
          <t>00366942</t>
        </is>
      </c>
      <c r="C243" s="24" t="inlineStr">
        <is>
          <t>미코</t>
        </is>
      </c>
      <c r="D243" s="24" t="inlineStr">
        <is>
          <t>mico</t>
        </is>
      </c>
      <c r="E243" s="24" t="inlineStr">
        <is>
          <t>059090</t>
        </is>
      </c>
      <c r="F243" s="24" t="inlineStr">
        <is>
          <t>2022</t>
        </is>
      </c>
      <c r="G243" s="24" t="inlineStr">
        <is>
          <t>CFS</t>
        </is>
      </c>
      <c r="H243" s="24" t="inlineStr">
        <is>
          <t>BS</t>
        </is>
      </c>
      <c r="I243" s="24" t="inlineStr">
        <is>
          <t>재무상태표</t>
        </is>
      </c>
      <c r="J243" s="24" t="inlineStr">
        <is>
          <t>ifrs-full_TradeAndOtherCurrentPayables</t>
        </is>
      </c>
      <c r="K243" s="24" t="inlineStr">
        <is>
          <t>매입채무 및 기타유동채무</t>
        </is>
      </c>
      <c r="L243" s="24" t="inlineStr">
        <is>
          <t>-</t>
        </is>
      </c>
      <c r="M243" s="24" t="inlineStr">
        <is>
          <t>제 24 기</t>
        </is>
      </c>
      <c r="N243" s="24" t="inlineStr">
        <is>
          <t>31892942118.0</t>
        </is>
      </c>
      <c r="O243" s="24" t="inlineStr">
        <is>
          <t>25061862525.0</t>
        </is>
      </c>
      <c r="P243" s="24" t="inlineStr">
        <is>
          <t>KRW</t>
        </is>
      </c>
      <c r="Q243" s="24" t="inlineStr">
        <is>
          <t>22</t>
        </is>
      </c>
    </row>
    <row r="244" ht="24" customHeight="1">
      <c r="A244" s="29" t="inlineStr">
        <is>
          <t>OpenDART_fnlttSinglAcntAll</t>
        </is>
      </c>
      <c r="B244" s="29" t="inlineStr">
        <is>
          <t>00366942</t>
        </is>
      </c>
      <c r="C244" s="29" t="inlineStr">
        <is>
          <t>미코</t>
        </is>
      </c>
      <c r="D244" s="29" t="inlineStr">
        <is>
          <t>mico</t>
        </is>
      </c>
      <c r="E244" s="29" t="inlineStr">
        <is>
          <t>059090</t>
        </is>
      </c>
      <c r="F244" s="29" t="inlineStr">
        <is>
          <t>2022</t>
        </is>
      </c>
      <c r="G244" s="29" t="inlineStr">
        <is>
          <t>CFS</t>
        </is>
      </c>
      <c r="H244" s="29" t="inlineStr">
        <is>
          <t>BS</t>
        </is>
      </c>
      <c r="I244" s="29" t="inlineStr">
        <is>
          <t>재무상태표</t>
        </is>
      </c>
      <c r="J244" s="29" t="inlineStr">
        <is>
          <t>ifrs-full_ShorttermBorrowings</t>
        </is>
      </c>
      <c r="K244" s="29" t="inlineStr">
        <is>
          <t>단기차입금</t>
        </is>
      </c>
      <c r="L244" s="29" t="inlineStr">
        <is>
          <t>-</t>
        </is>
      </c>
      <c r="M244" s="29" t="inlineStr">
        <is>
          <t>제 24 기</t>
        </is>
      </c>
      <c r="N244" s="29" t="inlineStr">
        <is>
          <t>113711385000.0</t>
        </is>
      </c>
      <c r="O244" s="29" t="inlineStr">
        <is>
          <t>91848696614.0</t>
        </is>
      </c>
      <c r="P244" s="29" t="inlineStr">
        <is>
          <t>KRW</t>
        </is>
      </c>
      <c r="Q244" s="29" t="inlineStr">
        <is>
          <t>23</t>
        </is>
      </c>
    </row>
    <row r="245" ht="24" customHeight="1">
      <c r="A245" s="24" t="inlineStr">
        <is>
          <t>OpenDART_fnlttSinglAcntAll</t>
        </is>
      </c>
      <c r="B245" s="24" t="inlineStr">
        <is>
          <t>00366942</t>
        </is>
      </c>
      <c r="C245" s="24" t="inlineStr">
        <is>
          <t>미코</t>
        </is>
      </c>
      <c r="D245" s="24" t="inlineStr">
        <is>
          <t>mico</t>
        </is>
      </c>
      <c r="E245" s="24" t="inlineStr">
        <is>
          <t>059090</t>
        </is>
      </c>
      <c r="F245" s="24" t="inlineStr">
        <is>
          <t>2022</t>
        </is>
      </c>
      <c r="G245" s="24" t="inlineStr">
        <is>
          <t>CFS</t>
        </is>
      </c>
      <c r="H245" s="24" t="inlineStr">
        <is>
          <t>BS</t>
        </is>
      </c>
      <c r="I245" s="24" t="inlineStr">
        <is>
          <t>재무상태표</t>
        </is>
      </c>
      <c r="J245" s="24" t="inlineStr">
        <is>
          <t>dart_CurrentPortionOfBonds</t>
        </is>
      </c>
      <c r="K245" s="24" t="inlineStr">
        <is>
          <t>유동성사채</t>
        </is>
      </c>
      <c r="L245" s="24" t="inlineStr">
        <is>
          <t>-</t>
        </is>
      </c>
      <c r="M245" s="24" t="inlineStr">
        <is>
          <t>제 24 기</t>
        </is>
      </c>
      <c r="N245" s="24" t="inlineStr">
        <is>
          <t>해당 없음</t>
        </is>
      </c>
      <c r="O245" s="24" t="inlineStr">
        <is>
          <t>해당 없음</t>
        </is>
      </c>
      <c r="P245" s="24" t="inlineStr">
        <is>
          <t>KRW</t>
        </is>
      </c>
      <c r="Q245" s="24" t="inlineStr">
        <is>
          <t>24</t>
        </is>
      </c>
    </row>
    <row r="246" ht="24" customHeight="1">
      <c r="A246" s="29" t="inlineStr">
        <is>
          <t>OpenDART_fnlttSinglAcntAll</t>
        </is>
      </c>
      <c r="B246" s="29" t="inlineStr">
        <is>
          <t>00366942</t>
        </is>
      </c>
      <c r="C246" s="29" t="inlineStr">
        <is>
          <t>미코</t>
        </is>
      </c>
      <c r="D246" s="29" t="inlineStr">
        <is>
          <t>mico</t>
        </is>
      </c>
      <c r="E246" s="29" t="inlineStr">
        <is>
          <t>059090</t>
        </is>
      </c>
      <c r="F246" s="29" t="inlineStr">
        <is>
          <t>2022</t>
        </is>
      </c>
      <c r="G246" s="29" t="inlineStr">
        <is>
          <t>CFS</t>
        </is>
      </c>
      <c r="H246" s="29" t="inlineStr">
        <is>
          <t>BS</t>
        </is>
      </c>
      <c r="I246" s="29" t="inlineStr">
        <is>
          <t>재무상태표</t>
        </is>
      </c>
      <c r="J246" s="29" t="inlineStr">
        <is>
          <t>ifrs-full_CurrentPortionOfLongtermBorrowings</t>
        </is>
      </c>
      <c r="K246" s="29" t="inlineStr">
        <is>
          <t>유동성장기차입금</t>
        </is>
      </c>
      <c r="L246" s="29" t="inlineStr">
        <is>
          <t>-</t>
        </is>
      </c>
      <c r="M246" s="29" t="inlineStr">
        <is>
          <t>제 24 기</t>
        </is>
      </c>
      <c r="N246" s="29" t="inlineStr">
        <is>
          <t>14162322248.0</t>
        </is>
      </c>
      <c r="O246" s="29" t="inlineStr">
        <is>
          <t>19794634115.0</t>
        </is>
      </c>
      <c r="P246" s="29" t="inlineStr">
        <is>
          <t>KRW</t>
        </is>
      </c>
      <c r="Q246" s="29" t="inlineStr">
        <is>
          <t>25</t>
        </is>
      </c>
    </row>
    <row r="247" ht="24" customHeight="1">
      <c r="A247" s="24" t="inlineStr">
        <is>
          <t>OpenDART_fnlttSinglAcntAll</t>
        </is>
      </c>
      <c r="B247" s="24" t="inlineStr">
        <is>
          <t>00366942</t>
        </is>
      </c>
      <c r="C247" s="24" t="inlineStr">
        <is>
          <t>미코</t>
        </is>
      </c>
      <c r="D247" s="24" t="inlineStr">
        <is>
          <t>mico</t>
        </is>
      </c>
      <c r="E247" s="24" t="inlineStr">
        <is>
          <t>059090</t>
        </is>
      </c>
      <c r="F247" s="24" t="inlineStr">
        <is>
          <t>2022</t>
        </is>
      </c>
      <c r="G247" s="24" t="inlineStr">
        <is>
          <t>CFS</t>
        </is>
      </c>
      <c r="H247" s="24" t="inlineStr">
        <is>
          <t>BS</t>
        </is>
      </c>
      <c r="I247" s="24" t="inlineStr">
        <is>
          <t>재무상태표</t>
        </is>
      </c>
      <c r="J247" s="24" t="inlineStr">
        <is>
          <t>ifrs-full_CurrentLeaseLiabilities</t>
        </is>
      </c>
      <c r="K247" s="24" t="inlineStr">
        <is>
          <t>유동리스부채</t>
        </is>
      </c>
      <c r="L247" s="24" t="inlineStr">
        <is>
          <t>-</t>
        </is>
      </c>
      <c r="M247" s="24" t="inlineStr">
        <is>
          <t>제 24 기</t>
        </is>
      </c>
      <c r="N247" s="24" t="inlineStr">
        <is>
          <t>2511483718.0</t>
        </is>
      </c>
      <c r="O247" s="24" t="inlineStr">
        <is>
          <t>2626278707.0</t>
        </is>
      </c>
      <c r="P247" s="24" t="inlineStr">
        <is>
          <t>KRW</t>
        </is>
      </c>
      <c r="Q247" s="24" t="inlineStr">
        <is>
          <t>26</t>
        </is>
      </c>
    </row>
    <row r="248" ht="24" customHeight="1">
      <c r="A248" s="29" t="inlineStr">
        <is>
          <t>OpenDART_fnlttSinglAcntAll</t>
        </is>
      </c>
      <c r="B248" s="29" t="inlineStr">
        <is>
          <t>00366942</t>
        </is>
      </c>
      <c r="C248" s="29" t="inlineStr">
        <is>
          <t>미코</t>
        </is>
      </c>
      <c r="D248" s="29" t="inlineStr">
        <is>
          <t>mico</t>
        </is>
      </c>
      <c r="E248" s="29" t="inlineStr">
        <is>
          <t>059090</t>
        </is>
      </c>
      <c r="F248" s="29" t="inlineStr">
        <is>
          <t>2022</t>
        </is>
      </c>
      <c r="G248" s="29" t="inlineStr">
        <is>
          <t>CFS</t>
        </is>
      </c>
      <c r="H248" s="29" t="inlineStr">
        <is>
          <t>BS</t>
        </is>
      </c>
      <c r="I248" s="29" t="inlineStr">
        <is>
          <t>재무상태표</t>
        </is>
      </c>
      <c r="J248" s="29" t="inlineStr">
        <is>
          <t>ifrs-full_CurrentTaxLiabilities</t>
        </is>
      </c>
      <c r="K248" s="29" t="inlineStr">
        <is>
          <t>당기법인세부채</t>
        </is>
      </c>
      <c r="L248" s="29" t="inlineStr">
        <is>
          <t>-</t>
        </is>
      </c>
      <c r="M248" s="29" t="inlineStr">
        <is>
          <t>제 24 기</t>
        </is>
      </c>
      <c r="N248" s="29" t="inlineStr">
        <is>
          <t>8993784705.0</t>
        </is>
      </c>
      <c r="O248" s="29" t="inlineStr">
        <is>
          <t>15155106294.0</t>
        </is>
      </c>
      <c r="P248" s="29" t="inlineStr">
        <is>
          <t>KRW</t>
        </is>
      </c>
      <c r="Q248" s="29" t="inlineStr">
        <is>
          <t>27</t>
        </is>
      </c>
    </row>
    <row r="249" ht="24" customHeight="1">
      <c r="A249" s="24" t="inlineStr">
        <is>
          <t>OpenDART_fnlttSinglAcntAll</t>
        </is>
      </c>
      <c r="B249" s="24" t="inlineStr">
        <is>
          <t>00366942</t>
        </is>
      </c>
      <c r="C249" s="24" t="inlineStr">
        <is>
          <t>미코</t>
        </is>
      </c>
      <c r="D249" s="24" t="inlineStr">
        <is>
          <t>mico</t>
        </is>
      </c>
      <c r="E249" s="24" t="inlineStr">
        <is>
          <t>059090</t>
        </is>
      </c>
      <c r="F249" s="24" t="inlineStr">
        <is>
          <t>2022</t>
        </is>
      </c>
      <c r="G249" s="24" t="inlineStr">
        <is>
          <t>CFS</t>
        </is>
      </c>
      <c r="H249" s="24" t="inlineStr">
        <is>
          <t>BS</t>
        </is>
      </c>
      <c r="I249" s="24" t="inlineStr">
        <is>
          <t>재무상태표</t>
        </is>
      </c>
      <c r="J249" s="24" t="inlineStr">
        <is>
          <t>ifrs-full_OtherCurrentFinancialLiabilities</t>
        </is>
      </c>
      <c r="K249" s="24" t="inlineStr">
        <is>
          <t>기타금융부채</t>
        </is>
      </c>
      <c r="L249" s="24" t="inlineStr">
        <is>
          <t>-</t>
        </is>
      </c>
      <c r="M249" s="24" t="inlineStr">
        <is>
          <t>제 24 기</t>
        </is>
      </c>
      <c r="N249" s="24" t="inlineStr">
        <is>
          <t>2440116973.0</t>
        </is>
      </c>
      <c r="O249" s="24" t="inlineStr">
        <is>
          <t>20314141962.0</t>
        </is>
      </c>
      <c r="P249" s="24" t="inlineStr">
        <is>
          <t>KRW</t>
        </is>
      </c>
      <c r="Q249" s="24" t="inlineStr">
        <is>
          <t>28</t>
        </is>
      </c>
    </row>
    <row r="250" ht="24" customHeight="1">
      <c r="A250" s="29" t="inlineStr">
        <is>
          <t>OpenDART_fnlttSinglAcntAll</t>
        </is>
      </c>
      <c r="B250" s="29" t="inlineStr">
        <is>
          <t>00366942</t>
        </is>
      </c>
      <c r="C250" s="29" t="inlineStr">
        <is>
          <t>미코</t>
        </is>
      </c>
      <c r="D250" s="29" t="inlineStr">
        <is>
          <t>mico</t>
        </is>
      </c>
      <c r="E250" s="29" t="inlineStr">
        <is>
          <t>059090</t>
        </is>
      </c>
      <c r="F250" s="29" t="inlineStr">
        <is>
          <t>2022</t>
        </is>
      </c>
      <c r="G250" s="29" t="inlineStr">
        <is>
          <t>CFS</t>
        </is>
      </c>
      <c r="H250" s="29" t="inlineStr">
        <is>
          <t>BS</t>
        </is>
      </c>
      <c r="I250" s="29" t="inlineStr">
        <is>
          <t>재무상태표</t>
        </is>
      </c>
      <c r="J250" s="29" t="inlineStr">
        <is>
          <t>dart_OtherCurrentLiabilities</t>
        </is>
      </c>
      <c r="K250" s="29" t="inlineStr">
        <is>
          <t>기타유동부채</t>
        </is>
      </c>
      <c r="L250" s="29" t="inlineStr">
        <is>
          <t>-</t>
        </is>
      </c>
      <c r="M250" s="29" t="inlineStr">
        <is>
          <t>제 24 기</t>
        </is>
      </c>
      <c r="N250" s="29" t="inlineStr">
        <is>
          <t>15457782494.0</t>
        </is>
      </c>
      <c r="O250" s="29" t="inlineStr">
        <is>
          <t>12878349146.0</t>
        </is>
      </c>
      <c r="P250" s="29" t="inlineStr">
        <is>
          <t>KRW</t>
        </is>
      </c>
      <c r="Q250" s="29" t="inlineStr">
        <is>
          <t>29</t>
        </is>
      </c>
    </row>
    <row r="251" ht="24" customHeight="1">
      <c r="A251" s="24" t="inlineStr">
        <is>
          <t>OpenDART_fnlttSinglAcntAll</t>
        </is>
      </c>
      <c r="B251" s="24" t="inlineStr">
        <is>
          <t>00366942</t>
        </is>
      </c>
      <c r="C251" s="24" t="inlineStr">
        <is>
          <t>미코</t>
        </is>
      </c>
      <c r="D251" s="24" t="inlineStr">
        <is>
          <t>mico</t>
        </is>
      </c>
      <c r="E251" s="24" t="inlineStr">
        <is>
          <t>059090</t>
        </is>
      </c>
      <c r="F251" s="24" t="inlineStr">
        <is>
          <t>2022</t>
        </is>
      </c>
      <c r="G251" s="24" t="inlineStr">
        <is>
          <t>CFS</t>
        </is>
      </c>
      <c r="H251" s="24" t="inlineStr">
        <is>
          <t>BS</t>
        </is>
      </c>
      <c r="I251" s="24" t="inlineStr">
        <is>
          <t>재무상태표</t>
        </is>
      </c>
      <c r="J251" s="24" t="inlineStr">
        <is>
          <t>ifrs-full_NoncurrentLiabilities</t>
        </is>
      </c>
      <c r="K251" s="24" t="inlineStr">
        <is>
          <t>비유동부채</t>
        </is>
      </c>
      <c r="L251" s="24" t="inlineStr">
        <is>
          <t>-</t>
        </is>
      </c>
      <c r="M251" s="24" t="inlineStr">
        <is>
          <t>제 24 기</t>
        </is>
      </c>
      <c r="N251" s="24" t="inlineStr">
        <is>
          <t>165683228896.0</t>
        </is>
      </c>
      <c r="O251" s="24" t="inlineStr">
        <is>
          <t>158117415516.0</t>
        </is>
      </c>
      <c r="P251" s="24" t="inlineStr">
        <is>
          <t>KRW</t>
        </is>
      </c>
      <c r="Q251" s="24" t="inlineStr">
        <is>
          <t>30</t>
        </is>
      </c>
    </row>
    <row r="252" ht="24" customHeight="1">
      <c r="A252" s="29" t="inlineStr">
        <is>
          <t>OpenDART_fnlttSinglAcntAll</t>
        </is>
      </c>
      <c r="B252" s="29" t="inlineStr">
        <is>
          <t>00366942</t>
        </is>
      </c>
      <c r="C252" s="29" t="inlineStr">
        <is>
          <t>미코</t>
        </is>
      </c>
      <c r="D252" s="29" t="inlineStr">
        <is>
          <t>mico</t>
        </is>
      </c>
      <c r="E252" s="29" t="inlineStr">
        <is>
          <t>059090</t>
        </is>
      </c>
      <c r="F252" s="29" t="inlineStr">
        <is>
          <t>2022</t>
        </is>
      </c>
      <c r="G252" s="29" t="inlineStr">
        <is>
          <t>CFS</t>
        </is>
      </c>
      <c r="H252" s="29" t="inlineStr">
        <is>
          <t>BS</t>
        </is>
      </c>
      <c r="I252" s="29" t="inlineStr">
        <is>
          <t>재무상태표</t>
        </is>
      </c>
      <c r="J252" s="29" t="inlineStr">
        <is>
          <t>dart_LongTermBorrowingsGross</t>
        </is>
      </c>
      <c r="K252" s="29" t="inlineStr">
        <is>
          <t>장기차입금</t>
        </is>
      </c>
      <c r="L252" s="29" t="inlineStr">
        <is>
          <t>-</t>
        </is>
      </c>
      <c r="M252" s="29" t="inlineStr">
        <is>
          <t>제 24 기</t>
        </is>
      </c>
      <c r="N252" s="29" t="inlineStr">
        <is>
          <t>63871240000.0</t>
        </is>
      </c>
      <c r="O252" s="29" t="inlineStr">
        <is>
          <t>84757854115.0</t>
        </is>
      </c>
      <c r="P252" s="29" t="inlineStr">
        <is>
          <t>KRW</t>
        </is>
      </c>
      <c r="Q252" s="29" t="inlineStr">
        <is>
          <t>31</t>
        </is>
      </c>
    </row>
    <row r="253" ht="24" customHeight="1">
      <c r="A253" s="24" t="inlineStr">
        <is>
          <t>OpenDART_fnlttSinglAcntAll</t>
        </is>
      </c>
      <c r="B253" s="24" t="inlineStr">
        <is>
          <t>00366942</t>
        </is>
      </c>
      <c r="C253" s="24" t="inlineStr">
        <is>
          <t>미코</t>
        </is>
      </c>
      <c r="D253" s="24" t="inlineStr">
        <is>
          <t>mico</t>
        </is>
      </c>
      <c r="E253" s="24" t="inlineStr">
        <is>
          <t>059090</t>
        </is>
      </c>
      <c r="F253" s="24" t="inlineStr">
        <is>
          <t>2022</t>
        </is>
      </c>
      <c r="G253" s="24" t="inlineStr">
        <is>
          <t>CFS</t>
        </is>
      </c>
      <c r="H253" s="24" t="inlineStr">
        <is>
          <t>BS</t>
        </is>
      </c>
      <c r="I253" s="24" t="inlineStr">
        <is>
          <t>재무상태표</t>
        </is>
      </c>
      <c r="J253" s="24" t="inlineStr">
        <is>
          <t>dart_BondWithWarrant</t>
        </is>
      </c>
      <c r="K253" s="24" t="inlineStr">
        <is>
          <t>신주인수권부사채</t>
        </is>
      </c>
      <c r="L253" s="24" t="inlineStr">
        <is>
          <t>-</t>
        </is>
      </c>
      <c r="M253" s="24" t="inlineStr">
        <is>
          <t>제 24 기</t>
        </is>
      </c>
      <c r="N253" s="24" t="inlineStr">
        <is>
          <t>해당 없음</t>
        </is>
      </c>
      <c r="O253" s="24" t="inlineStr">
        <is>
          <t>3787280128.0</t>
        </is>
      </c>
      <c r="P253" s="24" t="inlineStr">
        <is>
          <t>KRW</t>
        </is>
      </c>
      <c r="Q253" s="24" t="inlineStr">
        <is>
          <t>32</t>
        </is>
      </c>
    </row>
    <row r="254" ht="24" customHeight="1">
      <c r="A254" s="29" t="inlineStr">
        <is>
          <t>OpenDART_fnlttSinglAcntAll</t>
        </is>
      </c>
      <c r="B254" s="29" t="inlineStr">
        <is>
          <t>00366942</t>
        </is>
      </c>
      <c r="C254" s="29" t="inlineStr">
        <is>
          <t>미코</t>
        </is>
      </c>
      <c r="D254" s="29" t="inlineStr">
        <is>
          <t>mico</t>
        </is>
      </c>
      <c r="E254" s="29" t="inlineStr">
        <is>
          <t>059090</t>
        </is>
      </c>
      <c r="F254" s="29" t="inlineStr">
        <is>
          <t>2022</t>
        </is>
      </c>
      <c r="G254" s="29" t="inlineStr">
        <is>
          <t>CFS</t>
        </is>
      </c>
      <c r="H254" s="29" t="inlineStr">
        <is>
          <t>BS</t>
        </is>
      </c>
      <c r="I254" s="29" t="inlineStr">
        <is>
          <t>재무상태표</t>
        </is>
      </c>
      <c r="J254" s="29" t="inlineStr">
        <is>
          <t>dart_ConvertibleBonds</t>
        </is>
      </c>
      <c r="K254" s="29" t="inlineStr">
        <is>
          <t>전환사채</t>
        </is>
      </c>
      <c r="L254" s="29" t="inlineStr">
        <is>
          <t>-</t>
        </is>
      </c>
      <c r="M254" s="29" t="inlineStr">
        <is>
          <t>제 24 기</t>
        </is>
      </c>
      <c r="N254" s="29" t="inlineStr">
        <is>
          <t>14178648384.0</t>
        </is>
      </c>
      <c r="O254" s="29" t="inlineStr">
        <is>
          <t>6406587512.0</t>
        </is>
      </c>
      <c r="P254" s="29" t="inlineStr">
        <is>
          <t>KRW</t>
        </is>
      </c>
      <c r="Q254" s="29" t="inlineStr">
        <is>
          <t>33</t>
        </is>
      </c>
    </row>
    <row r="255" ht="24" customHeight="1">
      <c r="A255" s="24" t="inlineStr">
        <is>
          <t>OpenDART_fnlttSinglAcntAll</t>
        </is>
      </c>
      <c r="B255" s="24" t="inlineStr">
        <is>
          <t>00366942</t>
        </is>
      </c>
      <c r="C255" s="24" t="inlineStr">
        <is>
          <t>미코</t>
        </is>
      </c>
      <c r="D255" s="24" t="inlineStr">
        <is>
          <t>mico</t>
        </is>
      </c>
      <c r="E255" s="24" t="inlineStr">
        <is>
          <t>059090</t>
        </is>
      </c>
      <c r="F255" s="24" t="inlineStr">
        <is>
          <t>2022</t>
        </is>
      </c>
      <c r="G255" s="24" t="inlineStr">
        <is>
          <t>CFS</t>
        </is>
      </c>
      <c r="H255" s="24" t="inlineStr">
        <is>
          <t>BS</t>
        </is>
      </c>
      <c r="I255" s="24" t="inlineStr">
        <is>
          <t>재무상태표</t>
        </is>
      </c>
      <c r="J255" s="24" t="inlineStr">
        <is>
          <t>dart_ExchangeableBonds</t>
        </is>
      </c>
      <c r="K255" s="24" t="inlineStr">
        <is>
          <t>교환사채</t>
        </is>
      </c>
      <c r="L255" s="24" t="inlineStr">
        <is>
          <t>-</t>
        </is>
      </c>
      <c r="M255" s="24" t="inlineStr">
        <is>
          <t>제 24 기</t>
        </is>
      </c>
      <c r="N255" s="24" t="inlineStr">
        <is>
          <t>17039600263.0</t>
        </is>
      </c>
      <c r="O255" s="24" t="inlineStr">
        <is>
          <t>해당 없음</t>
        </is>
      </c>
      <c r="P255" s="24" t="inlineStr">
        <is>
          <t>KRW</t>
        </is>
      </c>
      <c r="Q255" s="24" t="inlineStr">
        <is>
          <t>34</t>
        </is>
      </c>
    </row>
    <row r="256" ht="24" customHeight="1">
      <c r="A256" s="29" t="inlineStr">
        <is>
          <t>OpenDART_fnlttSinglAcntAll</t>
        </is>
      </c>
      <c r="B256" s="29" t="inlineStr">
        <is>
          <t>00366942</t>
        </is>
      </c>
      <c r="C256" s="29" t="inlineStr">
        <is>
          <t>미코</t>
        </is>
      </c>
      <c r="D256" s="29" t="inlineStr">
        <is>
          <t>mico</t>
        </is>
      </c>
      <c r="E256" s="29" t="inlineStr">
        <is>
          <t>059090</t>
        </is>
      </c>
      <c r="F256" s="29" t="inlineStr">
        <is>
          <t>2022</t>
        </is>
      </c>
      <c r="G256" s="29" t="inlineStr">
        <is>
          <t>CFS</t>
        </is>
      </c>
      <c r="H256" s="29" t="inlineStr">
        <is>
          <t>BS</t>
        </is>
      </c>
      <c r="I256" s="29" t="inlineStr">
        <is>
          <t>재무상태표</t>
        </is>
      </c>
      <c r="J256" s="29" t="inlineStr">
        <is>
          <t>ifrs-full_OtherNoncurrentFinancialLiabilities</t>
        </is>
      </c>
      <c r="K256" s="29" t="inlineStr">
        <is>
          <t>기타비유동금융부채</t>
        </is>
      </c>
      <c r="L256" s="29" t="inlineStr">
        <is>
          <t>-</t>
        </is>
      </c>
      <c r="M256" s="29" t="inlineStr">
        <is>
          <t>제 24 기</t>
        </is>
      </c>
      <c r="N256" s="29" t="inlineStr">
        <is>
          <t>14027719188.0</t>
        </is>
      </c>
      <c r="O256" s="29" t="inlineStr">
        <is>
          <t>5532314074.0</t>
        </is>
      </c>
      <c r="P256" s="29" t="inlineStr">
        <is>
          <t>KRW</t>
        </is>
      </c>
      <c r="Q256" s="29" t="inlineStr">
        <is>
          <t>35</t>
        </is>
      </c>
    </row>
    <row r="257" ht="24" customHeight="1">
      <c r="A257" s="24" t="inlineStr">
        <is>
          <t>OpenDART_fnlttSinglAcntAll</t>
        </is>
      </c>
      <c r="B257" s="24" t="inlineStr">
        <is>
          <t>00366942</t>
        </is>
      </c>
      <c r="C257" s="24" t="inlineStr">
        <is>
          <t>미코</t>
        </is>
      </c>
      <c r="D257" s="24" t="inlineStr">
        <is>
          <t>mico</t>
        </is>
      </c>
      <c r="E257" s="24" t="inlineStr">
        <is>
          <t>059090</t>
        </is>
      </c>
      <c r="F257" s="24" t="inlineStr">
        <is>
          <t>2022</t>
        </is>
      </c>
      <c r="G257" s="24" t="inlineStr">
        <is>
          <t>CFS</t>
        </is>
      </c>
      <c r="H257" s="24" t="inlineStr">
        <is>
          <t>BS</t>
        </is>
      </c>
      <c r="I257" s="24" t="inlineStr">
        <is>
          <t>재무상태표</t>
        </is>
      </c>
      <c r="J257" s="24" t="inlineStr">
        <is>
          <t>ifrs-full_NoncurrentLeaseLiabilities</t>
        </is>
      </c>
      <c r="K257" s="24" t="inlineStr">
        <is>
          <t>리스부채</t>
        </is>
      </c>
      <c r="L257" s="24" t="inlineStr">
        <is>
          <t>-</t>
        </is>
      </c>
      <c r="M257" s="24" t="inlineStr">
        <is>
          <t>제 24 기</t>
        </is>
      </c>
      <c r="N257" s="24" t="inlineStr">
        <is>
          <t>5344404066.0</t>
        </is>
      </c>
      <c r="O257" s="24" t="inlineStr">
        <is>
          <t>7081418697.0</t>
        </is>
      </c>
      <c r="P257" s="24" t="inlineStr">
        <is>
          <t>KRW</t>
        </is>
      </c>
      <c r="Q257" s="24" t="inlineStr">
        <is>
          <t>36</t>
        </is>
      </c>
    </row>
    <row r="258" ht="24" customHeight="1">
      <c r="A258" s="29" t="inlineStr">
        <is>
          <t>OpenDART_fnlttSinglAcntAll</t>
        </is>
      </c>
      <c r="B258" s="29" t="inlineStr">
        <is>
          <t>00366942</t>
        </is>
      </c>
      <c r="C258" s="29" t="inlineStr">
        <is>
          <t>미코</t>
        </is>
      </c>
      <c r="D258" s="29" t="inlineStr">
        <is>
          <t>mico</t>
        </is>
      </c>
      <c r="E258" s="29" t="inlineStr">
        <is>
          <t>059090</t>
        </is>
      </c>
      <c r="F258" s="29" t="inlineStr">
        <is>
          <t>2022</t>
        </is>
      </c>
      <c r="G258" s="29" t="inlineStr">
        <is>
          <t>CFS</t>
        </is>
      </c>
      <c r="H258" s="29" t="inlineStr">
        <is>
          <t>BS</t>
        </is>
      </c>
      <c r="I258" s="29" t="inlineStr">
        <is>
          <t>재무상태표</t>
        </is>
      </c>
      <c r="J258" s="29" t="inlineStr">
        <is>
          <t>dart_PostemploymentBenefitObligations</t>
        </is>
      </c>
      <c r="K258" s="29" t="inlineStr">
        <is>
          <t>퇴직급여채무</t>
        </is>
      </c>
      <c r="L258" s="29" t="inlineStr">
        <is>
          <t>-</t>
        </is>
      </c>
      <c r="M258" s="29" t="inlineStr">
        <is>
          <t>제 24 기</t>
        </is>
      </c>
      <c r="N258" s="29" t="inlineStr">
        <is>
          <t>15578216391.0</t>
        </is>
      </c>
      <c r="O258" s="29" t="inlineStr">
        <is>
          <t>18774856692.0</t>
        </is>
      </c>
      <c r="P258" s="29" t="inlineStr">
        <is>
          <t>KRW</t>
        </is>
      </c>
      <c r="Q258" s="29" t="inlineStr">
        <is>
          <t>37</t>
        </is>
      </c>
    </row>
    <row r="259" ht="24" customHeight="1">
      <c r="A259" s="24" t="inlineStr">
        <is>
          <t>OpenDART_fnlttSinglAcntAll</t>
        </is>
      </c>
      <c r="B259" s="24" t="inlineStr">
        <is>
          <t>00366942</t>
        </is>
      </c>
      <c r="C259" s="24" t="inlineStr">
        <is>
          <t>미코</t>
        </is>
      </c>
      <c r="D259" s="24" t="inlineStr">
        <is>
          <t>mico</t>
        </is>
      </c>
      <c r="E259" s="24" t="inlineStr">
        <is>
          <t>059090</t>
        </is>
      </c>
      <c r="F259" s="24" t="inlineStr">
        <is>
          <t>2022</t>
        </is>
      </c>
      <c r="G259" s="24" t="inlineStr">
        <is>
          <t>CFS</t>
        </is>
      </c>
      <c r="H259" s="24" t="inlineStr">
        <is>
          <t>BS</t>
        </is>
      </c>
      <c r="I259" s="24" t="inlineStr">
        <is>
          <t>재무상태표</t>
        </is>
      </c>
      <c r="J259" s="24" t="inlineStr">
        <is>
          <t>-표준계정코드 미사용-</t>
        </is>
      </c>
      <c r="K259" s="24" t="inlineStr">
        <is>
          <t>장기종업원급여</t>
        </is>
      </c>
      <c r="L259" s="24" t="inlineStr">
        <is>
          <t>-</t>
        </is>
      </c>
      <c r="M259" s="24" t="inlineStr">
        <is>
          <t>제 24 기</t>
        </is>
      </c>
      <c r="N259" s="24" t="inlineStr">
        <is>
          <t>2816356724.0</t>
        </is>
      </c>
      <c r="O259" s="24" t="inlineStr">
        <is>
          <t>2841978563.0</t>
        </is>
      </c>
      <c r="P259" s="24" t="inlineStr">
        <is>
          <t>KRW</t>
        </is>
      </c>
      <c r="Q259" s="24" t="inlineStr">
        <is>
          <t>38</t>
        </is>
      </c>
    </row>
    <row r="260" ht="24" customHeight="1">
      <c r="A260" s="29" t="inlineStr">
        <is>
          <t>OpenDART_fnlttSinglAcntAll</t>
        </is>
      </c>
      <c r="B260" s="29" t="inlineStr">
        <is>
          <t>00366942</t>
        </is>
      </c>
      <c r="C260" s="29" t="inlineStr">
        <is>
          <t>미코</t>
        </is>
      </c>
      <c r="D260" s="29" t="inlineStr">
        <is>
          <t>mico</t>
        </is>
      </c>
      <c r="E260" s="29" t="inlineStr">
        <is>
          <t>059090</t>
        </is>
      </c>
      <c r="F260" s="29" t="inlineStr">
        <is>
          <t>2022</t>
        </is>
      </c>
      <c r="G260" s="29" t="inlineStr">
        <is>
          <t>CFS</t>
        </is>
      </c>
      <c r="H260" s="29" t="inlineStr">
        <is>
          <t>BS</t>
        </is>
      </c>
      <c r="I260" s="29" t="inlineStr">
        <is>
          <t>재무상태표</t>
        </is>
      </c>
      <c r="J260" s="29" t="inlineStr">
        <is>
          <t>ifrs-full_DeferredTaxLiabilities</t>
        </is>
      </c>
      <c r="K260" s="29" t="inlineStr">
        <is>
          <t>이연법인세부채</t>
        </is>
      </c>
      <c r="L260" s="29" t="inlineStr">
        <is>
          <t>-</t>
        </is>
      </c>
      <c r="M260" s="29" t="inlineStr">
        <is>
          <t>제 24 기</t>
        </is>
      </c>
      <c r="N260" s="29" t="inlineStr">
        <is>
          <t>30884696040.0</t>
        </is>
      </c>
      <c r="O260" s="29" t="inlineStr">
        <is>
          <t>25210661235.0</t>
        </is>
      </c>
      <c r="P260" s="29" t="inlineStr">
        <is>
          <t>KRW</t>
        </is>
      </c>
      <c r="Q260" s="29" t="inlineStr">
        <is>
          <t>39</t>
        </is>
      </c>
    </row>
    <row r="261" ht="24" customHeight="1">
      <c r="A261" s="24" t="inlineStr">
        <is>
          <t>OpenDART_fnlttSinglAcntAll</t>
        </is>
      </c>
      <c r="B261" s="24" t="inlineStr">
        <is>
          <t>00366942</t>
        </is>
      </c>
      <c r="C261" s="24" t="inlineStr">
        <is>
          <t>미코</t>
        </is>
      </c>
      <c r="D261" s="24" t="inlineStr">
        <is>
          <t>mico</t>
        </is>
      </c>
      <c r="E261" s="24" t="inlineStr">
        <is>
          <t>059090</t>
        </is>
      </c>
      <c r="F261" s="24" t="inlineStr">
        <is>
          <t>2022</t>
        </is>
      </c>
      <c r="G261" s="24" t="inlineStr">
        <is>
          <t>CFS</t>
        </is>
      </c>
      <c r="H261" s="24" t="inlineStr">
        <is>
          <t>BS</t>
        </is>
      </c>
      <c r="I261" s="24" t="inlineStr">
        <is>
          <t>재무상태표</t>
        </is>
      </c>
      <c r="J261" s="24" t="inlineStr">
        <is>
          <t>dart_OtherNonCurrentLiabilities</t>
        </is>
      </c>
      <c r="K261" s="24" t="inlineStr">
        <is>
          <t>기타비유동부채</t>
        </is>
      </c>
      <c r="L261" s="24" t="inlineStr">
        <is>
          <t>-</t>
        </is>
      </c>
      <c r="M261" s="24" t="inlineStr">
        <is>
          <t>제 24 기</t>
        </is>
      </c>
      <c r="N261" s="24" t="inlineStr">
        <is>
          <t>1942347840.0</t>
        </is>
      </c>
      <c r="O261" s="24" t="inlineStr">
        <is>
          <t>3724464500.0</t>
        </is>
      </c>
      <c r="P261" s="24" t="inlineStr">
        <is>
          <t>KRW</t>
        </is>
      </c>
      <c r="Q261" s="24" t="inlineStr">
        <is>
          <t>40</t>
        </is>
      </c>
    </row>
    <row r="262" ht="24" customHeight="1">
      <c r="A262" s="29" t="inlineStr">
        <is>
          <t>OpenDART_fnlttSinglAcntAll</t>
        </is>
      </c>
      <c r="B262" s="29" t="inlineStr">
        <is>
          <t>00366942</t>
        </is>
      </c>
      <c r="C262" s="29" t="inlineStr">
        <is>
          <t>미코</t>
        </is>
      </c>
      <c r="D262" s="29" t="inlineStr">
        <is>
          <t>mico</t>
        </is>
      </c>
      <c r="E262" s="29" t="inlineStr">
        <is>
          <t>059090</t>
        </is>
      </c>
      <c r="F262" s="29" t="inlineStr">
        <is>
          <t>2022</t>
        </is>
      </c>
      <c r="G262" s="29" t="inlineStr">
        <is>
          <t>CFS</t>
        </is>
      </c>
      <c r="H262" s="29" t="inlineStr">
        <is>
          <t>BS</t>
        </is>
      </c>
      <c r="I262" s="29" t="inlineStr">
        <is>
          <t>재무상태표</t>
        </is>
      </c>
      <c r="J262" s="29" t="inlineStr">
        <is>
          <t>ifrs-full_Liabilities</t>
        </is>
      </c>
      <c r="K262" s="29" t="inlineStr">
        <is>
          <t>부채총계</t>
        </is>
      </c>
      <c r="L262" s="29" t="inlineStr">
        <is>
          <t>-</t>
        </is>
      </c>
      <c r="M262" s="29" t="inlineStr">
        <is>
          <t>제 24 기</t>
        </is>
      </c>
      <c r="N262" s="29" t="inlineStr">
        <is>
          <t>354853046152.0</t>
        </is>
      </c>
      <c r="O262" s="29" t="inlineStr">
        <is>
          <t>345796484879.0</t>
        </is>
      </c>
      <c r="P262" s="29" t="inlineStr">
        <is>
          <t>KRW</t>
        </is>
      </c>
      <c r="Q262" s="29" t="inlineStr">
        <is>
          <t>41</t>
        </is>
      </c>
    </row>
    <row r="263" ht="24" customHeight="1">
      <c r="A263" s="24" t="inlineStr">
        <is>
          <t>OpenDART_fnlttSinglAcntAll</t>
        </is>
      </c>
      <c r="B263" s="24" t="inlineStr">
        <is>
          <t>00366942</t>
        </is>
      </c>
      <c r="C263" s="24" t="inlineStr">
        <is>
          <t>미코</t>
        </is>
      </c>
      <c r="D263" s="24" t="inlineStr">
        <is>
          <t>mico</t>
        </is>
      </c>
      <c r="E263" s="24" t="inlineStr">
        <is>
          <t>059090</t>
        </is>
      </c>
      <c r="F263" s="24" t="inlineStr">
        <is>
          <t>2022</t>
        </is>
      </c>
      <c r="G263" s="24" t="inlineStr">
        <is>
          <t>CFS</t>
        </is>
      </c>
      <c r="H263" s="24" t="inlineStr">
        <is>
          <t>BS</t>
        </is>
      </c>
      <c r="I263" s="24" t="inlineStr">
        <is>
          <t>재무상태표</t>
        </is>
      </c>
      <c r="J263" s="24" t="inlineStr">
        <is>
          <t>ifrs-full_EquityAttributableToOwnersOfParent</t>
        </is>
      </c>
      <c r="K263" s="24" t="inlineStr">
        <is>
          <t>지배기업의 소유주에게 귀속되는 자본</t>
        </is>
      </c>
      <c r="L263" s="24" t="inlineStr">
        <is>
          <t>-</t>
        </is>
      </c>
      <c r="M263" s="24" t="inlineStr">
        <is>
          <t>제 24 기</t>
        </is>
      </c>
      <c r="N263" s="24" t="inlineStr">
        <is>
          <t>141812122965.0</t>
        </is>
      </c>
      <c r="O263" s="24" t="inlineStr">
        <is>
          <t>190597251452.0</t>
        </is>
      </c>
      <c r="P263" s="24" t="inlineStr">
        <is>
          <t>KRW</t>
        </is>
      </c>
      <c r="Q263" s="24" t="inlineStr">
        <is>
          <t>43</t>
        </is>
      </c>
    </row>
    <row r="264" ht="24" customHeight="1">
      <c r="A264" s="29" t="inlineStr">
        <is>
          <t>OpenDART_fnlttSinglAcntAll</t>
        </is>
      </c>
      <c r="B264" s="29" t="inlineStr">
        <is>
          <t>00366942</t>
        </is>
      </c>
      <c r="C264" s="29" t="inlineStr">
        <is>
          <t>미코</t>
        </is>
      </c>
      <c r="D264" s="29" t="inlineStr">
        <is>
          <t>mico</t>
        </is>
      </c>
      <c r="E264" s="29" t="inlineStr">
        <is>
          <t>059090</t>
        </is>
      </c>
      <c r="F264" s="29" t="inlineStr">
        <is>
          <t>2022</t>
        </is>
      </c>
      <c r="G264" s="29" t="inlineStr">
        <is>
          <t>CFS</t>
        </is>
      </c>
      <c r="H264" s="29" t="inlineStr">
        <is>
          <t>BS</t>
        </is>
      </c>
      <c r="I264" s="29" t="inlineStr">
        <is>
          <t>재무상태표</t>
        </is>
      </c>
      <c r="J264" s="29" t="inlineStr">
        <is>
          <t>ifrs-full_IssuedCapital</t>
        </is>
      </c>
      <c r="K264" s="29" t="inlineStr">
        <is>
          <t>자본금</t>
        </is>
      </c>
      <c r="L264" s="29" t="inlineStr">
        <is>
          <t>-</t>
        </is>
      </c>
      <c r="M264" s="29" t="inlineStr">
        <is>
          <t>제 24 기</t>
        </is>
      </c>
      <c r="N264" s="29" t="inlineStr">
        <is>
          <t>16708389000.0</t>
        </is>
      </c>
      <c r="O264" s="29" t="inlineStr">
        <is>
          <t>16708389000.0</t>
        </is>
      </c>
      <c r="P264" s="29" t="inlineStr">
        <is>
          <t>KRW</t>
        </is>
      </c>
      <c r="Q264" s="29" t="inlineStr">
        <is>
          <t>44</t>
        </is>
      </c>
    </row>
    <row r="265" ht="24" customHeight="1">
      <c r="A265" s="24" t="inlineStr">
        <is>
          <t>OpenDART_fnlttSinglAcntAll</t>
        </is>
      </c>
      <c r="B265" s="24" t="inlineStr">
        <is>
          <t>00366942</t>
        </is>
      </c>
      <c r="C265" s="24" t="inlineStr">
        <is>
          <t>미코</t>
        </is>
      </c>
      <c r="D265" s="24" t="inlineStr">
        <is>
          <t>mico</t>
        </is>
      </c>
      <c r="E265" s="24" t="inlineStr">
        <is>
          <t>059090</t>
        </is>
      </c>
      <c r="F265" s="24" t="inlineStr">
        <is>
          <t>2022</t>
        </is>
      </c>
      <c r="G265" s="24" t="inlineStr">
        <is>
          <t>CFS</t>
        </is>
      </c>
      <c r="H265" s="24" t="inlineStr">
        <is>
          <t>BS</t>
        </is>
      </c>
      <c r="I265" s="24" t="inlineStr">
        <is>
          <t>재무상태표</t>
        </is>
      </c>
      <c r="J265" s="24" t="inlineStr">
        <is>
          <t>dart_CapitalSurplus</t>
        </is>
      </c>
      <c r="K265" s="24" t="inlineStr">
        <is>
          <t>자본잉여금</t>
        </is>
      </c>
      <c r="L265" s="24" t="inlineStr">
        <is>
          <t>-</t>
        </is>
      </c>
      <c r="M265" s="24" t="inlineStr">
        <is>
          <t>제 24 기</t>
        </is>
      </c>
      <c r="N265" s="24" t="inlineStr">
        <is>
          <t>197914130088.0</t>
        </is>
      </c>
      <c r="O265" s="24" t="inlineStr">
        <is>
          <t>190581959050.0</t>
        </is>
      </c>
      <c r="P265" s="24" t="inlineStr">
        <is>
          <t>KRW</t>
        </is>
      </c>
      <c r="Q265" s="24" t="inlineStr">
        <is>
          <t>45</t>
        </is>
      </c>
    </row>
    <row r="266" ht="24" customHeight="1">
      <c r="A266" s="29" t="inlineStr">
        <is>
          <t>OpenDART_fnlttSinglAcntAll</t>
        </is>
      </c>
      <c r="B266" s="29" t="inlineStr">
        <is>
          <t>00366942</t>
        </is>
      </c>
      <c r="C266" s="29" t="inlineStr">
        <is>
          <t>미코</t>
        </is>
      </c>
      <c r="D266" s="29" t="inlineStr">
        <is>
          <t>mico</t>
        </is>
      </c>
      <c r="E266" s="29" t="inlineStr">
        <is>
          <t>059090</t>
        </is>
      </c>
      <c r="F266" s="29" t="inlineStr">
        <is>
          <t>2022</t>
        </is>
      </c>
      <c r="G266" s="29" t="inlineStr">
        <is>
          <t>CFS</t>
        </is>
      </c>
      <c r="H266" s="29" t="inlineStr">
        <is>
          <t>BS</t>
        </is>
      </c>
      <c r="I266" s="29" t="inlineStr">
        <is>
          <t>재무상태표</t>
        </is>
      </c>
      <c r="J266" s="29" t="inlineStr">
        <is>
          <t>dart_ElementsOfOtherStockholdersEquity</t>
        </is>
      </c>
      <c r="K266" s="29" t="inlineStr">
        <is>
          <t>기타자본구성요소</t>
        </is>
      </c>
      <c r="L266" s="29" t="inlineStr">
        <is>
          <t>-</t>
        </is>
      </c>
      <c r="M266" s="29" t="inlineStr">
        <is>
          <t>제 24 기</t>
        </is>
      </c>
      <c r="N266" s="29" t="inlineStr">
        <is>
          <t>-38456895906.0</t>
        </is>
      </c>
      <c r="O266" s="29" t="inlineStr">
        <is>
          <t>-34140162498.0</t>
        </is>
      </c>
      <c r="P266" s="29" t="inlineStr">
        <is>
          <t>KRW</t>
        </is>
      </c>
      <c r="Q266" s="29" t="inlineStr">
        <is>
          <t>46</t>
        </is>
      </c>
    </row>
    <row r="267" ht="24" customHeight="1">
      <c r="A267" s="24" t="inlineStr">
        <is>
          <t>OpenDART_fnlttSinglAcntAll</t>
        </is>
      </c>
      <c r="B267" s="24" t="inlineStr">
        <is>
          <t>00366942</t>
        </is>
      </c>
      <c r="C267" s="24" t="inlineStr">
        <is>
          <t>미코</t>
        </is>
      </c>
      <c r="D267" s="24" t="inlineStr">
        <is>
          <t>mico</t>
        </is>
      </c>
      <c r="E267" s="24" t="inlineStr">
        <is>
          <t>059090</t>
        </is>
      </c>
      <c r="F267" s="24" t="inlineStr">
        <is>
          <t>2022</t>
        </is>
      </c>
      <c r="G267" s="24" t="inlineStr">
        <is>
          <t>CFS</t>
        </is>
      </c>
      <c r="H267" s="24" t="inlineStr">
        <is>
          <t>BS</t>
        </is>
      </c>
      <c r="I267" s="24" t="inlineStr">
        <is>
          <t>재무상태표</t>
        </is>
      </c>
      <c r="J267" s="24" t="inlineStr">
        <is>
          <t>dart_OtherComprehensiveIncomeLossAccumulatedAmount</t>
        </is>
      </c>
      <c r="K267" s="24" t="inlineStr">
        <is>
          <t>기타포괄손익누계액</t>
        </is>
      </c>
      <c r="L267" s="24" t="inlineStr">
        <is>
          <t>-</t>
        </is>
      </c>
      <c r="M267" s="24" t="inlineStr">
        <is>
          <t>제 24 기</t>
        </is>
      </c>
      <c r="N267" s="24" t="inlineStr">
        <is>
          <t>2578387177.0</t>
        </is>
      </c>
      <c r="O267" s="24" t="inlineStr">
        <is>
          <t>-2035182088.0</t>
        </is>
      </c>
      <c r="P267" s="24" t="inlineStr">
        <is>
          <t>KRW</t>
        </is>
      </c>
      <c r="Q267" s="24" t="inlineStr">
        <is>
          <t>47</t>
        </is>
      </c>
    </row>
    <row r="268" ht="24" customHeight="1">
      <c r="A268" s="29" t="inlineStr">
        <is>
          <t>OpenDART_fnlttSinglAcntAll</t>
        </is>
      </c>
      <c r="B268" s="29" t="inlineStr">
        <is>
          <t>00366942</t>
        </is>
      </c>
      <c r="C268" s="29" t="inlineStr">
        <is>
          <t>미코</t>
        </is>
      </c>
      <c r="D268" s="29" t="inlineStr">
        <is>
          <t>mico</t>
        </is>
      </c>
      <c r="E268" s="29" t="inlineStr">
        <is>
          <t>059090</t>
        </is>
      </c>
      <c r="F268" s="29" t="inlineStr">
        <is>
          <t>2022</t>
        </is>
      </c>
      <c r="G268" s="29" t="inlineStr">
        <is>
          <t>CFS</t>
        </is>
      </c>
      <c r="H268" s="29" t="inlineStr">
        <is>
          <t>BS</t>
        </is>
      </c>
      <c r="I268" s="29" t="inlineStr">
        <is>
          <t>재무상태표</t>
        </is>
      </c>
      <c r="J268" s="29" t="inlineStr">
        <is>
          <t>ifrs-full_RetainedEarnings</t>
        </is>
      </c>
      <c r="K268" s="29" t="inlineStr">
        <is>
          <t>이익잉여금</t>
        </is>
      </c>
      <c r="L268" s="29" t="inlineStr">
        <is>
          <t>-</t>
        </is>
      </c>
      <c r="M268" s="29" t="inlineStr">
        <is>
          <t>제 24 기</t>
        </is>
      </c>
      <c r="N268" s="29" t="inlineStr">
        <is>
          <t>-36931887394.0</t>
        </is>
      </c>
      <c r="O268" s="29" t="inlineStr">
        <is>
          <t>19482247988.0</t>
        </is>
      </c>
      <c r="P268" s="29" t="inlineStr">
        <is>
          <t>KRW</t>
        </is>
      </c>
      <c r="Q268" s="29" t="inlineStr">
        <is>
          <t>48</t>
        </is>
      </c>
    </row>
    <row r="269" ht="24" customHeight="1">
      <c r="A269" s="24" t="inlineStr">
        <is>
          <t>OpenDART_fnlttSinglAcntAll</t>
        </is>
      </c>
      <c r="B269" s="24" t="inlineStr">
        <is>
          <t>00366942</t>
        </is>
      </c>
      <c r="C269" s="24" t="inlineStr">
        <is>
          <t>미코</t>
        </is>
      </c>
      <c r="D269" s="24" t="inlineStr">
        <is>
          <t>mico</t>
        </is>
      </c>
      <c r="E269" s="24" t="inlineStr">
        <is>
          <t>059090</t>
        </is>
      </c>
      <c r="F269" s="24" t="inlineStr">
        <is>
          <t>2022</t>
        </is>
      </c>
      <c r="G269" s="24" t="inlineStr">
        <is>
          <t>CFS</t>
        </is>
      </c>
      <c r="H269" s="24" t="inlineStr">
        <is>
          <t>BS</t>
        </is>
      </c>
      <c r="I269" s="24" t="inlineStr">
        <is>
          <t>재무상태표</t>
        </is>
      </c>
      <c r="J269" s="24" t="inlineStr">
        <is>
          <t>ifrs-full_NoncontrollingInterests</t>
        </is>
      </c>
      <c r="K269" s="24" t="inlineStr">
        <is>
          <t>비지배지분</t>
        </is>
      </c>
      <c r="L269" s="24" t="inlineStr">
        <is>
          <t>-</t>
        </is>
      </c>
      <c r="M269" s="24" t="inlineStr">
        <is>
          <t>제 24 기</t>
        </is>
      </c>
      <c r="N269" s="24" t="inlineStr">
        <is>
          <t>234487917031.0</t>
        </is>
      </c>
      <c r="O269" s="24" t="inlineStr">
        <is>
          <t>181880741500.0</t>
        </is>
      </c>
      <c r="P269" s="24" t="inlineStr">
        <is>
          <t>KRW</t>
        </is>
      </c>
      <c r="Q269" s="24" t="inlineStr">
        <is>
          <t>49</t>
        </is>
      </c>
    </row>
    <row r="270" ht="24" customHeight="1">
      <c r="A270" s="29" t="inlineStr">
        <is>
          <t>OpenDART_fnlttSinglAcntAll</t>
        </is>
      </c>
      <c r="B270" s="29" t="inlineStr">
        <is>
          <t>00366942</t>
        </is>
      </c>
      <c r="C270" s="29" t="inlineStr">
        <is>
          <t>미코</t>
        </is>
      </c>
      <c r="D270" s="29" t="inlineStr">
        <is>
          <t>mico</t>
        </is>
      </c>
      <c r="E270" s="29" t="inlineStr">
        <is>
          <t>059090</t>
        </is>
      </c>
      <c r="F270" s="29" t="inlineStr">
        <is>
          <t>2022</t>
        </is>
      </c>
      <c r="G270" s="29" t="inlineStr">
        <is>
          <t>CFS</t>
        </is>
      </c>
      <c r="H270" s="29" t="inlineStr">
        <is>
          <t>BS</t>
        </is>
      </c>
      <c r="I270" s="29" t="inlineStr">
        <is>
          <t>재무상태표</t>
        </is>
      </c>
      <c r="J270" s="29" t="inlineStr">
        <is>
          <t>ifrs-full_Equity</t>
        </is>
      </c>
      <c r="K270" s="29" t="inlineStr">
        <is>
          <t>자본총계</t>
        </is>
      </c>
      <c r="L270" s="29" t="inlineStr">
        <is>
          <t>-</t>
        </is>
      </c>
      <c r="M270" s="29" t="inlineStr">
        <is>
          <t>제 24 기</t>
        </is>
      </c>
      <c r="N270" s="29" t="inlineStr">
        <is>
          <t>376300039996.0</t>
        </is>
      </c>
      <c r="O270" s="29" t="inlineStr">
        <is>
          <t>372477992952.0</t>
        </is>
      </c>
      <c r="P270" s="29" t="inlineStr">
        <is>
          <t>KRW</t>
        </is>
      </c>
      <c r="Q270" s="29" t="inlineStr">
        <is>
          <t>50</t>
        </is>
      </c>
    </row>
    <row r="271" ht="24" customHeight="1">
      <c r="A271" s="24" t="inlineStr">
        <is>
          <t>OpenDART_fnlttSinglAcntAll</t>
        </is>
      </c>
      <c r="B271" s="24" t="inlineStr">
        <is>
          <t>00366942</t>
        </is>
      </c>
      <c r="C271" s="24" t="inlineStr">
        <is>
          <t>미코</t>
        </is>
      </c>
      <c r="D271" s="24" t="inlineStr">
        <is>
          <t>mico</t>
        </is>
      </c>
      <c r="E271" s="24" t="inlineStr">
        <is>
          <t>059090</t>
        </is>
      </c>
      <c r="F271" s="24" t="inlineStr">
        <is>
          <t>2022</t>
        </is>
      </c>
      <c r="G271" s="24" t="inlineStr">
        <is>
          <t>CFS</t>
        </is>
      </c>
      <c r="H271" s="24" t="inlineStr">
        <is>
          <t>BS</t>
        </is>
      </c>
      <c r="I271" s="24" t="inlineStr">
        <is>
          <t>재무상태표</t>
        </is>
      </c>
      <c r="J271" s="24" t="inlineStr">
        <is>
          <t>ifrs-full_EquityAndLiabilities</t>
        </is>
      </c>
      <c r="K271" s="24" t="inlineStr">
        <is>
          <t>자본과부채총계</t>
        </is>
      </c>
      <c r="L271" s="24" t="inlineStr">
        <is>
          <t>-</t>
        </is>
      </c>
      <c r="M271" s="24" t="inlineStr">
        <is>
          <t>제 24 기</t>
        </is>
      </c>
      <c r="N271" s="24" t="inlineStr">
        <is>
          <t>731153086148.0</t>
        </is>
      </c>
      <c r="O271" s="24" t="inlineStr">
        <is>
          <t>718274477831.0</t>
        </is>
      </c>
      <c r="P271" s="24" t="inlineStr">
        <is>
          <t>KRW</t>
        </is>
      </c>
      <c r="Q271" s="24" t="inlineStr">
        <is>
          <t>51</t>
        </is>
      </c>
    </row>
    <row r="272" ht="24" customHeight="1">
      <c r="A272" s="29" t="inlineStr">
        <is>
          <t>OpenDART_fnlttSinglAcntAll</t>
        </is>
      </c>
      <c r="B272" s="29" t="inlineStr">
        <is>
          <t>00366942</t>
        </is>
      </c>
      <c r="C272" s="29" t="inlineStr">
        <is>
          <t>미코</t>
        </is>
      </c>
      <c r="D272" s="29" t="inlineStr">
        <is>
          <t>mico</t>
        </is>
      </c>
      <c r="E272" s="29" t="inlineStr">
        <is>
          <t>059090</t>
        </is>
      </c>
      <c r="F272" s="29" t="inlineStr">
        <is>
          <t>2022</t>
        </is>
      </c>
      <c r="G272" s="29" t="inlineStr">
        <is>
          <t>CFS</t>
        </is>
      </c>
      <c r="H272" s="29" t="inlineStr">
        <is>
          <t>CIS</t>
        </is>
      </c>
      <c r="I272" s="29" t="inlineStr">
        <is>
          <t>포괄손익계산서</t>
        </is>
      </c>
      <c r="J272" s="29" t="inlineStr">
        <is>
          <t>ifrs-full_Revenue</t>
        </is>
      </c>
      <c r="K272" s="29" t="inlineStr">
        <is>
          <t>매출액</t>
        </is>
      </c>
      <c r="L272" s="29" t="inlineStr">
        <is>
          <t>-</t>
        </is>
      </c>
      <c r="M272" s="29" t="inlineStr">
        <is>
          <t>제 24 기</t>
        </is>
      </c>
      <c r="N272" s="29" t="inlineStr">
        <is>
          <t>414832269255.0</t>
        </is>
      </c>
      <c r="O272" s="29" t="inlineStr">
        <is>
          <t>365490680610.0</t>
        </is>
      </c>
      <c r="P272" s="29" t="inlineStr">
        <is>
          <t>KRW</t>
        </is>
      </c>
      <c r="Q272" s="29" t="inlineStr">
        <is>
          <t>0</t>
        </is>
      </c>
    </row>
    <row r="273" ht="24" customHeight="1">
      <c r="A273" s="24" t="inlineStr">
        <is>
          <t>OpenDART_fnlttSinglAcntAll</t>
        </is>
      </c>
      <c r="B273" s="24" t="inlineStr">
        <is>
          <t>00366942</t>
        </is>
      </c>
      <c r="C273" s="24" t="inlineStr">
        <is>
          <t>미코</t>
        </is>
      </c>
      <c r="D273" s="24" t="inlineStr">
        <is>
          <t>mico</t>
        </is>
      </c>
      <c r="E273" s="24" t="inlineStr">
        <is>
          <t>059090</t>
        </is>
      </c>
      <c r="F273" s="24" t="inlineStr">
        <is>
          <t>2022</t>
        </is>
      </c>
      <c r="G273" s="24" t="inlineStr">
        <is>
          <t>CFS</t>
        </is>
      </c>
      <c r="H273" s="24" t="inlineStr">
        <is>
          <t>CIS</t>
        </is>
      </c>
      <c r="I273" s="24" t="inlineStr">
        <is>
          <t>포괄손익계산서</t>
        </is>
      </c>
      <c r="J273" s="24" t="inlineStr">
        <is>
          <t>ifrs-full_CostOfSales</t>
        </is>
      </c>
      <c r="K273" s="24" t="inlineStr">
        <is>
          <t>매출원가</t>
        </is>
      </c>
      <c r="L273" s="24" t="inlineStr">
        <is>
          <t>-</t>
        </is>
      </c>
      <c r="M273" s="24" t="inlineStr">
        <is>
          <t>제 24 기</t>
        </is>
      </c>
      <c r="N273" s="24" t="inlineStr">
        <is>
          <t>218857823393.0</t>
        </is>
      </c>
      <c r="O273" s="24" t="inlineStr">
        <is>
          <t>194097685979.0</t>
        </is>
      </c>
      <c r="P273" s="24" t="inlineStr">
        <is>
          <t>KRW</t>
        </is>
      </c>
      <c r="Q273" s="24" t="inlineStr">
        <is>
          <t>1</t>
        </is>
      </c>
    </row>
    <row r="274" ht="24" customHeight="1">
      <c r="A274" s="29" t="inlineStr">
        <is>
          <t>OpenDART_fnlttSinglAcntAll</t>
        </is>
      </c>
      <c r="B274" s="29" t="inlineStr">
        <is>
          <t>00366942</t>
        </is>
      </c>
      <c r="C274" s="29" t="inlineStr">
        <is>
          <t>미코</t>
        </is>
      </c>
      <c r="D274" s="29" t="inlineStr">
        <is>
          <t>mico</t>
        </is>
      </c>
      <c r="E274" s="29" t="inlineStr">
        <is>
          <t>059090</t>
        </is>
      </c>
      <c r="F274" s="29" t="inlineStr">
        <is>
          <t>2022</t>
        </is>
      </c>
      <c r="G274" s="29" t="inlineStr">
        <is>
          <t>CFS</t>
        </is>
      </c>
      <c r="H274" s="29" t="inlineStr">
        <is>
          <t>CIS</t>
        </is>
      </c>
      <c r="I274" s="29" t="inlineStr">
        <is>
          <t>포괄손익계산서</t>
        </is>
      </c>
      <c r="J274" s="29" t="inlineStr">
        <is>
          <t>ifrs-full_GrossProfit</t>
        </is>
      </c>
      <c r="K274" s="29" t="inlineStr">
        <is>
          <t>매출총이익</t>
        </is>
      </c>
      <c r="L274" s="29" t="inlineStr">
        <is>
          <t>-</t>
        </is>
      </c>
      <c r="M274" s="29" t="inlineStr">
        <is>
          <t>제 24 기</t>
        </is>
      </c>
      <c r="N274" s="29" t="inlineStr">
        <is>
          <t>195974445862.0</t>
        </is>
      </c>
      <c r="O274" s="29" t="inlineStr">
        <is>
          <t>171392994631.0</t>
        </is>
      </c>
      <c r="P274" s="29" t="inlineStr">
        <is>
          <t>KRW</t>
        </is>
      </c>
      <c r="Q274" s="29" t="inlineStr">
        <is>
          <t>2</t>
        </is>
      </c>
    </row>
    <row r="275" ht="24" customHeight="1">
      <c r="A275" s="24" t="inlineStr">
        <is>
          <t>OpenDART_fnlttSinglAcntAll</t>
        </is>
      </c>
      <c r="B275" s="24" t="inlineStr">
        <is>
          <t>00366942</t>
        </is>
      </c>
      <c r="C275" s="24" t="inlineStr">
        <is>
          <t>미코</t>
        </is>
      </c>
      <c r="D275" s="24" t="inlineStr">
        <is>
          <t>mico</t>
        </is>
      </c>
      <c r="E275" s="24" t="inlineStr">
        <is>
          <t>059090</t>
        </is>
      </c>
      <c r="F275" s="24" t="inlineStr">
        <is>
          <t>2022</t>
        </is>
      </c>
      <c r="G275" s="24" t="inlineStr">
        <is>
          <t>CFS</t>
        </is>
      </c>
      <c r="H275" s="24" t="inlineStr">
        <is>
          <t>CIS</t>
        </is>
      </c>
      <c r="I275" s="24" t="inlineStr">
        <is>
          <t>포괄손익계산서</t>
        </is>
      </c>
      <c r="J275" s="24" t="inlineStr">
        <is>
          <t>dart_TotalSellingGeneralAdministrativeExpenses</t>
        </is>
      </c>
      <c r="K275" s="24" t="inlineStr">
        <is>
          <t>판매비와관리비</t>
        </is>
      </c>
      <c r="L275" s="24" t="inlineStr">
        <is>
          <t>-</t>
        </is>
      </c>
      <c r="M275" s="24" t="inlineStr">
        <is>
          <t>제 24 기</t>
        </is>
      </c>
      <c r="N275" s="24" t="inlineStr">
        <is>
          <t>131701296510.0</t>
        </is>
      </c>
      <c r="O275" s="24" t="inlineStr">
        <is>
          <t>101725001333.0</t>
        </is>
      </c>
      <c r="P275" s="24" t="inlineStr">
        <is>
          <t>KRW</t>
        </is>
      </c>
      <c r="Q275" s="24" t="inlineStr">
        <is>
          <t>3</t>
        </is>
      </c>
    </row>
    <row r="276" ht="24" customHeight="1">
      <c r="A276" s="29" t="inlineStr">
        <is>
          <t>OpenDART_fnlttSinglAcntAll</t>
        </is>
      </c>
      <c r="B276" s="29" t="inlineStr">
        <is>
          <t>00366942</t>
        </is>
      </c>
      <c r="C276" s="29" t="inlineStr">
        <is>
          <t>미코</t>
        </is>
      </c>
      <c r="D276" s="29" t="inlineStr">
        <is>
          <t>mico</t>
        </is>
      </c>
      <c r="E276" s="29" t="inlineStr">
        <is>
          <t>059090</t>
        </is>
      </c>
      <c r="F276" s="29" t="inlineStr">
        <is>
          <t>2022</t>
        </is>
      </c>
      <c r="G276" s="29" t="inlineStr">
        <is>
          <t>CFS</t>
        </is>
      </c>
      <c r="H276" s="29" t="inlineStr">
        <is>
          <t>CIS</t>
        </is>
      </c>
      <c r="I276" s="29" t="inlineStr">
        <is>
          <t>포괄손익계산서</t>
        </is>
      </c>
      <c r="J276" s="29" t="inlineStr">
        <is>
          <t>dart_OperatingIncomeLoss</t>
        </is>
      </c>
      <c r="K276" s="29" t="inlineStr">
        <is>
          <t>영업이익</t>
        </is>
      </c>
      <c r="L276" s="29" t="inlineStr">
        <is>
          <t>-</t>
        </is>
      </c>
      <c r="M276" s="29" t="inlineStr">
        <is>
          <t>제 24 기</t>
        </is>
      </c>
      <c r="N276" s="29" t="inlineStr">
        <is>
          <t>64273149352.0</t>
        </is>
      </c>
      <c r="O276" s="29" t="inlineStr">
        <is>
          <t>69667993298.0</t>
        </is>
      </c>
      <c r="P276" s="29" t="inlineStr">
        <is>
          <t>KRW</t>
        </is>
      </c>
      <c r="Q276" s="29" t="inlineStr">
        <is>
          <t>4</t>
        </is>
      </c>
    </row>
    <row r="277" ht="24" customHeight="1">
      <c r="A277" s="24" t="inlineStr">
        <is>
          <t>OpenDART_fnlttSinglAcntAll</t>
        </is>
      </c>
      <c r="B277" s="24" t="inlineStr">
        <is>
          <t>00366942</t>
        </is>
      </c>
      <c r="C277" s="24" t="inlineStr">
        <is>
          <t>미코</t>
        </is>
      </c>
      <c r="D277" s="24" t="inlineStr">
        <is>
          <t>mico</t>
        </is>
      </c>
      <c r="E277" s="24" t="inlineStr">
        <is>
          <t>059090</t>
        </is>
      </c>
      <c r="F277" s="24" t="inlineStr">
        <is>
          <t>2022</t>
        </is>
      </c>
      <c r="G277" s="24" t="inlineStr">
        <is>
          <t>CFS</t>
        </is>
      </c>
      <c r="H277" s="24" t="inlineStr">
        <is>
          <t>CIS</t>
        </is>
      </c>
      <c r="I277" s="24" t="inlineStr">
        <is>
          <t>포괄손익계산서</t>
        </is>
      </c>
      <c r="J277" s="24" t="inlineStr">
        <is>
          <t>ifrs-full_FinanceIncome</t>
        </is>
      </c>
      <c r="K277" s="24" t="inlineStr">
        <is>
          <t>금융수익</t>
        </is>
      </c>
      <c r="L277" s="24" t="inlineStr">
        <is>
          <t>-</t>
        </is>
      </c>
      <c r="M277" s="24" t="inlineStr">
        <is>
          <t>제 24 기</t>
        </is>
      </c>
      <c r="N277" s="24" t="inlineStr">
        <is>
          <t>17362094339.0</t>
        </is>
      </c>
      <c r="O277" s="24" t="inlineStr">
        <is>
          <t>15050994274.0</t>
        </is>
      </c>
      <c r="P277" s="24" t="inlineStr">
        <is>
          <t>KRW</t>
        </is>
      </c>
      <c r="Q277" s="24" t="inlineStr">
        <is>
          <t>5</t>
        </is>
      </c>
    </row>
    <row r="278" ht="24" customHeight="1">
      <c r="A278" s="29" t="inlineStr">
        <is>
          <t>OpenDART_fnlttSinglAcntAll</t>
        </is>
      </c>
      <c r="B278" s="29" t="inlineStr">
        <is>
          <t>00366942</t>
        </is>
      </c>
      <c r="C278" s="29" t="inlineStr">
        <is>
          <t>미코</t>
        </is>
      </c>
      <c r="D278" s="29" t="inlineStr">
        <is>
          <t>mico</t>
        </is>
      </c>
      <c r="E278" s="29" t="inlineStr">
        <is>
          <t>059090</t>
        </is>
      </c>
      <c r="F278" s="29" t="inlineStr">
        <is>
          <t>2022</t>
        </is>
      </c>
      <c r="G278" s="29" t="inlineStr">
        <is>
          <t>CFS</t>
        </is>
      </c>
      <c r="H278" s="29" t="inlineStr">
        <is>
          <t>CIS</t>
        </is>
      </c>
      <c r="I278" s="29" t="inlineStr">
        <is>
          <t>포괄손익계산서</t>
        </is>
      </c>
      <c r="J278" s="29" t="inlineStr">
        <is>
          <t>ifrs-full_FinanceCosts</t>
        </is>
      </c>
      <c r="K278" s="29" t="inlineStr">
        <is>
          <t>금융비용</t>
        </is>
      </c>
      <c r="L278" s="29" t="inlineStr">
        <is>
          <t>-</t>
        </is>
      </c>
      <c r="M278" s="29" t="inlineStr">
        <is>
          <t>제 24 기</t>
        </is>
      </c>
      <c r="N278" s="29" t="inlineStr">
        <is>
          <t>37125242188.0</t>
        </is>
      </c>
      <c r="O278" s="29" t="inlineStr">
        <is>
          <t>14963308766.0</t>
        </is>
      </c>
      <c r="P278" s="29" t="inlineStr">
        <is>
          <t>KRW</t>
        </is>
      </c>
      <c r="Q278" s="29" t="inlineStr">
        <is>
          <t>6</t>
        </is>
      </c>
    </row>
    <row r="279" ht="24" customHeight="1">
      <c r="A279" s="24" t="inlineStr">
        <is>
          <t>OpenDART_fnlttSinglAcntAll</t>
        </is>
      </c>
      <c r="B279" s="24" t="inlineStr">
        <is>
          <t>00366942</t>
        </is>
      </c>
      <c r="C279" s="24" t="inlineStr">
        <is>
          <t>미코</t>
        </is>
      </c>
      <c r="D279" s="24" t="inlineStr">
        <is>
          <t>mico</t>
        </is>
      </c>
      <c r="E279" s="24" t="inlineStr">
        <is>
          <t>059090</t>
        </is>
      </c>
      <c r="F279" s="24" t="inlineStr">
        <is>
          <t>2022</t>
        </is>
      </c>
      <c r="G279" s="24" t="inlineStr">
        <is>
          <t>CFS</t>
        </is>
      </c>
      <c r="H279" s="24" t="inlineStr">
        <is>
          <t>CIS</t>
        </is>
      </c>
      <c r="I279" s="24" t="inlineStr">
        <is>
          <t>포괄손익계산서</t>
        </is>
      </c>
      <c r="J279" s="24" t="inlineStr">
        <is>
          <t>dart_OtherGains</t>
        </is>
      </c>
      <c r="K279" s="24" t="inlineStr">
        <is>
          <t>기타이익</t>
        </is>
      </c>
      <c r="L279" s="24" t="inlineStr">
        <is>
          <t>-</t>
        </is>
      </c>
      <c r="M279" s="24" t="inlineStr">
        <is>
          <t>제 24 기</t>
        </is>
      </c>
      <c r="N279" s="24" t="inlineStr">
        <is>
          <t>2133890262.0</t>
        </is>
      </c>
      <c r="O279" s="24" t="inlineStr">
        <is>
          <t>1874960899.0</t>
        </is>
      </c>
      <c r="P279" s="24" t="inlineStr">
        <is>
          <t>KRW</t>
        </is>
      </c>
      <c r="Q279" s="24" t="inlineStr">
        <is>
          <t>7</t>
        </is>
      </c>
    </row>
    <row r="280" ht="24" customHeight="1">
      <c r="A280" s="29" t="inlineStr">
        <is>
          <t>OpenDART_fnlttSinglAcntAll</t>
        </is>
      </c>
      <c r="B280" s="29" t="inlineStr">
        <is>
          <t>00366942</t>
        </is>
      </c>
      <c r="C280" s="29" t="inlineStr">
        <is>
          <t>미코</t>
        </is>
      </c>
      <c r="D280" s="29" t="inlineStr">
        <is>
          <t>mico</t>
        </is>
      </c>
      <c r="E280" s="29" t="inlineStr">
        <is>
          <t>059090</t>
        </is>
      </c>
      <c r="F280" s="29" t="inlineStr">
        <is>
          <t>2022</t>
        </is>
      </c>
      <c r="G280" s="29" t="inlineStr">
        <is>
          <t>CFS</t>
        </is>
      </c>
      <c r="H280" s="29" t="inlineStr">
        <is>
          <t>CIS</t>
        </is>
      </c>
      <c r="I280" s="29" t="inlineStr">
        <is>
          <t>포괄손익계산서</t>
        </is>
      </c>
      <c r="J280" s="29" t="inlineStr">
        <is>
          <t>dart_OtherLosses</t>
        </is>
      </c>
      <c r="K280" s="29" t="inlineStr">
        <is>
          <t>기타비용</t>
        </is>
      </c>
      <c r="L280" s="29" t="inlineStr">
        <is>
          <t>-</t>
        </is>
      </c>
      <c r="M280" s="29" t="inlineStr">
        <is>
          <t>제 24 기</t>
        </is>
      </c>
      <c r="N280" s="29" t="inlineStr">
        <is>
          <t>13459322710.0</t>
        </is>
      </c>
      <c r="O280" s="29" t="inlineStr">
        <is>
          <t>3115784431.0</t>
        </is>
      </c>
      <c r="P280" s="29" t="inlineStr">
        <is>
          <t>KRW</t>
        </is>
      </c>
      <c r="Q280" s="29" t="inlineStr">
        <is>
          <t>8</t>
        </is>
      </c>
    </row>
    <row r="281" ht="24" customHeight="1">
      <c r="A281" s="24" t="inlineStr">
        <is>
          <t>OpenDART_fnlttSinglAcntAll</t>
        </is>
      </c>
      <c r="B281" s="24" t="inlineStr">
        <is>
          <t>00366942</t>
        </is>
      </c>
      <c r="C281" s="24" t="inlineStr">
        <is>
          <t>미코</t>
        </is>
      </c>
      <c r="D281" s="24" t="inlineStr">
        <is>
          <t>mico</t>
        </is>
      </c>
      <c r="E281" s="24" t="inlineStr">
        <is>
          <t>059090</t>
        </is>
      </c>
      <c r="F281" s="24" t="inlineStr">
        <is>
          <t>2022</t>
        </is>
      </c>
      <c r="G281" s="24" t="inlineStr">
        <is>
          <t>CFS</t>
        </is>
      </c>
      <c r="H281" s="24" t="inlineStr">
        <is>
          <t>CIS</t>
        </is>
      </c>
      <c r="I281" s="24" t="inlineStr">
        <is>
          <t>포괄손익계산서</t>
        </is>
      </c>
      <c r="J281" s="24" t="inlineStr">
        <is>
          <t>-표준계정코드 미사용-</t>
        </is>
      </c>
      <c r="K281" s="24" t="inlineStr">
        <is>
          <t>지분법이익</t>
        </is>
      </c>
      <c r="L281" s="24" t="inlineStr">
        <is>
          <t>-</t>
        </is>
      </c>
      <c r="M281" s="24" t="inlineStr">
        <is>
          <t>제 24 기</t>
        </is>
      </c>
      <c r="N281" s="24" t="inlineStr">
        <is>
          <t>-53450383688.0</t>
        </is>
      </c>
      <c r="O281" s="24" t="inlineStr">
        <is>
          <t>-7019003438.0</t>
        </is>
      </c>
      <c r="P281" s="24" t="inlineStr">
        <is>
          <t>KRW</t>
        </is>
      </c>
      <c r="Q281" s="24" t="inlineStr">
        <is>
          <t>9</t>
        </is>
      </c>
    </row>
    <row r="282" ht="24" customHeight="1">
      <c r="A282" s="29" t="inlineStr">
        <is>
          <t>OpenDART_fnlttSinglAcntAll</t>
        </is>
      </c>
      <c r="B282" s="29" t="inlineStr">
        <is>
          <t>00366942</t>
        </is>
      </c>
      <c r="C282" s="29" t="inlineStr">
        <is>
          <t>미코</t>
        </is>
      </c>
      <c r="D282" s="29" t="inlineStr">
        <is>
          <t>mico</t>
        </is>
      </c>
      <c r="E282" s="29" t="inlineStr">
        <is>
          <t>059090</t>
        </is>
      </c>
      <c r="F282" s="29" t="inlineStr">
        <is>
          <t>2022</t>
        </is>
      </c>
      <c r="G282" s="29" t="inlineStr">
        <is>
          <t>CFS</t>
        </is>
      </c>
      <c r="H282" s="29" t="inlineStr">
        <is>
          <t>CIS</t>
        </is>
      </c>
      <c r="I282" s="29" t="inlineStr">
        <is>
          <t>포괄손익계산서</t>
        </is>
      </c>
      <c r="J282" s="29" t="inlineStr">
        <is>
          <t>ifrs-full_ProfitLossBeforeTax</t>
        </is>
      </c>
      <c r="K282" s="29" t="inlineStr">
        <is>
          <t>법인세비용차감전순이익(손실)</t>
        </is>
      </c>
      <c r="L282" s="29" t="inlineStr">
        <is>
          <t>-</t>
        </is>
      </c>
      <c r="M282" s="29" t="inlineStr">
        <is>
          <t>제 24 기</t>
        </is>
      </c>
      <c r="N282" s="29" t="inlineStr">
        <is>
          <t>-20265814633.0</t>
        </is>
      </c>
      <c r="O282" s="29" t="inlineStr">
        <is>
          <t>61495851836.0</t>
        </is>
      </c>
      <c r="P282" s="29" t="inlineStr">
        <is>
          <t>KRW</t>
        </is>
      </c>
      <c r="Q282" s="29" t="inlineStr">
        <is>
          <t>10</t>
        </is>
      </c>
    </row>
    <row r="283" ht="24" customHeight="1">
      <c r="A283" s="24" t="inlineStr">
        <is>
          <t>OpenDART_fnlttSinglAcntAll</t>
        </is>
      </c>
      <c r="B283" s="24" t="inlineStr">
        <is>
          <t>00366942</t>
        </is>
      </c>
      <c r="C283" s="24" t="inlineStr">
        <is>
          <t>미코</t>
        </is>
      </c>
      <c r="D283" s="24" t="inlineStr">
        <is>
          <t>mico</t>
        </is>
      </c>
      <c r="E283" s="24" t="inlineStr">
        <is>
          <t>059090</t>
        </is>
      </c>
      <c r="F283" s="24" t="inlineStr">
        <is>
          <t>2022</t>
        </is>
      </c>
      <c r="G283" s="24" t="inlineStr">
        <is>
          <t>CFS</t>
        </is>
      </c>
      <c r="H283" s="24" t="inlineStr">
        <is>
          <t>CIS</t>
        </is>
      </c>
      <c r="I283" s="24" t="inlineStr">
        <is>
          <t>포괄손익계산서</t>
        </is>
      </c>
      <c r="J283" s="24" t="inlineStr">
        <is>
          <t>ifrs-full_IncomeTaxExpenseContinuingOperations</t>
        </is>
      </c>
      <c r="K283" s="24" t="inlineStr">
        <is>
          <t>법인세비용</t>
        </is>
      </c>
      <c r="L283" s="24" t="inlineStr">
        <is>
          <t>-</t>
        </is>
      </c>
      <c r="M283" s="24" t="inlineStr">
        <is>
          <t>제 24 기</t>
        </is>
      </c>
      <c r="N283" s="24" t="inlineStr">
        <is>
          <t>10960132234.0</t>
        </is>
      </c>
      <c r="O283" s="24" t="inlineStr">
        <is>
          <t>46529337432.0</t>
        </is>
      </c>
      <c r="P283" s="24" t="inlineStr">
        <is>
          <t>KRW</t>
        </is>
      </c>
      <c r="Q283" s="24" t="inlineStr">
        <is>
          <t>11</t>
        </is>
      </c>
    </row>
    <row r="284" ht="24" customHeight="1">
      <c r="A284" s="29" t="inlineStr">
        <is>
          <t>OpenDART_fnlttSinglAcntAll</t>
        </is>
      </c>
      <c r="B284" s="29" t="inlineStr">
        <is>
          <t>00366942</t>
        </is>
      </c>
      <c r="C284" s="29" t="inlineStr">
        <is>
          <t>미코</t>
        </is>
      </c>
      <c r="D284" s="29" t="inlineStr">
        <is>
          <t>mico</t>
        </is>
      </c>
      <c r="E284" s="29" t="inlineStr">
        <is>
          <t>059090</t>
        </is>
      </c>
      <c r="F284" s="29" t="inlineStr">
        <is>
          <t>2022</t>
        </is>
      </c>
      <c r="G284" s="29" t="inlineStr">
        <is>
          <t>CFS</t>
        </is>
      </c>
      <c r="H284" s="29" t="inlineStr">
        <is>
          <t>CIS</t>
        </is>
      </c>
      <c r="I284" s="29" t="inlineStr">
        <is>
          <t>포괄손익계산서</t>
        </is>
      </c>
      <c r="J284" s="29" t="inlineStr">
        <is>
          <t>ifrs-full_ProfitLoss</t>
        </is>
      </c>
      <c r="K284" s="29" t="inlineStr">
        <is>
          <t>연결당기순이익(손실)</t>
        </is>
      </c>
      <c r="L284" s="29" t="inlineStr">
        <is>
          <t>-</t>
        </is>
      </c>
      <c r="M284" s="29" t="inlineStr">
        <is>
          <t>제 24 기</t>
        </is>
      </c>
      <c r="N284" s="29" t="inlineStr">
        <is>
          <t>-31225946867.0</t>
        </is>
      </c>
      <c r="O284" s="29" t="inlineStr">
        <is>
          <t>14966514404.0</t>
        </is>
      </c>
      <c r="P284" s="29" t="inlineStr">
        <is>
          <t>KRW</t>
        </is>
      </c>
      <c r="Q284" s="29" t="inlineStr">
        <is>
          <t>12</t>
        </is>
      </c>
    </row>
    <row r="285" ht="24" customHeight="1">
      <c r="A285" s="24" t="inlineStr">
        <is>
          <t>OpenDART_fnlttSinglAcntAll</t>
        </is>
      </c>
      <c r="B285" s="24" t="inlineStr">
        <is>
          <t>00366942</t>
        </is>
      </c>
      <c r="C285" s="24" t="inlineStr">
        <is>
          <t>미코</t>
        </is>
      </c>
      <c r="D285" s="24" t="inlineStr">
        <is>
          <t>mico</t>
        </is>
      </c>
      <c r="E285" s="24" t="inlineStr">
        <is>
          <t>059090</t>
        </is>
      </c>
      <c r="F285" s="24" t="inlineStr">
        <is>
          <t>2022</t>
        </is>
      </c>
      <c r="G285" s="24" t="inlineStr">
        <is>
          <t>CFS</t>
        </is>
      </c>
      <c r="H285" s="24" t="inlineStr">
        <is>
          <t>CIS</t>
        </is>
      </c>
      <c r="I285" s="24" t="inlineStr">
        <is>
          <t>포괄손익계산서</t>
        </is>
      </c>
      <c r="J285" s="24" t="inlineStr">
        <is>
          <t>ifrs-full_ProfitLossAttributableToOwnersOfParent</t>
        </is>
      </c>
      <c r="K285" s="24" t="inlineStr">
        <is>
          <t>지배기업소유지분</t>
        </is>
      </c>
      <c r="L285" s="24" t="inlineStr">
        <is>
          <t>-</t>
        </is>
      </c>
      <c r="M285" s="24" t="inlineStr">
        <is>
          <t>제 24 기</t>
        </is>
      </c>
      <c r="N285" s="24" t="inlineStr">
        <is>
          <t>-55231159403.0</t>
        </is>
      </c>
      <c r="O285" s="24" t="inlineStr">
        <is>
          <t>-17832164390.0</t>
        </is>
      </c>
      <c r="P285" s="24" t="inlineStr">
        <is>
          <t>KRW</t>
        </is>
      </c>
      <c r="Q285" s="24" t="inlineStr">
        <is>
          <t>14</t>
        </is>
      </c>
    </row>
    <row r="286" ht="24" customHeight="1">
      <c r="A286" s="29" t="inlineStr">
        <is>
          <t>OpenDART_fnlttSinglAcntAll</t>
        </is>
      </c>
      <c r="B286" s="29" t="inlineStr">
        <is>
          <t>00366942</t>
        </is>
      </c>
      <c r="C286" s="29" t="inlineStr">
        <is>
          <t>미코</t>
        </is>
      </c>
      <c r="D286" s="29" t="inlineStr">
        <is>
          <t>mico</t>
        </is>
      </c>
      <c r="E286" s="29" t="inlineStr">
        <is>
          <t>059090</t>
        </is>
      </c>
      <c r="F286" s="29" t="inlineStr">
        <is>
          <t>2022</t>
        </is>
      </c>
      <c r="G286" s="29" t="inlineStr">
        <is>
          <t>CFS</t>
        </is>
      </c>
      <c r="H286" s="29" t="inlineStr">
        <is>
          <t>CIS</t>
        </is>
      </c>
      <c r="I286" s="29" t="inlineStr">
        <is>
          <t>포괄손익계산서</t>
        </is>
      </c>
      <c r="J286" s="29" t="inlineStr">
        <is>
          <t>ifrs-full_ProfitLossAttributableToNoncontrollingInterests</t>
        </is>
      </c>
      <c r="K286" s="29" t="inlineStr">
        <is>
          <t>비지배지분</t>
        </is>
      </c>
      <c r="L286" s="29" t="inlineStr">
        <is>
          <t>-</t>
        </is>
      </c>
      <c r="M286" s="29" t="inlineStr">
        <is>
          <t>제 24 기</t>
        </is>
      </c>
      <c r="N286" s="29" t="inlineStr">
        <is>
          <t>24005212536.0</t>
        </is>
      </c>
      <c r="O286" s="29" t="inlineStr">
        <is>
          <t>32798678794.0</t>
        </is>
      </c>
      <c r="P286" s="29" t="inlineStr">
        <is>
          <t>KRW</t>
        </is>
      </c>
      <c r="Q286" s="29" t="inlineStr">
        <is>
          <t>15</t>
        </is>
      </c>
    </row>
    <row r="287" ht="24" customHeight="1">
      <c r="A287" s="24" t="inlineStr">
        <is>
          <t>OpenDART_fnlttSinglAcntAll</t>
        </is>
      </c>
      <c r="B287" s="24" t="inlineStr">
        <is>
          <t>00366942</t>
        </is>
      </c>
      <c r="C287" s="24" t="inlineStr">
        <is>
          <t>미코</t>
        </is>
      </c>
      <c r="D287" s="24" t="inlineStr">
        <is>
          <t>mico</t>
        </is>
      </c>
      <c r="E287" s="24" t="inlineStr">
        <is>
          <t>059090</t>
        </is>
      </c>
      <c r="F287" s="24" t="inlineStr">
        <is>
          <t>2022</t>
        </is>
      </c>
      <c r="G287" s="24" t="inlineStr">
        <is>
          <t>CFS</t>
        </is>
      </c>
      <c r="H287" s="24" t="inlineStr">
        <is>
          <t>CIS</t>
        </is>
      </c>
      <c r="I287" s="24" t="inlineStr">
        <is>
          <t>포괄손익계산서</t>
        </is>
      </c>
      <c r="J287" s="24" t="inlineStr">
        <is>
          <t>ifrs-full_OtherComprehensiveIncome</t>
        </is>
      </c>
      <c r="K287" s="24" t="inlineStr">
        <is>
          <t>법인세비용차감후기타포괄손익</t>
        </is>
      </c>
      <c r="L287" s="24" t="inlineStr">
        <is>
          <t>-</t>
        </is>
      </c>
      <c r="M287" s="24" t="inlineStr">
        <is>
          <t>제 24 기</t>
        </is>
      </c>
      <c r="N287" s="24" t="inlineStr">
        <is>
          <t>7623171632.0</t>
        </is>
      </c>
      <c r="O287" s="24" t="inlineStr">
        <is>
          <t>8962526160.0</t>
        </is>
      </c>
      <c r="P287" s="24" t="inlineStr">
        <is>
          <t>KRW</t>
        </is>
      </c>
      <c r="Q287" s="24" t="inlineStr">
        <is>
          <t>16</t>
        </is>
      </c>
    </row>
    <row r="288" ht="24" customHeight="1">
      <c r="A288" s="29" t="inlineStr">
        <is>
          <t>OpenDART_fnlttSinglAcntAll</t>
        </is>
      </c>
      <c r="B288" s="29" t="inlineStr">
        <is>
          <t>00366942</t>
        </is>
      </c>
      <c r="C288" s="29" t="inlineStr">
        <is>
          <t>미코</t>
        </is>
      </c>
      <c r="D288" s="29" t="inlineStr">
        <is>
          <t>mico</t>
        </is>
      </c>
      <c r="E288" s="29" t="inlineStr">
        <is>
          <t>059090</t>
        </is>
      </c>
      <c r="F288" s="29" t="inlineStr">
        <is>
          <t>2022</t>
        </is>
      </c>
      <c r="G288" s="29" t="inlineStr">
        <is>
          <t>CFS</t>
        </is>
      </c>
      <c r="H288" s="29" t="inlineStr">
        <is>
          <t>CIS</t>
        </is>
      </c>
      <c r="I288" s="29" t="inlineStr">
        <is>
          <t>포괄손익계산서</t>
        </is>
      </c>
      <c r="J288" s="29" t="inlineStr">
        <is>
          <t>-표준계정코드 미사용-</t>
        </is>
      </c>
      <c r="K288" s="29" t="inlineStr">
        <is>
          <t>: 후속적으로 당기손익으로 재분류되지 않는 포괄손익</t>
        </is>
      </c>
      <c r="L288" s="29" t="inlineStr">
        <is>
          <t>-</t>
        </is>
      </c>
      <c r="M288" s="29" t="inlineStr">
        <is>
          <t>제 24 기</t>
        </is>
      </c>
      <c r="N288" s="29" t="inlineStr">
        <is>
          <t>3417198041.0</t>
        </is>
      </c>
      <c r="O288" s="29" t="inlineStr">
        <is>
          <t>-900878540.0</t>
        </is>
      </c>
      <c r="P288" s="29" t="inlineStr">
        <is>
          <t>KRW</t>
        </is>
      </c>
      <c r="Q288" s="29" t="inlineStr">
        <is>
          <t>17</t>
        </is>
      </c>
    </row>
    <row r="289" ht="24" customHeight="1">
      <c r="A289" s="24" t="inlineStr">
        <is>
          <t>OpenDART_fnlttSinglAcntAll</t>
        </is>
      </c>
      <c r="B289" s="24" t="inlineStr">
        <is>
          <t>00366942</t>
        </is>
      </c>
      <c r="C289" s="24" t="inlineStr">
        <is>
          <t>미코</t>
        </is>
      </c>
      <c r="D289" s="24" t="inlineStr">
        <is>
          <t>mico</t>
        </is>
      </c>
      <c r="E289" s="24" t="inlineStr">
        <is>
          <t>059090</t>
        </is>
      </c>
      <c r="F289" s="24" t="inlineStr">
        <is>
          <t>2022</t>
        </is>
      </c>
      <c r="G289" s="24" t="inlineStr">
        <is>
          <t>CFS</t>
        </is>
      </c>
      <c r="H289" s="24" t="inlineStr">
        <is>
          <t>CIS</t>
        </is>
      </c>
      <c r="I289" s="24" t="inlineStr">
        <is>
          <t>포괄손익계산서</t>
        </is>
      </c>
      <c r="J289" s="24" t="inlineStr">
        <is>
          <t>-표준계정코드 미사용-</t>
        </is>
      </c>
      <c r="K289" s="24" t="inlineStr">
        <is>
          <t>보험수리적손익</t>
        </is>
      </c>
      <c r="L289" s="24" t="inlineStr">
        <is>
          <t>-</t>
        </is>
      </c>
      <c r="M289" s="24" t="inlineStr">
        <is>
          <t>제 24 기</t>
        </is>
      </c>
      <c r="N289" s="24" t="inlineStr">
        <is>
          <t>2703551061.0</t>
        </is>
      </c>
      <c r="O289" s="24" t="inlineStr">
        <is>
          <t>-1234375668.0</t>
        </is>
      </c>
      <c r="P289" s="24" t="inlineStr">
        <is>
          <t>KRW</t>
        </is>
      </c>
      <c r="Q289" s="24" t="inlineStr">
        <is>
          <t>18</t>
        </is>
      </c>
    </row>
    <row r="290" ht="24" customHeight="1">
      <c r="A290" s="29" t="inlineStr">
        <is>
          <t>OpenDART_fnlttSinglAcntAll</t>
        </is>
      </c>
      <c r="B290" s="29" t="inlineStr">
        <is>
          <t>00366942</t>
        </is>
      </c>
      <c r="C290" s="29" t="inlineStr">
        <is>
          <t>미코</t>
        </is>
      </c>
      <c r="D290" s="29" t="inlineStr">
        <is>
          <t>mico</t>
        </is>
      </c>
      <c r="E290" s="29" t="inlineStr">
        <is>
          <t>059090</t>
        </is>
      </c>
      <c r="F290" s="29" t="inlineStr">
        <is>
          <t>2022</t>
        </is>
      </c>
      <c r="G290" s="29" t="inlineStr">
        <is>
          <t>CFS</t>
        </is>
      </c>
      <c r="H290" s="29" t="inlineStr">
        <is>
          <t>CIS</t>
        </is>
      </c>
      <c r="I290" s="29" t="inlineStr">
        <is>
          <t>포괄손익계산서</t>
        </is>
      </c>
      <c r="J290" s="29" t="inlineStr">
        <is>
          <t>-표준계정코드 미사용-</t>
        </is>
      </c>
      <c r="K290" s="29" t="inlineStr">
        <is>
          <t>기타포괄손익-공정가치측정금융자산평가손익</t>
        </is>
      </c>
      <c r="L290" s="29" t="inlineStr">
        <is>
          <t>-</t>
        </is>
      </c>
      <c r="M290" s="29" t="inlineStr">
        <is>
          <t>제 24 기</t>
        </is>
      </c>
      <c r="N290" s="29" t="inlineStr">
        <is>
          <t>363130294.0</t>
        </is>
      </c>
      <c r="O290" s="29" t="inlineStr">
        <is>
          <t>428241135.0</t>
        </is>
      </c>
      <c r="P290" s="29" t="inlineStr">
        <is>
          <t>KRW</t>
        </is>
      </c>
      <c r="Q290" s="29" t="inlineStr">
        <is>
          <t>19</t>
        </is>
      </c>
    </row>
    <row r="291" ht="24" customHeight="1">
      <c r="A291" s="24" t="inlineStr">
        <is>
          <t>OpenDART_fnlttSinglAcntAll</t>
        </is>
      </c>
      <c r="B291" s="24" t="inlineStr">
        <is>
          <t>00366942</t>
        </is>
      </c>
      <c r="C291" s="24" t="inlineStr">
        <is>
          <t>미코</t>
        </is>
      </c>
      <c r="D291" s="24" t="inlineStr">
        <is>
          <t>mico</t>
        </is>
      </c>
      <c r="E291" s="24" t="inlineStr">
        <is>
          <t>059090</t>
        </is>
      </c>
      <c r="F291" s="24" t="inlineStr">
        <is>
          <t>2022</t>
        </is>
      </c>
      <c r="G291" s="24" t="inlineStr">
        <is>
          <t>CFS</t>
        </is>
      </c>
      <c r="H291" s="24" t="inlineStr">
        <is>
          <t>CIS</t>
        </is>
      </c>
      <c r="I291" s="24" t="inlineStr">
        <is>
          <t>포괄손익계산서</t>
        </is>
      </c>
      <c r="J291" s="24" t="inlineStr">
        <is>
          <t>-표준계정코드 미사용-</t>
        </is>
      </c>
      <c r="K291" s="24" t="inlineStr">
        <is>
          <t>지분법자본변동</t>
        </is>
      </c>
      <c r="L291" s="24" t="inlineStr">
        <is>
          <t>-</t>
        </is>
      </c>
      <c r="M291" s="24" t="inlineStr">
        <is>
          <t>제 24 기</t>
        </is>
      </c>
      <c r="N291" s="24" t="inlineStr">
        <is>
          <t>350516686.0</t>
        </is>
      </c>
      <c r="O291" s="24" t="inlineStr">
        <is>
          <t>-94744007.0</t>
        </is>
      </c>
      <c r="P291" s="24" t="inlineStr">
        <is>
          <t>KRW</t>
        </is>
      </c>
      <c r="Q291" s="24" t="inlineStr">
        <is>
          <t>20</t>
        </is>
      </c>
    </row>
    <row r="292" ht="24" customHeight="1">
      <c r="A292" s="29" t="inlineStr">
        <is>
          <t>OpenDART_fnlttSinglAcntAll</t>
        </is>
      </c>
      <c r="B292" s="29" t="inlineStr">
        <is>
          <t>00366942</t>
        </is>
      </c>
      <c r="C292" s="29" t="inlineStr">
        <is>
          <t>미코</t>
        </is>
      </c>
      <c r="D292" s="29" t="inlineStr">
        <is>
          <t>mico</t>
        </is>
      </c>
      <c r="E292" s="29" t="inlineStr">
        <is>
          <t>059090</t>
        </is>
      </c>
      <c r="F292" s="29" t="inlineStr">
        <is>
          <t>2022</t>
        </is>
      </c>
      <c r="G292" s="29" t="inlineStr">
        <is>
          <t>CFS</t>
        </is>
      </c>
      <c r="H292" s="29" t="inlineStr">
        <is>
          <t>CIS</t>
        </is>
      </c>
      <c r="I292" s="29" t="inlineStr">
        <is>
          <t>포괄손익계산서</t>
        </is>
      </c>
      <c r="J292" s="29" t="inlineStr">
        <is>
          <t>-표준계정코드 미사용-</t>
        </is>
      </c>
      <c r="K292" s="29" t="inlineStr">
        <is>
          <t>: 후속적으로 당기손익으로 재분류되는 포괄손익</t>
        </is>
      </c>
      <c r="L292" s="29" t="inlineStr">
        <is>
          <t>-</t>
        </is>
      </c>
      <c r="M292" s="29" t="inlineStr">
        <is>
          <t>제 24 기</t>
        </is>
      </c>
      <c r="N292" s="29" t="inlineStr">
        <is>
          <t>4205973591.0</t>
        </is>
      </c>
      <c r="O292" s="29" t="inlineStr">
        <is>
          <t>9863404700.0</t>
        </is>
      </c>
      <c r="P292" s="29" t="inlineStr">
        <is>
          <t>KRW</t>
        </is>
      </c>
      <c r="Q292" s="29" t="inlineStr">
        <is>
          <t>21</t>
        </is>
      </c>
    </row>
    <row r="293" ht="24" customHeight="1">
      <c r="A293" s="24" t="inlineStr">
        <is>
          <t>OpenDART_fnlttSinglAcntAll</t>
        </is>
      </c>
      <c r="B293" s="24" t="inlineStr">
        <is>
          <t>00366942</t>
        </is>
      </c>
      <c r="C293" s="24" t="inlineStr">
        <is>
          <t>미코</t>
        </is>
      </c>
      <c r="D293" s="24" t="inlineStr">
        <is>
          <t>mico</t>
        </is>
      </c>
      <c r="E293" s="24" t="inlineStr">
        <is>
          <t>059090</t>
        </is>
      </c>
      <c r="F293" s="24" t="inlineStr">
        <is>
          <t>2022</t>
        </is>
      </c>
      <c r="G293" s="24" t="inlineStr">
        <is>
          <t>CFS</t>
        </is>
      </c>
      <c r="H293" s="24" t="inlineStr">
        <is>
          <t>CIS</t>
        </is>
      </c>
      <c r="I293" s="24" t="inlineStr">
        <is>
          <t>포괄손익계산서</t>
        </is>
      </c>
      <c r="J293" s="24" t="inlineStr">
        <is>
          <t>-표준계정코드 미사용-</t>
        </is>
      </c>
      <c r="K293" s="24" t="inlineStr">
        <is>
          <t>해외사업환산손익</t>
        </is>
      </c>
      <c r="L293" s="24" t="inlineStr">
        <is>
          <t>-</t>
        </is>
      </c>
      <c r="M293" s="24" t="inlineStr">
        <is>
          <t>제 24 기</t>
        </is>
      </c>
      <c r="N293" s="24" t="inlineStr">
        <is>
          <t>4063873276.0</t>
        </is>
      </c>
      <c r="O293" s="24" t="inlineStr">
        <is>
          <t>9806920926.0</t>
        </is>
      </c>
      <c r="P293" s="24" t="inlineStr">
        <is>
          <t>KRW</t>
        </is>
      </c>
      <c r="Q293" s="24" t="inlineStr">
        <is>
          <t>22</t>
        </is>
      </c>
    </row>
    <row r="294" ht="24" customHeight="1">
      <c r="A294" s="29" t="inlineStr">
        <is>
          <t>OpenDART_fnlttSinglAcntAll</t>
        </is>
      </c>
      <c r="B294" s="29" t="inlineStr">
        <is>
          <t>00366942</t>
        </is>
      </c>
      <c r="C294" s="29" t="inlineStr">
        <is>
          <t>미코</t>
        </is>
      </c>
      <c r="D294" s="29" t="inlineStr">
        <is>
          <t>mico</t>
        </is>
      </c>
      <c r="E294" s="29" t="inlineStr">
        <is>
          <t>059090</t>
        </is>
      </c>
      <c r="F294" s="29" t="inlineStr">
        <is>
          <t>2022</t>
        </is>
      </c>
      <c r="G294" s="29" t="inlineStr">
        <is>
          <t>CFS</t>
        </is>
      </c>
      <c r="H294" s="29" t="inlineStr">
        <is>
          <t>CIS</t>
        </is>
      </c>
      <c r="I294" s="29" t="inlineStr">
        <is>
          <t>포괄손익계산서</t>
        </is>
      </c>
      <c r="J294" s="29" t="inlineStr">
        <is>
          <t>-표준계정코드 미사용-</t>
        </is>
      </c>
      <c r="K294" s="29" t="inlineStr">
        <is>
          <t>지분법자본변동</t>
        </is>
      </c>
      <c r="L294" s="29" t="inlineStr">
        <is>
          <t>-</t>
        </is>
      </c>
      <c r="M294" s="29" t="inlineStr">
        <is>
          <t>제 24 기</t>
        </is>
      </c>
      <c r="N294" s="29" t="inlineStr">
        <is>
          <t>142100315.0</t>
        </is>
      </c>
      <c r="O294" s="29" t="inlineStr">
        <is>
          <t>56483774.0</t>
        </is>
      </c>
      <c r="P294" s="29" t="inlineStr">
        <is>
          <t>KRW</t>
        </is>
      </c>
      <c r="Q294" s="29" t="inlineStr">
        <is>
          <t>23</t>
        </is>
      </c>
    </row>
    <row r="295" ht="24" customHeight="1">
      <c r="A295" s="24" t="inlineStr">
        <is>
          <t>OpenDART_fnlttSinglAcntAll</t>
        </is>
      </c>
      <c r="B295" s="24" t="inlineStr">
        <is>
          <t>00366942</t>
        </is>
      </c>
      <c r="C295" s="24" t="inlineStr">
        <is>
          <t>미코</t>
        </is>
      </c>
      <c r="D295" s="24" t="inlineStr">
        <is>
          <t>mico</t>
        </is>
      </c>
      <c r="E295" s="24" t="inlineStr">
        <is>
          <t>059090</t>
        </is>
      </c>
      <c r="F295" s="24" t="inlineStr">
        <is>
          <t>2022</t>
        </is>
      </c>
      <c r="G295" s="24" t="inlineStr">
        <is>
          <t>CFS</t>
        </is>
      </c>
      <c r="H295" s="24" t="inlineStr">
        <is>
          <t>CIS</t>
        </is>
      </c>
      <c r="I295" s="24" t="inlineStr">
        <is>
          <t>포괄손익계산서</t>
        </is>
      </c>
      <c r="J295" s="24" t="inlineStr">
        <is>
          <t>ifrs-full_ComprehensiveIncomeAttributableToOwnersOfParent</t>
        </is>
      </c>
      <c r="K295" s="24" t="inlineStr">
        <is>
          <t>지배기업소유지분</t>
        </is>
      </c>
      <c r="L295" s="24" t="inlineStr">
        <is>
          <t>-</t>
        </is>
      </c>
      <c r="M295" s="24" t="inlineStr">
        <is>
          <t>제 24 기</t>
        </is>
      </c>
      <c r="N295" s="24" t="inlineStr">
        <is>
          <t>-50617480178.0</t>
        </is>
      </c>
      <c r="O295" s="24" t="inlineStr">
        <is>
          <t>-13018681100.0</t>
        </is>
      </c>
      <c r="P295" s="24" t="inlineStr">
        <is>
          <t>KRW</t>
        </is>
      </c>
      <c r="Q295" s="24" t="inlineStr">
        <is>
          <t>25</t>
        </is>
      </c>
    </row>
    <row r="296" ht="24" customHeight="1">
      <c r="A296" s="29" t="inlineStr">
        <is>
          <t>OpenDART_fnlttSinglAcntAll</t>
        </is>
      </c>
      <c r="B296" s="29" t="inlineStr">
        <is>
          <t>00366942</t>
        </is>
      </c>
      <c r="C296" s="29" t="inlineStr">
        <is>
          <t>미코</t>
        </is>
      </c>
      <c r="D296" s="29" t="inlineStr">
        <is>
          <t>mico</t>
        </is>
      </c>
      <c r="E296" s="29" t="inlineStr">
        <is>
          <t>059090</t>
        </is>
      </c>
      <c r="F296" s="29" t="inlineStr">
        <is>
          <t>2022</t>
        </is>
      </c>
      <c r="G296" s="29" t="inlineStr">
        <is>
          <t>CFS</t>
        </is>
      </c>
      <c r="H296" s="29" t="inlineStr">
        <is>
          <t>CIS</t>
        </is>
      </c>
      <c r="I296" s="29" t="inlineStr">
        <is>
          <t>포괄손익계산서</t>
        </is>
      </c>
      <c r="J296" s="29" t="inlineStr">
        <is>
          <t>ifrs-full_ComprehensiveIncomeAttributableToNoncontrollingInterests</t>
        </is>
      </c>
      <c r="K296" s="29" t="inlineStr">
        <is>
          <t>비지배지분</t>
        </is>
      </c>
      <c r="L296" s="29" t="inlineStr">
        <is>
          <t>-</t>
        </is>
      </c>
      <c r="M296" s="29" t="inlineStr">
        <is>
          <t>제 24 기</t>
        </is>
      </c>
      <c r="N296" s="29" t="inlineStr">
        <is>
          <t>27014704943.0</t>
        </is>
      </c>
      <c r="O296" s="29" t="inlineStr">
        <is>
          <t>36947721664.0</t>
        </is>
      </c>
      <c r="P296" s="29" t="inlineStr">
        <is>
          <t>KRW</t>
        </is>
      </c>
      <c r="Q296" s="29" t="inlineStr">
        <is>
          <t>26</t>
        </is>
      </c>
    </row>
    <row r="297" ht="24" customHeight="1">
      <c r="A297" s="24" t="inlineStr">
        <is>
          <t>OpenDART_fnlttSinglAcntAll</t>
        </is>
      </c>
      <c r="B297" s="24" t="inlineStr">
        <is>
          <t>00366942</t>
        </is>
      </c>
      <c r="C297" s="24" t="inlineStr">
        <is>
          <t>미코</t>
        </is>
      </c>
      <c r="D297" s="24" t="inlineStr">
        <is>
          <t>mico</t>
        </is>
      </c>
      <c r="E297" s="24" t="inlineStr">
        <is>
          <t>059090</t>
        </is>
      </c>
      <c r="F297" s="24" t="inlineStr">
        <is>
          <t>2022</t>
        </is>
      </c>
      <c r="G297" s="24" t="inlineStr">
        <is>
          <t>CFS</t>
        </is>
      </c>
      <c r="H297" s="24" t="inlineStr">
        <is>
          <t>CIS</t>
        </is>
      </c>
      <c r="I297" s="24" t="inlineStr">
        <is>
          <t>포괄손익계산서</t>
        </is>
      </c>
      <c r="J297" s="24" t="inlineStr">
        <is>
          <t>ifrs-full_BasicEarningsLossPerShare</t>
        </is>
      </c>
      <c r="K297" s="24" t="inlineStr">
        <is>
          <t>기본주당이익(손실)</t>
        </is>
      </c>
      <c r="L297" s="24" t="inlineStr">
        <is>
          <t>-</t>
        </is>
      </c>
      <c r="M297" s="24" t="inlineStr">
        <is>
          <t>제 24 기</t>
        </is>
      </c>
      <c r="N297" s="24" t="inlineStr">
        <is>
          <t>-1743.0</t>
        </is>
      </c>
      <c r="O297" s="24" t="inlineStr">
        <is>
          <t>-578.0</t>
        </is>
      </c>
      <c r="P297" s="24" t="inlineStr">
        <is>
          <t>KRW</t>
        </is>
      </c>
      <c r="Q297" s="24" t="inlineStr">
        <is>
          <t>28</t>
        </is>
      </c>
    </row>
    <row r="298" ht="24" customHeight="1">
      <c r="A298" s="29" t="inlineStr">
        <is>
          <t>OpenDART_fnlttSinglAcntAll</t>
        </is>
      </c>
      <c r="B298" s="29" t="inlineStr">
        <is>
          <t>00366942</t>
        </is>
      </c>
      <c r="C298" s="29" t="inlineStr">
        <is>
          <t>미코</t>
        </is>
      </c>
      <c r="D298" s="29" t="inlineStr">
        <is>
          <t>mico</t>
        </is>
      </c>
      <c r="E298" s="29" t="inlineStr">
        <is>
          <t>059090</t>
        </is>
      </c>
      <c r="F298" s="29" t="inlineStr">
        <is>
          <t>2022</t>
        </is>
      </c>
      <c r="G298" s="29" t="inlineStr">
        <is>
          <t>CFS</t>
        </is>
      </c>
      <c r="H298" s="29" t="inlineStr">
        <is>
          <t>CIS</t>
        </is>
      </c>
      <c r="I298" s="29" t="inlineStr">
        <is>
          <t>포괄손익계산서</t>
        </is>
      </c>
      <c r="J298" s="29" t="inlineStr">
        <is>
          <t>ifrs-full_DilutedEarningsLossPerShare</t>
        </is>
      </c>
      <c r="K298" s="29" t="inlineStr">
        <is>
          <t>희석주당이익(손실)</t>
        </is>
      </c>
      <c r="L298" s="29" t="inlineStr">
        <is>
          <t>-</t>
        </is>
      </c>
      <c r="M298" s="29" t="inlineStr">
        <is>
          <t>제 24 기</t>
        </is>
      </c>
      <c r="N298" s="29" t="inlineStr">
        <is>
          <t>-1743.0</t>
        </is>
      </c>
      <c r="O298" s="29" t="inlineStr">
        <is>
          <t>-578.0</t>
        </is>
      </c>
      <c r="P298" s="29" t="inlineStr">
        <is>
          <t>KRW</t>
        </is>
      </c>
      <c r="Q298" s="29" t="inlineStr">
        <is>
          <t>29</t>
        </is>
      </c>
    </row>
    <row r="299" ht="24" customHeight="1">
      <c r="A299" s="24" t="inlineStr">
        <is>
          <t>OpenDART_fnlttSinglAcntAll</t>
        </is>
      </c>
      <c r="B299" s="24" t="inlineStr">
        <is>
          <t>00366942</t>
        </is>
      </c>
      <c r="C299" s="24" t="inlineStr">
        <is>
          <t>미코</t>
        </is>
      </c>
      <c r="D299" s="24" t="inlineStr">
        <is>
          <t>mico</t>
        </is>
      </c>
      <c r="E299" s="24" t="inlineStr">
        <is>
          <t>059090</t>
        </is>
      </c>
      <c r="F299" s="24" t="inlineStr">
        <is>
          <t>2022</t>
        </is>
      </c>
      <c r="G299" s="24" t="inlineStr">
        <is>
          <t>CFS</t>
        </is>
      </c>
      <c r="H299" s="24" t="inlineStr">
        <is>
          <t>CF</t>
        </is>
      </c>
      <c r="I299" s="24" t="inlineStr">
        <is>
          <t>현금흐름표</t>
        </is>
      </c>
      <c r="J299" s="24" t="inlineStr">
        <is>
          <t>ifrs-full_CashFlowsFromUsedInOperatingActivities</t>
        </is>
      </c>
      <c r="K299" s="24" t="inlineStr">
        <is>
          <t>영업활동현금흐름</t>
        </is>
      </c>
      <c r="L299" s="24" t="inlineStr">
        <is>
          <t>-</t>
        </is>
      </c>
      <c r="M299" s="24" t="inlineStr">
        <is>
          <t>제 24 기</t>
        </is>
      </c>
      <c r="N299" s="24" t="inlineStr">
        <is>
          <t>80429298447.0</t>
        </is>
      </c>
      <c r="O299" s="24" t="inlineStr">
        <is>
          <t>79718090958.0</t>
        </is>
      </c>
      <c r="P299" s="24" t="inlineStr">
        <is>
          <t>KRW</t>
        </is>
      </c>
      <c r="Q299" s="24" t="inlineStr">
        <is>
          <t>0</t>
        </is>
      </c>
    </row>
    <row r="300" ht="24" customHeight="1">
      <c r="A300" s="29" t="inlineStr">
        <is>
          <t>OpenDART_fnlttSinglAcntAll</t>
        </is>
      </c>
      <c r="B300" s="29" t="inlineStr">
        <is>
          <t>00366942</t>
        </is>
      </c>
      <c r="C300" s="29" t="inlineStr">
        <is>
          <t>미코</t>
        </is>
      </c>
      <c r="D300" s="29" t="inlineStr">
        <is>
          <t>mico</t>
        </is>
      </c>
      <c r="E300" s="29" t="inlineStr">
        <is>
          <t>059090</t>
        </is>
      </c>
      <c r="F300" s="29" t="inlineStr">
        <is>
          <t>2022</t>
        </is>
      </c>
      <c r="G300" s="29" t="inlineStr">
        <is>
          <t>CFS</t>
        </is>
      </c>
      <c r="H300" s="29" t="inlineStr">
        <is>
          <t>CF</t>
        </is>
      </c>
      <c r="I300" s="29" t="inlineStr">
        <is>
          <t>현금흐름표</t>
        </is>
      </c>
      <c r="J300" s="29" t="inlineStr">
        <is>
          <t>dart_NetCashflowsFromUsedInOperations</t>
        </is>
      </c>
      <c r="K300" s="29" t="inlineStr">
        <is>
          <t>영업에서 창출된 현금</t>
        </is>
      </c>
      <c r="L300" s="29" t="inlineStr">
        <is>
          <t>-</t>
        </is>
      </c>
      <c r="M300" s="29" t="inlineStr">
        <is>
          <t>제 24 기</t>
        </is>
      </c>
      <c r="N300" s="29" t="inlineStr">
        <is>
          <t>100860714653.0</t>
        </is>
      </c>
      <c r="O300" s="29" t="inlineStr">
        <is>
          <t>98950505073.0</t>
        </is>
      </c>
      <c r="P300" s="29" t="inlineStr">
        <is>
          <t>KRW</t>
        </is>
      </c>
      <c r="Q300" s="29" t="inlineStr">
        <is>
          <t>1</t>
        </is>
      </c>
    </row>
    <row r="301" ht="24" customHeight="1">
      <c r="A301" s="24" t="inlineStr">
        <is>
          <t>OpenDART_fnlttSinglAcntAll</t>
        </is>
      </c>
      <c r="B301" s="24" t="inlineStr">
        <is>
          <t>00366942</t>
        </is>
      </c>
      <c r="C301" s="24" t="inlineStr">
        <is>
          <t>미코</t>
        </is>
      </c>
      <c r="D301" s="24" t="inlineStr">
        <is>
          <t>mico</t>
        </is>
      </c>
      <c r="E301" s="24" t="inlineStr">
        <is>
          <t>059090</t>
        </is>
      </c>
      <c r="F301" s="24" t="inlineStr">
        <is>
          <t>2022</t>
        </is>
      </c>
      <c r="G301" s="24" t="inlineStr">
        <is>
          <t>CFS</t>
        </is>
      </c>
      <c r="H301" s="24" t="inlineStr">
        <is>
          <t>CF</t>
        </is>
      </c>
      <c r="I301" s="24" t="inlineStr">
        <is>
          <t>현금흐름표</t>
        </is>
      </c>
      <c r="J301" s="24" t="inlineStr">
        <is>
          <t>ifrs-full_InterestReceivedClassifiedAsOperatingActivities</t>
        </is>
      </c>
      <c r="K301" s="24" t="inlineStr">
        <is>
          <t>이자수취</t>
        </is>
      </c>
      <c r="L301" s="24" t="inlineStr">
        <is>
          <t>-</t>
        </is>
      </c>
      <c r="M301" s="24" t="inlineStr">
        <is>
          <t>제 24 기</t>
        </is>
      </c>
      <c r="N301" s="24" t="inlineStr">
        <is>
          <t>3184071917.0</t>
        </is>
      </c>
      <c r="O301" s="24" t="inlineStr">
        <is>
          <t>1527601341.0</t>
        </is>
      </c>
      <c r="P301" s="24" t="inlineStr">
        <is>
          <t>KRW</t>
        </is>
      </c>
      <c r="Q301" s="24" t="inlineStr">
        <is>
          <t>2</t>
        </is>
      </c>
    </row>
    <row r="302" ht="24" customHeight="1">
      <c r="A302" s="29" t="inlineStr">
        <is>
          <t>OpenDART_fnlttSinglAcntAll</t>
        </is>
      </c>
      <c r="B302" s="29" t="inlineStr">
        <is>
          <t>00366942</t>
        </is>
      </c>
      <c r="C302" s="29" t="inlineStr">
        <is>
          <t>미코</t>
        </is>
      </c>
      <c r="D302" s="29" t="inlineStr">
        <is>
          <t>mico</t>
        </is>
      </c>
      <c r="E302" s="29" t="inlineStr">
        <is>
          <t>059090</t>
        </is>
      </c>
      <c r="F302" s="29" t="inlineStr">
        <is>
          <t>2022</t>
        </is>
      </c>
      <c r="G302" s="29" t="inlineStr">
        <is>
          <t>CFS</t>
        </is>
      </c>
      <c r="H302" s="29" t="inlineStr">
        <is>
          <t>CF</t>
        </is>
      </c>
      <c r="I302" s="29" t="inlineStr">
        <is>
          <t>현금흐름표</t>
        </is>
      </c>
      <c r="J302" s="29" t="inlineStr">
        <is>
          <t>ifrs-full_InterestPaidClassifiedAsOperatingActivities</t>
        </is>
      </c>
      <c r="K302" s="29" t="inlineStr">
        <is>
          <t>이자지급(영업)</t>
        </is>
      </c>
      <c r="L302" s="29" t="inlineStr">
        <is>
          <t>-</t>
        </is>
      </c>
      <c r="M302" s="29" t="inlineStr">
        <is>
          <t>제 24 기</t>
        </is>
      </c>
      <c r="N302" s="29" t="inlineStr">
        <is>
          <t>6305845662.0</t>
        </is>
      </c>
      <c r="O302" s="29" t="inlineStr">
        <is>
          <t>3933543560.0</t>
        </is>
      </c>
      <c r="P302" s="29" t="inlineStr">
        <is>
          <t>KRW</t>
        </is>
      </c>
      <c r="Q302" s="29" t="inlineStr">
        <is>
          <t>3</t>
        </is>
      </c>
    </row>
    <row r="303" ht="24" customHeight="1">
      <c r="A303" s="24" t="inlineStr">
        <is>
          <t>OpenDART_fnlttSinglAcntAll</t>
        </is>
      </c>
      <c r="B303" s="24" t="inlineStr">
        <is>
          <t>00366942</t>
        </is>
      </c>
      <c r="C303" s="24" t="inlineStr">
        <is>
          <t>미코</t>
        </is>
      </c>
      <c r="D303" s="24" t="inlineStr">
        <is>
          <t>mico</t>
        </is>
      </c>
      <c r="E303" s="24" t="inlineStr">
        <is>
          <t>059090</t>
        </is>
      </c>
      <c r="F303" s="24" t="inlineStr">
        <is>
          <t>2022</t>
        </is>
      </c>
      <c r="G303" s="24" t="inlineStr">
        <is>
          <t>CFS</t>
        </is>
      </c>
      <c r="H303" s="24" t="inlineStr">
        <is>
          <t>CF</t>
        </is>
      </c>
      <c r="I303" s="24" t="inlineStr">
        <is>
          <t>현금흐름표</t>
        </is>
      </c>
      <c r="J303" s="24" t="inlineStr">
        <is>
          <t>dart_IncomeTaxesPaidClassifiedAsOperatingActivities</t>
        </is>
      </c>
      <c r="K303" s="24" t="inlineStr">
        <is>
          <t>법인세납부(</t>
        </is>
      </c>
      <c r="L303" s="24" t="inlineStr">
        <is>
          <t>-</t>
        </is>
      </c>
      <c r="M303" s="24" t="inlineStr">
        <is>
          <t>제 24 기</t>
        </is>
      </c>
      <c r="N303" s="24" t="inlineStr">
        <is>
          <t>17309642461.0</t>
        </is>
      </c>
      <c r="O303" s="24" t="inlineStr">
        <is>
          <t>16826471896.0</t>
        </is>
      </c>
      <c r="P303" s="24" t="inlineStr">
        <is>
          <t>KRW</t>
        </is>
      </c>
      <c r="Q303" s="24" t="inlineStr">
        <is>
          <t>4</t>
        </is>
      </c>
    </row>
    <row r="304" ht="24" customHeight="1">
      <c r="A304" s="29" t="inlineStr">
        <is>
          <t>OpenDART_fnlttSinglAcntAll</t>
        </is>
      </c>
      <c r="B304" s="29" t="inlineStr">
        <is>
          <t>00366942</t>
        </is>
      </c>
      <c r="C304" s="29" t="inlineStr">
        <is>
          <t>미코</t>
        </is>
      </c>
      <c r="D304" s="29" t="inlineStr">
        <is>
          <t>mico</t>
        </is>
      </c>
      <c r="E304" s="29" t="inlineStr">
        <is>
          <t>059090</t>
        </is>
      </c>
      <c r="F304" s="29" t="inlineStr">
        <is>
          <t>2022</t>
        </is>
      </c>
      <c r="G304" s="29" t="inlineStr">
        <is>
          <t>CFS</t>
        </is>
      </c>
      <c r="H304" s="29" t="inlineStr">
        <is>
          <t>CF</t>
        </is>
      </c>
      <c r="I304" s="29" t="inlineStr">
        <is>
          <t>현금흐름표</t>
        </is>
      </c>
      <c r="J304" s="29" t="inlineStr">
        <is>
          <t>ifrs-full_CashFlowsFromUsedInInvestingActivities</t>
        </is>
      </c>
      <c r="K304" s="29" t="inlineStr">
        <is>
          <t>투자활동현금흐름</t>
        </is>
      </c>
      <c r="L304" s="29" t="inlineStr">
        <is>
          <t>-</t>
        </is>
      </c>
      <c r="M304" s="29" t="inlineStr">
        <is>
          <t>제 24 기</t>
        </is>
      </c>
      <c r="N304" s="29" t="inlineStr">
        <is>
          <t>-129102451346.0</t>
        </is>
      </c>
      <c r="O304" s="29" t="inlineStr">
        <is>
          <t>-182904436591.0</t>
        </is>
      </c>
      <c r="P304" s="29" t="inlineStr">
        <is>
          <t>KRW</t>
        </is>
      </c>
      <c r="Q304" s="29" t="inlineStr">
        <is>
          <t>5</t>
        </is>
      </c>
    </row>
    <row r="305" ht="24" customHeight="1">
      <c r="A305" s="24" t="inlineStr">
        <is>
          <t>OpenDART_fnlttSinglAcntAll</t>
        </is>
      </c>
      <c r="B305" s="24" t="inlineStr">
        <is>
          <t>00366942</t>
        </is>
      </c>
      <c r="C305" s="24" t="inlineStr">
        <is>
          <t>미코</t>
        </is>
      </c>
      <c r="D305" s="24" t="inlineStr">
        <is>
          <t>mico</t>
        </is>
      </c>
      <c r="E305" s="24" t="inlineStr">
        <is>
          <t>059090</t>
        </is>
      </c>
      <c r="F305" s="24" t="inlineStr">
        <is>
          <t>2022</t>
        </is>
      </c>
      <c r="G305" s="24" t="inlineStr">
        <is>
          <t>CFS</t>
        </is>
      </c>
      <c r="H305" s="24" t="inlineStr">
        <is>
          <t>CF</t>
        </is>
      </c>
      <c r="I305" s="24" t="inlineStr">
        <is>
          <t>현금흐름표</t>
        </is>
      </c>
      <c r="J305" s="24" t="inlineStr">
        <is>
          <t>ifrs-full_DividendsReceivedClassifiedAsInvestingActivities</t>
        </is>
      </c>
      <c r="K305" s="24" t="inlineStr">
        <is>
          <t>배당금수취</t>
        </is>
      </c>
      <c r="L305" s="24" t="inlineStr">
        <is>
          <t>-</t>
        </is>
      </c>
      <c r="M305" s="24" t="inlineStr">
        <is>
          <t>제 24 기</t>
        </is>
      </c>
      <c r="N305" s="24" t="inlineStr">
        <is>
          <t>119200000.0</t>
        </is>
      </c>
      <c r="O305" s="24" t="inlineStr">
        <is>
          <t>44550000.0</t>
        </is>
      </c>
      <c r="P305" s="24" t="inlineStr">
        <is>
          <t>KRW</t>
        </is>
      </c>
      <c r="Q305" s="24" t="inlineStr">
        <is>
          <t>6</t>
        </is>
      </c>
    </row>
    <row r="306" ht="24" customHeight="1">
      <c r="A306" s="29" t="inlineStr">
        <is>
          <t>OpenDART_fnlttSinglAcntAll</t>
        </is>
      </c>
      <c r="B306" s="29" t="inlineStr">
        <is>
          <t>00366942</t>
        </is>
      </c>
      <c r="C306" s="29" t="inlineStr">
        <is>
          <t>미코</t>
        </is>
      </c>
      <c r="D306" s="29" t="inlineStr">
        <is>
          <t>mico</t>
        </is>
      </c>
      <c r="E306" s="29" t="inlineStr">
        <is>
          <t>059090</t>
        </is>
      </c>
      <c r="F306" s="29" t="inlineStr">
        <is>
          <t>2022</t>
        </is>
      </c>
      <c r="G306" s="29" t="inlineStr">
        <is>
          <t>CFS</t>
        </is>
      </c>
      <c r="H306" s="29" t="inlineStr">
        <is>
          <t>CF</t>
        </is>
      </c>
      <c r="I306" s="29" t="inlineStr">
        <is>
          <t>현금흐름표</t>
        </is>
      </c>
      <c r="J306" s="29" t="inlineStr">
        <is>
          <t>dart_ProceedsFromSalesOfFinancialInstruments</t>
        </is>
      </c>
      <c r="K306" s="29" t="inlineStr">
        <is>
          <t>금융상품의 처분</t>
        </is>
      </c>
      <c r="L306" s="29" t="inlineStr">
        <is>
          <t>-</t>
        </is>
      </c>
      <c r="M306" s="29" t="inlineStr">
        <is>
          <t>제 24 기</t>
        </is>
      </c>
      <c r="N306" s="29" t="inlineStr">
        <is>
          <t>117763905841.0</t>
        </is>
      </c>
      <c r="O306" s="29" t="inlineStr">
        <is>
          <t>98860573071.0</t>
        </is>
      </c>
      <c r="P306" s="29" t="inlineStr">
        <is>
          <t>KRW</t>
        </is>
      </c>
      <c r="Q306" s="29" t="inlineStr">
        <is>
          <t>7</t>
        </is>
      </c>
    </row>
    <row r="307" ht="24" customHeight="1">
      <c r="A307" s="24" t="inlineStr">
        <is>
          <t>OpenDART_fnlttSinglAcntAll</t>
        </is>
      </c>
      <c r="B307" s="24" t="inlineStr">
        <is>
          <t>00366942</t>
        </is>
      </c>
      <c r="C307" s="24" t="inlineStr">
        <is>
          <t>미코</t>
        </is>
      </c>
      <c r="D307" s="24" t="inlineStr">
        <is>
          <t>mico</t>
        </is>
      </c>
      <c r="E307" s="24" t="inlineStr">
        <is>
          <t>059090</t>
        </is>
      </c>
      <c r="F307" s="24" t="inlineStr">
        <is>
          <t>2022</t>
        </is>
      </c>
      <c r="G307" s="24" t="inlineStr">
        <is>
          <t>CFS</t>
        </is>
      </c>
      <c r="H307" s="24" t="inlineStr">
        <is>
          <t>CF</t>
        </is>
      </c>
      <c r="I307" s="24" t="inlineStr">
        <is>
          <t>현금흐름표</t>
        </is>
      </c>
      <c r="J307" s="24" t="inlineStr">
        <is>
          <t>dart_ProceedsFromSalesOfLoansAndReceivables</t>
        </is>
      </c>
      <c r="K307" s="24" t="inlineStr">
        <is>
          <t>대여금및수취채권의 처분</t>
        </is>
      </c>
      <c r="L307" s="24" t="inlineStr">
        <is>
          <t>-</t>
        </is>
      </c>
      <c r="M307" s="24" t="inlineStr">
        <is>
          <t>제 24 기</t>
        </is>
      </c>
      <c r="N307" s="24" t="inlineStr">
        <is>
          <t>865104696.0</t>
        </is>
      </c>
      <c r="O307" s="24" t="inlineStr">
        <is>
          <t>1248704400.0</t>
        </is>
      </c>
      <c r="P307" s="24" t="inlineStr">
        <is>
          <t>KRW</t>
        </is>
      </c>
      <c r="Q307" s="24" t="inlineStr">
        <is>
          <t>8</t>
        </is>
      </c>
    </row>
    <row r="308" ht="24" customHeight="1">
      <c r="A308" s="29" t="inlineStr">
        <is>
          <t>OpenDART_fnlttSinglAcntAll</t>
        </is>
      </c>
      <c r="B308" s="29" t="inlineStr">
        <is>
          <t>00366942</t>
        </is>
      </c>
      <c r="C308" s="29" t="inlineStr">
        <is>
          <t>미코</t>
        </is>
      </c>
      <c r="D308" s="29" t="inlineStr">
        <is>
          <t>mico</t>
        </is>
      </c>
      <c r="E308" s="29" t="inlineStr">
        <is>
          <t>059090</t>
        </is>
      </c>
      <c r="F308" s="29" t="inlineStr">
        <is>
          <t>2022</t>
        </is>
      </c>
      <c r="G308" s="29" t="inlineStr">
        <is>
          <t>CFS</t>
        </is>
      </c>
      <c r="H308" s="29" t="inlineStr">
        <is>
          <t>CF</t>
        </is>
      </c>
      <c r="I308" s="29" t="inlineStr">
        <is>
          <t>현금흐름표</t>
        </is>
      </c>
      <c r="J308" s="29" t="inlineStr">
        <is>
          <t>dart_DecreaseInGuaranteeDeposits</t>
        </is>
      </c>
      <c r="K308" s="29" t="inlineStr">
        <is>
          <t>보증금의 감소</t>
        </is>
      </c>
      <c r="L308" s="29" t="inlineStr">
        <is>
          <t>-</t>
        </is>
      </c>
      <c r="M308" s="29" t="inlineStr">
        <is>
          <t>제 24 기</t>
        </is>
      </c>
      <c r="N308" s="29" t="inlineStr">
        <is>
          <t>822247574.0</t>
        </is>
      </c>
      <c r="O308" s="29" t="inlineStr">
        <is>
          <t>883248664.0</t>
        </is>
      </c>
      <c r="P308" s="29" t="inlineStr">
        <is>
          <t>KRW</t>
        </is>
      </c>
      <c r="Q308" s="29" t="inlineStr">
        <is>
          <t>9</t>
        </is>
      </c>
    </row>
    <row r="309" ht="24" customHeight="1">
      <c r="A309" s="24" t="inlineStr">
        <is>
          <t>OpenDART_fnlttSinglAcntAll</t>
        </is>
      </c>
      <c r="B309" s="24" t="inlineStr">
        <is>
          <t>00366942</t>
        </is>
      </c>
      <c r="C309" s="24" t="inlineStr">
        <is>
          <t>미코</t>
        </is>
      </c>
      <c r="D309" s="24" t="inlineStr">
        <is>
          <t>mico</t>
        </is>
      </c>
      <c r="E309" s="24" t="inlineStr">
        <is>
          <t>059090</t>
        </is>
      </c>
      <c r="F309" s="24" t="inlineStr">
        <is>
          <t>2022</t>
        </is>
      </c>
      <c r="G309" s="24" t="inlineStr">
        <is>
          <t>CFS</t>
        </is>
      </c>
      <c r="H309" s="24" t="inlineStr">
        <is>
          <t>CF</t>
        </is>
      </c>
      <c r="I309" s="24" t="inlineStr">
        <is>
          <t>현금흐름표</t>
        </is>
      </c>
      <c r="J309" s="24" t="inlineStr">
        <is>
          <t>ifrs-full_ProceedsFromSalesOfPropertyPlantAndEquipmentClassifiedAsInvestingActivities</t>
        </is>
      </c>
      <c r="K309" s="24" t="inlineStr">
        <is>
          <t>유형자산의 처분</t>
        </is>
      </c>
      <c r="L309" s="24" t="inlineStr">
        <is>
          <t>-</t>
        </is>
      </c>
      <c r="M309" s="24" t="inlineStr">
        <is>
          <t>제 24 기</t>
        </is>
      </c>
      <c r="N309" s="24" t="inlineStr">
        <is>
          <t>278063208.0</t>
        </is>
      </c>
      <c r="O309" s="24" t="inlineStr">
        <is>
          <t>6519047370.0</t>
        </is>
      </c>
      <c r="P309" s="24" t="inlineStr">
        <is>
          <t>KRW</t>
        </is>
      </c>
      <c r="Q309" s="24" t="inlineStr">
        <is>
          <t>10</t>
        </is>
      </c>
    </row>
    <row r="310" ht="24" customHeight="1">
      <c r="A310" s="29" t="inlineStr">
        <is>
          <t>OpenDART_fnlttSinglAcntAll</t>
        </is>
      </c>
      <c r="B310" s="29" t="inlineStr">
        <is>
          <t>00366942</t>
        </is>
      </c>
      <c r="C310" s="29" t="inlineStr">
        <is>
          <t>미코</t>
        </is>
      </c>
      <c r="D310" s="29" t="inlineStr">
        <is>
          <t>mico</t>
        </is>
      </c>
      <c r="E310" s="29" t="inlineStr">
        <is>
          <t>059090</t>
        </is>
      </c>
      <c r="F310" s="29" t="inlineStr">
        <is>
          <t>2022</t>
        </is>
      </c>
      <c r="G310" s="29" t="inlineStr">
        <is>
          <t>CFS</t>
        </is>
      </c>
      <c r="H310" s="29" t="inlineStr">
        <is>
          <t>CF</t>
        </is>
      </c>
      <c r="I310" s="29" t="inlineStr">
        <is>
          <t>현금흐름표</t>
        </is>
      </c>
      <c r="J310" s="29" t="inlineStr">
        <is>
          <t>ifrs-full_ProceedsFromSalesOfIntangibleAssetsClassifiedAsInvestingActivities</t>
        </is>
      </c>
      <c r="K310" s="29" t="inlineStr">
        <is>
          <t>무형자산의 처분</t>
        </is>
      </c>
      <c r="L310" s="29" t="inlineStr">
        <is>
          <t>-</t>
        </is>
      </c>
      <c r="M310" s="29" t="inlineStr">
        <is>
          <t>제 24 기</t>
        </is>
      </c>
      <c r="N310" s="29" t="inlineStr">
        <is>
          <t>736000000.0</t>
        </is>
      </c>
      <c r="O310" s="29" t="inlineStr">
        <is>
          <t>해당 없음</t>
        </is>
      </c>
      <c r="P310" s="29" t="inlineStr">
        <is>
          <t>KRW</t>
        </is>
      </c>
      <c r="Q310" s="29" t="inlineStr">
        <is>
          <t>11</t>
        </is>
      </c>
    </row>
    <row r="311" ht="24" customHeight="1">
      <c r="A311" s="24" t="inlineStr">
        <is>
          <t>OpenDART_fnlttSinglAcntAll</t>
        </is>
      </c>
      <c r="B311" s="24" t="inlineStr">
        <is>
          <t>00366942</t>
        </is>
      </c>
      <c r="C311" s="24" t="inlineStr">
        <is>
          <t>미코</t>
        </is>
      </c>
      <c r="D311" s="24" t="inlineStr">
        <is>
          <t>mico</t>
        </is>
      </c>
      <c r="E311" s="24" t="inlineStr">
        <is>
          <t>059090</t>
        </is>
      </c>
      <c r="F311" s="24" t="inlineStr">
        <is>
          <t>2022</t>
        </is>
      </c>
      <c r="G311" s="24" t="inlineStr">
        <is>
          <t>CFS</t>
        </is>
      </c>
      <c r="H311" s="24" t="inlineStr">
        <is>
          <t>CF</t>
        </is>
      </c>
      <c r="I311" s="24" t="inlineStr">
        <is>
          <t>현금흐름표</t>
        </is>
      </c>
      <c r="J311" s="24" t="inlineStr">
        <is>
          <t>-표준계정코드 미사용-</t>
        </is>
      </c>
      <c r="K311" s="24" t="inlineStr">
        <is>
          <t>당기손익-공정가치측정금융자산의 처분</t>
        </is>
      </c>
      <c r="L311" s="24" t="inlineStr">
        <is>
          <t>-</t>
        </is>
      </c>
      <c r="M311" s="24" t="inlineStr">
        <is>
          <t>제 24 기</t>
        </is>
      </c>
      <c r="N311" s="24" t="inlineStr">
        <is>
          <t>1328608698.0</t>
        </is>
      </c>
      <c r="O311" s="24" t="inlineStr">
        <is>
          <t>3228761530.0</t>
        </is>
      </c>
      <c r="P311" s="24" t="inlineStr">
        <is>
          <t>KRW</t>
        </is>
      </c>
      <c r="Q311" s="24" t="inlineStr">
        <is>
          <t>12</t>
        </is>
      </c>
    </row>
    <row r="312" ht="24" customHeight="1">
      <c r="A312" s="29" t="inlineStr">
        <is>
          <t>OpenDART_fnlttSinglAcntAll</t>
        </is>
      </c>
      <c r="B312" s="29" t="inlineStr">
        <is>
          <t>00366942</t>
        </is>
      </c>
      <c r="C312" s="29" t="inlineStr">
        <is>
          <t>미코</t>
        </is>
      </c>
      <c r="D312" s="29" t="inlineStr">
        <is>
          <t>mico</t>
        </is>
      </c>
      <c r="E312" s="29" t="inlineStr">
        <is>
          <t>059090</t>
        </is>
      </c>
      <c r="F312" s="29" t="inlineStr">
        <is>
          <t>2022</t>
        </is>
      </c>
      <c r="G312" s="29" t="inlineStr">
        <is>
          <t>CFS</t>
        </is>
      </c>
      <c r="H312" s="29" t="inlineStr">
        <is>
          <t>CF</t>
        </is>
      </c>
      <c r="I312" s="29" t="inlineStr">
        <is>
          <t>현금흐름표</t>
        </is>
      </c>
      <c r="J312" s="29" t="inlineStr">
        <is>
          <t>-표준계정코드 미사용-</t>
        </is>
      </c>
      <c r="K312" s="29" t="inlineStr">
        <is>
          <t>연결범위의 변동</t>
        </is>
      </c>
      <c r="L312" s="29" t="inlineStr">
        <is>
          <t>-</t>
        </is>
      </c>
      <c r="M312" s="29" t="inlineStr">
        <is>
          <t>제 24 기</t>
        </is>
      </c>
      <c r="N312" s="29" t="inlineStr">
        <is>
          <t>10372366443.0</t>
        </is>
      </c>
      <c r="O312" s="29" t="inlineStr">
        <is>
          <t>해당 없음</t>
        </is>
      </c>
      <c r="P312" s="29" t="inlineStr">
        <is>
          <t>KRW</t>
        </is>
      </c>
      <c r="Q312" s="29" t="inlineStr">
        <is>
          <t>13</t>
        </is>
      </c>
    </row>
    <row r="313" ht="24" customHeight="1">
      <c r="A313" s="24" t="inlineStr">
        <is>
          <t>OpenDART_fnlttSinglAcntAll</t>
        </is>
      </c>
      <c r="B313" s="24" t="inlineStr">
        <is>
          <t>00366942</t>
        </is>
      </c>
      <c r="C313" s="24" t="inlineStr">
        <is>
          <t>미코</t>
        </is>
      </c>
      <c r="D313" s="24" t="inlineStr">
        <is>
          <t>mico</t>
        </is>
      </c>
      <c r="E313" s="24" t="inlineStr">
        <is>
          <t>059090</t>
        </is>
      </c>
      <c r="F313" s="24" t="inlineStr">
        <is>
          <t>2022</t>
        </is>
      </c>
      <c r="G313" s="24" t="inlineStr">
        <is>
          <t>CFS</t>
        </is>
      </c>
      <c r="H313" s="24" t="inlineStr">
        <is>
          <t>CF</t>
        </is>
      </c>
      <c r="I313" s="24" t="inlineStr">
        <is>
          <t>현금흐름표</t>
        </is>
      </c>
      <c r="J313" s="24" t="inlineStr">
        <is>
          <t>ifrs-full_ProceedsFromGovernmentGrantsClassifiedAsInvestingActivities</t>
        </is>
      </c>
      <c r="K313" s="24" t="inlineStr">
        <is>
          <t>정부보조금의 증가</t>
        </is>
      </c>
      <c r="L313" s="24" t="inlineStr">
        <is>
          <t>-</t>
        </is>
      </c>
      <c r="M313" s="24" t="inlineStr">
        <is>
          <t>제 24 기</t>
        </is>
      </c>
      <c r="N313" s="24" t="inlineStr">
        <is>
          <t>677566588.0</t>
        </is>
      </c>
      <c r="O313" s="24" t="inlineStr">
        <is>
          <t>2994231131.0</t>
        </is>
      </c>
      <c r="P313" s="24" t="inlineStr">
        <is>
          <t>KRW</t>
        </is>
      </c>
      <c r="Q313" s="24" t="inlineStr">
        <is>
          <t>14</t>
        </is>
      </c>
    </row>
    <row r="314" ht="24" customHeight="1">
      <c r="A314" s="29" t="inlineStr">
        <is>
          <t>OpenDART_fnlttSinglAcntAll</t>
        </is>
      </c>
      <c r="B314" s="29" t="inlineStr">
        <is>
          <t>00366942</t>
        </is>
      </c>
      <c r="C314" s="29" t="inlineStr">
        <is>
          <t>미코</t>
        </is>
      </c>
      <c r="D314" s="29" t="inlineStr">
        <is>
          <t>mico</t>
        </is>
      </c>
      <c r="E314" s="29" t="inlineStr">
        <is>
          <t>059090</t>
        </is>
      </c>
      <c r="F314" s="29" t="inlineStr">
        <is>
          <t>2022</t>
        </is>
      </c>
      <c r="G314" s="29" t="inlineStr">
        <is>
          <t>CFS</t>
        </is>
      </c>
      <c r="H314" s="29" t="inlineStr">
        <is>
          <t>CF</t>
        </is>
      </c>
      <c r="I314" s="29" t="inlineStr">
        <is>
          <t>현금흐름표</t>
        </is>
      </c>
      <c r="J314" s="29" t="inlineStr">
        <is>
          <t>dart_PurchaseOfFinancialInstruments</t>
        </is>
      </c>
      <c r="K314" s="29" t="inlineStr">
        <is>
          <t>금융상품의 취득</t>
        </is>
      </c>
      <c r="L314" s="29" t="inlineStr">
        <is>
          <t>-</t>
        </is>
      </c>
      <c r="M314" s="29" t="inlineStr">
        <is>
          <t>제 24 기</t>
        </is>
      </c>
      <c r="N314" s="29" t="inlineStr">
        <is>
          <t>144310834419.0</t>
        </is>
      </c>
      <c r="O314" s="29" t="inlineStr">
        <is>
          <t>95037889448.0</t>
        </is>
      </c>
      <c r="P314" s="29" t="inlineStr">
        <is>
          <t>KRW</t>
        </is>
      </c>
      <c r="Q314" s="29" t="inlineStr">
        <is>
          <t>15</t>
        </is>
      </c>
    </row>
    <row r="315" ht="24" customHeight="1">
      <c r="A315" s="24" t="inlineStr">
        <is>
          <t>OpenDART_fnlttSinglAcntAll</t>
        </is>
      </c>
      <c r="B315" s="24" t="inlineStr">
        <is>
          <t>00366942</t>
        </is>
      </c>
      <c r="C315" s="24" t="inlineStr">
        <is>
          <t>미코</t>
        </is>
      </c>
      <c r="D315" s="24" t="inlineStr">
        <is>
          <t>mico</t>
        </is>
      </c>
      <c r="E315" s="24" t="inlineStr">
        <is>
          <t>059090</t>
        </is>
      </c>
      <c r="F315" s="24" t="inlineStr">
        <is>
          <t>2022</t>
        </is>
      </c>
      <c r="G315" s="24" t="inlineStr">
        <is>
          <t>CFS</t>
        </is>
      </c>
      <c r="H315" s="24" t="inlineStr">
        <is>
          <t>CF</t>
        </is>
      </c>
      <c r="I315" s="24" t="inlineStr">
        <is>
          <t>현금흐름표</t>
        </is>
      </c>
      <c r="J315" s="24" t="inlineStr">
        <is>
          <t>dart_IncreaseInLoans</t>
        </is>
      </c>
      <c r="K315" s="24" t="inlineStr">
        <is>
          <t>대여금의 증가</t>
        </is>
      </c>
      <c r="L315" s="24" t="inlineStr">
        <is>
          <t>-</t>
        </is>
      </c>
      <c r="M315" s="24" t="inlineStr">
        <is>
          <t>제 24 기</t>
        </is>
      </c>
      <c r="N315" s="24" t="inlineStr">
        <is>
          <t>2809000000.0</t>
        </is>
      </c>
      <c r="O315" s="24" t="inlineStr">
        <is>
          <t>4751053600.0</t>
        </is>
      </c>
      <c r="P315" s="24" t="inlineStr">
        <is>
          <t>KRW</t>
        </is>
      </c>
      <c r="Q315" s="24" t="inlineStr">
        <is>
          <t>16</t>
        </is>
      </c>
    </row>
    <row r="316" ht="24" customHeight="1">
      <c r="A316" s="29" t="inlineStr">
        <is>
          <t>OpenDART_fnlttSinglAcntAll</t>
        </is>
      </c>
      <c r="B316" s="29" t="inlineStr">
        <is>
          <t>00366942</t>
        </is>
      </c>
      <c r="C316" s="29" t="inlineStr">
        <is>
          <t>미코</t>
        </is>
      </c>
      <c r="D316" s="29" t="inlineStr">
        <is>
          <t>mico</t>
        </is>
      </c>
      <c r="E316" s="29" t="inlineStr">
        <is>
          <t>059090</t>
        </is>
      </c>
      <c r="F316" s="29" t="inlineStr">
        <is>
          <t>2022</t>
        </is>
      </c>
      <c r="G316" s="29" t="inlineStr">
        <is>
          <t>CFS</t>
        </is>
      </c>
      <c r="H316" s="29" t="inlineStr">
        <is>
          <t>CF</t>
        </is>
      </c>
      <c r="I316" s="29" t="inlineStr">
        <is>
          <t>현금흐름표</t>
        </is>
      </c>
      <c r="J316" s="29" t="inlineStr">
        <is>
          <t>dart_IncreaseInGuaranteeDeposits</t>
        </is>
      </c>
      <c r="K316" s="29" t="inlineStr">
        <is>
          <t>보증금의 증가</t>
        </is>
      </c>
      <c r="L316" s="29" t="inlineStr">
        <is>
          <t>-</t>
        </is>
      </c>
      <c r="M316" s="29" t="inlineStr">
        <is>
          <t>제 24 기</t>
        </is>
      </c>
      <c r="N316" s="29" t="inlineStr">
        <is>
          <t>1496499637.0</t>
        </is>
      </c>
      <c r="O316" s="29" t="inlineStr">
        <is>
          <t>311263211.0</t>
        </is>
      </c>
      <c r="P316" s="29" t="inlineStr">
        <is>
          <t>KRW</t>
        </is>
      </c>
      <c r="Q316" s="29" t="inlineStr">
        <is>
          <t>17</t>
        </is>
      </c>
    </row>
    <row r="317" ht="24" customHeight="1">
      <c r="A317" s="24" t="inlineStr">
        <is>
          <t>OpenDART_fnlttSinglAcntAll</t>
        </is>
      </c>
      <c r="B317" s="24" t="inlineStr">
        <is>
          <t>00366942</t>
        </is>
      </c>
      <c r="C317" s="24" t="inlineStr">
        <is>
          <t>미코</t>
        </is>
      </c>
      <c r="D317" s="24" t="inlineStr">
        <is>
          <t>mico</t>
        </is>
      </c>
      <c r="E317" s="24" t="inlineStr">
        <is>
          <t>059090</t>
        </is>
      </c>
      <c r="F317" s="24" t="inlineStr">
        <is>
          <t>2022</t>
        </is>
      </c>
      <c r="G317" s="24" t="inlineStr">
        <is>
          <t>CFS</t>
        </is>
      </c>
      <c r="H317" s="24" t="inlineStr">
        <is>
          <t>CF</t>
        </is>
      </c>
      <c r="I317" s="24" t="inlineStr">
        <is>
          <t>현금흐름표</t>
        </is>
      </c>
      <c r="J317" s="24" t="inlineStr">
        <is>
          <t>ifrs-full_PurchaseOfPropertyPlantAndEquipmentClassifiedAsInvestingActivities</t>
        </is>
      </c>
      <c r="K317" s="24" t="inlineStr">
        <is>
          <t>유형자산의 취득</t>
        </is>
      </c>
      <c r="L317" s="24" t="inlineStr">
        <is>
          <t>-</t>
        </is>
      </c>
      <c r="M317" s="24" t="inlineStr">
        <is>
          <t>제 24 기</t>
        </is>
      </c>
      <c r="N317" s="24" t="inlineStr">
        <is>
          <t>51723483609.0</t>
        </is>
      </c>
      <c r="O317" s="24" t="inlineStr">
        <is>
          <t>118045165148.0</t>
        </is>
      </c>
      <c r="P317" s="24" t="inlineStr">
        <is>
          <t>KRW</t>
        </is>
      </c>
      <c r="Q317" s="24" t="inlineStr">
        <is>
          <t>18</t>
        </is>
      </c>
    </row>
    <row r="318" ht="24" customHeight="1">
      <c r="A318" s="29" t="inlineStr">
        <is>
          <t>OpenDART_fnlttSinglAcntAll</t>
        </is>
      </c>
      <c r="B318" s="29" t="inlineStr">
        <is>
          <t>00366942</t>
        </is>
      </c>
      <c r="C318" s="29" t="inlineStr">
        <is>
          <t>미코</t>
        </is>
      </c>
      <c r="D318" s="29" t="inlineStr">
        <is>
          <t>mico</t>
        </is>
      </c>
      <c r="E318" s="29" t="inlineStr">
        <is>
          <t>059090</t>
        </is>
      </c>
      <c r="F318" s="29" t="inlineStr">
        <is>
          <t>2022</t>
        </is>
      </c>
      <c r="G318" s="29" t="inlineStr">
        <is>
          <t>CFS</t>
        </is>
      </c>
      <c r="H318" s="29" t="inlineStr">
        <is>
          <t>CF</t>
        </is>
      </c>
      <c r="I318" s="29" t="inlineStr">
        <is>
          <t>현금흐름표</t>
        </is>
      </c>
      <c r="J318" s="29" t="inlineStr">
        <is>
          <t>dart_PurchaseOfInvestmentProperty</t>
        </is>
      </c>
      <c r="K318" s="29" t="inlineStr">
        <is>
          <t>투자부동산의 취득</t>
        </is>
      </c>
      <c r="L318" s="29" t="inlineStr">
        <is>
          <t>-</t>
        </is>
      </c>
      <c r="M318" s="29" t="inlineStr">
        <is>
          <t>제 24 기</t>
        </is>
      </c>
      <c r="N318" s="29" t="inlineStr">
        <is>
          <t>해당 없음</t>
        </is>
      </c>
      <c r="O318" s="29" t="inlineStr">
        <is>
          <t>3619531177.0</t>
        </is>
      </c>
      <c r="P318" s="29" t="inlineStr">
        <is>
          <t>KRW</t>
        </is>
      </c>
      <c r="Q318" s="29" t="inlineStr">
        <is>
          <t>19</t>
        </is>
      </c>
    </row>
    <row r="319" ht="24" customHeight="1">
      <c r="A319" s="24" t="inlineStr">
        <is>
          <t>OpenDART_fnlttSinglAcntAll</t>
        </is>
      </c>
      <c r="B319" s="24" t="inlineStr">
        <is>
          <t>00366942</t>
        </is>
      </c>
      <c r="C319" s="24" t="inlineStr">
        <is>
          <t>미코</t>
        </is>
      </c>
      <c r="D319" s="24" t="inlineStr">
        <is>
          <t>mico</t>
        </is>
      </c>
      <c r="E319" s="24" t="inlineStr">
        <is>
          <t>059090</t>
        </is>
      </c>
      <c r="F319" s="24" t="inlineStr">
        <is>
          <t>2022</t>
        </is>
      </c>
      <c r="G319" s="24" t="inlineStr">
        <is>
          <t>CFS</t>
        </is>
      </c>
      <c r="H319" s="24" t="inlineStr">
        <is>
          <t>CF</t>
        </is>
      </c>
      <c r="I319" s="24" t="inlineStr">
        <is>
          <t>현금흐름표</t>
        </is>
      </c>
      <c r="J319" s="24" t="inlineStr">
        <is>
          <t>ifrs-full_PurchaseOfIntangibleAssetsClassifiedAsInvestingActivities</t>
        </is>
      </c>
      <c r="K319" s="24" t="inlineStr">
        <is>
          <t>무형자산의 취득</t>
        </is>
      </c>
      <c r="L319" s="24" t="inlineStr">
        <is>
          <t>-</t>
        </is>
      </c>
      <c r="M319" s="24" t="inlineStr">
        <is>
          <t>제 24 기</t>
        </is>
      </c>
      <c r="N319" s="24" t="inlineStr">
        <is>
          <t>270799258.0</t>
        </is>
      </c>
      <c r="O319" s="24" t="inlineStr">
        <is>
          <t>2676896277.0</t>
        </is>
      </c>
      <c r="P319" s="24" t="inlineStr">
        <is>
          <t>KRW</t>
        </is>
      </c>
      <c r="Q319" s="24" t="inlineStr">
        <is>
          <t>20</t>
        </is>
      </c>
    </row>
    <row r="320" ht="24" customHeight="1">
      <c r="A320" s="29" t="inlineStr">
        <is>
          <t>OpenDART_fnlttSinglAcntAll</t>
        </is>
      </c>
      <c r="B320" s="29" t="inlineStr">
        <is>
          <t>00366942</t>
        </is>
      </c>
      <c r="C320" s="29" t="inlineStr">
        <is>
          <t>미코</t>
        </is>
      </c>
      <c r="D320" s="29" t="inlineStr">
        <is>
          <t>mico</t>
        </is>
      </c>
      <c r="E320" s="29" t="inlineStr">
        <is>
          <t>059090</t>
        </is>
      </c>
      <c r="F320" s="29" t="inlineStr">
        <is>
          <t>2022</t>
        </is>
      </c>
      <c r="G320" s="29" t="inlineStr">
        <is>
          <t>CFS</t>
        </is>
      </c>
      <c r="H320" s="29" t="inlineStr">
        <is>
          <t>CF</t>
        </is>
      </c>
      <c r="I320" s="29" t="inlineStr">
        <is>
          <t>현금흐름표</t>
        </is>
      </c>
      <c r="J320" s="29" t="inlineStr">
        <is>
          <t>dart_PurchaseOfInvestmentsInAssociates</t>
        </is>
      </c>
      <c r="K320" s="29" t="inlineStr">
        <is>
          <t>지분법적용투자주식의 취득</t>
        </is>
      </c>
      <c r="L320" s="29" t="inlineStr">
        <is>
          <t>-</t>
        </is>
      </c>
      <c r="M320" s="29" t="inlineStr">
        <is>
          <t>제 24 기</t>
        </is>
      </c>
      <c r="N320" s="29" t="inlineStr">
        <is>
          <t>35400178700.0</t>
        </is>
      </c>
      <c r="O320" s="29" t="inlineStr">
        <is>
          <t>53854316582.0</t>
        </is>
      </c>
      <c r="P320" s="29" t="inlineStr">
        <is>
          <t>KRW</t>
        </is>
      </c>
      <c r="Q320" s="29" t="inlineStr">
        <is>
          <t>21</t>
        </is>
      </c>
    </row>
    <row r="321" ht="24" customHeight="1">
      <c r="A321" s="24" t="inlineStr">
        <is>
          <t>OpenDART_fnlttSinglAcntAll</t>
        </is>
      </c>
      <c r="B321" s="24" t="inlineStr">
        <is>
          <t>00366942</t>
        </is>
      </c>
      <c r="C321" s="24" t="inlineStr">
        <is>
          <t>미코</t>
        </is>
      </c>
      <c r="D321" s="24" t="inlineStr">
        <is>
          <t>mico</t>
        </is>
      </c>
      <c r="E321" s="24" t="inlineStr">
        <is>
          <t>059090</t>
        </is>
      </c>
      <c r="F321" s="24" t="inlineStr">
        <is>
          <t>2022</t>
        </is>
      </c>
      <c r="G321" s="24" t="inlineStr">
        <is>
          <t>CFS</t>
        </is>
      </c>
      <c r="H321" s="24" t="inlineStr">
        <is>
          <t>CF</t>
        </is>
      </c>
      <c r="I321" s="24" t="inlineStr">
        <is>
          <t>현금흐름표</t>
        </is>
      </c>
      <c r="J321" s="24" t="inlineStr">
        <is>
          <t>-표준계정코드 미사용-</t>
        </is>
      </c>
      <c r="K321" s="24" t="inlineStr">
        <is>
          <t>당기손익-공정가치측정금융자산의 취득</t>
        </is>
      </c>
      <c r="L321" s="24" t="inlineStr">
        <is>
          <t>-</t>
        </is>
      </c>
      <c r="M321" s="24" t="inlineStr">
        <is>
          <t>제 24 기</t>
        </is>
      </c>
      <c r="N321" s="24" t="inlineStr">
        <is>
          <t>26049318771.0</t>
        </is>
      </c>
      <c r="O321" s="24" t="inlineStr">
        <is>
          <t>18387437314.0</t>
        </is>
      </c>
      <c r="P321" s="24" t="inlineStr">
        <is>
          <t>KRW</t>
        </is>
      </c>
      <c r="Q321" s="24" t="inlineStr">
        <is>
          <t>22</t>
        </is>
      </c>
    </row>
    <row r="322" ht="24" customHeight="1">
      <c r="A322" s="29" t="inlineStr">
        <is>
          <t>OpenDART_fnlttSinglAcntAll</t>
        </is>
      </c>
      <c r="B322" s="29" t="inlineStr">
        <is>
          <t>00366942</t>
        </is>
      </c>
      <c r="C322" s="29" t="inlineStr">
        <is>
          <t>미코</t>
        </is>
      </c>
      <c r="D322" s="29" t="inlineStr">
        <is>
          <t>mico</t>
        </is>
      </c>
      <c r="E322" s="29" t="inlineStr">
        <is>
          <t>059090</t>
        </is>
      </c>
      <c r="F322" s="29" t="inlineStr">
        <is>
          <t>2022</t>
        </is>
      </c>
      <c r="G322" s="29" t="inlineStr">
        <is>
          <t>CFS</t>
        </is>
      </c>
      <c r="H322" s="29" t="inlineStr">
        <is>
          <t>CF</t>
        </is>
      </c>
      <c r="I322" s="29" t="inlineStr">
        <is>
          <t>현금흐름표</t>
        </is>
      </c>
      <c r="J322" s="29" t="inlineStr">
        <is>
          <t>dart_RepaymentOfGovernmentGrantsClassifiedAsInvestingActivities</t>
        </is>
      </c>
      <c r="K322" s="29" t="inlineStr">
        <is>
          <t>정부보조금의 상환</t>
        </is>
      </c>
      <c r="L322" s="29" t="inlineStr">
        <is>
          <t>-</t>
        </is>
      </c>
      <c r="M322" s="29" t="inlineStr">
        <is>
          <t>제 24 기</t>
        </is>
      </c>
      <c r="N322" s="29" t="inlineStr">
        <is>
          <t>5400000.0</t>
        </is>
      </c>
      <c r="O322" s="29" t="inlineStr">
        <is>
          <t>해당 없음</t>
        </is>
      </c>
      <c r="P322" s="29" t="inlineStr">
        <is>
          <t>KRW</t>
        </is>
      </c>
      <c r="Q322" s="29" t="inlineStr">
        <is>
          <t>23</t>
        </is>
      </c>
    </row>
    <row r="323" ht="24" customHeight="1">
      <c r="A323" s="24" t="inlineStr">
        <is>
          <t>OpenDART_fnlttSinglAcntAll</t>
        </is>
      </c>
      <c r="B323" s="24" t="inlineStr">
        <is>
          <t>00366942</t>
        </is>
      </c>
      <c r="C323" s="24" t="inlineStr">
        <is>
          <t>미코</t>
        </is>
      </c>
      <c r="D323" s="24" t="inlineStr">
        <is>
          <t>mico</t>
        </is>
      </c>
      <c r="E323" s="24" t="inlineStr">
        <is>
          <t>059090</t>
        </is>
      </c>
      <c r="F323" s="24" t="inlineStr">
        <is>
          <t>2022</t>
        </is>
      </c>
      <c r="G323" s="24" t="inlineStr">
        <is>
          <t>CFS</t>
        </is>
      </c>
      <c r="H323" s="24" t="inlineStr">
        <is>
          <t>CF</t>
        </is>
      </c>
      <c r="I323" s="24" t="inlineStr">
        <is>
          <t>현금흐름표</t>
        </is>
      </c>
      <c r="J323" s="24" t="inlineStr">
        <is>
          <t>ifrs-full_CashFlowsFromUsedInFinancingActivities</t>
        </is>
      </c>
      <c r="K323" s="24" t="inlineStr">
        <is>
          <t>재무활동현금흐름</t>
        </is>
      </c>
      <c r="L323" s="24" t="inlineStr">
        <is>
          <t>-</t>
        </is>
      </c>
      <c r="M323" s="24" t="inlineStr">
        <is>
          <t>제 24 기</t>
        </is>
      </c>
      <c r="N323" s="24" t="inlineStr">
        <is>
          <t>-2119555574.0</t>
        </is>
      </c>
      <c r="O323" s="24" t="inlineStr">
        <is>
          <t>127146922609.0</t>
        </is>
      </c>
      <c r="P323" s="24" t="inlineStr">
        <is>
          <t>KRW</t>
        </is>
      </c>
      <c r="Q323" s="24" t="inlineStr">
        <is>
          <t>24</t>
        </is>
      </c>
    </row>
    <row r="324" ht="24" customHeight="1">
      <c r="A324" s="29" t="inlineStr">
        <is>
          <t>OpenDART_fnlttSinglAcntAll</t>
        </is>
      </c>
      <c r="B324" s="29" t="inlineStr">
        <is>
          <t>00366942</t>
        </is>
      </c>
      <c r="C324" s="29" t="inlineStr">
        <is>
          <t>미코</t>
        </is>
      </c>
      <c r="D324" s="29" t="inlineStr">
        <is>
          <t>mico</t>
        </is>
      </c>
      <c r="E324" s="29" t="inlineStr">
        <is>
          <t>059090</t>
        </is>
      </c>
      <c r="F324" s="29" t="inlineStr">
        <is>
          <t>2022</t>
        </is>
      </c>
      <c r="G324" s="29" t="inlineStr">
        <is>
          <t>CFS</t>
        </is>
      </c>
      <c r="H324" s="29" t="inlineStr">
        <is>
          <t>CF</t>
        </is>
      </c>
      <c r="I324" s="29" t="inlineStr">
        <is>
          <t>현금흐름표</t>
        </is>
      </c>
      <c r="J324" s="29" t="inlineStr">
        <is>
          <t>ifrs-full_ProceedsFromGovernmentGrantsClassifiedAsFinancingActivities</t>
        </is>
      </c>
      <c r="K324" s="29" t="inlineStr">
        <is>
          <t>정부보조금의 수취</t>
        </is>
      </c>
      <c r="L324" s="29" t="inlineStr">
        <is>
          <t>-</t>
        </is>
      </c>
      <c r="M324" s="29" t="inlineStr">
        <is>
          <t>제 24 기</t>
        </is>
      </c>
      <c r="N324" s="29" t="inlineStr">
        <is>
          <t>113713018.0</t>
        </is>
      </c>
      <c r="O324" s="29" t="inlineStr">
        <is>
          <t>1045551846.0</t>
        </is>
      </c>
      <c r="P324" s="29" t="inlineStr">
        <is>
          <t>KRW</t>
        </is>
      </c>
      <c r="Q324" s="29" t="inlineStr">
        <is>
          <t>25</t>
        </is>
      </c>
    </row>
    <row r="325" ht="24" customHeight="1">
      <c r="A325" s="24" t="inlineStr">
        <is>
          <t>OpenDART_fnlttSinglAcntAll</t>
        </is>
      </c>
      <c r="B325" s="24" t="inlineStr">
        <is>
          <t>00366942</t>
        </is>
      </c>
      <c r="C325" s="24" t="inlineStr">
        <is>
          <t>미코</t>
        </is>
      </c>
      <c r="D325" s="24" t="inlineStr">
        <is>
          <t>mico</t>
        </is>
      </c>
      <c r="E325" s="24" t="inlineStr">
        <is>
          <t>059090</t>
        </is>
      </c>
      <c r="F325" s="24" t="inlineStr">
        <is>
          <t>2022</t>
        </is>
      </c>
      <c r="G325" s="24" t="inlineStr">
        <is>
          <t>CFS</t>
        </is>
      </c>
      <c r="H325" s="24" t="inlineStr">
        <is>
          <t>CF</t>
        </is>
      </c>
      <c r="I325" s="24" t="inlineStr">
        <is>
          <t>현금흐름표</t>
        </is>
      </c>
      <c r="J325" s="24" t="inlineStr">
        <is>
          <t>dart_ProceedsFromShortTermBorrowings</t>
        </is>
      </c>
      <c r="K325" s="24" t="inlineStr">
        <is>
          <t>단기차입금의 증가</t>
        </is>
      </c>
      <c r="L325" s="24" t="inlineStr">
        <is>
          <t>-</t>
        </is>
      </c>
      <c r="M325" s="24" t="inlineStr">
        <is>
          <t>제 24 기</t>
        </is>
      </c>
      <c r="N325" s="24" t="inlineStr">
        <is>
          <t>61949600000.0</t>
        </is>
      </c>
      <c r="O325" s="24" t="inlineStr">
        <is>
          <t>56532889495.0</t>
        </is>
      </c>
      <c r="P325" s="24" t="inlineStr">
        <is>
          <t>KRW</t>
        </is>
      </c>
      <c r="Q325" s="24" t="inlineStr">
        <is>
          <t>26</t>
        </is>
      </c>
    </row>
    <row r="326" ht="24" customHeight="1">
      <c r="A326" s="29" t="inlineStr">
        <is>
          <t>OpenDART_fnlttSinglAcntAll</t>
        </is>
      </c>
      <c r="B326" s="29" t="inlineStr">
        <is>
          <t>00366942</t>
        </is>
      </c>
      <c r="C326" s="29" t="inlineStr">
        <is>
          <t>미코</t>
        </is>
      </c>
      <c r="D326" s="29" t="inlineStr">
        <is>
          <t>mico</t>
        </is>
      </c>
      <c r="E326" s="29" t="inlineStr">
        <is>
          <t>059090</t>
        </is>
      </c>
      <c r="F326" s="29" t="inlineStr">
        <is>
          <t>2022</t>
        </is>
      </c>
      <c r="G326" s="29" t="inlineStr">
        <is>
          <t>CFS</t>
        </is>
      </c>
      <c r="H326" s="29" t="inlineStr">
        <is>
          <t>CF</t>
        </is>
      </c>
      <c r="I326" s="29" t="inlineStr">
        <is>
          <t>현금흐름표</t>
        </is>
      </c>
      <c r="J326" s="29" t="inlineStr">
        <is>
          <t>dart_ProceedsFromLongTermBorrowings</t>
        </is>
      </c>
      <c r="K326" s="29" t="inlineStr">
        <is>
          <t>장기차입금의 증가</t>
        </is>
      </c>
      <c r="L326" s="29" t="inlineStr">
        <is>
          <t>-</t>
        </is>
      </c>
      <c r="M326" s="29" t="inlineStr">
        <is>
          <t>제 24 기</t>
        </is>
      </c>
      <c r="N326" s="29" t="inlineStr">
        <is>
          <t>13479000000.0</t>
        </is>
      </c>
      <c r="O326" s="29" t="inlineStr">
        <is>
          <t>24021000000.0</t>
        </is>
      </c>
      <c r="P326" s="29" t="inlineStr">
        <is>
          <t>KRW</t>
        </is>
      </c>
      <c r="Q326" s="29" t="inlineStr">
        <is>
          <t>27</t>
        </is>
      </c>
    </row>
    <row r="327" ht="24" customHeight="1">
      <c r="A327" s="24" t="inlineStr">
        <is>
          <t>OpenDART_fnlttSinglAcntAll</t>
        </is>
      </c>
      <c r="B327" s="24" t="inlineStr">
        <is>
          <t>00366942</t>
        </is>
      </c>
      <c r="C327" s="24" t="inlineStr">
        <is>
          <t>미코</t>
        </is>
      </c>
      <c r="D327" s="24" t="inlineStr">
        <is>
          <t>mico</t>
        </is>
      </c>
      <c r="E327" s="24" t="inlineStr">
        <is>
          <t>059090</t>
        </is>
      </c>
      <c r="F327" s="24" t="inlineStr">
        <is>
          <t>2022</t>
        </is>
      </c>
      <c r="G327" s="24" t="inlineStr">
        <is>
          <t>CFS</t>
        </is>
      </c>
      <c r="H327" s="24" t="inlineStr">
        <is>
          <t>CF</t>
        </is>
      </c>
      <c r="I327" s="24" t="inlineStr">
        <is>
          <t>현금흐름표</t>
        </is>
      </c>
      <c r="J327" s="24" t="inlineStr">
        <is>
          <t>ifrs-full_ProceedsFromChangesInOwnershipInterestsInSubsidiaries</t>
        </is>
      </c>
      <c r="K327" s="24" t="inlineStr">
        <is>
          <t>종속기업투자주식의 처분</t>
        </is>
      </c>
      <c r="L327" s="24" t="inlineStr">
        <is>
          <t>-</t>
        </is>
      </c>
      <c r="M327" s="24" t="inlineStr">
        <is>
          <t>제 24 기</t>
        </is>
      </c>
      <c r="N327" s="24" t="inlineStr">
        <is>
          <t>해당 없음</t>
        </is>
      </c>
      <c r="O327" s="24" t="inlineStr">
        <is>
          <t>41126973010.0</t>
        </is>
      </c>
      <c r="P327" s="24" t="inlineStr">
        <is>
          <t>KRW</t>
        </is>
      </c>
      <c r="Q327" s="24" t="inlineStr">
        <is>
          <t>28</t>
        </is>
      </c>
    </row>
    <row r="328" ht="24" customHeight="1">
      <c r="A328" s="29" t="inlineStr">
        <is>
          <t>OpenDART_fnlttSinglAcntAll</t>
        </is>
      </c>
      <c r="B328" s="29" t="inlineStr">
        <is>
          <t>00366942</t>
        </is>
      </c>
      <c r="C328" s="29" t="inlineStr">
        <is>
          <t>미코</t>
        </is>
      </c>
      <c r="D328" s="29" t="inlineStr">
        <is>
          <t>mico</t>
        </is>
      </c>
      <c r="E328" s="29" t="inlineStr">
        <is>
          <t>059090</t>
        </is>
      </c>
      <c r="F328" s="29" t="inlineStr">
        <is>
          <t>2022</t>
        </is>
      </c>
      <c r="G328" s="29" t="inlineStr">
        <is>
          <t>CFS</t>
        </is>
      </c>
      <c r="H328" s="29" t="inlineStr">
        <is>
          <t>CF</t>
        </is>
      </c>
      <c r="I328" s="29" t="inlineStr">
        <is>
          <t>현금흐름표</t>
        </is>
      </c>
      <c r="J328" s="29" t="inlineStr">
        <is>
          <t>dart_ProceedsFromConvertibleBonds</t>
        </is>
      </c>
      <c r="K328" s="29" t="inlineStr">
        <is>
          <t>전환사채의 발행</t>
        </is>
      </c>
      <c r="L328" s="29" t="inlineStr">
        <is>
          <t>-</t>
        </is>
      </c>
      <c r="M328" s="29" t="inlineStr">
        <is>
          <t>제 24 기</t>
        </is>
      </c>
      <c r="N328" s="29" t="inlineStr">
        <is>
          <t>25000000000.0</t>
        </is>
      </c>
      <c r="O328" s="29" t="inlineStr">
        <is>
          <t>12500000000.0</t>
        </is>
      </c>
      <c r="P328" s="29" t="inlineStr">
        <is>
          <t>KRW</t>
        </is>
      </c>
      <c r="Q328" s="29" t="inlineStr">
        <is>
          <t>29</t>
        </is>
      </c>
    </row>
    <row r="329" ht="24" customHeight="1">
      <c r="A329" s="24" t="inlineStr">
        <is>
          <t>OpenDART_fnlttSinglAcntAll</t>
        </is>
      </c>
      <c r="B329" s="24" t="inlineStr">
        <is>
          <t>00366942</t>
        </is>
      </c>
      <c r="C329" s="24" t="inlineStr">
        <is>
          <t>미코</t>
        </is>
      </c>
      <c r="D329" s="24" t="inlineStr">
        <is>
          <t>mico</t>
        </is>
      </c>
      <c r="E329" s="24" t="inlineStr">
        <is>
          <t>059090</t>
        </is>
      </c>
      <c r="F329" s="24" t="inlineStr">
        <is>
          <t>2022</t>
        </is>
      </c>
      <c r="G329" s="24" t="inlineStr">
        <is>
          <t>CFS</t>
        </is>
      </c>
      <c r="H329" s="24" t="inlineStr">
        <is>
          <t>CF</t>
        </is>
      </c>
      <c r="I329" s="24" t="inlineStr">
        <is>
          <t>현금흐름표</t>
        </is>
      </c>
      <c r="J329" s="24" t="inlineStr">
        <is>
          <t>dart_ProceedsFromBondWithWarrant</t>
        </is>
      </c>
      <c r="K329" s="24" t="inlineStr">
        <is>
          <t>신주인수권부사채의 증가</t>
        </is>
      </c>
      <c r="L329" s="24" t="inlineStr">
        <is>
          <t>-</t>
        </is>
      </c>
      <c r="M329" s="24" t="inlineStr">
        <is>
          <t>제 24 기</t>
        </is>
      </c>
      <c r="N329" s="24" t="inlineStr">
        <is>
          <t>해당 없음</t>
        </is>
      </c>
      <c r="O329" s="24" t="inlineStr">
        <is>
          <t>해당 없음</t>
        </is>
      </c>
      <c r="P329" s="24" t="inlineStr">
        <is>
          <t>KRW</t>
        </is>
      </c>
      <c r="Q329" s="24" t="inlineStr">
        <is>
          <t>30</t>
        </is>
      </c>
    </row>
    <row r="330" ht="24" customHeight="1">
      <c r="A330" s="29" t="inlineStr">
        <is>
          <t>OpenDART_fnlttSinglAcntAll</t>
        </is>
      </c>
      <c r="B330" s="29" t="inlineStr">
        <is>
          <t>00366942</t>
        </is>
      </c>
      <c r="C330" s="29" t="inlineStr">
        <is>
          <t>미코</t>
        </is>
      </c>
      <c r="D330" s="29" t="inlineStr">
        <is>
          <t>mico</t>
        </is>
      </c>
      <c r="E330" s="29" t="inlineStr">
        <is>
          <t>059090</t>
        </is>
      </c>
      <c r="F330" s="29" t="inlineStr">
        <is>
          <t>2022</t>
        </is>
      </c>
      <c r="G330" s="29" t="inlineStr">
        <is>
          <t>CFS</t>
        </is>
      </c>
      <c r="H330" s="29" t="inlineStr">
        <is>
          <t>CF</t>
        </is>
      </c>
      <c r="I330" s="29" t="inlineStr">
        <is>
          <t>현금흐름표</t>
        </is>
      </c>
      <c r="J330" s="29" t="inlineStr">
        <is>
          <t>dart_ProceedsFromExchangeableBond</t>
        </is>
      </c>
      <c r="K330" s="29" t="inlineStr">
        <is>
          <t>교환사채의 발행</t>
        </is>
      </c>
      <c r="L330" s="29" t="inlineStr">
        <is>
          <t>-</t>
        </is>
      </c>
      <c r="M330" s="29" t="inlineStr">
        <is>
          <t>제 24 기</t>
        </is>
      </c>
      <c r="N330" s="29" t="inlineStr">
        <is>
          <t>29000000000.0</t>
        </is>
      </c>
      <c r="O330" s="29" t="inlineStr">
        <is>
          <t>해당 없음</t>
        </is>
      </c>
      <c r="P330" s="29" t="inlineStr">
        <is>
          <t>KRW</t>
        </is>
      </c>
      <c r="Q330" s="29" t="inlineStr">
        <is>
          <t>31</t>
        </is>
      </c>
    </row>
    <row r="331" ht="24" customHeight="1">
      <c r="A331" s="24" t="inlineStr">
        <is>
          <t>OpenDART_fnlttSinglAcntAll</t>
        </is>
      </c>
      <c r="B331" s="24" t="inlineStr">
        <is>
          <t>00366942</t>
        </is>
      </c>
      <c r="C331" s="24" t="inlineStr">
        <is>
          <t>미코</t>
        </is>
      </c>
      <c r="D331" s="24" t="inlineStr">
        <is>
          <t>mico</t>
        </is>
      </c>
      <c r="E331" s="24" t="inlineStr">
        <is>
          <t>059090</t>
        </is>
      </c>
      <c r="F331" s="24" t="inlineStr">
        <is>
          <t>2022</t>
        </is>
      </c>
      <c r="G331" s="24" t="inlineStr">
        <is>
          <t>CFS</t>
        </is>
      </c>
      <c r="H331" s="24" t="inlineStr">
        <is>
          <t>CF</t>
        </is>
      </c>
      <c r="I331" s="24" t="inlineStr">
        <is>
          <t>현금흐름표</t>
        </is>
      </c>
      <c r="J331" s="24" t="inlineStr">
        <is>
          <t>dart_IncreaseInGuaranteeDepositsAsFinancialActivities</t>
        </is>
      </c>
      <c r="K331" s="24" t="inlineStr">
        <is>
          <t>임대보증금의 증가</t>
        </is>
      </c>
      <c r="L331" s="24" t="inlineStr">
        <is>
          <t>-</t>
        </is>
      </c>
      <c r="M331" s="24" t="inlineStr">
        <is>
          <t>제 24 기</t>
        </is>
      </c>
      <c r="N331" s="24" t="inlineStr">
        <is>
          <t>635265000.0</t>
        </is>
      </c>
      <c r="O331" s="24" t="inlineStr">
        <is>
          <t>30000000.0</t>
        </is>
      </c>
      <c r="P331" s="24" t="inlineStr">
        <is>
          <t>KRW</t>
        </is>
      </c>
      <c r="Q331" s="24" t="inlineStr">
        <is>
          <t>32</t>
        </is>
      </c>
    </row>
    <row r="332" ht="24" customHeight="1">
      <c r="A332" s="29" t="inlineStr">
        <is>
          <t>OpenDART_fnlttSinglAcntAll</t>
        </is>
      </c>
      <c r="B332" s="29" t="inlineStr">
        <is>
          <t>00366942</t>
        </is>
      </c>
      <c r="C332" s="29" t="inlineStr">
        <is>
          <t>미코</t>
        </is>
      </c>
      <c r="D332" s="29" t="inlineStr">
        <is>
          <t>mico</t>
        </is>
      </c>
      <c r="E332" s="29" t="inlineStr">
        <is>
          <t>059090</t>
        </is>
      </c>
      <c r="F332" s="29" t="inlineStr">
        <is>
          <t>2022</t>
        </is>
      </c>
      <c r="G332" s="29" t="inlineStr">
        <is>
          <t>CFS</t>
        </is>
      </c>
      <c r="H332" s="29" t="inlineStr">
        <is>
          <t>CF</t>
        </is>
      </c>
      <c r="I332" s="29" t="inlineStr">
        <is>
          <t>현금흐름표</t>
        </is>
      </c>
      <c r="J332" s="29" t="inlineStr">
        <is>
          <t>dart_RepaymentsOfShortTermBorrowings</t>
        </is>
      </c>
      <c r="K332" s="29" t="inlineStr">
        <is>
          <t>단기차입금의 상환</t>
        </is>
      </c>
      <c r="L332" s="29" t="inlineStr">
        <is>
          <t>-</t>
        </is>
      </c>
      <c r="M332" s="29" t="inlineStr">
        <is>
          <t>제 24 기</t>
        </is>
      </c>
      <c r="N332" s="29" t="inlineStr">
        <is>
          <t>40430790209.0</t>
        </is>
      </c>
      <c r="O332" s="29" t="inlineStr">
        <is>
          <t>27456916000.0</t>
        </is>
      </c>
      <c r="P332" s="29" t="inlineStr">
        <is>
          <t>KRW</t>
        </is>
      </c>
      <c r="Q332" s="29" t="inlineStr">
        <is>
          <t>33</t>
        </is>
      </c>
    </row>
    <row r="333" ht="24" customHeight="1">
      <c r="A333" s="24" t="inlineStr">
        <is>
          <t>OpenDART_fnlttSinglAcntAll</t>
        </is>
      </c>
      <c r="B333" s="24" t="inlineStr">
        <is>
          <t>00366942</t>
        </is>
      </c>
      <c r="C333" s="24" t="inlineStr">
        <is>
          <t>미코</t>
        </is>
      </c>
      <c r="D333" s="24" t="inlineStr">
        <is>
          <t>mico</t>
        </is>
      </c>
      <c r="E333" s="24" t="inlineStr">
        <is>
          <t>059090</t>
        </is>
      </c>
      <c r="F333" s="24" t="inlineStr">
        <is>
          <t>2022</t>
        </is>
      </c>
      <c r="G333" s="24" t="inlineStr">
        <is>
          <t>CFS</t>
        </is>
      </c>
      <c r="H333" s="24" t="inlineStr">
        <is>
          <t>CF</t>
        </is>
      </c>
      <c r="I333" s="24" t="inlineStr">
        <is>
          <t>현금흐름표</t>
        </is>
      </c>
      <c r="J333" s="24" t="inlineStr">
        <is>
          <t>-표준계정코드 미사용-</t>
        </is>
      </c>
      <c r="K333" s="24" t="inlineStr">
        <is>
          <t>유동성장기부채의 상환</t>
        </is>
      </c>
      <c r="L333" s="24" t="inlineStr">
        <is>
          <t>-</t>
        </is>
      </c>
      <c r="M333" s="24" t="inlineStr">
        <is>
          <t>제 24 기</t>
        </is>
      </c>
      <c r="N333" s="24" t="inlineStr">
        <is>
          <t>13764234216.0</t>
        </is>
      </c>
      <c r="O333" s="24" t="inlineStr">
        <is>
          <t>5977060000.0</t>
        </is>
      </c>
      <c r="P333" s="24" t="inlineStr">
        <is>
          <t>KRW</t>
        </is>
      </c>
      <c r="Q333" s="24" t="inlineStr">
        <is>
          <t>34</t>
        </is>
      </c>
    </row>
    <row r="334" ht="24" customHeight="1">
      <c r="A334" s="29" t="inlineStr">
        <is>
          <t>OpenDART_fnlttSinglAcntAll</t>
        </is>
      </c>
      <c r="B334" s="29" t="inlineStr">
        <is>
          <t>00366942</t>
        </is>
      </c>
      <c r="C334" s="29" t="inlineStr">
        <is>
          <t>미코</t>
        </is>
      </c>
      <c r="D334" s="29" t="inlineStr">
        <is>
          <t>mico</t>
        </is>
      </c>
      <c r="E334" s="29" t="inlineStr">
        <is>
          <t>059090</t>
        </is>
      </c>
      <c r="F334" s="29" t="inlineStr">
        <is>
          <t>2022</t>
        </is>
      </c>
      <c r="G334" s="29" t="inlineStr">
        <is>
          <t>CFS</t>
        </is>
      </c>
      <c r="H334" s="29" t="inlineStr">
        <is>
          <t>CF</t>
        </is>
      </c>
      <c r="I334" s="29" t="inlineStr">
        <is>
          <t>현금흐름표</t>
        </is>
      </c>
      <c r="J334" s="29" t="inlineStr">
        <is>
          <t>dart_RepaymentsOfLongTermBorrowings</t>
        </is>
      </c>
      <c r="K334" s="29" t="inlineStr">
        <is>
          <t>장기차입금의 상환</t>
        </is>
      </c>
      <c r="L334" s="29" t="inlineStr">
        <is>
          <t>-</t>
        </is>
      </c>
      <c r="M334" s="29" t="inlineStr">
        <is>
          <t>제 24 기</t>
        </is>
      </c>
      <c r="N334" s="29" t="inlineStr">
        <is>
          <t>28462324768.0</t>
        </is>
      </c>
      <c r="O334" s="29" t="inlineStr">
        <is>
          <t>3000000000.0</t>
        </is>
      </c>
      <c r="P334" s="29" t="inlineStr">
        <is>
          <t>KRW</t>
        </is>
      </c>
      <c r="Q334" s="29" t="inlineStr">
        <is>
          <t>35</t>
        </is>
      </c>
    </row>
    <row r="335" ht="24" customHeight="1">
      <c r="A335" s="24" t="inlineStr">
        <is>
          <t>OpenDART_fnlttSinglAcntAll</t>
        </is>
      </c>
      <c r="B335" s="24" t="inlineStr">
        <is>
          <t>00366942</t>
        </is>
      </c>
      <c r="C335" s="24" t="inlineStr">
        <is>
          <t>미코</t>
        </is>
      </c>
      <c r="D335" s="24" t="inlineStr">
        <is>
          <t>mico</t>
        </is>
      </c>
      <c r="E335" s="24" t="inlineStr">
        <is>
          <t>059090</t>
        </is>
      </c>
      <c r="F335" s="24" t="inlineStr">
        <is>
          <t>2022</t>
        </is>
      </c>
      <c r="G335" s="24" t="inlineStr">
        <is>
          <t>CFS</t>
        </is>
      </c>
      <c r="H335" s="24" t="inlineStr">
        <is>
          <t>CF</t>
        </is>
      </c>
      <c r="I335" s="24" t="inlineStr">
        <is>
          <t>현금흐름표</t>
        </is>
      </c>
      <c r="J335" s="24" t="inlineStr">
        <is>
          <t>dart_RepaymentsOfBondWithWarrant</t>
        </is>
      </c>
      <c r="K335" s="24" t="inlineStr">
        <is>
          <t>신주인수권부사채의 상환</t>
        </is>
      </c>
      <c r="L335" s="24" t="inlineStr">
        <is>
          <t>-</t>
        </is>
      </c>
      <c r="M335" s="24" t="inlineStr">
        <is>
          <t>제 24 기</t>
        </is>
      </c>
      <c r="N335" s="24" t="inlineStr">
        <is>
          <t>7500000000.0</t>
        </is>
      </c>
      <c r="O335" s="24" t="inlineStr">
        <is>
          <t>해당 없음</t>
        </is>
      </c>
      <c r="P335" s="24" t="inlineStr">
        <is>
          <t>KRW</t>
        </is>
      </c>
      <c r="Q335" s="24" t="inlineStr">
        <is>
          <t>36</t>
        </is>
      </c>
    </row>
    <row r="336" ht="24" customHeight="1">
      <c r="A336" s="29" t="inlineStr">
        <is>
          <t>OpenDART_fnlttSinglAcntAll</t>
        </is>
      </c>
      <c r="B336" s="29" t="inlineStr">
        <is>
          <t>00366942</t>
        </is>
      </c>
      <c r="C336" s="29" t="inlineStr">
        <is>
          <t>미코</t>
        </is>
      </c>
      <c r="D336" s="29" t="inlineStr">
        <is>
          <t>mico</t>
        </is>
      </c>
      <c r="E336" s="29" t="inlineStr">
        <is>
          <t>059090</t>
        </is>
      </c>
      <c r="F336" s="29" t="inlineStr">
        <is>
          <t>2022</t>
        </is>
      </c>
      <c r="G336" s="29" t="inlineStr">
        <is>
          <t>CFS</t>
        </is>
      </c>
      <c r="H336" s="29" t="inlineStr">
        <is>
          <t>CF</t>
        </is>
      </c>
      <c r="I336" s="29" t="inlineStr">
        <is>
          <t>현금흐름표</t>
        </is>
      </c>
      <c r="J336" s="29" t="inlineStr">
        <is>
          <t>dart_RepaymentsOfConvertibleBonds</t>
        </is>
      </c>
      <c r="K336" s="29" t="inlineStr">
        <is>
          <t>전환사채의 조기상환</t>
        </is>
      </c>
      <c r="L336" s="29" t="inlineStr">
        <is>
          <t>-</t>
        </is>
      </c>
      <c r="M336" s="29" t="inlineStr">
        <is>
          <t>제 24 기</t>
        </is>
      </c>
      <c r="N336" s="29" t="inlineStr">
        <is>
          <t>12500000000.0</t>
        </is>
      </c>
      <c r="O336" s="29" t="inlineStr">
        <is>
          <t>해당 없음</t>
        </is>
      </c>
      <c r="P336" s="29" t="inlineStr">
        <is>
          <t>KRW</t>
        </is>
      </c>
      <c r="Q336" s="29" t="inlineStr">
        <is>
          <t>37</t>
        </is>
      </c>
    </row>
    <row r="337" ht="24" customHeight="1">
      <c r="A337" s="24" t="inlineStr">
        <is>
          <t>OpenDART_fnlttSinglAcntAll</t>
        </is>
      </c>
      <c r="B337" s="24" t="inlineStr">
        <is>
          <t>00366942</t>
        </is>
      </c>
      <c r="C337" s="24" t="inlineStr">
        <is>
          <t>미코</t>
        </is>
      </c>
      <c r="D337" s="24" t="inlineStr">
        <is>
          <t>mico</t>
        </is>
      </c>
      <c r="E337" s="24" t="inlineStr">
        <is>
          <t>059090</t>
        </is>
      </c>
      <c r="F337" s="24" t="inlineStr">
        <is>
          <t>2022</t>
        </is>
      </c>
      <c r="G337" s="24" t="inlineStr">
        <is>
          <t>CFS</t>
        </is>
      </c>
      <c r="H337" s="24" t="inlineStr">
        <is>
          <t>CF</t>
        </is>
      </c>
      <c r="I337" s="24" t="inlineStr">
        <is>
          <t>현금흐름표</t>
        </is>
      </c>
      <c r="J337" s="24" t="inlineStr">
        <is>
          <t>-표준계정코드 미사용-</t>
        </is>
      </c>
      <c r="K337" s="24" t="inlineStr">
        <is>
          <t>리스부채의 상환</t>
        </is>
      </c>
      <c r="L337" s="24" t="inlineStr">
        <is>
          <t>-</t>
        </is>
      </c>
      <c r="M337" s="24" t="inlineStr">
        <is>
          <t>제 24 기</t>
        </is>
      </c>
      <c r="N337" s="24" t="inlineStr">
        <is>
          <t>2826451564.0</t>
        </is>
      </c>
      <c r="O337" s="24" t="inlineStr">
        <is>
          <t>2603702732.0</t>
        </is>
      </c>
      <c r="P337" s="24" t="inlineStr">
        <is>
          <t>KRW</t>
        </is>
      </c>
      <c r="Q337" s="24" t="inlineStr">
        <is>
          <t>38</t>
        </is>
      </c>
    </row>
    <row r="338" ht="24" customHeight="1">
      <c r="A338" s="29" t="inlineStr">
        <is>
          <t>OpenDART_fnlttSinglAcntAll</t>
        </is>
      </c>
      <c r="B338" s="29" t="inlineStr">
        <is>
          <t>00366942</t>
        </is>
      </c>
      <c r="C338" s="29" t="inlineStr">
        <is>
          <t>미코</t>
        </is>
      </c>
      <c r="D338" s="29" t="inlineStr">
        <is>
          <t>mico</t>
        </is>
      </c>
      <c r="E338" s="29" t="inlineStr">
        <is>
          <t>059090</t>
        </is>
      </c>
      <c r="F338" s="29" t="inlineStr">
        <is>
          <t>2022</t>
        </is>
      </c>
      <c r="G338" s="29" t="inlineStr">
        <is>
          <t>CFS</t>
        </is>
      </c>
      <c r="H338" s="29" t="inlineStr">
        <is>
          <t>CF</t>
        </is>
      </c>
      <c r="I338" s="29" t="inlineStr">
        <is>
          <t>현금흐름표</t>
        </is>
      </c>
      <c r="J338" s="29" t="inlineStr">
        <is>
          <t>dart_DecreaseInGuaranteeDepositsAsFinancialActivities</t>
        </is>
      </c>
      <c r="K338" s="29" t="inlineStr">
        <is>
          <t>임대보증금의 감소</t>
        </is>
      </c>
      <c r="L338" s="29" t="inlineStr">
        <is>
          <t>-</t>
        </is>
      </c>
      <c r="M338" s="29" t="inlineStr">
        <is>
          <t>제 24 기</t>
        </is>
      </c>
      <c r="N338" s="29" t="inlineStr">
        <is>
          <t>993265000.0</t>
        </is>
      </c>
      <c r="O338" s="29" t="inlineStr">
        <is>
          <t>해당 없음</t>
        </is>
      </c>
      <c r="P338" s="29" t="inlineStr">
        <is>
          <t>KRW</t>
        </is>
      </c>
      <c r="Q338" s="29" t="inlineStr">
        <is>
          <t>39</t>
        </is>
      </c>
    </row>
    <row r="339" ht="24" customHeight="1">
      <c r="A339" s="24" t="inlineStr">
        <is>
          <t>OpenDART_fnlttSinglAcntAll</t>
        </is>
      </c>
      <c r="B339" s="24" t="inlineStr">
        <is>
          <t>00366942</t>
        </is>
      </c>
      <c r="C339" s="24" t="inlineStr">
        <is>
          <t>미코</t>
        </is>
      </c>
      <c r="D339" s="24" t="inlineStr">
        <is>
          <t>mico</t>
        </is>
      </c>
      <c r="E339" s="24" t="inlineStr">
        <is>
          <t>059090</t>
        </is>
      </c>
      <c r="F339" s="24" t="inlineStr">
        <is>
          <t>2022</t>
        </is>
      </c>
      <c r="G339" s="24" t="inlineStr">
        <is>
          <t>CFS</t>
        </is>
      </c>
      <c r="H339" s="24" t="inlineStr">
        <is>
          <t>CF</t>
        </is>
      </c>
      <c r="I339" s="24" t="inlineStr">
        <is>
          <t>현금흐름표</t>
        </is>
      </c>
      <c r="J339" s="24" t="inlineStr">
        <is>
          <t>-표준계정코드 미사용-</t>
        </is>
      </c>
      <c r="K339" s="24" t="inlineStr">
        <is>
          <t>자기주식취득</t>
        </is>
      </c>
      <c r="L339" s="24" t="inlineStr">
        <is>
          <t>-</t>
        </is>
      </c>
      <c r="M339" s="24" t="inlineStr">
        <is>
          <t>제 24 기</t>
        </is>
      </c>
      <c r="N339" s="24" t="inlineStr">
        <is>
          <t>5954027272.0</t>
        </is>
      </c>
      <c r="O339" s="24" t="inlineStr">
        <is>
          <t>6987865050.0</t>
        </is>
      </c>
      <c r="P339" s="24" t="inlineStr">
        <is>
          <t>KRW</t>
        </is>
      </c>
      <c r="Q339" s="24" t="inlineStr">
        <is>
          <t>40</t>
        </is>
      </c>
    </row>
    <row r="340" ht="24" customHeight="1">
      <c r="A340" s="29" t="inlineStr">
        <is>
          <t>OpenDART_fnlttSinglAcntAll</t>
        </is>
      </c>
      <c r="B340" s="29" t="inlineStr">
        <is>
          <t>00366942</t>
        </is>
      </c>
      <c r="C340" s="29" t="inlineStr">
        <is>
          <t>미코</t>
        </is>
      </c>
      <c r="D340" s="29" t="inlineStr">
        <is>
          <t>mico</t>
        </is>
      </c>
      <c r="E340" s="29" t="inlineStr">
        <is>
          <t>059090</t>
        </is>
      </c>
      <c r="F340" s="29" t="inlineStr">
        <is>
          <t>2022</t>
        </is>
      </c>
      <c r="G340" s="29" t="inlineStr">
        <is>
          <t>CFS</t>
        </is>
      </c>
      <c r="H340" s="29" t="inlineStr">
        <is>
          <t>CF</t>
        </is>
      </c>
      <c r="I340" s="29" t="inlineStr">
        <is>
          <t>현금흐름표</t>
        </is>
      </c>
      <c r="J340" s="29" t="inlineStr">
        <is>
          <t>dart_PaymentForStockIssueCost</t>
        </is>
      </c>
      <c r="K340" s="29" t="inlineStr">
        <is>
          <t>신주발행비의 증가</t>
        </is>
      </c>
      <c r="L340" s="29" t="inlineStr">
        <is>
          <t>-</t>
        </is>
      </c>
      <c r="M340" s="29" t="inlineStr">
        <is>
          <t>제 24 기</t>
        </is>
      </c>
      <c r="N340" s="29" t="inlineStr">
        <is>
          <t>해당 없음</t>
        </is>
      </c>
      <c r="O340" s="29" t="inlineStr">
        <is>
          <t>21770835.0</t>
        </is>
      </c>
      <c r="P340" s="29" t="inlineStr">
        <is>
          <t>KRW</t>
        </is>
      </c>
      <c r="Q340" s="29" t="inlineStr">
        <is>
          <t>41</t>
        </is>
      </c>
    </row>
    <row r="341" ht="24" customHeight="1">
      <c r="A341" s="24" t="inlineStr">
        <is>
          <t>OpenDART_fnlttSinglAcntAll</t>
        </is>
      </c>
      <c r="B341" s="24" t="inlineStr">
        <is>
          <t>00366942</t>
        </is>
      </c>
      <c r="C341" s="24" t="inlineStr">
        <is>
          <t>미코</t>
        </is>
      </c>
      <c r="D341" s="24" t="inlineStr">
        <is>
          <t>mico</t>
        </is>
      </c>
      <c r="E341" s="24" t="inlineStr">
        <is>
          <t>059090</t>
        </is>
      </c>
      <c r="F341" s="24" t="inlineStr">
        <is>
          <t>2022</t>
        </is>
      </c>
      <c r="G341" s="24" t="inlineStr">
        <is>
          <t>CFS</t>
        </is>
      </c>
      <c r="H341" s="24" t="inlineStr">
        <is>
          <t>CF</t>
        </is>
      </c>
      <c r="I341" s="24" t="inlineStr">
        <is>
          <t>현금흐름표</t>
        </is>
      </c>
      <c r="J341" s="24" t="inlineStr">
        <is>
          <t>-표준계정코드 미사용-</t>
        </is>
      </c>
      <c r="K341" s="24" t="inlineStr">
        <is>
          <t>종속기업의 유상증자</t>
        </is>
      </c>
      <c r="L341" s="24" t="inlineStr">
        <is>
          <t>-</t>
        </is>
      </c>
      <c r="M341" s="24" t="inlineStr">
        <is>
          <t>제 24 기</t>
        </is>
      </c>
      <c r="N341" s="24" t="inlineStr">
        <is>
          <t>해당 없음</t>
        </is>
      </c>
      <c r="O341" s="24" t="inlineStr">
        <is>
          <t>40000149436.0</t>
        </is>
      </c>
      <c r="P341" s="24" t="inlineStr">
        <is>
          <t>KRW</t>
        </is>
      </c>
      <c r="Q341" s="24" t="inlineStr">
        <is>
          <t>42</t>
        </is>
      </c>
    </row>
    <row r="342" ht="24" customHeight="1">
      <c r="A342" s="29" t="inlineStr">
        <is>
          <t>OpenDART_fnlttSinglAcntAll</t>
        </is>
      </c>
      <c r="B342" s="29" t="inlineStr">
        <is>
          <t>00366942</t>
        </is>
      </c>
      <c r="C342" s="29" t="inlineStr">
        <is>
          <t>미코</t>
        </is>
      </c>
      <c r="D342" s="29" t="inlineStr">
        <is>
          <t>mico</t>
        </is>
      </c>
      <c r="E342" s="29" t="inlineStr">
        <is>
          <t>059090</t>
        </is>
      </c>
      <c r="F342" s="29" t="inlineStr">
        <is>
          <t>2022</t>
        </is>
      </c>
      <c r="G342" s="29" t="inlineStr">
        <is>
          <t>CFS</t>
        </is>
      </c>
      <c r="H342" s="29" t="inlineStr">
        <is>
          <t>CF</t>
        </is>
      </c>
      <c r="I342" s="29" t="inlineStr">
        <is>
          <t>현금흐름표</t>
        </is>
      </c>
      <c r="J342" s="29" t="inlineStr">
        <is>
          <t>ifrs-full_DividendsPaidClassifiedAsFinancingActivities</t>
        </is>
      </c>
      <c r="K342" s="29" t="inlineStr">
        <is>
          <t>배당금지급</t>
        </is>
      </c>
      <c r="L342" s="29" t="inlineStr">
        <is>
          <t>-</t>
        </is>
      </c>
      <c r="M342" s="29" t="inlineStr">
        <is>
          <t>제 24 기</t>
        </is>
      </c>
      <c r="N342" s="29" t="inlineStr">
        <is>
          <t>5601991810.0</t>
        </is>
      </c>
      <c r="O342" s="29" t="inlineStr">
        <is>
          <t>2062326561.0</t>
        </is>
      </c>
      <c r="P342" s="29" t="inlineStr">
        <is>
          <t>KRW</t>
        </is>
      </c>
      <c r="Q342" s="29" t="inlineStr">
        <is>
          <t>43</t>
        </is>
      </c>
    </row>
    <row r="343" ht="24" customHeight="1">
      <c r="A343" s="24" t="inlineStr">
        <is>
          <t>OpenDART_fnlttSinglAcntAll</t>
        </is>
      </c>
      <c r="B343" s="24" t="inlineStr">
        <is>
          <t>00366942</t>
        </is>
      </c>
      <c r="C343" s="24" t="inlineStr">
        <is>
          <t>미코</t>
        </is>
      </c>
      <c r="D343" s="24" t="inlineStr">
        <is>
          <t>mico</t>
        </is>
      </c>
      <c r="E343" s="24" t="inlineStr">
        <is>
          <t>059090</t>
        </is>
      </c>
      <c r="F343" s="24" t="inlineStr">
        <is>
          <t>2022</t>
        </is>
      </c>
      <c r="G343" s="24" t="inlineStr">
        <is>
          <t>CFS</t>
        </is>
      </c>
      <c r="H343" s="24" t="inlineStr">
        <is>
          <t>CF</t>
        </is>
      </c>
      <c r="I343" s="24" t="inlineStr">
        <is>
          <t>현금흐름표</t>
        </is>
      </c>
      <c r="J343" s="24" t="inlineStr">
        <is>
          <t>-표준계정코드 미사용-</t>
        </is>
      </c>
      <c r="K343" s="24" t="inlineStr">
        <is>
          <t>기타차입부채의 상환</t>
        </is>
      </c>
      <c r="L343" s="24" t="inlineStr">
        <is>
          <t>-</t>
        </is>
      </c>
      <c r="M343" s="24" t="inlineStr">
        <is>
          <t>제 24 기</t>
        </is>
      </c>
      <c r="N343" s="24" t="inlineStr">
        <is>
          <t>14264048753.0</t>
        </is>
      </c>
      <c r="O343" s="24" t="inlineStr">
        <is>
          <t>해당 없음</t>
        </is>
      </c>
      <c r="P343" s="24" t="inlineStr">
        <is>
          <t>KRW</t>
        </is>
      </c>
      <c r="Q343" s="24" t="inlineStr">
        <is>
          <t>44</t>
        </is>
      </c>
    </row>
    <row r="344" ht="24" customHeight="1">
      <c r="A344" s="29" t="inlineStr">
        <is>
          <t>OpenDART_fnlttSinglAcntAll</t>
        </is>
      </c>
      <c r="B344" s="29" t="inlineStr">
        <is>
          <t>00366942</t>
        </is>
      </c>
      <c r="C344" s="29" t="inlineStr">
        <is>
          <t>미코</t>
        </is>
      </c>
      <c r="D344" s="29" t="inlineStr">
        <is>
          <t>mico</t>
        </is>
      </c>
      <c r="E344" s="29" t="inlineStr">
        <is>
          <t>059090</t>
        </is>
      </c>
      <c r="F344" s="29" t="inlineStr">
        <is>
          <t>2022</t>
        </is>
      </c>
      <c r="G344" s="29" t="inlineStr">
        <is>
          <t>CFS</t>
        </is>
      </c>
      <c r="H344" s="29" t="inlineStr">
        <is>
          <t>CF</t>
        </is>
      </c>
      <c r="I344" s="29" t="inlineStr">
        <is>
          <t>현금흐름표</t>
        </is>
      </c>
      <c r="J344" s="29" t="inlineStr">
        <is>
          <t>ifrs-full_EffectOfExchangeRateChangesOnCashAndCashEquivalents</t>
        </is>
      </c>
      <c r="K344" s="29" t="inlineStr">
        <is>
          <t>현금및현금성자산에 대한 환율변동효과</t>
        </is>
      </c>
      <c r="L344" s="29" t="inlineStr">
        <is>
          <t>-</t>
        </is>
      </c>
      <c r="M344" s="29" t="inlineStr">
        <is>
          <t>제 24 기</t>
        </is>
      </c>
      <c r="N344" s="29" t="inlineStr">
        <is>
          <t>2235484697.0</t>
        </is>
      </c>
      <c r="O344" s="29" t="inlineStr">
        <is>
          <t>6107896598.0</t>
        </is>
      </c>
      <c r="P344" s="29" t="inlineStr">
        <is>
          <t>KRW</t>
        </is>
      </c>
      <c r="Q344" s="29" t="inlineStr">
        <is>
          <t>45</t>
        </is>
      </c>
    </row>
    <row r="345" ht="24" customHeight="1">
      <c r="A345" s="24" t="inlineStr">
        <is>
          <t>OpenDART_fnlttSinglAcntAll</t>
        </is>
      </c>
      <c r="B345" s="24" t="inlineStr">
        <is>
          <t>00366942</t>
        </is>
      </c>
      <c r="C345" s="24" t="inlineStr">
        <is>
          <t>미코</t>
        </is>
      </c>
      <c r="D345" s="24" t="inlineStr">
        <is>
          <t>mico</t>
        </is>
      </c>
      <c r="E345" s="24" t="inlineStr">
        <is>
          <t>059090</t>
        </is>
      </c>
      <c r="F345" s="24" t="inlineStr">
        <is>
          <t>2022</t>
        </is>
      </c>
      <c r="G345" s="24" t="inlineStr">
        <is>
          <t>CFS</t>
        </is>
      </c>
      <c r="H345" s="24" t="inlineStr">
        <is>
          <t>CF</t>
        </is>
      </c>
      <c r="I345" s="24" t="inlineStr">
        <is>
          <t>현금흐름표</t>
        </is>
      </c>
      <c r="J345" s="24" t="inlineStr">
        <is>
          <t>ifrs-full_IncreaseDecreaseInCashAndCashEquivalents</t>
        </is>
      </c>
      <c r="K345" s="24" t="inlineStr">
        <is>
          <t>현금및현금성자산의순증가(감소)</t>
        </is>
      </c>
      <c r="L345" s="24" t="inlineStr">
        <is>
          <t>-</t>
        </is>
      </c>
      <c r="M345" s="24" t="inlineStr">
        <is>
          <t>제 24 기</t>
        </is>
      </c>
      <c r="N345" s="24" t="inlineStr">
        <is>
          <t>-48557223776.0</t>
        </is>
      </c>
      <c r="O345" s="24" t="inlineStr">
        <is>
          <t>30068473574.0</t>
        </is>
      </c>
      <c r="P345" s="24" t="inlineStr">
        <is>
          <t>KRW</t>
        </is>
      </c>
      <c r="Q345" s="24" t="inlineStr">
        <is>
          <t>46</t>
        </is>
      </c>
    </row>
    <row r="346" ht="24" customHeight="1">
      <c r="A346" s="29" t="inlineStr">
        <is>
          <t>OpenDART_fnlttSinglAcntAll</t>
        </is>
      </c>
      <c r="B346" s="29" t="inlineStr">
        <is>
          <t>00366942</t>
        </is>
      </c>
      <c r="C346" s="29" t="inlineStr">
        <is>
          <t>미코</t>
        </is>
      </c>
      <c r="D346" s="29" t="inlineStr">
        <is>
          <t>mico</t>
        </is>
      </c>
      <c r="E346" s="29" t="inlineStr">
        <is>
          <t>059090</t>
        </is>
      </c>
      <c r="F346" s="29" t="inlineStr">
        <is>
          <t>2022</t>
        </is>
      </c>
      <c r="G346" s="29" t="inlineStr">
        <is>
          <t>CFS</t>
        </is>
      </c>
      <c r="H346" s="29" t="inlineStr">
        <is>
          <t>CF</t>
        </is>
      </c>
      <c r="I346" s="29" t="inlineStr">
        <is>
          <t>현금흐름표</t>
        </is>
      </c>
      <c r="J346" s="29" t="inlineStr">
        <is>
          <t>dart_CashAndCashEquivalentsAtBeginningOfPeriodCf</t>
        </is>
      </c>
      <c r="K346" s="29" t="inlineStr">
        <is>
          <t>기초현금및현금성자산</t>
        </is>
      </c>
      <c r="L346" s="29" t="inlineStr">
        <is>
          <t>-</t>
        </is>
      </c>
      <c r="M346" s="29" t="inlineStr">
        <is>
          <t>제 24 기</t>
        </is>
      </c>
      <c r="N346" s="29" t="inlineStr">
        <is>
          <t>180517871638.0</t>
        </is>
      </c>
      <c r="O346" s="29" t="inlineStr">
        <is>
          <t>150449398934.0</t>
        </is>
      </c>
      <c r="P346" s="29" t="inlineStr">
        <is>
          <t>KRW</t>
        </is>
      </c>
      <c r="Q346" s="29" t="inlineStr">
        <is>
          <t>47</t>
        </is>
      </c>
    </row>
    <row r="347" ht="24" customHeight="1">
      <c r="A347" s="24" t="inlineStr">
        <is>
          <t>OpenDART_fnlttSinglAcntAll</t>
        </is>
      </c>
      <c r="B347" s="24" t="inlineStr">
        <is>
          <t>00366942</t>
        </is>
      </c>
      <c r="C347" s="24" t="inlineStr">
        <is>
          <t>미코</t>
        </is>
      </c>
      <c r="D347" s="24" t="inlineStr">
        <is>
          <t>mico</t>
        </is>
      </c>
      <c r="E347" s="24" t="inlineStr">
        <is>
          <t>059090</t>
        </is>
      </c>
      <c r="F347" s="24" t="inlineStr">
        <is>
          <t>2022</t>
        </is>
      </c>
      <c r="G347" s="24" t="inlineStr">
        <is>
          <t>CFS</t>
        </is>
      </c>
      <c r="H347" s="24" t="inlineStr">
        <is>
          <t>CF</t>
        </is>
      </c>
      <c r="I347" s="24" t="inlineStr">
        <is>
          <t>현금흐름표</t>
        </is>
      </c>
      <c r="J347" s="24" t="inlineStr">
        <is>
          <t>dart_CashAndCashEquivalentsAtEndOfPeriodCf</t>
        </is>
      </c>
      <c r="K347" s="24" t="inlineStr">
        <is>
          <t>기말현금및현금성자산</t>
        </is>
      </c>
      <c r="L347" s="24" t="inlineStr">
        <is>
          <t>-</t>
        </is>
      </c>
      <c r="M347" s="24" t="inlineStr">
        <is>
          <t>제 24 기</t>
        </is>
      </c>
      <c r="N347" s="24" t="inlineStr">
        <is>
          <t>131960647862.0</t>
        </is>
      </c>
      <c r="O347" s="24" t="inlineStr">
        <is>
          <t>180517871638.0</t>
        </is>
      </c>
      <c r="P347" s="24" t="inlineStr">
        <is>
          <t>KRW</t>
        </is>
      </c>
      <c r="Q347" s="24" t="inlineStr">
        <is>
          <t>48</t>
        </is>
      </c>
    </row>
    <row r="348" ht="24" customHeight="1">
      <c r="A348" s="29" t="inlineStr">
        <is>
          <t>OpenDART_fnlttSinglAcntAll</t>
        </is>
      </c>
      <c r="B348" s="29" t="inlineStr">
        <is>
          <t>00366942</t>
        </is>
      </c>
      <c r="C348" s="29" t="inlineStr">
        <is>
          <t>미코</t>
        </is>
      </c>
      <c r="D348" s="29" t="inlineStr">
        <is>
          <t>mico</t>
        </is>
      </c>
      <c r="E348" s="29" t="inlineStr">
        <is>
          <t>059090</t>
        </is>
      </c>
      <c r="F348" s="29" t="inlineStr">
        <is>
          <t>2022</t>
        </is>
      </c>
      <c r="G348" s="29" t="inlineStr">
        <is>
          <t>CFS</t>
        </is>
      </c>
      <c r="H348" s="29" t="inlineStr">
        <is>
          <t>SCE</t>
        </is>
      </c>
      <c r="I348" s="29" t="inlineStr">
        <is>
          <t>자본변동표</t>
        </is>
      </c>
      <c r="J348" s="29" t="inlineStr">
        <is>
          <t>dart_EquityAtBeginningOfPeriod</t>
        </is>
      </c>
      <c r="K348" s="29" t="inlineStr">
        <is>
          <t>기초자본</t>
        </is>
      </c>
      <c r="L348" s="29" t="inlineStr">
        <is>
          <t>연결재무제표 [member]</t>
        </is>
      </c>
      <c r="M348" s="29" t="inlineStr">
        <is>
          <t>제 24 기</t>
        </is>
      </c>
      <c r="N348" s="29" t="inlineStr">
        <is>
          <t>372477992952.0</t>
        </is>
      </c>
      <c r="O348" s="29" t="inlineStr">
        <is>
          <t>234522935230.0</t>
        </is>
      </c>
      <c r="P348" s="29" t="inlineStr">
        <is>
          <t>KRW</t>
        </is>
      </c>
      <c r="Q348" s="29" t="inlineStr">
        <is>
          <t>1</t>
        </is>
      </c>
    </row>
    <row r="349" ht="24" customHeight="1">
      <c r="A349" s="24" t="inlineStr">
        <is>
          <t>OpenDART_fnlttSinglAcntAll</t>
        </is>
      </c>
      <c r="B349" s="24" t="inlineStr">
        <is>
          <t>00366942</t>
        </is>
      </c>
      <c r="C349" s="24" t="inlineStr">
        <is>
          <t>미코</t>
        </is>
      </c>
      <c r="D349" s="24" t="inlineStr">
        <is>
          <t>mico</t>
        </is>
      </c>
      <c r="E349" s="24" t="inlineStr">
        <is>
          <t>059090</t>
        </is>
      </c>
      <c r="F349" s="24" t="inlineStr">
        <is>
          <t>2022</t>
        </is>
      </c>
      <c r="G349" s="24" t="inlineStr">
        <is>
          <t>CFS</t>
        </is>
      </c>
      <c r="H349" s="24" t="inlineStr">
        <is>
          <t>SCE</t>
        </is>
      </c>
      <c r="I349" s="24" t="inlineStr">
        <is>
          <t>자본변동표</t>
        </is>
      </c>
      <c r="J349" s="24" t="inlineStr">
        <is>
          <t>dart_EquityAtBeginningOfPeriod</t>
        </is>
      </c>
      <c r="K349" s="24" t="inlineStr">
        <is>
          <t>기초자본</t>
        </is>
      </c>
      <c r="L349" s="24" t="inlineStr">
        <is>
          <t>자본 [member]|비지배지분 [member]</t>
        </is>
      </c>
      <c r="M349" s="24" t="inlineStr">
        <is>
          <t>제 24 기</t>
        </is>
      </c>
      <c r="N349" s="24" t="inlineStr">
        <is>
          <t>181880741500.0</t>
        </is>
      </c>
      <c r="O349" s="24" t="inlineStr">
        <is>
          <t>122185806186.0</t>
        </is>
      </c>
      <c r="P349" s="24" t="inlineStr">
        <is>
          <t>KRW</t>
        </is>
      </c>
      <c r="Q349" s="24" t="inlineStr">
        <is>
          <t>1</t>
        </is>
      </c>
    </row>
    <row r="350" ht="24" customHeight="1">
      <c r="A350" s="29" t="inlineStr">
        <is>
          <t>OpenDART_fnlttSinglAcntAll</t>
        </is>
      </c>
      <c r="B350" s="29" t="inlineStr">
        <is>
          <t>00366942</t>
        </is>
      </c>
      <c r="C350" s="29" t="inlineStr">
        <is>
          <t>미코</t>
        </is>
      </c>
      <c r="D350" s="29" t="inlineStr">
        <is>
          <t>mico</t>
        </is>
      </c>
      <c r="E350" s="29" t="inlineStr">
        <is>
          <t>059090</t>
        </is>
      </c>
      <c r="F350" s="29" t="inlineStr">
        <is>
          <t>2022</t>
        </is>
      </c>
      <c r="G350" s="29" t="inlineStr">
        <is>
          <t>CFS</t>
        </is>
      </c>
      <c r="H350" s="29" t="inlineStr">
        <is>
          <t>SCE</t>
        </is>
      </c>
      <c r="I350" s="29" t="inlineStr">
        <is>
          <t>자본변동표</t>
        </is>
      </c>
      <c r="J350" s="29" t="inlineStr">
        <is>
          <t>dart_EquityAtBeginningOfPeriod</t>
        </is>
      </c>
      <c r="K350" s="29" t="inlineStr">
        <is>
          <t>기초자본</t>
        </is>
      </c>
      <c r="L350" s="29" t="inlineStr">
        <is>
          <t>자본 [member]|지배기업의 소유주에게 귀속되는 자본 [member]</t>
        </is>
      </c>
      <c r="M350" s="29" t="inlineStr">
        <is>
          <t>제 24 기</t>
        </is>
      </c>
      <c r="N350" s="29" t="inlineStr">
        <is>
          <t>190597251452.0</t>
        </is>
      </c>
      <c r="O350" s="29" t="inlineStr">
        <is>
          <t>112337129044.0</t>
        </is>
      </c>
      <c r="P350" s="29" t="inlineStr">
        <is>
          <t>KRW</t>
        </is>
      </c>
      <c r="Q350" s="29" t="inlineStr">
        <is>
          <t>1</t>
        </is>
      </c>
    </row>
    <row r="351" ht="24" customHeight="1">
      <c r="A351" s="24" t="inlineStr">
        <is>
          <t>OpenDART_fnlttSinglAcntAll</t>
        </is>
      </c>
      <c r="B351" s="24" t="inlineStr">
        <is>
          <t>00366942</t>
        </is>
      </c>
      <c r="C351" s="24" t="inlineStr">
        <is>
          <t>미코</t>
        </is>
      </c>
      <c r="D351" s="24" t="inlineStr">
        <is>
          <t>mico</t>
        </is>
      </c>
      <c r="E351" s="24" t="inlineStr">
        <is>
          <t>059090</t>
        </is>
      </c>
      <c r="F351" s="24" t="inlineStr">
        <is>
          <t>2022</t>
        </is>
      </c>
      <c r="G351" s="24" t="inlineStr">
        <is>
          <t>CFS</t>
        </is>
      </c>
      <c r="H351" s="24" t="inlineStr">
        <is>
          <t>SCE</t>
        </is>
      </c>
      <c r="I351" s="24" t="inlineStr">
        <is>
          <t>자본변동표</t>
        </is>
      </c>
      <c r="J351" s="24" t="inlineStr">
        <is>
          <t>dart_EquityAtBeginningOfPeriod</t>
        </is>
      </c>
      <c r="K351" s="24" t="inlineStr">
        <is>
          <t>기초자본</t>
        </is>
      </c>
      <c r="L351" s="24" t="inlineStr">
        <is>
          <t>자본 [member]|지배기업의 소유주에게 귀속되는 자본 [member]|자본잉여금 [member]</t>
        </is>
      </c>
      <c r="M351" s="24" t="inlineStr">
        <is>
          <t>제 24 기</t>
        </is>
      </c>
      <c r="N351" s="24" t="inlineStr">
        <is>
          <t>190581959050.0</t>
        </is>
      </c>
      <c r="O351" s="24" t="inlineStr">
        <is>
          <t>90910147710.0</t>
        </is>
      </c>
      <c r="P351" s="24" t="inlineStr">
        <is>
          <t>KRW</t>
        </is>
      </c>
      <c r="Q351" s="24" t="inlineStr">
        <is>
          <t>1</t>
        </is>
      </c>
    </row>
    <row r="352" ht="24" customHeight="1">
      <c r="A352" s="29" t="inlineStr">
        <is>
          <t>OpenDART_fnlttSinglAcntAll</t>
        </is>
      </c>
      <c r="B352" s="29" t="inlineStr">
        <is>
          <t>00366942</t>
        </is>
      </c>
      <c r="C352" s="29" t="inlineStr">
        <is>
          <t>미코</t>
        </is>
      </c>
      <c r="D352" s="29" t="inlineStr">
        <is>
          <t>mico</t>
        </is>
      </c>
      <c r="E352" s="29" t="inlineStr">
        <is>
          <t>059090</t>
        </is>
      </c>
      <c r="F352" s="29" t="inlineStr">
        <is>
          <t>2022</t>
        </is>
      </c>
      <c r="G352" s="29" t="inlineStr">
        <is>
          <t>CFS</t>
        </is>
      </c>
      <c r="H352" s="29" t="inlineStr">
        <is>
          <t>SCE</t>
        </is>
      </c>
      <c r="I352" s="29" t="inlineStr">
        <is>
          <t>자본변동표</t>
        </is>
      </c>
      <c r="J352" s="29" t="inlineStr">
        <is>
          <t>dart_EquityAtBeginningOfPeriod</t>
        </is>
      </c>
      <c r="K352" s="29" t="inlineStr">
        <is>
          <t>기초자본</t>
        </is>
      </c>
      <c r="L352" s="29" t="inlineStr">
        <is>
          <t>자본 [member]|지배기업의 소유주에게 귀속되는 자본 [member]|기타포괄손익누계액 [member]</t>
        </is>
      </c>
      <c r="M352" s="29" t="inlineStr">
        <is>
          <t>제 24 기</t>
        </is>
      </c>
      <c r="N352" s="29" t="inlineStr">
        <is>
          <t>-2035182088.0</t>
        </is>
      </c>
      <c r="O352" s="29" t="inlineStr">
        <is>
          <t>-4677194867.0</t>
        </is>
      </c>
      <c r="P352" s="29" t="inlineStr">
        <is>
          <t>KRW</t>
        </is>
      </c>
      <c r="Q352" s="29" t="inlineStr">
        <is>
          <t>1</t>
        </is>
      </c>
    </row>
    <row r="353" ht="24" customHeight="1">
      <c r="A353" s="24" t="inlineStr">
        <is>
          <t>OpenDART_fnlttSinglAcntAll</t>
        </is>
      </c>
      <c r="B353" s="24" t="inlineStr">
        <is>
          <t>00366942</t>
        </is>
      </c>
      <c r="C353" s="24" t="inlineStr">
        <is>
          <t>미코</t>
        </is>
      </c>
      <c r="D353" s="24" t="inlineStr">
        <is>
          <t>mico</t>
        </is>
      </c>
      <c r="E353" s="24" t="inlineStr">
        <is>
          <t>059090</t>
        </is>
      </c>
      <c r="F353" s="24" t="inlineStr">
        <is>
          <t>2022</t>
        </is>
      </c>
      <c r="G353" s="24" t="inlineStr">
        <is>
          <t>CFS</t>
        </is>
      </c>
      <c r="H353" s="24" t="inlineStr">
        <is>
          <t>SCE</t>
        </is>
      </c>
      <c r="I353" s="24" t="inlineStr">
        <is>
          <t>자본변동표</t>
        </is>
      </c>
      <c r="J353" s="24" t="inlineStr">
        <is>
          <t>dart_EquityAtBeginningOfPeriod</t>
        </is>
      </c>
      <c r="K353" s="24" t="inlineStr">
        <is>
          <t>기초자본</t>
        </is>
      </c>
      <c r="L353" s="24" t="inlineStr">
        <is>
          <t>자본 [member]|지배기업의 소유주에게 귀속되는 자본 [member]|이익잉여금 [member]</t>
        </is>
      </c>
      <c r="M353" s="24" t="inlineStr">
        <is>
          <t>제 24 기</t>
        </is>
      </c>
      <c r="N353" s="24" t="inlineStr">
        <is>
          <t>19482247988.0</t>
        </is>
      </c>
      <c r="O353" s="24" t="inlineStr">
        <is>
          <t>37761295744.0</t>
        </is>
      </c>
      <c r="P353" s="24" t="inlineStr">
        <is>
          <t>KRW</t>
        </is>
      </c>
      <c r="Q353" s="24" t="inlineStr">
        <is>
          <t>1</t>
        </is>
      </c>
    </row>
    <row r="354" ht="24" customHeight="1">
      <c r="A354" s="29" t="inlineStr">
        <is>
          <t>OpenDART_fnlttSinglAcntAll</t>
        </is>
      </c>
      <c r="B354" s="29" t="inlineStr">
        <is>
          <t>00366942</t>
        </is>
      </c>
      <c r="C354" s="29" t="inlineStr">
        <is>
          <t>미코</t>
        </is>
      </c>
      <c r="D354" s="29" t="inlineStr">
        <is>
          <t>mico</t>
        </is>
      </c>
      <c r="E354" s="29" t="inlineStr">
        <is>
          <t>059090</t>
        </is>
      </c>
      <c r="F354" s="29" t="inlineStr">
        <is>
          <t>2022</t>
        </is>
      </c>
      <c r="G354" s="29" t="inlineStr">
        <is>
          <t>CFS</t>
        </is>
      </c>
      <c r="H354" s="29" t="inlineStr">
        <is>
          <t>SCE</t>
        </is>
      </c>
      <c r="I354" s="29" t="inlineStr">
        <is>
          <t>자본변동표</t>
        </is>
      </c>
      <c r="J354" s="29" t="inlineStr">
        <is>
          <t>dart_EquityAtBeginningOfPeriod</t>
        </is>
      </c>
      <c r="K354" s="29" t="inlineStr">
        <is>
          <t>기초자본</t>
        </is>
      </c>
      <c r="L354" s="29" t="inlineStr">
        <is>
          <t>자본 [member]|지배기업의 소유주에게 귀속되는 자본 [member]|자본금 [member]</t>
        </is>
      </c>
      <c r="M354" s="29" t="inlineStr">
        <is>
          <t>제 24 기</t>
        </is>
      </c>
      <c r="N354" s="29" t="inlineStr">
        <is>
          <t>16708389000.0</t>
        </is>
      </c>
      <c r="O354" s="29" t="inlineStr">
        <is>
          <t>15658301500.0</t>
        </is>
      </c>
      <c r="P354" s="29" t="inlineStr">
        <is>
          <t>KRW</t>
        </is>
      </c>
      <c r="Q354" s="29" t="inlineStr">
        <is>
          <t>1</t>
        </is>
      </c>
    </row>
    <row r="355" ht="24" customHeight="1">
      <c r="A355" s="24" t="inlineStr">
        <is>
          <t>OpenDART_fnlttSinglAcntAll</t>
        </is>
      </c>
      <c r="B355" s="24" t="inlineStr">
        <is>
          <t>00366942</t>
        </is>
      </c>
      <c r="C355" s="24" t="inlineStr">
        <is>
          <t>미코</t>
        </is>
      </c>
      <c r="D355" s="24" t="inlineStr">
        <is>
          <t>mico</t>
        </is>
      </c>
      <c r="E355" s="24" t="inlineStr">
        <is>
          <t>059090</t>
        </is>
      </c>
      <c r="F355" s="24" t="inlineStr">
        <is>
          <t>2022</t>
        </is>
      </c>
      <c r="G355" s="24" t="inlineStr">
        <is>
          <t>CFS</t>
        </is>
      </c>
      <c r="H355" s="24" t="inlineStr">
        <is>
          <t>SCE</t>
        </is>
      </c>
      <c r="I355" s="24" t="inlineStr">
        <is>
          <t>자본변동표</t>
        </is>
      </c>
      <c r="J355" s="24" t="inlineStr">
        <is>
          <t>dart_EquityAtBeginningOfPeriod</t>
        </is>
      </c>
      <c r="K355" s="24" t="inlineStr">
        <is>
          <t>기초자본</t>
        </is>
      </c>
      <c r="L355" s="24" t="inlineStr">
        <is>
          <t>자본 [member]|지배기업의 소유주에게 귀속되는 자본 [member]|기타자본구성요소 [member]</t>
        </is>
      </c>
      <c r="M355" s="24" t="inlineStr">
        <is>
          <t>제 24 기</t>
        </is>
      </c>
      <c r="N355" s="24" t="inlineStr">
        <is>
          <t>-34140162498.0</t>
        </is>
      </c>
      <c r="O355" s="24" t="inlineStr">
        <is>
          <t>-27315421043.0</t>
        </is>
      </c>
      <c r="P355" s="24" t="inlineStr">
        <is>
          <t>KRW</t>
        </is>
      </c>
      <c r="Q355" s="24" t="inlineStr">
        <is>
          <t>1</t>
        </is>
      </c>
    </row>
    <row r="356" ht="24" customHeight="1">
      <c r="A356" s="29" t="inlineStr">
        <is>
          <t>OpenDART_fnlttSinglAcntAll</t>
        </is>
      </c>
      <c r="B356" s="29" t="inlineStr">
        <is>
          <t>00366942</t>
        </is>
      </c>
      <c r="C356" s="29" t="inlineStr">
        <is>
          <t>미코</t>
        </is>
      </c>
      <c r="D356" s="29" t="inlineStr">
        <is>
          <t>mico</t>
        </is>
      </c>
      <c r="E356" s="29" t="inlineStr">
        <is>
          <t>059090</t>
        </is>
      </c>
      <c r="F356" s="29" t="inlineStr">
        <is>
          <t>2022</t>
        </is>
      </c>
      <c r="G356" s="29" t="inlineStr">
        <is>
          <t>CFS</t>
        </is>
      </c>
      <c r="H356" s="29" t="inlineStr">
        <is>
          <t>SCE</t>
        </is>
      </c>
      <c r="I356" s="29" t="inlineStr">
        <is>
          <t>자본변동표</t>
        </is>
      </c>
      <c r="J356" s="29" t="inlineStr">
        <is>
          <t>-표준계정코드 미사용-</t>
        </is>
      </c>
      <c r="K356" s="29" t="inlineStr">
        <is>
          <t>회계정책의 변경효과</t>
        </is>
      </c>
      <c r="L356" s="29" t="inlineStr">
        <is>
          <t>자본 [member]|지배기업의 소유주에게 귀속되는 자본 [member]|기타자본구성요소 [member]</t>
        </is>
      </c>
      <c r="M356" s="29" t="inlineStr">
        <is>
          <t>제 24 기</t>
        </is>
      </c>
      <c r="N356" s="29" t="inlineStr">
        <is>
          <t>해당 없음</t>
        </is>
      </c>
      <c r="O356" s="29" t="inlineStr">
        <is>
          <t>202749558.0</t>
        </is>
      </c>
      <c r="P356" s="29" t="inlineStr">
        <is>
          <t>KRW</t>
        </is>
      </c>
      <c r="Q356" s="29" t="inlineStr">
        <is>
          <t>2</t>
        </is>
      </c>
    </row>
    <row r="357" ht="24" customHeight="1">
      <c r="A357" s="24" t="inlineStr">
        <is>
          <t>OpenDART_fnlttSinglAcntAll</t>
        </is>
      </c>
      <c r="B357" s="24" t="inlineStr">
        <is>
          <t>00366942</t>
        </is>
      </c>
      <c r="C357" s="24" t="inlineStr">
        <is>
          <t>미코</t>
        </is>
      </c>
      <c r="D357" s="24" t="inlineStr">
        <is>
          <t>mico</t>
        </is>
      </c>
      <c r="E357" s="24" t="inlineStr">
        <is>
          <t>059090</t>
        </is>
      </c>
      <c r="F357" s="24" t="inlineStr">
        <is>
          <t>2022</t>
        </is>
      </c>
      <c r="G357" s="24" t="inlineStr">
        <is>
          <t>CFS</t>
        </is>
      </c>
      <c r="H357" s="24" t="inlineStr">
        <is>
          <t>SCE</t>
        </is>
      </c>
      <c r="I357" s="24" t="inlineStr">
        <is>
          <t>자본변동표</t>
        </is>
      </c>
      <c r="J357" s="24" t="inlineStr">
        <is>
          <t>-표준계정코드 미사용-</t>
        </is>
      </c>
      <c r="K357" s="24" t="inlineStr">
        <is>
          <t>회계정책의 변경효과</t>
        </is>
      </c>
      <c r="L357" s="24" t="inlineStr">
        <is>
          <t>자본 [member]|지배기업의 소유주에게 귀속되는 자본 [member]|기타포괄손익누계액 [member]</t>
        </is>
      </c>
      <c r="M357" s="24" t="inlineStr">
        <is>
          <t>제 24 기</t>
        </is>
      </c>
      <c r="N357" s="24" t="inlineStr">
        <is>
          <t>해당 없음</t>
        </is>
      </c>
      <c r="O357" s="24" t="inlineStr">
        <is>
          <t>143693083.0</t>
        </is>
      </c>
      <c r="P357" s="24" t="inlineStr">
        <is>
          <t>KRW</t>
        </is>
      </c>
      <c r="Q357" s="24" t="inlineStr">
        <is>
          <t>2</t>
        </is>
      </c>
    </row>
    <row r="358" ht="24" customHeight="1">
      <c r="A358" s="29" t="inlineStr">
        <is>
          <t>OpenDART_fnlttSinglAcntAll</t>
        </is>
      </c>
      <c r="B358" s="29" t="inlineStr">
        <is>
          <t>00366942</t>
        </is>
      </c>
      <c r="C358" s="29" t="inlineStr">
        <is>
          <t>미코</t>
        </is>
      </c>
      <c r="D358" s="29" t="inlineStr">
        <is>
          <t>mico</t>
        </is>
      </c>
      <c r="E358" s="29" t="inlineStr">
        <is>
          <t>059090</t>
        </is>
      </c>
      <c r="F358" s="29" t="inlineStr">
        <is>
          <t>2022</t>
        </is>
      </c>
      <c r="G358" s="29" t="inlineStr">
        <is>
          <t>CFS</t>
        </is>
      </c>
      <c r="H358" s="29" t="inlineStr">
        <is>
          <t>SCE</t>
        </is>
      </c>
      <c r="I358" s="29" t="inlineStr">
        <is>
          <t>자본변동표</t>
        </is>
      </c>
      <c r="J358" s="29" t="inlineStr">
        <is>
          <t>-표준계정코드 미사용-</t>
        </is>
      </c>
      <c r="K358" s="29" t="inlineStr">
        <is>
          <t>회계정책의 변경효과</t>
        </is>
      </c>
      <c r="L358" s="29" t="inlineStr">
        <is>
          <t>자본 [member]|지배기업의 소유주에게 귀속되는 자본 [member]|이익잉여금 [member]</t>
        </is>
      </c>
      <c r="M358" s="29" t="inlineStr">
        <is>
          <t>제 24 기</t>
        </is>
      </c>
      <c r="N358" s="29" t="inlineStr">
        <is>
          <t>해당 없음</t>
        </is>
      </c>
      <c r="O358" s="29" t="inlineStr">
        <is>
          <t>-1554336750.0</t>
        </is>
      </c>
      <c r="P358" s="29" t="inlineStr">
        <is>
          <t>KRW</t>
        </is>
      </c>
      <c r="Q358" s="29" t="inlineStr">
        <is>
          <t>2</t>
        </is>
      </c>
    </row>
    <row r="359" ht="24" customHeight="1">
      <c r="A359" s="24" t="inlineStr">
        <is>
          <t>OpenDART_fnlttSinglAcntAll</t>
        </is>
      </c>
      <c r="B359" s="24" t="inlineStr">
        <is>
          <t>00366942</t>
        </is>
      </c>
      <c r="C359" s="24" t="inlineStr">
        <is>
          <t>미코</t>
        </is>
      </c>
      <c r="D359" s="24" t="inlineStr">
        <is>
          <t>mico</t>
        </is>
      </c>
      <c r="E359" s="24" t="inlineStr">
        <is>
          <t>059090</t>
        </is>
      </c>
      <c r="F359" s="24" t="inlineStr">
        <is>
          <t>2022</t>
        </is>
      </c>
      <c r="G359" s="24" t="inlineStr">
        <is>
          <t>CFS</t>
        </is>
      </c>
      <c r="H359" s="24" t="inlineStr">
        <is>
          <t>SCE</t>
        </is>
      </c>
      <c r="I359" s="24" t="inlineStr">
        <is>
          <t>자본변동표</t>
        </is>
      </c>
      <c r="J359" s="24" t="inlineStr">
        <is>
          <t>-표준계정코드 미사용-</t>
        </is>
      </c>
      <c r="K359" s="24" t="inlineStr">
        <is>
          <t>회계정책의 변경효과</t>
        </is>
      </c>
      <c r="L359" s="24" t="inlineStr">
        <is>
          <t>자본 [member]|지배기업의 소유주에게 귀속되는 자본 [member]|자본잉여금 [member]</t>
        </is>
      </c>
      <c r="M359" s="24" t="inlineStr">
        <is>
          <t>제 24 기</t>
        </is>
      </c>
      <c r="N359" s="24" t="inlineStr">
        <is>
          <t>해당 없음</t>
        </is>
      </c>
      <c r="O359" s="24" t="inlineStr">
        <is>
          <t>2101467076.0</t>
        </is>
      </c>
      <c r="P359" s="24" t="inlineStr">
        <is>
          <t>KRW</t>
        </is>
      </c>
      <c r="Q359" s="24" t="inlineStr">
        <is>
          <t>2</t>
        </is>
      </c>
    </row>
    <row r="360" ht="24" customHeight="1">
      <c r="A360" s="29" t="inlineStr">
        <is>
          <t>OpenDART_fnlttSinglAcntAll</t>
        </is>
      </c>
      <c r="B360" s="29" t="inlineStr">
        <is>
          <t>00366942</t>
        </is>
      </c>
      <c r="C360" s="29" t="inlineStr">
        <is>
          <t>미코</t>
        </is>
      </c>
      <c r="D360" s="29" t="inlineStr">
        <is>
          <t>mico</t>
        </is>
      </c>
      <c r="E360" s="29" t="inlineStr">
        <is>
          <t>059090</t>
        </is>
      </c>
      <c r="F360" s="29" t="inlineStr">
        <is>
          <t>2022</t>
        </is>
      </c>
      <c r="G360" s="29" t="inlineStr">
        <is>
          <t>CFS</t>
        </is>
      </c>
      <c r="H360" s="29" t="inlineStr">
        <is>
          <t>SCE</t>
        </is>
      </c>
      <c r="I360" s="29" t="inlineStr">
        <is>
          <t>자본변동표</t>
        </is>
      </c>
      <c r="J360" s="29" t="inlineStr">
        <is>
          <t>-표준계정코드 미사용-</t>
        </is>
      </c>
      <c r="K360" s="29" t="inlineStr">
        <is>
          <t>회계정책의 변경효과</t>
        </is>
      </c>
      <c r="L360" s="29" t="inlineStr">
        <is>
          <t>연결재무제표 [member]</t>
        </is>
      </c>
      <c r="M360" s="29" t="inlineStr">
        <is>
          <t>제 24 기</t>
        </is>
      </c>
      <c r="N360" s="29" t="inlineStr">
        <is>
          <t>해당 없음</t>
        </is>
      </c>
      <c r="O360" s="29" t="inlineStr">
        <is>
          <t>-2319842928.0</t>
        </is>
      </c>
      <c r="P360" s="29" t="inlineStr">
        <is>
          <t>KRW</t>
        </is>
      </c>
      <c r="Q360" s="29" t="inlineStr">
        <is>
          <t>2</t>
        </is>
      </c>
    </row>
    <row r="361" ht="24" customHeight="1">
      <c r="A361" s="24" t="inlineStr">
        <is>
          <t>OpenDART_fnlttSinglAcntAll</t>
        </is>
      </c>
      <c r="B361" s="24" t="inlineStr">
        <is>
          <t>00366942</t>
        </is>
      </c>
      <c r="C361" s="24" t="inlineStr">
        <is>
          <t>미코</t>
        </is>
      </c>
      <c r="D361" s="24" t="inlineStr">
        <is>
          <t>mico</t>
        </is>
      </c>
      <c r="E361" s="24" t="inlineStr">
        <is>
          <t>059090</t>
        </is>
      </c>
      <c r="F361" s="24" t="inlineStr">
        <is>
          <t>2022</t>
        </is>
      </c>
      <c r="G361" s="24" t="inlineStr">
        <is>
          <t>CFS</t>
        </is>
      </c>
      <c r="H361" s="24" t="inlineStr">
        <is>
          <t>SCE</t>
        </is>
      </c>
      <c r="I361" s="24" t="inlineStr">
        <is>
          <t>자본변동표</t>
        </is>
      </c>
      <c r="J361" s="24" t="inlineStr">
        <is>
          <t>-표준계정코드 미사용-</t>
        </is>
      </c>
      <c r="K361" s="24" t="inlineStr">
        <is>
          <t>회계정책의 변경효과</t>
        </is>
      </c>
      <c r="L361" s="24" t="inlineStr">
        <is>
          <t>자본 [member]|비지배지분 [member]</t>
        </is>
      </c>
      <c r="M361" s="24" t="inlineStr">
        <is>
          <t>제 24 기</t>
        </is>
      </c>
      <c r="N361" s="24" t="inlineStr">
        <is>
          <t>해당 없음</t>
        </is>
      </c>
      <c r="O361" s="24" t="inlineStr">
        <is>
          <t>-3213415895.0</t>
        </is>
      </c>
      <c r="P361" s="24" t="inlineStr">
        <is>
          <t>KRW</t>
        </is>
      </c>
      <c r="Q361" s="24" t="inlineStr">
        <is>
          <t>2</t>
        </is>
      </c>
    </row>
    <row r="362" ht="24" customHeight="1">
      <c r="A362" s="29" t="inlineStr">
        <is>
          <t>OpenDART_fnlttSinglAcntAll</t>
        </is>
      </c>
      <c r="B362" s="29" t="inlineStr">
        <is>
          <t>00366942</t>
        </is>
      </c>
      <c r="C362" s="29" t="inlineStr">
        <is>
          <t>미코</t>
        </is>
      </c>
      <c r="D362" s="29" t="inlineStr">
        <is>
          <t>mico</t>
        </is>
      </c>
      <c r="E362" s="29" t="inlineStr">
        <is>
          <t>059090</t>
        </is>
      </c>
      <c r="F362" s="29" t="inlineStr">
        <is>
          <t>2022</t>
        </is>
      </c>
      <c r="G362" s="29" t="inlineStr">
        <is>
          <t>CFS</t>
        </is>
      </c>
      <c r="H362" s="29" t="inlineStr">
        <is>
          <t>SCE</t>
        </is>
      </c>
      <c r="I362" s="29" t="inlineStr">
        <is>
          <t>자본변동표</t>
        </is>
      </c>
      <c r="J362" s="29" t="inlineStr">
        <is>
          <t>-표준계정코드 미사용-</t>
        </is>
      </c>
      <c r="K362" s="29" t="inlineStr">
        <is>
          <t>회계정책의 변경효과</t>
        </is>
      </c>
      <c r="L362" s="29" t="inlineStr">
        <is>
          <t>자본 [member]|지배기업의 소유주에게 귀속되는 자본 [member]</t>
        </is>
      </c>
      <c r="M362" s="29" t="inlineStr">
        <is>
          <t>제 24 기</t>
        </is>
      </c>
      <c r="N362" s="29" t="inlineStr">
        <is>
          <t>해당 없음</t>
        </is>
      </c>
      <c r="O362" s="29" t="inlineStr">
        <is>
          <t>893572967.0</t>
        </is>
      </c>
      <c r="P362" s="29" t="inlineStr">
        <is>
          <t>KRW</t>
        </is>
      </c>
      <c r="Q362" s="29" t="inlineStr">
        <is>
          <t>2</t>
        </is>
      </c>
    </row>
    <row r="363" ht="24" customHeight="1">
      <c r="A363" s="24" t="inlineStr">
        <is>
          <t>OpenDART_fnlttSinglAcntAll</t>
        </is>
      </c>
      <c r="B363" s="24" t="inlineStr">
        <is>
          <t>00366942</t>
        </is>
      </c>
      <c r="C363" s="24" t="inlineStr">
        <is>
          <t>미코</t>
        </is>
      </c>
      <c r="D363" s="24" t="inlineStr">
        <is>
          <t>mico</t>
        </is>
      </c>
      <c r="E363" s="24" t="inlineStr">
        <is>
          <t>059090</t>
        </is>
      </c>
      <c r="F363" s="24" t="inlineStr">
        <is>
          <t>2022</t>
        </is>
      </c>
      <c r="G363" s="24" t="inlineStr">
        <is>
          <t>CFS</t>
        </is>
      </c>
      <c r="H363" s="24" t="inlineStr">
        <is>
          <t>SCE</t>
        </is>
      </c>
      <c r="I363" s="24" t="inlineStr">
        <is>
          <t>자본변동표</t>
        </is>
      </c>
      <c r="J363" s="24" t="inlineStr">
        <is>
          <t>-표준계정코드 미사용-</t>
        </is>
      </c>
      <c r="K363" s="24" t="inlineStr">
        <is>
          <t>수정후 재작성된 금액</t>
        </is>
      </c>
      <c r="L363" s="24" t="inlineStr">
        <is>
          <t>연결재무제표 [member]</t>
        </is>
      </c>
      <c r="M363" s="24" t="inlineStr">
        <is>
          <t>제 24 기</t>
        </is>
      </c>
      <c r="N363" s="24" t="inlineStr">
        <is>
          <t>해당 없음</t>
        </is>
      </c>
      <c r="O363" s="24" t="inlineStr">
        <is>
          <t>232203092302.0</t>
        </is>
      </c>
      <c r="P363" s="24" t="inlineStr">
        <is>
          <t>KRW</t>
        </is>
      </c>
      <c r="Q363" s="24" t="inlineStr">
        <is>
          <t>3</t>
        </is>
      </c>
    </row>
    <row r="364" ht="24" customHeight="1">
      <c r="A364" s="29" t="inlineStr">
        <is>
          <t>OpenDART_fnlttSinglAcntAll</t>
        </is>
      </c>
      <c r="B364" s="29" t="inlineStr">
        <is>
          <t>00366942</t>
        </is>
      </c>
      <c r="C364" s="29" t="inlineStr">
        <is>
          <t>미코</t>
        </is>
      </c>
      <c r="D364" s="29" t="inlineStr">
        <is>
          <t>mico</t>
        </is>
      </c>
      <c r="E364" s="29" t="inlineStr">
        <is>
          <t>059090</t>
        </is>
      </c>
      <c r="F364" s="29" t="inlineStr">
        <is>
          <t>2022</t>
        </is>
      </c>
      <c r="G364" s="29" t="inlineStr">
        <is>
          <t>CFS</t>
        </is>
      </c>
      <c r="H364" s="29" t="inlineStr">
        <is>
          <t>SCE</t>
        </is>
      </c>
      <c r="I364" s="29" t="inlineStr">
        <is>
          <t>자본변동표</t>
        </is>
      </c>
      <c r="J364" s="29" t="inlineStr">
        <is>
          <t>-표준계정코드 미사용-</t>
        </is>
      </c>
      <c r="K364" s="29" t="inlineStr">
        <is>
          <t>수정후 재작성된 금액</t>
        </is>
      </c>
      <c r="L364" s="29" t="inlineStr">
        <is>
          <t>자본 [member]|비지배지분 [member]</t>
        </is>
      </c>
      <c r="M364" s="29" t="inlineStr">
        <is>
          <t>제 24 기</t>
        </is>
      </c>
      <c r="N364" s="29" t="inlineStr">
        <is>
          <t>해당 없음</t>
        </is>
      </c>
      <c r="O364" s="29" t="inlineStr">
        <is>
          <t>118972390291.0</t>
        </is>
      </c>
      <c r="P364" s="29" t="inlineStr">
        <is>
          <t>KRW</t>
        </is>
      </c>
      <c r="Q364" s="29" t="inlineStr">
        <is>
          <t>3</t>
        </is>
      </c>
    </row>
    <row r="365" ht="24" customHeight="1">
      <c r="A365" s="24" t="inlineStr">
        <is>
          <t>OpenDART_fnlttSinglAcntAll</t>
        </is>
      </c>
      <c r="B365" s="24" t="inlineStr">
        <is>
          <t>00366942</t>
        </is>
      </c>
      <c r="C365" s="24" t="inlineStr">
        <is>
          <t>미코</t>
        </is>
      </c>
      <c r="D365" s="24" t="inlineStr">
        <is>
          <t>mico</t>
        </is>
      </c>
      <c r="E365" s="24" t="inlineStr">
        <is>
          <t>059090</t>
        </is>
      </c>
      <c r="F365" s="24" t="inlineStr">
        <is>
          <t>2022</t>
        </is>
      </c>
      <c r="G365" s="24" t="inlineStr">
        <is>
          <t>CFS</t>
        </is>
      </c>
      <c r="H365" s="24" t="inlineStr">
        <is>
          <t>SCE</t>
        </is>
      </c>
      <c r="I365" s="24" t="inlineStr">
        <is>
          <t>자본변동표</t>
        </is>
      </c>
      <c r="J365" s="24" t="inlineStr">
        <is>
          <t>-표준계정코드 미사용-</t>
        </is>
      </c>
      <c r="K365" s="24" t="inlineStr">
        <is>
          <t>수정후 재작성된 금액</t>
        </is>
      </c>
      <c r="L365" s="24" t="inlineStr">
        <is>
          <t>자본 [member]|지배기업의 소유주에게 귀속되는 자본 [member]</t>
        </is>
      </c>
      <c r="M365" s="24" t="inlineStr">
        <is>
          <t>제 24 기</t>
        </is>
      </c>
      <c r="N365" s="24" t="inlineStr">
        <is>
          <t>해당 없음</t>
        </is>
      </c>
      <c r="O365" s="24" t="inlineStr">
        <is>
          <t>113230702011.0</t>
        </is>
      </c>
      <c r="P365" s="24" t="inlineStr">
        <is>
          <t>KRW</t>
        </is>
      </c>
      <c r="Q365" s="24" t="inlineStr">
        <is>
          <t>3</t>
        </is>
      </c>
    </row>
    <row r="366" ht="24" customHeight="1">
      <c r="A366" s="29" t="inlineStr">
        <is>
          <t>OpenDART_fnlttSinglAcntAll</t>
        </is>
      </c>
      <c r="B366" s="29" t="inlineStr">
        <is>
          <t>00366942</t>
        </is>
      </c>
      <c r="C366" s="29" t="inlineStr">
        <is>
          <t>미코</t>
        </is>
      </c>
      <c r="D366" s="29" t="inlineStr">
        <is>
          <t>mico</t>
        </is>
      </c>
      <c r="E366" s="29" t="inlineStr">
        <is>
          <t>059090</t>
        </is>
      </c>
      <c r="F366" s="29" t="inlineStr">
        <is>
          <t>2022</t>
        </is>
      </c>
      <c r="G366" s="29" t="inlineStr">
        <is>
          <t>CFS</t>
        </is>
      </c>
      <c r="H366" s="29" t="inlineStr">
        <is>
          <t>SCE</t>
        </is>
      </c>
      <c r="I366" s="29" t="inlineStr">
        <is>
          <t>자본변동표</t>
        </is>
      </c>
      <c r="J366" s="29" t="inlineStr">
        <is>
          <t>-표준계정코드 미사용-</t>
        </is>
      </c>
      <c r="K366" s="29" t="inlineStr">
        <is>
          <t>수정후 재작성된 금액</t>
        </is>
      </c>
      <c r="L366" s="29" t="inlineStr">
        <is>
          <t>자본 [member]|지배기업의 소유주에게 귀속되는 자본 [member]|기타자본구성요소 [member]</t>
        </is>
      </c>
      <c r="M366" s="29" t="inlineStr">
        <is>
          <t>제 24 기</t>
        </is>
      </c>
      <c r="N366" s="29" t="inlineStr">
        <is>
          <t>해당 없음</t>
        </is>
      </c>
      <c r="O366" s="29" t="inlineStr">
        <is>
          <t>-27112671485.0</t>
        </is>
      </c>
      <c r="P366" s="29" t="inlineStr">
        <is>
          <t>KRW</t>
        </is>
      </c>
      <c r="Q366" s="29" t="inlineStr">
        <is>
          <t>3</t>
        </is>
      </c>
    </row>
    <row r="367" ht="24" customHeight="1">
      <c r="A367" s="24" t="inlineStr">
        <is>
          <t>OpenDART_fnlttSinglAcntAll</t>
        </is>
      </c>
      <c r="B367" s="24" t="inlineStr">
        <is>
          <t>00366942</t>
        </is>
      </c>
      <c r="C367" s="24" t="inlineStr">
        <is>
          <t>미코</t>
        </is>
      </c>
      <c r="D367" s="24" t="inlineStr">
        <is>
          <t>mico</t>
        </is>
      </c>
      <c r="E367" s="24" t="inlineStr">
        <is>
          <t>059090</t>
        </is>
      </c>
      <c r="F367" s="24" t="inlineStr">
        <is>
          <t>2022</t>
        </is>
      </c>
      <c r="G367" s="24" t="inlineStr">
        <is>
          <t>CFS</t>
        </is>
      </c>
      <c r="H367" s="24" t="inlineStr">
        <is>
          <t>SCE</t>
        </is>
      </c>
      <c r="I367" s="24" t="inlineStr">
        <is>
          <t>자본변동표</t>
        </is>
      </c>
      <c r="J367" s="24" t="inlineStr">
        <is>
          <t>-표준계정코드 미사용-</t>
        </is>
      </c>
      <c r="K367" s="24" t="inlineStr">
        <is>
          <t>수정후 재작성된 금액</t>
        </is>
      </c>
      <c r="L367" s="24" t="inlineStr">
        <is>
          <t>자본 [member]|지배기업의 소유주에게 귀속되는 자본 [member]|기타포괄손익누계액 [member]</t>
        </is>
      </c>
      <c r="M367" s="24" t="inlineStr">
        <is>
          <t>제 24 기</t>
        </is>
      </c>
      <c r="N367" s="24" t="inlineStr">
        <is>
          <t>해당 없음</t>
        </is>
      </c>
      <c r="O367" s="24" t="inlineStr">
        <is>
          <t>-4533501784.0</t>
        </is>
      </c>
      <c r="P367" s="24" t="inlineStr">
        <is>
          <t>KRW</t>
        </is>
      </c>
      <c r="Q367" s="24" t="inlineStr">
        <is>
          <t>3</t>
        </is>
      </c>
    </row>
    <row r="368" ht="24" customHeight="1">
      <c r="A368" s="29" t="inlineStr">
        <is>
          <t>OpenDART_fnlttSinglAcntAll</t>
        </is>
      </c>
      <c r="B368" s="29" t="inlineStr">
        <is>
          <t>00366942</t>
        </is>
      </c>
      <c r="C368" s="29" t="inlineStr">
        <is>
          <t>미코</t>
        </is>
      </c>
      <c r="D368" s="29" t="inlineStr">
        <is>
          <t>mico</t>
        </is>
      </c>
      <c r="E368" s="29" t="inlineStr">
        <is>
          <t>059090</t>
        </is>
      </c>
      <c r="F368" s="29" t="inlineStr">
        <is>
          <t>2022</t>
        </is>
      </c>
      <c r="G368" s="29" t="inlineStr">
        <is>
          <t>CFS</t>
        </is>
      </c>
      <c r="H368" s="29" t="inlineStr">
        <is>
          <t>SCE</t>
        </is>
      </c>
      <c r="I368" s="29" t="inlineStr">
        <is>
          <t>자본변동표</t>
        </is>
      </c>
      <c r="J368" s="29" t="inlineStr">
        <is>
          <t>-표준계정코드 미사용-</t>
        </is>
      </c>
      <c r="K368" s="29" t="inlineStr">
        <is>
          <t>수정후 재작성된 금액</t>
        </is>
      </c>
      <c r="L368" s="29" t="inlineStr">
        <is>
          <t>자본 [member]|지배기업의 소유주에게 귀속되는 자본 [member]|이익잉여금 [member]</t>
        </is>
      </c>
      <c r="M368" s="29" t="inlineStr">
        <is>
          <t>제 24 기</t>
        </is>
      </c>
      <c r="N368" s="29" t="inlineStr">
        <is>
          <t>해당 없음</t>
        </is>
      </c>
      <c r="O368" s="29" t="inlineStr">
        <is>
          <t>36206958994.0</t>
        </is>
      </c>
      <c r="P368" s="29" t="inlineStr">
        <is>
          <t>KRW</t>
        </is>
      </c>
      <c r="Q368" s="29" t="inlineStr">
        <is>
          <t>3</t>
        </is>
      </c>
    </row>
    <row r="369" ht="24" customHeight="1">
      <c r="A369" s="24" t="inlineStr">
        <is>
          <t>OpenDART_fnlttSinglAcntAll</t>
        </is>
      </c>
      <c r="B369" s="24" t="inlineStr">
        <is>
          <t>00366942</t>
        </is>
      </c>
      <c r="C369" s="24" t="inlineStr">
        <is>
          <t>미코</t>
        </is>
      </c>
      <c r="D369" s="24" t="inlineStr">
        <is>
          <t>mico</t>
        </is>
      </c>
      <c r="E369" s="24" t="inlineStr">
        <is>
          <t>059090</t>
        </is>
      </c>
      <c r="F369" s="24" t="inlineStr">
        <is>
          <t>2022</t>
        </is>
      </c>
      <c r="G369" s="24" t="inlineStr">
        <is>
          <t>CFS</t>
        </is>
      </c>
      <c r="H369" s="24" t="inlineStr">
        <is>
          <t>SCE</t>
        </is>
      </c>
      <c r="I369" s="24" t="inlineStr">
        <is>
          <t>자본변동표</t>
        </is>
      </c>
      <c r="J369" s="24" t="inlineStr">
        <is>
          <t>-표준계정코드 미사용-</t>
        </is>
      </c>
      <c r="K369" s="24" t="inlineStr">
        <is>
          <t>수정후 재작성된 금액</t>
        </is>
      </c>
      <c r="L369" s="24" t="inlineStr">
        <is>
          <t>자본 [member]|지배기업의 소유주에게 귀속되는 자본 [member]|자본금 [member]</t>
        </is>
      </c>
      <c r="M369" s="24" t="inlineStr">
        <is>
          <t>제 24 기</t>
        </is>
      </c>
      <c r="N369" s="24" t="inlineStr">
        <is>
          <t>해당 없음</t>
        </is>
      </c>
      <c r="O369" s="24" t="inlineStr">
        <is>
          <t>15658301500.0</t>
        </is>
      </c>
      <c r="P369" s="24" t="inlineStr">
        <is>
          <t>KRW</t>
        </is>
      </c>
      <c r="Q369" s="24" t="inlineStr">
        <is>
          <t>3</t>
        </is>
      </c>
    </row>
    <row r="370" ht="24" customHeight="1">
      <c r="A370" s="29" t="inlineStr">
        <is>
          <t>OpenDART_fnlttSinglAcntAll</t>
        </is>
      </c>
      <c r="B370" s="29" t="inlineStr">
        <is>
          <t>00366942</t>
        </is>
      </c>
      <c r="C370" s="29" t="inlineStr">
        <is>
          <t>미코</t>
        </is>
      </c>
      <c r="D370" s="29" t="inlineStr">
        <is>
          <t>mico</t>
        </is>
      </c>
      <c r="E370" s="29" t="inlineStr">
        <is>
          <t>059090</t>
        </is>
      </c>
      <c r="F370" s="29" t="inlineStr">
        <is>
          <t>2022</t>
        </is>
      </c>
      <c r="G370" s="29" t="inlineStr">
        <is>
          <t>CFS</t>
        </is>
      </c>
      <c r="H370" s="29" t="inlineStr">
        <is>
          <t>SCE</t>
        </is>
      </c>
      <c r="I370" s="29" t="inlineStr">
        <is>
          <t>자본변동표</t>
        </is>
      </c>
      <c r="J370" s="29" t="inlineStr">
        <is>
          <t>-표준계정코드 미사용-</t>
        </is>
      </c>
      <c r="K370" s="29" t="inlineStr">
        <is>
          <t>수정후 재작성된 금액</t>
        </is>
      </c>
      <c r="L370" s="29" t="inlineStr">
        <is>
          <t>자본 [member]|지배기업의 소유주에게 귀속되는 자본 [member]|자본잉여금 [member]</t>
        </is>
      </c>
      <c r="M370" s="29" t="inlineStr">
        <is>
          <t>제 24 기</t>
        </is>
      </c>
      <c r="N370" s="29" t="inlineStr">
        <is>
          <t>해당 없음</t>
        </is>
      </c>
      <c r="O370" s="29" t="inlineStr">
        <is>
          <t>93011614786.0</t>
        </is>
      </c>
      <c r="P370" s="29" t="inlineStr">
        <is>
          <t>KRW</t>
        </is>
      </c>
      <c r="Q370" s="29" t="inlineStr">
        <is>
          <t>3</t>
        </is>
      </c>
    </row>
    <row r="371" ht="24" customHeight="1">
      <c r="A371" s="24" t="inlineStr">
        <is>
          <t>OpenDART_fnlttSinglAcntAll</t>
        </is>
      </c>
      <c r="B371" s="24" t="inlineStr">
        <is>
          <t>00366942</t>
        </is>
      </c>
      <c r="C371" s="24" t="inlineStr">
        <is>
          <t>미코</t>
        </is>
      </c>
      <c r="D371" s="24" t="inlineStr">
        <is>
          <t>mico</t>
        </is>
      </c>
      <c r="E371" s="24" t="inlineStr">
        <is>
          <t>059090</t>
        </is>
      </c>
      <c r="F371" s="24" t="inlineStr">
        <is>
          <t>2022</t>
        </is>
      </c>
      <c r="G371" s="24" t="inlineStr">
        <is>
          <t>CFS</t>
        </is>
      </c>
      <c r="H371" s="24" t="inlineStr">
        <is>
          <t>SCE</t>
        </is>
      </c>
      <c r="I371" s="24" t="inlineStr">
        <is>
          <t>자본변동표</t>
        </is>
      </c>
      <c r="J371" s="24" t="inlineStr">
        <is>
          <t>ifrs-full_ProfitLoss</t>
        </is>
      </c>
      <c r="K371" s="24" t="inlineStr">
        <is>
          <t>연결당기순이익(손실)</t>
        </is>
      </c>
      <c r="L371" s="24" t="inlineStr">
        <is>
          <t>연결재무제표 [member]</t>
        </is>
      </c>
      <c r="M371" s="24" t="inlineStr">
        <is>
          <t>제 24 기</t>
        </is>
      </c>
      <c r="N371" s="24" t="inlineStr">
        <is>
          <t>-31225946867.0</t>
        </is>
      </c>
      <c r="O371" s="24" t="inlineStr">
        <is>
          <t>14966514404.0</t>
        </is>
      </c>
      <c r="P371" s="24" t="inlineStr">
        <is>
          <t>KRW</t>
        </is>
      </c>
      <c r="Q371" s="24" t="inlineStr">
        <is>
          <t>5</t>
        </is>
      </c>
    </row>
    <row r="372" ht="24" customHeight="1">
      <c r="A372" s="29" t="inlineStr">
        <is>
          <t>OpenDART_fnlttSinglAcntAll</t>
        </is>
      </c>
      <c r="B372" s="29" t="inlineStr">
        <is>
          <t>00366942</t>
        </is>
      </c>
      <c r="C372" s="29" t="inlineStr">
        <is>
          <t>미코</t>
        </is>
      </c>
      <c r="D372" s="29" t="inlineStr">
        <is>
          <t>mico</t>
        </is>
      </c>
      <c r="E372" s="29" t="inlineStr">
        <is>
          <t>059090</t>
        </is>
      </c>
      <c r="F372" s="29" t="inlineStr">
        <is>
          <t>2022</t>
        </is>
      </c>
      <c r="G372" s="29" t="inlineStr">
        <is>
          <t>CFS</t>
        </is>
      </c>
      <c r="H372" s="29" t="inlineStr">
        <is>
          <t>SCE</t>
        </is>
      </c>
      <c r="I372" s="29" t="inlineStr">
        <is>
          <t>자본변동표</t>
        </is>
      </c>
      <c r="J372" s="29" t="inlineStr">
        <is>
          <t>ifrs-full_ProfitLoss</t>
        </is>
      </c>
      <c r="K372" s="29" t="inlineStr">
        <is>
          <t>연결당기순이익(손실)</t>
        </is>
      </c>
      <c r="L372" s="29" t="inlineStr">
        <is>
          <t>자본 [member]|비지배지분 [member]</t>
        </is>
      </c>
      <c r="M372" s="29" t="inlineStr">
        <is>
          <t>제 24 기</t>
        </is>
      </c>
      <c r="N372" s="29" t="inlineStr">
        <is>
          <t>24005212536.0</t>
        </is>
      </c>
      <c r="O372" s="29" t="inlineStr">
        <is>
          <t>31590968584.0</t>
        </is>
      </c>
      <c r="P372" s="29" t="inlineStr">
        <is>
          <t>KRW</t>
        </is>
      </c>
      <c r="Q372" s="29" t="inlineStr">
        <is>
          <t>5</t>
        </is>
      </c>
    </row>
    <row r="373" ht="24" customHeight="1">
      <c r="A373" s="24" t="inlineStr">
        <is>
          <t>OpenDART_fnlttSinglAcntAll</t>
        </is>
      </c>
      <c r="B373" s="24" t="inlineStr">
        <is>
          <t>00366942</t>
        </is>
      </c>
      <c r="C373" s="24" t="inlineStr">
        <is>
          <t>미코</t>
        </is>
      </c>
      <c r="D373" s="24" t="inlineStr">
        <is>
          <t>mico</t>
        </is>
      </c>
      <c r="E373" s="24" t="inlineStr">
        <is>
          <t>059090</t>
        </is>
      </c>
      <c r="F373" s="24" t="inlineStr">
        <is>
          <t>2022</t>
        </is>
      </c>
      <c r="G373" s="24" t="inlineStr">
        <is>
          <t>CFS</t>
        </is>
      </c>
      <c r="H373" s="24" t="inlineStr">
        <is>
          <t>SCE</t>
        </is>
      </c>
      <c r="I373" s="24" t="inlineStr">
        <is>
          <t>자본변동표</t>
        </is>
      </c>
      <c r="J373" s="24" t="inlineStr">
        <is>
          <t>ifrs-full_ProfitLoss</t>
        </is>
      </c>
      <c r="K373" s="24" t="inlineStr">
        <is>
          <t>연결당기순이익(손실)</t>
        </is>
      </c>
      <c r="L373" s="24" t="inlineStr">
        <is>
          <t>자본 [member]|지배기업의 소유주에게 귀속되는 자본 [member]</t>
        </is>
      </c>
      <c r="M373" s="24" t="inlineStr">
        <is>
          <t>제 24 기</t>
        </is>
      </c>
      <c r="N373" s="24" t="inlineStr">
        <is>
          <t>-55231159403.0</t>
        </is>
      </c>
      <c r="O373" s="24" t="inlineStr">
        <is>
          <t>-16624454180.0</t>
        </is>
      </c>
      <c r="P373" s="24" t="inlineStr">
        <is>
          <t>KRW</t>
        </is>
      </c>
      <c r="Q373" s="24" t="inlineStr">
        <is>
          <t>5</t>
        </is>
      </c>
    </row>
    <row r="374" ht="24" customHeight="1">
      <c r="A374" s="29" t="inlineStr">
        <is>
          <t>OpenDART_fnlttSinglAcntAll</t>
        </is>
      </c>
      <c r="B374" s="29" t="inlineStr">
        <is>
          <t>00366942</t>
        </is>
      </c>
      <c r="C374" s="29" t="inlineStr">
        <is>
          <t>미코</t>
        </is>
      </c>
      <c r="D374" s="29" t="inlineStr">
        <is>
          <t>mico</t>
        </is>
      </c>
      <c r="E374" s="29" t="inlineStr">
        <is>
          <t>059090</t>
        </is>
      </c>
      <c r="F374" s="29" t="inlineStr">
        <is>
          <t>2022</t>
        </is>
      </c>
      <c r="G374" s="29" t="inlineStr">
        <is>
          <t>CFS</t>
        </is>
      </c>
      <c r="H374" s="29" t="inlineStr">
        <is>
          <t>SCE</t>
        </is>
      </c>
      <c r="I374" s="29" t="inlineStr">
        <is>
          <t>자본변동표</t>
        </is>
      </c>
      <c r="J374" s="29" t="inlineStr">
        <is>
          <t>ifrs-full_ProfitLoss</t>
        </is>
      </c>
      <c r="K374" s="29" t="inlineStr">
        <is>
          <t>연결당기순이익(손실)</t>
        </is>
      </c>
      <c r="L374" s="29" t="inlineStr">
        <is>
          <t>자본 [member]|지배기업의 소유주에게 귀속되는 자본 [member]|이익잉여금 [member]</t>
        </is>
      </c>
      <c r="M374" s="29" t="inlineStr">
        <is>
          <t>제 24 기</t>
        </is>
      </c>
      <c r="N374" s="29" t="inlineStr">
        <is>
          <t>-55231159403.0</t>
        </is>
      </c>
      <c r="O374" s="29" t="inlineStr">
        <is>
          <t>-16624454180.0</t>
        </is>
      </c>
      <c r="P374" s="29" t="inlineStr">
        <is>
          <t>KRW</t>
        </is>
      </c>
      <c r="Q374" s="29" t="inlineStr">
        <is>
          <t>5</t>
        </is>
      </c>
    </row>
    <row r="375" ht="24" customHeight="1">
      <c r="A375" s="24" t="inlineStr">
        <is>
          <t>OpenDART_fnlttSinglAcntAll</t>
        </is>
      </c>
      <c r="B375" s="24" t="inlineStr">
        <is>
          <t>00366942</t>
        </is>
      </c>
      <c r="C375" s="24" t="inlineStr">
        <is>
          <t>미코</t>
        </is>
      </c>
      <c r="D375" s="24" t="inlineStr">
        <is>
          <t>mico</t>
        </is>
      </c>
      <c r="E375" s="24" t="inlineStr">
        <is>
          <t>059090</t>
        </is>
      </c>
      <c r="F375" s="24" t="inlineStr">
        <is>
          <t>2022</t>
        </is>
      </c>
      <c r="G375" s="24" t="inlineStr">
        <is>
          <t>CFS</t>
        </is>
      </c>
      <c r="H375" s="24" t="inlineStr">
        <is>
          <t>SCE</t>
        </is>
      </c>
      <c r="I375" s="24" t="inlineStr">
        <is>
          <t>자본변동표</t>
        </is>
      </c>
      <c r="J375" s="24" t="inlineStr">
        <is>
          <t>-표준계정코드 미사용-</t>
        </is>
      </c>
      <c r="K375" s="24" t="inlineStr">
        <is>
          <t>해외사업환산</t>
        </is>
      </c>
      <c r="L375" s="24" t="inlineStr">
        <is>
          <t>연결재무제표 [member]</t>
        </is>
      </c>
      <c r="M375" s="24" t="inlineStr">
        <is>
          <t>제 24 기</t>
        </is>
      </c>
      <c r="N375" s="24" t="inlineStr">
        <is>
          <t>4063873276.0</t>
        </is>
      </c>
      <c r="O375" s="24" t="inlineStr">
        <is>
          <t>9806920926.0</t>
        </is>
      </c>
      <c r="P375" s="24" t="inlineStr">
        <is>
          <t>KRW</t>
        </is>
      </c>
      <c r="Q375" s="24" t="inlineStr">
        <is>
          <t>6</t>
        </is>
      </c>
    </row>
    <row r="376" ht="24" customHeight="1">
      <c r="A376" s="29" t="inlineStr">
        <is>
          <t>OpenDART_fnlttSinglAcntAll</t>
        </is>
      </c>
      <c r="B376" s="29" t="inlineStr">
        <is>
          <t>00366942</t>
        </is>
      </c>
      <c r="C376" s="29" t="inlineStr">
        <is>
          <t>미코</t>
        </is>
      </c>
      <c r="D376" s="29" t="inlineStr">
        <is>
          <t>mico</t>
        </is>
      </c>
      <c r="E376" s="29" t="inlineStr">
        <is>
          <t>059090</t>
        </is>
      </c>
      <c r="F376" s="29" t="inlineStr">
        <is>
          <t>2022</t>
        </is>
      </c>
      <c r="G376" s="29" t="inlineStr">
        <is>
          <t>CFS</t>
        </is>
      </c>
      <c r="H376" s="29" t="inlineStr">
        <is>
          <t>SCE</t>
        </is>
      </c>
      <c r="I376" s="29" t="inlineStr">
        <is>
          <t>자본변동표</t>
        </is>
      </c>
      <c r="J376" s="29" t="inlineStr">
        <is>
          <t>-표준계정코드 미사용-</t>
        </is>
      </c>
      <c r="K376" s="29" t="inlineStr">
        <is>
          <t>해외사업환산</t>
        </is>
      </c>
      <c r="L376" s="29" t="inlineStr">
        <is>
          <t>자본 [member]|비지배지분 [member]</t>
        </is>
      </c>
      <c r="M376" s="29" t="inlineStr">
        <is>
          <t>제 24 기</t>
        </is>
      </c>
      <c r="N376" s="29" t="inlineStr">
        <is>
          <t>1644391664.0</t>
        </is>
      </c>
      <c r="O376" s="29" t="inlineStr">
        <is>
          <t>5966930389.0</t>
        </is>
      </c>
      <c r="P376" s="29" t="inlineStr">
        <is>
          <t>KRW</t>
        </is>
      </c>
      <c r="Q376" s="29" t="inlineStr">
        <is>
          <t>6</t>
        </is>
      </c>
    </row>
    <row r="377" ht="24" customHeight="1">
      <c r="A377" s="24" t="inlineStr">
        <is>
          <t>OpenDART_fnlttSinglAcntAll</t>
        </is>
      </c>
      <c r="B377" s="24" t="inlineStr">
        <is>
          <t>00366942</t>
        </is>
      </c>
      <c r="C377" s="24" t="inlineStr">
        <is>
          <t>미코</t>
        </is>
      </c>
      <c r="D377" s="24" t="inlineStr">
        <is>
          <t>mico</t>
        </is>
      </c>
      <c r="E377" s="24" t="inlineStr">
        <is>
          <t>059090</t>
        </is>
      </c>
      <c r="F377" s="24" t="inlineStr">
        <is>
          <t>2022</t>
        </is>
      </c>
      <c r="G377" s="24" t="inlineStr">
        <is>
          <t>CFS</t>
        </is>
      </c>
      <c r="H377" s="24" t="inlineStr">
        <is>
          <t>SCE</t>
        </is>
      </c>
      <c r="I377" s="24" t="inlineStr">
        <is>
          <t>자본변동표</t>
        </is>
      </c>
      <c r="J377" s="24" t="inlineStr">
        <is>
          <t>-표준계정코드 미사용-</t>
        </is>
      </c>
      <c r="K377" s="24" t="inlineStr">
        <is>
          <t>해외사업환산</t>
        </is>
      </c>
      <c r="L377" s="24" t="inlineStr">
        <is>
          <t>자본 [member]|지배기업의 소유주에게 귀속되는 자본 [member]</t>
        </is>
      </c>
      <c r="M377" s="24" t="inlineStr">
        <is>
          <t>제 24 기</t>
        </is>
      </c>
      <c r="N377" s="24" t="inlineStr">
        <is>
          <t>2419481612.0</t>
        </is>
      </c>
      <c r="O377" s="24" t="inlineStr">
        <is>
          <t>3839990537.0</t>
        </is>
      </c>
      <c r="P377" s="24" t="inlineStr">
        <is>
          <t>KRW</t>
        </is>
      </c>
      <c r="Q377" s="24" t="inlineStr">
        <is>
          <t>6</t>
        </is>
      </c>
    </row>
    <row r="378" ht="24" customHeight="1">
      <c r="A378" s="29" t="inlineStr">
        <is>
          <t>OpenDART_fnlttSinglAcntAll</t>
        </is>
      </c>
      <c r="B378" s="29" t="inlineStr">
        <is>
          <t>00366942</t>
        </is>
      </c>
      <c r="C378" s="29" t="inlineStr">
        <is>
          <t>미코</t>
        </is>
      </c>
      <c r="D378" s="29" t="inlineStr">
        <is>
          <t>mico</t>
        </is>
      </c>
      <c r="E378" s="29" t="inlineStr">
        <is>
          <t>059090</t>
        </is>
      </c>
      <c r="F378" s="29" t="inlineStr">
        <is>
          <t>2022</t>
        </is>
      </c>
      <c r="G378" s="29" t="inlineStr">
        <is>
          <t>CFS</t>
        </is>
      </c>
      <c r="H378" s="29" t="inlineStr">
        <is>
          <t>SCE</t>
        </is>
      </c>
      <c r="I378" s="29" t="inlineStr">
        <is>
          <t>자본변동표</t>
        </is>
      </c>
      <c r="J378" s="29" t="inlineStr">
        <is>
          <t>-표준계정코드 미사용-</t>
        </is>
      </c>
      <c r="K378" s="29" t="inlineStr">
        <is>
          <t>해외사업환산</t>
        </is>
      </c>
      <c r="L378" s="29" t="inlineStr">
        <is>
          <t>자본 [member]|지배기업의 소유주에게 귀속되는 자본 [member]|기타포괄손익누계액 [member]</t>
        </is>
      </c>
      <c r="M378" s="29" t="inlineStr">
        <is>
          <t>제 24 기</t>
        </is>
      </c>
      <c r="N378" s="29" t="inlineStr">
        <is>
          <t>2419481612.0</t>
        </is>
      </c>
      <c r="O378" s="29" t="inlineStr">
        <is>
          <t>3839990537.0</t>
        </is>
      </c>
      <c r="P378" s="29" t="inlineStr">
        <is>
          <t>KRW</t>
        </is>
      </c>
      <c r="Q378" s="29" t="inlineStr">
        <is>
          <t>6</t>
        </is>
      </c>
    </row>
    <row r="379" ht="24" customHeight="1">
      <c r="A379" s="24" t="inlineStr">
        <is>
          <t>OpenDART_fnlttSinglAcntAll</t>
        </is>
      </c>
      <c r="B379" s="24" t="inlineStr">
        <is>
          <t>00366942</t>
        </is>
      </c>
      <c r="C379" s="24" t="inlineStr">
        <is>
          <t>미코</t>
        </is>
      </c>
      <c r="D379" s="24" t="inlineStr">
        <is>
          <t>mico</t>
        </is>
      </c>
      <c r="E379" s="24" t="inlineStr">
        <is>
          <t>059090</t>
        </is>
      </c>
      <c r="F379" s="24" t="inlineStr">
        <is>
          <t>2022</t>
        </is>
      </c>
      <c r="G379" s="24" t="inlineStr">
        <is>
          <t>CFS</t>
        </is>
      </c>
      <c r="H379" s="24" t="inlineStr">
        <is>
          <t>SCE</t>
        </is>
      </c>
      <c r="I379" s="24" t="inlineStr">
        <is>
          <t>자본변동표</t>
        </is>
      </c>
      <c r="J379" s="24" t="inlineStr">
        <is>
          <t>-표준계정코드 미사용-</t>
        </is>
      </c>
      <c r="K379" s="24" t="inlineStr">
        <is>
          <t>기타포괄손익-공정가치측정금융자산평가손익</t>
        </is>
      </c>
      <c r="L379" s="24" t="inlineStr">
        <is>
          <t>연결재무제표 [member]</t>
        </is>
      </c>
      <c r="M379" s="24" t="inlineStr">
        <is>
          <t>제 24 기</t>
        </is>
      </c>
      <c r="N379" s="24" t="inlineStr">
        <is>
          <t>363130294.0</t>
        </is>
      </c>
      <c r="O379" s="24" t="inlineStr">
        <is>
          <t>428241135.0</t>
        </is>
      </c>
      <c r="P379" s="24" t="inlineStr">
        <is>
          <t>KRW</t>
        </is>
      </c>
      <c r="Q379" s="24" t="inlineStr">
        <is>
          <t>7</t>
        </is>
      </c>
    </row>
    <row r="380" ht="24" customHeight="1">
      <c r="A380" s="29" t="inlineStr">
        <is>
          <t>OpenDART_fnlttSinglAcntAll</t>
        </is>
      </c>
      <c r="B380" s="29" t="inlineStr">
        <is>
          <t>00366942</t>
        </is>
      </c>
      <c r="C380" s="29" t="inlineStr">
        <is>
          <t>미코</t>
        </is>
      </c>
      <c r="D380" s="29" t="inlineStr">
        <is>
          <t>mico</t>
        </is>
      </c>
      <c r="E380" s="29" t="inlineStr">
        <is>
          <t>059090</t>
        </is>
      </c>
      <c r="F380" s="29" t="inlineStr">
        <is>
          <t>2022</t>
        </is>
      </c>
      <c r="G380" s="29" t="inlineStr">
        <is>
          <t>CFS</t>
        </is>
      </c>
      <c r="H380" s="29" t="inlineStr">
        <is>
          <t>SCE</t>
        </is>
      </c>
      <c r="I380" s="29" t="inlineStr">
        <is>
          <t>자본변동표</t>
        </is>
      </c>
      <c r="J380" s="29" t="inlineStr">
        <is>
          <t>-표준계정코드 미사용-</t>
        </is>
      </c>
      <c r="K380" s="29" t="inlineStr">
        <is>
          <t>기타포괄손익-공정가치측정금융자산평가손익</t>
        </is>
      </c>
      <c r="L380" s="29" t="inlineStr">
        <is>
          <t>자본 [member]|비지배지분 [member]</t>
        </is>
      </c>
      <c r="M380" s="29" t="inlineStr">
        <is>
          <t>제 24 기</t>
        </is>
      </c>
      <c r="N380" s="29" t="inlineStr">
        <is>
          <t>222544412.0</t>
        </is>
      </c>
      <c r="O380" s="29" t="inlineStr">
        <is>
          <t>64359024.0</t>
        </is>
      </c>
      <c r="P380" s="29" t="inlineStr">
        <is>
          <t>KRW</t>
        </is>
      </c>
      <c r="Q380" s="29" t="inlineStr">
        <is>
          <t>7</t>
        </is>
      </c>
    </row>
    <row r="381" ht="24" customHeight="1">
      <c r="A381" s="24" t="inlineStr">
        <is>
          <t>OpenDART_fnlttSinglAcntAll</t>
        </is>
      </c>
      <c r="B381" s="24" t="inlineStr">
        <is>
          <t>00366942</t>
        </is>
      </c>
      <c r="C381" s="24" t="inlineStr">
        <is>
          <t>미코</t>
        </is>
      </c>
      <c r="D381" s="24" t="inlineStr">
        <is>
          <t>mico</t>
        </is>
      </c>
      <c r="E381" s="24" t="inlineStr">
        <is>
          <t>059090</t>
        </is>
      </c>
      <c r="F381" s="24" t="inlineStr">
        <is>
          <t>2022</t>
        </is>
      </c>
      <c r="G381" s="24" t="inlineStr">
        <is>
          <t>CFS</t>
        </is>
      </c>
      <c r="H381" s="24" t="inlineStr">
        <is>
          <t>SCE</t>
        </is>
      </c>
      <c r="I381" s="24" t="inlineStr">
        <is>
          <t>자본변동표</t>
        </is>
      </c>
      <c r="J381" s="24" t="inlineStr">
        <is>
          <t>-표준계정코드 미사용-</t>
        </is>
      </c>
      <c r="K381" s="24" t="inlineStr">
        <is>
          <t>기타포괄손익-공정가치측정금융자산평가손익</t>
        </is>
      </c>
      <c r="L381" s="24" t="inlineStr">
        <is>
          <t>자본 [member]|지배기업의 소유주에게 귀속되는 자본 [member]</t>
        </is>
      </c>
      <c r="M381" s="24" t="inlineStr">
        <is>
          <t>제 24 기</t>
        </is>
      </c>
      <c r="N381" s="24" t="inlineStr">
        <is>
          <t>140585882.0</t>
        </is>
      </c>
      <c r="O381" s="24" t="inlineStr">
        <is>
          <t>363882111.0</t>
        </is>
      </c>
      <c r="P381" s="24" t="inlineStr">
        <is>
          <t>KRW</t>
        </is>
      </c>
      <c r="Q381" s="24" t="inlineStr">
        <is>
          <t>7</t>
        </is>
      </c>
    </row>
    <row r="382" ht="24" customHeight="1">
      <c r="A382" s="29" t="inlineStr">
        <is>
          <t>OpenDART_fnlttSinglAcntAll</t>
        </is>
      </c>
      <c r="B382" s="29" t="inlineStr">
        <is>
          <t>00366942</t>
        </is>
      </c>
      <c r="C382" s="29" t="inlineStr">
        <is>
          <t>미코</t>
        </is>
      </c>
      <c r="D382" s="29" t="inlineStr">
        <is>
          <t>mico</t>
        </is>
      </c>
      <c r="E382" s="29" t="inlineStr">
        <is>
          <t>059090</t>
        </is>
      </c>
      <c r="F382" s="29" t="inlineStr">
        <is>
          <t>2022</t>
        </is>
      </c>
      <c r="G382" s="29" t="inlineStr">
        <is>
          <t>CFS</t>
        </is>
      </c>
      <c r="H382" s="29" t="inlineStr">
        <is>
          <t>SCE</t>
        </is>
      </c>
      <c r="I382" s="29" t="inlineStr">
        <is>
          <t>자본변동표</t>
        </is>
      </c>
      <c r="J382" s="29" t="inlineStr">
        <is>
          <t>-표준계정코드 미사용-</t>
        </is>
      </c>
      <c r="K382" s="29" t="inlineStr">
        <is>
          <t>기타포괄손익-공정가치측정금융자산평가손익</t>
        </is>
      </c>
      <c r="L382" s="29" t="inlineStr">
        <is>
          <t>자본 [member]|지배기업의 소유주에게 귀속되는 자본 [member]|기타포괄손익누계액 [member]</t>
        </is>
      </c>
      <c r="M382" s="29" t="inlineStr">
        <is>
          <t>제 24 기</t>
        </is>
      </c>
      <c r="N382" s="29" t="inlineStr">
        <is>
          <t>140585882.0</t>
        </is>
      </c>
      <c r="O382" s="29" t="inlineStr">
        <is>
          <t>-744307006.0</t>
        </is>
      </c>
      <c r="P382" s="29" t="inlineStr">
        <is>
          <t>KRW</t>
        </is>
      </c>
      <c r="Q382" s="29" t="inlineStr">
        <is>
          <t>7</t>
        </is>
      </c>
    </row>
    <row r="383" ht="24" customHeight="1">
      <c r="A383" s="24" t="inlineStr">
        <is>
          <t>OpenDART_fnlttSinglAcntAll</t>
        </is>
      </c>
      <c r="B383" s="24" t="inlineStr">
        <is>
          <t>00366942</t>
        </is>
      </c>
      <c r="C383" s="24" t="inlineStr">
        <is>
          <t>미코</t>
        </is>
      </c>
      <c r="D383" s="24" t="inlineStr">
        <is>
          <t>mico</t>
        </is>
      </c>
      <c r="E383" s="24" t="inlineStr">
        <is>
          <t>059090</t>
        </is>
      </c>
      <c r="F383" s="24" t="inlineStr">
        <is>
          <t>2022</t>
        </is>
      </c>
      <c r="G383" s="24" t="inlineStr">
        <is>
          <t>CFS</t>
        </is>
      </c>
      <c r="H383" s="24" t="inlineStr">
        <is>
          <t>SCE</t>
        </is>
      </c>
      <c r="I383" s="24" t="inlineStr">
        <is>
          <t>자본변동표</t>
        </is>
      </c>
      <c r="J383" s="24" t="inlineStr">
        <is>
          <t>-표준계정코드 미사용-</t>
        </is>
      </c>
      <c r="K383" s="24" t="inlineStr">
        <is>
          <t>기타포괄손익-공정가치측정금융자산평가손익</t>
        </is>
      </c>
      <c r="L383" s="24" t="inlineStr">
        <is>
          <t>자본 [member]|지배기업의 소유주에게 귀속되는 자본 [member]|이익잉여금 [member]</t>
        </is>
      </c>
      <c r="M383" s="24" t="inlineStr">
        <is>
          <t>제 24 기</t>
        </is>
      </c>
      <c r="N383" s="24" t="inlineStr">
        <is>
          <t>해당 없음</t>
        </is>
      </c>
      <c r="O383" s="24" t="inlineStr">
        <is>
          <t>1108189117.0</t>
        </is>
      </c>
      <c r="P383" s="24" t="inlineStr">
        <is>
          <t>KRW</t>
        </is>
      </c>
      <c r="Q383" s="24" t="inlineStr">
        <is>
          <t>7</t>
        </is>
      </c>
    </row>
    <row r="384" ht="24" customHeight="1">
      <c r="A384" s="29" t="inlineStr">
        <is>
          <t>OpenDART_fnlttSinglAcntAll</t>
        </is>
      </c>
      <c r="B384" s="29" t="inlineStr">
        <is>
          <t>00366942</t>
        </is>
      </c>
      <c r="C384" s="29" t="inlineStr">
        <is>
          <t>미코</t>
        </is>
      </c>
      <c r="D384" s="29" t="inlineStr">
        <is>
          <t>mico</t>
        </is>
      </c>
      <c r="E384" s="29" t="inlineStr">
        <is>
          <t>059090</t>
        </is>
      </c>
      <c r="F384" s="29" t="inlineStr">
        <is>
          <t>2022</t>
        </is>
      </c>
      <c r="G384" s="29" t="inlineStr">
        <is>
          <t>CFS</t>
        </is>
      </c>
      <c r="H384" s="29" t="inlineStr">
        <is>
          <t>SCE</t>
        </is>
      </c>
      <c r="I384" s="29" t="inlineStr">
        <is>
          <t>자본변동표</t>
        </is>
      </c>
      <c r="J384" s="29" t="inlineStr">
        <is>
          <t>-표준계정코드 미사용-</t>
        </is>
      </c>
      <c r="K384" s="29" t="inlineStr">
        <is>
          <t>보험수리적손익</t>
        </is>
      </c>
      <c r="L384" s="29" t="inlineStr">
        <is>
          <t>연결재무제표 [member]</t>
        </is>
      </c>
      <c r="M384" s="29" t="inlineStr">
        <is>
          <t>제 24 기</t>
        </is>
      </c>
      <c r="N384" s="29" t="inlineStr">
        <is>
          <t>2703551061.0</t>
        </is>
      </c>
      <c r="O384" s="29" t="inlineStr">
        <is>
          <t>-1234375668.0</t>
        </is>
      </c>
      <c r="P384" s="29" t="inlineStr">
        <is>
          <t>KRW</t>
        </is>
      </c>
      <c r="Q384" s="29" t="inlineStr">
        <is>
          <t>8</t>
        </is>
      </c>
    </row>
    <row r="385" ht="24" customHeight="1">
      <c r="A385" s="24" t="inlineStr">
        <is>
          <t>OpenDART_fnlttSinglAcntAll</t>
        </is>
      </c>
      <c r="B385" s="24" t="inlineStr">
        <is>
          <t>00366942</t>
        </is>
      </c>
      <c r="C385" s="24" t="inlineStr">
        <is>
          <t>미코</t>
        </is>
      </c>
      <c r="D385" s="24" t="inlineStr">
        <is>
          <t>mico</t>
        </is>
      </c>
      <c r="E385" s="24" t="inlineStr">
        <is>
          <t>059090</t>
        </is>
      </c>
      <c r="F385" s="24" t="inlineStr">
        <is>
          <t>2022</t>
        </is>
      </c>
      <c r="G385" s="24" t="inlineStr">
        <is>
          <t>CFS</t>
        </is>
      </c>
      <c r="H385" s="24" t="inlineStr">
        <is>
          <t>SCE</t>
        </is>
      </c>
      <c r="I385" s="24" t="inlineStr">
        <is>
          <t>자본변동표</t>
        </is>
      </c>
      <c r="J385" s="24" t="inlineStr">
        <is>
          <t>-표준계정코드 미사용-</t>
        </is>
      </c>
      <c r="K385" s="24" t="inlineStr">
        <is>
          <t>보험수리적손익</t>
        </is>
      </c>
      <c r="L385" s="24" t="inlineStr">
        <is>
          <t>자본 [member]|비지배지분 [member]</t>
        </is>
      </c>
      <c r="M385" s="24" t="inlineStr">
        <is>
          <t>제 24 기</t>
        </is>
      </c>
      <c r="N385" s="24" t="inlineStr">
        <is>
          <t>1142556331.0</t>
        </is>
      </c>
      <c r="O385" s="24" t="inlineStr">
        <is>
          <t>-674536333.0</t>
        </is>
      </c>
      <c r="P385" s="24" t="inlineStr">
        <is>
          <t>KRW</t>
        </is>
      </c>
      <c r="Q385" s="24" t="inlineStr">
        <is>
          <t>8</t>
        </is>
      </c>
    </row>
    <row r="386" ht="24" customHeight="1">
      <c r="A386" s="29" t="inlineStr">
        <is>
          <t>OpenDART_fnlttSinglAcntAll</t>
        </is>
      </c>
      <c r="B386" s="29" t="inlineStr">
        <is>
          <t>00366942</t>
        </is>
      </c>
      <c r="C386" s="29" t="inlineStr">
        <is>
          <t>미코</t>
        </is>
      </c>
      <c r="D386" s="29" t="inlineStr">
        <is>
          <t>mico</t>
        </is>
      </c>
      <c r="E386" s="29" t="inlineStr">
        <is>
          <t>059090</t>
        </is>
      </c>
      <c r="F386" s="29" t="inlineStr">
        <is>
          <t>2022</t>
        </is>
      </c>
      <c r="G386" s="29" t="inlineStr">
        <is>
          <t>CFS</t>
        </is>
      </c>
      <c r="H386" s="29" t="inlineStr">
        <is>
          <t>SCE</t>
        </is>
      </c>
      <c r="I386" s="29" t="inlineStr">
        <is>
          <t>자본변동표</t>
        </is>
      </c>
      <c r="J386" s="29" t="inlineStr">
        <is>
          <t>-표준계정코드 미사용-</t>
        </is>
      </c>
      <c r="K386" s="29" t="inlineStr">
        <is>
          <t>보험수리적손익</t>
        </is>
      </c>
      <c r="L386" s="29" t="inlineStr">
        <is>
          <t>자본 [member]|지배기업의 소유주에게 귀속되는 자본 [member]</t>
        </is>
      </c>
      <c r="M386" s="29" t="inlineStr">
        <is>
          <t>제 24 기</t>
        </is>
      </c>
      <c r="N386" s="29" t="inlineStr">
        <is>
          <t>1560994730.0</t>
        </is>
      </c>
      <c r="O386" s="29" t="inlineStr">
        <is>
          <t>-559839335.0</t>
        </is>
      </c>
      <c r="P386" s="29" t="inlineStr">
        <is>
          <t>KRW</t>
        </is>
      </c>
      <c r="Q386" s="29" t="inlineStr">
        <is>
          <t>8</t>
        </is>
      </c>
    </row>
    <row r="387" ht="24" customHeight="1">
      <c r="A387" s="24" t="inlineStr">
        <is>
          <t>OpenDART_fnlttSinglAcntAll</t>
        </is>
      </c>
      <c r="B387" s="24" t="inlineStr">
        <is>
          <t>00366942</t>
        </is>
      </c>
      <c r="C387" s="24" t="inlineStr">
        <is>
          <t>미코</t>
        </is>
      </c>
      <c r="D387" s="24" t="inlineStr">
        <is>
          <t>mico</t>
        </is>
      </c>
      <c r="E387" s="24" t="inlineStr">
        <is>
          <t>059090</t>
        </is>
      </c>
      <c r="F387" s="24" t="inlineStr">
        <is>
          <t>2022</t>
        </is>
      </c>
      <c r="G387" s="24" t="inlineStr">
        <is>
          <t>CFS</t>
        </is>
      </c>
      <c r="H387" s="24" t="inlineStr">
        <is>
          <t>SCE</t>
        </is>
      </c>
      <c r="I387" s="24" t="inlineStr">
        <is>
          <t>자본변동표</t>
        </is>
      </c>
      <c r="J387" s="24" t="inlineStr">
        <is>
          <t>-표준계정코드 미사용-</t>
        </is>
      </c>
      <c r="K387" s="24" t="inlineStr">
        <is>
          <t>보험수리적손익</t>
        </is>
      </c>
      <c r="L387" s="24" t="inlineStr">
        <is>
          <t>자본 [member]|지배기업의 소유주에게 귀속되는 자본 [member]|기타포괄손익누계액 [member]</t>
        </is>
      </c>
      <c r="M387" s="24" t="inlineStr">
        <is>
          <t>제 24 기</t>
        </is>
      </c>
      <c r="N387" s="24" t="inlineStr">
        <is>
          <t>1560994730.0</t>
        </is>
      </c>
      <c r="O387" s="24" t="inlineStr">
        <is>
          <t>-559839335.0</t>
        </is>
      </c>
      <c r="P387" s="24" t="inlineStr">
        <is>
          <t>KRW</t>
        </is>
      </c>
      <c r="Q387" s="24" t="inlineStr">
        <is>
          <t>8</t>
        </is>
      </c>
    </row>
    <row r="388" ht="24" customHeight="1">
      <c r="A388" s="29" t="inlineStr">
        <is>
          <t>OpenDART_fnlttSinglAcntAll</t>
        </is>
      </c>
      <c r="B388" s="29" t="inlineStr">
        <is>
          <t>00366942</t>
        </is>
      </c>
      <c r="C388" s="29" t="inlineStr">
        <is>
          <t>미코</t>
        </is>
      </c>
      <c r="D388" s="29" t="inlineStr">
        <is>
          <t>mico</t>
        </is>
      </c>
      <c r="E388" s="29" t="inlineStr">
        <is>
          <t>059090</t>
        </is>
      </c>
      <c r="F388" s="29" t="inlineStr">
        <is>
          <t>2022</t>
        </is>
      </c>
      <c r="G388" s="29" t="inlineStr">
        <is>
          <t>CFS</t>
        </is>
      </c>
      <c r="H388" s="29" t="inlineStr">
        <is>
          <t>SCE</t>
        </is>
      </c>
      <c r="I388" s="29" t="inlineStr">
        <is>
          <t>자본변동표</t>
        </is>
      </c>
      <c r="J388" s="29" t="inlineStr">
        <is>
          <t>-표준계정코드 미사용-</t>
        </is>
      </c>
      <c r="K388" s="29" t="inlineStr">
        <is>
          <t>지분법자본변동</t>
        </is>
      </c>
      <c r="L388" s="29" t="inlineStr">
        <is>
          <t>연결재무제표 [member]</t>
        </is>
      </c>
      <c r="M388" s="29" t="inlineStr">
        <is>
          <t>제 24 기</t>
        </is>
      </c>
      <c r="N388" s="29" t="inlineStr">
        <is>
          <t>492617001.0</t>
        </is>
      </c>
      <c r="O388" s="29" t="inlineStr">
        <is>
          <t>-38260233.0</t>
        </is>
      </c>
      <c r="P388" s="29" t="inlineStr">
        <is>
          <t>KRW</t>
        </is>
      </c>
      <c r="Q388" s="29" t="inlineStr">
        <is>
          <t>9</t>
        </is>
      </c>
    </row>
    <row r="389" ht="24" customHeight="1">
      <c r="A389" s="24" t="inlineStr">
        <is>
          <t>OpenDART_fnlttSinglAcntAll</t>
        </is>
      </c>
      <c r="B389" s="24" t="inlineStr">
        <is>
          <t>00366942</t>
        </is>
      </c>
      <c r="C389" s="24" t="inlineStr">
        <is>
          <t>미코</t>
        </is>
      </c>
      <c r="D389" s="24" t="inlineStr">
        <is>
          <t>mico</t>
        </is>
      </c>
      <c r="E389" s="24" t="inlineStr">
        <is>
          <t>059090</t>
        </is>
      </c>
      <c r="F389" s="24" t="inlineStr">
        <is>
          <t>2022</t>
        </is>
      </c>
      <c r="G389" s="24" t="inlineStr">
        <is>
          <t>CFS</t>
        </is>
      </c>
      <c r="H389" s="24" t="inlineStr">
        <is>
          <t>SCE</t>
        </is>
      </c>
      <c r="I389" s="24" t="inlineStr">
        <is>
          <t>자본변동표</t>
        </is>
      </c>
      <c r="J389" s="24" t="inlineStr">
        <is>
          <t>-표준계정코드 미사용-</t>
        </is>
      </c>
      <c r="K389" s="24" t="inlineStr">
        <is>
          <t>지분법자본변동</t>
        </is>
      </c>
      <c r="L389" s="24" t="inlineStr">
        <is>
          <t>자본 [member]|지배기업의 소유주에게 귀속되는 자본 [member]</t>
        </is>
      </c>
      <c r="M389" s="24" t="inlineStr">
        <is>
          <t>제 24 기</t>
        </is>
      </c>
      <c r="N389" s="24" t="inlineStr">
        <is>
          <t>492617001.0</t>
        </is>
      </c>
      <c r="O389" s="24" t="inlineStr">
        <is>
          <t>-38260233.0</t>
        </is>
      </c>
      <c r="P389" s="24" t="inlineStr">
        <is>
          <t>KRW</t>
        </is>
      </c>
      <c r="Q389" s="24" t="inlineStr">
        <is>
          <t>9</t>
        </is>
      </c>
    </row>
    <row r="390" ht="24" customHeight="1">
      <c r="A390" s="29" t="inlineStr">
        <is>
          <t>OpenDART_fnlttSinglAcntAll</t>
        </is>
      </c>
      <c r="B390" s="29" t="inlineStr">
        <is>
          <t>00366942</t>
        </is>
      </c>
      <c r="C390" s="29" t="inlineStr">
        <is>
          <t>미코</t>
        </is>
      </c>
      <c r="D390" s="29" t="inlineStr">
        <is>
          <t>mico</t>
        </is>
      </c>
      <c r="E390" s="29" t="inlineStr">
        <is>
          <t>059090</t>
        </is>
      </c>
      <c r="F390" s="29" t="inlineStr">
        <is>
          <t>2022</t>
        </is>
      </c>
      <c r="G390" s="29" t="inlineStr">
        <is>
          <t>CFS</t>
        </is>
      </c>
      <c r="H390" s="29" t="inlineStr">
        <is>
          <t>SCE</t>
        </is>
      </c>
      <c r="I390" s="29" t="inlineStr">
        <is>
          <t>자본변동표</t>
        </is>
      </c>
      <c r="J390" s="29" t="inlineStr">
        <is>
          <t>-표준계정코드 미사용-</t>
        </is>
      </c>
      <c r="K390" s="29" t="inlineStr">
        <is>
          <t>지분법자본변동</t>
        </is>
      </c>
      <c r="L390" s="29" t="inlineStr">
        <is>
          <t>자본 [member]|지배기업의 소유주에게 귀속되는 자본 [member]|기타포괄손익누계액 [member]</t>
        </is>
      </c>
      <c r="M390" s="29" t="inlineStr">
        <is>
          <t>제 24 기</t>
        </is>
      </c>
      <c r="N390" s="29" t="inlineStr">
        <is>
          <t>492507041.0</t>
        </is>
      </c>
      <c r="O390" s="29" t="inlineStr">
        <is>
          <t>-37524500.0</t>
        </is>
      </c>
      <c r="P390" s="29" t="inlineStr">
        <is>
          <t>KRW</t>
        </is>
      </c>
      <c r="Q390" s="29" t="inlineStr">
        <is>
          <t>9</t>
        </is>
      </c>
    </row>
    <row r="391" ht="24" customHeight="1">
      <c r="A391" s="24" t="inlineStr">
        <is>
          <t>OpenDART_fnlttSinglAcntAll</t>
        </is>
      </c>
      <c r="B391" s="24" t="inlineStr">
        <is>
          <t>00366942</t>
        </is>
      </c>
      <c r="C391" s="24" t="inlineStr">
        <is>
          <t>미코</t>
        </is>
      </c>
      <c r="D391" s="24" t="inlineStr">
        <is>
          <t>mico</t>
        </is>
      </c>
      <c r="E391" s="24" t="inlineStr">
        <is>
          <t>059090</t>
        </is>
      </c>
      <c r="F391" s="24" t="inlineStr">
        <is>
          <t>2022</t>
        </is>
      </c>
      <c r="G391" s="24" t="inlineStr">
        <is>
          <t>CFS</t>
        </is>
      </c>
      <c r="H391" s="24" t="inlineStr">
        <is>
          <t>SCE</t>
        </is>
      </c>
      <c r="I391" s="24" t="inlineStr">
        <is>
          <t>자본변동표</t>
        </is>
      </c>
      <c r="J391" s="24" t="inlineStr">
        <is>
          <t>-표준계정코드 미사용-</t>
        </is>
      </c>
      <c r="K391" s="24" t="inlineStr">
        <is>
          <t>지분법자본변동</t>
        </is>
      </c>
      <c r="L391" s="24" t="inlineStr">
        <is>
          <t>자본 [member]|지배기업의 소유주에게 귀속되는 자본 [member]|이익잉여금 [member]</t>
        </is>
      </c>
      <c r="M391" s="24" t="inlineStr">
        <is>
          <t>제 24 기</t>
        </is>
      </c>
      <c r="N391" s="24" t="inlineStr">
        <is>
          <t>109960.0</t>
        </is>
      </c>
      <c r="O391" s="24" t="inlineStr">
        <is>
          <t>-735733.0</t>
        </is>
      </c>
      <c r="P391" s="24" t="inlineStr">
        <is>
          <t>KRW</t>
        </is>
      </c>
      <c r="Q391" s="24" t="inlineStr">
        <is>
          <t>9</t>
        </is>
      </c>
    </row>
    <row r="392" ht="24" customHeight="1">
      <c r="A392" s="29" t="inlineStr">
        <is>
          <t>OpenDART_fnlttSinglAcntAll</t>
        </is>
      </c>
      <c r="B392" s="29" t="inlineStr">
        <is>
          <t>00366942</t>
        </is>
      </c>
      <c r="C392" s="29" t="inlineStr">
        <is>
          <t>미코</t>
        </is>
      </c>
      <c r="D392" s="29" t="inlineStr">
        <is>
          <t>mico</t>
        </is>
      </c>
      <c r="E392" s="29" t="inlineStr">
        <is>
          <t>059090</t>
        </is>
      </c>
      <c r="F392" s="29" t="inlineStr">
        <is>
          <t>2022</t>
        </is>
      </c>
      <c r="G392" s="29" t="inlineStr">
        <is>
          <t>CFS</t>
        </is>
      </c>
      <c r="H392" s="29" t="inlineStr">
        <is>
          <t>SCE</t>
        </is>
      </c>
      <c r="I392" s="29" t="inlineStr">
        <is>
          <t>자본변동표</t>
        </is>
      </c>
      <c r="J392" s="29" t="inlineStr">
        <is>
          <t>-표준계정코드 미사용-</t>
        </is>
      </c>
      <c r="K392" s="29" t="inlineStr">
        <is>
          <t>총포괄손익 합계</t>
        </is>
      </c>
      <c r="L392" s="29" t="inlineStr">
        <is>
          <t>연결재무제표 [member]</t>
        </is>
      </c>
      <c r="M392" s="29" t="inlineStr">
        <is>
          <t>제 24 기</t>
        </is>
      </c>
      <c r="N392" s="29" t="inlineStr">
        <is>
          <t>-23602775235.0</t>
        </is>
      </c>
      <c r="O392" s="29" t="inlineStr">
        <is>
          <t>23929040564.0</t>
        </is>
      </c>
      <c r="P392" s="29" t="inlineStr">
        <is>
          <t>KRW</t>
        </is>
      </c>
      <c r="Q392" s="29" t="inlineStr">
        <is>
          <t>10</t>
        </is>
      </c>
    </row>
    <row r="393" ht="24" customHeight="1">
      <c r="A393" s="24" t="inlineStr">
        <is>
          <t>OpenDART_fnlttSinglAcntAll</t>
        </is>
      </c>
      <c r="B393" s="24" t="inlineStr">
        <is>
          <t>00366942</t>
        </is>
      </c>
      <c r="C393" s="24" t="inlineStr">
        <is>
          <t>미코</t>
        </is>
      </c>
      <c r="D393" s="24" t="inlineStr">
        <is>
          <t>mico</t>
        </is>
      </c>
      <c r="E393" s="24" t="inlineStr">
        <is>
          <t>059090</t>
        </is>
      </c>
      <c r="F393" s="24" t="inlineStr">
        <is>
          <t>2022</t>
        </is>
      </c>
      <c r="G393" s="24" t="inlineStr">
        <is>
          <t>CFS</t>
        </is>
      </c>
      <c r="H393" s="24" t="inlineStr">
        <is>
          <t>SCE</t>
        </is>
      </c>
      <c r="I393" s="24" t="inlineStr">
        <is>
          <t>자본변동표</t>
        </is>
      </c>
      <c r="J393" s="24" t="inlineStr">
        <is>
          <t>-표준계정코드 미사용-</t>
        </is>
      </c>
      <c r="K393" s="24" t="inlineStr">
        <is>
          <t>총포괄손익 합계</t>
        </is>
      </c>
      <c r="L393" s="24" t="inlineStr">
        <is>
          <t>자본 [member]|비지배지분 [member]</t>
        </is>
      </c>
      <c r="M393" s="24" t="inlineStr">
        <is>
          <t>제 24 기</t>
        </is>
      </c>
      <c r="N393" s="24" t="inlineStr">
        <is>
          <t>27014704943.0</t>
        </is>
      </c>
      <c r="O393" s="24" t="inlineStr">
        <is>
          <t>36947721664.0</t>
        </is>
      </c>
      <c r="P393" s="24" t="inlineStr">
        <is>
          <t>KRW</t>
        </is>
      </c>
      <c r="Q393" s="24" t="inlineStr">
        <is>
          <t>10</t>
        </is>
      </c>
    </row>
    <row r="394" ht="24" customHeight="1">
      <c r="A394" s="29" t="inlineStr">
        <is>
          <t>OpenDART_fnlttSinglAcntAll</t>
        </is>
      </c>
      <c r="B394" s="29" t="inlineStr">
        <is>
          <t>00366942</t>
        </is>
      </c>
      <c r="C394" s="29" t="inlineStr">
        <is>
          <t>미코</t>
        </is>
      </c>
      <c r="D394" s="29" t="inlineStr">
        <is>
          <t>mico</t>
        </is>
      </c>
      <c r="E394" s="29" t="inlineStr">
        <is>
          <t>059090</t>
        </is>
      </c>
      <c r="F394" s="29" t="inlineStr">
        <is>
          <t>2022</t>
        </is>
      </c>
      <c r="G394" s="29" t="inlineStr">
        <is>
          <t>CFS</t>
        </is>
      </c>
      <c r="H394" s="29" t="inlineStr">
        <is>
          <t>SCE</t>
        </is>
      </c>
      <c r="I394" s="29" t="inlineStr">
        <is>
          <t>자본변동표</t>
        </is>
      </c>
      <c r="J394" s="29" t="inlineStr">
        <is>
          <t>-표준계정코드 미사용-</t>
        </is>
      </c>
      <c r="K394" s="29" t="inlineStr">
        <is>
          <t>총포괄손익 합계</t>
        </is>
      </c>
      <c r="L394" s="29" t="inlineStr">
        <is>
          <t>자본 [member]|지배기업의 소유주에게 귀속되는 자본 [member]</t>
        </is>
      </c>
      <c r="M394" s="29" t="inlineStr">
        <is>
          <t>제 24 기</t>
        </is>
      </c>
      <c r="N394" s="29" t="inlineStr">
        <is>
          <t>-50617480178.0</t>
        </is>
      </c>
      <c r="O394" s="29" t="inlineStr">
        <is>
          <t>-13018681100.0</t>
        </is>
      </c>
      <c r="P394" s="29" t="inlineStr">
        <is>
          <t>KRW</t>
        </is>
      </c>
      <c r="Q394" s="29" t="inlineStr">
        <is>
          <t>10</t>
        </is>
      </c>
    </row>
    <row r="395" ht="24" customHeight="1">
      <c r="A395" s="24" t="inlineStr">
        <is>
          <t>OpenDART_fnlttSinglAcntAll</t>
        </is>
      </c>
      <c r="B395" s="24" t="inlineStr">
        <is>
          <t>00366942</t>
        </is>
      </c>
      <c r="C395" s="24" t="inlineStr">
        <is>
          <t>미코</t>
        </is>
      </c>
      <c r="D395" s="24" t="inlineStr">
        <is>
          <t>mico</t>
        </is>
      </c>
      <c r="E395" s="24" t="inlineStr">
        <is>
          <t>059090</t>
        </is>
      </c>
      <c r="F395" s="24" t="inlineStr">
        <is>
          <t>2022</t>
        </is>
      </c>
      <c r="G395" s="24" t="inlineStr">
        <is>
          <t>CFS</t>
        </is>
      </c>
      <c r="H395" s="24" t="inlineStr">
        <is>
          <t>SCE</t>
        </is>
      </c>
      <c r="I395" s="24" t="inlineStr">
        <is>
          <t>자본변동표</t>
        </is>
      </c>
      <c r="J395" s="24" t="inlineStr">
        <is>
          <t>-표준계정코드 미사용-</t>
        </is>
      </c>
      <c r="K395" s="24" t="inlineStr">
        <is>
          <t>총포괄손익 합계</t>
        </is>
      </c>
      <c r="L395" s="24" t="inlineStr">
        <is>
          <t>자본 [member]|지배기업의 소유주에게 귀속되는 자본 [member]|기타포괄손익누계액 [member]</t>
        </is>
      </c>
      <c r="M395" s="24" t="inlineStr">
        <is>
          <t>제 24 기</t>
        </is>
      </c>
      <c r="N395" s="24" t="inlineStr">
        <is>
          <t>4613569265.0</t>
        </is>
      </c>
      <c r="O395" s="24" t="inlineStr">
        <is>
          <t>2498319696.0</t>
        </is>
      </c>
      <c r="P395" s="24" t="inlineStr">
        <is>
          <t>KRW</t>
        </is>
      </c>
      <c r="Q395" s="24" t="inlineStr">
        <is>
          <t>10</t>
        </is>
      </c>
    </row>
    <row r="396" ht="24" customHeight="1">
      <c r="A396" s="29" t="inlineStr">
        <is>
          <t>OpenDART_fnlttSinglAcntAll</t>
        </is>
      </c>
      <c r="B396" s="29" t="inlineStr">
        <is>
          <t>00366942</t>
        </is>
      </c>
      <c r="C396" s="29" t="inlineStr">
        <is>
          <t>미코</t>
        </is>
      </c>
      <c r="D396" s="29" t="inlineStr">
        <is>
          <t>mico</t>
        </is>
      </c>
      <c r="E396" s="29" t="inlineStr">
        <is>
          <t>059090</t>
        </is>
      </c>
      <c r="F396" s="29" t="inlineStr">
        <is>
          <t>2022</t>
        </is>
      </c>
      <c r="G396" s="29" t="inlineStr">
        <is>
          <t>CFS</t>
        </is>
      </c>
      <c r="H396" s="29" t="inlineStr">
        <is>
          <t>SCE</t>
        </is>
      </c>
      <c r="I396" s="29" t="inlineStr">
        <is>
          <t>자본변동표</t>
        </is>
      </c>
      <c r="J396" s="29" t="inlineStr">
        <is>
          <t>-표준계정코드 미사용-</t>
        </is>
      </c>
      <c r="K396" s="29" t="inlineStr">
        <is>
          <t>총포괄손익 합계</t>
        </is>
      </c>
      <c r="L396" s="29" t="inlineStr">
        <is>
          <t>자본 [member]|지배기업의 소유주에게 귀속되는 자본 [member]|이익잉여금 [member]</t>
        </is>
      </c>
      <c r="M396" s="29" t="inlineStr">
        <is>
          <t>제 24 기</t>
        </is>
      </c>
      <c r="N396" s="29" t="inlineStr">
        <is>
          <t>-55231049443.0</t>
        </is>
      </c>
      <c r="O396" s="29" t="inlineStr">
        <is>
          <t>-15517000796.0</t>
        </is>
      </c>
      <c r="P396" s="29" t="inlineStr">
        <is>
          <t>KRW</t>
        </is>
      </c>
      <c r="Q396" s="29" t="inlineStr">
        <is>
          <t>10</t>
        </is>
      </c>
    </row>
    <row r="397" ht="24" customHeight="1">
      <c r="A397" s="24" t="inlineStr">
        <is>
          <t>OpenDART_fnlttSinglAcntAll</t>
        </is>
      </c>
      <c r="B397" s="24" t="inlineStr">
        <is>
          <t>00366942</t>
        </is>
      </c>
      <c r="C397" s="24" t="inlineStr">
        <is>
          <t>미코</t>
        </is>
      </c>
      <c r="D397" s="24" t="inlineStr">
        <is>
          <t>mico</t>
        </is>
      </c>
      <c r="E397" s="24" t="inlineStr">
        <is>
          <t>059090</t>
        </is>
      </c>
      <c r="F397" s="24" t="inlineStr">
        <is>
          <t>2022</t>
        </is>
      </c>
      <c r="G397" s="24" t="inlineStr">
        <is>
          <t>CFS</t>
        </is>
      </c>
      <c r="H397" s="24" t="inlineStr">
        <is>
          <t>SCE</t>
        </is>
      </c>
      <c r="I397" s="24" t="inlineStr">
        <is>
          <t>자본변동표</t>
        </is>
      </c>
      <c r="J397" s="24" t="inlineStr">
        <is>
          <t>-표준계정코드 미사용-</t>
        </is>
      </c>
      <c r="K397" s="24" t="inlineStr">
        <is>
          <t>신주인수권대가</t>
        </is>
      </c>
      <c r="L397" s="24" t="inlineStr">
        <is>
          <t>연결재무제표 [member]</t>
        </is>
      </c>
      <c r="M397" s="24" t="inlineStr">
        <is>
          <t>제 24 기</t>
        </is>
      </c>
      <c r="N397" s="24" t="inlineStr">
        <is>
          <t>해당 없음</t>
        </is>
      </c>
      <c r="O397" s="24" t="inlineStr">
        <is>
          <t>-13117206497.0</t>
        </is>
      </c>
      <c r="P397" s="24" t="inlineStr">
        <is>
          <t>KRW</t>
        </is>
      </c>
      <c r="Q397" s="24" t="inlineStr">
        <is>
          <t>12</t>
        </is>
      </c>
    </row>
    <row r="398" ht="24" customHeight="1">
      <c r="A398" s="29" t="inlineStr">
        <is>
          <t>OpenDART_fnlttSinglAcntAll</t>
        </is>
      </c>
      <c r="B398" s="29" t="inlineStr">
        <is>
          <t>00366942</t>
        </is>
      </c>
      <c r="C398" s="29" t="inlineStr">
        <is>
          <t>미코</t>
        </is>
      </c>
      <c r="D398" s="29" t="inlineStr">
        <is>
          <t>mico</t>
        </is>
      </c>
      <c r="E398" s="29" t="inlineStr">
        <is>
          <t>059090</t>
        </is>
      </c>
      <c r="F398" s="29" t="inlineStr">
        <is>
          <t>2022</t>
        </is>
      </c>
      <c r="G398" s="29" t="inlineStr">
        <is>
          <t>CFS</t>
        </is>
      </c>
      <c r="H398" s="29" t="inlineStr">
        <is>
          <t>SCE</t>
        </is>
      </c>
      <c r="I398" s="29" t="inlineStr">
        <is>
          <t>자본변동표</t>
        </is>
      </c>
      <c r="J398" s="29" t="inlineStr">
        <is>
          <t>-표준계정코드 미사용-</t>
        </is>
      </c>
      <c r="K398" s="29" t="inlineStr">
        <is>
          <t>신주인수권대가</t>
        </is>
      </c>
      <c r="L398" s="29" t="inlineStr">
        <is>
          <t>자본 [member]|비지배지분 [member]</t>
        </is>
      </c>
      <c r="M398" s="29" t="inlineStr">
        <is>
          <t>제 24 기</t>
        </is>
      </c>
      <c r="N398" s="29" t="inlineStr">
        <is>
          <t>해당 없음</t>
        </is>
      </c>
      <c r="O398" s="29" t="inlineStr">
        <is>
          <t>-10701786077.0</t>
        </is>
      </c>
      <c r="P398" s="29" t="inlineStr">
        <is>
          <t>KRW</t>
        </is>
      </c>
      <c r="Q398" s="29" t="inlineStr">
        <is>
          <t>12</t>
        </is>
      </c>
    </row>
    <row r="399" ht="24" customHeight="1">
      <c r="A399" s="24" t="inlineStr">
        <is>
          <t>OpenDART_fnlttSinglAcntAll</t>
        </is>
      </c>
      <c r="B399" s="24" t="inlineStr">
        <is>
          <t>00366942</t>
        </is>
      </c>
      <c r="C399" s="24" t="inlineStr">
        <is>
          <t>미코</t>
        </is>
      </c>
      <c r="D399" s="24" t="inlineStr">
        <is>
          <t>mico</t>
        </is>
      </c>
      <c r="E399" s="24" t="inlineStr">
        <is>
          <t>059090</t>
        </is>
      </c>
      <c r="F399" s="24" t="inlineStr">
        <is>
          <t>2022</t>
        </is>
      </c>
      <c r="G399" s="24" t="inlineStr">
        <is>
          <t>CFS</t>
        </is>
      </c>
      <c r="H399" s="24" t="inlineStr">
        <is>
          <t>SCE</t>
        </is>
      </c>
      <c r="I399" s="24" t="inlineStr">
        <is>
          <t>자본변동표</t>
        </is>
      </c>
      <c r="J399" s="24" t="inlineStr">
        <is>
          <t>-표준계정코드 미사용-</t>
        </is>
      </c>
      <c r="K399" s="24" t="inlineStr">
        <is>
          <t>신주인수권대가</t>
        </is>
      </c>
      <c r="L399" s="24" t="inlineStr">
        <is>
          <t>자본 [member]|지배기업의 소유주에게 귀속되는 자본 [member]</t>
        </is>
      </c>
      <c r="M399" s="24" t="inlineStr">
        <is>
          <t>제 24 기</t>
        </is>
      </c>
      <c r="N399" s="24" t="inlineStr">
        <is>
          <t>해당 없음</t>
        </is>
      </c>
      <c r="O399" s="24" t="inlineStr">
        <is>
          <t>-2415420420.0</t>
        </is>
      </c>
      <c r="P399" s="24" t="inlineStr">
        <is>
          <t>KRW</t>
        </is>
      </c>
      <c r="Q399" s="24" t="inlineStr">
        <is>
          <t>12</t>
        </is>
      </c>
    </row>
    <row r="400" ht="24" customHeight="1">
      <c r="A400" s="29" t="inlineStr">
        <is>
          <t>OpenDART_fnlttSinglAcntAll</t>
        </is>
      </c>
      <c r="B400" s="29" t="inlineStr">
        <is>
          <t>00366942</t>
        </is>
      </c>
      <c r="C400" s="29" t="inlineStr">
        <is>
          <t>미코</t>
        </is>
      </c>
      <c r="D400" s="29" t="inlineStr">
        <is>
          <t>mico</t>
        </is>
      </c>
      <c r="E400" s="29" t="inlineStr">
        <is>
          <t>059090</t>
        </is>
      </c>
      <c r="F400" s="29" t="inlineStr">
        <is>
          <t>2022</t>
        </is>
      </c>
      <c r="G400" s="29" t="inlineStr">
        <is>
          <t>CFS</t>
        </is>
      </c>
      <c r="H400" s="29" t="inlineStr">
        <is>
          <t>SCE</t>
        </is>
      </c>
      <c r="I400" s="29" t="inlineStr">
        <is>
          <t>자본변동표</t>
        </is>
      </c>
      <c r="J400" s="29" t="inlineStr">
        <is>
          <t>-표준계정코드 미사용-</t>
        </is>
      </c>
      <c r="K400" s="29" t="inlineStr">
        <is>
          <t>신주인수권대가</t>
        </is>
      </c>
      <c r="L400" s="29" t="inlineStr">
        <is>
          <t>자본 [member]|지배기업의 소유주에게 귀속되는 자본 [member]|이익잉여금 [member]</t>
        </is>
      </c>
      <c r="M400" s="29" t="inlineStr">
        <is>
          <t>제 24 기</t>
        </is>
      </c>
      <c r="N400" s="29" t="inlineStr">
        <is>
          <t>해당 없음</t>
        </is>
      </c>
      <c r="O400" s="29" t="inlineStr">
        <is>
          <t>-1207710210.0</t>
        </is>
      </c>
      <c r="P400" s="29" t="inlineStr">
        <is>
          <t>KRW</t>
        </is>
      </c>
      <c r="Q400" s="29" t="inlineStr">
        <is>
          <t>12</t>
        </is>
      </c>
    </row>
    <row r="401" ht="24" customHeight="1">
      <c r="A401" s="24" t="inlineStr">
        <is>
          <t>OpenDART_fnlttSinglAcntAll</t>
        </is>
      </c>
      <c r="B401" s="24" t="inlineStr">
        <is>
          <t>00366942</t>
        </is>
      </c>
      <c r="C401" s="24" t="inlineStr">
        <is>
          <t>미코</t>
        </is>
      </c>
      <c r="D401" s="24" t="inlineStr">
        <is>
          <t>mico</t>
        </is>
      </c>
      <c r="E401" s="24" t="inlineStr">
        <is>
          <t>059090</t>
        </is>
      </c>
      <c r="F401" s="24" t="inlineStr">
        <is>
          <t>2022</t>
        </is>
      </c>
      <c r="G401" s="24" t="inlineStr">
        <is>
          <t>CFS</t>
        </is>
      </c>
      <c r="H401" s="24" t="inlineStr">
        <is>
          <t>SCE</t>
        </is>
      </c>
      <c r="I401" s="24" t="inlineStr">
        <is>
          <t>자본변동표</t>
        </is>
      </c>
      <c r="J401" s="24" t="inlineStr">
        <is>
          <t>-표준계정코드 미사용-</t>
        </is>
      </c>
      <c r="K401" s="24" t="inlineStr">
        <is>
          <t>신주인수권대가</t>
        </is>
      </c>
      <c r="L401" s="24" t="inlineStr">
        <is>
          <t>자본 [member]|지배기업의 소유주에게 귀속되는 자본 [member]|자본잉여금 [member]</t>
        </is>
      </c>
      <c r="M401" s="24" t="inlineStr">
        <is>
          <t>제 24 기</t>
        </is>
      </c>
      <c r="N401" s="24" t="inlineStr">
        <is>
          <t>해당 없음</t>
        </is>
      </c>
      <c r="O401" s="24" t="inlineStr">
        <is>
          <t>-1207710210.0</t>
        </is>
      </c>
      <c r="P401" s="24" t="inlineStr">
        <is>
          <t>KRW</t>
        </is>
      </c>
      <c r="Q401" s="24" t="inlineStr">
        <is>
          <t>12</t>
        </is>
      </c>
    </row>
    <row r="402" ht="24" customHeight="1">
      <c r="A402" s="29" t="inlineStr">
        <is>
          <t>OpenDART_fnlttSinglAcntAll</t>
        </is>
      </c>
      <c r="B402" s="29" t="inlineStr">
        <is>
          <t>00366942</t>
        </is>
      </c>
      <c r="C402" s="29" t="inlineStr">
        <is>
          <t>미코</t>
        </is>
      </c>
      <c r="D402" s="29" t="inlineStr">
        <is>
          <t>mico</t>
        </is>
      </c>
      <c r="E402" s="29" t="inlineStr">
        <is>
          <t>059090</t>
        </is>
      </c>
      <c r="F402" s="29" t="inlineStr">
        <is>
          <t>2022</t>
        </is>
      </c>
      <c r="G402" s="29" t="inlineStr">
        <is>
          <t>CFS</t>
        </is>
      </c>
      <c r="H402" s="29" t="inlineStr">
        <is>
          <t>SCE</t>
        </is>
      </c>
      <c r="I402" s="29" t="inlineStr">
        <is>
          <t>자본변동표</t>
        </is>
      </c>
      <c r="J402" s="29" t="inlineStr">
        <is>
          <t>-표준계정코드 미사용-</t>
        </is>
      </c>
      <c r="K402" s="29" t="inlineStr">
        <is>
          <t>전환권대가</t>
        </is>
      </c>
      <c r="L402" s="29" t="inlineStr">
        <is>
          <t>연결재무제표 [member]</t>
        </is>
      </c>
      <c r="M402" s="29" t="inlineStr">
        <is>
          <t>제 24 기</t>
        </is>
      </c>
      <c r="N402" s="29" t="inlineStr">
        <is>
          <t>16100920055.0</t>
        </is>
      </c>
      <c r="O402" s="29" t="inlineStr">
        <is>
          <t>해당 없음</t>
        </is>
      </c>
      <c r="P402" s="29" t="inlineStr">
        <is>
          <t>KRW</t>
        </is>
      </c>
      <c r="Q402" s="29" t="inlineStr">
        <is>
          <t>13</t>
        </is>
      </c>
    </row>
    <row r="403" ht="24" customHeight="1">
      <c r="A403" s="24" t="inlineStr">
        <is>
          <t>OpenDART_fnlttSinglAcntAll</t>
        </is>
      </c>
      <c r="B403" s="24" t="inlineStr">
        <is>
          <t>00366942</t>
        </is>
      </c>
      <c r="C403" s="24" t="inlineStr">
        <is>
          <t>미코</t>
        </is>
      </c>
      <c r="D403" s="24" t="inlineStr">
        <is>
          <t>mico</t>
        </is>
      </c>
      <c r="E403" s="24" t="inlineStr">
        <is>
          <t>059090</t>
        </is>
      </c>
      <c r="F403" s="24" t="inlineStr">
        <is>
          <t>2022</t>
        </is>
      </c>
      <c r="G403" s="24" t="inlineStr">
        <is>
          <t>CFS</t>
        </is>
      </c>
      <c r="H403" s="24" t="inlineStr">
        <is>
          <t>SCE</t>
        </is>
      </c>
      <c r="I403" s="24" t="inlineStr">
        <is>
          <t>자본변동표</t>
        </is>
      </c>
      <c r="J403" s="24" t="inlineStr">
        <is>
          <t>-표준계정코드 미사용-</t>
        </is>
      </c>
      <c r="K403" s="24" t="inlineStr">
        <is>
          <t>전환권대가</t>
        </is>
      </c>
      <c r="L403" s="24" t="inlineStr">
        <is>
          <t>자본 [member]|비지배지분 [member]</t>
        </is>
      </c>
      <c r="M403" s="24" t="inlineStr">
        <is>
          <t>제 24 기</t>
        </is>
      </c>
      <c r="N403" s="24" t="inlineStr">
        <is>
          <t>10133426716.0</t>
        </is>
      </c>
      <c r="O403" s="24" t="inlineStr">
        <is>
          <t>해당 없음</t>
        </is>
      </c>
      <c r="P403" s="24" t="inlineStr">
        <is>
          <t>KRW</t>
        </is>
      </c>
      <c r="Q403" s="24" t="inlineStr">
        <is>
          <t>13</t>
        </is>
      </c>
    </row>
    <row r="404" ht="24" customHeight="1">
      <c r="A404" s="29" t="inlineStr">
        <is>
          <t>OpenDART_fnlttSinglAcntAll</t>
        </is>
      </c>
      <c r="B404" s="29" t="inlineStr">
        <is>
          <t>00366942</t>
        </is>
      </c>
      <c r="C404" s="29" t="inlineStr">
        <is>
          <t>미코</t>
        </is>
      </c>
      <c r="D404" s="29" t="inlineStr">
        <is>
          <t>mico</t>
        </is>
      </c>
      <c r="E404" s="29" t="inlineStr">
        <is>
          <t>059090</t>
        </is>
      </c>
      <c r="F404" s="29" t="inlineStr">
        <is>
          <t>2022</t>
        </is>
      </c>
      <c r="G404" s="29" t="inlineStr">
        <is>
          <t>CFS</t>
        </is>
      </c>
      <c r="H404" s="29" t="inlineStr">
        <is>
          <t>SCE</t>
        </is>
      </c>
      <c r="I404" s="29" t="inlineStr">
        <is>
          <t>자본변동표</t>
        </is>
      </c>
      <c r="J404" s="29" t="inlineStr">
        <is>
          <t>-표준계정코드 미사용-</t>
        </is>
      </c>
      <c r="K404" s="29" t="inlineStr">
        <is>
          <t>전환권대가</t>
        </is>
      </c>
      <c r="L404" s="29" t="inlineStr">
        <is>
          <t>자본 [member]|지배기업의 소유주에게 귀속되는 자본 [member]</t>
        </is>
      </c>
      <c r="M404" s="29" t="inlineStr">
        <is>
          <t>제 24 기</t>
        </is>
      </c>
      <c r="N404" s="29" t="inlineStr">
        <is>
          <t>5967493339.0</t>
        </is>
      </c>
      <c r="O404" s="29" t="inlineStr">
        <is>
          <t>해당 없음</t>
        </is>
      </c>
      <c r="P404" s="29" t="inlineStr">
        <is>
          <t>KRW</t>
        </is>
      </c>
      <c r="Q404" s="29" t="inlineStr">
        <is>
          <t>13</t>
        </is>
      </c>
    </row>
    <row r="405" ht="24" customHeight="1">
      <c r="A405" s="24" t="inlineStr">
        <is>
          <t>OpenDART_fnlttSinglAcntAll</t>
        </is>
      </c>
      <c r="B405" s="24" t="inlineStr">
        <is>
          <t>00366942</t>
        </is>
      </c>
      <c r="C405" s="24" t="inlineStr">
        <is>
          <t>미코</t>
        </is>
      </c>
      <c r="D405" s="24" t="inlineStr">
        <is>
          <t>mico</t>
        </is>
      </c>
      <c r="E405" s="24" t="inlineStr">
        <is>
          <t>059090</t>
        </is>
      </c>
      <c r="F405" s="24" t="inlineStr">
        <is>
          <t>2022</t>
        </is>
      </c>
      <c r="G405" s="24" t="inlineStr">
        <is>
          <t>CFS</t>
        </is>
      </c>
      <c r="H405" s="24" t="inlineStr">
        <is>
          <t>SCE</t>
        </is>
      </c>
      <c r="I405" s="24" t="inlineStr">
        <is>
          <t>자본변동표</t>
        </is>
      </c>
      <c r="J405" s="24" t="inlineStr">
        <is>
          <t>-표준계정코드 미사용-</t>
        </is>
      </c>
      <c r="K405" s="24" t="inlineStr">
        <is>
          <t>전환권대가</t>
        </is>
      </c>
      <c r="L405" s="24" t="inlineStr">
        <is>
          <t>자본 [member]|지배기업의 소유주에게 귀속되는 자본 [member]|자본잉여금 [member]</t>
        </is>
      </c>
      <c r="M405" s="24" t="inlineStr">
        <is>
          <t>제 24 기</t>
        </is>
      </c>
      <c r="N405" s="24" t="inlineStr">
        <is>
          <t>5967493339.0</t>
        </is>
      </c>
      <c r="O405" s="24" t="inlineStr">
        <is>
          <t>해당 없음</t>
        </is>
      </c>
      <c r="P405" s="24" t="inlineStr">
        <is>
          <t>KRW</t>
        </is>
      </c>
      <c r="Q405" s="24" t="inlineStr">
        <is>
          <t>13</t>
        </is>
      </c>
    </row>
    <row r="406" ht="24" customHeight="1">
      <c r="A406" s="29" t="inlineStr">
        <is>
          <t>OpenDART_fnlttSinglAcntAll</t>
        </is>
      </c>
      <c r="B406" s="29" t="inlineStr">
        <is>
          <t>00366942</t>
        </is>
      </c>
      <c r="C406" s="29" t="inlineStr">
        <is>
          <t>미코</t>
        </is>
      </c>
      <c r="D406" s="29" t="inlineStr">
        <is>
          <t>mico</t>
        </is>
      </c>
      <c r="E406" s="29" t="inlineStr">
        <is>
          <t>059090</t>
        </is>
      </c>
      <c r="F406" s="29" t="inlineStr">
        <is>
          <t>2022</t>
        </is>
      </c>
      <c r="G406" s="29" t="inlineStr">
        <is>
          <t>CFS</t>
        </is>
      </c>
      <c r="H406" s="29" t="inlineStr">
        <is>
          <t>SCE</t>
        </is>
      </c>
      <c r="I406" s="29" t="inlineStr">
        <is>
          <t>자본변동표</t>
        </is>
      </c>
      <c r="J406" s="29" t="inlineStr">
        <is>
          <t>-표준계정코드 미사용-</t>
        </is>
      </c>
      <c r="K406" s="29" t="inlineStr">
        <is>
          <t>전환권행사</t>
        </is>
      </c>
      <c r="L406" s="29" t="inlineStr">
        <is>
          <t>연결재무제표 [member]</t>
        </is>
      </c>
      <c r="M406" s="29" t="inlineStr">
        <is>
          <t>제 24 기</t>
        </is>
      </c>
      <c r="N406" s="29" t="inlineStr">
        <is>
          <t>해당 없음</t>
        </is>
      </c>
      <c r="O406" s="29" t="inlineStr">
        <is>
          <t>33323252832.0</t>
        </is>
      </c>
      <c r="P406" s="29" t="inlineStr">
        <is>
          <t>KRW</t>
        </is>
      </c>
      <c r="Q406" s="29" t="inlineStr">
        <is>
          <t>14</t>
        </is>
      </c>
    </row>
    <row r="407" ht="24" customHeight="1">
      <c r="A407" s="24" t="inlineStr">
        <is>
          <t>OpenDART_fnlttSinglAcntAll</t>
        </is>
      </c>
      <c r="B407" s="24" t="inlineStr">
        <is>
          <t>00366942</t>
        </is>
      </c>
      <c r="C407" s="24" t="inlineStr">
        <is>
          <t>미코</t>
        </is>
      </c>
      <c r="D407" s="24" t="inlineStr">
        <is>
          <t>mico</t>
        </is>
      </c>
      <c r="E407" s="24" t="inlineStr">
        <is>
          <t>059090</t>
        </is>
      </c>
      <c r="F407" s="24" t="inlineStr">
        <is>
          <t>2022</t>
        </is>
      </c>
      <c r="G407" s="24" t="inlineStr">
        <is>
          <t>CFS</t>
        </is>
      </c>
      <c r="H407" s="24" t="inlineStr">
        <is>
          <t>SCE</t>
        </is>
      </c>
      <c r="I407" s="24" t="inlineStr">
        <is>
          <t>자본변동표</t>
        </is>
      </c>
      <c r="J407" s="24" t="inlineStr">
        <is>
          <t>-표준계정코드 미사용-</t>
        </is>
      </c>
      <c r="K407" s="24" t="inlineStr">
        <is>
          <t>전환권행사</t>
        </is>
      </c>
      <c r="L407" s="24" t="inlineStr">
        <is>
          <t>자본 [member]|비지배지분 [member]</t>
        </is>
      </c>
      <c r="M407" s="24" t="inlineStr">
        <is>
          <t>제 24 기</t>
        </is>
      </c>
      <c r="N407" s="24" t="inlineStr">
        <is>
          <t>해당 없음</t>
        </is>
      </c>
      <c r="O407" s="24" t="inlineStr">
        <is>
          <t>해당 없음</t>
        </is>
      </c>
      <c r="P407" s="24" t="inlineStr">
        <is>
          <t>KRW</t>
        </is>
      </c>
      <c r="Q407" s="24" t="inlineStr">
        <is>
          <t>14</t>
        </is>
      </c>
    </row>
    <row r="408" ht="24" customHeight="1">
      <c r="A408" s="29" t="inlineStr">
        <is>
          <t>OpenDART_fnlttSinglAcntAll</t>
        </is>
      </c>
      <c r="B408" s="29" t="inlineStr">
        <is>
          <t>00366942</t>
        </is>
      </c>
      <c r="C408" s="29" t="inlineStr">
        <is>
          <t>미코</t>
        </is>
      </c>
      <c r="D408" s="29" t="inlineStr">
        <is>
          <t>mico</t>
        </is>
      </c>
      <c r="E408" s="29" t="inlineStr">
        <is>
          <t>059090</t>
        </is>
      </c>
      <c r="F408" s="29" t="inlineStr">
        <is>
          <t>2022</t>
        </is>
      </c>
      <c r="G408" s="29" t="inlineStr">
        <is>
          <t>CFS</t>
        </is>
      </c>
      <c r="H408" s="29" t="inlineStr">
        <is>
          <t>SCE</t>
        </is>
      </c>
      <c r="I408" s="29" t="inlineStr">
        <is>
          <t>자본변동표</t>
        </is>
      </c>
      <c r="J408" s="29" t="inlineStr">
        <is>
          <t>-표준계정코드 미사용-</t>
        </is>
      </c>
      <c r="K408" s="29" t="inlineStr">
        <is>
          <t>전환권행사</t>
        </is>
      </c>
      <c r="L408" s="29" t="inlineStr">
        <is>
          <t>자본 [member]|지배기업의 소유주에게 귀속되는 자본 [member]</t>
        </is>
      </c>
      <c r="M408" s="29" t="inlineStr">
        <is>
          <t>제 24 기</t>
        </is>
      </c>
      <c r="N408" s="29" t="inlineStr">
        <is>
          <t>해당 없음</t>
        </is>
      </c>
      <c r="O408" s="29" t="inlineStr">
        <is>
          <t>33323252832.0</t>
        </is>
      </c>
      <c r="P408" s="29" t="inlineStr">
        <is>
          <t>KRW</t>
        </is>
      </c>
      <c r="Q408" s="29" t="inlineStr">
        <is>
          <t>14</t>
        </is>
      </c>
    </row>
    <row r="409" ht="24" customHeight="1">
      <c r="A409" s="24" t="inlineStr">
        <is>
          <t>OpenDART_fnlttSinglAcntAll</t>
        </is>
      </c>
      <c r="B409" s="24" t="inlineStr">
        <is>
          <t>00366942</t>
        </is>
      </c>
      <c r="C409" s="24" t="inlineStr">
        <is>
          <t>미코</t>
        </is>
      </c>
      <c r="D409" s="24" t="inlineStr">
        <is>
          <t>mico</t>
        </is>
      </c>
      <c r="E409" s="24" t="inlineStr">
        <is>
          <t>059090</t>
        </is>
      </c>
      <c r="F409" s="24" t="inlineStr">
        <is>
          <t>2022</t>
        </is>
      </c>
      <c r="G409" s="24" t="inlineStr">
        <is>
          <t>CFS</t>
        </is>
      </c>
      <c r="H409" s="24" t="inlineStr">
        <is>
          <t>SCE</t>
        </is>
      </c>
      <c r="I409" s="24" t="inlineStr">
        <is>
          <t>자본변동표</t>
        </is>
      </c>
      <c r="J409" s="24" t="inlineStr">
        <is>
          <t>-표준계정코드 미사용-</t>
        </is>
      </c>
      <c r="K409" s="24" t="inlineStr">
        <is>
          <t>전환권행사</t>
        </is>
      </c>
      <c r="L409" s="24" t="inlineStr">
        <is>
          <t>자본 [member]|지배기업의 소유주에게 귀속되는 자본 [member]|자본금 [member]</t>
        </is>
      </c>
      <c r="M409" s="24" t="inlineStr">
        <is>
          <t>제 24 기</t>
        </is>
      </c>
      <c r="N409" s="24" t="inlineStr">
        <is>
          <t>해당 없음</t>
        </is>
      </c>
      <c r="O409" s="24" t="inlineStr">
        <is>
          <t>1050087500.0</t>
        </is>
      </c>
      <c r="P409" s="24" t="inlineStr">
        <is>
          <t>KRW</t>
        </is>
      </c>
      <c r="Q409" s="24" t="inlineStr">
        <is>
          <t>14</t>
        </is>
      </c>
    </row>
    <row r="410" ht="24" customHeight="1">
      <c r="A410" s="29" t="inlineStr">
        <is>
          <t>OpenDART_fnlttSinglAcntAll</t>
        </is>
      </c>
      <c r="B410" s="29" t="inlineStr">
        <is>
          <t>00366942</t>
        </is>
      </c>
      <c r="C410" s="29" t="inlineStr">
        <is>
          <t>미코</t>
        </is>
      </c>
      <c r="D410" s="29" t="inlineStr">
        <is>
          <t>mico</t>
        </is>
      </c>
      <c r="E410" s="29" t="inlineStr">
        <is>
          <t>059090</t>
        </is>
      </c>
      <c r="F410" s="29" t="inlineStr">
        <is>
          <t>2022</t>
        </is>
      </c>
      <c r="G410" s="29" t="inlineStr">
        <is>
          <t>CFS</t>
        </is>
      </c>
      <c r="H410" s="29" t="inlineStr">
        <is>
          <t>SCE</t>
        </is>
      </c>
      <c r="I410" s="29" t="inlineStr">
        <is>
          <t>자본변동표</t>
        </is>
      </c>
      <c r="J410" s="29" t="inlineStr">
        <is>
          <t>-표준계정코드 미사용-</t>
        </is>
      </c>
      <c r="K410" s="29" t="inlineStr">
        <is>
          <t>전환권행사</t>
        </is>
      </c>
      <c r="L410" s="29" t="inlineStr">
        <is>
          <t>자본 [member]|지배기업의 소유주에게 귀속되는 자본 [member]|자본잉여금 [member]</t>
        </is>
      </c>
      <c r="M410" s="29" t="inlineStr">
        <is>
          <t>제 24 기</t>
        </is>
      </c>
      <c r="N410" s="29" t="inlineStr">
        <is>
          <t>해당 없음</t>
        </is>
      </c>
      <c r="O410" s="29" t="inlineStr">
        <is>
          <t>32273165332.0</t>
        </is>
      </c>
      <c r="P410" s="29" t="inlineStr">
        <is>
          <t>KRW</t>
        </is>
      </c>
      <c r="Q410" s="29" t="inlineStr">
        <is>
          <t>14</t>
        </is>
      </c>
    </row>
    <row r="411" ht="24" customHeight="1">
      <c r="A411" s="24" t="inlineStr">
        <is>
          <t>OpenDART_fnlttSinglAcntAll</t>
        </is>
      </c>
      <c r="B411" s="24" t="inlineStr">
        <is>
          <t>00366942</t>
        </is>
      </c>
      <c r="C411" s="24" t="inlineStr">
        <is>
          <t>미코</t>
        </is>
      </c>
      <c r="D411" s="24" t="inlineStr">
        <is>
          <t>mico</t>
        </is>
      </c>
      <c r="E411" s="24" t="inlineStr">
        <is>
          <t>059090</t>
        </is>
      </c>
      <c r="F411" s="24" t="inlineStr">
        <is>
          <t>2022</t>
        </is>
      </c>
      <c r="G411" s="24" t="inlineStr">
        <is>
          <t>CFS</t>
        </is>
      </c>
      <c r="H411" s="24" t="inlineStr">
        <is>
          <t>SCE</t>
        </is>
      </c>
      <c r="I411" s="24" t="inlineStr">
        <is>
          <t>자본변동표</t>
        </is>
      </c>
      <c r="J411" s="24" t="inlineStr">
        <is>
          <t>-표준계정코드 미사용-</t>
        </is>
      </c>
      <c r="K411" s="24" t="inlineStr">
        <is>
          <t>신주인수권행사</t>
        </is>
      </c>
      <c r="L411" s="24" t="inlineStr">
        <is>
          <t>연결재무제표 [member]</t>
        </is>
      </c>
      <c r="M411" s="24" t="inlineStr">
        <is>
          <t>제 24 기</t>
        </is>
      </c>
      <c r="N411" s="24" t="inlineStr">
        <is>
          <t>해당 없음</t>
        </is>
      </c>
      <c r="O411" s="24" t="inlineStr">
        <is>
          <t>19750702488.0</t>
        </is>
      </c>
      <c r="P411" s="24" t="inlineStr">
        <is>
          <t>KRW</t>
        </is>
      </c>
      <c r="Q411" s="24" t="inlineStr">
        <is>
          <t>15</t>
        </is>
      </c>
    </row>
    <row r="412" ht="24" customHeight="1">
      <c r="A412" s="29" t="inlineStr">
        <is>
          <t>OpenDART_fnlttSinglAcntAll</t>
        </is>
      </c>
      <c r="B412" s="29" t="inlineStr">
        <is>
          <t>00366942</t>
        </is>
      </c>
      <c r="C412" s="29" t="inlineStr">
        <is>
          <t>미코</t>
        </is>
      </c>
      <c r="D412" s="29" t="inlineStr">
        <is>
          <t>mico</t>
        </is>
      </c>
      <c r="E412" s="29" t="inlineStr">
        <is>
          <t>059090</t>
        </is>
      </c>
      <c r="F412" s="29" t="inlineStr">
        <is>
          <t>2022</t>
        </is>
      </c>
      <c r="G412" s="29" t="inlineStr">
        <is>
          <t>CFS</t>
        </is>
      </c>
      <c r="H412" s="29" t="inlineStr">
        <is>
          <t>SCE</t>
        </is>
      </c>
      <c r="I412" s="29" t="inlineStr">
        <is>
          <t>자본변동표</t>
        </is>
      </c>
      <c r="J412" s="29" t="inlineStr">
        <is>
          <t>-표준계정코드 미사용-</t>
        </is>
      </c>
      <c r="K412" s="29" t="inlineStr">
        <is>
          <t>신주인수권행사</t>
        </is>
      </c>
      <c r="L412" s="29" t="inlineStr">
        <is>
          <t>자본 [member]|비지배지분 [member]</t>
        </is>
      </c>
      <c r="M412" s="29" t="inlineStr">
        <is>
          <t>제 24 기</t>
        </is>
      </c>
      <c r="N412" s="29" t="inlineStr">
        <is>
          <t>해당 없음</t>
        </is>
      </c>
      <c r="O412" s="29" t="inlineStr">
        <is>
          <t>13274054933.0</t>
        </is>
      </c>
      <c r="P412" s="29" t="inlineStr">
        <is>
          <t>KRW</t>
        </is>
      </c>
      <c r="Q412" s="29" t="inlineStr">
        <is>
          <t>15</t>
        </is>
      </c>
    </row>
    <row r="413" ht="24" customHeight="1">
      <c r="A413" s="24" t="inlineStr">
        <is>
          <t>OpenDART_fnlttSinglAcntAll</t>
        </is>
      </c>
      <c r="B413" s="24" t="inlineStr">
        <is>
          <t>00366942</t>
        </is>
      </c>
      <c r="C413" s="24" t="inlineStr">
        <is>
          <t>미코</t>
        </is>
      </c>
      <c r="D413" s="24" t="inlineStr">
        <is>
          <t>mico</t>
        </is>
      </c>
      <c r="E413" s="24" t="inlineStr">
        <is>
          <t>059090</t>
        </is>
      </c>
      <c r="F413" s="24" t="inlineStr">
        <is>
          <t>2022</t>
        </is>
      </c>
      <c r="G413" s="24" t="inlineStr">
        <is>
          <t>CFS</t>
        </is>
      </c>
      <c r="H413" s="24" t="inlineStr">
        <is>
          <t>SCE</t>
        </is>
      </c>
      <c r="I413" s="24" t="inlineStr">
        <is>
          <t>자본변동표</t>
        </is>
      </c>
      <c r="J413" s="24" t="inlineStr">
        <is>
          <t>-표준계정코드 미사용-</t>
        </is>
      </c>
      <c r="K413" s="24" t="inlineStr">
        <is>
          <t>신주인수권행사</t>
        </is>
      </c>
      <c r="L413" s="24" t="inlineStr">
        <is>
          <t>자본 [member]|지배기업의 소유주에게 귀속되는 자본 [member]</t>
        </is>
      </c>
      <c r="M413" s="24" t="inlineStr">
        <is>
          <t>제 24 기</t>
        </is>
      </c>
      <c r="N413" s="24" t="inlineStr">
        <is>
          <t>해당 없음</t>
        </is>
      </c>
      <c r="O413" s="24" t="inlineStr">
        <is>
          <t>6476647555.0</t>
        </is>
      </c>
      <c r="P413" s="24" t="inlineStr">
        <is>
          <t>KRW</t>
        </is>
      </c>
      <c r="Q413" s="24" t="inlineStr">
        <is>
          <t>15</t>
        </is>
      </c>
    </row>
    <row r="414" ht="24" customHeight="1">
      <c r="A414" s="29" t="inlineStr">
        <is>
          <t>OpenDART_fnlttSinglAcntAll</t>
        </is>
      </c>
      <c r="B414" s="29" t="inlineStr">
        <is>
          <t>00366942</t>
        </is>
      </c>
      <c r="C414" s="29" t="inlineStr">
        <is>
          <t>미코</t>
        </is>
      </c>
      <c r="D414" s="29" t="inlineStr">
        <is>
          <t>mico</t>
        </is>
      </c>
      <c r="E414" s="29" t="inlineStr">
        <is>
          <t>059090</t>
        </is>
      </c>
      <c r="F414" s="29" t="inlineStr">
        <is>
          <t>2022</t>
        </is>
      </c>
      <c r="G414" s="29" t="inlineStr">
        <is>
          <t>CFS</t>
        </is>
      </c>
      <c r="H414" s="29" t="inlineStr">
        <is>
          <t>SCE</t>
        </is>
      </c>
      <c r="I414" s="29" t="inlineStr">
        <is>
          <t>자본변동표</t>
        </is>
      </c>
      <c r="J414" s="29" t="inlineStr">
        <is>
          <t>-표준계정코드 미사용-</t>
        </is>
      </c>
      <c r="K414" s="29" t="inlineStr">
        <is>
          <t>신주인수권행사</t>
        </is>
      </c>
      <c r="L414" s="29" t="inlineStr">
        <is>
          <t>자본 [member]|지배기업의 소유주에게 귀속되는 자본 [member]|자본잉여금 [member]</t>
        </is>
      </c>
      <c r="M414" s="29" t="inlineStr">
        <is>
          <t>제 24 기</t>
        </is>
      </c>
      <c r="N414" s="29" t="inlineStr">
        <is>
          <t>해당 없음</t>
        </is>
      </c>
      <c r="O414" s="29" t="inlineStr">
        <is>
          <t>6476647555.0</t>
        </is>
      </c>
      <c r="P414" s="29" t="inlineStr">
        <is>
          <t>KRW</t>
        </is>
      </c>
      <c r="Q414" s="29" t="inlineStr">
        <is>
          <t>15</t>
        </is>
      </c>
    </row>
    <row r="415" ht="24" customHeight="1">
      <c r="A415" s="24" t="inlineStr">
        <is>
          <t>OpenDART_fnlttSinglAcntAll</t>
        </is>
      </c>
      <c r="B415" s="24" t="inlineStr">
        <is>
          <t>00366942</t>
        </is>
      </c>
      <c r="C415" s="24" t="inlineStr">
        <is>
          <t>미코</t>
        </is>
      </c>
      <c r="D415" s="24" t="inlineStr">
        <is>
          <t>mico</t>
        </is>
      </c>
      <c r="E415" s="24" t="inlineStr">
        <is>
          <t>059090</t>
        </is>
      </c>
      <c r="F415" s="24" t="inlineStr">
        <is>
          <t>2022</t>
        </is>
      </c>
      <c r="G415" s="24" t="inlineStr">
        <is>
          <t>CFS</t>
        </is>
      </c>
      <c r="H415" s="24" t="inlineStr">
        <is>
          <t>SCE</t>
        </is>
      </c>
      <c r="I415" s="24" t="inlineStr">
        <is>
          <t>자본변동표</t>
        </is>
      </c>
      <c r="J415" s="24" t="inlineStr">
        <is>
          <t>-표준계정코드 미사용-</t>
        </is>
      </c>
      <c r="K415" s="24" t="inlineStr">
        <is>
          <t>종속기업의 증자</t>
        </is>
      </c>
      <c r="L415" s="24" t="inlineStr">
        <is>
          <t>연결재무제표 [member]</t>
        </is>
      </c>
      <c r="M415" s="24" t="inlineStr">
        <is>
          <t>제 24 기</t>
        </is>
      </c>
      <c r="N415" s="24" t="inlineStr">
        <is>
          <t>해당 없음</t>
        </is>
      </c>
      <c r="O415" s="24" t="inlineStr">
        <is>
          <t>40000149436.0</t>
        </is>
      </c>
      <c r="P415" s="24" t="inlineStr">
        <is>
          <t>KRW</t>
        </is>
      </c>
      <c r="Q415" s="24" t="inlineStr">
        <is>
          <t>16</t>
        </is>
      </c>
    </row>
    <row r="416" ht="24" customHeight="1">
      <c r="A416" s="29" t="inlineStr">
        <is>
          <t>OpenDART_fnlttSinglAcntAll</t>
        </is>
      </c>
      <c r="B416" s="29" t="inlineStr">
        <is>
          <t>00366942</t>
        </is>
      </c>
      <c r="C416" s="29" t="inlineStr">
        <is>
          <t>미코</t>
        </is>
      </c>
      <c r="D416" s="29" t="inlineStr">
        <is>
          <t>mico</t>
        </is>
      </c>
      <c r="E416" s="29" t="inlineStr">
        <is>
          <t>059090</t>
        </is>
      </c>
      <c r="F416" s="29" t="inlineStr">
        <is>
          <t>2022</t>
        </is>
      </c>
      <c r="G416" s="29" t="inlineStr">
        <is>
          <t>CFS</t>
        </is>
      </c>
      <c r="H416" s="29" t="inlineStr">
        <is>
          <t>SCE</t>
        </is>
      </c>
      <c r="I416" s="29" t="inlineStr">
        <is>
          <t>자본변동표</t>
        </is>
      </c>
      <c r="J416" s="29" t="inlineStr">
        <is>
          <t>-표준계정코드 미사용-</t>
        </is>
      </c>
      <c r="K416" s="29" t="inlineStr">
        <is>
          <t>종속기업의 증자</t>
        </is>
      </c>
      <c r="L416" s="29" t="inlineStr">
        <is>
          <t>자본 [member]|비지배지분 [member]</t>
        </is>
      </c>
      <c r="M416" s="29" t="inlineStr">
        <is>
          <t>제 24 기</t>
        </is>
      </c>
      <c r="N416" s="29" t="inlineStr">
        <is>
          <t>해당 없음</t>
        </is>
      </c>
      <c r="O416" s="29" t="inlineStr">
        <is>
          <t>8115082146.0</t>
        </is>
      </c>
      <c r="P416" s="29" t="inlineStr">
        <is>
          <t>KRW</t>
        </is>
      </c>
      <c r="Q416" s="29" t="inlineStr">
        <is>
          <t>16</t>
        </is>
      </c>
    </row>
    <row r="417" ht="24" customHeight="1">
      <c r="A417" s="24" t="inlineStr">
        <is>
          <t>OpenDART_fnlttSinglAcntAll</t>
        </is>
      </c>
      <c r="B417" s="24" t="inlineStr">
        <is>
          <t>00366942</t>
        </is>
      </c>
      <c r="C417" s="24" t="inlineStr">
        <is>
          <t>미코</t>
        </is>
      </c>
      <c r="D417" s="24" t="inlineStr">
        <is>
          <t>mico</t>
        </is>
      </c>
      <c r="E417" s="24" t="inlineStr">
        <is>
          <t>059090</t>
        </is>
      </c>
      <c r="F417" s="24" t="inlineStr">
        <is>
          <t>2022</t>
        </is>
      </c>
      <c r="G417" s="24" t="inlineStr">
        <is>
          <t>CFS</t>
        </is>
      </c>
      <c r="H417" s="24" t="inlineStr">
        <is>
          <t>SCE</t>
        </is>
      </c>
      <c r="I417" s="24" t="inlineStr">
        <is>
          <t>자본변동표</t>
        </is>
      </c>
      <c r="J417" s="24" t="inlineStr">
        <is>
          <t>-표준계정코드 미사용-</t>
        </is>
      </c>
      <c r="K417" s="24" t="inlineStr">
        <is>
          <t>종속기업의 증자</t>
        </is>
      </c>
      <c r="L417" s="24" t="inlineStr">
        <is>
          <t>자본 [member]|지배기업의 소유주에게 귀속되는 자본 [member]</t>
        </is>
      </c>
      <c r="M417" s="24" t="inlineStr">
        <is>
          <t>제 24 기</t>
        </is>
      </c>
      <c r="N417" s="24" t="inlineStr">
        <is>
          <t>해당 없음</t>
        </is>
      </c>
      <c r="O417" s="24" t="inlineStr">
        <is>
          <t>31885067290.0</t>
        </is>
      </c>
      <c r="P417" s="24" t="inlineStr">
        <is>
          <t>KRW</t>
        </is>
      </c>
      <c r="Q417" s="24" t="inlineStr">
        <is>
          <t>16</t>
        </is>
      </c>
    </row>
    <row r="418" ht="24" customHeight="1">
      <c r="A418" s="29" t="inlineStr">
        <is>
          <t>OpenDART_fnlttSinglAcntAll</t>
        </is>
      </c>
      <c r="B418" s="29" t="inlineStr">
        <is>
          <t>00366942</t>
        </is>
      </c>
      <c r="C418" s="29" t="inlineStr">
        <is>
          <t>미코</t>
        </is>
      </c>
      <c r="D418" s="29" t="inlineStr">
        <is>
          <t>mico</t>
        </is>
      </c>
      <c r="E418" s="29" t="inlineStr">
        <is>
          <t>059090</t>
        </is>
      </c>
      <c r="F418" s="29" t="inlineStr">
        <is>
          <t>2022</t>
        </is>
      </c>
      <c r="G418" s="29" t="inlineStr">
        <is>
          <t>CFS</t>
        </is>
      </c>
      <c r="H418" s="29" t="inlineStr">
        <is>
          <t>SCE</t>
        </is>
      </c>
      <c r="I418" s="29" t="inlineStr">
        <is>
          <t>자본변동표</t>
        </is>
      </c>
      <c r="J418" s="29" t="inlineStr">
        <is>
          <t>-표준계정코드 미사용-</t>
        </is>
      </c>
      <c r="K418" s="29" t="inlineStr">
        <is>
          <t>종속기업의 증자</t>
        </is>
      </c>
      <c r="L418" s="29" t="inlineStr">
        <is>
          <t>자본 [member]|지배기업의 소유주에게 귀속되는 자본 [member]|자본잉여금 [member]</t>
        </is>
      </c>
      <c r="M418" s="29" t="inlineStr">
        <is>
          <t>제 24 기</t>
        </is>
      </c>
      <c r="N418" s="29" t="inlineStr">
        <is>
          <t>해당 없음</t>
        </is>
      </c>
      <c r="O418" s="29" t="inlineStr">
        <is>
          <t>31885067290.0</t>
        </is>
      </c>
      <c r="P418" s="29" t="inlineStr">
        <is>
          <t>KRW</t>
        </is>
      </c>
      <c r="Q418" s="29" t="inlineStr">
        <is>
          <t>16</t>
        </is>
      </c>
    </row>
    <row r="419" ht="24" customHeight="1">
      <c r="A419" s="24" t="inlineStr">
        <is>
          <t>OpenDART_fnlttSinglAcntAll</t>
        </is>
      </c>
      <c r="B419" s="24" t="inlineStr">
        <is>
          <t>00366942</t>
        </is>
      </c>
      <c r="C419" s="24" t="inlineStr">
        <is>
          <t>미코</t>
        </is>
      </c>
      <c r="D419" s="24" t="inlineStr">
        <is>
          <t>mico</t>
        </is>
      </c>
      <c r="E419" s="24" t="inlineStr">
        <is>
          <t>059090</t>
        </is>
      </c>
      <c r="F419" s="24" t="inlineStr">
        <is>
          <t>2022</t>
        </is>
      </c>
      <c r="G419" s="24" t="inlineStr">
        <is>
          <t>CFS</t>
        </is>
      </c>
      <c r="H419" s="24" t="inlineStr">
        <is>
          <t>SCE</t>
        </is>
      </c>
      <c r="I419" s="24" t="inlineStr">
        <is>
          <t>자본변동표</t>
        </is>
      </c>
      <c r="J419" s="24" t="inlineStr">
        <is>
          <t>ifrs-full_DividendsPaid</t>
        </is>
      </c>
      <c r="K419" s="24" t="inlineStr">
        <is>
          <t>배당금지급</t>
        </is>
      </c>
      <c r="L419" s="24" t="inlineStr">
        <is>
          <t>연결재무제표 [member]</t>
        </is>
      </c>
      <c r="M419" s="24" t="inlineStr">
        <is>
          <t>제 24 기</t>
        </is>
      </c>
      <c r="N419" s="24" t="inlineStr">
        <is>
          <t>-5601991810.0</t>
        </is>
      </c>
      <c r="O419" s="24" t="inlineStr">
        <is>
          <t>2079422450.0</t>
        </is>
      </c>
      <c r="P419" s="24" t="inlineStr">
        <is>
          <t>KRW</t>
        </is>
      </c>
      <c r="Q419" s="24" t="inlineStr">
        <is>
          <t>17</t>
        </is>
      </c>
    </row>
    <row r="420" ht="24" customHeight="1">
      <c r="A420" s="29" t="inlineStr">
        <is>
          <t>OpenDART_fnlttSinglAcntAll</t>
        </is>
      </c>
      <c r="B420" s="29" t="inlineStr">
        <is>
          <t>00366942</t>
        </is>
      </c>
      <c r="C420" s="29" t="inlineStr">
        <is>
          <t>미코</t>
        </is>
      </c>
      <c r="D420" s="29" t="inlineStr">
        <is>
          <t>mico</t>
        </is>
      </c>
      <c r="E420" s="29" t="inlineStr">
        <is>
          <t>059090</t>
        </is>
      </c>
      <c r="F420" s="29" t="inlineStr">
        <is>
          <t>2022</t>
        </is>
      </c>
      <c r="G420" s="29" t="inlineStr">
        <is>
          <t>CFS</t>
        </is>
      </c>
      <c r="H420" s="29" t="inlineStr">
        <is>
          <t>SCE</t>
        </is>
      </c>
      <c r="I420" s="29" t="inlineStr">
        <is>
          <t>자본변동표</t>
        </is>
      </c>
      <c r="J420" s="29" t="inlineStr">
        <is>
          <t>ifrs-full_DividendsPaid</t>
        </is>
      </c>
      <c r="K420" s="29" t="inlineStr">
        <is>
          <t>배당금지급</t>
        </is>
      </c>
      <c r="L420" s="29" t="inlineStr">
        <is>
          <t>자본 [member]|비지배지분 [member]</t>
        </is>
      </c>
      <c r="M420" s="29" t="inlineStr">
        <is>
          <t>제 24 기</t>
        </is>
      </c>
      <c r="N420" s="29" t="inlineStr">
        <is>
          <t>3368163150.0</t>
        </is>
      </c>
      <c r="O420" s="29" t="inlineStr">
        <is>
          <t>2079422450.0</t>
        </is>
      </c>
      <c r="P420" s="29" t="inlineStr">
        <is>
          <t>KRW</t>
        </is>
      </c>
      <c r="Q420" s="29" t="inlineStr">
        <is>
          <t>17</t>
        </is>
      </c>
    </row>
    <row r="421" ht="24" customHeight="1">
      <c r="A421" s="24" t="inlineStr">
        <is>
          <t>OpenDART_fnlttSinglAcntAll</t>
        </is>
      </c>
      <c r="B421" s="24" t="inlineStr">
        <is>
          <t>00366942</t>
        </is>
      </c>
      <c r="C421" s="24" t="inlineStr">
        <is>
          <t>미코</t>
        </is>
      </c>
      <c r="D421" s="24" t="inlineStr">
        <is>
          <t>mico</t>
        </is>
      </c>
      <c r="E421" s="24" t="inlineStr">
        <is>
          <t>059090</t>
        </is>
      </c>
      <c r="F421" s="24" t="inlineStr">
        <is>
          <t>2022</t>
        </is>
      </c>
      <c r="G421" s="24" t="inlineStr">
        <is>
          <t>CFS</t>
        </is>
      </c>
      <c r="H421" s="24" t="inlineStr">
        <is>
          <t>SCE</t>
        </is>
      </c>
      <c r="I421" s="24" t="inlineStr">
        <is>
          <t>자본변동표</t>
        </is>
      </c>
      <c r="J421" s="24" t="inlineStr">
        <is>
          <t>ifrs-full_DividendsPaid</t>
        </is>
      </c>
      <c r="K421" s="24" t="inlineStr">
        <is>
          <t>배당금지급</t>
        </is>
      </c>
      <c r="L421" s="24" t="inlineStr">
        <is>
          <t>자본 [member]|지배기업의 소유주에게 귀속되는 자본 [member]</t>
        </is>
      </c>
      <c r="M421" s="24" t="inlineStr">
        <is>
          <t>제 24 기</t>
        </is>
      </c>
      <c r="N421" s="24" t="inlineStr">
        <is>
          <t>2233828660.0</t>
        </is>
      </c>
      <c r="O421" s="24" t="inlineStr">
        <is>
          <t>해당 없음</t>
        </is>
      </c>
      <c r="P421" s="24" t="inlineStr">
        <is>
          <t>KRW</t>
        </is>
      </c>
      <c r="Q421" s="24" t="inlineStr">
        <is>
          <t>17</t>
        </is>
      </c>
    </row>
    <row r="422" ht="24" customHeight="1">
      <c r="A422" s="29" t="inlineStr">
        <is>
          <t>OpenDART_fnlttSinglAcntAll</t>
        </is>
      </c>
      <c r="B422" s="29" t="inlineStr">
        <is>
          <t>00366942</t>
        </is>
      </c>
      <c r="C422" s="29" t="inlineStr">
        <is>
          <t>미코</t>
        </is>
      </c>
      <c r="D422" s="29" t="inlineStr">
        <is>
          <t>mico</t>
        </is>
      </c>
      <c r="E422" s="29" t="inlineStr">
        <is>
          <t>059090</t>
        </is>
      </c>
      <c r="F422" s="29" t="inlineStr">
        <is>
          <t>2022</t>
        </is>
      </c>
      <c r="G422" s="29" t="inlineStr">
        <is>
          <t>CFS</t>
        </is>
      </c>
      <c r="H422" s="29" t="inlineStr">
        <is>
          <t>SCE</t>
        </is>
      </c>
      <c r="I422" s="29" t="inlineStr">
        <is>
          <t>자본변동표</t>
        </is>
      </c>
      <c r="J422" s="29" t="inlineStr">
        <is>
          <t>ifrs-full_DividendsPaid</t>
        </is>
      </c>
      <c r="K422" s="29" t="inlineStr">
        <is>
          <t>배당금지급</t>
        </is>
      </c>
      <c r="L422" s="29" t="inlineStr">
        <is>
          <t>자본 [member]|지배기업의 소유주에게 귀속되는 자본 [member]|이익잉여금 [member]</t>
        </is>
      </c>
      <c r="M422" s="29" t="inlineStr">
        <is>
          <t>제 24 기</t>
        </is>
      </c>
      <c r="N422" s="29" t="inlineStr">
        <is>
          <t>2233828660.0</t>
        </is>
      </c>
      <c r="O422" s="29" t="inlineStr">
        <is>
          <t>해당 없음</t>
        </is>
      </c>
      <c r="P422" s="29" t="inlineStr">
        <is>
          <t>KRW</t>
        </is>
      </c>
      <c r="Q422" s="29" t="inlineStr">
        <is>
          <t>17</t>
        </is>
      </c>
    </row>
    <row r="423" ht="24" customHeight="1">
      <c r="A423" s="24" t="inlineStr">
        <is>
          <t>OpenDART_fnlttSinglAcntAll</t>
        </is>
      </c>
      <c r="B423" s="24" t="inlineStr">
        <is>
          <t>00366942</t>
        </is>
      </c>
      <c r="C423" s="24" t="inlineStr">
        <is>
          <t>미코</t>
        </is>
      </c>
      <c r="D423" s="24" t="inlineStr">
        <is>
          <t>mico</t>
        </is>
      </c>
      <c r="E423" s="24" t="inlineStr">
        <is>
          <t>059090</t>
        </is>
      </c>
      <c r="F423" s="24" t="inlineStr">
        <is>
          <t>2022</t>
        </is>
      </c>
      <c r="G423" s="24" t="inlineStr">
        <is>
          <t>CFS</t>
        </is>
      </c>
      <c r="H423" s="24" t="inlineStr">
        <is>
          <t>SCE</t>
        </is>
      </c>
      <c r="I423" s="24" t="inlineStr">
        <is>
          <t>자본변동표</t>
        </is>
      </c>
      <c r="J423" s="24" t="inlineStr">
        <is>
          <t>-표준계정코드 미사용-</t>
        </is>
      </c>
      <c r="K423" s="24" t="inlineStr">
        <is>
          <t>주식선택권 부여</t>
        </is>
      </c>
      <c r="L423" s="24" t="inlineStr">
        <is>
          <t>연결재무제표 [member]</t>
        </is>
      </c>
      <c r="M423" s="24" t="inlineStr">
        <is>
          <t>제 24 기</t>
        </is>
      </c>
      <c r="N423" s="24" t="inlineStr">
        <is>
          <t>7537072306.0</t>
        </is>
      </c>
      <c r="O423" s="24" t="inlineStr">
        <is>
          <t>2308236241.0</t>
        </is>
      </c>
      <c r="P423" s="24" t="inlineStr">
        <is>
          <t>KRW</t>
        </is>
      </c>
      <c r="Q423" s="24" t="inlineStr">
        <is>
          <t>18</t>
        </is>
      </c>
    </row>
    <row r="424" ht="24" customHeight="1">
      <c r="A424" s="29" t="inlineStr">
        <is>
          <t>OpenDART_fnlttSinglAcntAll</t>
        </is>
      </c>
      <c r="B424" s="29" t="inlineStr">
        <is>
          <t>00366942</t>
        </is>
      </c>
      <c r="C424" s="29" t="inlineStr">
        <is>
          <t>미코</t>
        </is>
      </c>
      <c r="D424" s="29" t="inlineStr">
        <is>
          <t>mico</t>
        </is>
      </c>
      <c r="E424" s="29" t="inlineStr">
        <is>
          <t>059090</t>
        </is>
      </c>
      <c r="F424" s="29" t="inlineStr">
        <is>
          <t>2022</t>
        </is>
      </c>
      <c r="G424" s="29" t="inlineStr">
        <is>
          <t>CFS</t>
        </is>
      </c>
      <c r="H424" s="29" t="inlineStr">
        <is>
          <t>SCE</t>
        </is>
      </c>
      <c r="I424" s="29" t="inlineStr">
        <is>
          <t>자본변동표</t>
        </is>
      </c>
      <c r="J424" s="29" t="inlineStr">
        <is>
          <t>-표준계정코드 미사용-</t>
        </is>
      </c>
      <c r="K424" s="29" t="inlineStr">
        <is>
          <t>주식선택권 부여</t>
        </is>
      </c>
      <c r="L424" s="29" t="inlineStr">
        <is>
          <t>자본 [member]|비지배지분 [member]</t>
        </is>
      </c>
      <c r="M424" s="29" t="inlineStr">
        <is>
          <t>제 24 기</t>
        </is>
      </c>
      <c r="N424" s="29" t="inlineStr">
        <is>
          <t>7537072306.0</t>
        </is>
      </c>
      <c r="O424" s="29" t="inlineStr">
        <is>
          <t>2308236241.0</t>
        </is>
      </c>
      <c r="P424" s="29" t="inlineStr">
        <is>
          <t>KRW</t>
        </is>
      </c>
      <c r="Q424" s="29" t="inlineStr">
        <is>
          <t>18</t>
        </is>
      </c>
    </row>
    <row r="425" ht="24" customHeight="1">
      <c r="A425" s="24" t="inlineStr">
        <is>
          <t>OpenDART_fnlttSinglAcntAll</t>
        </is>
      </c>
      <c r="B425" s="24" t="inlineStr">
        <is>
          <t>00366942</t>
        </is>
      </c>
      <c r="C425" s="24" t="inlineStr">
        <is>
          <t>미코</t>
        </is>
      </c>
      <c r="D425" s="24" t="inlineStr">
        <is>
          <t>mico</t>
        </is>
      </c>
      <c r="E425" s="24" t="inlineStr">
        <is>
          <t>059090</t>
        </is>
      </c>
      <c r="F425" s="24" t="inlineStr">
        <is>
          <t>2022</t>
        </is>
      </c>
      <c r="G425" s="24" t="inlineStr">
        <is>
          <t>CFS</t>
        </is>
      </c>
      <c r="H425" s="24" t="inlineStr">
        <is>
          <t>SCE</t>
        </is>
      </c>
      <c r="I425" s="24" t="inlineStr">
        <is>
          <t>자본변동표</t>
        </is>
      </c>
      <c r="J425" s="24" t="inlineStr">
        <is>
          <t>-표준계정코드 미사용-</t>
        </is>
      </c>
      <c r="K425" s="24" t="inlineStr">
        <is>
          <t>연결실체내 자본거래 등</t>
        </is>
      </c>
      <c r="L425" s="24" t="inlineStr">
        <is>
          <t>연결재무제표 [member]</t>
        </is>
      </c>
      <c r="M425" s="24" t="inlineStr">
        <is>
          <t>제 24 기</t>
        </is>
      </c>
      <c r="N425" s="24" t="inlineStr">
        <is>
          <t>-2003768952.0</t>
        </is>
      </c>
      <c r="O425" s="24" t="inlineStr">
        <is>
          <t>43148013086.0</t>
        </is>
      </c>
      <c r="P425" s="24" t="inlineStr">
        <is>
          <t>KRW</t>
        </is>
      </c>
      <c r="Q425" s="24" t="inlineStr">
        <is>
          <t>19</t>
        </is>
      </c>
    </row>
    <row r="426" ht="24" customHeight="1">
      <c r="A426" s="29" t="inlineStr">
        <is>
          <t>OpenDART_fnlttSinglAcntAll</t>
        </is>
      </c>
      <c r="B426" s="29" t="inlineStr">
        <is>
          <t>00366942</t>
        </is>
      </c>
      <c r="C426" s="29" t="inlineStr">
        <is>
          <t>미코</t>
        </is>
      </c>
      <c r="D426" s="29" t="inlineStr">
        <is>
          <t>mico</t>
        </is>
      </c>
      <c r="E426" s="29" t="inlineStr">
        <is>
          <t>059090</t>
        </is>
      </c>
      <c r="F426" s="29" t="inlineStr">
        <is>
          <t>2022</t>
        </is>
      </c>
      <c r="G426" s="29" t="inlineStr">
        <is>
          <t>CFS</t>
        </is>
      </c>
      <c r="H426" s="29" t="inlineStr">
        <is>
          <t>SCE</t>
        </is>
      </c>
      <c r="I426" s="29" t="inlineStr">
        <is>
          <t>자본변동표</t>
        </is>
      </c>
      <c r="J426" s="29" t="inlineStr">
        <is>
          <t>-표준계정코드 미사용-</t>
        </is>
      </c>
      <c r="K426" s="29" t="inlineStr">
        <is>
          <t>연결실체내 자본거래 등</t>
        </is>
      </c>
      <c r="L426" s="29" t="inlineStr">
        <is>
          <t>자본 [member]|비지배지분 [member]</t>
        </is>
      </c>
      <c r="M426" s="29" t="inlineStr">
        <is>
          <t>제 24 기</t>
        </is>
      </c>
      <c r="N426" s="29" t="inlineStr">
        <is>
          <t>-1637293864.0</t>
        </is>
      </c>
      <c r="O426" s="29" t="inlineStr">
        <is>
          <t>15044464752.0</t>
        </is>
      </c>
      <c r="P426" s="29" t="inlineStr">
        <is>
          <t>KRW</t>
        </is>
      </c>
      <c r="Q426" s="29" t="inlineStr">
        <is>
          <t>19</t>
        </is>
      </c>
    </row>
    <row r="427" ht="24" customHeight="1">
      <c r="A427" s="24" t="inlineStr">
        <is>
          <t>OpenDART_fnlttSinglAcntAll</t>
        </is>
      </c>
      <c r="B427" s="24" t="inlineStr">
        <is>
          <t>00366942</t>
        </is>
      </c>
      <c r="C427" s="24" t="inlineStr">
        <is>
          <t>미코</t>
        </is>
      </c>
      <c r="D427" s="24" t="inlineStr">
        <is>
          <t>mico</t>
        </is>
      </c>
      <c r="E427" s="24" t="inlineStr">
        <is>
          <t>059090</t>
        </is>
      </c>
      <c r="F427" s="24" t="inlineStr">
        <is>
          <t>2022</t>
        </is>
      </c>
      <c r="G427" s="24" t="inlineStr">
        <is>
          <t>CFS</t>
        </is>
      </c>
      <c r="H427" s="24" t="inlineStr">
        <is>
          <t>SCE</t>
        </is>
      </c>
      <c r="I427" s="24" t="inlineStr">
        <is>
          <t>자본변동표</t>
        </is>
      </c>
      <c r="J427" s="24" t="inlineStr">
        <is>
          <t>-표준계정코드 미사용-</t>
        </is>
      </c>
      <c r="K427" s="24" t="inlineStr">
        <is>
          <t>연결실체내 자본거래 등</t>
        </is>
      </c>
      <c r="L427" s="24" t="inlineStr">
        <is>
          <t>자본 [member]|지배기업의 소유주에게 귀속되는 자본 [member]</t>
        </is>
      </c>
      <c r="M427" s="24" t="inlineStr">
        <is>
          <t>제 24 기</t>
        </is>
      </c>
      <c r="N427" s="24" t="inlineStr">
        <is>
          <t>366475088.0</t>
        </is>
      </c>
      <c r="O427" s="24" t="inlineStr">
        <is>
          <t>28103548334.0</t>
        </is>
      </c>
      <c r="P427" s="24" t="inlineStr">
        <is>
          <t>KRW</t>
        </is>
      </c>
      <c r="Q427" s="24" t="inlineStr">
        <is>
          <t>19</t>
        </is>
      </c>
    </row>
    <row r="428" ht="24" customHeight="1">
      <c r="A428" s="29" t="inlineStr">
        <is>
          <t>OpenDART_fnlttSinglAcntAll</t>
        </is>
      </c>
      <c r="B428" s="29" t="inlineStr">
        <is>
          <t>00366942</t>
        </is>
      </c>
      <c r="C428" s="29" t="inlineStr">
        <is>
          <t>미코</t>
        </is>
      </c>
      <c r="D428" s="29" t="inlineStr">
        <is>
          <t>mico</t>
        </is>
      </c>
      <c r="E428" s="29" t="inlineStr">
        <is>
          <t>059090</t>
        </is>
      </c>
      <c r="F428" s="29" t="inlineStr">
        <is>
          <t>2022</t>
        </is>
      </c>
      <c r="G428" s="29" t="inlineStr">
        <is>
          <t>CFS</t>
        </is>
      </c>
      <c r="H428" s="29" t="inlineStr">
        <is>
          <t>SCE</t>
        </is>
      </c>
      <c r="I428" s="29" t="inlineStr">
        <is>
          <t>자본변동표</t>
        </is>
      </c>
      <c r="J428" s="29" t="inlineStr">
        <is>
          <t>-표준계정코드 미사용-</t>
        </is>
      </c>
      <c r="K428" s="29" t="inlineStr">
        <is>
          <t>연결실체내 자본거래 등</t>
        </is>
      </c>
      <c r="L428" s="29" t="inlineStr">
        <is>
          <t>자본 [member]|지배기업의 소유주에게 귀속되는 자본 [member]|기타자본구성요소 [member]</t>
        </is>
      </c>
      <c r="M428" s="29" t="inlineStr">
        <is>
          <t>제 24 기</t>
        </is>
      </c>
      <c r="N428" s="29" t="inlineStr">
        <is>
          <t>366475088.0</t>
        </is>
      </c>
      <c r="O428" s="29" t="inlineStr">
        <is>
          <t>-39625963.0</t>
        </is>
      </c>
      <c r="P428" s="29" t="inlineStr">
        <is>
          <t>KRW</t>
        </is>
      </c>
      <c r="Q428" s="29" t="inlineStr">
        <is>
          <t>19</t>
        </is>
      </c>
    </row>
    <row r="429" ht="24" customHeight="1">
      <c r="A429" s="24" t="inlineStr">
        <is>
          <t>OpenDART_fnlttSinglAcntAll</t>
        </is>
      </c>
      <c r="B429" s="24" t="inlineStr">
        <is>
          <t>00366942</t>
        </is>
      </c>
      <c r="C429" s="24" t="inlineStr">
        <is>
          <t>미코</t>
        </is>
      </c>
      <c r="D429" s="24" t="inlineStr">
        <is>
          <t>mico</t>
        </is>
      </c>
      <c r="E429" s="24" t="inlineStr">
        <is>
          <t>059090</t>
        </is>
      </c>
      <c r="F429" s="24" t="inlineStr">
        <is>
          <t>2022</t>
        </is>
      </c>
      <c r="G429" s="24" t="inlineStr">
        <is>
          <t>CFS</t>
        </is>
      </c>
      <c r="H429" s="24" t="inlineStr">
        <is>
          <t>SCE</t>
        </is>
      </c>
      <c r="I429" s="24" t="inlineStr">
        <is>
          <t>자본변동표</t>
        </is>
      </c>
      <c r="J429" s="24" t="inlineStr">
        <is>
          <t>-표준계정코드 미사용-</t>
        </is>
      </c>
      <c r="K429" s="24" t="inlineStr">
        <is>
          <t>연결실체내 자본거래 등</t>
        </is>
      </c>
      <c r="L429" s="24" t="inlineStr">
        <is>
          <t>자본 [member]|지배기업의 소유주에게 귀속되는 자본 [member]|자본잉여금 [member]</t>
        </is>
      </c>
      <c r="M429" s="24" t="inlineStr">
        <is>
          <t>제 24 기</t>
        </is>
      </c>
      <c r="N429" s="24" t="inlineStr">
        <is>
          <t>해당 없음</t>
        </is>
      </c>
      <c r="O429" s="24" t="inlineStr">
        <is>
          <t>28143174297.0</t>
        </is>
      </c>
      <c r="P429" s="24" t="inlineStr">
        <is>
          <t>KRW</t>
        </is>
      </c>
      <c r="Q429" s="24" t="inlineStr">
        <is>
          <t>19</t>
        </is>
      </c>
    </row>
    <row r="430" ht="24" customHeight="1">
      <c r="A430" s="29" t="inlineStr">
        <is>
          <t>OpenDART_fnlttSinglAcntAll</t>
        </is>
      </c>
      <c r="B430" s="29" t="inlineStr">
        <is>
          <t>00366942</t>
        </is>
      </c>
      <c r="C430" s="29" t="inlineStr">
        <is>
          <t>미코</t>
        </is>
      </c>
      <c r="D430" s="29" t="inlineStr">
        <is>
          <t>mico</t>
        </is>
      </c>
      <c r="E430" s="29" t="inlineStr">
        <is>
          <t>059090</t>
        </is>
      </c>
      <c r="F430" s="29" t="inlineStr">
        <is>
          <t>2022</t>
        </is>
      </c>
      <c r="G430" s="29" t="inlineStr">
        <is>
          <t>CFS</t>
        </is>
      </c>
      <c r="H430" s="29" t="inlineStr">
        <is>
          <t>SCE</t>
        </is>
      </c>
      <c r="I430" s="29" t="inlineStr">
        <is>
          <t>자본변동표</t>
        </is>
      </c>
      <c r="J430" s="29" t="inlineStr">
        <is>
          <t>dart_TreasuryShareTransactions</t>
        </is>
      </c>
      <c r="K430" s="29" t="inlineStr">
        <is>
          <t>자기주식 취득</t>
        </is>
      </c>
      <c r="L430" s="29" t="inlineStr">
        <is>
          <t>연결재무제표 [member]</t>
        </is>
      </c>
      <c r="M430" s="29" t="inlineStr">
        <is>
          <t>제 24 기</t>
        </is>
      </c>
      <c r="N430" s="29" t="inlineStr">
        <is>
          <t>-3950258320.0</t>
        </is>
      </c>
      <c r="O430" s="29" t="inlineStr">
        <is>
          <t>-6987865050.0</t>
        </is>
      </c>
      <c r="P430" s="29" t="inlineStr">
        <is>
          <t>KRW</t>
        </is>
      </c>
      <c r="Q430" s="29" t="inlineStr">
        <is>
          <t>20</t>
        </is>
      </c>
    </row>
    <row r="431" ht="24" customHeight="1">
      <c r="A431" s="24" t="inlineStr">
        <is>
          <t>OpenDART_fnlttSinglAcntAll</t>
        </is>
      </c>
      <c r="B431" s="24" t="inlineStr">
        <is>
          <t>00366942</t>
        </is>
      </c>
      <c r="C431" s="24" t="inlineStr">
        <is>
          <t>미코</t>
        </is>
      </c>
      <c r="D431" s="24" t="inlineStr">
        <is>
          <t>mico</t>
        </is>
      </c>
      <c r="E431" s="24" t="inlineStr">
        <is>
          <t>059090</t>
        </is>
      </c>
      <c r="F431" s="24" t="inlineStr">
        <is>
          <t>2022</t>
        </is>
      </c>
      <c r="G431" s="24" t="inlineStr">
        <is>
          <t>CFS</t>
        </is>
      </c>
      <c r="H431" s="24" t="inlineStr">
        <is>
          <t>SCE</t>
        </is>
      </c>
      <c r="I431" s="24" t="inlineStr">
        <is>
          <t>자본변동표</t>
        </is>
      </c>
      <c r="J431" s="24" t="inlineStr">
        <is>
          <t>dart_TreasuryShareTransactions</t>
        </is>
      </c>
      <c r="K431" s="24" t="inlineStr">
        <is>
          <t>자기주식 취득</t>
        </is>
      </c>
      <c r="L431" s="24" t="inlineStr">
        <is>
          <t>자본 [member]|비지배지분 [member]</t>
        </is>
      </c>
      <c r="M431" s="24" t="inlineStr">
        <is>
          <t>제 24 기</t>
        </is>
      </c>
      <c r="N431" s="24" t="inlineStr">
        <is>
          <t>해당 없음</t>
        </is>
      </c>
      <c r="O431" s="24" t="inlineStr">
        <is>
          <t>해당 없음</t>
        </is>
      </c>
      <c r="P431" s="24" t="inlineStr">
        <is>
          <t>KRW</t>
        </is>
      </c>
      <c r="Q431" s="24" t="inlineStr">
        <is>
          <t>20</t>
        </is>
      </c>
    </row>
    <row r="432" ht="24" customHeight="1">
      <c r="A432" s="29" t="inlineStr">
        <is>
          <t>OpenDART_fnlttSinglAcntAll</t>
        </is>
      </c>
      <c r="B432" s="29" t="inlineStr">
        <is>
          <t>00366942</t>
        </is>
      </c>
      <c r="C432" s="29" t="inlineStr">
        <is>
          <t>미코</t>
        </is>
      </c>
      <c r="D432" s="29" t="inlineStr">
        <is>
          <t>mico</t>
        </is>
      </c>
      <c r="E432" s="29" t="inlineStr">
        <is>
          <t>059090</t>
        </is>
      </c>
      <c r="F432" s="29" t="inlineStr">
        <is>
          <t>2022</t>
        </is>
      </c>
      <c r="G432" s="29" t="inlineStr">
        <is>
          <t>CFS</t>
        </is>
      </c>
      <c r="H432" s="29" t="inlineStr">
        <is>
          <t>SCE</t>
        </is>
      </c>
      <c r="I432" s="29" t="inlineStr">
        <is>
          <t>자본변동표</t>
        </is>
      </c>
      <c r="J432" s="29" t="inlineStr">
        <is>
          <t>dart_TreasuryShareTransactions</t>
        </is>
      </c>
      <c r="K432" s="29" t="inlineStr">
        <is>
          <t>자기주식 취득</t>
        </is>
      </c>
      <c r="L432" s="29" t="inlineStr">
        <is>
          <t>자본 [member]|지배기업의 소유주에게 귀속되는 자본 [member]</t>
        </is>
      </c>
      <c r="M432" s="29" t="inlineStr">
        <is>
          <t>제 24 기</t>
        </is>
      </c>
      <c r="N432" s="29" t="inlineStr">
        <is>
          <t>-3950258320.0</t>
        </is>
      </c>
      <c r="O432" s="29" t="inlineStr">
        <is>
          <t>-6987865050.0</t>
        </is>
      </c>
      <c r="P432" s="29" t="inlineStr">
        <is>
          <t>KRW</t>
        </is>
      </c>
      <c r="Q432" s="29" t="inlineStr">
        <is>
          <t>20</t>
        </is>
      </c>
    </row>
    <row r="433" ht="24" customHeight="1">
      <c r="A433" s="24" t="inlineStr">
        <is>
          <t>OpenDART_fnlttSinglAcntAll</t>
        </is>
      </c>
      <c r="B433" s="24" t="inlineStr">
        <is>
          <t>00366942</t>
        </is>
      </c>
      <c r="C433" s="24" t="inlineStr">
        <is>
          <t>미코</t>
        </is>
      </c>
      <c r="D433" s="24" t="inlineStr">
        <is>
          <t>mico</t>
        </is>
      </c>
      <c r="E433" s="24" t="inlineStr">
        <is>
          <t>059090</t>
        </is>
      </c>
      <c r="F433" s="24" t="inlineStr">
        <is>
          <t>2022</t>
        </is>
      </c>
      <c r="G433" s="24" t="inlineStr">
        <is>
          <t>CFS</t>
        </is>
      </c>
      <c r="H433" s="24" t="inlineStr">
        <is>
          <t>SCE</t>
        </is>
      </c>
      <c r="I433" s="24" t="inlineStr">
        <is>
          <t>자본변동표</t>
        </is>
      </c>
      <c r="J433" s="24" t="inlineStr">
        <is>
          <t>dart_TreasuryShareTransactions</t>
        </is>
      </c>
      <c r="K433" s="24" t="inlineStr">
        <is>
          <t>자기주식 취득</t>
        </is>
      </c>
      <c r="L433" s="24" t="inlineStr">
        <is>
          <t>자본 [member]|지배기업의 소유주에게 귀속되는 자본 [member]|기타자본구성요소 [member]</t>
        </is>
      </c>
      <c r="M433" s="24" t="inlineStr">
        <is>
          <t>제 24 기</t>
        </is>
      </c>
      <c r="N433" s="24" t="inlineStr">
        <is>
          <t>-3950258320.0</t>
        </is>
      </c>
      <c r="O433" s="24" t="inlineStr">
        <is>
          <t>-6987865050.0</t>
        </is>
      </c>
      <c r="P433" s="24" t="inlineStr">
        <is>
          <t>KRW</t>
        </is>
      </c>
      <c r="Q433" s="24" t="inlineStr">
        <is>
          <t>20</t>
        </is>
      </c>
    </row>
    <row r="434" ht="24" customHeight="1">
      <c r="A434" s="29" t="inlineStr">
        <is>
          <t>OpenDART_fnlttSinglAcntAll</t>
        </is>
      </c>
      <c r="B434" s="29" t="inlineStr">
        <is>
          <t>00366942</t>
        </is>
      </c>
      <c r="C434" s="29" t="inlineStr">
        <is>
          <t>미코</t>
        </is>
      </c>
      <c r="D434" s="29" t="inlineStr">
        <is>
          <t>mico</t>
        </is>
      </c>
      <c r="E434" s="29" t="inlineStr">
        <is>
          <t>059090</t>
        </is>
      </c>
      <c r="F434" s="29" t="inlineStr">
        <is>
          <t>2022</t>
        </is>
      </c>
      <c r="G434" s="29" t="inlineStr">
        <is>
          <t>CFS</t>
        </is>
      </c>
      <c r="H434" s="29" t="inlineStr">
        <is>
          <t>SCE</t>
        </is>
      </c>
      <c r="I434" s="29" t="inlineStr">
        <is>
          <t>자본변동표</t>
        </is>
      </c>
      <c r="J434" s="29" t="inlineStr">
        <is>
          <t>-표준계정코드 미사용-</t>
        </is>
      </c>
      <c r="K434" s="29" t="inlineStr">
        <is>
          <t>연결범위의 변동</t>
        </is>
      </c>
      <c r="L434" s="29" t="inlineStr">
        <is>
          <t>연결재무제표 [member]</t>
        </is>
      </c>
      <c r="M434" s="29" t="inlineStr">
        <is>
          <t>제 24 기</t>
        </is>
      </c>
      <c r="N434" s="29" t="inlineStr">
        <is>
          <t>15342849000.0</t>
        </is>
      </c>
      <c r="O434" s="29" t="inlineStr">
        <is>
          <t>해당 없음</t>
        </is>
      </c>
      <c r="P434" s="29" t="inlineStr">
        <is>
          <t>KRW</t>
        </is>
      </c>
      <c r="Q434" s="29" t="inlineStr">
        <is>
          <t>21</t>
        </is>
      </c>
    </row>
    <row r="435" ht="24" customHeight="1">
      <c r="A435" s="24" t="inlineStr">
        <is>
          <t>OpenDART_fnlttSinglAcntAll</t>
        </is>
      </c>
      <c r="B435" s="24" t="inlineStr">
        <is>
          <t>00366942</t>
        </is>
      </c>
      <c r="C435" s="24" t="inlineStr">
        <is>
          <t>미코</t>
        </is>
      </c>
      <c r="D435" s="24" t="inlineStr">
        <is>
          <t>mico</t>
        </is>
      </c>
      <c r="E435" s="24" t="inlineStr">
        <is>
          <t>059090</t>
        </is>
      </c>
      <c r="F435" s="24" t="inlineStr">
        <is>
          <t>2022</t>
        </is>
      </c>
      <c r="G435" s="24" t="inlineStr">
        <is>
          <t>CFS</t>
        </is>
      </c>
      <c r="H435" s="24" t="inlineStr">
        <is>
          <t>SCE</t>
        </is>
      </c>
      <c r="I435" s="24" t="inlineStr">
        <is>
          <t>자본변동표</t>
        </is>
      </c>
      <c r="J435" s="24" t="inlineStr">
        <is>
          <t>-표준계정코드 미사용-</t>
        </is>
      </c>
      <c r="K435" s="24" t="inlineStr">
        <is>
          <t>연결범위의 변동</t>
        </is>
      </c>
      <c r="L435" s="24" t="inlineStr">
        <is>
          <t>자본 [member]|비지배지분 [member]</t>
        </is>
      </c>
      <c r="M435" s="24" t="inlineStr">
        <is>
          <t>제 24 기</t>
        </is>
      </c>
      <c r="N435" s="24" t="inlineStr">
        <is>
          <t>12927428580.0</t>
        </is>
      </c>
      <c r="O435" s="24" t="inlineStr">
        <is>
          <t>해당 없음</t>
        </is>
      </c>
      <c r="P435" s="24" t="inlineStr">
        <is>
          <t>KRW</t>
        </is>
      </c>
      <c r="Q435" s="24" t="inlineStr">
        <is>
          <t>21</t>
        </is>
      </c>
    </row>
    <row r="436" ht="24" customHeight="1">
      <c r="A436" s="29" t="inlineStr">
        <is>
          <t>OpenDART_fnlttSinglAcntAll</t>
        </is>
      </c>
      <c r="B436" s="29" t="inlineStr">
        <is>
          <t>00366942</t>
        </is>
      </c>
      <c r="C436" s="29" t="inlineStr">
        <is>
          <t>미코</t>
        </is>
      </c>
      <c r="D436" s="29" t="inlineStr">
        <is>
          <t>mico</t>
        </is>
      </c>
      <c r="E436" s="29" t="inlineStr">
        <is>
          <t>059090</t>
        </is>
      </c>
      <c r="F436" s="29" t="inlineStr">
        <is>
          <t>2022</t>
        </is>
      </c>
      <c r="G436" s="29" t="inlineStr">
        <is>
          <t>CFS</t>
        </is>
      </c>
      <c r="H436" s="29" t="inlineStr">
        <is>
          <t>SCE</t>
        </is>
      </c>
      <c r="I436" s="29" t="inlineStr">
        <is>
          <t>자본변동표</t>
        </is>
      </c>
      <c r="J436" s="29" t="inlineStr">
        <is>
          <t>-표준계정코드 미사용-</t>
        </is>
      </c>
      <c r="K436" s="29" t="inlineStr">
        <is>
          <t>연결범위의 변동</t>
        </is>
      </c>
      <c r="L436" s="29" t="inlineStr">
        <is>
          <t>자본 [member]|지배기업의 소유주에게 귀속되는 자본 [member]</t>
        </is>
      </c>
      <c r="M436" s="29" t="inlineStr">
        <is>
          <t>제 24 기</t>
        </is>
      </c>
      <c r="N436" s="29" t="inlineStr">
        <is>
          <t>2415420420.0</t>
        </is>
      </c>
      <c r="O436" s="29" t="inlineStr">
        <is>
          <t>해당 없음</t>
        </is>
      </c>
      <c r="P436" s="29" t="inlineStr">
        <is>
          <t>KRW</t>
        </is>
      </c>
      <c r="Q436" s="29" t="inlineStr">
        <is>
          <t>21</t>
        </is>
      </c>
    </row>
    <row r="437" ht="24" customHeight="1">
      <c r="A437" s="24" t="inlineStr">
        <is>
          <t>OpenDART_fnlttSinglAcntAll</t>
        </is>
      </c>
      <c r="B437" s="24" t="inlineStr">
        <is>
          <t>00366942</t>
        </is>
      </c>
      <c r="C437" s="24" t="inlineStr">
        <is>
          <t>미코</t>
        </is>
      </c>
      <c r="D437" s="24" t="inlineStr">
        <is>
          <t>mico</t>
        </is>
      </c>
      <c r="E437" s="24" t="inlineStr">
        <is>
          <t>059090</t>
        </is>
      </c>
      <c r="F437" s="24" t="inlineStr">
        <is>
          <t>2022</t>
        </is>
      </c>
      <c r="G437" s="24" t="inlineStr">
        <is>
          <t>CFS</t>
        </is>
      </c>
      <c r="H437" s="24" t="inlineStr">
        <is>
          <t>SCE</t>
        </is>
      </c>
      <c r="I437" s="24" t="inlineStr">
        <is>
          <t>자본변동표</t>
        </is>
      </c>
      <c r="J437" s="24" t="inlineStr">
        <is>
          <t>-표준계정코드 미사용-</t>
        </is>
      </c>
      <c r="K437" s="24" t="inlineStr">
        <is>
          <t>연결범위의 변동</t>
        </is>
      </c>
      <c r="L437" s="24" t="inlineStr">
        <is>
          <t>자본 [member]|지배기업의 소유주에게 귀속되는 자본 [member]|이익잉여금 [member]</t>
        </is>
      </c>
      <c r="M437" s="24" t="inlineStr">
        <is>
          <t>제 24 기</t>
        </is>
      </c>
      <c r="N437" s="24" t="inlineStr">
        <is>
          <t>1050742721.0</t>
        </is>
      </c>
      <c r="O437" s="24" t="inlineStr">
        <is>
          <t>해당 없음</t>
        </is>
      </c>
      <c r="P437" s="24" t="inlineStr">
        <is>
          <t>KRW</t>
        </is>
      </c>
      <c r="Q437" s="24" t="inlineStr">
        <is>
          <t>21</t>
        </is>
      </c>
    </row>
    <row r="438" ht="24" customHeight="1">
      <c r="A438" s="29" t="inlineStr">
        <is>
          <t>OpenDART_fnlttSinglAcntAll</t>
        </is>
      </c>
      <c r="B438" s="29" t="inlineStr">
        <is>
          <t>00366942</t>
        </is>
      </c>
      <c r="C438" s="29" t="inlineStr">
        <is>
          <t>미코</t>
        </is>
      </c>
      <c r="D438" s="29" t="inlineStr">
        <is>
          <t>mico</t>
        </is>
      </c>
      <c r="E438" s="29" t="inlineStr">
        <is>
          <t>059090</t>
        </is>
      </c>
      <c r="F438" s="29" t="inlineStr">
        <is>
          <t>2022</t>
        </is>
      </c>
      <c r="G438" s="29" t="inlineStr">
        <is>
          <t>CFS</t>
        </is>
      </c>
      <c r="H438" s="29" t="inlineStr">
        <is>
          <t>SCE</t>
        </is>
      </c>
      <c r="I438" s="29" t="inlineStr">
        <is>
          <t>자본변동표</t>
        </is>
      </c>
      <c r="J438" s="29" t="inlineStr">
        <is>
          <t>-표준계정코드 미사용-</t>
        </is>
      </c>
      <c r="K438" s="29" t="inlineStr">
        <is>
          <t>연결범위의 변동</t>
        </is>
      </c>
      <c r="L438" s="29" t="inlineStr">
        <is>
          <t>자본 [member]|지배기업의 소유주에게 귀속되는 자본 [member]|자본잉여금 [member]</t>
        </is>
      </c>
      <c r="M438" s="29" t="inlineStr">
        <is>
          <t>제 24 기</t>
        </is>
      </c>
      <c r="N438" s="29" t="inlineStr">
        <is>
          <t>1364677699.0</t>
        </is>
      </c>
      <c r="O438" s="29" t="inlineStr">
        <is>
          <t>해당 없음</t>
        </is>
      </c>
      <c r="P438" s="29" t="inlineStr">
        <is>
          <t>KRW</t>
        </is>
      </c>
      <c r="Q438" s="29" t="inlineStr">
        <is>
          <t>21</t>
        </is>
      </c>
    </row>
    <row r="439" ht="24" customHeight="1">
      <c r="A439" s="24" t="inlineStr">
        <is>
          <t>OpenDART_fnlttSinglAcntAll</t>
        </is>
      </c>
      <c r="B439" s="24" t="inlineStr">
        <is>
          <t>00366942</t>
        </is>
      </c>
      <c r="C439" s="24" t="inlineStr">
        <is>
          <t>미코</t>
        </is>
      </c>
      <c r="D439" s="24" t="inlineStr">
        <is>
          <t>mico</t>
        </is>
      </c>
      <c r="E439" s="24" t="inlineStr">
        <is>
          <t>059090</t>
        </is>
      </c>
      <c r="F439" s="24" t="inlineStr">
        <is>
          <t>2022</t>
        </is>
      </c>
      <c r="G439" s="24" t="inlineStr">
        <is>
          <t>CFS</t>
        </is>
      </c>
      <c r="H439" s="24" t="inlineStr">
        <is>
          <t>SCE</t>
        </is>
      </c>
      <c r="I439" s="24" t="inlineStr">
        <is>
          <t>자본변동표</t>
        </is>
      </c>
      <c r="J439" s="24" t="inlineStr">
        <is>
          <t>-표준계정코드 미사용-</t>
        </is>
      </c>
      <c r="K439" s="24" t="inlineStr">
        <is>
          <t>소유주와의 거래 합계</t>
        </is>
      </c>
      <c r="L439" s="24" t="inlineStr">
        <is>
          <t>연결재무제표 [member]</t>
        </is>
      </c>
      <c r="M439" s="24" t="inlineStr">
        <is>
          <t>제 24 기</t>
        </is>
      </c>
      <c r="N439" s="24" t="inlineStr">
        <is>
          <t>27424822279.0</t>
        </is>
      </c>
      <c r="O439" s="24" t="inlineStr">
        <is>
          <t>116345860086.0</t>
        </is>
      </c>
      <c r="P439" s="24" t="inlineStr">
        <is>
          <t>KRW</t>
        </is>
      </c>
      <c r="Q439" s="24" t="inlineStr">
        <is>
          <t>22</t>
        </is>
      </c>
    </row>
    <row r="440" ht="24" customHeight="1">
      <c r="A440" s="29" t="inlineStr">
        <is>
          <t>OpenDART_fnlttSinglAcntAll</t>
        </is>
      </c>
      <c r="B440" s="29" t="inlineStr">
        <is>
          <t>00366942</t>
        </is>
      </c>
      <c r="C440" s="29" t="inlineStr">
        <is>
          <t>미코</t>
        </is>
      </c>
      <c r="D440" s="29" t="inlineStr">
        <is>
          <t>mico</t>
        </is>
      </c>
      <c r="E440" s="29" t="inlineStr">
        <is>
          <t>059090</t>
        </is>
      </c>
      <c r="F440" s="29" t="inlineStr">
        <is>
          <t>2022</t>
        </is>
      </c>
      <c r="G440" s="29" t="inlineStr">
        <is>
          <t>CFS</t>
        </is>
      </c>
      <c r="H440" s="29" t="inlineStr">
        <is>
          <t>SCE</t>
        </is>
      </c>
      <c r="I440" s="29" t="inlineStr">
        <is>
          <t>자본변동표</t>
        </is>
      </c>
      <c r="J440" s="29" t="inlineStr">
        <is>
          <t>-표준계정코드 미사용-</t>
        </is>
      </c>
      <c r="K440" s="29" t="inlineStr">
        <is>
          <t>소유주와의 거래 합계</t>
        </is>
      </c>
      <c r="L440" s="29" t="inlineStr">
        <is>
          <t>자본 [member]|비지배지분 [member]</t>
        </is>
      </c>
      <c r="M440" s="29" t="inlineStr">
        <is>
          <t>제 24 기</t>
        </is>
      </c>
      <c r="N440" s="29" t="inlineStr">
        <is>
          <t>25592470588.0</t>
        </is>
      </c>
      <c r="O440" s="29" t="inlineStr">
        <is>
          <t>25960629545.0</t>
        </is>
      </c>
      <c r="P440" s="29" t="inlineStr">
        <is>
          <t>KRW</t>
        </is>
      </c>
      <c r="Q440" s="29" t="inlineStr">
        <is>
          <t>22</t>
        </is>
      </c>
    </row>
    <row r="441" ht="24" customHeight="1">
      <c r="A441" s="24" t="inlineStr">
        <is>
          <t>OpenDART_fnlttSinglAcntAll</t>
        </is>
      </c>
      <c r="B441" s="24" t="inlineStr">
        <is>
          <t>00366942</t>
        </is>
      </c>
      <c r="C441" s="24" t="inlineStr">
        <is>
          <t>미코</t>
        </is>
      </c>
      <c r="D441" s="24" t="inlineStr">
        <is>
          <t>mico</t>
        </is>
      </c>
      <c r="E441" s="24" t="inlineStr">
        <is>
          <t>059090</t>
        </is>
      </c>
      <c r="F441" s="24" t="inlineStr">
        <is>
          <t>2022</t>
        </is>
      </c>
      <c r="G441" s="24" t="inlineStr">
        <is>
          <t>CFS</t>
        </is>
      </c>
      <c r="H441" s="24" t="inlineStr">
        <is>
          <t>SCE</t>
        </is>
      </c>
      <c r="I441" s="24" t="inlineStr">
        <is>
          <t>자본변동표</t>
        </is>
      </c>
      <c r="J441" s="24" t="inlineStr">
        <is>
          <t>-표준계정코드 미사용-</t>
        </is>
      </c>
      <c r="K441" s="24" t="inlineStr">
        <is>
          <t>소유주와의 거래 합계</t>
        </is>
      </c>
      <c r="L441" s="24" t="inlineStr">
        <is>
          <t>자본 [member]|지배기업의 소유주에게 귀속되는 자본 [member]</t>
        </is>
      </c>
      <c r="M441" s="24" t="inlineStr">
        <is>
          <t>제 24 기</t>
        </is>
      </c>
      <c r="N441" s="24" t="inlineStr">
        <is>
          <t>1832351691.0</t>
        </is>
      </c>
      <c r="O441" s="24" t="inlineStr">
        <is>
          <t>90385230541.0</t>
        </is>
      </c>
      <c r="P441" s="24" t="inlineStr">
        <is>
          <t>KRW</t>
        </is>
      </c>
      <c r="Q441" s="24" t="inlineStr">
        <is>
          <t>22</t>
        </is>
      </c>
    </row>
    <row r="442" ht="24" customHeight="1">
      <c r="A442" s="29" t="inlineStr">
        <is>
          <t>OpenDART_fnlttSinglAcntAll</t>
        </is>
      </c>
      <c r="B442" s="29" t="inlineStr">
        <is>
          <t>00366942</t>
        </is>
      </c>
      <c r="C442" s="29" t="inlineStr">
        <is>
          <t>미코</t>
        </is>
      </c>
      <c r="D442" s="29" t="inlineStr">
        <is>
          <t>mico</t>
        </is>
      </c>
      <c r="E442" s="29" t="inlineStr">
        <is>
          <t>059090</t>
        </is>
      </c>
      <c r="F442" s="29" t="inlineStr">
        <is>
          <t>2022</t>
        </is>
      </c>
      <c r="G442" s="29" t="inlineStr">
        <is>
          <t>CFS</t>
        </is>
      </c>
      <c r="H442" s="29" t="inlineStr">
        <is>
          <t>SCE</t>
        </is>
      </c>
      <c r="I442" s="29" t="inlineStr">
        <is>
          <t>자본변동표</t>
        </is>
      </c>
      <c r="J442" s="29" t="inlineStr">
        <is>
          <t>-표준계정코드 미사용-</t>
        </is>
      </c>
      <c r="K442" s="29" t="inlineStr">
        <is>
          <t>소유주와의 거래 합계</t>
        </is>
      </c>
      <c r="L442" s="29" t="inlineStr">
        <is>
          <t>자본 [member]|지배기업의 소유주에게 귀속되는 자본 [member]|기타자본구성요소 [member]</t>
        </is>
      </c>
      <c r="M442" s="29" t="inlineStr">
        <is>
          <t>제 24 기</t>
        </is>
      </c>
      <c r="N442" s="29" t="inlineStr">
        <is>
          <t>-4316733408.0</t>
        </is>
      </c>
      <c r="O442" s="29" t="inlineStr">
        <is>
          <t>-7027491013.0</t>
        </is>
      </c>
      <c r="P442" s="29" t="inlineStr">
        <is>
          <t>KRW</t>
        </is>
      </c>
      <c r="Q442" s="29" t="inlineStr">
        <is>
          <t>22</t>
        </is>
      </c>
    </row>
    <row r="443" ht="24" customHeight="1">
      <c r="A443" s="24" t="inlineStr">
        <is>
          <t>OpenDART_fnlttSinglAcntAll</t>
        </is>
      </c>
      <c r="B443" s="24" t="inlineStr">
        <is>
          <t>00366942</t>
        </is>
      </c>
      <c r="C443" s="24" t="inlineStr">
        <is>
          <t>미코</t>
        </is>
      </c>
      <c r="D443" s="24" t="inlineStr">
        <is>
          <t>mico</t>
        </is>
      </c>
      <c r="E443" s="24" t="inlineStr">
        <is>
          <t>059090</t>
        </is>
      </c>
      <c r="F443" s="24" t="inlineStr">
        <is>
          <t>2022</t>
        </is>
      </c>
      <c r="G443" s="24" t="inlineStr">
        <is>
          <t>CFS</t>
        </is>
      </c>
      <c r="H443" s="24" t="inlineStr">
        <is>
          <t>SCE</t>
        </is>
      </c>
      <c r="I443" s="24" t="inlineStr">
        <is>
          <t>자본변동표</t>
        </is>
      </c>
      <c r="J443" s="24" t="inlineStr">
        <is>
          <t>-표준계정코드 미사용-</t>
        </is>
      </c>
      <c r="K443" s="24" t="inlineStr">
        <is>
          <t>소유주와의 거래 합계</t>
        </is>
      </c>
      <c r="L443" s="24" t="inlineStr">
        <is>
          <t>자본 [member]|지배기업의 소유주에게 귀속되는 자본 [member]|이익잉여금 [member]</t>
        </is>
      </c>
      <c r="M443" s="24" t="inlineStr">
        <is>
          <t>제 24 기</t>
        </is>
      </c>
      <c r="N443" s="24" t="inlineStr">
        <is>
          <t>-1183085939.0</t>
        </is>
      </c>
      <c r="O443" s="24" t="inlineStr">
        <is>
          <t>-1207710210.0</t>
        </is>
      </c>
      <c r="P443" s="24" t="inlineStr">
        <is>
          <t>KRW</t>
        </is>
      </c>
      <c r="Q443" s="24" t="inlineStr">
        <is>
          <t>22</t>
        </is>
      </c>
    </row>
    <row r="444" ht="24" customHeight="1">
      <c r="A444" s="29" t="inlineStr">
        <is>
          <t>OpenDART_fnlttSinglAcntAll</t>
        </is>
      </c>
      <c r="B444" s="29" t="inlineStr">
        <is>
          <t>00366942</t>
        </is>
      </c>
      <c r="C444" s="29" t="inlineStr">
        <is>
          <t>미코</t>
        </is>
      </c>
      <c r="D444" s="29" t="inlineStr">
        <is>
          <t>mico</t>
        </is>
      </c>
      <c r="E444" s="29" t="inlineStr">
        <is>
          <t>059090</t>
        </is>
      </c>
      <c r="F444" s="29" t="inlineStr">
        <is>
          <t>2022</t>
        </is>
      </c>
      <c r="G444" s="29" t="inlineStr">
        <is>
          <t>CFS</t>
        </is>
      </c>
      <c r="H444" s="29" t="inlineStr">
        <is>
          <t>SCE</t>
        </is>
      </c>
      <c r="I444" s="29" t="inlineStr">
        <is>
          <t>자본변동표</t>
        </is>
      </c>
      <c r="J444" s="29" t="inlineStr">
        <is>
          <t>-표준계정코드 미사용-</t>
        </is>
      </c>
      <c r="K444" s="29" t="inlineStr">
        <is>
          <t>소유주와의 거래 합계</t>
        </is>
      </c>
      <c r="L444" s="29" t="inlineStr">
        <is>
          <t>자본 [member]|지배기업의 소유주에게 귀속되는 자본 [member]|자본금 [member]</t>
        </is>
      </c>
      <c r="M444" s="29" t="inlineStr">
        <is>
          <t>제 24 기</t>
        </is>
      </c>
      <c r="N444" s="29" t="inlineStr">
        <is>
          <t>해당 없음</t>
        </is>
      </c>
      <c r="O444" s="29" t="inlineStr">
        <is>
          <t>1050087500.0</t>
        </is>
      </c>
      <c r="P444" s="29" t="inlineStr">
        <is>
          <t>KRW</t>
        </is>
      </c>
      <c r="Q444" s="29" t="inlineStr">
        <is>
          <t>22</t>
        </is>
      </c>
    </row>
    <row r="445" ht="24" customHeight="1">
      <c r="A445" s="24" t="inlineStr">
        <is>
          <t>OpenDART_fnlttSinglAcntAll</t>
        </is>
      </c>
      <c r="B445" s="24" t="inlineStr">
        <is>
          <t>00366942</t>
        </is>
      </c>
      <c r="C445" s="24" t="inlineStr">
        <is>
          <t>미코</t>
        </is>
      </c>
      <c r="D445" s="24" t="inlineStr">
        <is>
          <t>mico</t>
        </is>
      </c>
      <c r="E445" s="24" t="inlineStr">
        <is>
          <t>059090</t>
        </is>
      </c>
      <c r="F445" s="24" t="inlineStr">
        <is>
          <t>2022</t>
        </is>
      </c>
      <c r="G445" s="24" t="inlineStr">
        <is>
          <t>CFS</t>
        </is>
      </c>
      <c r="H445" s="24" t="inlineStr">
        <is>
          <t>SCE</t>
        </is>
      </c>
      <c r="I445" s="24" t="inlineStr">
        <is>
          <t>자본변동표</t>
        </is>
      </c>
      <c r="J445" s="24" t="inlineStr">
        <is>
          <t>-표준계정코드 미사용-</t>
        </is>
      </c>
      <c r="K445" s="24" t="inlineStr">
        <is>
          <t>소유주와의 거래 합계</t>
        </is>
      </c>
      <c r="L445" s="24" t="inlineStr">
        <is>
          <t>자본 [member]|지배기업의 소유주에게 귀속되는 자본 [member]|자본잉여금 [member]</t>
        </is>
      </c>
      <c r="M445" s="24" t="inlineStr">
        <is>
          <t>제 24 기</t>
        </is>
      </c>
      <c r="N445" s="24" t="inlineStr">
        <is>
          <t>7332171038.0</t>
        </is>
      </c>
      <c r="O445" s="24" t="inlineStr">
        <is>
          <t>97570344264.0</t>
        </is>
      </c>
      <c r="P445" s="24" t="inlineStr">
        <is>
          <t>KRW</t>
        </is>
      </c>
      <c r="Q445" s="24" t="inlineStr">
        <is>
          <t>22</t>
        </is>
      </c>
    </row>
    <row r="446" ht="24" customHeight="1">
      <c r="A446" s="29" t="inlineStr">
        <is>
          <t>OpenDART_fnlttSinglAcntAll</t>
        </is>
      </c>
      <c r="B446" s="29" t="inlineStr">
        <is>
          <t>00366942</t>
        </is>
      </c>
      <c r="C446" s="29" t="inlineStr">
        <is>
          <t>미코</t>
        </is>
      </c>
      <c r="D446" s="29" t="inlineStr">
        <is>
          <t>mico</t>
        </is>
      </c>
      <c r="E446" s="29" t="inlineStr">
        <is>
          <t>059090</t>
        </is>
      </c>
      <c r="F446" s="29" t="inlineStr">
        <is>
          <t>2022</t>
        </is>
      </c>
      <c r="G446" s="29" t="inlineStr">
        <is>
          <t>CFS</t>
        </is>
      </c>
      <c r="H446" s="29" t="inlineStr">
        <is>
          <t>SCE</t>
        </is>
      </c>
      <c r="I446" s="29" t="inlineStr">
        <is>
          <t>자본변동표</t>
        </is>
      </c>
      <c r="J446" s="29" t="inlineStr">
        <is>
          <t>ifrs-full_Equity</t>
        </is>
      </c>
      <c r="K446" s="29" t="inlineStr">
        <is>
          <t>기말자본</t>
        </is>
      </c>
      <c r="L446" s="29" t="inlineStr">
        <is>
          <t>연결재무제표 [member]</t>
        </is>
      </c>
      <c r="M446" s="29" t="inlineStr">
        <is>
          <t>제 24 기</t>
        </is>
      </c>
      <c r="N446" s="29" t="inlineStr">
        <is>
          <t>376300039996.0</t>
        </is>
      </c>
      <c r="O446" s="29" t="inlineStr">
        <is>
          <t>372477992952.0</t>
        </is>
      </c>
      <c r="P446" s="29" t="inlineStr">
        <is>
          <t>KRW</t>
        </is>
      </c>
      <c r="Q446" s="29" t="inlineStr">
        <is>
          <t>23</t>
        </is>
      </c>
    </row>
    <row r="447" ht="24" customHeight="1">
      <c r="A447" s="24" t="inlineStr">
        <is>
          <t>OpenDART_fnlttSinglAcntAll</t>
        </is>
      </c>
      <c r="B447" s="24" t="inlineStr">
        <is>
          <t>00366942</t>
        </is>
      </c>
      <c r="C447" s="24" t="inlineStr">
        <is>
          <t>미코</t>
        </is>
      </c>
      <c r="D447" s="24" t="inlineStr">
        <is>
          <t>mico</t>
        </is>
      </c>
      <c r="E447" s="24" t="inlineStr">
        <is>
          <t>059090</t>
        </is>
      </c>
      <c r="F447" s="24" t="inlineStr">
        <is>
          <t>2022</t>
        </is>
      </c>
      <c r="G447" s="24" t="inlineStr">
        <is>
          <t>CFS</t>
        </is>
      </c>
      <c r="H447" s="24" t="inlineStr">
        <is>
          <t>SCE</t>
        </is>
      </c>
      <c r="I447" s="24" t="inlineStr">
        <is>
          <t>자본변동표</t>
        </is>
      </c>
      <c r="J447" s="24" t="inlineStr">
        <is>
          <t>ifrs-full_Equity</t>
        </is>
      </c>
      <c r="K447" s="24" t="inlineStr">
        <is>
          <t>기말자본</t>
        </is>
      </c>
      <c r="L447" s="24" t="inlineStr">
        <is>
          <t>자본 [member]|비지배지분 [member]</t>
        </is>
      </c>
      <c r="M447" s="24" t="inlineStr">
        <is>
          <t>제 24 기</t>
        </is>
      </c>
      <c r="N447" s="24" t="inlineStr">
        <is>
          <t>234487917031.0</t>
        </is>
      </c>
      <c r="O447" s="24" t="inlineStr">
        <is>
          <t>181880741500.0</t>
        </is>
      </c>
      <c r="P447" s="24" t="inlineStr">
        <is>
          <t>KRW</t>
        </is>
      </c>
      <c r="Q447" s="24" t="inlineStr">
        <is>
          <t>23</t>
        </is>
      </c>
    </row>
    <row r="448" ht="24" customHeight="1">
      <c r="A448" s="29" t="inlineStr">
        <is>
          <t>OpenDART_fnlttSinglAcntAll</t>
        </is>
      </c>
      <c r="B448" s="29" t="inlineStr">
        <is>
          <t>00366942</t>
        </is>
      </c>
      <c r="C448" s="29" t="inlineStr">
        <is>
          <t>미코</t>
        </is>
      </c>
      <c r="D448" s="29" t="inlineStr">
        <is>
          <t>mico</t>
        </is>
      </c>
      <c r="E448" s="29" t="inlineStr">
        <is>
          <t>059090</t>
        </is>
      </c>
      <c r="F448" s="29" t="inlineStr">
        <is>
          <t>2022</t>
        </is>
      </c>
      <c r="G448" s="29" t="inlineStr">
        <is>
          <t>CFS</t>
        </is>
      </c>
      <c r="H448" s="29" t="inlineStr">
        <is>
          <t>SCE</t>
        </is>
      </c>
      <c r="I448" s="29" t="inlineStr">
        <is>
          <t>자본변동표</t>
        </is>
      </c>
      <c r="J448" s="29" t="inlineStr">
        <is>
          <t>ifrs-full_Equity</t>
        </is>
      </c>
      <c r="K448" s="29" t="inlineStr">
        <is>
          <t>기말자본</t>
        </is>
      </c>
      <c r="L448" s="29" t="inlineStr">
        <is>
          <t>자본 [member]|지배기업의 소유주에게 귀속되는 자본 [member]</t>
        </is>
      </c>
      <c r="M448" s="29" t="inlineStr">
        <is>
          <t>제 24 기</t>
        </is>
      </c>
      <c r="N448" s="29" t="inlineStr">
        <is>
          <t>141812122965.0</t>
        </is>
      </c>
      <c r="O448" s="29" t="inlineStr">
        <is>
          <t>190597251452.0</t>
        </is>
      </c>
      <c r="P448" s="29" t="inlineStr">
        <is>
          <t>KRW</t>
        </is>
      </c>
      <c r="Q448" s="29" t="inlineStr">
        <is>
          <t>23</t>
        </is>
      </c>
    </row>
    <row r="449" ht="24" customHeight="1">
      <c r="A449" s="24" t="inlineStr">
        <is>
          <t>OpenDART_fnlttSinglAcntAll</t>
        </is>
      </c>
      <c r="B449" s="24" t="inlineStr">
        <is>
          <t>00366942</t>
        </is>
      </c>
      <c r="C449" s="24" t="inlineStr">
        <is>
          <t>미코</t>
        </is>
      </c>
      <c r="D449" s="24" t="inlineStr">
        <is>
          <t>mico</t>
        </is>
      </c>
      <c r="E449" s="24" t="inlineStr">
        <is>
          <t>059090</t>
        </is>
      </c>
      <c r="F449" s="24" t="inlineStr">
        <is>
          <t>2022</t>
        </is>
      </c>
      <c r="G449" s="24" t="inlineStr">
        <is>
          <t>CFS</t>
        </is>
      </c>
      <c r="H449" s="24" t="inlineStr">
        <is>
          <t>SCE</t>
        </is>
      </c>
      <c r="I449" s="24" t="inlineStr">
        <is>
          <t>자본변동표</t>
        </is>
      </c>
      <c r="J449" s="24" t="inlineStr">
        <is>
          <t>ifrs-full_Equity</t>
        </is>
      </c>
      <c r="K449" s="24" t="inlineStr">
        <is>
          <t>기말자본</t>
        </is>
      </c>
      <c r="L449" s="24" t="inlineStr">
        <is>
          <t>자본 [member]|지배기업의 소유주에게 귀속되는 자본 [member]|기타자본구성요소 [member]</t>
        </is>
      </c>
      <c r="M449" s="24" t="inlineStr">
        <is>
          <t>제 24 기</t>
        </is>
      </c>
      <c r="N449" s="24" t="inlineStr">
        <is>
          <t>-38456895906.0</t>
        </is>
      </c>
      <c r="O449" s="24" t="inlineStr">
        <is>
          <t>-34140162498.0</t>
        </is>
      </c>
      <c r="P449" s="24" t="inlineStr">
        <is>
          <t>KRW</t>
        </is>
      </c>
      <c r="Q449" s="24" t="inlineStr">
        <is>
          <t>23</t>
        </is>
      </c>
    </row>
    <row r="450" ht="24" customHeight="1">
      <c r="A450" s="29" t="inlineStr">
        <is>
          <t>OpenDART_fnlttSinglAcntAll</t>
        </is>
      </c>
      <c r="B450" s="29" t="inlineStr">
        <is>
          <t>00366942</t>
        </is>
      </c>
      <c r="C450" s="29" t="inlineStr">
        <is>
          <t>미코</t>
        </is>
      </c>
      <c r="D450" s="29" t="inlineStr">
        <is>
          <t>mico</t>
        </is>
      </c>
      <c r="E450" s="29" t="inlineStr">
        <is>
          <t>059090</t>
        </is>
      </c>
      <c r="F450" s="29" t="inlineStr">
        <is>
          <t>2022</t>
        </is>
      </c>
      <c r="G450" s="29" t="inlineStr">
        <is>
          <t>CFS</t>
        </is>
      </c>
      <c r="H450" s="29" t="inlineStr">
        <is>
          <t>SCE</t>
        </is>
      </c>
      <c r="I450" s="29" t="inlineStr">
        <is>
          <t>자본변동표</t>
        </is>
      </c>
      <c r="J450" s="29" t="inlineStr">
        <is>
          <t>ifrs-full_Equity</t>
        </is>
      </c>
      <c r="K450" s="29" t="inlineStr">
        <is>
          <t>기말자본</t>
        </is>
      </c>
      <c r="L450" s="29" t="inlineStr">
        <is>
          <t>자본 [member]|지배기업의 소유주에게 귀속되는 자본 [member]|기타포괄손익누계액 [member]</t>
        </is>
      </c>
      <c r="M450" s="29" t="inlineStr">
        <is>
          <t>제 24 기</t>
        </is>
      </c>
      <c r="N450" s="29" t="inlineStr">
        <is>
          <t>2578387177.0</t>
        </is>
      </c>
      <c r="O450" s="29" t="inlineStr">
        <is>
          <t>-2035182088.0</t>
        </is>
      </c>
      <c r="P450" s="29" t="inlineStr">
        <is>
          <t>KRW</t>
        </is>
      </c>
      <c r="Q450" s="29" t="inlineStr">
        <is>
          <t>23</t>
        </is>
      </c>
    </row>
    <row r="451" ht="24" customHeight="1">
      <c r="A451" s="24" t="inlineStr">
        <is>
          <t>OpenDART_fnlttSinglAcntAll</t>
        </is>
      </c>
      <c r="B451" s="24" t="inlineStr">
        <is>
          <t>00366942</t>
        </is>
      </c>
      <c r="C451" s="24" t="inlineStr">
        <is>
          <t>미코</t>
        </is>
      </c>
      <c r="D451" s="24" t="inlineStr">
        <is>
          <t>mico</t>
        </is>
      </c>
      <c r="E451" s="24" t="inlineStr">
        <is>
          <t>059090</t>
        </is>
      </c>
      <c r="F451" s="24" t="inlineStr">
        <is>
          <t>2022</t>
        </is>
      </c>
      <c r="G451" s="24" t="inlineStr">
        <is>
          <t>CFS</t>
        </is>
      </c>
      <c r="H451" s="24" t="inlineStr">
        <is>
          <t>SCE</t>
        </is>
      </c>
      <c r="I451" s="24" t="inlineStr">
        <is>
          <t>자본변동표</t>
        </is>
      </c>
      <c r="J451" s="24" t="inlineStr">
        <is>
          <t>ifrs-full_Equity</t>
        </is>
      </c>
      <c r="K451" s="24" t="inlineStr">
        <is>
          <t>기말자본</t>
        </is>
      </c>
      <c r="L451" s="24" t="inlineStr">
        <is>
          <t>자본 [member]|지배기업의 소유주에게 귀속되는 자본 [member]|이익잉여금 [member]</t>
        </is>
      </c>
      <c r="M451" s="24" t="inlineStr">
        <is>
          <t>제 24 기</t>
        </is>
      </c>
      <c r="N451" s="24" t="inlineStr">
        <is>
          <t>-36931887394.0</t>
        </is>
      </c>
      <c r="O451" s="24" t="inlineStr">
        <is>
          <t>19482247988.0</t>
        </is>
      </c>
      <c r="P451" s="24" t="inlineStr">
        <is>
          <t>KRW</t>
        </is>
      </c>
      <c r="Q451" s="24" t="inlineStr">
        <is>
          <t>23</t>
        </is>
      </c>
    </row>
    <row r="452" ht="24" customHeight="1">
      <c r="A452" s="29" t="inlineStr">
        <is>
          <t>OpenDART_fnlttSinglAcntAll</t>
        </is>
      </c>
      <c r="B452" s="29" t="inlineStr">
        <is>
          <t>00366942</t>
        </is>
      </c>
      <c r="C452" s="29" t="inlineStr">
        <is>
          <t>미코</t>
        </is>
      </c>
      <c r="D452" s="29" t="inlineStr">
        <is>
          <t>mico</t>
        </is>
      </c>
      <c r="E452" s="29" t="inlineStr">
        <is>
          <t>059090</t>
        </is>
      </c>
      <c r="F452" s="29" t="inlineStr">
        <is>
          <t>2022</t>
        </is>
      </c>
      <c r="G452" s="29" t="inlineStr">
        <is>
          <t>CFS</t>
        </is>
      </c>
      <c r="H452" s="29" t="inlineStr">
        <is>
          <t>SCE</t>
        </is>
      </c>
      <c r="I452" s="29" t="inlineStr">
        <is>
          <t>자본변동표</t>
        </is>
      </c>
      <c r="J452" s="29" t="inlineStr">
        <is>
          <t>ifrs-full_Equity</t>
        </is>
      </c>
      <c r="K452" s="29" t="inlineStr">
        <is>
          <t>기말자본</t>
        </is>
      </c>
      <c r="L452" s="29" t="inlineStr">
        <is>
          <t>자본 [member]|지배기업의 소유주에게 귀속되는 자본 [member]|자본금 [member]</t>
        </is>
      </c>
      <c r="M452" s="29" t="inlineStr">
        <is>
          <t>제 24 기</t>
        </is>
      </c>
      <c r="N452" s="29" t="inlineStr">
        <is>
          <t>16708389000.0</t>
        </is>
      </c>
      <c r="O452" s="29" t="inlineStr">
        <is>
          <t>16708389000.0</t>
        </is>
      </c>
      <c r="P452" s="29" t="inlineStr">
        <is>
          <t>KRW</t>
        </is>
      </c>
      <c r="Q452" s="29" t="inlineStr">
        <is>
          <t>23</t>
        </is>
      </c>
    </row>
    <row r="453" ht="24" customHeight="1">
      <c r="A453" s="24" t="inlineStr">
        <is>
          <t>OpenDART_fnlttSinglAcntAll</t>
        </is>
      </c>
      <c r="B453" s="24" t="inlineStr">
        <is>
          <t>00366942</t>
        </is>
      </c>
      <c r="C453" s="24" t="inlineStr">
        <is>
          <t>미코</t>
        </is>
      </c>
      <c r="D453" s="24" t="inlineStr">
        <is>
          <t>mico</t>
        </is>
      </c>
      <c r="E453" s="24" t="inlineStr">
        <is>
          <t>059090</t>
        </is>
      </c>
      <c r="F453" s="24" t="inlineStr">
        <is>
          <t>2022</t>
        </is>
      </c>
      <c r="G453" s="24" t="inlineStr">
        <is>
          <t>CFS</t>
        </is>
      </c>
      <c r="H453" s="24" t="inlineStr">
        <is>
          <t>SCE</t>
        </is>
      </c>
      <c r="I453" s="24" t="inlineStr">
        <is>
          <t>자본변동표</t>
        </is>
      </c>
      <c r="J453" s="24" t="inlineStr">
        <is>
          <t>ifrs-full_Equity</t>
        </is>
      </c>
      <c r="K453" s="24" t="inlineStr">
        <is>
          <t>기말자본</t>
        </is>
      </c>
      <c r="L453" s="24" t="inlineStr">
        <is>
          <t>자본 [member]|지배기업의 소유주에게 귀속되는 자본 [member]|자본잉여금 [member]</t>
        </is>
      </c>
      <c r="M453" s="24" t="inlineStr">
        <is>
          <t>제 24 기</t>
        </is>
      </c>
      <c r="N453" s="24" t="inlineStr">
        <is>
          <t>197914130088.0</t>
        </is>
      </c>
      <c r="O453" s="24" t="inlineStr">
        <is>
          <t>190581959050.0</t>
        </is>
      </c>
      <c r="P453" s="24" t="inlineStr">
        <is>
          <t>KRW</t>
        </is>
      </c>
      <c r="Q453" s="24" t="inlineStr">
        <is>
          <t>23</t>
        </is>
      </c>
    </row>
    <row r="454" ht="24" customHeight="1">
      <c r="A454" s="29" t="inlineStr">
        <is>
          <t>OpenDART_fnlttSinglAcntAll</t>
        </is>
      </c>
      <c r="B454" s="29" t="inlineStr">
        <is>
          <t>00366942</t>
        </is>
      </c>
      <c r="C454" s="29" t="inlineStr">
        <is>
          <t>미코</t>
        </is>
      </c>
      <c r="D454" s="29" t="inlineStr">
        <is>
          <t>mico</t>
        </is>
      </c>
      <c r="E454" s="29" t="inlineStr">
        <is>
          <t>059090</t>
        </is>
      </c>
      <c r="F454" s="29" t="inlineStr">
        <is>
          <t>2023</t>
        </is>
      </c>
      <c r="G454" s="29" t="inlineStr">
        <is>
          <t>CFS</t>
        </is>
      </c>
      <c r="H454" s="29" t="inlineStr">
        <is>
          <t>BS</t>
        </is>
      </c>
      <c r="I454" s="29" t="inlineStr">
        <is>
          <t>재무상태표</t>
        </is>
      </c>
      <c r="J454" s="29" t="inlineStr">
        <is>
          <t>ifrs-full_Assets</t>
        </is>
      </c>
      <c r="K454" s="29" t="inlineStr">
        <is>
          <t>자산총계</t>
        </is>
      </c>
      <c r="L454" s="29" t="inlineStr">
        <is>
          <t>-</t>
        </is>
      </c>
      <c r="M454" s="29" t="inlineStr">
        <is>
          <t>제 25 기</t>
        </is>
      </c>
      <c r="N454" s="29" t="inlineStr">
        <is>
          <t>833895121319.0</t>
        </is>
      </c>
      <c r="O454" s="29" t="inlineStr">
        <is>
          <t>731153086148.0</t>
        </is>
      </c>
      <c r="P454" s="29" t="inlineStr">
        <is>
          <t>KRW</t>
        </is>
      </c>
      <c r="Q454" s="29" t="inlineStr">
        <is>
          <t>7</t>
        </is>
      </c>
    </row>
    <row r="455" ht="24" customHeight="1">
      <c r="A455" s="24" t="inlineStr">
        <is>
          <t>OpenDART_fnlttSinglAcntAll</t>
        </is>
      </c>
      <c r="B455" s="24" t="inlineStr">
        <is>
          <t>00366942</t>
        </is>
      </c>
      <c r="C455" s="24" t="inlineStr">
        <is>
          <t>미코</t>
        </is>
      </c>
      <c r="D455" s="24" t="inlineStr">
        <is>
          <t>mico</t>
        </is>
      </c>
      <c r="E455" s="24" t="inlineStr">
        <is>
          <t>059090</t>
        </is>
      </c>
      <c r="F455" s="24" t="inlineStr">
        <is>
          <t>2023</t>
        </is>
      </c>
      <c r="G455" s="24" t="inlineStr">
        <is>
          <t>CFS</t>
        </is>
      </c>
      <c r="H455" s="24" t="inlineStr">
        <is>
          <t>BS</t>
        </is>
      </c>
      <c r="I455" s="24" t="inlineStr">
        <is>
          <t>재무상태표</t>
        </is>
      </c>
      <c r="J455" s="24" t="inlineStr">
        <is>
          <t>ifrs-full_CurrentAssets</t>
        </is>
      </c>
      <c r="K455" s="24" t="inlineStr">
        <is>
          <t>유동자산</t>
        </is>
      </c>
      <c r="L455" s="24" t="inlineStr">
        <is>
          <t>-</t>
        </is>
      </c>
      <c r="M455" s="24" t="inlineStr">
        <is>
          <t>제 25 기</t>
        </is>
      </c>
      <c r="N455" s="24" t="inlineStr">
        <is>
          <t>371223182196.0</t>
        </is>
      </c>
      <c r="O455" s="24" t="inlineStr">
        <is>
          <t>302343352339.0</t>
        </is>
      </c>
      <c r="P455" s="24" t="inlineStr">
        <is>
          <t>KRW</t>
        </is>
      </c>
      <c r="Q455" s="24" t="inlineStr">
        <is>
          <t>8</t>
        </is>
      </c>
    </row>
    <row r="456" ht="24" customHeight="1">
      <c r="A456" s="29" t="inlineStr">
        <is>
          <t>OpenDART_fnlttSinglAcntAll</t>
        </is>
      </c>
      <c r="B456" s="29" t="inlineStr">
        <is>
          <t>00366942</t>
        </is>
      </c>
      <c r="C456" s="29" t="inlineStr">
        <is>
          <t>미코</t>
        </is>
      </c>
      <c r="D456" s="29" t="inlineStr">
        <is>
          <t>mico</t>
        </is>
      </c>
      <c r="E456" s="29" t="inlineStr">
        <is>
          <t>059090</t>
        </is>
      </c>
      <c r="F456" s="29" t="inlineStr">
        <is>
          <t>2023</t>
        </is>
      </c>
      <c r="G456" s="29" t="inlineStr">
        <is>
          <t>CFS</t>
        </is>
      </c>
      <c r="H456" s="29" t="inlineStr">
        <is>
          <t>BS</t>
        </is>
      </c>
      <c r="I456" s="29" t="inlineStr">
        <is>
          <t>재무상태표</t>
        </is>
      </c>
      <c r="J456" s="29" t="inlineStr">
        <is>
          <t>ifrs-full_CashAndCashEquivalents</t>
        </is>
      </c>
      <c r="K456" s="29" t="inlineStr">
        <is>
          <t>현금및현금성자산</t>
        </is>
      </c>
      <c r="L456" s="29" t="inlineStr">
        <is>
          <t>-</t>
        </is>
      </c>
      <c r="M456" s="29" t="inlineStr">
        <is>
          <t>제 25 기</t>
        </is>
      </c>
      <c r="N456" s="29" t="inlineStr">
        <is>
          <t>170532361522.0</t>
        </is>
      </c>
      <c r="O456" s="29" t="inlineStr">
        <is>
          <t>131960647862.0</t>
        </is>
      </c>
      <c r="P456" s="29" t="inlineStr">
        <is>
          <t>KRW</t>
        </is>
      </c>
      <c r="Q456" s="29" t="inlineStr">
        <is>
          <t>9</t>
        </is>
      </c>
    </row>
    <row r="457" ht="24" customHeight="1">
      <c r="A457" s="24" t="inlineStr">
        <is>
          <t>OpenDART_fnlttSinglAcntAll</t>
        </is>
      </c>
      <c r="B457" s="24" t="inlineStr">
        <is>
          <t>00366942</t>
        </is>
      </c>
      <c r="C457" s="24" t="inlineStr">
        <is>
          <t>미코</t>
        </is>
      </c>
      <c r="D457" s="24" t="inlineStr">
        <is>
          <t>mico</t>
        </is>
      </c>
      <c r="E457" s="24" t="inlineStr">
        <is>
          <t>059090</t>
        </is>
      </c>
      <c r="F457" s="24" t="inlineStr">
        <is>
          <t>2023</t>
        </is>
      </c>
      <c r="G457" s="24" t="inlineStr">
        <is>
          <t>CFS</t>
        </is>
      </c>
      <c r="H457" s="24" t="inlineStr">
        <is>
          <t>BS</t>
        </is>
      </c>
      <c r="I457" s="24" t="inlineStr">
        <is>
          <t>재무상태표</t>
        </is>
      </c>
      <c r="J457" s="24" t="inlineStr">
        <is>
          <t>ifrs-full_CurrentTaxAssets</t>
        </is>
      </c>
      <c r="K457" s="24" t="inlineStr">
        <is>
          <t>당기법인세자산</t>
        </is>
      </c>
      <c r="L457" s="24" t="inlineStr">
        <is>
          <t>-</t>
        </is>
      </c>
      <c r="M457" s="24" t="inlineStr">
        <is>
          <t>제 25 기</t>
        </is>
      </c>
      <c r="N457" s="24" t="inlineStr">
        <is>
          <t>244762.0</t>
        </is>
      </c>
      <c r="O457" s="24" t="inlineStr">
        <is>
          <t>79765340.0</t>
        </is>
      </c>
      <c r="P457" s="24" t="inlineStr">
        <is>
          <t>KRW</t>
        </is>
      </c>
      <c r="Q457" s="24" t="inlineStr">
        <is>
          <t>10</t>
        </is>
      </c>
    </row>
    <row r="458" ht="24" customHeight="1">
      <c r="A458" s="29" t="inlineStr">
        <is>
          <t>OpenDART_fnlttSinglAcntAll</t>
        </is>
      </c>
      <c r="B458" s="29" t="inlineStr">
        <is>
          <t>00366942</t>
        </is>
      </c>
      <c r="C458" s="29" t="inlineStr">
        <is>
          <t>미코</t>
        </is>
      </c>
      <c r="D458" s="29" t="inlineStr">
        <is>
          <t>mico</t>
        </is>
      </c>
      <c r="E458" s="29" t="inlineStr">
        <is>
          <t>059090</t>
        </is>
      </c>
      <c r="F458" s="29" t="inlineStr">
        <is>
          <t>2023</t>
        </is>
      </c>
      <c r="G458" s="29" t="inlineStr">
        <is>
          <t>CFS</t>
        </is>
      </c>
      <c r="H458" s="29" t="inlineStr">
        <is>
          <t>BS</t>
        </is>
      </c>
      <c r="I458" s="29" t="inlineStr">
        <is>
          <t>재무상태표</t>
        </is>
      </c>
      <c r="J458" s="29" t="inlineStr">
        <is>
          <t>ifrs-full_Inventories</t>
        </is>
      </c>
      <c r="K458" s="29" t="inlineStr">
        <is>
          <t>재고자산</t>
        </is>
      </c>
      <c r="L458" s="29" t="inlineStr">
        <is>
          <t>-</t>
        </is>
      </c>
      <c r="M458" s="29" t="inlineStr">
        <is>
          <t>제 25 기</t>
        </is>
      </c>
      <c r="N458" s="29" t="inlineStr">
        <is>
          <t>57251878396.0</t>
        </is>
      </c>
      <c r="O458" s="29" t="inlineStr">
        <is>
          <t>44794051247.0</t>
        </is>
      </c>
      <c r="P458" s="29" t="inlineStr">
        <is>
          <t>KRW</t>
        </is>
      </c>
      <c r="Q458" s="29" t="inlineStr">
        <is>
          <t>11</t>
        </is>
      </c>
    </row>
    <row r="459" ht="24" customHeight="1">
      <c r="A459" s="24" t="inlineStr">
        <is>
          <t>OpenDART_fnlttSinglAcntAll</t>
        </is>
      </c>
      <c r="B459" s="24" t="inlineStr">
        <is>
          <t>00366942</t>
        </is>
      </c>
      <c r="C459" s="24" t="inlineStr">
        <is>
          <t>미코</t>
        </is>
      </c>
      <c r="D459" s="24" t="inlineStr">
        <is>
          <t>mico</t>
        </is>
      </c>
      <c r="E459" s="24" t="inlineStr">
        <is>
          <t>059090</t>
        </is>
      </c>
      <c r="F459" s="24" t="inlineStr">
        <is>
          <t>2023</t>
        </is>
      </c>
      <c r="G459" s="24" t="inlineStr">
        <is>
          <t>CFS</t>
        </is>
      </c>
      <c r="H459" s="24" t="inlineStr">
        <is>
          <t>BS</t>
        </is>
      </c>
      <c r="I459" s="24" t="inlineStr">
        <is>
          <t>재무상태표</t>
        </is>
      </c>
      <c r="J459" s="24" t="inlineStr">
        <is>
          <t>ifrs-full_NoncurrentAssetsOrDisposalGroupsClassifiedAsHeldForSaleOrAsHeldForDistributionToOwners</t>
        </is>
      </c>
      <c r="K459" s="24" t="inlineStr">
        <is>
          <t>매각예정비유동자산</t>
        </is>
      </c>
      <c r="L459" s="24" t="inlineStr">
        <is>
          <t>-</t>
        </is>
      </c>
      <c r="M459" s="24" t="inlineStr">
        <is>
          <t>제 25 기</t>
        </is>
      </c>
      <c r="N459" s="24" t="inlineStr">
        <is>
          <t>1976000000.0</t>
        </is>
      </c>
      <c r="O459" s="24" t="inlineStr">
        <is>
          <t>14013416671.0</t>
        </is>
      </c>
      <c r="P459" s="24" t="inlineStr">
        <is>
          <t>KRW</t>
        </is>
      </c>
      <c r="Q459" s="24" t="inlineStr">
        <is>
          <t>12</t>
        </is>
      </c>
    </row>
    <row r="460" ht="24" customHeight="1">
      <c r="A460" s="29" t="inlineStr">
        <is>
          <t>OpenDART_fnlttSinglAcntAll</t>
        </is>
      </c>
      <c r="B460" s="29" t="inlineStr">
        <is>
          <t>00366942</t>
        </is>
      </c>
      <c r="C460" s="29" t="inlineStr">
        <is>
          <t>미코</t>
        </is>
      </c>
      <c r="D460" s="29" t="inlineStr">
        <is>
          <t>mico</t>
        </is>
      </c>
      <c r="E460" s="29" t="inlineStr">
        <is>
          <t>059090</t>
        </is>
      </c>
      <c r="F460" s="29" t="inlineStr">
        <is>
          <t>2023</t>
        </is>
      </c>
      <c r="G460" s="29" t="inlineStr">
        <is>
          <t>CFS</t>
        </is>
      </c>
      <c r="H460" s="29" t="inlineStr">
        <is>
          <t>BS</t>
        </is>
      </c>
      <c r="I460" s="29" t="inlineStr">
        <is>
          <t>재무상태표</t>
        </is>
      </c>
      <c r="J460" s="29" t="inlineStr">
        <is>
          <t>ifrs-full_OtherCurrentAssets</t>
        </is>
      </c>
      <c r="K460" s="29" t="inlineStr">
        <is>
          <t>기타유동자산</t>
        </is>
      </c>
      <c r="L460" s="29" t="inlineStr">
        <is>
          <t>-</t>
        </is>
      </c>
      <c r="M460" s="29" t="inlineStr">
        <is>
          <t>제 25 기</t>
        </is>
      </c>
      <c r="N460" s="29" t="inlineStr">
        <is>
          <t>2693623474.0</t>
        </is>
      </c>
      <c r="O460" s="29" t="inlineStr">
        <is>
          <t>2745163468.0</t>
        </is>
      </c>
      <c r="P460" s="29" t="inlineStr">
        <is>
          <t>KRW</t>
        </is>
      </c>
      <c r="Q460" s="29" t="inlineStr">
        <is>
          <t>13</t>
        </is>
      </c>
    </row>
    <row r="461" ht="24" customHeight="1">
      <c r="A461" s="24" t="inlineStr">
        <is>
          <t>OpenDART_fnlttSinglAcntAll</t>
        </is>
      </c>
      <c r="B461" s="24" t="inlineStr">
        <is>
          <t>00366942</t>
        </is>
      </c>
      <c r="C461" s="24" t="inlineStr">
        <is>
          <t>미코</t>
        </is>
      </c>
      <c r="D461" s="24" t="inlineStr">
        <is>
          <t>mico</t>
        </is>
      </c>
      <c r="E461" s="24" t="inlineStr">
        <is>
          <t>059090</t>
        </is>
      </c>
      <c r="F461" s="24" t="inlineStr">
        <is>
          <t>2023</t>
        </is>
      </c>
      <c r="G461" s="24" t="inlineStr">
        <is>
          <t>CFS</t>
        </is>
      </c>
      <c r="H461" s="24" t="inlineStr">
        <is>
          <t>BS</t>
        </is>
      </c>
      <c r="I461" s="24" t="inlineStr">
        <is>
          <t>재무상태표</t>
        </is>
      </c>
      <c r="J461" s="24" t="inlineStr">
        <is>
          <t>ifrs-full_OtherCurrentFinancialAssets</t>
        </is>
      </c>
      <c r="K461" s="24" t="inlineStr">
        <is>
          <t>기타유동금융자산</t>
        </is>
      </c>
      <c r="L461" s="24" t="inlineStr">
        <is>
          <t>-</t>
        </is>
      </c>
      <c r="M461" s="24" t="inlineStr">
        <is>
          <t>제 25 기</t>
        </is>
      </c>
      <c r="N461" s="24" t="inlineStr">
        <is>
          <t>35627840000.0</t>
        </is>
      </c>
      <c r="O461" s="24" t="inlineStr">
        <is>
          <t>49392202446.0</t>
        </is>
      </c>
      <c r="P461" s="24" t="inlineStr">
        <is>
          <t>KRW</t>
        </is>
      </c>
      <c r="Q461" s="24" t="inlineStr">
        <is>
          <t>14</t>
        </is>
      </c>
    </row>
    <row r="462" ht="24" customHeight="1">
      <c r="A462" s="29" t="inlineStr">
        <is>
          <t>OpenDART_fnlttSinglAcntAll</t>
        </is>
      </c>
      <c r="B462" s="29" t="inlineStr">
        <is>
          <t>00366942</t>
        </is>
      </c>
      <c r="C462" s="29" t="inlineStr">
        <is>
          <t>미코</t>
        </is>
      </c>
      <c r="D462" s="29" t="inlineStr">
        <is>
          <t>mico</t>
        </is>
      </c>
      <c r="E462" s="29" t="inlineStr">
        <is>
          <t>059090</t>
        </is>
      </c>
      <c r="F462" s="29" t="inlineStr">
        <is>
          <t>2023</t>
        </is>
      </c>
      <c r="G462" s="29" t="inlineStr">
        <is>
          <t>CFS</t>
        </is>
      </c>
      <c r="H462" s="29" t="inlineStr">
        <is>
          <t>BS</t>
        </is>
      </c>
      <c r="I462" s="29" t="inlineStr">
        <is>
          <t>재무상태표</t>
        </is>
      </c>
      <c r="J462" s="29" t="inlineStr">
        <is>
          <t>ifrs-full_TradeAndOtherCurrentReceivables</t>
        </is>
      </c>
      <c r="K462" s="29" t="inlineStr">
        <is>
          <t>매출채권 및 기타유동채권</t>
        </is>
      </c>
      <c r="L462" s="29" t="inlineStr">
        <is>
          <t>-</t>
        </is>
      </c>
      <c r="M462" s="29" t="inlineStr">
        <is>
          <t>제 25 기</t>
        </is>
      </c>
      <c r="N462" s="29" t="inlineStr">
        <is>
          <t>103141234042.0</t>
        </is>
      </c>
      <c r="O462" s="29" t="inlineStr">
        <is>
          <t>59358105305.0</t>
        </is>
      </c>
      <c r="P462" s="29" t="inlineStr">
        <is>
          <t>KRW</t>
        </is>
      </c>
      <c r="Q462" s="29" t="inlineStr">
        <is>
          <t>15</t>
        </is>
      </c>
    </row>
    <row r="463" ht="24" customHeight="1">
      <c r="A463" s="24" t="inlineStr">
        <is>
          <t>OpenDART_fnlttSinglAcntAll</t>
        </is>
      </c>
      <c r="B463" s="24" t="inlineStr">
        <is>
          <t>00366942</t>
        </is>
      </c>
      <c r="C463" s="24" t="inlineStr">
        <is>
          <t>미코</t>
        </is>
      </c>
      <c r="D463" s="24" t="inlineStr">
        <is>
          <t>mico</t>
        </is>
      </c>
      <c r="E463" s="24" t="inlineStr">
        <is>
          <t>059090</t>
        </is>
      </c>
      <c r="F463" s="24" t="inlineStr">
        <is>
          <t>2023</t>
        </is>
      </c>
      <c r="G463" s="24" t="inlineStr">
        <is>
          <t>CFS</t>
        </is>
      </c>
      <c r="H463" s="24" t="inlineStr">
        <is>
          <t>BS</t>
        </is>
      </c>
      <c r="I463" s="24" t="inlineStr">
        <is>
          <t>재무상태표</t>
        </is>
      </c>
      <c r="J463" s="24" t="inlineStr">
        <is>
          <t>ifrs-full_NoncurrentAssets</t>
        </is>
      </c>
      <c r="K463" s="24" t="inlineStr">
        <is>
          <t>비유동자산</t>
        </is>
      </c>
      <c r="L463" s="24" t="inlineStr">
        <is>
          <t>-</t>
        </is>
      </c>
      <c r="M463" s="24" t="inlineStr">
        <is>
          <t>제 25 기</t>
        </is>
      </c>
      <c r="N463" s="24" t="inlineStr">
        <is>
          <t>462671939123.0</t>
        </is>
      </c>
      <c r="O463" s="24" t="inlineStr">
        <is>
          <t>428809733809.0</t>
        </is>
      </c>
      <c r="P463" s="24" t="inlineStr">
        <is>
          <t>KRW</t>
        </is>
      </c>
      <c r="Q463" s="24" t="inlineStr">
        <is>
          <t>16</t>
        </is>
      </c>
    </row>
    <row r="464" ht="24" customHeight="1">
      <c r="A464" s="29" t="inlineStr">
        <is>
          <t>OpenDART_fnlttSinglAcntAll</t>
        </is>
      </c>
      <c r="B464" s="29" t="inlineStr">
        <is>
          <t>00366942</t>
        </is>
      </c>
      <c r="C464" s="29" t="inlineStr">
        <is>
          <t>미코</t>
        </is>
      </c>
      <c r="D464" s="29" t="inlineStr">
        <is>
          <t>mico</t>
        </is>
      </c>
      <c r="E464" s="29" t="inlineStr">
        <is>
          <t>059090</t>
        </is>
      </c>
      <c r="F464" s="29" t="inlineStr">
        <is>
          <t>2023</t>
        </is>
      </c>
      <c r="G464" s="29" t="inlineStr">
        <is>
          <t>CFS</t>
        </is>
      </c>
      <c r="H464" s="29" t="inlineStr">
        <is>
          <t>BS</t>
        </is>
      </c>
      <c r="I464" s="29" t="inlineStr">
        <is>
          <t>재무상태표</t>
        </is>
      </c>
      <c r="J464" s="29" t="inlineStr">
        <is>
          <t>dart_InvestedAssetForPostemploymentBenefit</t>
        </is>
      </c>
      <c r="K464" s="29" t="inlineStr">
        <is>
          <t>확정급여자산</t>
        </is>
      </c>
      <c r="L464" s="29" t="inlineStr">
        <is>
          <t>-</t>
        </is>
      </c>
      <c r="M464" s="29" t="inlineStr">
        <is>
          <t>제 25 기</t>
        </is>
      </c>
      <c r="N464" s="29" t="inlineStr">
        <is>
          <t>132208625.0</t>
        </is>
      </c>
      <c r="O464" s="29" t="inlineStr">
        <is>
          <t>해당 없음</t>
        </is>
      </c>
      <c r="P464" s="29" t="inlineStr">
        <is>
          <t>KRW</t>
        </is>
      </c>
      <c r="Q464" s="29" t="inlineStr">
        <is>
          <t>17</t>
        </is>
      </c>
    </row>
    <row r="465" ht="24" customHeight="1">
      <c r="A465" s="24" t="inlineStr">
        <is>
          <t>OpenDART_fnlttSinglAcntAll</t>
        </is>
      </c>
      <c r="B465" s="24" t="inlineStr">
        <is>
          <t>00366942</t>
        </is>
      </c>
      <c r="C465" s="24" t="inlineStr">
        <is>
          <t>미코</t>
        </is>
      </c>
      <c r="D465" s="24" t="inlineStr">
        <is>
          <t>mico</t>
        </is>
      </c>
      <c r="E465" s="24" t="inlineStr">
        <is>
          <t>059090</t>
        </is>
      </c>
      <c r="F465" s="24" t="inlineStr">
        <is>
          <t>2023</t>
        </is>
      </c>
      <c r="G465" s="24" t="inlineStr">
        <is>
          <t>CFS</t>
        </is>
      </c>
      <c r="H465" s="24" t="inlineStr">
        <is>
          <t>BS</t>
        </is>
      </c>
      <c r="I465" s="24" t="inlineStr">
        <is>
          <t>재무상태표</t>
        </is>
      </c>
      <c r="J465" s="24" t="inlineStr">
        <is>
          <t>dart_LongTermTradeAndOtherNonCurrentReceivablesGross</t>
        </is>
      </c>
      <c r="K465" s="24" t="inlineStr">
        <is>
          <t>장기매출채권 및 기타비유동채권</t>
        </is>
      </c>
      <c r="L465" s="24" t="inlineStr">
        <is>
          <t>-</t>
        </is>
      </c>
      <c r="M465" s="24" t="inlineStr">
        <is>
          <t>제 25 기</t>
        </is>
      </c>
      <c r="N465" s="24" t="inlineStr">
        <is>
          <t>6510496281.0</t>
        </is>
      </c>
      <c r="O465" s="24" t="inlineStr">
        <is>
          <t>2857803819.0</t>
        </is>
      </c>
      <c r="P465" s="24" t="inlineStr">
        <is>
          <t>KRW</t>
        </is>
      </c>
      <c r="Q465" s="24" t="inlineStr">
        <is>
          <t>18</t>
        </is>
      </c>
    </row>
    <row r="466" ht="24" customHeight="1">
      <c r="A466" s="29" t="inlineStr">
        <is>
          <t>OpenDART_fnlttSinglAcntAll</t>
        </is>
      </c>
      <c r="B466" s="29" t="inlineStr">
        <is>
          <t>00366942</t>
        </is>
      </c>
      <c r="C466" s="29" t="inlineStr">
        <is>
          <t>미코</t>
        </is>
      </c>
      <c r="D466" s="29" t="inlineStr">
        <is>
          <t>mico</t>
        </is>
      </c>
      <c r="E466" s="29" t="inlineStr">
        <is>
          <t>059090</t>
        </is>
      </c>
      <c r="F466" s="29" t="inlineStr">
        <is>
          <t>2023</t>
        </is>
      </c>
      <c r="G466" s="29" t="inlineStr">
        <is>
          <t>CFS</t>
        </is>
      </c>
      <c r="H466" s="29" t="inlineStr">
        <is>
          <t>BS</t>
        </is>
      </c>
      <c r="I466" s="29" t="inlineStr">
        <is>
          <t>재무상태표</t>
        </is>
      </c>
      <c r="J466" s="29" t="inlineStr">
        <is>
          <t>-표준계정코드 미사용-</t>
        </is>
      </c>
      <c r="K466" s="29" t="inlineStr">
        <is>
          <t>관계기업투자</t>
        </is>
      </c>
      <c r="L466" s="29" t="inlineStr">
        <is>
          <t>-</t>
        </is>
      </c>
      <c r="M466" s="29" t="inlineStr">
        <is>
          <t>제 25 기</t>
        </is>
      </c>
      <c r="N466" s="29" t="inlineStr">
        <is>
          <t>22927278005.0</t>
        </is>
      </c>
      <c r="O466" s="29" t="inlineStr">
        <is>
          <t>23894940152.0</t>
        </is>
      </c>
      <c r="P466" s="29" t="inlineStr">
        <is>
          <t>KRW</t>
        </is>
      </c>
      <c r="Q466" s="29" t="inlineStr">
        <is>
          <t>19</t>
        </is>
      </c>
    </row>
    <row r="467" ht="24" customHeight="1">
      <c r="A467" s="24" t="inlineStr">
        <is>
          <t>OpenDART_fnlttSinglAcntAll</t>
        </is>
      </c>
      <c r="B467" s="24" t="inlineStr">
        <is>
          <t>00366942</t>
        </is>
      </c>
      <c r="C467" s="24" t="inlineStr">
        <is>
          <t>미코</t>
        </is>
      </c>
      <c r="D467" s="24" t="inlineStr">
        <is>
          <t>mico</t>
        </is>
      </c>
      <c r="E467" s="24" t="inlineStr">
        <is>
          <t>059090</t>
        </is>
      </c>
      <c r="F467" s="24" t="inlineStr">
        <is>
          <t>2023</t>
        </is>
      </c>
      <c r="G467" s="24" t="inlineStr">
        <is>
          <t>CFS</t>
        </is>
      </c>
      <c r="H467" s="24" t="inlineStr">
        <is>
          <t>BS</t>
        </is>
      </c>
      <c r="I467" s="24" t="inlineStr">
        <is>
          <t>재무상태표</t>
        </is>
      </c>
      <c r="J467" s="24" t="inlineStr">
        <is>
          <t>ifrs-full_DeferredTaxAssets</t>
        </is>
      </c>
      <c r="K467" s="24" t="inlineStr">
        <is>
          <t>이연법인세자산</t>
        </is>
      </c>
      <c r="L467" s="24" t="inlineStr">
        <is>
          <t>-</t>
        </is>
      </c>
      <c r="M467" s="24" t="inlineStr">
        <is>
          <t>제 25 기</t>
        </is>
      </c>
      <c r="N467" s="24" t="inlineStr">
        <is>
          <t>11639311371.0</t>
        </is>
      </c>
      <c r="O467" s="24" t="inlineStr">
        <is>
          <t>10835583702.0</t>
        </is>
      </c>
      <c r="P467" s="24" t="inlineStr">
        <is>
          <t>KRW</t>
        </is>
      </c>
      <c r="Q467" s="24" t="inlineStr">
        <is>
          <t>20</t>
        </is>
      </c>
    </row>
    <row r="468" ht="24" customHeight="1">
      <c r="A468" s="29" t="inlineStr">
        <is>
          <t>OpenDART_fnlttSinglAcntAll</t>
        </is>
      </c>
      <c r="B468" s="29" t="inlineStr">
        <is>
          <t>00366942</t>
        </is>
      </c>
      <c r="C468" s="29" t="inlineStr">
        <is>
          <t>미코</t>
        </is>
      </c>
      <c r="D468" s="29" t="inlineStr">
        <is>
          <t>mico</t>
        </is>
      </c>
      <c r="E468" s="29" t="inlineStr">
        <is>
          <t>059090</t>
        </is>
      </c>
      <c r="F468" s="29" t="inlineStr">
        <is>
          <t>2023</t>
        </is>
      </c>
      <c r="G468" s="29" t="inlineStr">
        <is>
          <t>CFS</t>
        </is>
      </c>
      <c r="H468" s="29" t="inlineStr">
        <is>
          <t>BS</t>
        </is>
      </c>
      <c r="I468" s="29" t="inlineStr">
        <is>
          <t>재무상태표</t>
        </is>
      </c>
      <c r="J468" s="29" t="inlineStr">
        <is>
          <t>ifrs-full_IntangibleAssetsOtherThanGoodwill</t>
        </is>
      </c>
      <c r="K468" s="29" t="inlineStr">
        <is>
          <t>무형자산</t>
        </is>
      </c>
      <c r="L468" s="29" t="inlineStr">
        <is>
          <t>-</t>
        </is>
      </c>
      <c r="M468" s="29" t="inlineStr">
        <is>
          <t>제 25 기</t>
        </is>
      </c>
      <c r="N468" s="29" t="inlineStr">
        <is>
          <t>9557272048.0</t>
        </is>
      </c>
      <c r="O468" s="29" t="inlineStr">
        <is>
          <t>12363396652.0</t>
        </is>
      </c>
      <c r="P468" s="29" t="inlineStr">
        <is>
          <t>KRW</t>
        </is>
      </c>
      <c r="Q468" s="29" t="inlineStr">
        <is>
          <t>21</t>
        </is>
      </c>
    </row>
    <row r="469" ht="24" customHeight="1">
      <c r="A469" s="24" t="inlineStr">
        <is>
          <t>OpenDART_fnlttSinglAcntAll</t>
        </is>
      </c>
      <c r="B469" s="24" t="inlineStr">
        <is>
          <t>00366942</t>
        </is>
      </c>
      <c r="C469" s="24" t="inlineStr">
        <is>
          <t>미코</t>
        </is>
      </c>
      <c r="D469" s="24" t="inlineStr">
        <is>
          <t>mico</t>
        </is>
      </c>
      <c r="E469" s="24" t="inlineStr">
        <is>
          <t>059090</t>
        </is>
      </c>
      <c r="F469" s="24" t="inlineStr">
        <is>
          <t>2023</t>
        </is>
      </c>
      <c r="G469" s="24" t="inlineStr">
        <is>
          <t>CFS</t>
        </is>
      </c>
      <c r="H469" s="24" t="inlineStr">
        <is>
          <t>BS</t>
        </is>
      </c>
      <c r="I469" s="24" t="inlineStr">
        <is>
          <t>재무상태표</t>
        </is>
      </c>
      <c r="J469" s="24" t="inlineStr">
        <is>
          <t>ifrs-full_InvestmentProperty</t>
        </is>
      </c>
      <c r="K469" s="24" t="inlineStr">
        <is>
          <t>투자부동산</t>
        </is>
      </c>
      <c r="L469" s="24" t="inlineStr">
        <is>
          <t>-</t>
        </is>
      </c>
      <c r="M469" s="24" t="inlineStr">
        <is>
          <t>제 25 기</t>
        </is>
      </c>
      <c r="N469" s="24" t="inlineStr">
        <is>
          <t>6410255832.0</t>
        </is>
      </c>
      <c r="O469" s="24" t="inlineStr">
        <is>
          <t>4714881315.0</t>
        </is>
      </c>
      <c r="P469" s="24" t="inlineStr">
        <is>
          <t>KRW</t>
        </is>
      </c>
      <c r="Q469" s="24" t="inlineStr">
        <is>
          <t>22</t>
        </is>
      </c>
    </row>
    <row r="470" ht="24" customHeight="1">
      <c r="A470" s="29" t="inlineStr">
        <is>
          <t>OpenDART_fnlttSinglAcntAll</t>
        </is>
      </c>
      <c r="B470" s="29" t="inlineStr">
        <is>
          <t>00366942</t>
        </is>
      </c>
      <c r="C470" s="29" t="inlineStr">
        <is>
          <t>미코</t>
        </is>
      </c>
      <c r="D470" s="29" t="inlineStr">
        <is>
          <t>mico</t>
        </is>
      </c>
      <c r="E470" s="29" t="inlineStr">
        <is>
          <t>059090</t>
        </is>
      </c>
      <c r="F470" s="29" t="inlineStr">
        <is>
          <t>2023</t>
        </is>
      </c>
      <c r="G470" s="29" t="inlineStr">
        <is>
          <t>CFS</t>
        </is>
      </c>
      <c r="H470" s="29" t="inlineStr">
        <is>
          <t>BS</t>
        </is>
      </c>
      <c r="I470" s="29" t="inlineStr">
        <is>
          <t>재무상태표</t>
        </is>
      </c>
      <c r="J470" s="29" t="inlineStr">
        <is>
          <t>ifrs-full_OtherNoncurrentAssets</t>
        </is>
      </c>
      <c r="K470" s="29" t="inlineStr">
        <is>
          <t>기타비유동자산</t>
        </is>
      </c>
      <c r="L470" s="29" t="inlineStr">
        <is>
          <t>-</t>
        </is>
      </c>
      <c r="M470" s="29" t="inlineStr">
        <is>
          <t>제 25 기</t>
        </is>
      </c>
      <c r="N470" s="29" t="inlineStr">
        <is>
          <t>16854607.0</t>
        </is>
      </c>
      <c r="O470" s="29" t="inlineStr">
        <is>
          <t>42613797.0</t>
        </is>
      </c>
      <c r="P470" s="29" t="inlineStr">
        <is>
          <t>KRW</t>
        </is>
      </c>
      <c r="Q470" s="29" t="inlineStr">
        <is>
          <t>23</t>
        </is>
      </c>
    </row>
    <row r="471" ht="24" customHeight="1">
      <c r="A471" s="24" t="inlineStr">
        <is>
          <t>OpenDART_fnlttSinglAcntAll</t>
        </is>
      </c>
      <c r="B471" s="24" t="inlineStr">
        <is>
          <t>00366942</t>
        </is>
      </c>
      <c r="C471" s="24" t="inlineStr">
        <is>
          <t>미코</t>
        </is>
      </c>
      <c r="D471" s="24" t="inlineStr">
        <is>
          <t>mico</t>
        </is>
      </c>
      <c r="E471" s="24" t="inlineStr">
        <is>
          <t>059090</t>
        </is>
      </c>
      <c r="F471" s="24" t="inlineStr">
        <is>
          <t>2023</t>
        </is>
      </c>
      <c r="G471" s="24" t="inlineStr">
        <is>
          <t>CFS</t>
        </is>
      </c>
      <c r="H471" s="24" t="inlineStr">
        <is>
          <t>BS</t>
        </is>
      </c>
      <c r="I471" s="24" t="inlineStr">
        <is>
          <t>재무상태표</t>
        </is>
      </c>
      <c r="J471" s="24" t="inlineStr">
        <is>
          <t>ifrs-full_OtherNoncurrentFinancialAssets</t>
        </is>
      </c>
      <c r="K471" s="24" t="inlineStr">
        <is>
          <t>기타비유동금융자산</t>
        </is>
      </c>
      <c r="L471" s="24" t="inlineStr">
        <is>
          <t>-</t>
        </is>
      </c>
      <c r="M471" s="24" t="inlineStr">
        <is>
          <t>제 25 기</t>
        </is>
      </c>
      <c r="N471" s="24" t="inlineStr">
        <is>
          <t>49806179352.0</t>
        </is>
      </c>
      <c r="O471" s="24" t="inlineStr">
        <is>
          <t>38754335209.0</t>
        </is>
      </c>
      <c r="P471" s="24" t="inlineStr">
        <is>
          <t>KRW</t>
        </is>
      </c>
      <c r="Q471" s="24" t="inlineStr">
        <is>
          <t>24</t>
        </is>
      </c>
    </row>
    <row r="472" ht="24" customHeight="1">
      <c r="A472" s="29" t="inlineStr">
        <is>
          <t>OpenDART_fnlttSinglAcntAll</t>
        </is>
      </c>
      <c r="B472" s="29" t="inlineStr">
        <is>
          <t>00366942</t>
        </is>
      </c>
      <c r="C472" s="29" t="inlineStr">
        <is>
          <t>미코</t>
        </is>
      </c>
      <c r="D472" s="29" t="inlineStr">
        <is>
          <t>mico</t>
        </is>
      </c>
      <c r="E472" s="29" t="inlineStr">
        <is>
          <t>059090</t>
        </is>
      </c>
      <c r="F472" s="29" t="inlineStr">
        <is>
          <t>2023</t>
        </is>
      </c>
      <c r="G472" s="29" t="inlineStr">
        <is>
          <t>CFS</t>
        </is>
      </c>
      <c r="H472" s="29" t="inlineStr">
        <is>
          <t>BS</t>
        </is>
      </c>
      <c r="I472" s="29" t="inlineStr">
        <is>
          <t>재무상태표</t>
        </is>
      </c>
      <c r="J472" s="29" t="inlineStr">
        <is>
          <t>ifrs-full_PropertyPlantAndEquipment</t>
        </is>
      </c>
      <c r="K472" s="29" t="inlineStr">
        <is>
          <t>유형자산</t>
        </is>
      </c>
      <c r="L472" s="29" t="inlineStr">
        <is>
          <t>-</t>
        </is>
      </c>
      <c r="M472" s="29" t="inlineStr">
        <is>
          <t>제 25 기</t>
        </is>
      </c>
      <c r="N472" s="29" t="inlineStr">
        <is>
          <t>347467912170.0</t>
        </is>
      </c>
      <c r="O472" s="29" t="inlineStr">
        <is>
          <t>325774223678.0</t>
        </is>
      </c>
      <c r="P472" s="29" t="inlineStr">
        <is>
          <t>KRW</t>
        </is>
      </c>
      <c r="Q472" s="29" t="inlineStr">
        <is>
          <t>25</t>
        </is>
      </c>
    </row>
    <row r="473" ht="24" customHeight="1">
      <c r="A473" s="24" t="inlineStr">
        <is>
          <t>OpenDART_fnlttSinglAcntAll</t>
        </is>
      </c>
      <c r="B473" s="24" t="inlineStr">
        <is>
          <t>00366942</t>
        </is>
      </c>
      <c r="C473" s="24" t="inlineStr">
        <is>
          <t>미코</t>
        </is>
      </c>
      <c r="D473" s="24" t="inlineStr">
        <is>
          <t>mico</t>
        </is>
      </c>
      <c r="E473" s="24" t="inlineStr">
        <is>
          <t>059090</t>
        </is>
      </c>
      <c r="F473" s="24" t="inlineStr">
        <is>
          <t>2023</t>
        </is>
      </c>
      <c r="G473" s="24" t="inlineStr">
        <is>
          <t>CFS</t>
        </is>
      </c>
      <c r="H473" s="24" t="inlineStr">
        <is>
          <t>BS</t>
        </is>
      </c>
      <c r="I473" s="24" t="inlineStr">
        <is>
          <t>재무상태표</t>
        </is>
      </c>
      <c r="J473" s="24" t="inlineStr">
        <is>
          <t>ifrs-full_RightofuseAssets</t>
        </is>
      </c>
      <c r="K473" s="24" t="inlineStr">
        <is>
          <t>사용권자산</t>
        </is>
      </c>
      <c r="L473" s="24" t="inlineStr">
        <is>
          <t>-</t>
        </is>
      </c>
      <c r="M473" s="24" t="inlineStr">
        <is>
          <t>제 25 기</t>
        </is>
      </c>
      <c r="N473" s="24" t="inlineStr">
        <is>
          <t>8204170832.0</t>
        </is>
      </c>
      <c r="O473" s="24" t="inlineStr">
        <is>
          <t>9571955485.0</t>
        </is>
      </c>
      <c r="P473" s="24" t="inlineStr">
        <is>
          <t>KRW</t>
        </is>
      </c>
      <c r="Q473" s="24" t="inlineStr">
        <is>
          <t>26</t>
        </is>
      </c>
    </row>
    <row r="474" ht="24" customHeight="1">
      <c r="A474" s="29" t="inlineStr">
        <is>
          <t>OpenDART_fnlttSinglAcntAll</t>
        </is>
      </c>
      <c r="B474" s="29" t="inlineStr">
        <is>
          <t>00366942</t>
        </is>
      </c>
      <c r="C474" s="29" t="inlineStr">
        <is>
          <t>미코</t>
        </is>
      </c>
      <c r="D474" s="29" t="inlineStr">
        <is>
          <t>mico</t>
        </is>
      </c>
      <c r="E474" s="29" t="inlineStr">
        <is>
          <t>059090</t>
        </is>
      </c>
      <c r="F474" s="29" t="inlineStr">
        <is>
          <t>2023</t>
        </is>
      </c>
      <c r="G474" s="29" t="inlineStr">
        <is>
          <t>CFS</t>
        </is>
      </c>
      <c r="H474" s="29" t="inlineStr">
        <is>
          <t>BS</t>
        </is>
      </c>
      <c r="I474" s="29" t="inlineStr">
        <is>
          <t>재무상태표</t>
        </is>
      </c>
      <c r="J474" s="29" t="inlineStr">
        <is>
          <t>ifrs-full_Equity</t>
        </is>
      </c>
      <c r="K474" s="29" t="inlineStr">
        <is>
          <t>자본총계</t>
        </is>
      </c>
      <c r="L474" s="29" t="inlineStr">
        <is>
          <t>-</t>
        </is>
      </c>
      <c r="M474" s="29" t="inlineStr">
        <is>
          <t>제 25 기</t>
        </is>
      </c>
      <c r="N474" s="29" t="inlineStr">
        <is>
          <t>366083933670.0</t>
        </is>
      </c>
      <c r="O474" s="29" t="inlineStr">
        <is>
          <t>376300039996.0</t>
        </is>
      </c>
      <c r="P474" s="29" t="inlineStr">
        <is>
          <t>KRW</t>
        </is>
      </c>
      <c r="Q474" s="29" t="inlineStr">
        <is>
          <t>28</t>
        </is>
      </c>
    </row>
    <row r="475" ht="24" customHeight="1">
      <c r="A475" s="24" t="inlineStr">
        <is>
          <t>OpenDART_fnlttSinglAcntAll</t>
        </is>
      </c>
      <c r="B475" s="24" t="inlineStr">
        <is>
          <t>00366942</t>
        </is>
      </c>
      <c r="C475" s="24" t="inlineStr">
        <is>
          <t>미코</t>
        </is>
      </c>
      <c r="D475" s="24" t="inlineStr">
        <is>
          <t>mico</t>
        </is>
      </c>
      <c r="E475" s="24" t="inlineStr">
        <is>
          <t>059090</t>
        </is>
      </c>
      <c r="F475" s="24" t="inlineStr">
        <is>
          <t>2023</t>
        </is>
      </c>
      <c r="G475" s="24" t="inlineStr">
        <is>
          <t>CFS</t>
        </is>
      </c>
      <c r="H475" s="24" t="inlineStr">
        <is>
          <t>BS</t>
        </is>
      </c>
      <c r="I475" s="24" t="inlineStr">
        <is>
          <t>재무상태표</t>
        </is>
      </c>
      <c r="J475" s="24" t="inlineStr">
        <is>
          <t>ifrs-full_EquityAttributableToOwnersOfParent</t>
        </is>
      </c>
      <c r="K475" s="24" t="inlineStr">
        <is>
          <t>지배기업의 소유주에게 귀속되는 자본</t>
        </is>
      </c>
      <c r="L475" s="24" t="inlineStr">
        <is>
          <t>-</t>
        </is>
      </c>
      <c r="M475" s="24" t="inlineStr">
        <is>
          <t>제 25 기</t>
        </is>
      </c>
      <c r="N475" s="24" t="inlineStr">
        <is>
          <t>75903907155.0</t>
        </is>
      </c>
      <c r="O475" s="24" t="inlineStr">
        <is>
          <t>141812122965.0</t>
        </is>
      </c>
      <c r="P475" s="24" t="inlineStr">
        <is>
          <t>KRW</t>
        </is>
      </c>
      <c r="Q475" s="24" t="inlineStr">
        <is>
          <t>29</t>
        </is>
      </c>
    </row>
    <row r="476" ht="24" customHeight="1">
      <c r="A476" s="29" t="inlineStr">
        <is>
          <t>OpenDART_fnlttSinglAcntAll</t>
        </is>
      </c>
      <c r="B476" s="29" t="inlineStr">
        <is>
          <t>00366942</t>
        </is>
      </c>
      <c r="C476" s="29" t="inlineStr">
        <is>
          <t>미코</t>
        </is>
      </c>
      <c r="D476" s="29" t="inlineStr">
        <is>
          <t>mico</t>
        </is>
      </c>
      <c r="E476" s="29" t="inlineStr">
        <is>
          <t>059090</t>
        </is>
      </c>
      <c r="F476" s="29" t="inlineStr">
        <is>
          <t>2023</t>
        </is>
      </c>
      <c r="G476" s="29" t="inlineStr">
        <is>
          <t>CFS</t>
        </is>
      </c>
      <c r="H476" s="29" t="inlineStr">
        <is>
          <t>BS</t>
        </is>
      </c>
      <c r="I476" s="29" t="inlineStr">
        <is>
          <t>재무상태표</t>
        </is>
      </c>
      <c r="J476" s="29" t="inlineStr">
        <is>
          <t>dart_CapitalSurplus</t>
        </is>
      </c>
      <c r="K476" s="29" t="inlineStr">
        <is>
          <t>자본잉여금</t>
        </is>
      </c>
      <c r="L476" s="29" t="inlineStr">
        <is>
          <t>-</t>
        </is>
      </c>
      <c r="M476" s="29" t="inlineStr">
        <is>
          <t>제 25 기</t>
        </is>
      </c>
      <c r="N476" s="29" t="inlineStr">
        <is>
          <t>192820760657.0</t>
        </is>
      </c>
      <c r="O476" s="29" t="inlineStr">
        <is>
          <t>197914130088.0</t>
        </is>
      </c>
      <c r="P476" s="29" t="inlineStr">
        <is>
          <t>KRW</t>
        </is>
      </c>
      <c r="Q476" s="29" t="inlineStr">
        <is>
          <t>30</t>
        </is>
      </c>
    </row>
    <row r="477" ht="24" customHeight="1">
      <c r="A477" s="24" t="inlineStr">
        <is>
          <t>OpenDART_fnlttSinglAcntAll</t>
        </is>
      </c>
      <c r="B477" s="24" t="inlineStr">
        <is>
          <t>00366942</t>
        </is>
      </c>
      <c r="C477" s="24" t="inlineStr">
        <is>
          <t>미코</t>
        </is>
      </c>
      <c r="D477" s="24" t="inlineStr">
        <is>
          <t>mico</t>
        </is>
      </c>
      <c r="E477" s="24" t="inlineStr">
        <is>
          <t>059090</t>
        </is>
      </c>
      <c r="F477" s="24" t="inlineStr">
        <is>
          <t>2023</t>
        </is>
      </c>
      <c r="G477" s="24" t="inlineStr">
        <is>
          <t>CFS</t>
        </is>
      </c>
      <c r="H477" s="24" t="inlineStr">
        <is>
          <t>BS</t>
        </is>
      </c>
      <c r="I477" s="24" t="inlineStr">
        <is>
          <t>재무상태표</t>
        </is>
      </c>
      <c r="J477" s="24" t="inlineStr">
        <is>
          <t>dart_ElementsOfOtherStockholdersEquity</t>
        </is>
      </c>
      <c r="K477" s="24" t="inlineStr">
        <is>
          <t>기타자본구성요소</t>
        </is>
      </c>
      <c r="L477" s="24" t="inlineStr">
        <is>
          <t>-</t>
        </is>
      </c>
      <c r="M477" s="24" t="inlineStr">
        <is>
          <t>제 25 기</t>
        </is>
      </c>
      <c r="N477" s="24" t="inlineStr">
        <is>
          <t>-69525407495.0</t>
        </is>
      </c>
      <c r="O477" s="24" t="inlineStr">
        <is>
          <t>-38456895906.0</t>
        </is>
      </c>
      <c r="P477" s="24" t="inlineStr">
        <is>
          <t>KRW</t>
        </is>
      </c>
      <c r="Q477" s="24" t="inlineStr">
        <is>
          <t>31</t>
        </is>
      </c>
    </row>
    <row r="478" ht="24" customHeight="1">
      <c r="A478" s="29" t="inlineStr">
        <is>
          <t>OpenDART_fnlttSinglAcntAll</t>
        </is>
      </c>
      <c r="B478" s="29" t="inlineStr">
        <is>
          <t>00366942</t>
        </is>
      </c>
      <c r="C478" s="29" t="inlineStr">
        <is>
          <t>미코</t>
        </is>
      </c>
      <c r="D478" s="29" t="inlineStr">
        <is>
          <t>mico</t>
        </is>
      </c>
      <c r="E478" s="29" t="inlineStr">
        <is>
          <t>059090</t>
        </is>
      </c>
      <c r="F478" s="29" t="inlineStr">
        <is>
          <t>2023</t>
        </is>
      </c>
      <c r="G478" s="29" t="inlineStr">
        <is>
          <t>CFS</t>
        </is>
      </c>
      <c r="H478" s="29" t="inlineStr">
        <is>
          <t>BS</t>
        </is>
      </c>
      <c r="I478" s="29" t="inlineStr">
        <is>
          <t>재무상태표</t>
        </is>
      </c>
      <c r="J478" s="29" t="inlineStr">
        <is>
          <t>dart_OtherComprehensiveIncomeLossAccumulatedAmount</t>
        </is>
      </c>
      <c r="K478" s="29" t="inlineStr">
        <is>
          <t>기타포괄손익누계액</t>
        </is>
      </c>
      <c r="L478" s="29" t="inlineStr">
        <is>
          <t>-</t>
        </is>
      </c>
      <c r="M478" s="29" t="inlineStr">
        <is>
          <t>제 25 기</t>
        </is>
      </c>
      <c r="N478" s="29" t="inlineStr">
        <is>
          <t>-11390418.0</t>
        </is>
      </c>
      <c r="O478" s="29" t="inlineStr">
        <is>
          <t>2578387177.0</t>
        </is>
      </c>
      <c r="P478" s="29" t="inlineStr">
        <is>
          <t>KRW</t>
        </is>
      </c>
      <c r="Q478" s="29" t="inlineStr">
        <is>
          <t>32</t>
        </is>
      </c>
    </row>
    <row r="479" ht="24" customHeight="1">
      <c r="A479" s="24" t="inlineStr">
        <is>
          <t>OpenDART_fnlttSinglAcntAll</t>
        </is>
      </c>
      <c r="B479" s="24" t="inlineStr">
        <is>
          <t>00366942</t>
        </is>
      </c>
      <c r="C479" s="24" t="inlineStr">
        <is>
          <t>미코</t>
        </is>
      </c>
      <c r="D479" s="24" t="inlineStr">
        <is>
          <t>mico</t>
        </is>
      </c>
      <c r="E479" s="24" t="inlineStr">
        <is>
          <t>059090</t>
        </is>
      </c>
      <c r="F479" s="24" t="inlineStr">
        <is>
          <t>2023</t>
        </is>
      </c>
      <c r="G479" s="24" t="inlineStr">
        <is>
          <t>CFS</t>
        </is>
      </c>
      <c r="H479" s="24" t="inlineStr">
        <is>
          <t>BS</t>
        </is>
      </c>
      <c r="I479" s="24" t="inlineStr">
        <is>
          <t>재무상태표</t>
        </is>
      </c>
      <c r="J479" s="24" t="inlineStr">
        <is>
          <t>ifrs-full_IssuedCapital</t>
        </is>
      </c>
      <c r="K479" s="24" t="inlineStr">
        <is>
          <t>자본금</t>
        </is>
      </c>
      <c r="L479" s="24" t="inlineStr">
        <is>
          <t>-</t>
        </is>
      </c>
      <c r="M479" s="24" t="inlineStr">
        <is>
          <t>제 25 기</t>
        </is>
      </c>
      <c r="N479" s="24" t="inlineStr">
        <is>
          <t>16708389000.0</t>
        </is>
      </c>
      <c r="O479" s="24" t="inlineStr">
        <is>
          <t>16708389000.0</t>
        </is>
      </c>
      <c r="P479" s="24" t="inlineStr">
        <is>
          <t>KRW</t>
        </is>
      </c>
      <c r="Q479" s="24" t="inlineStr">
        <is>
          <t>33</t>
        </is>
      </c>
    </row>
    <row r="480" ht="24" customHeight="1">
      <c r="A480" s="29" t="inlineStr">
        <is>
          <t>OpenDART_fnlttSinglAcntAll</t>
        </is>
      </c>
      <c r="B480" s="29" t="inlineStr">
        <is>
          <t>00366942</t>
        </is>
      </c>
      <c r="C480" s="29" t="inlineStr">
        <is>
          <t>미코</t>
        </is>
      </c>
      <c r="D480" s="29" t="inlineStr">
        <is>
          <t>mico</t>
        </is>
      </c>
      <c r="E480" s="29" t="inlineStr">
        <is>
          <t>059090</t>
        </is>
      </c>
      <c r="F480" s="29" t="inlineStr">
        <is>
          <t>2023</t>
        </is>
      </c>
      <c r="G480" s="29" t="inlineStr">
        <is>
          <t>CFS</t>
        </is>
      </c>
      <c r="H480" s="29" t="inlineStr">
        <is>
          <t>BS</t>
        </is>
      </c>
      <c r="I480" s="29" t="inlineStr">
        <is>
          <t>재무상태표</t>
        </is>
      </c>
      <c r="J480" s="29" t="inlineStr">
        <is>
          <t>ifrs-full_RetainedEarnings</t>
        </is>
      </c>
      <c r="K480" s="29" t="inlineStr">
        <is>
          <t>이익잉여금(결손금)</t>
        </is>
      </c>
      <c r="L480" s="29" t="inlineStr">
        <is>
          <t>-</t>
        </is>
      </c>
      <c r="M480" s="29" t="inlineStr">
        <is>
          <t>제 25 기</t>
        </is>
      </c>
      <c r="N480" s="29" t="inlineStr">
        <is>
          <t>-64088444589.0</t>
        </is>
      </c>
      <c r="O480" s="29" t="inlineStr">
        <is>
          <t>-36931887394.0</t>
        </is>
      </c>
      <c r="P480" s="29" t="inlineStr">
        <is>
          <t>KRW</t>
        </is>
      </c>
      <c r="Q480" s="29" t="inlineStr">
        <is>
          <t>34</t>
        </is>
      </c>
    </row>
    <row r="481" ht="24" customHeight="1">
      <c r="A481" s="24" t="inlineStr">
        <is>
          <t>OpenDART_fnlttSinglAcntAll</t>
        </is>
      </c>
      <c r="B481" s="24" t="inlineStr">
        <is>
          <t>00366942</t>
        </is>
      </c>
      <c r="C481" s="24" t="inlineStr">
        <is>
          <t>미코</t>
        </is>
      </c>
      <c r="D481" s="24" t="inlineStr">
        <is>
          <t>mico</t>
        </is>
      </c>
      <c r="E481" s="24" t="inlineStr">
        <is>
          <t>059090</t>
        </is>
      </c>
      <c r="F481" s="24" t="inlineStr">
        <is>
          <t>2023</t>
        </is>
      </c>
      <c r="G481" s="24" t="inlineStr">
        <is>
          <t>CFS</t>
        </is>
      </c>
      <c r="H481" s="24" t="inlineStr">
        <is>
          <t>BS</t>
        </is>
      </c>
      <c r="I481" s="24" t="inlineStr">
        <is>
          <t>재무상태표</t>
        </is>
      </c>
      <c r="J481" s="24" t="inlineStr">
        <is>
          <t>ifrs-full_NoncontrollingInterests</t>
        </is>
      </c>
      <c r="K481" s="24" t="inlineStr">
        <is>
          <t>비지배지분</t>
        </is>
      </c>
      <c r="L481" s="24" t="inlineStr">
        <is>
          <t>-</t>
        </is>
      </c>
      <c r="M481" s="24" t="inlineStr">
        <is>
          <t>제 25 기</t>
        </is>
      </c>
      <c r="N481" s="24" t="inlineStr">
        <is>
          <t>290180026515.0</t>
        </is>
      </c>
      <c r="O481" s="24" t="inlineStr">
        <is>
          <t>234487917031.0</t>
        </is>
      </c>
      <c r="P481" s="24" t="inlineStr">
        <is>
          <t>KRW</t>
        </is>
      </c>
      <c r="Q481" s="24" t="inlineStr">
        <is>
          <t>35</t>
        </is>
      </c>
    </row>
    <row r="482" ht="24" customHeight="1">
      <c r="A482" s="29" t="inlineStr">
        <is>
          <t>OpenDART_fnlttSinglAcntAll</t>
        </is>
      </c>
      <c r="B482" s="29" t="inlineStr">
        <is>
          <t>00366942</t>
        </is>
      </c>
      <c r="C482" s="29" t="inlineStr">
        <is>
          <t>미코</t>
        </is>
      </c>
      <c r="D482" s="29" t="inlineStr">
        <is>
          <t>mico</t>
        </is>
      </c>
      <c r="E482" s="29" t="inlineStr">
        <is>
          <t>059090</t>
        </is>
      </c>
      <c r="F482" s="29" t="inlineStr">
        <is>
          <t>2023</t>
        </is>
      </c>
      <c r="G482" s="29" t="inlineStr">
        <is>
          <t>CFS</t>
        </is>
      </c>
      <c r="H482" s="29" t="inlineStr">
        <is>
          <t>BS</t>
        </is>
      </c>
      <c r="I482" s="29" t="inlineStr">
        <is>
          <t>재무상태표</t>
        </is>
      </c>
      <c r="J482" s="29" t="inlineStr">
        <is>
          <t>ifrs-full_EquityAndLiabilities</t>
        </is>
      </c>
      <c r="K482" s="29" t="inlineStr">
        <is>
          <t>자본과부채총계</t>
        </is>
      </c>
      <c r="L482" s="29" t="inlineStr">
        <is>
          <t>-</t>
        </is>
      </c>
      <c r="M482" s="29" t="inlineStr">
        <is>
          <t>제 25 기</t>
        </is>
      </c>
      <c r="N482" s="29" t="inlineStr">
        <is>
          <t>833895121319.0</t>
        </is>
      </c>
      <c r="O482" s="29" t="inlineStr">
        <is>
          <t>731153086148.0</t>
        </is>
      </c>
      <c r="P482" s="29" t="inlineStr">
        <is>
          <t>KRW</t>
        </is>
      </c>
      <c r="Q482" s="29" t="inlineStr">
        <is>
          <t>36</t>
        </is>
      </c>
    </row>
    <row r="483" ht="24" customHeight="1">
      <c r="A483" s="24" t="inlineStr">
        <is>
          <t>OpenDART_fnlttSinglAcntAll</t>
        </is>
      </c>
      <c r="B483" s="24" t="inlineStr">
        <is>
          <t>00366942</t>
        </is>
      </c>
      <c r="C483" s="24" t="inlineStr">
        <is>
          <t>미코</t>
        </is>
      </c>
      <c r="D483" s="24" t="inlineStr">
        <is>
          <t>mico</t>
        </is>
      </c>
      <c r="E483" s="24" t="inlineStr">
        <is>
          <t>059090</t>
        </is>
      </c>
      <c r="F483" s="24" t="inlineStr">
        <is>
          <t>2023</t>
        </is>
      </c>
      <c r="G483" s="24" t="inlineStr">
        <is>
          <t>CFS</t>
        </is>
      </c>
      <c r="H483" s="24" t="inlineStr">
        <is>
          <t>BS</t>
        </is>
      </c>
      <c r="I483" s="24" t="inlineStr">
        <is>
          <t>재무상태표</t>
        </is>
      </c>
      <c r="J483" s="24" t="inlineStr">
        <is>
          <t>ifrs-full_CurrentLiabilities</t>
        </is>
      </c>
      <c r="K483" s="24" t="inlineStr">
        <is>
          <t>유동부채</t>
        </is>
      </c>
      <c r="L483" s="24" t="inlineStr">
        <is>
          <t>-</t>
        </is>
      </c>
      <c r="M483" s="24" t="inlineStr">
        <is>
          <t>제 25 기</t>
        </is>
      </c>
      <c r="N483" s="24" t="inlineStr">
        <is>
          <t>271729403586.0</t>
        </is>
      </c>
      <c r="O483" s="24" t="inlineStr">
        <is>
          <t>189169817256.0</t>
        </is>
      </c>
      <c r="P483" s="24" t="inlineStr">
        <is>
          <t>KRW</t>
        </is>
      </c>
      <c r="Q483" s="24" t="inlineStr">
        <is>
          <t>38</t>
        </is>
      </c>
    </row>
    <row r="484" ht="24" customHeight="1">
      <c r="A484" s="29" t="inlineStr">
        <is>
          <t>OpenDART_fnlttSinglAcntAll</t>
        </is>
      </c>
      <c r="B484" s="29" t="inlineStr">
        <is>
          <t>00366942</t>
        </is>
      </c>
      <c r="C484" s="29" t="inlineStr">
        <is>
          <t>미코</t>
        </is>
      </c>
      <c r="D484" s="29" t="inlineStr">
        <is>
          <t>mico</t>
        </is>
      </c>
      <c r="E484" s="29" t="inlineStr">
        <is>
          <t>059090</t>
        </is>
      </c>
      <c r="F484" s="29" t="inlineStr">
        <is>
          <t>2023</t>
        </is>
      </c>
      <c r="G484" s="29" t="inlineStr">
        <is>
          <t>CFS</t>
        </is>
      </c>
      <c r="H484" s="29" t="inlineStr">
        <is>
          <t>BS</t>
        </is>
      </c>
      <c r="I484" s="29" t="inlineStr">
        <is>
          <t>재무상태표</t>
        </is>
      </c>
      <c r="J484" s="29" t="inlineStr">
        <is>
          <t>-표준계정코드 미사용-</t>
        </is>
      </c>
      <c r="K484" s="29" t="inlineStr">
        <is>
          <t>유동성전환사채</t>
        </is>
      </c>
      <c r="L484" s="29" t="inlineStr">
        <is>
          <t>-</t>
        </is>
      </c>
      <c r="M484" s="29" t="inlineStr">
        <is>
          <t>제 25 기</t>
        </is>
      </c>
      <c r="N484" s="29" t="inlineStr">
        <is>
          <t>16184806771.0</t>
        </is>
      </c>
      <c r="O484" s="29" t="inlineStr">
        <is>
          <t>해당 없음</t>
        </is>
      </c>
      <c r="P484" s="29" t="inlineStr">
        <is>
          <t>KRW</t>
        </is>
      </c>
      <c r="Q484" s="29" t="inlineStr">
        <is>
          <t>39</t>
        </is>
      </c>
    </row>
    <row r="485" ht="24" customHeight="1">
      <c r="A485" s="24" t="inlineStr">
        <is>
          <t>OpenDART_fnlttSinglAcntAll</t>
        </is>
      </c>
      <c r="B485" s="24" t="inlineStr">
        <is>
          <t>00366942</t>
        </is>
      </c>
      <c r="C485" s="24" t="inlineStr">
        <is>
          <t>미코</t>
        </is>
      </c>
      <c r="D485" s="24" t="inlineStr">
        <is>
          <t>mico</t>
        </is>
      </c>
      <c r="E485" s="24" t="inlineStr">
        <is>
          <t>059090</t>
        </is>
      </c>
      <c r="F485" s="24" t="inlineStr">
        <is>
          <t>2023</t>
        </is>
      </c>
      <c r="G485" s="24" t="inlineStr">
        <is>
          <t>CFS</t>
        </is>
      </c>
      <c r="H485" s="24" t="inlineStr">
        <is>
          <t>BS</t>
        </is>
      </c>
      <c r="I485" s="24" t="inlineStr">
        <is>
          <t>재무상태표</t>
        </is>
      </c>
      <c r="J485" s="24" t="inlineStr">
        <is>
          <t>-표준계정코드 미사용-</t>
        </is>
      </c>
      <c r="K485" s="24" t="inlineStr">
        <is>
          <t>유동성교환사채</t>
        </is>
      </c>
      <c r="L485" s="24" t="inlineStr">
        <is>
          <t>-</t>
        </is>
      </c>
      <c r="M485" s="24" t="inlineStr">
        <is>
          <t>제 25 기</t>
        </is>
      </c>
      <c r="N485" s="24" t="inlineStr">
        <is>
          <t>19467399924.0</t>
        </is>
      </c>
      <c r="O485" s="24" t="inlineStr">
        <is>
          <t>해당 없음</t>
        </is>
      </c>
      <c r="P485" s="24" t="inlineStr">
        <is>
          <t>KRW</t>
        </is>
      </c>
      <c r="Q485" s="24" t="inlineStr">
        <is>
          <t>40</t>
        </is>
      </c>
    </row>
    <row r="486" ht="24" customHeight="1">
      <c r="A486" s="29" t="inlineStr">
        <is>
          <t>OpenDART_fnlttSinglAcntAll</t>
        </is>
      </c>
      <c r="B486" s="29" t="inlineStr">
        <is>
          <t>00366942</t>
        </is>
      </c>
      <c r="C486" s="29" t="inlineStr">
        <is>
          <t>미코</t>
        </is>
      </c>
      <c r="D486" s="29" t="inlineStr">
        <is>
          <t>mico</t>
        </is>
      </c>
      <c r="E486" s="29" t="inlineStr">
        <is>
          <t>059090</t>
        </is>
      </c>
      <c r="F486" s="29" t="inlineStr">
        <is>
          <t>2023</t>
        </is>
      </c>
      <c r="G486" s="29" t="inlineStr">
        <is>
          <t>CFS</t>
        </is>
      </c>
      <c r="H486" s="29" t="inlineStr">
        <is>
          <t>BS</t>
        </is>
      </c>
      <c r="I486" s="29" t="inlineStr">
        <is>
          <t>재무상태표</t>
        </is>
      </c>
      <c r="J486" s="29" t="inlineStr">
        <is>
          <t>ifrs-full_CurrentLeaseLiabilities</t>
        </is>
      </c>
      <c r="K486" s="29" t="inlineStr">
        <is>
          <t>유동 리스부채</t>
        </is>
      </c>
      <c r="L486" s="29" t="inlineStr">
        <is>
          <t>-</t>
        </is>
      </c>
      <c r="M486" s="29" t="inlineStr">
        <is>
          <t>제 25 기</t>
        </is>
      </c>
      <c r="N486" s="29" t="inlineStr">
        <is>
          <t>2258984161.0</t>
        </is>
      </c>
      <c r="O486" s="29" t="inlineStr">
        <is>
          <t>2511483718.0</t>
        </is>
      </c>
      <c r="P486" s="29" t="inlineStr">
        <is>
          <t>KRW</t>
        </is>
      </c>
      <c r="Q486" s="29" t="inlineStr">
        <is>
          <t>41</t>
        </is>
      </c>
    </row>
    <row r="487" ht="24" customHeight="1">
      <c r="A487" s="24" t="inlineStr">
        <is>
          <t>OpenDART_fnlttSinglAcntAll</t>
        </is>
      </c>
      <c r="B487" s="24" t="inlineStr">
        <is>
          <t>00366942</t>
        </is>
      </c>
      <c r="C487" s="24" t="inlineStr">
        <is>
          <t>미코</t>
        </is>
      </c>
      <c r="D487" s="24" t="inlineStr">
        <is>
          <t>mico</t>
        </is>
      </c>
      <c r="E487" s="24" t="inlineStr">
        <is>
          <t>059090</t>
        </is>
      </c>
      <c r="F487" s="24" t="inlineStr">
        <is>
          <t>2023</t>
        </is>
      </c>
      <c r="G487" s="24" t="inlineStr">
        <is>
          <t>CFS</t>
        </is>
      </c>
      <c r="H487" s="24" t="inlineStr">
        <is>
          <t>BS</t>
        </is>
      </c>
      <c r="I487" s="24" t="inlineStr">
        <is>
          <t>재무상태표</t>
        </is>
      </c>
      <c r="J487" s="24" t="inlineStr">
        <is>
          <t>ifrs-full_CurrentPortionOfLongtermBorrowings</t>
        </is>
      </c>
      <c r="K487" s="24" t="inlineStr">
        <is>
          <t>유동성장기차입금</t>
        </is>
      </c>
      <c r="L487" s="24" t="inlineStr">
        <is>
          <t>-</t>
        </is>
      </c>
      <c r="M487" s="24" t="inlineStr">
        <is>
          <t>제 25 기</t>
        </is>
      </c>
      <c r="N487" s="24" t="inlineStr">
        <is>
          <t>19846220000.0</t>
        </is>
      </c>
      <c r="O487" s="24" t="inlineStr">
        <is>
          <t>14162322248.0</t>
        </is>
      </c>
      <c r="P487" s="24" t="inlineStr">
        <is>
          <t>KRW</t>
        </is>
      </c>
      <c r="Q487" s="24" t="inlineStr">
        <is>
          <t>42</t>
        </is>
      </c>
    </row>
    <row r="488" ht="24" customHeight="1">
      <c r="A488" s="29" t="inlineStr">
        <is>
          <t>OpenDART_fnlttSinglAcntAll</t>
        </is>
      </c>
      <c r="B488" s="29" t="inlineStr">
        <is>
          <t>00366942</t>
        </is>
      </c>
      <c r="C488" s="29" t="inlineStr">
        <is>
          <t>미코</t>
        </is>
      </c>
      <c r="D488" s="29" t="inlineStr">
        <is>
          <t>mico</t>
        </is>
      </c>
      <c r="E488" s="29" t="inlineStr">
        <is>
          <t>059090</t>
        </is>
      </c>
      <c r="F488" s="29" t="inlineStr">
        <is>
          <t>2023</t>
        </is>
      </c>
      <c r="G488" s="29" t="inlineStr">
        <is>
          <t>CFS</t>
        </is>
      </c>
      <c r="H488" s="29" t="inlineStr">
        <is>
          <t>BS</t>
        </is>
      </c>
      <c r="I488" s="29" t="inlineStr">
        <is>
          <t>재무상태표</t>
        </is>
      </c>
      <c r="J488" s="29" t="inlineStr">
        <is>
          <t>ifrs-full_CurrentTaxLiabilities</t>
        </is>
      </c>
      <c r="K488" s="29" t="inlineStr">
        <is>
          <t>당기법인세부채</t>
        </is>
      </c>
      <c r="L488" s="29" t="inlineStr">
        <is>
          <t>-</t>
        </is>
      </c>
      <c r="M488" s="29" t="inlineStr">
        <is>
          <t>제 25 기</t>
        </is>
      </c>
      <c r="N488" s="29" t="inlineStr">
        <is>
          <t>12866207102.0</t>
        </is>
      </c>
      <c r="O488" s="29" t="inlineStr">
        <is>
          <t>8993784705.0</t>
        </is>
      </c>
      <c r="P488" s="29" t="inlineStr">
        <is>
          <t>KRW</t>
        </is>
      </c>
      <c r="Q488" s="29" t="inlineStr">
        <is>
          <t>43</t>
        </is>
      </c>
    </row>
    <row r="489" ht="24" customHeight="1">
      <c r="A489" s="24" t="inlineStr">
        <is>
          <t>OpenDART_fnlttSinglAcntAll</t>
        </is>
      </c>
      <c r="B489" s="24" t="inlineStr">
        <is>
          <t>00366942</t>
        </is>
      </c>
      <c r="C489" s="24" t="inlineStr">
        <is>
          <t>미코</t>
        </is>
      </c>
      <c r="D489" s="24" t="inlineStr">
        <is>
          <t>mico</t>
        </is>
      </c>
      <c r="E489" s="24" t="inlineStr">
        <is>
          <t>059090</t>
        </is>
      </c>
      <c r="F489" s="24" t="inlineStr">
        <is>
          <t>2023</t>
        </is>
      </c>
      <c r="G489" s="24" t="inlineStr">
        <is>
          <t>CFS</t>
        </is>
      </c>
      <c r="H489" s="24" t="inlineStr">
        <is>
          <t>BS</t>
        </is>
      </c>
      <c r="I489" s="24" t="inlineStr">
        <is>
          <t>재무상태표</t>
        </is>
      </c>
      <c r="J489" s="24" t="inlineStr">
        <is>
          <t>ifrs-full_OtherCurrentFinancialLiabilities</t>
        </is>
      </c>
      <c r="K489" s="24" t="inlineStr">
        <is>
          <t>기타유동금융부채</t>
        </is>
      </c>
      <c r="L489" s="24" t="inlineStr">
        <is>
          <t>-</t>
        </is>
      </c>
      <c r="M489" s="24" t="inlineStr">
        <is>
          <t>제 25 기</t>
        </is>
      </c>
      <c r="N489" s="24" t="inlineStr">
        <is>
          <t>16101932612.0</t>
        </is>
      </c>
      <c r="O489" s="24" t="inlineStr">
        <is>
          <t>2440116973.0</t>
        </is>
      </c>
      <c r="P489" s="24" t="inlineStr">
        <is>
          <t>KRW</t>
        </is>
      </c>
      <c r="Q489" s="24" t="inlineStr">
        <is>
          <t>44</t>
        </is>
      </c>
    </row>
    <row r="490" ht="24" customHeight="1">
      <c r="A490" s="29" t="inlineStr">
        <is>
          <t>OpenDART_fnlttSinglAcntAll</t>
        </is>
      </c>
      <c r="B490" s="29" t="inlineStr">
        <is>
          <t>00366942</t>
        </is>
      </c>
      <c r="C490" s="29" t="inlineStr">
        <is>
          <t>미코</t>
        </is>
      </c>
      <c r="D490" s="29" t="inlineStr">
        <is>
          <t>mico</t>
        </is>
      </c>
      <c r="E490" s="29" t="inlineStr">
        <is>
          <t>059090</t>
        </is>
      </c>
      <c r="F490" s="29" t="inlineStr">
        <is>
          <t>2023</t>
        </is>
      </c>
      <c r="G490" s="29" t="inlineStr">
        <is>
          <t>CFS</t>
        </is>
      </c>
      <c r="H490" s="29" t="inlineStr">
        <is>
          <t>BS</t>
        </is>
      </c>
      <c r="I490" s="29" t="inlineStr">
        <is>
          <t>재무상태표</t>
        </is>
      </c>
      <c r="J490" s="29" t="inlineStr">
        <is>
          <t>ifrs-full_OtherCurrentLiabilities</t>
        </is>
      </c>
      <c r="K490" s="29" t="inlineStr">
        <is>
          <t>기타 유동부채</t>
        </is>
      </c>
      <c r="L490" s="29" t="inlineStr">
        <is>
          <t>-</t>
        </is>
      </c>
      <c r="M490" s="29" t="inlineStr">
        <is>
          <t>제 25 기</t>
        </is>
      </c>
      <c r="N490" s="29" t="inlineStr">
        <is>
          <t>22371801569.0</t>
        </is>
      </c>
      <c r="O490" s="29" t="inlineStr">
        <is>
          <t>15457782494.0</t>
        </is>
      </c>
      <c r="P490" s="29" t="inlineStr">
        <is>
          <t>KRW</t>
        </is>
      </c>
      <c r="Q490" s="29" t="inlineStr">
        <is>
          <t>45</t>
        </is>
      </c>
    </row>
    <row r="491" ht="24" customHeight="1">
      <c r="A491" s="24" t="inlineStr">
        <is>
          <t>OpenDART_fnlttSinglAcntAll</t>
        </is>
      </c>
      <c r="B491" s="24" t="inlineStr">
        <is>
          <t>00366942</t>
        </is>
      </c>
      <c r="C491" s="24" t="inlineStr">
        <is>
          <t>미코</t>
        </is>
      </c>
      <c r="D491" s="24" t="inlineStr">
        <is>
          <t>mico</t>
        </is>
      </c>
      <c r="E491" s="24" t="inlineStr">
        <is>
          <t>059090</t>
        </is>
      </c>
      <c r="F491" s="24" t="inlineStr">
        <is>
          <t>2023</t>
        </is>
      </c>
      <c r="G491" s="24" t="inlineStr">
        <is>
          <t>CFS</t>
        </is>
      </c>
      <c r="H491" s="24" t="inlineStr">
        <is>
          <t>BS</t>
        </is>
      </c>
      <c r="I491" s="24" t="inlineStr">
        <is>
          <t>재무상태표</t>
        </is>
      </c>
      <c r="J491" s="24" t="inlineStr">
        <is>
          <t>ifrs-full_ShorttermBorrowings</t>
        </is>
      </c>
      <c r="K491" s="24" t="inlineStr">
        <is>
          <t>단기차입금</t>
        </is>
      </c>
      <c r="L491" s="24" t="inlineStr">
        <is>
          <t>-</t>
        </is>
      </c>
      <c r="M491" s="24" t="inlineStr">
        <is>
          <t>제 25 기</t>
        </is>
      </c>
      <c r="N491" s="24" t="inlineStr">
        <is>
          <t>130138650000.0</t>
        </is>
      </c>
      <c r="O491" s="24" t="inlineStr">
        <is>
          <t>113711385000.0</t>
        </is>
      </c>
      <c r="P491" s="24" t="inlineStr">
        <is>
          <t>KRW</t>
        </is>
      </c>
      <c r="Q491" s="24" t="inlineStr">
        <is>
          <t>46</t>
        </is>
      </c>
    </row>
    <row r="492" ht="24" customHeight="1">
      <c r="A492" s="29" t="inlineStr">
        <is>
          <t>OpenDART_fnlttSinglAcntAll</t>
        </is>
      </c>
      <c r="B492" s="29" t="inlineStr">
        <is>
          <t>00366942</t>
        </is>
      </c>
      <c r="C492" s="29" t="inlineStr">
        <is>
          <t>미코</t>
        </is>
      </c>
      <c r="D492" s="29" t="inlineStr">
        <is>
          <t>mico</t>
        </is>
      </c>
      <c r="E492" s="29" t="inlineStr">
        <is>
          <t>059090</t>
        </is>
      </c>
      <c r="F492" s="29" t="inlineStr">
        <is>
          <t>2023</t>
        </is>
      </c>
      <c r="G492" s="29" t="inlineStr">
        <is>
          <t>CFS</t>
        </is>
      </c>
      <c r="H492" s="29" t="inlineStr">
        <is>
          <t>BS</t>
        </is>
      </c>
      <c r="I492" s="29" t="inlineStr">
        <is>
          <t>재무상태표</t>
        </is>
      </c>
      <c r="J492" s="29" t="inlineStr">
        <is>
          <t>ifrs-full_TradeAndOtherCurrentPayables</t>
        </is>
      </c>
      <c r="K492" s="29" t="inlineStr">
        <is>
          <t>매입채무 및 기타유동채무</t>
        </is>
      </c>
      <c r="L492" s="29" t="inlineStr">
        <is>
          <t>-</t>
        </is>
      </c>
      <c r="M492" s="29" t="inlineStr">
        <is>
          <t>제 25 기</t>
        </is>
      </c>
      <c r="N492" s="29" t="inlineStr">
        <is>
          <t>32493401447.0</t>
        </is>
      </c>
      <c r="O492" s="29" t="inlineStr">
        <is>
          <t>31892942118.0</t>
        </is>
      </c>
      <c r="P492" s="29" t="inlineStr">
        <is>
          <t>KRW</t>
        </is>
      </c>
      <c r="Q492" s="29" t="inlineStr">
        <is>
          <t>47</t>
        </is>
      </c>
    </row>
    <row r="493" ht="24" customHeight="1">
      <c r="A493" s="24" t="inlineStr">
        <is>
          <t>OpenDART_fnlttSinglAcntAll</t>
        </is>
      </c>
      <c r="B493" s="24" t="inlineStr">
        <is>
          <t>00366942</t>
        </is>
      </c>
      <c r="C493" s="24" t="inlineStr">
        <is>
          <t>미코</t>
        </is>
      </c>
      <c r="D493" s="24" t="inlineStr">
        <is>
          <t>mico</t>
        </is>
      </c>
      <c r="E493" s="24" t="inlineStr">
        <is>
          <t>059090</t>
        </is>
      </c>
      <c r="F493" s="24" t="inlineStr">
        <is>
          <t>2023</t>
        </is>
      </c>
      <c r="G493" s="24" t="inlineStr">
        <is>
          <t>CFS</t>
        </is>
      </c>
      <c r="H493" s="24" t="inlineStr">
        <is>
          <t>BS</t>
        </is>
      </c>
      <c r="I493" s="24" t="inlineStr">
        <is>
          <t>재무상태표</t>
        </is>
      </c>
      <c r="J493" s="24" t="inlineStr">
        <is>
          <t>ifrs-full_Liabilities</t>
        </is>
      </c>
      <c r="K493" s="24" t="inlineStr">
        <is>
          <t>부채총계</t>
        </is>
      </c>
      <c r="L493" s="24" t="inlineStr">
        <is>
          <t>-</t>
        </is>
      </c>
      <c r="M493" s="24" t="inlineStr">
        <is>
          <t>제 25 기</t>
        </is>
      </c>
      <c r="N493" s="24" t="inlineStr">
        <is>
          <t>467811187649.0</t>
        </is>
      </c>
      <c r="O493" s="24" t="inlineStr">
        <is>
          <t>354853046152.0</t>
        </is>
      </c>
      <c r="P493" s="24" t="inlineStr">
        <is>
          <t>KRW</t>
        </is>
      </c>
      <c r="Q493" s="24" t="inlineStr">
        <is>
          <t>48</t>
        </is>
      </c>
    </row>
    <row r="494" ht="24" customHeight="1">
      <c r="A494" s="29" t="inlineStr">
        <is>
          <t>OpenDART_fnlttSinglAcntAll</t>
        </is>
      </c>
      <c r="B494" s="29" t="inlineStr">
        <is>
          <t>00366942</t>
        </is>
      </c>
      <c r="C494" s="29" t="inlineStr">
        <is>
          <t>미코</t>
        </is>
      </c>
      <c r="D494" s="29" t="inlineStr">
        <is>
          <t>mico</t>
        </is>
      </c>
      <c r="E494" s="29" t="inlineStr">
        <is>
          <t>059090</t>
        </is>
      </c>
      <c r="F494" s="29" t="inlineStr">
        <is>
          <t>2023</t>
        </is>
      </c>
      <c r="G494" s="29" t="inlineStr">
        <is>
          <t>CFS</t>
        </is>
      </c>
      <c r="H494" s="29" t="inlineStr">
        <is>
          <t>BS</t>
        </is>
      </c>
      <c r="I494" s="29" t="inlineStr">
        <is>
          <t>재무상태표</t>
        </is>
      </c>
      <c r="J494" s="29" t="inlineStr">
        <is>
          <t>ifrs-full_NoncurrentLiabilities</t>
        </is>
      </c>
      <c r="K494" s="29" t="inlineStr">
        <is>
          <t>비유동부채</t>
        </is>
      </c>
      <c r="L494" s="29" t="inlineStr">
        <is>
          <t>-</t>
        </is>
      </c>
      <c r="M494" s="29" t="inlineStr">
        <is>
          <t>제 25 기</t>
        </is>
      </c>
      <c r="N494" s="29" t="inlineStr">
        <is>
          <t>196081784063.0</t>
        </is>
      </c>
      <c r="O494" s="29" t="inlineStr">
        <is>
          <t>165683228896.0</t>
        </is>
      </c>
      <c r="P494" s="29" t="inlineStr">
        <is>
          <t>KRW</t>
        </is>
      </c>
      <c r="Q494" s="29" t="inlineStr">
        <is>
          <t>49</t>
        </is>
      </c>
    </row>
    <row r="495" ht="24" customHeight="1">
      <c r="A495" s="24" t="inlineStr">
        <is>
          <t>OpenDART_fnlttSinglAcntAll</t>
        </is>
      </c>
      <c r="B495" s="24" t="inlineStr">
        <is>
          <t>00366942</t>
        </is>
      </c>
      <c r="C495" s="24" t="inlineStr">
        <is>
          <t>미코</t>
        </is>
      </c>
      <c r="D495" s="24" t="inlineStr">
        <is>
          <t>mico</t>
        </is>
      </c>
      <c r="E495" s="24" t="inlineStr">
        <is>
          <t>059090</t>
        </is>
      </c>
      <c r="F495" s="24" t="inlineStr">
        <is>
          <t>2023</t>
        </is>
      </c>
      <c r="G495" s="24" t="inlineStr">
        <is>
          <t>CFS</t>
        </is>
      </c>
      <c r="H495" s="24" t="inlineStr">
        <is>
          <t>BS</t>
        </is>
      </c>
      <c r="I495" s="24" t="inlineStr">
        <is>
          <t>재무상태표</t>
        </is>
      </c>
      <c r="J495" s="24" t="inlineStr">
        <is>
          <t>dart_BondWithWarrant</t>
        </is>
      </c>
      <c r="K495" s="24" t="inlineStr">
        <is>
          <t>신주인수권부사채</t>
        </is>
      </c>
      <c r="L495" s="24" t="inlineStr">
        <is>
          <t>-</t>
        </is>
      </c>
      <c r="M495" s="24" t="inlineStr">
        <is>
          <t>제 25 기</t>
        </is>
      </c>
      <c r="N495" s="24" t="inlineStr">
        <is>
          <t>해당 없음</t>
        </is>
      </c>
      <c r="O495" s="24" t="inlineStr">
        <is>
          <t>해당 없음</t>
        </is>
      </c>
      <c r="P495" s="24" t="inlineStr">
        <is>
          <t>KRW</t>
        </is>
      </c>
      <c r="Q495" s="24" t="inlineStr">
        <is>
          <t>50</t>
        </is>
      </c>
    </row>
    <row r="496" ht="24" customHeight="1">
      <c r="A496" s="29" t="inlineStr">
        <is>
          <t>OpenDART_fnlttSinglAcntAll</t>
        </is>
      </c>
      <c r="B496" s="29" t="inlineStr">
        <is>
          <t>00366942</t>
        </is>
      </c>
      <c r="C496" s="29" t="inlineStr">
        <is>
          <t>미코</t>
        </is>
      </c>
      <c r="D496" s="29" t="inlineStr">
        <is>
          <t>mico</t>
        </is>
      </c>
      <c r="E496" s="29" t="inlineStr">
        <is>
          <t>059090</t>
        </is>
      </c>
      <c r="F496" s="29" t="inlineStr">
        <is>
          <t>2023</t>
        </is>
      </c>
      <c r="G496" s="29" t="inlineStr">
        <is>
          <t>CFS</t>
        </is>
      </c>
      <c r="H496" s="29" t="inlineStr">
        <is>
          <t>BS</t>
        </is>
      </c>
      <c r="I496" s="29" t="inlineStr">
        <is>
          <t>재무상태표</t>
        </is>
      </c>
      <c r="J496" s="29" t="inlineStr">
        <is>
          <t>dart_ConvertibleBonds</t>
        </is>
      </c>
      <c r="K496" s="29" t="inlineStr">
        <is>
          <t>전환사채</t>
        </is>
      </c>
      <c r="L496" s="29" t="inlineStr">
        <is>
          <t>-</t>
        </is>
      </c>
      <c r="M496" s="29" t="inlineStr">
        <is>
          <t>제 25 기</t>
        </is>
      </c>
      <c r="N496" s="29" t="inlineStr">
        <is>
          <t>해당 없음</t>
        </is>
      </c>
      <c r="O496" s="29" t="inlineStr">
        <is>
          <t>14178648384.0</t>
        </is>
      </c>
      <c r="P496" s="29" t="inlineStr">
        <is>
          <t>KRW</t>
        </is>
      </c>
      <c r="Q496" s="29" t="inlineStr">
        <is>
          <t>51</t>
        </is>
      </c>
    </row>
    <row r="497" ht="24" customHeight="1">
      <c r="A497" s="24" t="inlineStr">
        <is>
          <t>OpenDART_fnlttSinglAcntAll</t>
        </is>
      </c>
      <c r="B497" s="24" t="inlineStr">
        <is>
          <t>00366942</t>
        </is>
      </c>
      <c r="C497" s="24" t="inlineStr">
        <is>
          <t>미코</t>
        </is>
      </c>
      <c r="D497" s="24" t="inlineStr">
        <is>
          <t>mico</t>
        </is>
      </c>
      <c r="E497" s="24" t="inlineStr">
        <is>
          <t>059090</t>
        </is>
      </c>
      <c r="F497" s="24" t="inlineStr">
        <is>
          <t>2023</t>
        </is>
      </c>
      <c r="G497" s="24" t="inlineStr">
        <is>
          <t>CFS</t>
        </is>
      </c>
      <c r="H497" s="24" t="inlineStr">
        <is>
          <t>BS</t>
        </is>
      </c>
      <c r="I497" s="24" t="inlineStr">
        <is>
          <t>재무상태표</t>
        </is>
      </c>
      <c r="J497" s="24" t="inlineStr">
        <is>
          <t>dart_ExchangeableBonds</t>
        </is>
      </c>
      <c r="K497" s="24" t="inlineStr">
        <is>
          <t>교환사채</t>
        </is>
      </c>
      <c r="L497" s="24" t="inlineStr">
        <is>
          <t>-</t>
        </is>
      </c>
      <c r="M497" s="24" t="inlineStr">
        <is>
          <t>제 25 기</t>
        </is>
      </c>
      <c r="N497" s="24" t="inlineStr">
        <is>
          <t>해당 없음</t>
        </is>
      </c>
      <c r="O497" s="24" t="inlineStr">
        <is>
          <t>17039600263.0</t>
        </is>
      </c>
      <c r="P497" s="24" t="inlineStr">
        <is>
          <t>KRW</t>
        </is>
      </c>
      <c r="Q497" s="24" t="inlineStr">
        <is>
          <t>52</t>
        </is>
      </c>
    </row>
    <row r="498" ht="24" customHeight="1">
      <c r="A498" s="29" t="inlineStr">
        <is>
          <t>OpenDART_fnlttSinglAcntAll</t>
        </is>
      </c>
      <c r="B498" s="29" t="inlineStr">
        <is>
          <t>00366942</t>
        </is>
      </c>
      <c r="C498" s="29" t="inlineStr">
        <is>
          <t>미코</t>
        </is>
      </c>
      <c r="D498" s="29" t="inlineStr">
        <is>
          <t>mico</t>
        </is>
      </c>
      <c r="E498" s="29" t="inlineStr">
        <is>
          <t>059090</t>
        </is>
      </c>
      <c r="F498" s="29" t="inlineStr">
        <is>
          <t>2023</t>
        </is>
      </c>
      <c r="G498" s="29" t="inlineStr">
        <is>
          <t>CFS</t>
        </is>
      </c>
      <c r="H498" s="29" t="inlineStr">
        <is>
          <t>BS</t>
        </is>
      </c>
      <c r="I498" s="29" t="inlineStr">
        <is>
          <t>재무상태표</t>
        </is>
      </c>
      <c r="J498" s="29" t="inlineStr">
        <is>
          <t>dart_LongTermBorrowingsGross</t>
        </is>
      </c>
      <c r="K498" s="29" t="inlineStr">
        <is>
          <t>장기차입금</t>
        </is>
      </c>
      <c r="L498" s="29" t="inlineStr">
        <is>
          <t>-</t>
        </is>
      </c>
      <c r="M498" s="29" t="inlineStr">
        <is>
          <t>제 25 기</t>
        </is>
      </c>
      <c r="N498" s="29" t="inlineStr">
        <is>
          <t>140439880000.0</t>
        </is>
      </c>
      <c r="O498" s="29" t="inlineStr">
        <is>
          <t>63871240000.0</t>
        </is>
      </c>
      <c r="P498" s="29" t="inlineStr">
        <is>
          <t>KRW</t>
        </is>
      </c>
      <c r="Q498" s="29" t="inlineStr">
        <is>
          <t>53</t>
        </is>
      </c>
    </row>
    <row r="499" ht="24" customHeight="1">
      <c r="A499" s="24" t="inlineStr">
        <is>
          <t>OpenDART_fnlttSinglAcntAll</t>
        </is>
      </c>
      <c r="B499" s="24" t="inlineStr">
        <is>
          <t>00366942</t>
        </is>
      </c>
      <c r="C499" s="24" t="inlineStr">
        <is>
          <t>미코</t>
        </is>
      </c>
      <c r="D499" s="24" t="inlineStr">
        <is>
          <t>mico</t>
        </is>
      </c>
      <c r="E499" s="24" t="inlineStr">
        <is>
          <t>059090</t>
        </is>
      </c>
      <c r="F499" s="24" t="inlineStr">
        <is>
          <t>2023</t>
        </is>
      </c>
      <c r="G499" s="24" t="inlineStr">
        <is>
          <t>CFS</t>
        </is>
      </c>
      <c r="H499" s="24" t="inlineStr">
        <is>
          <t>BS</t>
        </is>
      </c>
      <c r="I499" s="24" t="inlineStr">
        <is>
          <t>재무상태표</t>
        </is>
      </c>
      <c r="J499" s="24" t="inlineStr">
        <is>
          <t>dart_PostemploymentBenefitObligations</t>
        </is>
      </c>
      <c r="K499" s="24" t="inlineStr">
        <is>
          <t>퇴직급여채무</t>
        </is>
      </c>
      <c r="L499" s="24" t="inlineStr">
        <is>
          <t>-</t>
        </is>
      </c>
      <c r="M499" s="24" t="inlineStr">
        <is>
          <t>제 25 기</t>
        </is>
      </c>
      <c r="N499" s="24" t="inlineStr">
        <is>
          <t>18785677143.0</t>
        </is>
      </c>
      <c r="O499" s="24" t="inlineStr">
        <is>
          <t>15578216391.0</t>
        </is>
      </c>
      <c r="P499" s="24" t="inlineStr">
        <is>
          <t>KRW</t>
        </is>
      </c>
      <c r="Q499" s="24" t="inlineStr">
        <is>
          <t>54</t>
        </is>
      </c>
    </row>
    <row r="500" ht="24" customHeight="1">
      <c r="A500" s="29" t="inlineStr">
        <is>
          <t>OpenDART_fnlttSinglAcntAll</t>
        </is>
      </c>
      <c r="B500" s="29" t="inlineStr">
        <is>
          <t>00366942</t>
        </is>
      </c>
      <c r="C500" s="29" t="inlineStr">
        <is>
          <t>미코</t>
        </is>
      </c>
      <c r="D500" s="29" t="inlineStr">
        <is>
          <t>mico</t>
        </is>
      </c>
      <c r="E500" s="29" t="inlineStr">
        <is>
          <t>059090</t>
        </is>
      </c>
      <c r="F500" s="29" t="inlineStr">
        <is>
          <t>2023</t>
        </is>
      </c>
      <c r="G500" s="29" t="inlineStr">
        <is>
          <t>CFS</t>
        </is>
      </c>
      <c r="H500" s="29" t="inlineStr">
        <is>
          <t>BS</t>
        </is>
      </c>
      <c r="I500" s="29" t="inlineStr">
        <is>
          <t>재무상태표</t>
        </is>
      </c>
      <c r="J500" s="29" t="inlineStr">
        <is>
          <t>-표준계정코드 미사용-</t>
        </is>
      </c>
      <c r="K500" s="29" t="inlineStr">
        <is>
          <t>장기종업원급여</t>
        </is>
      </c>
      <c r="L500" s="29" t="inlineStr">
        <is>
          <t>-</t>
        </is>
      </c>
      <c r="M500" s="29" t="inlineStr">
        <is>
          <t>제 25 기</t>
        </is>
      </c>
      <c r="N500" s="29" t="inlineStr">
        <is>
          <t>2986215299.0</t>
        </is>
      </c>
      <c r="O500" s="29" t="inlineStr">
        <is>
          <t>2816356724.0</t>
        </is>
      </c>
      <c r="P500" s="29" t="inlineStr">
        <is>
          <t>KRW</t>
        </is>
      </c>
      <c r="Q500" s="29" t="inlineStr">
        <is>
          <t>55</t>
        </is>
      </c>
    </row>
    <row r="501" ht="24" customHeight="1">
      <c r="A501" s="24" t="inlineStr">
        <is>
          <t>OpenDART_fnlttSinglAcntAll</t>
        </is>
      </c>
      <c r="B501" s="24" t="inlineStr">
        <is>
          <t>00366942</t>
        </is>
      </c>
      <c r="C501" s="24" t="inlineStr">
        <is>
          <t>미코</t>
        </is>
      </c>
      <c r="D501" s="24" t="inlineStr">
        <is>
          <t>mico</t>
        </is>
      </c>
      <c r="E501" s="24" t="inlineStr">
        <is>
          <t>059090</t>
        </is>
      </c>
      <c r="F501" s="24" t="inlineStr">
        <is>
          <t>2023</t>
        </is>
      </c>
      <c r="G501" s="24" t="inlineStr">
        <is>
          <t>CFS</t>
        </is>
      </c>
      <c r="H501" s="24" t="inlineStr">
        <is>
          <t>BS</t>
        </is>
      </c>
      <c r="I501" s="24" t="inlineStr">
        <is>
          <t>재무상태표</t>
        </is>
      </c>
      <c r="J501" s="24" t="inlineStr">
        <is>
          <t>ifrs-full_DeferredTaxLiabilities</t>
        </is>
      </c>
      <c r="K501" s="24" t="inlineStr">
        <is>
          <t>이연법인세부채</t>
        </is>
      </c>
      <c r="L501" s="24" t="inlineStr">
        <is>
          <t>-</t>
        </is>
      </c>
      <c r="M501" s="24" t="inlineStr">
        <is>
          <t>제 25 기</t>
        </is>
      </c>
      <c r="N501" s="24" t="inlineStr">
        <is>
          <t>27678285279.0</t>
        </is>
      </c>
      <c r="O501" s="24" t="inlineStr">
        <is>
          <t>30884696040.0</t>
        </is>
      </c>
      <c r="P501" s="24" t="inlineStr">
        <is>
          <t>KRW</t>
        </is>
      </c>
      <c r="Q501" s="24" t="inlineStr">
        <is>
          <t>56</t>
        </is>
      </c>
    </row>
    <row r="502" ht="24" customHeight="1">
      <c r="A502" s="29" t="inlineStr">
        <is>
          <t>OpenDART_fnlttSinglAcntAll</t>
        </is>
      </c>
      <c r="B502" s="29" t="inlineStr">
        <is>
          <t>00366942</t>
        </is>
      </c>
      <c r="C502" s="29" t="inlineStr">
        <is>
          <t>미코</t>
        </is>
      </c>
      <c r="D502" s="29" t="inlineStr">
        <is>
          <t>mico</t>
        </is>
      </c>
      <c r="E502" s="29" t="inlineStr">
        <is>
          <t>059090</t>
        </is>
      </c>
      <c r="F502" s="29" t="inlineStr">
        <is>
          <t>2023</t>
        </is>
      </c>
      <c r="G502" s="29" t="inlineStr">
        <is>
          <t>CFS</t>
        </is>
      </c>
      <c r="H502" s="29" t="inlineStr">
        <is>
          <t>BS</t>
        </is>
      </c>
      <c r="I502" s="29" t="inlineStr">
        <is>
          <t>재무상태표</t>
        </is>
      </c>
      <c r="J502" s="29" t="inlineStr">
        <is>
          <t>ifrs-full_NoncurrentLeaseLiabilities</t>
        </is>
      </c>
      <c r="K502" s="29" t="inlineStr">
        <is>
          <t>리스부채</t>
        </is>
      </c>
      <c r="L502" s="29" t="inlineStr">
        <is>
          <t>-</t>
        </is>
      </c>
      <c r="M502" s="29" t="inlineStr">
        <is>
          <t>제 25 기</t>
        </is>
      </c>
      <c r="N502" s="29" t="inlineStr">
        <is>
          <t>4447325890.0</t>
        </is>
      </c>
      <c r="O502" s="29" t="inlineStr">
        <is>
          <t>5344404066.0</t>
        </is>
      </c>
      <c r="P502" s="29" t="inlineStr">
        <is>
          <t>KRW</t>
        </is>
      </c>
      <c r="Q502" s="29" t="inlineStr">
        <is>
          <t>57</t>
        </is>
      </c>
    </row>
    <row r="503" ht="24" customHeight="1">
      <c r="A503" s="24" t="inlineStr">
        <is>
          <t>OpenDART_fnlttSinglAcntAll</t>
        </is>
      </c>
      <c r="B503" s="24" t="inlineStr">
        <is>
          <t>00366942</t>
        </is>
      </c>
      <c r="C503" s="24" t="inlineStr">
        <is>
          <t>미코</t>
        </is>
      </c>
      <c r="D503" s="24" t="inlineStr">
        <is>
          <t>mico</t>
        </is>
      </c>
      <c r="E503" s="24" t="inlineStr">
        <is>
          <t>059090</t>
        </is>
      </c>
      <c r="F503" s="24" t="inlineStr">
        <is>
          <t>2023</t>
        </is>
      </c>
      <c r="G503" s="24" t="inlineStr">
        <is>
          <t>CFS</t>
        </is>
      </c>
      <c r="H503" s="24" t="inlineStr">
        <is>
          <t>BS</t>
        </is>
      </c>
      <c r="I503" s="24" t="inlineStr">
        <is>
          <t>재무상태표</t>
        </is>
      </c>
      <c r="J503" s="24" t="inlineStr">
        <is>
          <t>ifrs-full_OtherNoncurrentFinancialLiabilities</t>
        </is>
      </c>
      <c r="K503" s="24" t="inlineStr">
        <is>
          <t>기타비유동금융부채</t>
        </is>
      </c>
      <c r="L503" s="24" t="inlineStr">
        <is>
          <t>-</t>
        </is>
      </c>
      <c r="M503" s="24" t="inlineStr">
        <is>
          <t>제 25 기</t>
        </is>
      </c>
      <c r="N503" s="24" t="inlineStr">
        <is>
          <t>해당 없음</t>
        </is>
      </c>
      <c r="O503" s="24" t="inlineStr">
        <is>
          <t>14027719188.0</t>
        </is>
      </c>
      <c r="P503" s="24" t="inlineStr">
        <is>
          <t>KRW</t>
        </is>
      </c>
      <c r="Q503" s="24" t="inlineStr">
        <is>
          <t>58</t>
        </is>
      </c>
    </row>
    <row r="504" ht="24" customHeight="1">
      <c r="A504" s="29" t="inlineStr">
        <is>
          <t>OpenDART_fnlttSinglAcntAll</t>
        </is>
      </c>
      <c r="B504" s="29" t="inlineStr">
        <is>
          <t>00366942</t>
        </is>
      </c>
      <c r="C504" s="29" t="inlineStr">
        <is>
          <t>미코</t>
        </is>
      </c>
      <c r="D504" s="29" t="inlineStr">
        <is>
          <t>mico</t>
        </is>
      </c>
      <c r="E504" s="29" t="inlineStr">
        <is>
          <t>059090</t>
        </is>
      </c>
      <c r="F504" s="29" t="inlineStr">
        <is>
          <t>2023</t>
        </is>
      </c>
      <c r="G504" s="29" t="inlineStr">
        <is>
          <t>CFS</t>
        </is>
      </c>
      <c r="H504" s="29" t="inlineStr">
        <is>
          <t>BS</t>
        </is>
      </c>
      <c r="I504" s="29" t="inlineStr">
        <is>
          <t>재무상태표</t>
        </is>
      </c>
      <c r="J504" s="29" t="inlineStr">
        <is>
          <t>ifrs-full_OtherNoncurrentLiabilities</t>
        </is>
      </c>
      <c r="K504" s="29" t="inlineStr">
        <is>
          <t>기타 비유동 부채</t>
        </is>
      </c>
      <c r="L504" s="29" t="inlineStr">
        <is>
          <t>-</t>
        </is>
      </c>
      <c r="M504" s="29" t="inlineStr">
        <is>
          <t>제 25 기</t>
        </is>
      </c>
      <c r="N504" s="29" t="inlineStr">
        <is>
          <t>1744400452.0</t>
        </is>
      </c>
      <c r="O504" s="29" t="inlineStr">
        <is>
          <t>1942347840.0</t>
        </is>
      </c>
      <c r="P504" s="29" t="inlineStr">
        <is>
          <t>KRW</t>
        </is>
      </c>
      <c r="Q504" s="29" t="inlineStr">
        <is>
          <t>59</t>
        </is>
      </c>
    </row>
    <row r="505" ht="24" customHeight="1">
      <c r="A505" s="24" t="inlineStr">
        <is>
          <t>OpenDART_fnlttSinglAcntAll</t>
        </is>
      </c>
      <c r="B505" s="24" t="inlineStr">
        <is>
          <t>00366942</t>
        </is>
      </c>
      <c r="C505" s="24" t="inlineStr">
        <is>
          <t>미코</t>
        </is>
      </c>
      <c r="D505" s="24" t="inlineStr">
        <is>
          <t>mico</t>
        </is>
      </c>
      <c r="E505" s="24" t="inlineStr">
        <is>
          <t>059090</t>
        </is>
      </c>
      <c r="F505" s="24" t="inlineStr">
        <is>
          <t>2023</t>
        </is>
      </c>
      <c r="G505" s="24" t="inlineStr">
        <is>
          <t>CFS</t>
        </is>
      </c>
      <c r="H505" s="24" t="inlineStr">
        <is>
          <t>CIS</t>
        </is>
      </c>
      <c r="I505" s="24" t="inlineStr">
        <is>
          <t>포괄손익계산서</t>
        </is>
      </c>
      <c r="J505" s="24" t="inlineStr">
        <is>
          <t>dart_OperatingIncomeLoss</t>
        </is>
      </c>
      <c r="K505" s="24" t="inlineStr">
        <is>
          <t>영업이익</t>
        </is>
      </c>
      <c r="L505" s="24" t="inlineStr">
        <is>
          <t>-</t>
        </is>
      </c>
      <c r="M505" s="24" t="inlineStr">
        <is>
          <t>제 25 기</t>
        </is>
      </c>
      <c r="N505" s="24" t="inlineStr">
        <is>
          <t>21111259627.0</t>
        </is>
      </c>
      <c r="O505" s="24" t="inlineStr">
        <is>
          <t>64273149352.0</t>
        </is>
      </c>
      <c r="P505" s="24" t="inlineStr">
        <is>
          <t>KRW</t>
        </is>
      </c>
      <c r="Q505" s="24" t="inlineStr">
        <is>
          <t>6</t>
        </is>
      </c>
    </row>
    <row r="506" ht="24" customHeight="1">
      <c r="A506" s="29" t="inlineStr">
        <is>
          <t>OpenDART_fnlttSinglAcntAll</t>
        </is>
      </c>
      <c r="B506" s="29" t="inlineStr">
        <is>
          <t>00366942</t>
        </is>
      </c>
      <c r="C506" s="29" t="inlineStr">
        <is>
          <t>미코</t>
        </is>
      </c>
      <c r="D506" s="29" t="inlineStr">
        <is>
          <t>mico</t>
        </is>
      </c>
      <c r="E506" s="29" t="inlineStr">
        <is>
          <t>059090</t>
        </is>
      </c>
      <c r="F506" s="29" t="inlineStr">
        <is>
          <t>2023</t>
        </is>
      </c>
      <c r="G506" s="29" t="inlineStr">
        <is>
          <t>CFS</t>
        </is>
      </c>
      <c r="H506" s="29" t="inlineStr">
        <is>
          <t>CIS</t>
        </is>
      </c>
      <c r="I506" s="29" t="inlineStr">
        <is>
          <t>포괄손익계산서</t>
        </is>
      </c>
      <c r="J506" s="29" t="inlineStr">
        <is>
          <t>dart_OtherGains</t>
        </is>
      </c>
      <c r="K506" s="29" t="inlineStr">
        <is>
          <t>기타이익</t>
        </is>
      </c>
      <c r="L506" s="29" t="inlineStr">
        <is>
          <t>-</t>
        </is>
      </c>
      <c r="M506" s="29" t="inlineStr">
        <is>
          <t>제 25 기</t>
        </is>
      </c>
      <c r="N506" s="29" t="inlineStr">
        <is>
          <t>4200725419.0</t>
        </is>
      </c>
      <c r="O506" s="29" t="inlineStr">
        <is>
          <t>2133890262.0</t>
        </is>
      </c>
      <c r="P506" s="29" t="inlineStr">
        <is>
          <t>KRW</t>
        </is>
      </c>
      <c r="Q506" s="29" t="inlineStr">
        <is>
          <t>7</t>
        </is>
      </c>
    </row>
    <row r="507" ht="24" customHeight="1">
      <c r="A507" s="24" t="inlineStr">
        <is>
          <t>OpenDART_fnlttSinglAcntAll</t>
        </is>
      </c>
      <c r="B507" s="24" t="inlineStr">
        <is>
          <t>00366942</t>
        </is>
      </c>
      <c r="C507" s="24" t="inlineStr">
        <is>
          <t>미코</t>
        </is>
      </c>
      <c r="D507" s="24" t="inlineStr">
        <is>
          <t>mico</t>
        </is>
      </c>
      <c r="E507" s="24" t="inlineStr">
        <is>
          <t>059090</t>
        </is>
      </c>
      <c r="F507" s="24" t="inlineStr">
        <is>
          <t>2023</t>
        </is>
      </c>
      <c r="G507" s="24" t="inlineStr">
        <is>
          <t>CFS</t>
        </is>
      </c>
      <c r="H507" s="24" t="inlineStr">
        <is>
          <t>CIS</t>
        </is>
      </c>
      <c r="I507" s="24" t="inlineStr">
        <is>
          <t>포괄손익계산서</t>
        </is>
      </c>
      <c r="J507" s="24" t="inlineStr">
        <is>
          <t>dart_OtherLosses</t>
        </is>
      </c>
      <c r="K507" s="24" t="inlineStr">
        <is>
          <t>기타비용</t>
        </is>
      </c>
      <c r="L507" s="24" t="inlineStr">
        <is>
          <t>-</t>
        </is>
      </c>
      <c r="M507" s="24" t="inlineStr">
        <is>
          <t>제 25 기</t>
        </is>
      </c>
      <c r="N507" s="24" t="inlineStr">
        <is>
          <t>22699655163.0</t>
        </is>
      </c>
      <c r="O507" s="24" t="inlineStr">
        <is>
          <t>13459322710.0</t>
        </is>
      </c>
      <c r="P507" s="24" t="inlineStr">
        <is>
          <t>KRW</t>
        </is>
      </c>
      <c r="Q507" s="24" t="inlineStr">
        <is>
          <t>8</t>
        </is>
      </c>
    </row>
    <row r="508" ht="24" customHeight="1">
      <c r="A508" s="29" t="inlineStr">
        <is>
          <t>OpenDART_fnlttSinglAcntAll</t>
        </is>
      </c>
      <c r="B508" s="29" t="inlineStr">
        <is>
          <t>00366942</t>
        </is>
      </c>
      <c r="C508" s="29" t="inlineStr">
        <is>
          <t>미코</t>
        </is>
      </c>
      <c r="D508" s="29" t="inlineStr">
        <is>
          <t>mico</t>
        </is>
      </c>
      <c r="E508" s="29" t="inlineStr">
        <is>
          <t>059090</t>
        </is>
      </c>
      <c r="F508" s="29" t="inlineStr">
        <is>
          <t>2023</t>
        </is>
      </c>
      <c r="G508" s="29" t="inlineStr">
        <is>
          <t>CFS</t>
        </is>
      </c>
      <c r="H508" s="29" t="inlineStr">
        <is>
          <t>CIS</t>
        </is>
      </c>
      <c r="I508" s="29" t="inlineStr">
        <is>
          <t>포괄손익계산서</t>
        </is>
      </c>
      <c r="J508" s="29" t="inlineStr">
        <is>
          <t>dart_TotalSellingGeneralAdministrativeExpenses</t>
        </is>
      </c>
      <c r="K508" s="29" t="inlineStr">
        <is>
          <t>판매비와관리비</t>
        </is>
      </c>
      <c r="L508" s="29" t="inlineStr">
        <is>
          <t>-</t>
        </is>
      </c>
      <c r="M508" s="29" t="inlineStr">
        <is>
          <t>제 25 기</t>
        </is>
      </c>
      <c r="N508" s="29" t="inlineStr">
        <is>
          <t>137000295762.0</t>
        </is>
      </c>
      <c r="O508" s="29" t="inlineStr">
        <is>
          <t>131701296510.0</t>
        </is>
      </c>
      <c r="P508" s="29" t="inlineStr">
        <is>
          <t>KRW</t>
        </is>
      </c>
      <c r="Q508" s="29" t="inlineStr">
        <is>
          <t>9</t>
        </is>
      </c>
    </row>
    <row r="509" ht="24" customHeight="1">
      <c r="A509" s="24" t="inlineStr">
        <is>
          <t>OpenDART_fnlttSinglAcntAll</t>
        </is>
      </c>
      <c r="B509" s="24" t="inlineStr">
        <is>
          <t>00366942</t>
        </is>
      </c>
      <c r="C509" s="24" t="inlineStr">
        <is>
          <t>미코</t>
        </is>
      </c>
      <c r="D509" s="24" t="inlineStr">
        <is>
          <t>mico</t>
        </is>
      </c>
      <c r="E509" s="24" t="inlineStr">
        <is>
          <t>059090</t>
        </is>
      </c>
      <c r="F509" s="24" t="inlineStr">
        <is>
          <t>2023</t>
        </is>
      </c>
      <c r="G509" s="24" t="inlineStr">
        <is>
          <t>CFS</t>
        </is>
      </c>
      <c r="H509" s="24" t="inlineStr">
        <is>
          <t>CIS</t>
        </is>
      </c>
      <c r="I509" s="24" t="inlineStr">
        <is>
          <t>포괄손익계산서</t>
        </is>
      </c>
      <c r="J509" s="24" t="inlineStr">
        <is>
          <t>-표준계정코드 미사용-</t>
        </is>
      </c>
      <c r="K509" s="24" t="inlineStr">
        <is>
          <t>지분법이익(손실)</t>
        </is>
      </c>
      <c r="L509" s="24" t="inlineStr">
        <is>
          <t>-</t>
        </is>
      </c>
      <c r="M509" s="24" t="inlineStr">
        <is>
          <t>제 25 기</t>
        </is>
      </c>
      <c r="N509" s="24" t="inlineStr">
        <is>
          <t>-2106143494.0</t>
        </is>
      </c>
      <c r="O509" s="24" t="inlineStr">
        <is>
          <t>-53450383688.0</t>
        </is>
      </c>
      <c r="P509" s="24" t="inlineStr">
        <is>
          <t>KRW</t>
        </is>
      </c>
      <c r="Q509" s="24" t="inlineStr">
        <is>
          <t>10</t>
        </is>
      </c>
    </row>
    <row r="510" ht="24" customHeight="1">
      <c r="A510" s="29" t="inlineStr">
        <is>
          <t>OpenDART_fnlttSinglAcntAll</t>
        </is>
      </c>
      <c r="B510" s="29" t="inlineStr">
        <is>
          <t>00366942</t>
        </is>
      </c>
      <c r="C510" s="29" t="inlineStr">
        <is>
          <t>미코</t>
        </is>
      </c>
      <c r="D510" s="29" t="inlineStr">
        <is>
          <t>mico</t>
        </is>
      </c>
      <c r="E510" s="29" t="inlineStr">
        <is>
          <t>059090</t>
        </is>
      </c>
      <c r="F510" s="29" t="inlineStr">
        <is>
          <t>2023</t>
        </is>
      </c>
      <c r="G510" s="29" t="inlineStr">
        <is>
          <t>CFS</t>
        </is>
      </c>
      <c r="H510" s="29" t="inlineStr">
        <is>
          <t>CIS</t>
        </is>
      </c>
      <c r="I510" s="29" t="inlineStr">
        <is>
          <t>포괄손익계산서</t>
        </is>
      </c>
      <c r="J510" s="29" t="inlineStr">
        <is>
          <t>ifrs-full_ComprehensiveIncomeAttributableToNoncontrollingInterests</t>
        </is>
      </c>
      <c r="K510" s="29" t="inlineStr">
        <is>
          <t>비지배지분</t>
        </is>
      </c>
      <c r="L510" s="29" t="inlineStr">
        <is>
          <t>-</t>
        </is>
      </c>
      <c r="M510" s="29" t="inlineStr">
        <is>
          <t>제 25 기</t>
        </is>
      </c>
      <c r="N510" s="29" t="inlineStr">
        <is>
          <t>25333413928.0</t>
        </is>
      </c>
      <c r="O510" s="29" t="inlineStr">
        <is>
          <t>27014704943.0</t>
        </is>
      </c>
      <c r="P510" s="29" t="inlineStr">
        <is>
          <t>KRW</t>
        </is>
      </c>
      <c r="Q510" s="29" t="inlineStr">
        <is>
          <t>12</t>
        </is>
      </c>
    </row>
    <row r="511" ht="24" customHeight="1">
      <c r="A511" s="24" t="inlineStr">
        <is>
          <t>OpenDART_fnlttSinglAcntAll</t>
        </is>
      </c>
      <c r="B511" s="24" t="inlineStr">
        <is>
          <t>00366942</t>
        </is>
      </c>
      <c r="C511" s="24" t="inlineStr">
        <is>
          <t>미코</t>
        </is>
      </c>
      <c r="D511" s="24" t="inlineStr">
        <is>
          <t>mico</t>
        </is>
      </c>
      <c r="E511" s="24" t="inlineStr">
        <is>
          <t>059090</t>
        </is>
      </c>
      <c r="F511" s="24" t="inlineStr">
        <is>
          <t>2023</t>
        </is>
      </c>
      <c r="G511" s="24" t="inlineStr">
        <is>
          <t>CFS</t>
        </is>
      </c>
      <c r="H511" s="24" t="inlineStr">
        <is>
          <t>CIS</t>
        </is>
      </c>
      <c r="I511" s="24" t="inlineStr">
        <is>
          <t>포괄손익계산서</t>
        </is>
      </c>
      <c r="J511" s="24" t="inlineStr">
        <is>
          <t>ifrs-full_ComprehensiveIncomeAttributableToOwnersOfParent</t>
        </is>
      </c>
      <c r="K511" s="24" t="inlineStr">
        <is>
          <t>지배기업소유지분</t>
        </is>
      </c>
      <c r="L511" s="24" t="inlineStr">
        <is>
          <t>-</t>
        </is>
      </c>
      <c r="M511" s="24" t="inlineStr">
        <is>
          <t>제 25 기</t>
        </is>
      </c>
      <c r="N511" s="24" t="inlineStr">
        <is>
          <t>-29746334790.0</t>
        </is>
      </c>
      <c r="O511" s="24" t="inlineStr">
        <is>
          <t>-50617480178.0</t>
        </is>
      </c>
      <c r="P511" s="24" t="inlineStr">
        <is>
          <t>KRW</t>
        </is>
      </c>
      <c r="Q511" s="24" t="inlineStr">
        <is>
          <t>13</t>
        </is>
      </c>
    </row>
    <row r="512" ht="24" customHeight="1">
      <c r="A512" s="29" t="inlineStr">
        <is>
          <t>OpenDART_fnlttSinglAcntAll</t>
        </is>
      </c>
      <c r="B512" s="29" t="inlineStr">
        <is>
          <t>00366942</t>
        </is>
      </c>
      <c r="C512" s="29" t="inlineStr">
        <is>
          <t>미코</t>
        </is>
      </c>
      <c r="D512" s="29" t="inlineStr">
        <is>
          <t>mico</t>
        </is>
      </c>
      <c r="E512" s="29" t="inlineStr">
        <is>
          <t>059090</t>
        </is>
      </c>
      <c r="F512" s="29" t="inlineStr">
        <is>
          <t>2023</t>
        </is>
      </c>
      <c r="G512" s="29" t="inlineStr">
        <is>
          <t>CFS</t>
        </is>
      </c>
      <c r="H512" s="29" t="inlineStr">
        <is>
          <t>CIS</t>
        </is>
      </c>
      <c r="I512" s="29" t="inlineStr">
        <is>
          <t>포괄손익계산서</t>
        </is>
      </c>
      <c r="J512" s="29" t="inlineStr">
        <is>
          <t>ifrs-full_CostOfSales</t>
        </is>
      </c>
      <c r="K512" s="29" t="inlineStr">
        <is>
          <t>매출원가</t>
        </is>
      </c>
      <c r="L512" s="29" t="inlineStr">
        <is>
          <t>-</t>
        </is>
      </c>
      <c r="M512" s="29" t="inlineStr">
        <is>
          <t>제 25 기</t>
        </is>
      </c>
      <c r="N512" s="29" t="inlineStr">
        <is>
          <t>229229387408.0</t>
        </is>
      </c>
      <c r="O512" s="29" t="inlineStr">
        <is>
          <t>218857823393.0</t>
        </is>
      </c>
      <c r="P512" s="29" t="inlineStr">
        <is>
          <t>KRW</t>
        </is>
      </c>
      <c r="Q512" s="29" t="inlineStr">
        <is>
          <t>14</t>
        </is>
      </c>
    </row>
    <row r="513" ht="24" customHeight="1">
      <c r="A513" s="24" t="inlineStr">
        <is>
          <t>OpenDART_fnlttSinglAcntAll</t>
        </is>
      </c>
      <c r="B513" s="24" t="inlineStr">
        <is>
          <t>00366942</t>
        </is>
      </c>
      <c r="C513" s="24" t="inlineStr">
        <is>
          <t>미코</t>
        </is>
      </c>
      <c r="D513" s="24" t="inlineStr">
        <is>
          <t>mico</t>
        </is>
      </c>
      <c r="E513" s="24" t="inlineStr">
        <is>
          <t>059090</t>
        </is>
      </c>
      <c r="F513" s="24" t="inlineStr">
        <is>
          <t>2023</t>
        </is>
      </c>
      <c r="G513" s="24" t="inlineStr">
        <is>
          <t>CFS</t>
        </is>
      </c>
      <c r="H513" s="24" t="inlineStr">
        <is>
          <t>CIS</t>
        </is>
      </c>
      <c r="I513" s="24" t="inlineStr">
        <is>
          <t>포괄손익계산서</t>
        </is>
      </c>
      <c r="J513" s="24" t="inlineStr">
        <is>
          <t>ifrs-full_BasicEarningsLossPerShare</t>
        </is>
      </c>
      <c r="K513" s="24" t="inlineStr">
        <is>
          <t>기본주당이익(손실)</t>
        </is>
      </c>
      <c r="L513" s="24" t="inlineStr">
        <is>
          <t>-</t>
        </is>
      </c>
      <c r="M513" s="24" t="inlineStr">
        <is>
          <t>제 25 기</t>
        </is>
      </c>
      <c r="N513" s="24" t="inlineStr">
        <is>
          <t>-865.0</t>
        </is>
      </c>
      <c r="O513" s="24" t="inlineStr">
        <is>
          <t>-1743.0</t>
        </is>
      </c>
      <c r="P513" s="24" t="inlineStr">
        <is>
          <t>KRW</t>
        </is>
      </c>
      <c r="Q513" s="24" t="inlineStr">
        <is>
          <t>16</t>
        </is>
      </c>
    </row>
    <row r="514" ht="24" customHeight="1">
      <c r="A514" s="29" t="inlineStr">
        <is>
          <t>OpenDART_fnlttSinglAcntAll</t>
        </is>
      </c>
      <c r="B514" s="29" t="inlineStr">
        <is>
          <t>00366942</t>
        </is>
      </c>
      <c r="C514" s="29" t="inlineStr">
        <is>
          <t>미코</t>
        </is>
      </c>
      <c r="D514" s="29" t="inlineStr">
        <is>
          <t>mico</t>
        </is>
      </c>
      <c r="E514" s="29" t="inlineStr">
        <is>
          <t>059090</t>
        </is>
      </c>
      <c r="F514" s="29" t="inlineStr">
        <is>
          <t>2023</t>
        </is>
      </c>
      <c r="G514" s="29" t="inlineStr">
        <is>
          <t>CFS</t>
        </is>
      </c>
      <c r="H514" s="29" t="inlineStr">
        <is>
          <t>CIS</t>
        </is>
      </c>
      <c r="I514" s="29" t="inlineStr">
        <is>
          <t>포괄손익계산서</t>
        </is>
      </c>
      <c r="J514" s="29" t="inlineStr">
        <is>
          <t>ifrs-full_DilutedEarningsLossPerShare</t>
        </is>
      </c>
      <c r="K514" s="29" t="inlineStr">
        <is>
          <t>희석주당이익(손실)</t>
        </is>
      </c>
      <c r="L514" s="29" t="inlineStr">
        <is>
          <t>-</t>
        </is>
      </c>
      <c r="M514" s="29" t="inlineStr">
        <is>
          <t>제 25 기</t>
        </is>
      </c>
      <c r="N514" s="29" t="inlineStr">
        <is>
          <t>-865.0</t>
        </is>
      </c>
      <c r="O514" s="29" t="inlineStr">
        <is>
          <t>-1743.0</t>
        </is>
      </c>
      <c r="P514" s="29" t="inlineStr">
        <is>
          <t>KRW</t>
        </is>
      </c>
      <c r="Q514" s="29" t="inlineStr">
        <is>
          <t>17</t>
        </is>
      </c>
    </row>
    <row r="515" ht="24" customHeight="1">
      <c r="A515" s="24" t="inlineStr">
        <is>
          <t>OpenDART_fnlttSinglAcntAll</t>
        </is>
      </c>
      <c r="B515" s="24" t="inlineStr">
        <is>
          <t>00366942</t>
        </is>
      </c>
      <c r="C515" s="24" t="inlineStr">
        <is>
          <t>미코</t>
        </is>
      </c>
      <c r="D515" s="24" t="inlineStr">
        <is>
          <t>mico</t>
        </is>
      </c>
      <c r="E515" s="24" t="inlineStr">
        <is>
          <t>059090</t>
        </is>
      </c>
      <c r="F515" s="24" t="inlineStr">
        <is>
          <t>2023</t>
        </is>
      </c>
      <c r="G515" s="24" t="inlineStr">
        <is>
          <t>CFS</t>
        </is>
      </c>
      <c r="H515" s="24" t="inlineStr">
        <is>
          <t>CIS</t>
        </is>
      </c>
      <c r="I515" s="24" t="inlineStr">
        <is>
          <t>포괄손익계산서</t>
        </is>
      </c>
      <c r="J515" s="24" t="inlineStr">
        <is>
          <t>ifrs-full_FinanceCosts</t>
        </is>
      </c>
      <c r="K515" s="24" t="inlineStr">
        <is>
          <t>금융비용</t>
        </is>
      </c>
      <c r="L515" s="24" t="inlineStr">
        <is>
          <t>-</t>
        </is>
      </c>
      <c r="M515" s="24" t="inlineStr">
        <is>
          <t>제 25 기</t>
        </is>
      </c>
      <c r="N515" s="24" t="inlineStr">
        <is>
          <t>25570915020.0</t>
        </is>
      </c>
      <c r="O515" s="24" t="inlineStr">
        <is>
          <t>37125242188.0</t>
        </is>
      </c>
      <c r="P515" s="24" t="inlineStr">
        <is>
          <t>KRW</t>
        </is>
      </c>
      <c r="Q515" s="24" t="inlineStr">
        <is>
          <t>18</t>
        </is>
      </c>
    </row>
    <row r="516" ht="24" customHeight="1">
      <c r="A516" s="29" t="inlineStr">
        <is>
          <t>OpenDART_fnlttSinglAcntAll</t>
        </is>
      </c>
      <c r="B516" s="29" t="inlineStr">
        <is>
          <t>00366942</t>
        </is>
      </c>
      <c r="C516" s="29" t="inlineStr">
        <is>
          <t>미코</t>
        </is>
      </c>
      <c r="D516" s="29" t="inlineStr">
        <is>
          <t>mico</t>
        </is>
      </c>
      <c r="E516" s="29" t="inlineStr">
        <is>
          <t>059090</t>
        </is>
      </c>
      <c r="F516" s="29" t="inlineStr">
        <is>
          <t>2023</t>
        </is>
      </c>
      <c r="G516" s="29" t="inlineStr">
        <is>
          <t>CFS</t>
        </is>
      </c>
      <c r="H516" s="29" t="inlineStr">
        <is>
          <t>CIS</t>
        </is>
      </c>
      <c r="I516" s="29" t="inlineStr">
        <is>
          <t>포괄손익계산서</t>
        </is>
      </c>
      <c r="J516" s="29" t="inlineStr">
        <is>
          <t>ifrs-full_FinanceIncome</t>
        </is>
      </c>
      <c r="K516" s="29" t="inlineStr">
        <is>
          <t>금융수익</t>
        </is>
      </c>
      <c r="L516" s="29" t="inlineStr">
        <is>
          <t>-</t>
        </is>
      </c>
      <c r="M516" s="29" t="inlineStr">
        <is>
          <t>제 25 기</t>
        </is>
      </c>
      <c r="N516" s="29" t="inlineStr">
        <is>
          <t>36053053264.0</t>
        </is>
      </c>
      <c r="O516" s="29" t="inlineStr">
        <is>
          <t>17362094339.0</t>
        </is>
      </c>
      <c r="P516" s="29" t="inlineStr">
        <is>
          <t>KRW</t>
        </is>
      </c>
      <c r="Q516" s="29" t="inlineStr">
        <is>
          <t>19</t>
        </is>
      </c>
    </row>
    <row r="517" ht="24" customHeight="1">
      <c r="A517" s="24" t="inlineStr">
        <is>
          <t>OpenDART_fnlttSinglAcntAll</t>
        </is>
      </c>
      <c r="B517" s="24" t="inlineStr">
        <is>
          <t>00366942</t>
        </is>
      </c>
      <c r="C517" s="24" t="inlineStr">
        <is>
          <t>미코</t>
        </is>
      </c>
      <c r="D517" s="24" t="inlineStr">
        <is>
          <t>mico</t>
        </is>
      </c>
      <c r="E517" s="24" t="inlineStr">
        <is>
          <t>059090</t>
        </is>
      </c>
      <c r="F517" s="24" t="inlineStr">
        <is>
          <t>2023</t>
        </is>
      </c>
      <c r="G517" s="24" t="inlineStr">
        <is>
          <t>CFS</t>
        </is>
      </c>
      <c r="H517" s="24" t="inlineStr">
        <is>
          <t>CIS</t>
        </is>
      </c>
      <c r="I517" s="24" t="inlineStr">
        <is>
          <t>포괄손익계산서</t>
        </is>
      </c>
      <c r="J517" s="24" t="inlineStr">
        <is>
          <t>ifrs-full_GrossProfit</t>
        </is>
      </c>
      <c r="K517" s="24" t="inlineStr">
        <is>
          <t>매출총이익</t>
        </is>
      </c>
      <c r="L517" s="24" t="inlineStr">
        <is>
          <t>-</t>
        </is>
      </c>
      <c r="M517" s="24" t="inlineStr">
        <is>
          <t>제 25 기</t>
        </is>
      </c>
      <c r="N517" s="24" t="inlineStr">
        <is>
          <t>158111555389.0</t>
        </is>
      </c>
      <c r="O517" s="24" t="inlineStr">
        <is>
          <t>195974445862.0</t>
        </is>
      </c>
      <c r="P517" s="24" t="inlineStr">
        <is>
          <t>KRW</t>
        </is>
      </c>
      <c r="Q517" s="24" t="inlineStr">
        <is>
          <t>20</t>
        </is>
      </c>
    </row>
    <row r="518" ht="24" customHeight="1">
      <c r="A518" s="29" t="inlineStr">
        <is>
          <t>OpenDART_fnlttSinglAcntAll</t>
        </is>
      </c>
      <c r="B518" s="29" t="inlineStr">
        <is>
          <t>00366942</t>
        </is>
      </c>
      <c r="C518" s="29" t="inlineStr">
        <is>
          <t>미코</t>
        </is>
      </c>
      <c r="D518" s="29" t="inlineStr">
        <is>
          <t>mico</t>
        </is>
      </c>
      <c r="E518" s="29" t="inlineStr">
        <is>
          <t>059090</t>
        </is>
      </c>
      <c r="F518" s="29" t="inlineStr">
        <is>
          <t>2023</t>
        </is>
      </c>
      <c r="G518" s="29" t="inlineStr">
        <is>
          <t>CFS</t>
        </is>
      </c>
      <c r="H518" s="29" t="inlineStr">
        <is>
          <t>CIS</t>
        </is>
      </c>
      <c r="I518" s="29" t="inlineStr">
        <is>
          <t>포괄손익계산서</t>
        </is>
      </c>
      <c r="J518" s="29" t="inlineStr">
        <is>
          <t>ifrs-full_IncomeTaxExpenseContinuingOperations</t>
        </is>
      </c>
      <c r="K518" s="29" t="inlineStr">
        <is>
          <t>법인세비용(수익)</t>
        </is>
      </c>
      <c r="L518" s="29" t="inlineStr">
        <is>
          <t>-</t>
        </is>
      </c>
      <c r="M518" s="29" t="inlineStr">
        <is>
          <t>제 25 기</t>
        </is>
      </c>
      <c r="N518" s="29" t="inlineStr">
        <is>
          <t>13025046216.0</t>
        </is>
      </c>
      <c r="O518" s="29" t="inlineStr">
        <is>
          <t>10960132234.0</t>
        </is>
      </c>
      <c r="P518" s="29" t="inlineStr">
        <is>
          <t>KRW</t>
        </is>
      </c>
      <c r="Q518" s="29" t="inlineStr">
        <is>
          <t>21</t>
        </is>
      </c>
    </row>
    <row r="519" ht="24" customHeight="1">
      <c r="A519" s="24" t="inlineStr">
        <is>
          <t>OpenDART_fnlttSinglAcntAll</t>
        </is>
      </c>
      <c r="B519" s="24" t="inlineStr">
        <is>
          <t>00366942</t>
        </is>
      </c>
      <c r="C519" s="24" t="inlineStr">
        <is>
          <t>미코</t>
        </is>
      </c>
      <c r="D519" s="24" t="inlineStr">
        <is>
          <t>mico</t>
        </is>
      </c>
      <c r="E519" s="24" t="inlineStr">
        <is>
          <t>059090</t>
        </is>
      </c>
      <c r="F519" s="24" t="inlineStr">
        <is>
          <t>2023</t>
        </is>
      </c>
      <c r="G519" s="24" t="inlineStr">
        <is>
          <t>CFS</t>
        </is>
      </c>
      <c r="H519" s="24" t="inlineStr">
        <is>
          <t>CIS</t>
        </is>
      </c>
      <c r="I519" s="24" t="inlineStr">
        <is>
          <t>포괄손익계산서</t>
        </is>
      </c>
      <c r="J519" s="24" t="inlineStr">
        <is>
          <t>ifrs-full_OtherComprehensiveIncome</t>
        </is>
      </c>
      <c r="K519" s="24" t="inlineStr">
        <is>
          <t>기타포괄손익</t>
        </is>
      </c>
      <c r="L519" s="24" t="inlineStr">
        <is>
          <t>-</t>
        </is>
      </c>
      <c r="M519" s="24" t="inlineStr">
        <is>
          <t>제 25 기</t>
        </is>
      </c>
      <c r="N519" s="24" t="inlineStr">
        <is>
          <t>-2376199279.0</t>
        </is>
      </c>
      <c r="O519" s="24" t="inlineStr">
        <is>
          <t>7623171632.0</t>
        </is>
      </c>
      <c r="P519" s="24" t="inlineStr">
        <is>
          <t>KRW</t>
        </is>
      </c>
      <c r="Q519" s="24" t="inlineStr">
        <is>
          <t>22</t>
        </is>
      </c>
    </row>
    <row r="520" ht="24" customHeight="1">
      <c r="A520" s="29" t="inlineStr">
        <is>
          <t>OpenDART_fnlttSinglAcntAll</t>
        </is>
      </c>
      <c r="B520" s="29" t="inlineStr">
        <is>
          <t>00366942</t>
        </is>
      </c>
      <c r="C520" s="29" t="inlineStr">
        <is>
          <t>미코</t>
        </is>
      </c>
      <c r="D520" s="29" t="inlineStr">
        <is>
          <t>mico</t>
        </is>
      </c>
      <c r="E520" s="29" t="inlineStr">
        <is>
          <t>059090</t>
        </is>
      </c>
      <c r="F520" s="29" t="inlineStr">
        <is>
          <t>2023</t>
        </is>
      </c>
      <c r="G520" s="29" t="inlineStr">
        <is>
          <t>CFS</t>
        </is>
      </c>
      <c r="H520" s="29" t="inlineStr">
        <is>
          <t>CIS</t>
        </is>
      </c>
      <c r="I520" s="29" t="inlineStr">
        <is>
          <t>포괄손익계산서</t>
        </is>
      </c>
      <c r="J520" s="29" t="inlineStr">
        <is>
          <t>-표준계정코드 미사용-</t>
        </is>
      </c>
      <c r="K520" s="29" t="inlineStr">
        <is>
          <t>: 후속적으로 당기손익으로 재분류되지 않는 포괄손익</t>
        </is>
      </c>
      <c r="L520" s="29" t="inlineStr">
        <is>
          <t>-</t>
        </is>
      </c>
      <c r="M520" s="29" t="inlineStr">
        <is>
          <t>제 25 기</t>
        </is>
      </c>
      <c r="N520" s="29" t="inlineStr">
        <is>
          <t>-1661582462.0</t>
        </is>
      </c>
      <c r="O520" s="29" t="inlineStr">
        <is>
          <t>3417198041.0</t>
        </is>
      </c>
      <c r="P520" s="29" t="inlineStr">
        <is>
          <t>KRW</t>
        </is>
      </c>
      <c r="Q520" s="29" t="inlineStr">
        <is>
          <t>23</t>
        </is>
      </c>
    </row>
    <row r="521" ht="24" customHeight="1">
      <c r="A521" s="24" t="inlineStr">
        <is>
          <t>OpenDART_fnlttSinglAcntAll</t>
        </is>
      </c>
      <c r="B521" s="24" t="inlineStr">
        <is>
          <t>00366942</t>
        </is>
      </c>
      <c r="C521" s="24" t="inlineStr">
        <is>
          <t>미코</t>
        </is>
      </c>
      <c r="D521" s="24" t="inlineStr">
        <is>
          <t>mico</t>
        </is>
      </c>
      <c r="E521" s="24" t="inlineStr">
        <is>
          <t>059090</t>
        </is>
      </c>
      <c r="F521" s="24" t="inlineStr">
        <is>
          <t>2023</t>
        </is>
      </c>
      <c r="G521" s="24" t="inlineStr">
        <is>
          <t>CFS</t>
        </is>
      </c>
      <c r="H521" s="24" t="inlineStr">
        <is>
          <t>CIS</t>
        </is>
      </c>
      <c r="I521" s="24" t="inlineStr">
        <is>
          <t>포괄손익계산서</t>
        </is>
      </c>
      <c r="J521" s="24" t="inlineStr">
        <is>
          <t>-표준계정코드 미사용-</t>
        </is>
      </c>
      <c r="K521" s="24" t="inlineStr">
        <is>
          <t>기타포괄손익-공정가치측정금융자산평가손익</t>
        </is>
      </c>
      <c r="L521" s="24" t="inlineStr">
        <is>
          <t>-</t>
        </is>
      </c>
      <c r="M521" s="24" t="inlineStr">
        <is>
          <t>제 25 기</t>
        </is>
      </c>
      <c r="N521" s="24" t="inlineStr">
        <is>
          <t>해당 없음</t>
        </is>
      </c>
      <c r="O521" s="24" t="inlineStr">
        <is>
          <t>363130294.0</t>
        </is>
      </c>
      <c r="P521" s="24" t="inlineStr">
        <is>
          <t>KRW</t>
        </is>
      </c>
      <c r="Q521" s="24" t="inlineStr">
        <is>
          <t>24</t>
        </is>
      </c>
    </row>
    <row r="522" ht="24" customHeight="1">
      <c r="A522" s="29" t="inlineStr">
        <is>
          <t>OpenDART_fnlttSinglAcntAll</t>
        </is>
      </c>
      <c r="B522" s="29" t="inlineStr">
        <is>
          <t>00366942</t>
        </is>
      </c>
      <c r="C522" s="29" t="inlineStr">
        <is>
          <t>미코</t>
        </is>
      </c>
      <c r="D522" s="29" t="inlineStr">
        <is>
          <t>mico</t>
        </is>
      </c>
      <c r="E522" s="29" t="inlineStr">
        <is>
          <t>059090</t>
        </is>
      </c>
      <c r="F522" s="29" t="inlineStr">
        <is>
          <t>2023</t>
        </is>
      </c>
      <c r="G522" s="29" t="inlineStr">
        <is>
          <t>CFS</t>
        </is>
      </c>
      <c r="H522" s="29" t="inlineStr">
        <is>
          <t>CIS</t>
        </is>
      </c>
      <c r="I522" s="29" t="inlineStr">
        <is>
          <t>포괄손익계산서</t>
        </is>
      </c>
      <c r="J522" s="29" t="inlineStr">
        <is>
          <t>-표준계정코드 미사용-</t>
        </is>
      </c>
      <c r="K522" s="29" t="inlineStr">
        <is>
          <t>보험수리적손익</t>
        </is>
      </c>
      <c r="L522" s="29" t="inlineStr">
        <is>
          <t>-</t>
        </is>
      </c>
      <c r="M522" s="29" t="inlineStr">
        <is>
          <t>제 25 기</t>
        </is>
      </c>
      <c r="N522" s="29" t="inlineStr">
        <is>
          <t>-773054587.0</t>
        </is>
      </c>
      <c r="O522" s="29" t="inlineStr">
        <is>
          <t>2703551061.0</t>
        </is>
      </c>
      <c r="P522" s="29" t="inlineStr">
        <is>
          <t>KRW</t>
        </is>
      </c>
      <c r="Q522" s="29" t="inlineStr">
        <is>
          <t>25</t>
        </is>
      </c>
    </row>
    <row r="523" ht="24" customHeight="1">
      <c r="A523" s="24" t="inlineStr">
        <is>
          <t>OpenDART_fnlttSinglAcntAll</t>
        </is>
      </c>
      <c r="B523" s="24" t="inlineStr">
        <is>
          <t>00366942</t>
        </is>
      </c>
      <c r="C523" s="24" t="inlineStr">
        <is>
          <t>미코</t>
        </is>
      </c>
      <c r="D523" s="24" t="inlineStr">
        <is>
          <t>mico</t>
        </is>
      </c>
      <c r="E523" s="24" t="inlineStr">
        <is>
          <t>059090</t>
        </is>
      </c>
      <c r="F523" s="24" t="inlineStr">
        <is>
          <t>2023</t>
        </is>
      </c>
      <c r="G523" s="24" t="inlineStr">
        <is>
          <t>CFS</t>
        </is>
      </c>
      <c r="H523" s="24" t="inlineStr">
        <is>
          <t>CIS</t>
        </is>
      </c>
      <c r="I523" s="24" t="inlineStr">
        <is>
          <t>포괄손익계산서</t>
        </is>
      </c>
      <c r="J523" s="24" t="inlineStr">
        <is>
          <t>-표준계정코드 미사용-</t>
        </is>
      </c>
      <c r="K523" s="24" t="inlineStr">
        <is>
          <t>지분법자본변동</t>
        </is>
      </c>
      <c r="L523" s="24" t="inlineStr">
        <is>
          <t>-</t>
        </is>
      </c>
      <c r="M523" s="24" t="inlineStr">
        <is>
          <t>제 25 기</t>
        </is>
      </c>
      <c r="N523" s="24" t="inlineStr">
        <is>
          <t>-888527875.0</t>
        </is>
      </c>
      <c r="O523" s="24" t="inlineStr">
        <is>
          <t>350516686.0</t>
        </is>
      </c>
      <c r="P523" s="24" t="inlineStr">
        <is>
          <t>KRW</t>
        </is>
      </c>
      <c r="Q523" s="24" t="inlineStr">
        <is>
          <t>26</t>
        </is>
      </c>
    </row>
    <row r="524" ht="24" customHeight="1">
      <c r="A524" s="29" t="inlineStr">
        <is>
          <t>OpenDART_fnlttSinglAcntAll</t>
        </is>
      </c>
      <c r="B524" s="29" t="inlineStr">
        <is>
          <t>00366942</t>
        </is>
      </c>
      <c r="C524" s="29" t="inlineStr">
        <is>
          <t>미코</t>
        </is>
      </c>
      <c r="D524" s="29" t="inlineStr">
        <is>
          <t>mico</t>
        </is>
      </c>
      <c r="E524" s="29" t="inlineStr">
        <is>
          <t>059090</t>
        </is>
      </c>
      <c r="F524" s="29" t="inlineStr">
        <is>
          <t>2023</t>
        </is>
      </c>
      <c r="G524" s="29" t="inlineStr">
        <is>
          <t>CFS</t>
        </is>
      </c>
      <c r="H524" s="29" t="inlineStr">
        <is>
          <t>CIS</t>
        </is>
      </c>
      <c r="I524" s="29" t="inlineStr">
        <is>
          <t>포괄손익계산서</t>
        </is>
      </c>
      <c r="J524" s="29" t="inlineStr">
        <is>
          <t>-표준계정코드 미사용-</t>
        </is>
      </c>
      <c r="K524" s="29" t="inlineStr">
        <is>
          <t>: 후속적으로 당기손익으로 재분류되는 포괄손익</t>
        </is>
      </c>
      <c r="L524" s="29" t="inlineStr">
        <is>
          <t>-</t>
        </is>
      </c>
      <c r="M524" s="29" t="inlineStr">
        <is>
          <t>제 25 기</t>
        </is>
      </c>
      <c r="N524" s="29" t="inlineStr">
        <is>
          <t>-714616817.0</t>
        </is>
      </c>
      <c r="O524" s="29" t="inlineStr">
        <is>
          <t>4205973591.0</t>
        </is>
      </c>
      <c r="P524" s="29" t="inlineStr">
        <is>
          <t>KRW</t>
        </is>
      </c>
      <c r="Q524" s="29" t="inlineStr">
        <is>
          <t>27</t>
        </is>
      </c>
    </row>
    <row r="525" ht="24" customHeight="1">
      <c r="A525" s="24" t="inlineStr">
        <is>
          <t>OpenDART_fnlttSinglAcntAll</t>
        </is>
      </c>
      <c r="B525" s="24" t="inlineStr">
        <is>
          <t>00366942</t>
        </is>
      </c>
      <c r="C525" s="24" t="inlineStr">
        <is>
          <t>미코</t>
        </is>
      </c>
      <c r="D525" s="24" t="inlineStr">
        <is>
          <t>mico</t>
        </is>
      </c>
      <c r="E525" s="24" t="inlineStr">
        <is>
          <t>059090</t>
        </is>
      </c>
      <c r="F525" s="24" t="inlineStr">
        <is>
          <t>2023</t>
        </is>
      </c>
      <c r="G525" s="24" t="inlineStr">
        <is>
          <t>CFS</t>
        </is>
      </c>
      <c r="H525" s="24" t="inlineStr">
        <is>
          <t>CIS</t>
        </is>
      </c>
      <c r="I525" s="24" t="inlineStr">
        <is>
          <t>포괄손익계산서</t>
        </is>
      </c>
      <c r="J525" s="24" t="inlineStr">
        <is>
          <t>-표준계정코드 미사용-</t>
        </is>
      </c>
      <c r="K525" s="24" t="inlineStr">
        <is>
          <t>해외사업환산손익</t>
        </is>
      </c>
      <c r="L525" s="24" t="inlineStr">
        <is>
          <t>-</t>
        </is>
      </c>
      <c r="M525" s="24" t="inlineStr">
        <is>
          <t>제 25 기</t>
        </is>
      </c>
      <c r="N525" s="24" t="inlineStr">
        <is>
          <t>-739500736.0</t>
        </is>
      </c>
      <c r="O525" s="24" t="inlineStr">
        <is>
          <t>4063873276.0</t>
        </is>
      </c>
      <c r="P525" s="24" t="inlineStr">
        <is>
          <t>KRW</t>
        </is>
      </c>
      <c r="Q525" s="24" t="inlineStr">
        <is>
          <t>28</t>
        </is>
      </c>
    </row>
    <row r="526" ht="24" customHeight="1">
      <c r="A526" s="29" t="inlineStr">
        <is>
          <t>OpenDART_fnlttSinglAcntAll</t>
        </is>
      </c>
      <c r="B526" s="29" t="inlineStr">
        <is>
          <t>00366942</t>
        </is>
      </c>
      <c r="C526" s="29" t="inlineStr">
        <is>
          <t>미코</t>
        </is>
      </c>
      <c r="D526" s="29" t="inlineStr">
        <is>
          <t>mico</t>
        </is>
      </c>
      <c r="E526" s="29" t="inlineStr">
        <is>
          <t>059090</t>
        </is>
      </c>
      <c r="F526" s="29" t="inlineStr">
        <is>
          <t>2023</t>
        </is>
      </c>
      <c r="G526" s="29" t="inlineStr">
        <is>
          <t>CFS</t>
        </is>
      </c>
      <c r="H526" s="29" t="inlineStr">
        <is>
          <t>CIS</t>
        </is>
      </c>
      <c r="I526" s="29" t="inlineStr">
        <is>
          <t>포괄손익계산서</t>
        </is>
      </c>
      <c r="J526" s="29" t="inlineStr">
        <is>
          <t>-표준계정코드 미사용-</t>
        </is>
      </c>
      <c r="K526" s="29" t="inlineStr">
        <is>
          <t>지분법자본변동</t>
        </is>
      </c>
      <c r="L526" s="29" t="inlineStr">
        <is>
          <t>-</t>
        </is>
      </c>
      <c r="M526" s="29" t="inlineStr">
        <is>
          <t>제 25 기</t>
        </is>
      </c>
      <c r="N526" s="29" t="inlineStr">
        <is>
          <t>24883919.0</t>
        </is>
      </c>
      <c r="O526" s="29" t="inlineStr">
        <is>
          <t>142100315.0</t>
        </is>
      </c>
      <c r="P526" s="29" t="inlineStr">
        <is>
          <t>KRW</t>
        </is>
      </c>
      <c r="Q526" s="29" t="inlineStr">
        <is>
          <t>29</t>
        </is>
      </c>
    </row>
    <row r="527" ht="24" customHeight="1">
      <c r="A527" s="24" t="inlineStr">
        <is>
          <t>OpenDART_fnlttSinglAcntAll</t>
        </is>
      </c>
      <c r="B527" s="24" t="inlineStr">
        <is>
          <t>00366942</t>
        </is>
      </c>
      <c r="C527" s="24" t="inlineStr">
        <is>
          <t>미코</t>
        </is>
      </c>
      <c r="D527" s="24" t="inlineStr">
        <is>
          <t>mico</t>
        </is>
      </c>
      <c r="E527" s="24" t="inlineStr">
        <is>
          <t>059090</t>
        </is>
      </c>
      <c r="F527" s="24" t="inlineStr">
        <is>
          <t>2023</t>
        </is>
      </c>
      <c r="G527" s="24" t="inlineStr">
        <is>
          <t>CFS</t>
        </is>
      </c>
      <c r="H527" s="24" t="inlineStr">
        <is>
          <t>CIS</t>
        </is>
      </c>
      <c r="I527" s="24" t="inlineStr">
        <is>
          <t>포괄손익계산서</t>
        </is>
      </c>
      <c r="J527" s="24" t="inlineStr">
        <is>
          <t>ifrs-full_ProfitLoss</t>
        </is>
      </c>
      <c r="K527" s="24" t="inlineStr">
        <is>
          <t>당기순이익(손실)</t>
        </is>
      </c>
      <c r="L527" s="24" t="inlineStr">
        <is>
          <t>-</t>
        </is>
      </c>
      <c r="M527" s="24" t="inlineStr">
        <is>
          <t>제 25 기</t>
        </is>
      </c>
      <c r="N527" s="24" t="inlineStr">
        <is>
          <t>-2036721583.0</t>
        </is>
      </c>
      <c r="O527" s="24" t="inlineStr">
        <is>
          <t>-31225946867.0</t>
        </is>
      </c>
      <c r="P527" s="24" t="inlineStr">
        <is>
          <t>KRW</t>
        </is>
      </c>
      <c r="Q527" s="24" t="inlineStr">
        <is>
          <t>30</t>
        </is>
      </c>
    </row>
    <row r="528" ht="24" customHeight="1">
      <c r="A528" s="29" t="inlineStr">
        <is>
          <t>OpenDART_fnlttSinglAcntAll</t>
        </is>
      </c>
      <c r="B528" s="29" t="inlineStr">
        <is>
          <t>00366942</t>
        </is>
      </c>
      <c r="C528" s="29" t="inlineStr">
        <is>
          <t>미코</t>
        </is>
      </c>
      <c r="D528" s="29" t="inlineStr">
        <is>
          <t>mico</t>
        </is>
      </c>
      <c r="E528" s="29" t="inlineStr">
        <is>
          <t>059090</t>
        </is>
      </c>
      <c r="F528" s="29" t="inlineStr">
        <is>
          <t>2023</t>
        </is>
      </c>
      <c r="G528" s="29" t="inlineStr">
        <is>
          <t>CFS</t>
        </is>
      </c>
      <c r="H528" s="29" t="inlineStr">
        <is>
          <t>CIS</t>
        </is>
      </c>
      <c r="I528" s="29" t="inlineStr">
        <is>
          <t>포괄손익계산서</t>
        </is>
      </c>
      <c r="J528" s="29" t="inlineStr">
        <is>
          <t>ifrs-full_ProfitLossAttributableToNoncontrollingInterests</t>
        </is>
      </c>
      <c r="K528" s="29" t="inlineStr">
        <is>
          <t>비지배지분</t>
        </is>
      </c>
      <c r="L528" s="29" t="inlineStr">
        <is>
          <t>-</t>
        </is>
      </c>
      <c r="M528" s="29" t="inlineStr">
        <is>
          <t>제 25 기</t>
        </is>
      </c>
      <c r="N528" s="29" t="inlineStr">
        <is>
          <t>25219016830.0</t>
        </is>
      </c>
      <c r="O528" s="29" t="inlineStr">
        <is>
          <t>24005212536.0</t>
        </is>
      </c>
      <c r="P528" s="29" t="inlineStr">
        <is>
          <t>KRW</t>
        </is>
      </c>
      <c r="Q528" s="29" t="inlineStr">
        <is>
          <t>32</t>
        </is>
      </c>
    </row>
    <row r="529" ht="24" customHeight="1">
      <c r="A529" s="24" t="inlineStr">
        <is>
          <t>OpenDART_fnlttSinglAcntAll</t>
        </is>
      </c>
      <c r="B529" s="24" t="inlineStr">
        <is>
          <t>00366942</t>
        </is>
      </c>
      <c r="C529" s="24" t="inlineStr">
        <is>
          <t>미코</t>
        </is>
      </c>
      <c r="D529" s="24" t="inlineStr">
        <is>
          <t>mico</t>
        </is>
      </c>
      <c r="E529" s="24" t="inlineStr">
        <is>
          <t>059090</t>
        </is>
      </c>
      <c r="F529" s="24" t="inlineStr">
        <is>
          <t>2023</t>
        </is>
      </c>
      <c r="G529" s="24" t="inlineStr">
        <is>
          <t>CFS</t>
        </is>
      </c>
      <c r="H529" s="24" t="inlineStr">
        <is>
          <t>CIS</t>
        </is>
      </c>
      <c r="I529" s="24" t="inlineStr">
        <is>
          <t>포괄손익계산서</t>
        </is>
      </c>
      <c r="J529" s="24" t="inlineStr">
        <is>
          <t>ifrs-full_ProfitLossAttributableToOwnersOfParent</t>
        </is>
      </c>
      <c r="K529" s="24" t="inlineStr">
        <is>
          <t>지배기업소유지분</t>
        </is>
      </c>
      <c r="L529" s="24" t="inlineStr">
        <is>
          <t>-</t>
        </is>
      </c>
      <c r="M529" s="24" t="inlineStr">
        <is>
          <t>제 25 기</t>
        </is>
      </c>
      <c r="N529" s="24" t="inlineStr">
        <is>
          <t>-27255738413.0</t>
        </is>
      </c>
      <c r="O529" s="24" t="inlineStr">
        <is>
          <t>-55231159403.0</t>
        </is>
      </c>
      <c r="P529" s="24" t="inlineStr">
        <is>
          <t>KRW</t>
        </is>
      </c>
      <c r="Q529" s="24" t="inlineStr">
        <is>
          <t>33</t>
        </is>
      </c>
    </row>
    <row r="530" ht="24" customHeight="1">
      <c r="A530" s="29" t="inlineStr">
        <is>
          <t>OpenDART_fnlttSinglAcntAll</t>
        </is>
      </c>
      <c r="B530" s="29" t="inlineStr">
        <is>
          <t>00366942</t>
        </is>
      </c>
      <c r="C530" s="29" t="inlineStr">
        <is>
          <t>미코</t>
        </is>
      </c>
      <c r="D530" s="29" t="inlineStr">
        <is>
          <t>mico</t>
        </is>
      </c>
      <c r="E530" s="29" t="inlineStr">
        <is>
          <t>059090</t>
        </is>
      </c>
      <c r="F530" s="29" t="inlineStr">
        <is>
          <t>2023</t>
        </is>
      </c>
      <c r="G530" s="29" t="inlineStr">
        <is>
          <t>CFS</t>
        </is>
      </c>
      <c r="H530" s="29" t="inlineStr">
        <is>
          <t>CIS</t>
        </is>
      </c>
      <c r="I530" s="29" t="inlineStr">
        <is>
          <t>포괄손익계산서</t>
        </is>
      </c>
      <c r="J530" s="29" t="inlineStr">
        <is>
          <t>ifrs-full_ProfitLossBeforeTax</t>
        </is>
      </c>
      <c r="K530" s="29" t="inlineStr">
        <is>
          <t>법인세비용차감전순이익(손실)</t>
        </is>
      </c>
      <c r="L530" s="29" t="inlineStr">
        <is>
          <t>-</t>
        </is>
      </c>
      <c r="M530" s="29" t="inlineStr">
        <is>
          <t>제 25 기</t>
        </is>
      </c>
      <c r="N530" s="29" t="inlineStr">
        <is>
          <t>10988324633.0</t>
        </is>
      </c>
      <c r="O530" s="29" t="inlineStr">
        <is>
          <t>-20265814633.0</t>
        </is>
      </c>
      <c r="P530" s="29" t="inlineStr">
        <is>
          <t>KRW</t>
        </is>
      </c>
      <c r="Q530" s="29" t="inlineStr">
        <is>
          <t>34</t>
        </is>
      </c>
    </row>
    <row r="531" ht="24" customHeight="1">
      <c r="A531" s="24" t="inlineStr">
        <is>
          <t>OpenDART_fnlttSinglAcntAll</t>
        </is>
      </c>
      <c r="B531" s="24" t="inlineStr">
        <is>
          <t>00366942</t>
        </is>
      </c>
      <c r="C531" s="24" t="inlineStr">
        <is>
          <t>미코</t>
        </is>
      </c>
      <c r="D531" s="24" t="inlineStr">
        <is>
          <t>mico</t>
        </is>
      </c>
      <c r="E531" s="24" t="inlineStr">
        <is>
          <t>059090</t>
        </is>
      </c>
      <c r="F531" s="24" t="inlineStr">
        <is>
          <t>2023</t>
        </is>
      </c>
      <c r="G531" s="24" t="inlineStr">
        <is>
          <t>CFS</t>
        </is>
      </c>
      <c r="H531" s="24" t="inlineStr">
        <is>
          <t>CIS</t>
        </is>
      </c>
      <c r="I531" s="24" t="inlineStr">
        <is>
          <t>포괄손익계산서</t>
        </is>
      </c>
      <c r="J531" s="24" t="inlineStr">
        <is>
          <t>ifrs-full_Revenue</t>
        </is>
      </c>
      <c r="K531" s="24" t="inlineStr">
        <is>
          <t>매출액</t>
        </is>
      </c>
      <c r="L531" s="24" t="inlineStr">
        <is>
          <t>-</t>
        </is>
      </c>
      <c r="M531" s="24" t="inlineStr">
        <is>
          <t>제 25 기</t>
        </is>
      </c>
      <c r="N531" s="24" t="inlineStr">
        <is>
          <t>387340942797.0</t>
        </is>
      </c>
      <c r="O531" s="24" t="inlineStr">
        <is>
          <t>414832269255.0</t>
        </is>
      </c>
      <c r="P531" s="24" t="inlineStr">
        <is>
          <t>KRW</t>
        </is>
      </c>
      <c r="Q531" s="24" t="inlineStr">
        <is>
          <t>35</t>
        </is>
      </c>
    </row>
    <row r="532" ht="24" customHeight="1">
      <c r="A532" s="29" t="inlineStr">
        <is>
          <t>OpenDART_fnlttSinglAcntAll</t>
        </is>
      </c>
      <c r="B532" s="29" t="inlineStr">
        <is>
          <t>00366942</t>
        </is>
      </c>
      <c r="C532" s="29" t="inlineStr">
        <is>
          <t>미코</t>
        </is>
      </c>
      <c r="D532" s="29" t="inlineStr">
        <is>
          <t>mico</t>
        </is>
      </c>
      <c r="E532" s="29" t="inlineStr">
        <is>
          <t>059090</t>
        </is>
      </c>
      <c r="F532" s="29" t="inlineStr">
        <is>
          <t>2023</t>
        </is>
      </c>
      <c r="G532" s="29" t="inlineStr">
        <is>
          <t>CFS</t>
        </is>
      </c>
      <c r="H532" s="29" t="inlineStr">
        <is>
          <t>CF</t>
        </is>
      </c>
      <c r="I532" s="29" t="inlineStr">
        <is>
          <t>현금흐름표</t>
        </is>
      </c>
      <c r="J532" s="29" t="inlineStr">
        <is>
          <t>dart_CashAndCashEquivalentsAtBeginningOfPeriodCf</t>
        </is>
      </c>
      <c r="K532" s="29" t="inlineStr">
        <is>
          <t>기초현금및현금성자산</t>
        </is>
      </c>
      <c r="L532" s="29" t="inlineStr">
        <is>
          <t>-</t>
        </is>
      </c>
      <c r="M532" s="29" t="inlineStr">
        <is>
          <t>제 25 기</t>
        </is>
      </c>
      <c r="N532" s="29" t="inlineStr">
        <is>
          <t>131960647862.0</t>
        </is>
      </c>
      <c r="O532" s="29" t="inlineStr">
        <is>
          <t>180517871638.0</t>
        </is>
      </c>
      <c r="P532" s="29" t="inlineStr">
        <is>
          <t>KRW</t>
        </is>
      </c>
      <c r="Q532" s="29" t="inlineStr">
        <is>
          <t>2</t>
        </is>
      </c>
    </row>
    <row r="533" ht="24" customHeight="1">
      <c r="A533" s="24" t="inlineStr">
        <is>
          <t>OpenDART_fnlttSinglAcntAll</t>
        </is>
      </c>
      <c r="B533" s="24" t="inlineStr">
        <is>
          <t>00366942</t>
        </is>
      </c>
      <c r="C533" s="24" t="inlineStr">
        <is>
          <t>미코</t>
        </is>
      </c>
      <c r="D533" s="24" t="inlineStr">
        <is>
          <t>mico</t>
        </is>
      </c>
      <c r="E533" s="24" t="inlineStr">
        <is>
          <t>059090</t>
        </is>
      </c>
      <c r="F533" s="24" t="inlineStr">
        <is>
          <t>2023</t>
        </is>
      </c>
      <c r="G533" s="24" t="inlineStr">
        <is>
          <t>CFS</t>
        </is>
      </c>
      <c r="H533" s="24" t="inlineStr">
        <is>
          <t>CF</t>
        </is>
      </c>
      <c r="I533" s="24" t="inlineStr">
        <is>
          <t>현금흐름표</t>
        </is>
      </c>
      <c r="J533" s="24" t="inlineStr">
        <is>
          <t>dart_CashAndCashEquivalentsAtEndOfPeriodCf</t>
        </is>
      </c>
      <c r="K533" s="24" t="inlineStr">
        <is>
          <t>기말현금및현금성자산</t>
        </is>
      </c>
      <c r="L533" s="24" t="inlineStr">
        <is>
          <t>-</t>
        </is>
      </c>
      <c r="M533" s="24" t="inlineStr">
        <is>
          <t>제 25 기</t>
        </is>
      </c>
      <c r="N533" s="24" t="inlineStr">
        <is>
          <t>170532361522.0</t>
        </is>
      </c>
      <c r="O533" s="24" t="inlineStr">
        <is>
          <t>131960647862.0</t>
        </is>
      </c>
      <c r="P533" s="24" t="inlineStr">
        <is>
          <t>KRW</t>
        </is>
      </c>
      <c r="Q533" s="24" t="inlineStr">
        <is>
          <t>3</t>
        </is>
      </c>
    </row>
    <row r="534" ht="24" customHeight="1">
      <c r="A534" s="29" t="inlineStr">
        <is>
          <t>OpenDART_fnlttSinglAcntAll</t>
        </is>
      </c>
      <c r="B534" s="29" t="inlineStr">
        <is>
          <t>00366942</t>
        </is>
      </c>
      <c r="C534" s="29" t="inlineStr">
        <is>
          <t>미코</t>
        </is>
      </c>
      <c r="D534" s="29" t="inlineStr">
        <is>
          <t>mico</t>
        </is>
      </c>
      <c r="E534" s="29" t="inlineStr">
        <is>
          <t>059090</t>
        </is>
      </c>
      <c r="F534" s="29" t="inlineStr">
        <is>
          <t>2023</t>
        </is>
      </c>
      <c r="G534" s="29" t="inlineStr">
        <is>
          <t>CFS</t>
        </is>
      </c>
      <c r="H534" s="29" t="inlineStr">
        <is>
          <t>CF</t>
        </is>
      </c>
      <c r="I534" s="29" t="inlineStr">
        <is>
          <t>현금흐름표</t>
        </is>
      </c>
      <c r="J534" s="29" t="inlineStr">
        <is>
          <t>ifrs-full_CashFlowsFromUsedInFinancingActivities</t>
        </is>
      </c>
      <c r="K534" s="29" t="inlineStr">
        <is>
          <t>재무활동현금흐름</t>
        </is>
      </c>
      <c r="L534" s="29" t="inlineStr">
        <is>
          <t>-</t>
        </is>
      </c>
      <c r="M534" s="29" t="inlineStr">
        <is>
          <t>제 25 기</t>
        </is>
      </c>
      <c r="N534" s="29" t="inlineStr">
        <is>
          <t>83847362457.0</t>
        </is>
      </c>
      <c r="O534" s="29" t="inlineStr">
        <is>
          <t>-2119555574.0</t>
        </is>
      </c>
      <c r="P534" s="29" t="inlineStr">
        <is>
          <t>KRW</t>
        </is>
      </c>
      <c r="Q534" s="29" t="inlineStr">
        <is>
          <t>8</t>
        </is>
      </c>
    </row>
    <row r="535" ht="24" customHeight="1">
      <c r="A535" s="24" t="inlineStr">
        <is>
          <t>OpenDART_fnlttSinglAcntAll</t>
        </is>
      </c>
      <c r="B535" s="24" t="inlineStr">
        <is>
          <t>00366942</t>
        </is>
      </c>
      <c r="C535" s="24" t="inlineStr">
        <is>
          <t>미코</t>
        </is>
      </c>
      <c r="D535" s="24" t="inlineStr">
        <is>
          <t>mico</t>
        </is>
      </c>
      <c r="E535" s="24" t="inlineStr">
        <is>
          <t>059090</t>
        </is>
      </c>
      <c r="F535" s="24" t="inlineStr">
        <is>
          <t>2023</t>
        </is>
      </c>
      <c r="G535" s="24" t="inlineStr">
        <is>
          <t>CFS</t>
        </is>
      </c>
      <c r="H535" s="24" t="inlineStr">
        <is>
          <t>CF</t>
        </is>
      </c>
      <c r="I535" s="24" t="inlineStr">
        <is>
          <t>현금흐름표</t>
        </is>
      </c>
      <c r="J535" s="24" t="inlineStr">
        <is>
          <t>dart_DecreaseInGuaranteeDepositsAsFinancialActivities</t>
        </is>
      </c>
      <c r="K535" s="24" t="inlineStr">
        <is>
          <t>임대보증금의 감소</t>
        </is>
      </c>
      <c r="L535" s="24" t="inlineStr">
        <is>
          <t>-</t>
        </is>
      </c>
      <c r="M535" s="24" t="inlineStr">
        <is>
          <t>제 25 기</t>
        </is>
      </c>
      <c r="N535" s="24" t="inlineStr">
        <is>
          <t>11760000.0</t>
        </is>
      </c>
      <c r="O535" s="24" t="inlineStr">
        <is>
          <t>993265000.0</t>
        </is>
      </c>
      <c r="P535" s="24" t="inlineStr">
        <is>
          <t>KRW</t>
        </is>
      </c>
      <c r="Q535" s="24" t="inlineStr">
        <is>
          <t>9</t>
        </is>
      </c>
    </row>
    <row r="536" ht="24" customHeight="1">
      <c r="A536" s="29" t="inlineStr">
        <is>
          <t>OpenDART_fnlttSinglAcntAll</t>
        </is>
      </c>
      <c r="B536" s="29" t="inlineStr">
        <is>
          <t>00366942</t>
        </is>
      </c>
      <c r="C536" s="29" t="inlineStr">
        <is>
          <t>미코</t>
        </is>
      </c>
      <c r="D536" s="29" t="inlineStr">
        <is>
          <t>mico</t>
        </is>
      </c>
      <c r="E536" s="29" t="inlineStr">
        <is>
          <t>059090</t>
        </is>
      </c>
      <c r="F536" s="29" t="inlineStr">
        <is>
          <t>2023</t>
        </is>
      </c>
      <c r="G536" s="29" t="inlineStr">
        <is>
          <t>CFS</t>
        </is>
      </c>
      <c r="H536" s="29" t="inlineStr">
        <is>
          <t>CF</t>
        </is>
      </c>
      <c r="I536" s="29" t="inlineStr">
        <is>
          <t>현금흐름표</t>
        </is>
      </c>
      <c r="J536" s="29" t="inlineStr">
        <is>
          <t>dart_IncreaseInGuaranteeDepositsAsFinancialActivities</t>
        </is>
      </c>
      <c r="K536" s="29" t="inlineStr">
        <is>
          <t>임대보증금의 증가</t>
        </is>
      </c>
      <c r="L536" s="29" t="inlineStr">
        <is>
          <t>-</t>
        </is>
      </c>
      <c r="M536" s="29" t="inlineStr">
        <is>
          <t>제 25 기</t>
        </is>
      </c>
      <c r="N536" s="29" t="inlineStr">
        <is>
          <t>153430000.0</t>
        </is>
      </c>
      <c r="O536" s="29" t="inlineStr">
        <is>
          <t>635265000.0</t>
        </is>
      </c>
      <c r="P536" s="29" t="inlineStr">
        <is>
          <t>KRW</t>
        </is>
      </c>
      <c r="Q536" s="29" t="inlineStr">
        <is>
          <t>10</t>
        </is>
      </c>
    </row>
    <row r="537" ht="24" customHeight="1">
      <c r="A537" s="24" t="inlineStr">
        <is>
          <t>OpenDART_fnlttSinglAcntAll</t>
        </is>
      </c>
      <c r="B537" s="24" t="inlineStr">
        <is>
          <t>00366942</t>
        </is>
      </c>
      <c r="C537" s="24" t="inlineStr">
        <is>
          <t>미코</t>
        </is>
      </c>
      <c r="D537" s="24" t="inlineStr">
        <is>
          <t>mico</t>
        </is>
      </c>
      <c r="E537" s="24" t="inlineStr">
        <is>
          <t>059090</t>
        </is>
      </c>
      <c r="F537" s="24" t="inlineStr">
        <is>
          <t>2023</t>
        </is>
      </c>
      <c r="G537" s="24" t="inlineStr">
        <is>
          <t>CFS</t>
        </is>
      </c>
      <c r="H537" s="24" t="inlineStr">
        <is>
          <t>CF</t>
        </is>
      </c>
      <c r="I537" s="24" t="inlineStr">
        <is>
          <t>현금흐름표</t>
        </is>
      </c>
      <c r="J537" s="24" t="inlineStr">
        <is>
          <t>dart_PaymentForStockIssueCost</t>
        </is>
      </c>
      <c r="K537" s="24" t="inlineStr">
        <is>
          <t>신주발행비 지급</t>
        </is>
      </c>
      <c r="L537" s="24" t="inlineStr">
        <is>
          <t>-</t>
        </is>
      </c>
      <c r="M537" s="24" t="inlineStr">
        <is>
          <t>제 25 기</t>
        </is>
      </c>
      <c r="N537" s="24" t="inlineStr">
        <is>
          <t>해당 없음</t>
        </is>
      </c>
      <c r="O537" s="24" t="inlineStr">
        <is>
          <t>해당 없음</t>
        </is>
      </c>
      <c r="P537" s="24" t="inlineStr">
        <is>
          <t>KRW</t>
        </is>
      </c>
      <c r="Q537" s="24" t="inlineStr">
        <is>
          <t>11</t>
        </is>
      </c>
    </row>
    <row r="538" ht="24" customHeight="1">
      <c r="A538" s="29" t="inlineStr">
        <is>
          <t>OpenDART_fnlttSinglAcntAll</t>
        </is>
      </c>
      <c r="B538" s="29" t="inlineStr">
        <is>
          <t>00366942</t>
        </is>
      </c>
      <c r="C538" s="29" t="inlineStr">
        <is>
          <t>미코</t>
        </is>
      </c>
      <c r="D538" s="29" t="inlineStr">
        <is>
          <t>mico</t>
        </is>
      </c>
      <c r="E538" s="29" t="inlineStr">
        <is>
          <t>059090</t>
        </is>
      </c>
      <c r="F538" s="29" t="inlineStr">
        <is>
          <t>2023</t>
        </is>
      </c>
      <c r="G538" s="29" t="inlineStr">
        <is>
          <t>CFS</t>
        </is>
      </c>
      <c r="H538" s="29" t="inlineStr">
        <is>
          <t>CF</t>
        </is>
      </c>
      <c r="I538" s="29" t="inlineStr">
        <is>
          <t>현금흐름표</t>
        </is>
      </c>
      <c r="J538" s="29" t="inlineStr">
        <is>
          <t>dart_ProceedsFromConvertibleBonds</t>
        </is>
      </c>
      <c r="K538" s="29" t="inlineStr">
        <is>
          <t>전환사채의 발행</t>
        </is>
      </c>
      <c r="L538" s="29" t="inlineStr">
        <is>
          <t>-</t>
        </is>
      </c>
      <c r="M538" s="29" t="inlineStr">
        <is>
          <t>제 25 기</t>
        </is>
      </c>
      <c r="N538" s="29" t="inlineStr">
        <is>
          <t>해당 없음</t>
        </is>
      </c>
      <c r="O538" s="29" t="inlineStr">
        <is>
          <t>25000000000.0</t>
        </is>
      </c>
      <c r="P538" s="29" t="inlineStr">
        <is>
          <t>KRW</t>
        </is>
      </c>
      <c r="Q538" s="29" t="inlineStr">
        <is>
          <t>12</t>
        </is>
      </c>
    </row>
    <row r="539" ht="24" customHeight="1">
      <c r="A539" s="24" t="inlineStr">
        <is>
          <t>OpenDART_fnlttSinglAcntAll</t>
        </is>
      </c>
      <c r="B539" s="24" t="inlineStr">
        <is>
          <t>00366942</t>
        </is>
      </c>
      <c r="C539" s="24" t="inlineStr">
        <is>
          <t>미코</t>
        </is>
      </c>
      <c r="D539" s="24" t="inlineStr">
        <is>
          <t>mico</t>
        </is>
      </c>
      <c r="E539" s="24" t="inlineStr">
        <is>
          <t>059090</t>
        </is>
      </c>
      <c r="F539" s="24" t="inlineStr">
        <is>
          <t>2023</t>
        </is>
      </c>
      <c r="G539" s="24" t="inlineStr">
        <is>
          <t>CFS</t>
        </is>
      </c>
      <c r="H539" s="24" t="inlineStr">
        <is>
          <t>CF</t>
        </is>
      </c>
      <c r="I539" s="24" t="inlineStr">
        <is>
          <t>현금흐름표</t>
        </is>
      </c>
      <c r="J539" s="24" t="inlineStr">
        <is>
          <t>dart_ProceedsFromExchangeableBond</t>
        </is>
      </c>
      <c r="K539" s="24" t="inlineStr">
        <is>
          <t>교환사채의 발행</t>
        </is>
      </c>
      <c r="L539" s="24" t="inlineStr">
        <is>
          <t>-</t>
        </is>
      </c>
      <c r="M539" s="24" t="inlineStr">
        <is>
          <t>제 25 기</t>
        </is>
      </c>
      <c r="N539" s="24" t="inlineStr">
        <is>
          <t>해당 없음</t>
        </is>
      </c>
      <c r="O539" s="24" t="inlineStr">
        <is>
          <t>29000000000.0</t>
        </is>
      </c>
      <c r="P539" s="24" t="inlineStr">
        <is>
          <t>KRW</t>
        </is>
      </c>
      <c r="Q539" s="24" t="inlineStr">
        <is>
          <t>13</t>
        </is>
      </c>
    </row>
    <row r="540" ht="24" customHeight="1">
      <c r="A540" s="29" t="inlineStr">
        <is>
          <t>OpenDART_fnlttSinglAcntAll</t>
        </is>
      </c>
      <c r="B540" s="29" t="inlineStr">
        <is>
          <t>00366942</t>
        </is>
      </c>
      <c r="C540" s="29" t="inlineStr">
        <is>
          <t>미코</t>
        </is>
      </c>
      <c r="D540" s="29" t="inlineStr">
        <is>
          <t>mico</t>
        </is>
      </c>
      <c r="E540" s="29" t="inlineStr">
        <is>
          <t>059090</t>
        </is>
      </c>
      <c r="F540" s="29" t="inlineStr">
        <is>
          <t>2023</t>
        </is>
      </c>
      <c r="G540" s="29" t="inlineStr">
        <is>
          <t>CFS</t>
        </is>
      </c>
      <c r="H540" s="29" t="inlineStr">
        <is>
          <t>CF</t>
        </is>
      </c>
      <c r="I540" s="29" t="inlineStr">
        <is>
          <t>현금흐름표</t>
        </is>
      </c>
      <c r="J540" s="29" t="inlineStr">
        <is>
          <t>dart_ProceedsFromLongTermBorrowings</t>
        </is>
      </c>
      <c r="K540" s="29" t="inlineStr">
        <is>
          <t>장기차입금의 증가</t>
        </is>
      </c>
      <c r="L540" s="29" t="inlineStr">
        <is>
          <t>-</t>
        </is>
      </c>
      <c r="M540" s="29" t="inlineStr">
        <is>
          <t>제 25 기</t>
        </is>
      </c>
      <c r="N540" s="29" t="inlineStr">
        <is>
          <t>94177312000.0</t>
        </is>
      </c>
      <c r="O540" s="29" t="inlineStr">
        <is>
          <t>13479000000.0</t>
        </is>
      </c>
      <c r="P540" s="29" t="inlineStr">
        <is>
          <t>KRW</t>
        </is>
      </c>
      <c r="Q540" s="29" t="inlineStr">
        <is>
          <t>14</t>
        </is>
      </c>
    </row>
    <row r="541" ht="24" customHeight="1">
      <c r="A541" s="24" t="inlineStr">
        <is>
          <t>OpenDART_fnlttSinglAcntAll</t>
        </is>
      </c>
      <c r="B541" s="24" t="inlineStr">
        <is>
          <t>00366942</t>
        </is>
      </c>
      <c r="C541" s="24" t="inlineStr">
        <is>
          <t>미코</t>
        </is>
      </c>
      <c r="D541" s="24" t="inlineStr">
        <is>
          <t>mico</t>
        </is>
      </c>
      <c r="E541" s="24" t="inlineStr">
        <is>
          <t>059090</t>
        </is>
      </c>
      <c r="F541" s="24" t="inlineStr">
        <is>
          <t>2023</t>
        </is>
      </c>
      <c r="G541" s="24" t="inlineStr">
        <is>
          <t>CFS</t>
        </is>
      </c>
      <c r="H541" s="24" t="inlineStr">
        <is>
          <t>CF</t>
        </is>
      </c>
      <c r="I541" s="24" t="inlineStr">
        <is>
          <t>현금흐름표</t>
        </is>
      </c>
      <c r="J541" s="24" t="inlineStr">
        <is>
          <t>dart_ProceedsFromShortTermBorrowings</t>
        </is>
      </c>
      <c r="K541" s="24" t="inlineStr">
        <is>
          <t>단기차입금의 증가</t>
        </is>
      </c>
      <c r="L541" s="24" t="inlineStr">
        <is>
          <t>-</t>
        </is>
      </c>
      <c r="M541" s="24" t="inlineStr">
        <is>
          <t>제 25 기</t>
        </is>
      </c>
      <c r="N541" s="24" t="inlineStr">
        <is>
          <t>84852993036.0</t>
        </is>
      </c>
      <c r="O541" s="24" t="inlineStr">
        <is>
          <t>61949600000.0</t>
        </is>
      </c>
      <c r="P541" s="24" t="inlineStr">
        <is>
          <t>KRW</t>
        </is>
      </c>
      <c r="Q541" s="24" t="inlineStr">
        <is>
          <t>15</t>
        </is>
      </c>
    </row>
    <row r="542" ht="24" customHeight="1">
      <c r="A542" s="29" t="inlineStr">
        <is>
          <t>OpenDART_fnlttSinglAcntAll</t>
        </is>
      </c>
      <c r="B542" s="29" t="inlineStr">
        <is>
          <t>00366942</t>
        </is>
      </c>
      <c r="C542" s="29" t="inlineStr">
        <is>
          <t>미코</t>
        </is>
      </c>
      <c r="D542" s="29" t="inlineStr">
        <is>
          <t>mico</t>
        </is>
      </c>
      <c r="E542" s="29" t="inlineStr">
        <is>
          <t>059090</t>
        </is>
      </c>
      <c r="F542" s="29" t="inlineStr">
        <is>
          <t>2023</t>
        </is>
      </c>
      <c r="G542" s="29" t="inlineStr">
        <is>
          <t>CFS</t>
        </is>
      </c>
      <c r="H542" s="29" t="inlineStr">
        <is>
          <t>CF</t>
        </is>
      </c>
      <c r="I542" s="29" t="inlineStr">
        <is>
          <t>현금흐름표</t>
        </is>
      </c>
      <c r="J542" s="29" t="inlineStr">
        <is>
          <t>dart_RepaymentsOfBondWithWarrant</t>
        </is>
      </c>
      <c r="K542" s="29" t="inlineStr">
        <is>
          <t>신주인수권부사채의 감소</t>
        </is>
      </c>
      <c r="L542" s="29" t="inlineStr">
        <is>
          <t>-</t>
        </is>
      </c>
      <c r="M542" s="29" t="inlineStr">
        <is>
          <t>제 25 기</t>
        </is>
      </c>
      <c r="N542" s="29" t="inlineStr">
        <is>
          <t>해당 없음</t>
        </is>
      </c>
      <c r="O542" s="29" t="inlineStr">
        <is>
          <t>7500000000.0</t>
        </is>
      </c>
      <c r="P542" s="29" t="inlineStr">
        <is>
          <t>KRW</t>
        </is>
      </c>
      <c r="Q542" s="29" t="inlineStr">
        <is>
          <t>16</t>
        </is>
      </c>
    </row>
    <row r="543" ht="24" customHeight="1">
      <c r="A543" s="24" t="inlineStr">
        <is>
          <t>OpenDART_fnlttSinglAcntAll</t>
        </is>
      </c>
      <c r="B543" s="24" t="inlineStr">
        <is>
          <t>00366942</t>
        </is>
      </c>
      <c r="C543" s="24" t="inlineStr">
        <is>
          <t>미코</t>
        </is>
      </c>
      <c r="D543" s="24" t="inlineStr">
        <is>
          <t>mico</t>
        </is>
      </c>
      <c r="E543" s="24" t="inlineStr">
        <is>
          <t>059090</t>
        </is>
      </c>
      <c r="F543" s="24" t="inlineStr">
        <is>
          <t>2023</t>
        </is>
      </c>
      <c r="G543" s="24" t="inlineStr">
        <is>
          <t>CFS</t>
        </is>
      </c>
      <c r="H543" s="24" t="inlineStr">
        <is>
          <t>CF</t>
        </is>
      </c>
      <c r="I543" s="24" t="inlineStr">
        <is>
          <t>현금흐름표</t>
        </is>
      </c>
      <c r="J543" s="24" t="inlineStr">
        <is>
          <t>dart_RepaymentsOfConvertibleBonds</t>
        </is>
      </c>
      <c r="K543" s="24" t="inlineStr">
        <is>
          <t>전환사채의 감소</t>
        </is>
      </c>
      <c r="L543" s="24" t="inlineStr">
        <is>
          <t>-</t>
        </is>
      </c>
      <c r="M543" s="24" t="inlineStr">
        <is>
          <t>제 25 기</t>
        </is>
      </c>
      <c r="N543" s="24" t="inlineStr">
        <is>
          <t>해당 없음</t>
        </is>
      </c>
      <c r="O543" s="24" t="inlineStr">
        <is>
          <t>12500000000.0</t>
        </is>
      </c>
      <c r="P543" s="24" t="inlineStr">
        <is>
          <t>KRW</t>
        </is>
      </c>
      <c r="Q543" s="24" t="inlineStr">
        <is>
          <t>17</t>
        </is>
      </c>
    </row>
    <row r="544" ht="24" customHeight="1">
      <c r="A544" s="29" t="inlineStr">
        <is>
          <t>OpenDART_fnlttSinglAcntAll</t>
        </is>
      </c>
      <c r="B544" s="29" t="inlineStr">
        <is>
          <t>00366942</t>
        </is>
      </c>
      <c r="C544" s="29" t="inlineStr">
        <is>
          <t>미코</t>
        </is>
      </c>
      <c r="D544" s="29" t="inlineStr">
        <is>
          <t>mico</t>
        </is>
      </c>
      <c r="E544" s="29" t="inlineStr">
        <is>
          <t>059090</t>
        </is>
      </c>
      <c r="F544" s="29" t="inlineStr">
        <is>
          <t>2023</t>
        </is>
      </c>
      <c r="G544" s="29" t="inlineStr">
        <is>
          <t>CFS</t>
        </is>
      </c>
      <c r="H544" s="29" t="inlineStr">
        <is>
          <t>CF</t>
        </is>
      </c>
      <c r="I544" s="29" t="inlineStr">
        <is>
          <t>현금흐름표</t>
        </is>
      </c>
      <c r="J544" s="29" t="inlineStr">
        <is>
          <t>dart_RepaymentsOfLongTermBorrowings</t>
        </is>
      </c>
      <c r="K544" s="29" t="inlineStr">
        <is>
          <t>장기차입금의 상환</t>
        </is>
      </c>
      <c r="L544" s="29" t="inlineStr">
        <is>
          <t>-</t>
        </is>
      </c>
      <c r="M544" s="29" t="inlineStr">
        <is>
          <t>제 25 기</t>
        </is>
      </c>
      <c r="N544" s="29" t="inlineStr">
        <is>
          <t>666640000.0</t>
        </is>
      </c>
      <c r="O544" s="29" t="inlineStr">
        <is>
          <t>28462324768.0</t>
        </is>
      </c>
      <c r="P544" s="29" t="inlineStr">
        <is>
          <t>KRW</t>
        </is>
      </c>
      <c r="Q544" s="29" t="inlineStr">
        <is>
          <t>18</t>
        </is>
      </c>
    </row>
    <row r="545" ht="24" customHeight="1">
      <c r="A545" s="24" t="inlineStr">
        <is>
          <t>OpenDART_fnlttSinglAcntAll</t>
        </is>
      </c>
      <c r="B545" s="24" t="inlineStr">
        <is>
          <t>00366942</t>
        </is>
      </c>
      <c r="C545" s="24" t="inlineStr">
        <is>
          <t>미코</t>
        </is>
      </c>
      <c r="D545" s="24" t="inlineStr">
        <is>
          <t>mico</t>
        </is>
      </c>
      <c r="E545" s="24" t="inlineStr">
        <is>
          <t>059090</t>
        </is>
      </c>
      <c r="F545" s="24" t="inlineStr">
        <is>
          <t>2023</t>
        </is>
      </c>
      <c r="G545" s="24" t="inlineStr">
        <is>
          <t>CFS</t>
        </is>
      </c>
      <c r="H545" s="24" t="inlineStr">
        <is>
          <t>CF</t>
        </is>
      </c>
      <c r="I545" s="24" t="inlineStr">
        <is>
          <t>현금흐름표</t>
        </is>
      </c>
      <c r="J545" s="24" t="inlineStr">
        <is>
          <t>dart_RepaymentsOfShortTermBorrowings</t>
        </is>
      </c>
      <c r="K545" s="24" t="inlineStr">
        <is>
          <t>단기차입금의 상환</t>
        </is>
      </c>
      <c r="L545" s="24" t="inlineStr">
        <is>
          <t>-</t>
        </is>
      </c>
      <c r="M545" s="24" t="inlineStr">
        <is>
          <t>제 25 기</t>
        </is>
      </c>
      <c r="N545" s="24" t="inlineStr">
        <is>
          <t>64458463029.0</t>
        </is>
      </c>
      <c r="O545" s="24" t="inlineStr">
        <is>
          <t>40430790209.0</t>
        </is>
      </c>
      <c r="P545" s="24" t="inlineStr">
        <is>
          <t>KRW</t>
        </is>
      </c>
      <c r="Q545" s="24" t="inlineStr">
        <is>
          <t>19</t>
        </is>
      </c>
    </row>
    <row r="546" ht="24" customHeight="1">
      <c r="A546" s="29" t="inlineStr">
        <is>
          <t>OpenDART_fnlttSinglAcntAll</t>
        </is>
      </c>
      <c r="B546" s="29" t="inlineStr">
        <is>
          <t>00366942</t>
        </is>
      </c>
      <c r="C546" s="29" t="inlineStr">
        <is>
          <t>미코</t>
        </is>
      </c>
      <c r="D546" s="29" t="inlineStr">
        <is>
          <t>mico</t>
        </is>
      </c>
      <c r="E546" s="29" t="inlineStr">
        <is>
          <t>059090</t>
        </is>
      </c>
      <c r="F546" s="29" t="inlineStr">
        <is>
          <t>2023</t>
        </is>
      </c>
      <c r="G546" s="29" t="inlineStr">
        <is>
          <t>CFS</t>
        </is>
      </c>
      <c r="H546" s="29" t="inlineStr">
        <is>
          <t>CF</t>
        </is>
      </c>
      <c r="I546" s="29" t="inlineStr">
        <is>
          <t>현금흐름표</t>
        </is>
      </c>
      <c r="J546" s="29" t="inlineStr">
        <is>
          <t>-표준계정코드 미사용-</t>
        </is>
      </c>
      <c r="K546" s="29" t="inlineStr">
        <is>
          <t>장기예수금의 감소</t>
        </is>
      </c>
      <c r="L546" s="29" t="inlineStr">
        <is>
          <t>-</t>
        </is>
      </c>
      <c r="M546" s="29" t="inlineStr">
        <is>
          <t>제 25 기</t>
        </is>
      </c>
      <c r="N546" s="29" t="inlineStr">
        <is>
          <t>279052318.0</t>
        </is>
      </c>
      <c r="O546" s="29" t="inlineStr">
        <is>
          <t>해당 없음</t>
        </is>
      </c>
      <c r="P546" s="29" t="inlineStr">
        <is>
          <t>KRW</t>
        </is>
      </c>
      <c r="Q546" s="29" t="inlineStr">
        <is>
          <t>20</t>
        </is>
      </c>
    </row>
    <row r="547" ht="24" customHeight="1">
      <c r="A547" s="24" t="inlineStr">
        <is>
          <t>OpenDART_fnlttSinglAcntAll</t>
        </is>
      </c>
      <c r="B547" s="24" t="inlineStr">
        <is>
          <t>00366942</t>
        </is>
      </c>
      <c r="C547" s="24" t="inlineStr">
        <is>
          <t>미코</t>
        </is>
      </c>
      <c r="D547" s="24" t="inlineStr">
        <is>
          <t>mico</t>
        </is>
      </c>
      <c r="E547" s="24" t="inlineStr">
        <is>
          <t>059090</t>
        </is>
      </c>
      <c r="F547" s="24" t="inlineStr">
        <is>
          <t>2023</t>
        </is>
      </c>
      <c r="G547" s="24" t="inlineStr">
        <is>
          <t>CFS</t>
        </is>
      </c>
      <c r="H547" s="24" t="inlineStr">
        <is>
          <t>CF</t>
        </is>
      </c>
      <c r="I547" s="24" t="inlineStr">
        <is>
          <t>현금흐름표</t>
        </is>
      </c>
      <c r="J547" s="24" t="inlineStr">
        <is>
          <t>-표준계정코드 미사용-</t>
        </is>
      </c>
      <c r="K547" s="24" t="inlineStr">
        <is>
          <t>리스부채의 상환</t>
        </is>
      </c>
      <c r="L547" s="24" t="inlineStr">
        <is>
          <t>-</t>
        </is>
      </c>
      <c r="M547" s="24" t="inlineStr">
        <is>
          <t>제 25 기</t>
        </is>
      </c>
      <c r="N547" s="24" t="inlineStr">
        <is>
          <t>2804672128.0</t>
        </is>
      </c>
      <c r="O547" s="24" t="inlineStr">
        <is>
          <t>2826451564.0</t>
        </is>
      </c>
      <c r="P547" s="24" t="inlineStr">
        <is>
          <t>KRW</t>
        </is>
      </c>
      <c r="Q547" s="24" t="inlineStr">
        <is>
          <t>21</t>
        </is>
      </c>
    </row>
    <row r="548" ht="24" customHeight="1">
      <c r="A548" s="29" t="inlineStr">
        <is>
          <t>OpenDART_fnlttSinglAcntAll</t>
        </is>
      </c>
      <c r="B548" s="29" t="inlineStr">
        <is>
          <t>00366942</t>
        </is>
      </c>
      <c r="C548" s="29" t="inlineStr">
        <is>
          <t>미코</t>
        </is>
      </c>
      <c r="D548" s="29" t="inlineStr">
        <is>
          <t>mico</t>
        </is>
      </c>
      <c r="E548" s="29" t="inlineStr">
        <is>
          <t>059090</t>
        </is>
      </c>
      <c r="F548" s="29" t="inlineStr">
        <is>
          <t>2023</t>
        </is>
      </c>
      <c r="G548" s="29" t="inlineStr">
        <is>
          <t>CFS</t>
        </is>
      </c>
      <c r="H548" s="29" t="inlineStr">
        <is>
          <t>CF</t>
        </is>
      </c>
      <c r="I548" s="29" t="inlineStr">
        <is>
          <t>현금흐름표</t>
        </is>
      </c>
      <c r="J548" s="29" t="inlineStr">
        <is>
          <t>-표준계정코드 미사용-</t>
        </is>
      </c>
      <c r="K548" s="29" t="inlineStr">
        <is>
          <t>유동성장기차입금의 상환</t>
        </is>
      </c>
      <c r="L548" s="29" t="inlineStr">
        <is>
          <t>-</t>
        </is>
      </c>
      <c r="M548" s="29" t="inlineStr">
        <is>
          <t>제 25 기</t>
        </is>
      </c>
      <c r="N548" s="29" t="inlineStr">
        <is>
          <t>19421550387.0</t>
        </is>
      </c>
      <c r="O548" s="29" t="inlineStr">
        <is>
          <t>13764234216.0</t>
        </is>
      </c>
      <c r="P548" s="29" t="inlineStr">
        <is>
          <t>KRW</t>
        </is>
      </c>
      <c r="Q548" s="29" t="inlineStr">
        <is>
          <t>22</t>
        </is>
      </c>
    </row>
    <row r="549" ht="24" customHeight="1">
      <c r="A549" s="24" t="inlineStr">
        <is>
          <t>OpenDART_fnlttSinglAcntAll</t>
        </is>
      </c>
      <c r="B549" s="24" t="inlineStr">
        <is>
          <t>00366942</t>
        </is>
      </c>
      <c r="C549" s="24" t="inlineStr">
        <is>
          <t>미코</t>
        </is>
      </c>
      <c r="D549" s="24" t="inlineStr">
        <is>
          <t>mico</t>
        </is>
      </c>
      <c r="E549" s="24" t="inlineStr">
        <is>
          <t>059090</t>
        </is>
      </c>
      <c r="F549" s="24" t="inlineStr">
        <is>
          <t>2023</t>
        </is>
      </c>
      <c r="G549" s="24" t="inlineStr">
        <is>
          <t>CFS</t>
        </is>
      </c>
      <c r="H549" s="24" t="inlineStr">
        <is>
          <t>CF</t>
        </is>
      </c>
      <c r="I549" s="24" t="inlineStr">
        <is>
          <t>현금흐름표</t>
        </is>
      </c>
      <c r="J549" s="24" t="inlineStr">
        <is>
          <t>-표준계정코드 미사용-</t>
        </is>
      </c>
      <c r="K549" s="24" t="inlineStr">
        <is>
          <t>자기주식의 취득</t>
        </is>
      </c>
      <c r="L549" s="24" t="inlineStr">
        <is>
          <t>-</t>
        </is>
      </c>
      <c r="M549" s="24" t="inlineStr">
        <is>
          <t>제 25 기</t>
        </is>
      </c>
      <c r="N549" s="24" t="inlineStr">
        <is>
          <t>해당 없음</t>
        </is>
      </c>
      <c r="O549" s="24" t="inlineStr">
        <is>
          <t>5954027272.0</t>
        </is>
      </c>
      <c r="P549" s="24" t="inlineStr">
        <is>
          <t>KRW</t>
        </is>
      </c>
      <c r="Q549" s="24" t="inlineStr">
        <is>
          <t>23</t>
        </is>
      </c>
    </row>
    <row r="550" ht="24" customHeight="1">
      <c r="A550" s="29" t="inlineStr">
        <is>
          <t>OpenDART_fnlttSinglAcntAll</t>
        </is>
      </c>
      <c r="B550" s="29" t="inlineStr">
        <is>
          <t>00366942</t>
        </is>
      </c>
      <c r="C550" s="29" t="inlineStr">
        <is>
          <t>미코</t>
        </is>
      </c>
      <c r="D550" s="29" t="inlineStr">
        <is>
          <t>mico</t>
        </is>
      </c>
      <c r="E550" s="29" t="inlineStr">
        <is>
          <t>059090</t>
        </is>
      </c>
      <c r="F550" s="29" t="inlineStr">
        <is>
          <t>2023</t>
        </is>
      </c>
      <c r="G550" s="29" t="inlineStr">
        <is>
          <t>CFS</t>
        </is>
      </c>
      <c r="H550" s="29" t="inlineStr">
        <is>
          <t>CF</t>
        </is>
      </c>
      <c r="I550" s="29" t="inlineStr">
        <is>
          <t>현금흐름표</t>
        </is>
      </c>
      <c r="J550" s="29" t="inlineStr">
        <is>
          <t>-표준계정코드 미사용-</t>
        </is>
      </c>
      <c r="K550" s="29" t="inlineStr">
        <is>
          <t>종속기업의 유상증자</t>
        </is>
      </c>
      <c r="L550" s="29" t="inlineStr">
        <is>
          <t>-</t>
        </is>
      </c>
      <c r="M550" s="29" t="inlineStr">
        <is>
          <t>제 25 기</t>
        </is>
      </c>
      <c r="N550" s="29" t="inlineStr">
        <is>
          <t>해당 없음</t>
        </is>
      </c>
      <c r="O550" s="29" t="inlineStr">
        <is>
          <t>해당 없음</t>
        </is>
      </c>
      <c r="P550" s="29" t="inlineStr">
        <is>
          <t>KRW</t>
        </is>
      </c>
      <c r="Q550" s="29" t="inlineStr">
        <is>
          <t>24</t>
        </is>
      </c>
    </row>
    <row r="551" ht="24" customHeight="1">
      <c r="A551" s="24" t="inlineStr">
        <is>
          <t>OpenDART_fnlttSinglAcntAll</t>
        </is>
      </c>
      <c r="B551" s="24" t="inlineStr">
        <is>
          <t>00366942</t>
        </is>
      </c>
      <c r="C551" s="24" t="inlineStr">
        <is>
          <t>미코</t>
        </is>
      </c>
      <c r="D551" s="24" t="inlineStr">
        <is>
          <t>mico</t>
        </is>
      </c>
      <c r="E551" s="24" t="inlineStr">
        <is>
          <t>059090</t>
        </is>
      </c>
      <c r="F551" s="24" t="inlineStr">
        <is>
          <t>2023</t>
        </is>
      </c>
      <c r="G551" s="24" t="inlineStr">
        <is>
          <t>CFS</t>
        </is>
      </c>
      <c r="H551" s="24" t="inlineStr">
        <is>
          <t>CF</t>
        </is>
      </c>
      <c r="I551" s="24" t="inlineStr">
        <is>
          <t>현금흐름표</t>
        </is>
      </c>
      <c r="J551" s="24" t="inlineStr">
        <is>
          <t>-표준계정코드 미사용-</t>
        </is>
      </c>
      <c r="K551" s="24" t="inlineStr">
        <is>
          <t>기타차입부채의 상환</t>
        </is>
      </c>
      <c r="L551" s="24" t="inlineStr">
        <is>
          <t>-</t>
        </is>
      </c>
      <c r="M551" s="24" t="inlineStr">
        <is>
          <t>제 25 기</t>
        </is>
      </c>
      <c r="N551" s="24" t="inlineStr">
        <is>
          <t>해당 없음</t>
        </is>
      </c>
      <c r="O551" s="24" t="inlineStr">
        <is>
          <t>14264048753.0</t>
        </is>
      </c>
      <c r="P551" s="24" t="inlineStr">
        <is>
          <t>KRW</t>
        </is>
      </c>
      <c r="Q551" s="24" t="inlineStr">
        <is>
          <t>25</t>
        </is>
      </c>
    </row>
    <row r="552" ht="24" customHeight="1">
      <c r="A552" s="29" t="inlineStr">
        <is>
          <t>OpenDART_fnlttSinglAcntAll</t>
        </is>
      </c>
      <c r="B552" s="29" t="inlineStr">
        <is>
          <t>00366942</t>
        </is>
      </c>
      <c r="C552" s="29" t="inlineStr">
        <is>
          <t>미코</t>
        </is>
      </c>
      <c r="D552" s="29" t="inlineStr">
        <is>
          <t>mico</t>
        </is>
      </c>
      <c r="E552" s="29" t="inlineStr">
        <is>
          <t>059090</t>
        </is>
      </c>
      <c r="F552" s="29" t="inlineStr">
        <is>
          <t>2023</t>
        </is>
      </c>
      <c r="G552" s="29" t="inlineStr">
        <is>
          <t>CFS</t>
        </is>
      </c>
      <c r="H552" s="29" t="inlineStr">
        <is>
          <t>CF</t>
        </is>
      </c>
      <c r="I552" s="29" t="inlineStr">
        <is>
          <t>현금흐름표</t>
        </is>
      </c>
      <c r="J552" s="29" t="inlineStr">
        <is>
          <t>ifrs-full_DividendsPaidClassifiedAsFinancingActivities</t>
        </is>
      </c>
      <c r="K552" s="29" t="inlineStr">
        <is>
          <t>배당금지급</t>
        </is>
      </c>
      <c r="L552" s="29" t="inlineStr">
        <is>
          <t>-</t>
        </is>
      </c>
      <c r="M552" s="29" t="inlineStr">
        <is>
          <t>제 25 기</t>
        </is>
      </c>
      <c r="N552" s="29" t="inlineStr">
        <is>
          <t>7778375900.0</t>
        </is>
      </c>
      <c r="O552" s="29" t="inlineStr">
        <is>
          <t>5601991810.0</t>
        </is>
      </c>
      <c r="P552" s="29" t="inlineStr">
        <is>
          <t>KRW</t>
        </is>
      </c>
      <c r="Q552" s="29" t="inlineStr">
        <is>
          <t>26</t>
        </is>
      </c>
    </row>
    <row r="553" ht="24" customHeight="1">
      <c r="A553" s="24" t="inlineStr">
        <is>
          <t>OpenDART_fnlttSinglAcntAll</t>
        </is>
      </c>
      <c r="B553" s="24" t="inlineStr">
        <is>
          <t>00366942</t>
        </is>
      </c>
      <c r="C553" s="24" t="inlineStr">
        <is>
          <t>미코</t>
        </is>
      </c>
      <c r="D553" s="24" t="inlineStr">
        <is>
          <t>mico</t>
        </is>
      </c>
      <c r="E553" s="24" t="inlineStr">
        <is>
          <t>059090</t>
        </is>
      </c>
      <c r="F553" s="24" t="inlineStr">
        <is>
          <t>2023</t>
        </is>
      </c>
      <c r="G553" s="24" t="inlineStr">
        <is>
          <t>CFS</t>
        </is>
      </c>
      <c r="H553" s="24" t="inlineStr">
        <is>
          <t>CF</t>
        </is>
      </c>
      <c r="I553" s="24" t="inlineStr">
        <is>
          <t>현금흐름표</t>
        </is>
      </c>
      <c r="J553" s="24" t="inlineStr">
        <is>
          <t>ifrs-full_ProceedsFromChangesInOwnershipInterestsInSubsidiaries</t>
        </is>
      </c>
      <c r="K553" s="24" t="inlineStr">
        <is>
          <t>종속기업투자주식의 처분</t>
        </is>
      </c>
      <c r="L553" s="24" t="inlineStr">
        <is>
          <t>-</t>
        </is>
      </c>
      <c r="M553" s="24" t="inlineStr">
        <is>
          <t>제 25 기</t>
        </is>
      </c>
      <c r="N553" s="24" t="inlineStr">
        <is>
          <t>해당 없음</t>
        </is>
      </c>
      <c r="O553" s="24" t="inlineStr">
        <is>
          <t>해당 없음</t>
        </is>
      </c>
      <c r="P553" s="24" t="inlineStr">
        <is>
          <t>KRW</t>
        </is>
      </c>
      <c r="Q553" s="24" t="inlineStr">
        <is>
          <t>27</t>
        </is>
      </c>
    </row>
    <row r="554" ht="24" customHeight="1">
      <c r="A554" s="29" t="inlineStr">
        <is>
          <t>OpenDART_fnlttSinglAcntAll</t>
        </is>
      </c>
      <c r="B554" s="29" t="inlineStr">
        <is>
          <t>00366942</t>
        </is>
      </c>
      <c r="C554" s="29" t="inlineStr">
        <is>
          <t>미코</t>
        </is>
      </c>
      <c r="D554" s="29" t="inlineStr">
        <is>
          <t>mico</t>
        </is>
      </c>
      <c r="E554" s="29" t="inlineStr">
        <is>
          <t>059090</t>
        </is>
      </c>
      <c r="F554" s="29" t="inlineStr">
        <is>
          <t>2023</t>
        </is>
      </c>
      <c r="G554" s="29" t="inlineStr">
        <is>
          <t>CFS</t>
        </is>
      </c>
      <c r="H554" s="29" t="inlineStr">
        <is>
          <t>CF</t>
        </is>
      </c>
      <c r="I554" s="29" t="inlineStr">
        <is>
          <t>현금흐름표</t>
        </is>
      </c>
      <c r="J554" s="29" t="inlineStr">
        <is>
          <t>ifrs-full_ProceedsFromGovernmentGrantsClassifiedAsFinancingActivities</t>
        </is>
      </c>
      <c r="K554" s="29" t="inlineStr">
        <is>
          <t>정부보조금의 수취</t>
        </is>
      </c>
      <c r="L554" s="29" t="inlineStr">
        <is>
          <t>-</t>
        </is>
      </c>
      <c r="M554" s="29" t="inlineStr">
        <is>
          <t>제 25 기</t>
        </is>
      </c>
      <c r="N554" s="29" t="inlineStr">
        <is>
          <t>84141183.0</t>
        </is>
      </c>
      <c r="O554" s="29" t="inlineStr">
        <is>
          <t>113713018.0</t>
        </is>
      </c>
      <c r="P554" s="29" t="inlineStr">
        <is>
          <t>KRW</t>
        </is>
      </c>
      <c r="Q554" s="29" t="inlineStr">
        <is>
          <t>28</t>
        </is>
      </c>
    </row>
    <row r="555" ht="24" customHeight="1">
      <c r="A555" s="24" t="inlineStr">
        <is>
          <t>OpenDART_fnlttSinglAcntAll</t>
        </is>
      </c>
      <c r="B555" s="24" t="inlineStr">
        <is>
          <t>00366942</t>
        </is>
      </c>
      <c r="C555" s="24" t="inlineStr">
        <is>
          <t>미코</t>
        </is>
      </c>
      <c r="D555" s="24" t="inlineStr">
        <is>
          <t>mico</t>
        </is>
      </c>
      <c r="E555" s="24" t="inlineStr">
        <is>
          <t>059090</t>
        </is>
      </c>
      <c r="F555" s="24" t="inlineStr">
        <is>
          <t>2023</t>
        </is>
      </c>
      <c r="G555" s="24" t="inlineStr">
        <is>
          <t>CFS</t>
        </is>
      </c>
      <c r="H555" s="24" t="inlineStr">
        <is>
          <t>CF</t>
        </is>
      </c>
      <c r="I555" s="24" t="inlineStr">
        <is>
          <t>현금흐름표</t>
        </is>
      </c>
      <c r="J555" s="24" t="inlineStr">
        <is>
          <t>ifrs-full_CashFlowsFromUsedInInvestingActivities</t>
        </is>
      </c>
      <c r="K555" s="24" t="inlineStr">
        <is>
          <t>투자활동현금흐름</t>
        </is>
      </c>
      <c r="L555" s="24" t="inlineStr">
        <is>
          <t>-</t>
        </is>
      </c>
      <c r="M555" s="24" t="inlineStr">
        <is>
          <t>제 25 기</t>
        </is>
      </c>
      <c r="N555" s="24" t="inlineStr">
        <is>
          <t>-87245250169.0</t>
        </is>
      </c>
      <c r="O555" s="24" t="inlineStr">
        <is>
          <t>-129102451346.0</t>
        </is>
      </c>
      <c r="P555" s="24" t="inlineStr">
        <is>
          <t>KRW</t>
        </is>
      </c>
      <c r="Q555" s="24" t="inlineStr">
        <is>
          <t>29</t>
        </is>
      </c>
    </row>
    <row r="556" ht="24" customHeight="1">
      <c r="A556" s="29" t="inlineStr">
        <is>
          <t>OpenDART_fnlttSinglAcntAll</t>
        </is>
      </c>
      <c r="B556" s="29" t="inlineStr">
        <is>
          <t>00366942</t>
        </is>
      </c>
      <c r="C556" s="29" t="inlineStr">
        <is>
          <t>미코</t>
        </is>
      </c>
      <c r="D556" s="29" t="inlineStr">
        <is>
          <t>mico</t>
        </is>
      </c>
      <c r="E556" s="29" t="inlineStr">
        <is>
          <t>059090</t>
        </is>
      </c>
      <c r="F556" s="29" t="inlineStr">
        <is>
          <t>2023</t>
        </is>
      </c>
      <c r="G556" s="29" t="inlineStr">
        <is>
          <t>CFS</t>
        </is>
      </c>
      <c r="H556" s="29" t="inlineStr">
        <is>
          <t>CF</t>
        </is>
      </c>
      <c r="I556" s="29" t="inlineStr">
        <is>
          <t>현금흐름표</t>
        </is>
      </c>
      <c r="J556" s="29" t="inlineStr">
        <is>
          <t>dart_DecreaseInGuaranteeDeposits</t>
        </is>
      </c>
      <c r="K556" s="29" t="inlineStr">
        <is>
          <t>보증금의 감소</t>
        </is>
      </c>
      <c r="L556" s="29" t="inlineStr">
        <is>
          <t>-</t>
        </is>
      </c>
      <c r="M556" s="29" t="inlineStr">
        <is>
          <t>제 25 기</t>
        </is>
      </c>
      <c r="N556" s="29" t="inlineStr">
        <is>
          <t>331652446.0</t>
        </is>
      </c>
      <c r="O556" s="29" t="inlineStr">
        <is>
          <t>822247574.0</t>
        </is>
      </c>
      <c r="P556" s="29" t="inlineStr">
        <is>
          <t>KRW</t>
        </is>
      </c>
      <c r="Q556" s="29" t="inlineStr">
        <is>
          <t>30</t>
        </is>
      </c>
    </row>
    <row r="557" ht="24" customHeight="1">
      <c r="A557" s="24" t="inlineStr">
        <is>
          <t>OpenDART_fnlttSinglAcntAll</t>
        </is>
      </c>
      <c r="B557" s="24" t="inlineStr">
        <is>
          <t>00366942</t>
        </is>
      </c>
      <c r="C557" s="24" t="inlineStr">
        <is>
          <t>미코</t>
        </is>
      </c>
      <c r="D557" s="24" t="inlineStr">
        <is>
          <t>mico</t>
        </is>
      </c>
      <c r="E557" s="24" t="inlineStr">
        <is>
          <t>059090</t>
        </is>
      </c>
      <c r="F557" s="24" t="inlineStr">
        <is>
          <t>2023</t>
        </is>
      </c>
      <c r="G557" s="24" t="inlineStr">
        <is>
          <t>CFS</t>
        </is>
      </c>
      <c r="H557" s="24" t="inlineStr">
        <is>
          <t>CF</t>
        </is>
      </c>
      <c r="I557" s="24" t="inlineStr">
        <is>
          <t>현금흐름표</t>
        </is>
      </c>
      <c r="J557" s="24" t="inlineStr">
        <is>
          <t>dart_DecreaseInLoans</t>
        </is>
      </c>
      <c r="K557" s="24" t="inlineStr">
        <is>
          <t>대여금의 감소</t>
        </is>
      </c>
      <c r="L557" s="24" t="inlineStr">
        <is>
          <t>-</t>
        </is>
      </c>
      <c r="M557" s="24" t="inlineStr">
        <is>
          <t>제 25 기</t>
        </is>
      </c>
      <c r="N557" s="24" t="inlineStr">
        <is>
          <t>9194108946.0</t>
        </is>
      </c>
      <c r="O557" s="24" t="inlineStr">
        <is>
          <t>865104696.0</t>
        </is>
      </c>
      <c r="P557" s="24" t="inlineStr">
        <is>
          <t>KRW</t>
        </is>
      </c>
      <c r="Q557" s="24" t="inlineStr">
        <is>
          <t>31</t>
        </is>
      </c>
    </row>
    <row r="558" ht="24" customHeight="1">
      <c r="A558" s="29" t="inlineStr">
        <is>
          <t>OpenDART_fnlttSinglAcntAll</t>
        </is>
      </c>
      <c r="B558" s="29" t="inlineStr">
        <is>
          <t>00366942</t>
        </is>
      </c>
      <c r="C558" s="29" t="inlineStr">
        <is>
          <t>미코</t>
        </is>
      </c>
      <c r="D558" s="29" t="inlineStr">
        <is>
          <t>mico</t>
        </is>
      </c>
      <c r="E558" s="29" t="inlineStr">
        <is>
          <t>059090</t>
        </is>
      </c>
      <c r="F558" s="29" t="inlineStr">
        <is>
          <t>2023</t>
        </is>
      </c>
      <c r="G558" s="29" t="inlineStr">
        <is>
          <t>CFS</t>
        </is>
      </c>
      <c r="H558" s="29" t="inlineStr">
        <is>
          <t>CF</t>
        </is>
      </c>
      <c r="I558" s="29" t="inlineStr">
        <is>
          <t>현금흐름표</t>
        </is>
      </c>
      <c r="J558" s="29" t="inlineStr">
        <is>
          <t>dart_IncreaseInGuaranteeDeposits</t>
        </is>
      </c>
      <c r="K558" s="29" t="inlineStr">
        <is>
          <t>임차보증금의 증가</t>
        </is>
      </c>
      <c r="L558" s="29" t="inlineStr">
        <is>
          <t>-</t>
        </is>
      </c>
      <c r="M558" s="29" t="inlineStr">
        <is>
          <t>제 25 기</t>
        </is>
      </c>
      <c r="N558" s="29" t="inlineStr">
        <is>
          <t>777492924.0</t>
        </is>
      </c>
      <c r="O558" s="29" t="inlineStr">
        <is>
          <t>1496499637.0</t>
        </is>
      </c>
      <c r="P558" s="29" t="inlineStr">
        <is>
          <t>KRW</t>
        </is>
      </c>
      <c r="Q558" s="29" t="inlineStr">
        <is>
          <t>32</t>
        </is>
      </c>
    </row>
    <row r="559" ht="24" customHeight="1">
      <c r="A559" s="24" t="inlineStr">
        <is>
          <t>OpenDART_fnlttSinglAcntAll</t>
        </is>
      </c>
      <c r="B559" s="24" t="inlineStr">
        <is>
          <t>00366942</t>
        </is>
      </c>
      <c r="C559" s="24" t="inlineStr">
        <is>
          <t>미코</t>
        </is>
      </c>
      <c r="D559" s="24" t="inlineStr">
        <is>
          <t>mico</t>
        </is>
      </c>
      <c r="E559" s="24" t="inlineStr">
        <is>
          <t>059090</t>
        </is>
      </c>
      <c r="F559" s="24" t="inlineStr">
        <is>
          <t>2023</t>
        </is>
      </c>
      <c r="G559" s="24" t="inlineStr">
        <is>
          <t>CFS</t>
        </is>
      </c>
      <c r="H559" s="24" t="inlineStr">
        <is>
          <t>CF</t>
        </is>
      </c>
      <c r="I559" s="24" t="inlineStr">
        <is>
          <t>현금흐름표</t>
        </is>
      </c>
      <c r="J559" s="24" t="inlineStr">
        <is>
          <t>dart_IncreaseInLoans</t>
        </is>
      </c>
      <c r="K559" s="24" t="inlineStr">
        <is>
          <t>대여금의 증가</t>
        </is>
      </c>
      <c r="L559" s="24" t="inlineStr">
        <is>
          <t>-</t>
        </is>
      </c>
      <c r="M559" s="24" t="inlineStr">
        <is>
          <t>제 25 기</t>
        </is>
      </c>
      <c r="N559" s="24" t="inlineStr">
        <is>
          <t>59261581000.0</t>
        </is>
      </c>
      <c r="O559" s="24" t="inlineStr">
        <is>
          <t>2809000000.0</t>
        </is>
      </c>
      <c r="P559" s="24" t="inlineStr">
        <is>
          <t>KRW</t>
        </is>
      </c>
      <c r="Q559" s="24" t="inlineStr">
        <is>
          <t>33</t>
        </is>
      </c>
    </row>
    <row r="560" ht="24" customHeight="1">
      <c r="A560" s="29" t="inlineStr">
        <is>
          <t>OpenDART_fnlttSinglAcntAll</t>
        </is>
      </c>
      <c r="B560" s="29" t="inlineStr">
        <is>
          <t>00366942</t>
        </is>
      </c>
      <c r="C560" s="29" t="inlineStr">
        <is>
          <t>미코</t>
        </is>
      </c>
      <c r="D560" s="29" t="inlineStr">
        <is>
          <t>mico</t>
        </is>
      </c>
      <c r="E560" s="29" t="inlineStr">
        <is>
          <t>059090</t>
        </is>
      </c>
      <c r="F560" s="29" t="inlineStr">
        <is>
          <t>2023</t>
        </is>
      </c>
      <c r="G560" s="29" t="inlineStr">
        <is>
          <t>CFS</t>
        </is>
      </c>
      <c r="H560" s="29" t="inlineStr">
        <is>
          <t>CF</t>
        </is>
      </c>
      <c r="I560" s="29" t="inlineStr">
        <is>
          <t>현금흐름표</t>
        </is>
      </c>
      <c r="J560" s="29" t="inlineStr">
        <is>
          <t>dart_ProceedsFromSalesOfFairValueFinancialAsset</t>
        </is>
      </c>
      <c r="K560" s="29" t="inlineStr">
        <is>
          <t>당기손익-공정가치측정금융자산의 감소</t>
        </is>
      </c>
      <c r="L560" s="29" t="inlineStr">
        <is>
          <t>-</t>
        </is>
      </c>
      <c r="M560" s="29" t="inlineStr">
        <is>
          <t>제 25 기</t>
        </is>
      </c>
      <c r="N560" s="29" t="inlineStr">
        <is>
          <t>1661271802.0</t>
        </is>
      </c>
      <c r="O560" s="29" t="inlineStr">
        <is>
          <t>1328608698.0</t>
        </is>
      </c>
      <c r="P560" s="29" t="inlineStr">
        <is>
          <t>KRW</t>
        </is>
      </c>
      <c r="Q560" s="29" t="inlineStr">
        <is>
          <t>34</t>
        </is>
      </c>
    </row>
    <row r="561" ht="24" customHeight="1">
      <c r="A561" s="24" t="inlineStr">
        <is>
          <t>OpenDART_fnlttSinglAcntAll</t>
        </is>
      </c>
      <c r="B561" s="24" t="inlineStr">
        <is>
          <t>00366942</t>
        </is>
      </c>
      <c r="C561" s="24" t="inlineStr">
        <is>
          <t>미코</t>
        </is>
      </c>
      <c r="D561" s="24" t="inlineStr">
        <is>
          <t>mico</t>
        </is>
      </c>
      <c r="E561" s="24" t="inlineStr">
        <is>
          <t>059090</t>
        </is>
      </c>
      <c r="F561" s="24" t="inlineStr">
        <is>
          <t>2023</t>
        </is>
      </c>
      <c r="G561" s="24" t="inlineStr">
        <is>
          <t>CFS</t>
        </is>
      </c>
      <c r="H561" s="24" t="inlineStr">
        <is>
          <t>CF</t>
        </is>
      </c>
      <c r="I561" s="24" t="inlineStr">
        <is>
          <t>현금흐름표</t>
        </is>
      </c>
      <c r="J561" s="24" t="inlineStr">
        <is>
          <t>dart_ProceedsFromSalesOfFinancialInstruments</t>
        </is>
      </c>
      <c r="K561" s="24" t="inlineStr">
        <is>
          <t>금융상품의 감소</t>
        </is>
      </c>
      <c r="L561" s="24" t="inlineStr">
        <is>
          <t>-</t>
        </is>
      </c>
      <c r="M561" s="24" t="inlineStr">
        <is>
          <t>제 25 기</t>
        </is>
      </c>
      <c r="N561" s="24" t="inlineStr">
        <is>
          <t>97677322981.0</t>
        </is>
      </c>
      <c r="O561" s="24" t="inlineStr">
        <is>
          <t>117763905841.0</t>
        </is>
      </c>
      <c r="P561" s="24" t="inlineStr">
        <is>
          <t>KRW</t>
        </is>
      </c>
      <c r="Q561" s="24" t="inlineStr">
        <is>
          <t>35</t>
        </is>
      </c>
    </row>
    <row r="562" ht="24" customHeight="1">
      <c r="A562" s="29" t="inlineStr">
        <is>
          <t>OpenDART_fnlttSinglAcntAll</t>
        </is>
      </c>
      <c r="B562" s="29" t="inlineStr">
        <is>
          <t>00366942</t>
        </is>
      </c>
      <c r="C562" s="29" t="inlineStr">
        <is>
          <t>미코</t>
        </is>
      </c>
      <c r="D562" s="29" t="inlineStr">
        <is>
          <t>mico</t>
        </is>
      </c>
      <c r="E562" s="29" t="inlineStr">
        <is>
          <t>059090</t>
        </is>
      </c>
      <c r="F562" s="29" t="inlineStr">
        <is>
          <t>2023</t>
        </is>
      </c>
      <c r="G562" s="29" t="inlineStr">
        <is>
          <t>CFS</t>
        </is>
      </c>
      <c r="H562" s="29" t="inlineStr">
        <is>
          <t>CF</t>
        </is>
      </c>
      <c r="I562" s="29" t="inlineStr">
        <is>
          <t>현금흐름표</t>
        </is>
      </c>
      <c r="J562" s="29" t="inlineStr">
        <is>
          <t>dart_ProceedsFromSalesOfInvestmentsInAssociates</t>
        </is>
      </c>
      <c r="K562" s="29" t="inlineStr">
        <is>
          <t>관계기업투자주식의 처분</t>
        </is>
      </c>
      <c r="L562" s="29" t="inlineStr">
        <is>
          <t>-</t>
        </is>
      </c>
      <c r="M562" s="29" t="inlineStr">
        <is>
          <t>제 25 기</t>
        </is>
      </c>
      <c r="N562" s="29" t="inlineStr">
        <is>
          <t>596000000.0</t>
        </is>
      </c>
      <c r="O562" s="29" t="inlineStr">
        <is>
          <t>해당 없음</t>
        </is>
      </c>
      <c r="P562" s="29" t="inlineStr">
        <is>
          <t>KRW</t>
        </is>
      </c>
      <c r="Q562" s="29" t="inlineStr">
        <is>
          <t>36</t>
        </is>
      </c>
    </row>
    <row r="563" ht="24" customHeight="1">
      <c r="A563" s="24" t="inlineStr">
        <is>
          <t>OpenDART_fnlttSinglAcntAll</t>
        </is>
      </c>
      <c r="B563" s="24" t="inlineStr">
        <is>
          <t>00366942</t>
        </is>
      </c>
      <c r="C563" s="24" t="inlineStr">
        <is>
          <t>미코</t>
        </is>
      </c>
      <c r="D563" s="24" t="inlineStr">
        <is>
          <t>mico</t>
        </is>
      </c>
      <c r="E563" s="24" t="inlineStr">
        <is>
          <t>059090</t>
        </is>
      </c>
      <c r="F563" s="24" t="inlineStr">
        <is>
          <t>2023</t>
        </is>
      </c>
      <c r="G563" s="24" t="inlineStr">
        <is>
          <t>CFS</t>
        </is>
      </c>
      <c r="H563" s="24" t="inlineStr">
        <is>
          <t>CF</t>
        </is>
      </c>
      <c r="I563" s="24" t="inlineStr">
        <is>
          <t>현금흐름표</t>
        </is>
      </c>
      <c r="J563" s="24" t="inlineStr">
        <is>
          <t>dart_PurchaseOfFairValueFinancialAsset</t>
        </is>
      </c>
      <c r="K563" s="24" t="inlineStr">
        <is>
          <t>당기손익-공정가치측정금융자산의 증가</t>
        </is>
      </c>
      <c r="L563" s="24" t="inlineStr">
        <is>
          <t>-</t>
        </is>
      </c>
      <c r="M563" s="24" t="inlineStr">
        <is>
          <t>제 25 기</t>
        </is>
      </c>
      <c r="N563" s="24" t="inlineStr">
        <is>
          <t>10783371790.0</t>
        </is>
      </c>
      <c r="O563" s="24" t="inlineStr">
        <is>
          <t>26049318771.0</t>
        </is>
      </c>
      <c r="P563" s="24" t="inlineStr">
        <is>
          <t>KRW</t>
        </is>
      </c>
      <c r="Q563" s="24" t="inlineStr">
        <is>
          <t>37</t>
        </is>
      </c>
    </row>
    <row r="564" ht="24" customHeight="1">
      <c r="A564" s="29" t="inlineStr">
        <is>
          <t>OpenDART_fnlttSinglAcntAll</t>
        </is>
      </c>
      <c r="B564" s="29" t="inlineStr">
        <is>
          <t>00366942</t>
        </is>
      </c>
      <c r="C564" s="29" t="inlineStr">
        <is>
          <t>미코</t>
        </is>
      </c>
      <c r="D564" s="29" t="inlineStr">
        <is>
          <t>mico</t>
        </is>
      </c>
      <c r="E564" s="29" t="inlineStr">
        <is>
          <t>059090</t>
        </is>
      </c>
      <c r="F564" s="29" t="inlineStr">
        <is>
          <t>2023</t>
        </is>
      </c>
      <c r="G564" s="29" t="inlineStr">
        <is>
          <t>CFS</t>
        </is>
      </c>
      <c r="H564" s="29" t="inlineStr">
        <is>
          <t>CF</t>
        </is>
      </c>
      <c r="I564" s="29" t="inlineStr">
        <is>
          <t>현금흐름표</t>
        </is>
      </c>
      <c r="J564" s="29" t="inlineStr">
        <is>
          <t>dart_PurchaseOfFinancialInstruments</t>
        </is>
      </c>
      <c r="K564" s="29" t="inlineStr">
        <is>
          <t>금융상품의 증가</t>
        </is>
      </c>
      <c r="L564" s="29" t="inlineStr">
        <is>
          <t>-</t>
        </is>
      </c>
      <c r="M564" s="29" t="inlineStr">
        <is>
          <t>제 25 기</t>
        </is>
      </c>
      <c r="N564" s="29" t="inlineStr">
        <is>
          <t>85309300000.0</t>
        </is>
      </c>
      <c r="O564" s="29" t="inlineStr">
        <is>
          <t>144310834419.0</t>
        </is>
      </c>
      <c r="P564" s="29" t="inlineStr">
        <is>
          <t>KRW</t>
        </is>
      </c>
      <c r="Q564" s="29" t="inlineStr">
        <is>
          <t>38</t>
        </is>
      </c>
    </row>
    <row r="565" ht="24" customHeight="1">
      <c r="A565" s="24" t="inlineStr">
        <is>
          <t>OpenDART_fnlttSinglAcntAll</t>
        </is>
      </c>
      <c r="B565" s="24" t="inlineStr">
        <is>
          <t>00366942</t>
        </is>
      </c>
      <c r="C565" s="24" t="inlineStr">
        <is>
          <t>미코</t>
        </is>
      </c>
      <c r="D565" s="24" t="inlineStr">
        <is>
          <t>mico</t>
        </is>
      </c>
      <c r="E565" s="24" t="inlineStr">
        <is>
          <t>059090</t>
        </is>
      </c>
      <c r="F565" s="24" t="inlineStr">
        <is>
          <t>2023</t>
        </is>
      </c>
      <c r="G565" s="24" t="inlineStr">
        <is>
          <t>CFS</t>
        </is>
      </c>
      <c r="H565" s="24" t="inlineStr">
        <is>
          <t>CF</t>
        </is>
      </c>
      <c r="I565" s="24" t="inlineStr">
        <is>
          <t>현금흐름표</t>
        </is>
      </c>
      <c r="J565" s="24" t="inlineStr">
        <is>
          <t>dart_PurchaseOfInvestmentsInAssociates</t>
        </is>
      </c>
      <c r="K565" s="24" t="inlineStr">
        <is>
          <t>관계기업투자주식의 취득</t>
        </is>
      </c>
      <c r="L565" s="24" t="inlineStr">
        <is>
          <t>-</t>
        </is>
      </c>
      <c r="M565" s="24" t="inlineStr">
        <is>
          <t>제 25 기</t>
        </is>
      </c>
      <c r="N565" s="24" t="inlineStr">
        <is>
          <t>11813624945.0</t>
        </is>
      </c>
      <c r="O565" s="24" t="inlineStr">
        <is>
          <t>35400178700.0</t>
        </is>
      </c>
      <c r="P565" s="24" t="inlineStr">
        <is>
          <t>KRW</t>
        </is>
      </c>
      <c r="Q565" s="24" t="inlineStr">
        <is>
          <t>39</t>
        </is>
      </c>
    </row>
    <row r="566" ht="24" customHeight="1">
      <c r="A566" s="29" t="inlineStr">
        <is>
          <t>OpenDART_fnlttSinglAcntAll</t>
        </is>
      </c>
      <c r="B566" s="29" t="inlineStr">
        <is>
          <t>00366942</t>
        </is>
      </c>
      <c r="C566" s="29" t="inlineStr">
        <is>
          <t>미코</t>
        </is>
      </c>
      <c r="D566" s="29" t="inlineStr">
        <is>
          <t>mico</t>
        </is>
      </c>
      <c r="E566" s="29" t="inlineStr">
        <is>
          <t>059090</t>
        </is>
      </c>
      <c r="F566" s="29" t="inlineStr">
        <is>
          <t>2023</t>
        </is>
      </c>
      <c r="G566" s="29" t="inlineStr">
        <is>
          <t>CFS</t>
        </is>
      </c>
      <c r="H566" s="29" t="inlineStr">
        <is>
          <t>CF</t>
        </is>
      </c>
      <c r="I566" s="29" t="inlineStr">
        <is>
          <t>현금흐름표</t>
        </is>
      </c>
      <c r="J566" s="29" t="inlineStr">
        <is>
          <t>dart_RepaymentOfGovernmentGrantsClassifiedAsInvestingActivities</t>
        </is>
      </c>
      <c r="K566" s="29" t="inlineStr">
        <is>
          <t>정부보조금의 감소</t>
        </is>
      </c>
      <c r="L566" s="29" t="inlineStr">
        <is>
          <t>-</t>
        </is>
      </c>
      <c r="M566" s="29" t="inlineStr">
        <is>
          <t>제 25 기</t>
        </is>
      </c>
      <c r="N566" s="29" t="inlineStr">
        <is>
          <t>해당 없음</t>
        </is>
      </c>
      <c r="O566" s="29" t="inlineStr">
        <is>
          <t>5400000.0</t>
        </is>
      </c>
      <c r="P566" s="29" t="inlineStr">
        <is>
          <t>KRW</t>
        </is>
      </c>
      <c r="Q566" s="29" t="inlineStr">
        <is>
          <t>40</t>
        </is>
      </c>
    </row>
    <row r="567" ht="24" customHeight="1">
      <c r="A567" s="24" t="inlineStr">
        <is>
          <t>OpenDART_fnlttSinglAcntAll</t>
        </is>
      </c>
      <c r="B567" s="24" t="inlineStr">
        <is>
          <t>00366942</t>
        </is>
      </c>
      <c r="C567" s="24" t="inlineStr">
        <is>
          <t>미코</t>
        </is>
      </c>
      <c r="D567" s="24" t="inlineStr">
        <is>
          <t>mico</t>
        </is>
      </c>
      <c r="E567" s="24" t="inlineStr">
        <is>
          <t>059090</t>
        </is>
      </c>
      <c r="F567" s="24" t="inlineStr">
        <is>
          <t>2023</t>
        </is>
      </c>
      <c r="G567" s="24" t="inlineStr">
        <is>
          <t>CFS</t>
        </is>
      </c>
      <c r="H567" s="24" t="inlineStr">
        <is>
          <t>CF</t>
        </is>
      </c>
      <c r="I567" s="24" t="inlineStr">
        <is>
          <t>현금흐름표</t>
        </is>
      </c>
      <c r="J567" s="24" t="inlineStr">
        <is>
          <t>-표준계정코드 미사용-</t>
        </is>
      </c>
      <c r="K567" s="24" t="inlineStr">
        <is>
          <t>연결범위의 변동에 따른 현금유출입</t>
        </is>
      </c>
      <c r="L567" s="24" t="inlineStr">
        <is>
          <t>-</t>
        </is>
      </c>
      <c r="M567" s="24" t="inlineStr">
        <is>
          <t>제 25 기</t>
        </is>
      </c>
      <c r="N567" s="24" t="inlineStr">
        <is>
          <t>13466516441.0</t>
        </is>
      </c>
      <c r="O567" s="24" t="inlineStr">
        <is>
          <t>10372366443.0</t>
        </is>
      </c>
      <c r="P567" s="24" t="inlineStr">
        <is>
          <t>KRW</t>
        </is>
      </c>
      <c r="Q567" s="24" t="inlineStr">
        <is>
          <t>41</t>
        </is>
      </c>
    </row>
    <row r="568" ht="24" customHeight="1">
      <c r="A568" s="29" t="inlineStr">
        <is>
          <t>OpenDART_fnlttSinglAcntAll</t>
        </is>
      </c>
      <c r="B568" s="29" t="inlineStr">
        <is>
          <t>00366942</t>
        </is>
      </c>
      <c r="C568" s="29" t="inlineStr">
        <is>
          <t>미코</t>
        </is>
      </c>
      <c r="D568" s="29" t="inlineStr">
        <is>
          <t>mico</t>
        </is>
      </c>
      <c r="E568" s="29" t="inlineStr">
        <is>
          <t>059090</t>
        </is>
      </c>
      <c r="F568" s="29" t="inlineStr">
        <is>
          <t>2023</t>
        </is>
      </c>
      <c r="G568" s="29" t="inlineStr">
        <is>
          <t>CFS</t>
        </is>
      </c>
      <c r="H568" s="29" t="inlineStr">
        <is>
          <t>CF</t>
        </is>
      </c>
      <c r="I568" s="29" t="inlineStr">
        <is>
          <t>현금흐름표</t>
        </is>
      </c>
      <c r="J568" s="29" t="inlineStr">
        <is>
          <t>-표준계정코드 미사용-</t>
        </is>
      </c>
      <c r="K568" s="29" t="inlineStr">
        <is>
          <t>기타포괄손익-공정가치측정 금융자산의 처분</t>
        </is>
      </c>
      <c r="L568" s="29" t="inlineStr">
        <is>
          <t>-</t>
        </is>
      </c>
      <c r="M568" s="29" t="inlineStr">
        <is>
          <t>제 25 기</t>
        </is>
      </c>
      <c r="N568" s="29" t="inlineStr">
        <is>
          <t>1197000000.0</t>
        </is>
      </c>
      <c r="O568" s="29" t="inlineStr">
        <is>
          <t>해당 없음</t>
        </is>
      </c>
      <c r="P568" s="29" t="inlineStr">
        <is>
          <t>KRW</t>
        </is>
      </c>
      <c r="Q568" s="29" t="inlineStr">
        <is>
          <t>42</t>
        </is>
      </c>
    </row>
    <row r="569" ht="24" customHeight="1">
      <c r="A569" s="24" t="inlineStr">
        <is>
          <t>OpenDART_fnlttSinglAcntAll</t>
        </is>
      </c>
      <c r="B569" s="24" t="inlineStr">
        <is>
          <t>00366942</t>
        </is>
      </c>
      <c r="C569" s="24" t="inlineStr">
        <is>
          <t>미코</t>
        </is>
      </c>
      <c r="D569" s="24" t="inlineStr">
        <is>
          <t>mico</t>
        </is>
      </c>
      <c r="E569" s="24" t="inlineStr">
        <is>
          <t>059090</t>
        </is>
      </c>
      <c r="F569" s="24" t="inlineStr">
        <is>
          <t>2023</t>
        </is>
      </c>
      <c r="G569" s="24" t="inlineStr">
        <is>
          <t>CFS</t>
        </is>
      </c>
      <c r="H569" s="24" t="inlineStr">
        <is>
          <t>CF</t>
        </is>
      </c>
      <c r="I569" s="24" t="inlineStr">
        <is>
          <t>현금흐름표</t>
        </is>
      </c>
      <c r="J569" s="24" t="inlineStr">
        <is>
          <t>-표준계정코드 미사용-</t>
        </is>
      </c>
      <c r="K569" s="24" t="inlineStr">
        <is>
          <t>매각예정자산에 대한 선수금의 수취</t>
        </is>
      </c>
      <c r="L569" s="24" t="inlineStr">
        <is>
          <t>-</t>
        </is>
      </c>
      <c r="M569" s="24" t="inlineStr">
        <is>
          <t>제 25 기</t>
        </is>
      </c>
      <c r="N569" s="24" t="inlineStr">
        <is>
          <t>1976000000.0</t>
        </is>
      </c>
      <c r="O569" s="24" t="inlineStr">
        <is>
          <t>해당 없음</t>
        </is>
      </c>
      <c r="P569" s="24" t="inlineStr">
        <is>
          <t>KRW</t>
        </is>
      </c>
      <c r="Q569" s="24" t="inlineStr">
        <is>
          <t>43</t>
        </is>
      </c>
    </row>
    <row r="570" ht="24" customHeight="1">
      <c r="A570" s="29" t="inlineStr">
        <is>
          <t>OpenDART_fnlttSinglAcntAll</t>
        </is>
      </c>
      <c r="B570" s="29" t="inlineStr">
        <is>
          <t>00366942</t>
        </is>
      </c>
      <c r="C570" s="29" t="inlineStr">
        <is>
          <t>미코</t>
        </is>
      </c>
      <c r="D570" s="29" t="inlineStr">
        <is>
          <t>mico</t>
        </is>
      </c>
      <c r="E570" s="29" t="inlineStr">
        <is>
          <t>059090</t>
        </is>
      </c>
      <c r="F570" s="29" t="inlineStr">
        <is>
          <t>2023</t>
        </is>
      </c>
      <c r="G570" s="29" t="inlineStr">
        <is>
          <t>CFS</t>
        </is>
      </c>
      <c r="H570" s="29" t="inlineStr">
        <is>
          <t>CF</t>
        </is>
      </c>
      <c r="I570" s="29" t="inlineStr">
        <is>
          <t>현금흐름표</t>
        </is>
      </c>
      <c r="J570" s="29" t="inlineStr">
        <is>
          <t>-표준계정코드 미사용-</t>
        </is>
      </c>
      <c r="K570" s="29" t="inlineStr">
        <is>
          <t>파생상품의 증가</t>
        </is>
      </c>
      <c r="L570" s="29" t="inlineStr">
        <is>
          <t>-</t>
        </is>
      </c>
      <c r="M570" s="29" t="inlineStr">
        <is>
          <t>제 25 기</t>
        </is>
      </c>
      <c r="N570" s="29" t="inlineStr">
        <is>
          <t>250000.0</t>
        </is>
      </c>
      <c r="O570" s="29" t="inlineStr">
        <is>
          <t>해당 없음</t>
        </is>
      </c>
      <c r="P570" s="29" t="inlineStr">
        <is>
          <t>KRW</t>
        </is>
      </c>
      <c r="Q570" s="29" t="inlineStr">
        <is>
          <t>44</t>
        </is>
      </c>
    </row>
    <row r="571" ht="24" customHeight="1">
      <c r="A571" s="24" t="inlineStr">
        <is>
          <t>OpenDART_fnlttSinglAcntAll</t>
        </is>
      </c>
      <c r="B571" s="24" t="inlineStr">
        <is>
          <t>00366942</t>
        </is>
      </c>
      <c r="C571" s="24" t="inlineStr">
        <is>
          <t>미코</t>
        </is>
      </c>
      <c r="D571" s="24" t="inlineStr">
        <is>
          <t>mico</t>
        </is>
      </c>
      <c r="E571" s="24" t="inlineStr">
        <is>
          <t>059090</t>
        </is>
      </c>
      <c r="F571" s="24" t="inlineStr">
        <is>
          <t>2023</t>
        </is>
      </c>
      <c r="G571" s="24" t="inlineStr">
        <is>
          <t>CFS</t>
        </is>
      </c>
      <c r="H571" s="24" t="inlineStr">
        <is>
          <t>CF</t>
        </is>
      </c>
      <c r="I571" s="24" t="inlineStr">
        <is>
          <t>현금흐름표</t>
        </is>
      </c>
      <c r="J571" s="24" t="inlineStr">
        <is>
          <t>ifrs-full_DividendsReceivedClassifiedAsInvestingActivities</t>
        </is>
      </c>
      <c r="K571" s="24" t="inlineStr">
        <is>
          <t>배당금수취</t>
        </is>
      </c>
      <c r="L571" s="24" t="inlineStr">
        <is>
          <t>-</t>
        </is>
      </c>
      <c r="M571" s="24" t="inlineStr">
        <is>
          <t>제 25 기</t>
        </is>
      </c>
      <c r="N571" s="24" t="inlineStr">
        <is>
          <t>29917809.0</t>
        </is>
      </c>
      <c r="O571" s="24" t="inlineStr">
        <is>
          <t>119200000.0</t>
        </is>
      </c>
      <c r="P571" s="24" t="inlineStr">
        <is>
          <t>KRW</t>
        </is>
      </c>
      <c r="Q571" s="24" t="inlineStr">
        <is>
          <t>45</t>
        </is>
      </c>
    </row>
    <row r="572" ht="24" customHeight="1">
      <c r="A572" s="29" t="inlineStr">
        <is>
          <t>OpenDART_fnlttSinglAcntAll</t>
        </is>
      </c>
      <c r="B572" s="29" t="inlineStr">
        <is>
          <t>00366942</t>
        </is>
      </c>
      <c r="C572" s="29" t="inlineStr">
        <is>
          <t>미코</t>
        </is>
      </c>
      <c r="D572" s="29" t="inlineStr">
        <is>
          <t>mico</t>
        </is>
      </c>
      <c r="E572" s="29" t="inlineStr">
        <is>
          <t>059090</t>
        </is>
      </c>
      <c r="F572" s="29" t="inlineStr">
        <is>
          <t>2023</t>
        </is>
      </c>
      <c r="G572" s="29" t="inlineStr">
        <is>
          <t>CFS</t>
        </is>
      </c>
      <c r="H572" s="29" t="inlineStr">
        <is>
          <t>CF</t>
        </is>
      </c>
      <c r="I572" s="29" t="inlineStr">
        <is>
          <t>현금흐름표</t>
        </is>
      </c>
      <c r="J572" s="29" t="inlineStr">
        <is>
          <t>ifrs-full_ProceedsFromGovernmentGrantsClassifiedAsInvestingActivities</t>
        </is>
      </c>
      <c r="K572" s="29" t="inlineStr">
        <is>
          <t>정부보조금의 증가</t>
        </is>
      </c>
      <c r="L572" s="29" t="inlineStr">
        <is>
          <t>-</t>
        </is>
      </c>
      <c r="M572" s="29" t="inlineStr">
        <is>
          <t>제 25 기</t>
        </is>
      </c>
      <c r="N572" s="29" t="inlineStr">
        <is>
          <t>1594088766.0</t>
        </is>
      </c>
      <c r="O572" s="29" t="inlineStr">
        <is>
          <t>677566588.0</t>
        </is>
      </c>
      <c r="P572" s="29" t="inlineStr">
        <is>
          <t>KRW</t>
        </is>
      </c>
      <c r="Q572" s="29" t="inlineStr">
        <is>
          <t>46</t>
        </is>
      </c>
    </row>
    <row r="573" ht="24" customHeight="1">
      <c r="A573" s="24" t="inlineStr">
        <is>
          <t>OpenDART_fnlttSinglAcntAll</t>
        </is>
      </c>
      <c r="B573" s="24" t="inlineStr">
        <is>
          <t>00366942</t>
        </is>
      </c>
      <c r="C573" s="24" t="inlineStr">
        <is>
          <t>미코</t>
        </is>
      </c>
      <c r="D573" s="24" t="inlineStr">
        <is>
          <t>mico</t>
        </is>
      </c>
      <c r="E573" s="24" t="inlineStr">
        <is>
          <t>059090</t>
        </is>
      </c>
      <c r="F573" s="24" t="inlineStr">
        <is>
          <t>2023</t>
        </is>
      </c>
      <c r="G573" s="24" t="inlineStr">
        <is>
          <t>CFS</t>
        </is>
      </c>
      <c r="H573" s="24" t="inlineStr">
        <is>
          <t>CF</t>
        </is>
      </c>
      <c r="I573" s="24" t="inlineStr">
        <is>
          <t>현금흐름표</t>
        </is>
      </c>
      <c r="J573" s="24" t="inlineStr">
        <is>
          <t>ifrs-full_ProceedsFromSalesOfIntangibleAssetsClassifiedAsInvestingActivities</t>
        </is>
      </c>
      <c r="K573" s="24" t="inlineStr">
        <is>
          <t>무형자산의 처분</t>
        </is>
      </c>
      <c r="L573" s="24" t="inlineStr">
        <is>
          <t>-</t>
        </is>
      </c>
      <c r="M573" s="24" t="inlineStr">
        <is>
          <t>제 25 기</t>
        </is>
      </c>
      <c r="N573" s="24" t="inlineStr">
        <is>
          <t>281818182.0</t>
        </is>
      </c>
      <c r="O573" s="24" t="inlineStr">
        <is>
          <t>736000000.0</t>
        </is>
      </c>
      <c r="P573" s="24" t="inlineStr">
        <is>
          <t>KRW</t>
        </is>
      </c>
      <c r="Q573" s="24" t="inlineStr">
        <is>
          <t>47</t>
        </is>
      </c>
    </row>
    <row r="574" ht="24" customHeight="1">
      <c r="A574" s="29" t="inlineStr">
        <is>
          <t>OpenDART_fnlttSinglAcntAll</t>
        </is>
      </c>
      <c r="B574" s="29" t="inlineStr">
        <is>
          <t>00366942</t>
        </is>
      </c>
      <c r="C574" s="29" t="inlineStr">
        <is>
          <t>미코</t>
        </is>
      </c>
      <c r="D574" s="29" t="inlineStr">
        <is>
          <t>mico</t>
        </is>
      </c>
      <c r="E574" s="29" t="inlineStr">
        <is>
          <t>059090</t>
        </is>
      </c>
      <c r="F574" s="29" t="inlineStr">
        <is>
          <t>2023</t>
        </is>
      </c>
      <c r="G574" s="29" t="inlineStr">
        <is>
          <t>CFS</t>
        </is>
      </c>
      <c r="H574" s="29" t="inlineStr">
        <is>
          <t>CF</t>
        </is>
      </c>
      <c r="I574" s="29" t="inlineStr">
        <is>
          <t>현금흐름표</t>
        </is>
      </c>
      <c r="J574" s="29" t="inlineStr">
        <is>
          <t>ifrs-full_ProceedsFromSalesOfPropertyPlantAndEquipmentClassifiedAsInvestingActivities</t>
        </is>
      </c>
      <c r="K574" s="29" t="inlineStr">
        <is>
          <t>유형자산의 처분</t>
        </is>
      </c>
      <c r="L574" s="29" t="inlineStr">
        <is>
          <t>-</t>
        </is>
      </c>
      <c r="M574" s="29" t="inlineStr">
        <is>
          <t>제 25 기</t>
        </is>
      </c>
      <c r="N574" s="29" t="inlineStr">
        <is>
          <t>1362026478.0</t>
        </is>
      </c>
      <c r="O574" s="29" t="inlineStr">
        <is>
          <t>278063208.0</t>
        </is>
      </c>
      <c r="P574" s="29" t="inlineStr">
        <is>
          <t>KRW</t>
        </is>
      </c>
      <c r="Q574" s="29" t="inlineStr">
        <is>
          <t>48</t>
        </is>
      </c>
    </row>
    <row r="575" ht="24" customHeight="1">
      <c r="A575" s="24" t="inlineStr">
        <is>
          <t>OpenDART_fnlttSinglAcntAll</t>
        </is>
      </c>
      <c r="B575" s="24" t="inlineStr">
        <is>
          <t>00366942</t>
        </is>
      </c>
      <c r="C575" s="24" t="inlineStr">
        <is>
          <t>미코</t>
        </is>
      </c>
      <c r="D575" s="24" t="inlineStr">
        <is>
          <t>mico</t>
        </is>
      </c>
      <c r="E575" s="24" t="inlineStr">
        <is>
          <t>059090</t>
        </is>
      </c>
      <c r="F575" s="24" t="inlineStr">
        <is>
          <t>2023</t>
        </is>
      </c>
      <c r="G575" s="24" t="inlineStr">
        <is>
          <t>CFS</t>
        </is>
      </c>
      <c r="H575" s="24" t="inlineStr">
        <is>
          <t>CF</t>
        </is>
      </c>
      <c r="I575" s="24" t="inlineStr">
        <is>
          <t>현금흐름표</t>
        </is>
      </c>
      <c r="J575" s="24" t="inlineStr">
        <is>
          <t>ifrs-full_PurchaseOfIntangibleAssetsClassifiedAsInvestingActivities</t>
        </is>
      </c>
      <c r="K575" s="24" t="inlineStr">
        <is>
          <t>무형자산의 취득</t>
        </is>
      </c>
      <c r="L575" s="24" t="inlineStr">
        <is>
          <t>-</t>
        </is>
      </c>
      <c r="M575" s="24" t="inlineStr">
        <is>
          <t>제 25 기</t>
        </is>
      </c>
      <c r="N575" s="24" t="inlineStr">
        <is>
          <t>1029100692.0</t>
        </is>
      </c>
      <c r="O575" s="24" t="inlineStr">
        <is>
          <t>270799258.0</t>
        </is>
      </c>
      <c r="P575" s="24" t="inlineStr">
        <is>
          <t>KRW</t>
        </is>
      </c>
      <c r="Q575" s="24" t="inlineStr">
        <is>
          <t>49</t>
        </is>
      </c>
    </row>
    <row r="576" ht="24" customHeight="1">
      <c r="A576" s="29" t="inlineStr">
        <is>
          <t>OpenDART_fnlttSinglAcntAll</t>
        </is>
      </c>
      <c r="B576" s="29" t="inlineStr">
        <is>
          <t>00366942</t>
        </is>
      </c>
      <c r="C576" s="29" t="inlineStr">
        <is>
          <t>미코</t>
        </is>
      </c>
      <c r="D576" s="29" t="inlineStr">
        <is>
          <t>mico</t>
        </is>
      </c>
      <c r="E576" s="29" t="inlineStr">
        <is>
          <t>059090</t>
        </is>
      </c>
      <c r="F576" s="29" t="inlineStr">
        <is>
          <t>2023</t>
        </is>
      </c>
      <c r="G576" s="29" t="inlineStr">
        <is>
          <t>CFS</t>
        </is>
      </c>
      <c r="H576" s="29" t="inlineStr">
        <is>
          <t>CF</t>
        </is>
      </c>
      <c r="I576" s="29" t="inlineStr">
        <is>
          <t>현금흐름표</t>
        </is>
      </c>
      <c r="J576" s="29" t="inlineStr">
        <is>
          <t>ifrs-full_PurchaseOfInvestmentProperty</t>
        </is>
      </c>
      <c r="K576" s="29" t="inlineStr">
        <is>
          <t>투자부동산의 취득</t>
        </is>
      </c>
      <c r="L576" s="29" t="inlineStr">
        <is>
          <t>-</t>
        </is>
      </c>
      <c r="M576" s="29" t="inlineStr">
        <is>
          <t>제 25 기</t>
        </is>
      </c>
      <c r="N576" s="29" t="inlineStr">
        <is>
          <t>해당 없음</t>
        </is>
      </c>
      <c r="O576" s="29" t="inlineStr">
        <is>
          <t>해당 없음</t>
        </is>
      </c>
      <c r="P576" s="29" t="inlineStr">
        <is>
          <t>KRW</t>
        </is>
      </c>
      <c r="Q576" s="29" t="inlineStr">
        <is>
          <t>50</t>
        </is>
      </c>
    </row>
    <row r="577" ht="24" customHeight="1">
      <c r="A577" s="24" t="inlineStr">
        <is>
          <t>OpenDART_fnlttSinglAcntAll</t>
        </is>
      </c>
      <c r="B577" s="24" t="inlineStr">
        <is>
          <t>00366942</t>
        </is>
      </c>
      <c r="C577" s="24" t="inlineStr">
        <is>
          <t>미코</t>
        </is>
      </c>
      <c r="D577" s="24" t="inlineStr">
        <is>
          <t>mico</t>
        </is>
      </c>
      <c r="E577" s="24" t="inlineStr">
        <is>
          <t>059090</t>
        </is>
      </c>
      <c r="F577" s="24" t="inlineStr">
        <is>
          <t>2023</t>
        </is>
      </c>
      <c r="G577" s="24" t="inlineStr">
        <is>
          <t>CFS</t>
        </is>
      </c>
      <c r="H577" s="24" t="inlineStr">
        <is>
          <t>CF</t>
        </is>
      </c>
      <c r="I577" s="24" t="inlineStr">
        <is>
          <t>현금흐름표</t>
        </is>
      </c>
      <c r="J577" s="24" t="inlineStr">
        <is>
          <t>ifrs-full_PurchaseOfPropertyPlantAndEquipmentClassifiedAsInvestingActivities</t>
        </is>
      </c>
      <c r="K577" s="24" t="inlineStr">
        <is>
          <t>유형자산의 취득</t>
        </is>
      </c>
      <c r="L577" s="24" t="inlineStr">
        <is>
          <t>-</t>
        </is>
      </c>
      <c r="M577" s="24" t="inlineStr">
        <is>
          <t>제 25 기</t>
        </is>
      </c>
      <c r="N577" s="24" t="inlineStr">
        <is>
          <t>47638252669.0</t>
        </is>
      </c>
      <c r="O577" s="24" t="inlineStr">
        <is>
          <t>51723483609.0</t>
        </is>
      </c>
      <c r="P577" s="24" t="inlineStr">
        <is>
          <t>KRW</t>
        </is>
      </c>
      <c r="Q577" s="24" t="inlineStr">
        <is>
          <t>51</t>
        </is>
      </c>
    </row>
    <row r="578" ht="24" customHeight="1">
      <c r="A578" s="29" t="inlineStr">
        <is>
          <t>OpenDART_fnlttSinglAcntAll</t>
        </is>
      </c>
      <c r="B578" s="29" t="inlineStr">
        <is>
          <t>00366942</t>
        </is>
      </c>
      <c r="C578" s="29" t="inlineStr">
        <is>
          <t>미코</t>
        </is>
      </c>
      <c r="D578" s="29" t="inlineStr">
        <is>
          <t>mico</t>
        </is>
      </c>
      <c r="E578" s="29" t="inlineStr">
        <is>
          <t>059090</t>
        </is>
      </c>
      <c r="F578" s="29" t="inlineStr">
        <is>
          <t>2023</t>
        </is>
      </c>
      <c r="G578" s="29" t="inlineStr">
        <is>
          <t>CFS</t>
        </is>
      </c>
      <c r="H578" s="29" t="inlineStr">
        <is>
          <t>CF</t>
        </is>
      </c>
      <c r="I578" s="29" t="inlineStr">
        <is>
          <t>현금흐름표</t>
        </is>
      </c>
      <c r="J578" s="29" t="inlineStr">
        <is>
          <t>ifrs-full_CashFlowsFromUsedInOperatingActivities</t>
        </is>
      </c>
      <c r="K578" s="29" t="inlineStr">
        <is>
          <t>영업활동현금흐름</t>
        </is>
      </c>
      <c r="L578" s="29" t="inlineStr">
        <is>
          <t>-</t>
        </is>
      </c>
      <c r="M578" s="29" t="inlineStr">
        <is>
          <t>제 25 기</t>
        </is>
      </c>
      <c r="N578" s="29" t="inlineStr">
        <is>
          <t>41646262032.0</t>
        </is>
      </c>
      <c r="O578" s="29" t="inlineStr">
        <is>
          <t>80429298447.0</t>
        </is>
      </c>
      <c r="P578" s="29" t="inlineStr">
        <is>
          <t>KRW</t>
        </is>
      </c>
      <c r="Q578" s="29" t="inlineStr">
        <is>
          <t>52</t>
        </is>
      </c>
    </row>
    <row r="579" ht="24" customHeight="1">
      <c r="A579" s="24" t="inlineStr">
        <is>
          <t>OpenDART_fnlttSinglAcntAll</t>
        </is>
      </c>
      <c r="B579" s="24" t="inlineStr">
        <is>
          <t>00366942</t>
        </is>
      </c>
      <c r="C579" s="24" t="inlineStr">
        <is>
          <t>미코</t>
        </is>
      </c>
      <c r="D579" s="24" t="inlineStr">
        <is>
          <t>mico</t>
        </is>
      </c>
      <c r="E579" s="24" t="inlineStr">
        <is>
          <t>059090</t>
        </is>
      </c>
      <c r="F579" s="24" t="inlineStr">
        <is>
          <t>2023</t>
        </is>
      </c>
      <c r="G579" s="24" t="inlineStr">
        <is>
          <t>CFS</t>
        </is>
      </c>
      <c r="H579" s="24" t="inlineStr">
        <is>
          <t>CF</t>
        </is>
      </c>
      <c r="I579" s="24" t="inlineStr">
        <is>
          <t>현금흐름표</t>
        </is>
      </c>
      <c r="J579" s="24" t="inlineStr">
        <is>
          <t>dart_NetCashflowsFromUsedInOperations</t>
        </is>
      </c>
      <c r="K579" s="24" t="inlineStr">
        <is>
          <t>영업에서 창출된 현금</t>
        </is>
      </c>
      <c r="L579" s="24" t="inlineStr">
        <is>
          <t>-</t>
        </is>
      </c>
      <c r="M579" s="24" t="inlineStr">
        <is>
          <t>제 25 기</t>
        </is>
      </c>
      <c r="N579" s="24" t="inlineStr">
        <is>
          <t>61037715152.0</t>
        </is>
      </c>
      <c r="O579" s="24" t="inlineStr">
        <is>
          <t>100860714653.0</t>
        </is>
      </c>
      <c r="P579" s="24" t="inlineStr">
        <is>
          <t>KRW</t>
        </is>
      </c>
      <c r="Q579" s="24" t="inlineStr">
        <is>
          <t>53</t>
        </is>
      </c>
    </row>
    <row r="580" ht="24" customHeight="1">
      <c r="A580" s="29" t="inlineStr">
        <is>
          <t>OpenDART_fnlttSinglAcntAll</t>
        </is>
      </c>
      <c r="B580" s="29" t="inlineStr">
        <is>
          <t>00366942</t>
        </is>
      </c>
      <c r="C580" s="29" t="inlineStr">
        <is>
          <t>미코</t>
        </is>
      </c>
      <c r="D580" s="29" t="inlineStr">
        <is>
          <t>mico</t>
        </is>
      </c>
      <c r="E580" s="29" t="inlineStr">
        <is>
          <t>059090</t>
        </is>
      </c>
      <c r="F580" s="29" t="inlineStr">
        <is>
          <t>2023</t>
        </is>
      </c>
      <c r="G580" s="29" t="inlineStr">
        <is>
          <t>CFS</t>
        </is>
      </c>
      <c r="H580" s="29" t="inlineStr">
        <is>
          <t>CF</t>
        </is>
      </c>
      <c r="I580" s="29" t="inlineStr">
        <is>
          <t>현금흐름표</t>
        </is>
      </c>
      <c r="J580" s="29" t="inlineStr">
        <is>
          <t>ifrs-full_IncomeTaxesPaidClassifiedAsOperatingActivities</t>
        </is>
      </c>
      <c r="K580" s="29" t="inlineStr">
        <is>
          <t>법인세 납부</t>
        </is>
      </c>
      <c r="L580" s="29" t="inlineStr">
        <is>
          <t>-</t>
        </is>
      </c>
      <c r="M580" s="29" t="inlineStr">
        <is>
          <t>제 25 기</t>
        </is>
      </c>
      <c r="N580" s="29" t="inlineStr">
        <is>
          <t>15341518654.0</t>
        </is>
      </c>
      <c r="O580" s="29" t="inlineStr">
        <is>
          <t>17309642461.0</t>
        </is>
      </c>
      <c r="P580" s="29" t="inlineStr">
        <is>
          <t>KRW</t>
        </is>
      </c>
      <c r="Q580" s="29" t="inlineStr">
        <is>
          <t>54</t>
        </is>
      </c>
    </row>
    <row r="581" ht="24" customHeight="1">
      <c r="A581" s="24" t="inlineStr">
        <is>
          <t>OpenDART_fnlttSinglAcntAll</t>
        </is>
      </c>
      <c r="B581" s="24" t="inlineStr">
        <is>
          <t>00366942</t>
        </is>
      </c>
      <c r="C581" s="24" t="inlineStr">
        <is>
          <t>미코</t>
        </is>
      </c>
      <c r="D581" s="24" t="inlineStr">
        <is>
          <t>mico</t>
        </is>
      </c>
      <c r="E581" s="24" t="inlineStr">
        <is>
          <t>059090</t>
        </is>
      </c>
      <c r="F581" s="24" t="inlineStr">
        <is>
          <t>2023</t>
        </is>
      </c>
      <c r="G581" s="24" t="inlineStr">
        <is>
          <t>CFS</t>
        </is>
      </c>
      <c r="H581" s="24" t="inlineStr">
        <is>
          <t>CF</t>
        </is>
      </c>
      <c r="I581" s="24" t="inlineStr">
        <is>
          <t>현금흐름표</t>
        </is>
      </c>
      <c r="J581" s="24" t="inlineStr">
        <is>
          <t>ifrs-full_InterestPaidClassifiedAsOperatingActivities</t>
        </is>
      </c>
      <c r="K581" s="24" t="inlineStr">
        <is>
          <t>이자지급(영업)</t>
        </is>
      </c>
      <c r="L581" s="24" t="inlineStr">
        <is>
          <t>-</t>
        </is>
      </c>
      <c r="M581" s="24" t="inlineStr">
        <is>
          <t>제 25 기</t>
        </is>
      </c>
      <c r="N581" s="24" t="inlineStr">
        <is>
          <t>11217931997.0</t>
        </is>
      </c>
      <c r="O581" s="24" t="inlineStr">
        <is>
          <t>6305845662.0</t>
        </is>
      </c>
      <c r="P581" s="24" t="inlineStr">
        <is>
          <t>KRW</t>
        </is>
      </c>
      <c r="Q581" s="24" t="inlineStr">
        <is>
          <t>55</t>
        </is>
      </c>
    </row>
    <row r="582" ht="24" customHeight="1">
      <c r="A582" s="29" t="inlineStr">
        <is>
          <t>OpenDART_fnlttSinglAcntAll</t>
        </is>
      </c>
      <c r="B582" s="29" t="inlineStr">
        <is>
          <t>00366942</t>
        </is>
      </c>
      <c r="C582" s="29" t="inlineStr">
        <is>
          <t>미코</t>
        </is>
      </c>
      <c r="D582" s="29" t="inlineStr">
        <is>
          <t>mico</t>
        </is>
      </c>
      <c r="E582" s="29" t="inlineStr">
        <is>
          <t>059090</t>
        </is>
      </c>
      <c r="F582" s="29" t="inlineStr">
        <is>
          <t>2023</t>
        </is>
      </c>
      <c r="G582" s="29" t="inlineStr">
        <is>
          <t>CFS</t>
        </is>
      </c>
      <c r="H582" s="29" t="inlineStr">
        <is>
          <t>CF</t>
        </is>
      </c>
      <c r="I582" s="29" t="inlineStr">
        <is>
          <t>현금흐름표</t>
        </is>
      </c>
      <c r="J582" s="29" t="inlineStr">
        <is>
          <t>ifrs-full_InterestReceivedClassifiedAsOperatingActivities</t>
        </is>
      </c>
      <c r="K582" s="29" t="inlineStr">
        <is>
          <t>이자수취</t>
        </is>
      </c>
      <c r="L582" s="29" t="inlineStr">
        <is>
          <t>-</t>
        </is>
      </c>
      <c r="M582" s="29" t="inlineStr">
        <is>
          <t>제 25 기</t>
        </is>
      </c>
      <c r="N582" s="29" t="inlineStr">
        <is>
          <t>7167997531.0</t>
        </is>
      </c>
      <c r="O582" s="29" t="inlineStr">
        <is>
          <t>3184071917.0</t>
        </is>
      </c>
      <c r="P582" s="29" t="inlineStr">
        <is>
          <t>KRW</t>
        </is>
      </c>
      <c r="Q582" s="29" t="inlineStr">
        <is>
          <t>56</t>
        </is>
      </c>
    </row>
    <row r="583" ht="24" customHeight="1">
      <c r="A583" s="24" t="inlineStr">
        <is>
          <t>OpenDART_fnlttSinglAcntAll</t>
        </is>
      </c>
      <c r="B583" s="24" t="inlineStr">
        <is>
          <t>00366942</t>
        </is>
      </c>
      <c r="C583" s="24" t="inlineStr">
        <is>
          <t>미코</t>
        </is>
      </c>
      <c r="D583" s="24" t="inlineStr">
        <is>
          <t>mico</t>
        </is>
      </c>
      <c r="E583" s="24" t="inlineStr">
        <is>
          <t>059090</t>
        </is>
      </c>
      <c r="F583" s="24" t="inlineStr">
        <is>
          <t>2023</t>
        </is>
      </c>
      <c r="G583" s="24" t="inlineStr">
        <is>
          <t>CFS</t>
        </is>
      </c>
      <c r="H583" s="24" t="inlineStr">
        <is>
          <t>CF</t>
        </is>
      </c>
      <c r="I583" s="24" t="inlineStr">
        <is>
          <t>현금흐름표</t>
        </is>
      </c>
      <c r="J583" s="24" t="inlineStr">
        <is>
          <t>ifrs-full_EffectOfExchangeRateChangesOnCashAndCashEquivalents</t>
        </is>
      </c>
      <c r="K583" s="24" t="inlineStr">
        <is>
          <t>현금및현금성자산에 대한 환율변동효과</t>
        </is>
      </c>
      <c r="L583" s="24" t="inlineStr">
        <is>
          <t>-</t>
        </is>
      </c>
      <c r="M583" s="24" t="inlineStr">
        <is>
          <t>제 25 기</t>
        </is>
      </c>
      <c r="N583" s="24" t="inlineStr">
        <is>
          <t>323339340.0</t>
        </is>
      </c>
      <c r="O583" s="24" t="inlineStr">
        <is>
          <t>2235484697.0</t>
        </is>
      </c>
      <c r="P583" s="24" t="inlineStr">
        <is>
          <t>KRW</t>
        </is>
      </c>
      <c r="Q583" s="24" t="inlineStr">
        <is>
          <t>57</t>
        </is>
      </c>
    </row>
    <row r="584" ht="24" customHeight="1">
      <c r="A584" s="29" t="inlineStr">
        <is>
          <t>OpenDART_fnlttSinglAcntAll</t>
        </is>
      </c>
      <c r="B584" s="29" t="inlineStr">
        <is>
          <t>00366942</t>
        </is>
      </c>
      <c r="C584" s="29" t="inlineStr">
        <is>
          <t>미코</t>
        </is>
      </c>
      <c r="D584" s="29" t="inlineStr">
        <is>
          <t>mico</t>
        </is>
      </c>
      <c r="E584" s="29" t="inlineStr">
        <is>
          <t>059090</t>
        </is>
      </c>
      <c r="F584" s="29" t="inlineStr">
        <is>
          <t>2023</t>
        </is>
      </c>
      <c r="G584" s="29" t="inlineStr">
        <is>
          <t>CFS</t>
        </is>
      </c>
      <c r="H584" s="29" t="inlineStr">
        <is>
          <t>CF</t>
        </is>
      </c>
      <c r="I584" s="29" t="inlineStr">
        <is>
          <t>현금흐름표</t>
        </is>
      </c>
      <c r="J584" s="29" t="inlineStr">
        <is>
          <t>ifrs-full_IncreaseDecreaseInCashAndCashEquivalents</t>
        </is>
      </c>
      <c r="K584" s="29" t="inlineStr">
        <is>
          <t>현금및현금성자산의순증가(감소)</t>
        </is>
      </c>
      <c r="L584" s="29" t="inlineStr">
        <is>
          <t>-</t>
        </is>
      </c>
      <c r="M584" s="29" t="inlineStr">
        <is>
          <t>제 25 기</t>
        </is>
      </c>
      <c r="N584" s="29" t="inlineStr">
        <is>
          <t>38571713660.0</t>
        </is>
      </c>
      <c r="O584" s="29" t="inlineStr">
        <is>
          <t>-48557223776.0</t>
        </is>
      </c>
      <c r="P584" s="29" t="inlineStr">
        <is>
          <t>KRW</t>
        </is>
      </c>
      <c r="Q584" s="29" t="inlineStr">
        <is>
          <t>58</t>
        </is>
      </c>
    </row>
    <row r="585" ht="24" customHeight="1">
      <c r="A585" s="24" t="inlineStr">
        <is>
          <t>OpenDART_fnlttSinglAcntAll</t>
        </is>
      </c>
      <c r="B585" s="24" t="inlineStr">
        <is>
          <t>00366942</t>
        </is>
      </c>
      <c r="C585" s="24" t="inlineStr">
        <is>
          <t>미코</t>
        </is>
      </c>
      <c r="D585" s="24" t="inlineStr">
        <is>
          <t>mico</t>
        </is>
      </c>
      <c r="E585" s="24" t="inlineStr">
        <is>
          <t>059090</t>
        </is>
      </c>
      <c r="F585" s="24" t="inlineStr">
        <is>
          <t>2023</t>
        </is>
      </c>
      <c r="G585" s="24" t="inlineStr">
        <is>
          <t>CFS</t>
        </is>
      </c>
      <c r="H585" s="24" t="inlineStr">
        <is>
          <t>SCE</t>
        </is>
      </c>
      <c r="I585" s="24" t="inlineStr">
        <is>
          <t>자본변동표</t>
        </is>
      </c>
      <c r="J585" s="24" t="inlineStr">
        <is>
          <t>dart_ChangesInConsolidatedCompanies</t>
        </is>
      </c>
      <c r="K585" s="24" t="inlineStr">
        <is>
          <t>연결범위의 변동</t>
        </is>
      </c>
      <c r="L585" s="24" t="inlineStr">
        <is>
          <t>자본 [구성요소]|지배기업의 소유주에게 귀속되는 지분 [구성요소]|이익잉여금 [구성요소]</t>
        </is>
      </c>
      <c r="M585" s="24" t="inlineStr">
        <is>
          <t>제 25 기</t>
        </is>
      </c>
      <c r="N585" s="24" t="inlineStr">
        <is>
          <t>해당 없음</t>
        </is>
      </c>
      <c r="O585" s="24" t="inlineStr">
        <is>
          <t>1050742721.0</t>
        </is>
      </c>
      <c r="P585" s="24" t="inlineStr">
        <is>
          <t>KRW</t>
        </is>
      </c>
      <c r="Q585" s="24" t="inlineStr">
        <is>
          <t>3</t>
        </is>
      </c>
    </row>
    <row r="586" ht="24" customHeight="1">
      <c r="A586" s="29" t="inlineStr">
        <is>
          <t>OpenDART_fnlttSinglAcntAll</t>
        </is>
      </c>
      <c r="B586" s="29" t="inlineStr">
        <is>
          <t>00366942</t>
        </is>
      </c>
      <c r="C586" s="29" t="inlineStr">
        <is>
          <t>미코</t>
        </is>
      </c>
      <c r="D586" s="29" t="inlineStr">
        <is>
          <t>mico</t>
        </is>
      </c>
      <c r="E586" s="29" t="inlineStr">
        <is>
          <t>059090</t>
        </is>
      </c>
      <c r="F586" s="29" t="inlineStr">
        <is>
          <t>2023</t>
        </is>
      </c>
      <c r="G586" s="29" t="inlineStr">
        <is>
          <t>CFS</t>
        </is>
      </c>
      <c r="H586" s="29" t="inlineStr">
        <is>
          <t>SCE</t>
        </is>
      </c>
      <c r="I586" s="29" t="inlineStr">
        <is>
          <t>자본변동표</t>
        </is>
      </c>
      <c r="J586" s="29" t="inlineStr">
        <is>
          <t>dart_ChangesInConsolidatedCompanies</t>
        </is>
      </c>
      <c r="K586" s="29" t="inlineStr">
        <is>
          <t>연결범위의 변동</t>
        </is>
      </c>
      <c r="L586" s="29" t="inlineStr">
        <is>
          <t>연결재무제표 [member]</t>
        </is>
      </c>
      <c r="M586" s="29" t="inlineStr">
        <is>
          <t>제 25 기</t>
        </is>
      </c>
      <c r="N586" s="29" t="inlineStr">
        <is>
          <t>-1134074613.0</t>
        </is>
      </c>
      <c r="O586" s="29" t="inlineStr">
        <is>
          <t>15342849000.0</t>
        </is>
      </c>
      <c r="P586" s="29" t="inlineStr">
        <is>
          <t>KRW</t>
        </is>
      </c>
      <c r="Q586" s="29" t="inlineStr">
        <is>
          <t>3</t>
        </is>
      </c>
    </row>
    <row r="587" ht="24" customHeight="1">
      <c r="A587" s="24" t="inlineStr">
        <is>
          <t>OpenDART_fnlttSinglAcntAll</t>
        </is>
      </c>
      <c r="B587" s="24" t="inlineStr">
        <is>
          <t>00366942</t>
        </is>
      </c>
      <c r="C587" s="24" t="inlineStr">
        <is>
          <t>미코</t>
        </is>
      </c>
      <c r="D587" s="24" t="inlineStr">
        <is>
          <t>mico</t>
        </is>
      </c>
      <c r="E587" s="24" t="inlineStr">
        <is>
          <t>059090</t>
        </is>
      </c>
      <c r="F587" s="24" t="inlineStr">
        <is>
          <t>2023</t>
        </is>
      </c>
      <c r="G587" s="24" t="inlineStr">
        <is>
          <t>CFS</t>
        </is>
      </c>
      <c r="H587" s="24" t="inlineStr">
        <is>
          <t>SCE</t>
        </is>
      </c>
      <c r="I587" s="24" t="inlineStr">
        <is>
          <t>자본변동표</t>
        </is>
      </c>
      <c r="J587" s="24" t="inlineStr">
        <is>
          <t>dart_ChangesInConsolidatedCompanies</t>
        </is>
      </c>
      <c r="K587" s="24" t="inlineStr">
        <is>
          <t>연결범위의 변동</t>
        </is>
      </c>
      <c r="L587" s="24" t="inlineStr">
        <is>
          <t>자본 [구성요소]|비지배지분 [구성요소]</t>
        </is>
      </c>
      <c r="M587" s="24" t="inlineStr">
        <is>
          <t>제 25 기</t>
        </is>
      </c>
      <c r="N587" s="24" t="inlineStr">
        <is>
          <t>-1134074613.0</t>
        </is>
      </c>
      <c r="O587" s="24" t="inlineStr">
        <is>
          <t>12927428580.0</t>
        </is>
      </c>
      <c r="P587" s="24" t="inlineStr">
        <is>
          <t>KRW</t>
        </is>
      </c>
      <c r="Q587" s="24" t="inlineStr">
        <is>
          <t>3</t>
        </is>
      </c>
    </row>
    <row r="588" ht="24" customHeight="1">
      <c r="A588" s="29" t="inlineStr">
        <is>
          <t>OpenDART_fnlttSinglAcntAll</t>
        </is>
      </c>
      <c r="B588" s="29" t="inlineStr">
        <is>
          <t>00366942</t>
        </is>
      </c>
      <c r="C588" s="29" t="inlineStr">
        <is>
          <t>미코</t>
        </is>
      </c>
      <c r="D588" s="29" t="inlineStr">
        <is>
          <t>mico</t>
        </is>
      </c>
      <c r="E588" s="29" t="inlineStr">
        <is>
          <t>059090</t>
        </is>
      </c>
      <c r="F588" s="29" t="inlineStr">
        <is>
          <t>2023</t>
        </is>
      </c>
      <c r="G588" s="29" t="inlineStr">
        <is>
          <t>CFS</t>
        </is>
      </c>
      <c r="H588" s="29" t="inlineStr">
        <is>
          <t>SCE</t>
        </is>
      </c>
      <c r="I588" s="29" t="inlineStr">
        <is>
          <t>자본변동표</t>
        </is>
      </c>
      <c r="J588" s="29" t="inlineStr">
        <is>
          <t>dart_ChangesInConsolidatedCompanies</t>
        </is>
      </c>
      <c r="K588" s="29" t="inlineStr">
        <is>
          <t>연결범위의 변동</t>
        </is>
      </c>
      <c r="L588" s="29" t="inlineStr">
        <is>
          <t>자본 [구성요소]|지배기업의 소유주에게 귀속되는 지분 [구성요소]</t>
        </is>
      </c>
      <c r="M588" s="29" t="inlineStr">
        <is>
          <t>제 25 기</t>
        </is>
      </c>
      <c r="N588" s="29" t="inlineStr">
        <is>
          <t>해당 없음</t>
        </is>
      </c>
      <c r="O588" s="29" t="inlineStr">
        <is>
          <t>2415420420.0</t>
        </is>
      </c>
      <c r="P588" s="29" t="inlineStr">
        <is>
          <t>KRW</t>
        </is>
      </c>
      <c r="Q588" s="29" t="inlineStr">
        <is>
          <t>3</t>
        </is>
      </c>
    </row>
    <row r="589" ht="24" customHeight="1">
      <c r="A589" s="24" t="inlineStr">
        <is>
          <t>OpenDART_fnlttSinglAcntAll</t>
        </is>
      </c>
      <c r="B589" s="24" t="inlineStr">
        <is>
          <t>00366942</t>
        </is>
      </c>
      <c r="C589" s="24" t="inlineStr">
        <is>
          <t>미코</t>
        </is>
      </c>
      <c r="D589" s="24" t="inlineStr">
        <is>
          <t>mico</t>
        </is>
      </c>
      <c r="E589" s="24" t="inlineStr">
        <is>
          <t>059090</t>
        </is>
      </c>
      <c r="F589" s="24" t="inlineStr">
        <is>
          <t>2023</t>
        </is>
      </c>
      <c r="G589" s="24" t="inlineStr">
        <is>
          <t>CFS</t>
        </is>
      </c>
      <c r="H589" s="24" t="inlineStr">
        <is>
          <t>SCE</t>
        </is>
      </c>
      <c r="I589" s="24" t="inlineStr">
        <is>
          <t>자본변동표</t>
        </is>
      </c>
      <c r="J589" s="24" t="inlineStr">
        <is>
          <t>dart_ChangesInConsolidatedCompanies</t>
        </is>
      </c>
      <c r="K589" s="24" t="inlineStr">
        <is>
          <t>연결범위의 변동</t>
        </is>
      </c>
      <c r="L589" s="24" t="inlineStr">
        <is>
          <t>자본 [구성요소]|지배기업의 소유주에게 귀속되는 지분 [구성요소]|자본잉여금 [구성요소]</t>
        </is>
      </c>
      <c r="M589" s="24" t="inlineStr">
        <is>
          <t>제 25 기</t>
        </is>
      </c>
      <c r="N589" s="24" t="inlineStr">
        <is>
          <t>해당 없음</t>
        </is>
      </c>
      <c r="O589" s="24" t="inlineStr">
        <is>
          <t>1364677699.0</t>
        </is>
      </c>
      <c r="P589" s="24" t="inlineStr">
        <is>
          <t>KRW</t>
        </is>
      </c>
      <c r="Q589" s="24" t="inlineStr">
        <is>
          <t>3</t>
        </is>
      </c>
    </row>
    <row r="590" ht="24" customHeight="1">
      <c r="A590" s="29" t="inlineStr">
        <is>
          <t>OpenDART_fnlttSinglAcntAll</t>
        </is>
      </c>
      <c r="B590" s="29" t="inlineStr">
        <is>
          <t>00366942</t>
        </is>
      </c>
      <c r="C590" s="29" t="inlineStr">
        <is>
          <t>미코</t>
        </is>
      </c>
      <c r="D590" s="29" t="inlineStr">
        <is>
          <t>mico</t>
        </is>
      </c>
      <c r="E590" s="29" t="inlineStr">
        <is>
          <t>059090</t>
        </is>
      </c>
      <c r="F590" s="29" t="inlineStr">
        <is>
          <t>2023</t>
        </is>
      </c>
      <c r="G590" s="29" t="inlineStr">
        <is>
          <t>CFS</t>
        </is>
      </c>
      <c r="H590" s="29" t="inlineStr">
        <is>
          <t>SCE</t>
        </is>
      </c>
      <c r="I590" s="29" t="inlineStr">
        <is>
          <t>자본변동표</t>
        </is>
      </c>
      <c r="J590" s="29" t="inlineStr">
        <is>
          <t>dart_ChangesInForeignExchangeRates</t>
        </is>
      </c>
      <c r="K590" s="29" t="inlineStr">
        <is>
          <t>해외사업환산손익</t>
        </is>
      </c>
      <c r="L590" s="29" t="inlineStr">
        <is>
          <t>연결재무제표 [member]</t>
        </is>
      </c>
      <c r="M590" s="29" t="inlineStr">
        <is>
          <t>제 25 기</t>
        </is>
      </c>
      <c r="N590" s="29" t="inlineStr">
        <is>
          <t>-739500736.0</t>
        </is>
      </c>
      <c r="O590" s="29" t="inlineStr">
        <is>
          <t>4063873276.0</t>
        </is>
      </c>
      <c r="P590" s="29" t="inlineStr">
        <is>
          <t>KRW</t>
        </is>
      </c>
      <c r="Q590" s="29" t="inlineStr">
        <is>
          <t>4</t>
        </is>
      </c>
    </row>
    <row r="591" ht="24" customHeight="1">
      <c r="A591" s="24" t="inlineStr">
        <is>
          <t>OpenDART_fnlttSinglAcntAll</t>
        </is>
      </c>
      <c r="B591" s="24" t="inlineStr">
        <is>
          <t>00366942</t>
        </is>
      </c>
      <c r="C591" s="24" t="inlineStr">
        <is>
          <t>미코</t>
        </is>
      </c>
      <c r="D591" s="24" t="inlineStr">
        <is>
          <t>mico</t>
        </is>
      </c>
      <c r="E591" s="24" t="inlineStr">
        <is>
          <t>059090</t>
        </is>
      </c>
      <c r="F591" s="24" t="inlineStr">
        <is>
          <t>2023</t>
        </is>
      </c>
      <c r="G591" s="24" t="inlineStr">
        <is>
          <t>CFS</t>
        </is>
      </c>
      <c r="H591" s="24" t="inlineStr">
        <is>
          <t>SCE</t>
        </is>
      </c>
      <c r="I591" s="24" t="inlineStr">
        <is>
          <t>자본변동표</t>
        </is>
      </c>
      <c r="J591" s="24" t="inlineStr">
        <is>
          <t>dart_ChangesInForeignExchangeRates</t>
        </is>
      </c>
      <c r="K591" s="24" t="inlineStr">
        <is>
          <t>해외사업환산손익</t>
        </is>
      </c>
      <c r="L591" s="24" t="inlineStr">
        <is>
          <t>자본 [구성요소]|비지배지분 [구성요소]</t>
        </is>
      </c>
      <c r="M591" s="24" t="inlineStr">
        <is>
          <t>제 25 기</t>
        </is>
      </c>
      <c r="N591" s="24" t="inlineStr">
        <is>
          <t>435499376.0</t>
        </is>
      </c>
      <c r="O591" s="24" t="inlineStr">
        <is>
          <t>1644391664.0</t>
        </is>
      </c>
      <c r="P591" s="24" t="inlineStr">
        <is>
          <t>KRW</t>
        </is>
      </c>
      <c r="Q591" s="24" t="inlineStr">
        <is>
          <t>4</t>
        </is>
      </c>
    </row>
    <row r="592" ht="24" customHeight="1">
      <c r="A592" s="29" t="inlineStr">
        <is>
          <t>OpenDART_fnlttSinglAcntAll</t>
        </is>
      </c>
      <c r="B592" s="29" t="inlineStr">
        <is>
          <t>00366942</t>
        </is>
      </c>
      <c r="C592" s="29" t="inlineStr">
        <is>
          <t>미코</t>
        </is>
      </c>
      <c r="D592" s="29" t="inlineStr">
        <is>
          <t>mico</t>
        </is>
      </c>
      <c r="E592" s="29" t="inlineStr">
        <is>
          <t>059090</t>
        </is>
      </c>
      <c r="F592" s="29" t="inlineStr">
        <is>
          <t>2023</t>
        </is>
      </c>
      <c r="G592" s="29" t="inlineStr">
        <is>
          <t>CFS</t>
        </is>
      </c>
      <c r="H592" s="29" t="inlineStr">
        <is>
          <t>SCE</t>
        </is>
      </c>
      <c r="I592" s="29" t="inlineStr">
        <is>
          <t>자본변동표</t>
        </is>
      </c>
      <c r="J592" s="29" t="inlineStr">
        <is>
          <t>dart_ChangesInForeignExchangeRates</t>
        </is>
      </c>
      <c r="K592" s="29" t="inlineStr">
        <is>
          <t>해외사업환산손익</t>
        </is>
      </c>
      <c r="L592" s="29" t="inlineStr">
        <is>
          <t>자본 [구성요소]|지배기업의 소유주에게 귀속되는 지분 [구성요소]</t>
        </is>
      </c>
      <c r="M592" s="29" t="inlineStr">
        <is>
          <t>제 25 기</t>
        </is>
      </c>
      <c r="N592" s="29" t="inlineStr">
        <is>
          <t>-1175000112.0</t>
        </is>
      </c>
      <c r="O592" s="29" t="inlineStr">
        <is>
          <t>2419481612.0</t>
        </is>
      </c>
      <c r="P592" s="29" t="inlineStr">
        <is>
          <t>KRW</t>
        </is>
      </c>
      <c r="Q592" s="29" t="inlineStr">
        <is>
          <t>4</t>
        </is>
      </c>
    </row>
    <row r="593" ht="24" customHeight="1">
      <c r="A593" s="24" t="inlineStr">
        <is>
          <t>OpenDART_fnlttSinglAcntAll</t>
        </is>
      </c>
      <c r="B593" s="24" t="inlineStr">
        <is>
          <t>00366942</t>
        </is>
      </c>
      <c r="C593" s="24" t="inlineStr">
        <is>
          <t>미코</t>
        </is>
      </c>
      <c r="D593" s="24" t="inlineStr">
        <is>
          <t>mico</t>
        </is>
      </c>
      <c r="E593" s="24" t="inlineStr">
        <is>
          <t>059090</t>
        </is>
      </c>
      <c r="F593" s="24" t="inlineStr">
        <is>
          <t>2023</t>
        </is>
      </c>
      <c r="G593" s="24" t="inlineStr">
        <is>
          <t>CFS</t>
        </is>
      </c>
      <c r="H593" s="24" t="inlineStr">
        <is>
          <t>SCE</t>
        </is>
      </c>
      <c r="I593" s="24" t="inlineStr">
        <is>
          <t>자본변동표</t>
        </is>
      </c>
      <c r="J593" s="24" t="inlineStr">
        <is>
          <t>dart_ChangesInForeignExchangeRates</t>
        </is>
      </c>
      <c r="K593" s="24" t="inlineStr">
        <is>
          <t>해외사업환산손익</t>
        </is>
      </c>
      <c r="L593" s="24" t="inlineStr">
        <is>
          <t>자본 [구성요소]|지배기업의 소유주에게 귀속되는 지분 [구성요소]|기타포괄손익누계액 [구성요소]</t>
        </is>
      </c>
      <c r="M593" s="24" t="inlineStr">
        <is>
          <t>제 25 기</t>
        </is>
      </c>
      <c r="N593" s="24" t="inlineStr">
        <is>
          <t>-1175000112.0</t>
        </is>
      </c>
      <c r="O593" s="24" t="inlineStr">
        <is>
          <t>2419481612.0</t>
        </is>
      </c>
      <c r="P593" s="24" t="inlineStr">
        <is>
          <t>KRW</t>
        </is>
      </c>
      <c r="Q593" s="24" t="inlineStr">
        <is>
          <t>4</t>
        </is>
      </c>
    </row>
    <row r="594" ht="24" customHeight="1">
      <c r="A594" s="29" t="inlineStr">
        <is>
          <t>OpenDART_fnlttSinglAcntAll</t>
        </is>
      </c>
      <c r="B594" s="29" t="inlineStr">
        <is>
          <t>00366942</t>
        </is>
      </c>
      <c r="C594" s="29" t="inlineStr">
        <is>
          <t>미코</t>
        </is>
      </c>
      <c r="D594" s="29" t="inlineStr">
        <is>
          <t>mico</t>
        </is>
      </c>
      <c r="E594" s="29" t="inlineStr">
        <is>
          <t>059090</t>
        </is>
      </c>
      <c r="F594" s="29" t="inlineStr">
        <is>
          <t>2023</t>
        </is>
      </c>
      <c r="G594" s="29" t="inlineStr">
        <is>
          <t>CFS</t>
        </is>
      </c>
      <c r="H594" s="29" t="inlineStr">
        <is>
          <t>SCE</t>
        </is>
      </c>
      <c r="I594" s="29" t="inlineStr">
        <is>
          <t>자본변동표</t>
        </is>
      </c>
      <c r="J594" s="29" t="inlineStr">
        <is>
          <t>dart_EquityAtBeginningOfPeriod</t>
        </is>
      </c>
      <c r="K594" s="29" t="inlineStr">
        <is>
          <t>기초자본</t>
        </is>
      </c>
      <c r="L594" s="29" t="inlineStr">
        <is>
          <t>자본 [구성요소]|지배기업의 소유주에게 귀속되는 지분 [구성요소]|기타자본구성요소 [구성요소]</t>
        </is>
      </c>
      <c r="M594" s="29" t="inlineStr">
        <is>
          <t>제 25 기</t>
        </is>
      </c>
      <c r="N594" s="29" t="inlineStr">
        <is>
          <t>-38456895906.0</t>
        </is>
      </c>
      <c r="O594" s="29" t="inlineStr">
        <is>
          <t>-34140162498.0</t>
        </is>
      </c>
      <c r="P594" s="29" t="inlineStr">
        <is>
          <t>KRW</t>
        </is>
      </c>
      <c r="Q594" s="29" t="inlineStr">
        <is>
          <t>5</t>
        </is>
      </c>
    </row>
    <row r="595" ht="24" customHeight="1">
      <c r="A595" s="24" t="inlineStr">
        <is>
          <t>OpenDART_fnlttSinglAcntAll</t>
        </is>
      </c>
      <c r="B595" s="24" t="inlineStr">
        <is>
          <t>00366942</t>
        </is>
      </c>
      <c r="C595" s="24" t="inlineStr">
        <is>
          <t>미코</t>
        </is>
      </c>
      <c r="D595" s="24" t="inlineStr">
        <is>
          <t>mico</t>
        </is>
      </c>
      <c r="E595" s="24" t="inlineStr">
        <is>
          <t>059090</t>
        </is>
      </c>
      <c r="F595" s="24" t="inlineStr">
        <is>
          <t>2023</t>
        </is>
      </c>
      <c r="G595" s="24" t="inlineStr">
        <is>
          <t>CFS</t>
        </is>
      </c>
      <c r="H595" s="24" t="inlineStr">
        <is>
          <t>SCE</t>
        </is>
      </c>
      <c r="I595" s="24" t="inlineStr">
        <is>
          <t>자본변동표</t>
        </is>
      </c>
      <c r="J595" s="24" t="inlineStr">
        <is>
          <t>dart_EquityAtBeginningOfPeriod</t>
        </is>
      </c>
      <c r="K595" s="24" t="inlineStr">
        <is>
          <t>기초자본</t>
        </is>
      </c>
      <c r="L595" s="24" t="inlineStr">
        <is>
          <t>자본 [구성요소]|지배기업의 소유주에게 귀속되는 지분 [구성요소]</t>
        </is>
      </c>
      <c r="M595" s="24" t="inlineStr">
        <is>
          <t>제 25 기</t>
        </is>
      </c>
      <c r="N595" s="24" t="inlineStr">
        <is>
          <t>141812122965.0</t>
        </is>
      </c>
      <c r="O595" s="24" t="inlineStr">
        <is>
          <t>190597251452.0</t>
        </is>
      </c>
      <c r="P595" s="24" t="inlineStr">
        <is>
          <t>KRW</t>
        </is>
      </c>
      <c r="Q595" s="24" t="inlineStr">
        <is>
          <t>5</t>
        </is>
      </c>
    </row>
    <row r="596" ht="24" customHeight="1">
      <c r="A596" s="29" t="inlineStr">
        <is>
          <t>OpenDART_fnlttSinglAcntAll</t>
        </is>
      </c>
      <c r="B596" s="29" t="inlineStr">
        <is>
          <t>00366942</t>
        </is>
      </c>
      <c r="C596" s="29" t="inlineStr">
        <is>
          <t>미코</t>
        </is>
      </c>
      <c r="D596" s="29" t="inlineStr">
        <is>
          <t>mico</t>
        </is>
      </c>
      <c r="E596" s="29" t="inlineStr">
        <is>
          <t>059090</t>
        </is>
      </c>
      <c r="F596" s="29" t="inlineStr">
        <is>
          <t>2023</t>
        </is>
      </c>
      <c r="G596" s="29" t="inlineStr">
        <is>
          <t>CFS</t>
        </is>
      </c>
      <c r="H596" s="29" t="inlineStr">
        <is>
          <t>SCE</t>
        </is>
      </c>
      <c r="I596" s="29" t="inlineStr">
        <is>
          <t>자본변동표</t>
        </is>
      </c>
      <c r="J596" s="29" t="inlineStr">
        <is>
          <t>dart_EquityAtBeginningOfPeriod</t>
        </is>
      </c>
      <c r="K596" s="29" t="inlineStr">
        <is>
          <t>기초자본</t>
        </is>
      </c>
      <c r="L596" s="29" t="inlineStr">
        <is>
          <t>자본 [구성요소]|비지배지분 [구성요소]</t>
        </is>
      </c>
      <c r="M596" s="29" t="inlineStr">
        <is>
          <t>제 25 기</t>
        </is>
      </c>
      <c r="N596" s="29" t="inlineStr">
        <is>
          <t>234487917031.0</t>
        </is>
      </c>
      <c r="O596" s="29" t="inlineStr">
        <is>
          <t>181880741500.0</t>
        </is>
      </c>
      <c r="P596" s="29" t="inlineStr">
        <is>
          <t>KRW</t>
        </is>
      </c>
      <c r="Q596" s="29" t="inlineStr">
        <is>
          <t>5</t>
        </is>
      </c>
    </row>
    <row r="597" ht="24" customHeight="1">
      <c r="A597" s="24" t="inlineStr">
        <is>
          <t>OpenDART_fnlttSinglAcntAll</t>
        </is>
      </c>
      <c r="B597" s="24" t="inlineStr">
        <is>
          <t>00366942</t>
        </is>
      </c>
      <c r="C597" s="24" t="inlineStr">
        <is>
          <t>미코</t>
        </is>
      </c>
      <c r="D597" s="24" t="inlineStr">
        <is>
          <t>mico</t>
        </is>
      </c>
      <c r="E597" s="24" t="inlineStr">
        <is>
          <t>059090</t>
        </is>
      </c>
      <c r="F597" s="24" t="inlineStr">
        <is>
          <t>2023</t>
        </is>
      </c>
      <c r="G597" s="24" t="inlineStr">
        <is>
          <t>CFS</t>
        </is>
      </c>
      <c r="H597" s="24" t="inlineStr">
        <is>
          <t>SCE</t>
        </is>
      </c>
      <c r="I597" s="24" t="inlineStr">
        <is>
          <t>자본변동표</t>
        </is>
      </c>
      <c r="J597" s="24" t="inlineStr">
        <is>
          <t>dart_EquityAtBeginningOfPeriod</t>
        </is>
      </c>
      <c r="K597" s="24" t="inlineStr">
        <is>
          <t>기초자본</t>
        </is>
      </c>
      <c r="L597" s="24" t="inlineStr">
        <is>
          <t>연결재무제표 [member]</t>
        </is>
      </c>
      <c r="M597" s="24" t="inlineStr">
        <is>
          <t>제 25 기</t>
        </is>
      </c>
      <c r="N597" s="24" t="inlineStr">
        <is>
          <t>376300039996.0</t>
        </is>
      </c>
      <c r="O597" s="24" t="inlineStr">
        <is>
          <t>372477992952.0</t>
        </is>
      </c>
      <c r="P597" s="24" t="inlineStr">
        <is>
          <t>KRW</t>
        </is>
      </c>
      <c r="Q597" s="24" t="inlineStr">
        <is>
          <t>5</t>
        </is>
      </c>
    </row>
    <row r="598" ht="24" customHeight="1">
      <c r="A598" s="29" t="inlineStr">
        <is>
          <t>OpenDART_fnlttSinglAcntAll</t>
        </is>
      </c>
      <c r="B598" s="29" t="inlineStr">
        <is>
          <t>00366942</t>
        </is>
      </c>
      <c r="C598" s="29" t="inlineStr">
        <is>
          <t>미코</t>
        </is>
      </c>
      <c r="D598" s="29" t="inlineStr">
        <is>
          <t>mico</t>
        </is>
      </c>
      <c r="E598" s="29" t="inlineStr">
        <is>
          <t>059090</t>
        </is>
      </c>
      <c r="F598" s="29" t="inlineStr">
        <is>
          <t>2023</t>
        </is>
      </c>
      <c r="G598" s="29" t="inlineStr">
        <is>
          <t>CFS</t>
        </is>
      </c>
      <c r="H598" s="29" t="inlineStr">
        <is>
          <t>SCE</t>
        </is>
      </c>
      <c r="I598" s="29" t="inlineStr">
        <is>
          <t>자본변동표</t>
        </is>
      </c>
      <c r="J598" s="29" t="inlineStr">
        <is>
          <t>dart_EquityAtBeginningOfPeriod</t>
        </is>
      </c>
      <c r="K598" s="29" t="inlineStr">
        <is>
          <t>기초자본</t>
        </is>
      </c>
      <c r="L598" s="29" t="inlineStr">
        <is>
          <t>자본 [구성요소]|지배기업의 소유주에게 귀속되는 지분 [구성요소]|기타포괄손익누계액 [구성요소]</t>
        </is>
      </c>
      <c r="M598" s="29" t="inlineStr">
        <is>
          <t>제 25 기</t>
        </is>
      </c>
      <c r="N598" s="29" t="inlineStr">
        <is>
          <t>2578387177.0</t>
        </is>
      </c>
      <c r="O598" s="29" t="inlineStr">
        <is>
          <t>-2035182088.0</t>
        </is>
      </c>
      <c r="P598" s="29" t="inlineStr">
        <is>
          <t>KRW</t>
        </is>
      </c>
      <c r="Q598" s="29" t="inlineStr">
        <is>
          <t>5</t>
        </is>
      </c>
    </row>
    <row r="599" ht="24" customHeight="1">
      <c r="A599" s="24" t="inlineStr">
        <is>
          <t>OpenDART_fnlttSinglAcntAll</t>
        </is>
      </c>
      <c r="B599" s="24" t="inlineStr">
        <is>
          <t>00366942</t>
        </is>
      </c>
      <c r="C599" s="24" t="inlineStr">
        <is>
          <t>미코</t>
        </is>
      </c>
      <c r="D599" s="24" t="inlineStr">
        <is>
          <t>mico</t>
        </is>
      </c>
      <c r="E599" s="24" t="inlineStr">
        <is>
          <t>059090</t>
        </is>
      </c>
      <c r="F599" s="24" t="inlineStr">
        <is>
          <t>2023</t>
        </is>
      </c>
      <c r="G599" s="24" t="inlineStr">
        <is>
          <t>CFS</t>
        </is>
      </c>
      <c r="H599" s="24" t="inlineStr">
        <is>
          <t>SCE</t>
        </is>
      </c>
      <c r="I599" s="24" t="inlineStr">
        <is>
          <t>자본변동표</t>
        </is>
      </c>
      <c r="J599" s="24" t="inlineStr">
        <is>
          <t>dart_EquityAtBeginningOfPeriod</t>
        </is>
      </c>
      <c r="K599" s="24" t="inlineStr">
        <is>
          <t>기초자본</t>
        </is>
      </c>
      <c r="L599" s="24" t="inlineStr">
        <is>
          <t>자본 [구성요소]|지배기업의 소유주에게 귀속되는 지분 [구성요소]|자본잉여금 [구성요소]</t>
        </is>
      </c>
      <c r="M599" s="24" t="inlineStr">
        <is>
          <t>제 25 기</t>
        </is>
      </c>
      <c r="N599" s="24" t="inlineStr">
        <is>
          <t>197914130088.0</t>
        </is>
      </c>
      <c r="O599" s="24" t="inlineStr">
        <is>
          <t>190581959050.0</t>
        </is>
      </c>
      <c r="P599" s="24" t="inlineStr">
        <is>
          <t>KRW</t>
        </is>
      </c>
      <c r="Q599" s="24" t="inlineStr">
        <is>
          <t>5</t>
        </is>
      </c>
    </row>
    <row r="600" ht="24" customHeight="1">
      <c r="A600" s="29" t="inlineStr">
        <is>
          <t>OpenDART_fnlttSinglAcntAll</t>
        </is>
      </c>
      <c r="B600" s="29" t="inlineStr">
        <is>
          <t>00366942</t>
        </is>
      </c>
      <c r="C600" s="29" t="inlineStr">
        <is>
          <t>미코</t>
        </is>
      </c>
      <c r="D600" s="29" t="inlineStr">
        <is>
          <t>mico</t>
        </is>
      </c>
      <c r="E600" s="29" t="inlineStr">
        <is>
          <t>059090</t>
        </is>
      </c>
      <c r="F600" s="29" t="inlineStr">
        <is>
          <t>2023</t>
        </is>
      </c>
      <c r="G600" s="29" t="inlineStr">
        <is>
          <t>CFS</t>
        </is>
      </c>
      <c r="H600" s="29" t="inlineStr">
        <is>
          <t>SCE</t>
        </is>
      </c>
      <c r="I600" s="29" t="inlineStr">
        <is>
          <t>자본변동표</t>
        </is>
      </c>
      <c r="J600" s="29" t="inlineStr">
        <is>
          <t>dart_EquityAtBeginningOfPeriod</t>
        </is>
      </c>
      <c r="K600" s="29" t="inlineStr">
        <is>
          <t>기초자본</t>
        </is>
      </c>
      <c r="L600" s="29" t="inlineStr">
        <is>
          <t>자본 [구성요소]|지배기업의 소유주에게 귀속되는 지분 [구성요소]|자본금 [구성요소]</t>
        </is>
      </c>
      <c r="M600" s="29" t="inlineStr">
        <is>
          <t>제 25 기</t>
        </is>
      </c>
      <c r="N600" s="29" t="inlineStr">
        <is>
          <t>16708389000.0</t>
        </is>
      </c>
      <c r="O600" s="29" t="inlineStr">
        <is>
          <t>16708389000.0</t>
        </is>
      </c>
      <c r="P600" s="29" t="inlineStr">
        <is>
          <t>KRW</t>
        </is>
      </c>
      <c r="Q600" s="29" t="inlineStr">
        <is>
          <t>5</t>
        </is>
      </c>
    </row>
    <row r="601" ht="24" customHeight="1">
      <c r="A601" s="24" t="inlineStr">
        <is>
          <t>OpenDART_fnlttSinglAcntAll</t>
        </is>
      </c>
      <c r="B601" s="24" t="inlineStr">
        <is>
          <t>00366942</t>
        </is>
      </c>
      <c r="C601" s="24" t="inlineStr">
        <is>
          <t>미코</t>
        </is>
      </c>
      <c r="D601" s="24" t="inlineStr">
        <is>
          <t>mico</t>
        </is>
      </c>
      <c r="E601" s="24" t="inlineStr">
        <is>
          <t>059090</t>
        </is>
      </c>
      <c r="F601" s="24" t="inlineStr">
        <is>
          <t>2023</t>
        </is>
      </c>
      <c r="G601" s="24" t="inlineStr">
        <is>
          <t>CFS</t>
        </is>
      </c>
      <c r="H601" s="24" t="inlineStr">
        <is>
          <t>SCE</t>
        </is>
      </c>
      <c r="I601" s="24" t="inlineStr">
        <is>
          <t>자본변동표</t>
        </is>
      </c>
      <c r="J601" s="24" t="inlineStr">
        <is>
          <t>dart_EquityAtBeginningOfPeriod</t>
        </is>
      </c>
      <c r="K601" s="24" t="inlineStr">
        <is>
          <t>기초자본</t>
        </is>
      </c>
      <c r="L601" s="24" t="inlineStr">
        <is>
          <t>자본 [구성요소]|지배기업의 소유주에게 귀속되는 지분 [구성요소]|이익잉여금 [구성요소]</t>
        </is>
      </c>
      <c r="M601" s="24" t="inlineStr">
        <is>
          <t>제 25 기</t>
        </is>
      </c>
      <c r="N601" s="24" t="inlineStr">
        <is>
          <t>-36931887394.0</t>
        </is>
      </c>
      <c r="O601" s="24" t="inlineStr">
        <is>
          <t>19482247988.0</t>
        </is>
      </c>
      <c r="P601" s="24" t="inlineStr">
        <is>
          <t>KRW</t>
        </is>
      </c>
      <c r="Q601" s="24" t="inlineStr">
        <is>
          <t>5</t>
        </is>
      </c>
    </row>
    <row r="602" ht="24" customHeight="1">
      <c r="A602" s="29" t="inlineStr">
        <is>
          <t>OpenDART_fnlttSinglAcntAll</t>
        </is>
      </c>
      <c r="B602" s="29" t="inlineStr">
        <is>
          <t>00366942</t>
        </is>
      </c>
      <c r="C602" s="29" t="inlineStr">
        <is>
          <t>미코</t>
        </is>
      </c>
      <c r="D602" s="29" t="inlineStr">
        <is>
          <t>mico</t>
        </is>
      </c>
      <c r="E602" s="29" t="inlineStr">
        <is>
          <t>059090</t>
        </is>
      </c>
      <c r="F602" s="29" t="inlineStr">
        <is>
          <t>2023</t>
        </is>
      </c>
      <c r="G602" s="29" t="inlineStr">
        <is>
          <t>CFS</t>
        </is>
      </c>
      <c r="H602" s="29" t="inlineStr">
        <is>
          <t>SCE</t>
        </is>
      </c>
      <c r="I602" s="29" t="inlineStr">
        <is>
          <t>자본변동표</t>
        </is>
      </c>
      <c r="J602" s="29" t="inlineStr">
        <is>
          <t>dart_IncreaseDecreaseThroughChangesInAccountingPolicies</t>
        </is>
      </c>
      <c r="K602" s="29" t="inlineStr">
        <is>
          <t>회계정책의 변경효과</t>
        </is>
      </c>
      <c r="L602" s="29" t="inlineStr">
        <is>
          <t>연결재무제표 [member]</t>
        </is>
      </c>
      <c r="M602" s="29" t="inlineStr">
        <is>
          <t>제 25 기</t>
        </is>
      </c>
      <c r="N602" s="29" t="inlineStr">
        <is>
          <t>해당 없음</t>
        </is>
      </c>
      <c r="O602" s="29" t="inlineStr">
        <is>
          <t>해당 없음</t>
        </is>
      </c>
      <c r="P602" s="29" t="inlineStr">
        <is>
          <t>KRW</t>
        </is>
      </c>
      <c r="Q602" s="29" t="inlineStr">
        <is>
          <t>6</t>
        </is>
      </c>
    </row>
    <row r="603" ht="24" customHeight="1">
      <c r="A603" s="24" t="inlineStr">
        <is>
          <t>OpenDART_fnlttSinglAcntAll</t>
        </is>
      </c>
      <c r="B603" s="24" t="inlineStr">
        <is>
          <t>00366942</t>
        </is>
      </c>
      <c r="C603" s="24" t="inlineStr">
        <is>
          <t>미코</t>
        </is>
      </c>
      <c r="D603" s="24" t="inlineStr">
        <is>
          <t>mico</t>
        </is>
      </c>
      <c r="E603" s="24" t="inlineStr">
        <is>
          <t>059090</t>
        </is>
      </c>
      <c r="F603" s="24" t="inlineStr">
        <is>
          <t>2023</t>
        </is>
      </c>
      <c r="G603" s="24" t="inlineStr">
        <is>
          <t>CFS</t>
        </is>
      </c>
      <c r="H603" s="24" t="inlineStr">
        <is>
          <t>SCE</t>
        </is>
      </c>
      <c r="I603" s="24" t="inlineStr">
        <is>
          <t>자본변동표</t>
        </is>
      </c>
      <c r="J603" s="24" t="inlineStr">
        <is>
          <t>dart_IncreaseDecreaseThroughChangesInAccountingPolicies</t>
        </is>
      </c>
      <c r="K603" s="24" t="inlineStr">
        <is>
          <t>회계정책의 변경효과</t>
        </is>
      </c>
      <c r="L603" s="24" t="inlineStr">
        <is>
          <t>자본 [구성요소]|비지배지분 [구성요소]</t>
        </is>
      </c>
      <c r="M603" s="24" t="inlineStr">
        <is>
          <t>제 25 기</t>
        </is>
      </c>
      <c r="N603" s="24" t="inlineStr">
        <is>
          <t>해당 없음</t>
        </is>
      </c>
      <c r="O603" s="24" t="inlineStr">
        <is>
          <t>해당 없음</t>
        </is>
      </c>
      <c r="P603" s="24" t="inlineStr">
        <is>
          <t>KRW</t>
        </is>
      </c>
      <c r="Q603" s="24" t="inlineStr">
        <is>
          <t>6</t>
        </is>
      </c>
    </row>
    <row r="604" ht="24" customHeight="1">
      <c r="A604" s="29" t="inlineStr">
        <is>
          <t>OpenDART_fnlttSinglAcntAll</t>
        </is>
      </c>
      <c r="B604" s="29" t="inlineStr">
        <is>
          <t>00366942</t>
        </is>
      </c>
      <c r="C604" s="29" t="inlineStr">
        <is>
          <t>미코</t>
        </is>
      </c>
      <c r="D604" s="29" t="inlineStr">
        <is>
          <t>mico</t>
        </is>
      </c>
      <c r="E604" s="29" t="inlineStr">
        <is>
          <t>059090</t>
        </is>
      </c>
      <c r="F604" s="29" t="inlineStr">
        <is>
          <t>2023</t>
        </is>
      </c>
      <c r="G604" s="29" t="inlineStr">
        <is>
          <t>CFS</t>
        </is>
      </c>
      <c r="H604" s="29" t="inlineStr">
        <is>
          <t>SCE</t>
        </is>
      </c>
      <c r="I604" s="29" t="inlineStr">
        <is>
          <t>자본변동표</t>
        </is>
      </c>
      <c r="J604" s="29" t="inlineStr">
        <is>
          <t>dart_IncreaseDecreaseThroughChangesInAccountingPolicies</t>
        </is>
      </c>
      <c r="K604" s="29" t="inlineStr">
        <is>
          <t>회계정책의 변경효과</t>
        </is>
      </c>
      <c r="L604" s="29" t="inlineStr">
        <is>
          <t>자본 [구성요소]|지배기업의 소유주에게 귀속되는 지분 [구성요소]</t>
        </is>
      </c>
      <c r="M604" s="29" t="inlineStr">
        <is>
          <t>제 25 기</t>
        </is>
      </c>
      <c r="N604" s="29" t="inlineStr">
        <is>
          <t>해당 없음</t>
        </is>
      </c>
      <c r="O604" s="29" t="inlineStr">
        <is>
          <t>해당 없음</t>
        </is>
      </c>
      <c r="P604" s="29" t="inlineStr">
        <is>
          <t>KRW</t>
        </is>
      </c>
      <c r="Q604" s="29" t="inlineStr">
        <is>
          <t>6</t>
        </is>
      </c>
    </row>
    <row r="605" ht="24" customHeight="1">
      <c r="A605" s="24" t="inlineStr">
        <is>
          <t>OpenDART_fnlttSinglAcntAll</t>
        </is>
      </c>
      <c r="B605" s="24" t="inlineStr">
        <is>
          <t>00366942</t>
        </is>
      </c>
      <c r="C605" s="24" t="inlineStr">
        <is>
          <t>미코</t>
        </is>
      </c>
      <c r="D605" s="24" t="inlineStr">
        <is>
          <t>mico</t>
        </is>
      </c>
      <c r="E605" s="24" t="inlineStr">
        <is>
          <t>059090</t>
        </is>
      </c>
      <c r="F605" s="24" t="inlineStr">
        <is>
          <t>2023</t>
        </is>
      </c>
      <c r="G605" s="24" t="inlineStr">
        <is>
          <t>CFS</t>
        </is>
      </c>
      <c r="H605" s="24" t="inlineStr">
        <is>
          <t>SCE</t>
        </is>
      </c>
      <c r="I605" s="24" t="inlineStr">
        <is>
          <t>자본변동표</t>
        </is>
      </c>
      <c r="J605" s="24" t="inlineStr">
        <is>
          <t>dart_IncreaseDecreaseThroughChangesInAccountingPolicies</t>
        </is>
      </c>
      <c r="K605" s="24" t="inlineStr">
        <is>
          <t>회계정책의 변경효과</t>
        </is>
      </c>
      <c r="L605" s="24" t="inlineStr">
        <is>
          <t>자본 [구성요소]|지배기업의 소유주에게 귀속되는 지분 [구성요소]|기타자본구성요소 [구성요소]</t>
        </is>
      </c>
      <c r="M605" s="24" t="inlineStr">
        <is>
          <t>제 25 기</t>
        </is>
      </c>
      <c r="N605" s="24" t="inlineStr">
        <is>
          <t>해당 없음</t>
        </is>
      </c>
      <c r="O605" s="24" t="inlineStr">
        <is>
          <t>해당 없음</t>
        </is>
      </c>
      <c r="P605" s="24" t="inlineStr">
        <is>
          <t>KRW</t>
        </is>
      </c>
      <c r="Q605" s="24" t="inlineStr">
        <is>
          <t>6</t>
        </is>
      </c>
    </row>
    <row r="606" ht="24" customHeight="1">
      <c r="A606" s="29" t="inlineStr">
        <is>
          <t>OpenDART_fnlttSinglAcntAll</t>
        </is>
      </c>
      <c r="B606" s="29" t="inlineStr">
        <is>
          <t>00366942</t>
        </is>
      </c>
      <c r="C606" s="29" t="inlineStr">
        <is>
          <t>미코</t>
        </is>
      </c>
      <c r="D606" s="29" t="inlineStr">
        <is>
          <t>mico</t>
        </is>
      </c>
      <c r="E606" s="29" t="inlineStr">
        <is>
          <t>059090</t>
        </is>
      </c>
      <c r="F606" s="29" t="inlineStr">
        <is>
          <t>2023</t>
        </is>
      </c>
      <c r="G606" s="29" t="inlineStr">
        <is>
          <t>CFS</t>
        </is>
      </c>
      <c r="H606" s="29" t="inlineStr">
        <is>
          <t>SCE</t>
        </is>
      </c>
      <c r="I606" s="29" t="inlineStr">
        <is>
          <t>자본변동표</t>
        </is>
      </c>
      <c r="J606" s="29" t="inlineStr">
        <is>
          <t>dart_IncreaseDecreaseThroughChangesInAccountingPolicies</t>
        </is>
      </c>
      <c r="K606" s="29" t="inlineStr">
        <is>
          <t>회계정책의 변경효과</t>
        </is>
      </c>
      <c r="L606" s="29" t="inlineStr">
        <is>
          <t>자본 [구성요소]|지배기업의 소유주에게 귀속되는 지분 [구성요소]|기타포괄손익누계액 [구성요소]</t>
        </is>
      </c>
      <c r="M606" s="29" t="inlineStr">
        <is>
          <t>제 25 기</t>
        </is>
      </c>
      <c r="N606" s="29" t="inlineStr">
        <is>
          <t>해당 없음</t>
        </is>
      </c>
      <c r="O606" s="29" t="inlineStr">
        <is>
          <t>해당 없음</t>
        </is>
      </c>
      <c r="P606" s="29" t="inlineStr">
        <is>
          <t>KRW</t>
        </is>
      </c>
      <c r="Q606" s="29" t="inlineStr">
        <is>
          <t>6</t>
        </is>
      </c>
    </row>
    <row r="607" ht="24" customHeight="1">
      <c r="A607" s="24" t="inlineStr">
        <is>
          <t>OpenDART_fnlttSinglAcntAll</t>
        </is>
      </c>
      <c r="B607" s="24" t="inlineStr">
        <is>
          <t>00366942</t>
        </is>
      </c>
      <c r="C607" s="24" t="inlineStr">
        <is>
          <t>미코</t>
        </is>
      </c>
      <c r="D607" s="24" t="inlineStr">
        <is>
          <t>mico</t>
        </is>
      </c>
      <c r="E607" s="24" t="inlineStr">
        <is>
          <t>059090</t>
        </is>
      </c>
      <c r="F607" s="24" t="inlineStr">
        <is>
          <t>2023</t>
        </is>
      </c>
      <c r="G607" s="24" t="inlineStr">
        <is>
          <t>CFS</t>
        </is>
      </c>
      <c r="H607" s="24" t="inlineStr">
        <is>
          <t>SCE</t>
        </is>
      </c>
      <c r="I607" s="24" t="inlineStr">
        <is>
          <t>자본변동표</t>
        </is>
      </c>
      <c r="J607" s="24" t="inlineStr">
        <is>
          <t>dart_IncreaseDecreaseThroughChangesInAccountingPolicies</t>
        </is>
      </c>
      <c r="K607" s="24" t="inlineStr">
        <is>
          <t>회계정책의 변경효과</t>
        </is>
      </c>
      <c r="L607" s="24" t="inlineStr">
        <is>
          <t>자본 [구성요소]|지배기업의 소유주에게 귀속되는 지분 [구성요소]|자본잉여금 [구성요소]</t>
        </is>
      </c>
      <c r="M607" s="24" t="inlineStr">
        <is>
          <t>제 25 기</t>
        </is>
      </c>
      <c r="N607" s="24" t="inlineStr">
        <is>
          <t>해당 없음</t>
        </is>
      </c>
      <c r="O607" s="24" t="inlineStr">
        <is>
          <t>해당 없음</t>
        </is>
      </c>
      <c r="P607" s="24" t="inlineStr">
        <is>
          <t>KRW</t>
        </is>
      </c>
      <c r="Q607" s="24" t="inlineStr">
        <is>
          <t>6</t>
        </is>
      </c>
    </row>
    <row r="608" ht="24" customHeight="1">
      <c r="A608" s="29" t="inlineStr">
        <is>
          <t>OpenDART_fnlttSinglAcntAll</t>
        </is>
      </c>
      <c r="B608" s="29" t="inlineStr">
        <is>
          <t>00366942</t>
        </is>
      </c>
      <c r="C608" s="29" t="inlineStr">
        <is>
          <t>미코</t>
        </is>
      </c>
      <c r="D608" s="29" t="inlineStr">
        <is>
          <t>mico</t>
        </is>
      </c>
      <c r="E608" s="29" t="inlineStr">
        <is>
          <t>059090</t>
        </is>
      </c>
      <c r="F608" s="29" t="inlineStr">
        <is>
          <t>2023</t>
        </is>
      </c>
      <c r="G608" s="29" t="inlineStr">
        <is>
          <t>CFS</t>
        </is>
      </c>
      <c r="H608" s="29" t="inlineStr">
        <is>
          <t>SCE</t>
        </is>
      </c>
      <c r="I608" s="29" t="inlineStr">
        <is>
          <t>자본변동표</t>
        </is>
      </c>
      <c r="J608" s="29" t="inlineStr">
        <is>
          <t>dart_IncreaseDecreaseThroughChangesInAccountingPolicies</t>
        </is>
      </c>
      <c r="K608" s="29" t="inlineStr">
        <is>
          <t>회계정책의 변경효과</t>
        </is>
      </c>
      <c r="L608" s="29" t="inlineStr">
        <is>
          <t>자본 [구성요소]|지배기업의 소유주에게 귀속되는 지분 [구성요소]|이익잉여금 [구성요소]</t>
        </is>
      </c>
      <c r="M608" s="29" t="inlineStr">
        <is>
          <t>제 25 기</t>
        </is>
      </c>
      <c r="N608" s="29" t="inlineStr">
        <is>
          <t>해당 없음</t>
        </is>
      </c>
      <c r="O608" s="29" t="inlineStr">
        <is>
          <t>해당 없음</t>
        </is>
      </c>
      <c r="P608" s="29" t="inlineStr">
        <is>
          <t>KRW</t>
        </is>
      </c>
      <c r="Q608" s="29" t="inlineStr">
        <is>
          <t>6</t>
        </is>
      </c>
    </row>
    <row r="609" ht="24" customHeight="1">
      <c r="A609" s="24" t="inlineStr">
        <is>
          <t>OpenDART_fnlttSinglAcntAll</t>
        </is>
      </c>
      <c r="B609" s="24" t="inlineStr">
        <is>
          <t>00366942</t>
        </is>
      </c>
      <c r="C609" s="24" t="inlineStr">
        <is>
          <t>미코</t>
        </is>
      </c>
      <c r="D609" s="24" t="inlineStr">
        <is>
          <t>mico</t>
        </is>
      </c>
      <c r="E609" s="24" t="inlineStr">
        <is>
          <t>059090</t>
        </is>
      </c>
      <c r="F609" s="24" t="inlineStr">
        <is>
          <t>2023</t>
        </is>
      </c>
      <c r="G609" s="24" t="inlineStr">
        <is>
          <t>CFS</t>
        </is>
      </c>
      <c r="H609" s="24" t="inlineStr">
        <is>
          <t>SCE</t>
        </is>
      </c>
      <c r="I609" s="24" t="inlineStr">
        <is>
          <t>자본변동표</t>
        </is>
      </c>
      <c r="J609" s="24" t="inlineStr">
        <is>
          <t>dart_TreasuryShareTransactions</t>
        </is>
      </c>
      <c r="K609" s="24" t="inlineStr">
        <is>
          <t>자기주식 취득</t>
        </is>
      </c>
      <c r="L609" s="24" t="inlineStr">
        <is>
          <t>자본 [구성요소]|지배기업의 소유주에게 귀속되는 지분 [구성요소]</t>
        </is>
      </c>
      <c r="M609" s="24" t="inlineStr">
        <is>
          <t>제 25 기</t>
        </is>
      </c>
      <c r="N609" s="24" t="inlineStr">
        <is>
          <t>해당 없음</t>
        </is>
      </c>
      <c r="O609" s="24" t="inlineStr">
        <is>
          <t>-3950258320.0</t>
        </is>
      </c>
      <c r="P609" s="24" t="inlineStr">
        <is>
          <t>KRW</t>
        </is>
      </c>
      <c r="Q609" s="24" t="inlineStr">
        <is>
          <t>7</t>
        </is>
      </c>
    </row>
    <row r="610" ht="24" customHeight="1">
      <c r="A610" s="29" t="inlineStr">
        <is>
          <t>OpenDART_fnlttSinglAcntAll</t>
        </is>
      </c>
      <c r="B610" s="29" t="inlineStr">
        <is>
          <t>00366942</t>
        </is>
      </c>
      <c r="C610" s="29" t="inlineStr">
        <is>
          <t>미코</t>
        </is>
      </c>
      <c r="D610" s="29" t="inlineStr">
        <is>
          <t>mico</t>
        </is>
      </c>
      <c r="E610" s="29" t="inlineStr">
        <is>
          <t>059090</t>
        </is>
      </c>
      <c r="F610" s="29" t="inlineStr">
        <is>
          <t>2023</t>
        </is>
      </c>
      <c r="G610" s="29" t="inlineStr">
        <is>
          <t>CFS</t>
        </is>
      </c>
      <c r="H610" s="29" t="inlineStr">
        <is>
          <t>SCE</t>
        </is>
      </c>
      <c r="I610" s="29" t="inlineStr">
        <is>
          <t>자본변동표</t>
        </is>
      </c>
      <c r="J610" s="29" t="inlineStr">
        <is>
          <t>dart_TreasuryShareTransactions</t>
        </is>
      </c>
      <c r="K610" s="29" t="inlineStr">
        <is>
          <t>자기주식 취득</t>
        </is>
      </c>
      <c r="L610" s="29" t="inlineStr">
        <is>
          <t>연결재무제표 [member]</t>
        </is>
      </c>
      <c r="M610" s="29" t="inlineStr">
        <is>
          <t>제 25 기</t>
        </is>
      </c>
      <c r="N610" s="29" t="inlineStr">
        <is>
          <t>해당 없음</t>
        </is>
      </c>
      <c r="O610" s="29" t="inlineStr">
        <is>
          <t>-3950258320.0</t>
        </is>
      </c>
      <c r="P610" s="29" t="inlineStr">
        <is>
          <t>KRW</t>
        </is>
      </c>
      <c r="Q610" s="29" t="inlineStr">
        <is>
          <t>7</t>
        </is>
      </c>
    </row>
    <row r="611" ht="24" customHeight="1">
      <c r="A611" s="24" t="inlineStr">
        <is>
          <t>OpenDART_fnlttSinglAcntAll</t>
        </is>
      </c>
      <c r="B611" s="24" t="inlineStr">
        <is>
          <t>00366942</t>
        </is>
      </c>
      <c r="C611" s="24" t="inlineStr">
        <is>
          <t>미코</t>
        </is>
      </c>
      <c r="D611" s="24" t="inlineStr">
        <is>
          <t>mico</t>
        </is>
      </c>
      <c r="E611" s="24" t="inlineStr">
        <is>
          <t>059090</t>
        </is>
      </c>
      <c r="F611" s="24" t="inlineStr">
        <is>
          <t>2023</t>
        </is>
      </c>
      <c r="G611" s="24" t="inlineStr">
        <is>
          <t>CFS</t>
        </is>
      </c>
      <c r="H611" s="24" t="inlineStr">
        <is>
          <t>SCE</t>
        </is>
      </c>
      <c r="I611" s="24" t="inlineStr">
        <is>
          <t>자본변동표</t>
        </is>
      </c>
      <c r="J611" s="24" t="inlineStr">
        <is>
          <t>dart_TreasuryShareTransactions</t>
        </is>
      </c>
      <c r="K611" s="24" t="inlineStr">
        <is>
          <t>자기주식 취득</t>
        </is>
      </c>
      <c r="L611" s="24" t="inlineStr">
        <is>
          <t>자본 [구성요소]|지배기업의 소유주에게 귀속되는 지분 [구성요소]|기타자본구성요소 [구성요소]</t>
        </is>
      </c>
      <c r="M611" s="24" t="inlineStr">
        <is>
          <t>제 25 기</t>
        </is>
      </c>
      <c r="N611" s="24" t="inlineStr">
        <is>
          <t>해당 없음</t>
        </is>
      </c>
      <c r="O611" s="24" t="inlineStr">
        <is>
          <t>-3950258320.0</t>
        </is>
      </c>
      <c r="P611" s="24" t="inlineStr">
        <is>
          <t>KRW</t>
        </is>
      </c>
      <c r="Q611" s="24" t="inlineStr">
        <is>
          <t>7</t>
        </is>
      </c>
    </row>
    <row r="612" ht="24" customHeight="1">
      <c r="A612" s="29" t="inlineStr">
        <is>
          <t>OpenDART_fnlttSinglAcntAll</t>
        </is>
      </c>
      <c r="B612" s="29" t="inlineStr">
        <is>
          <t>00366942</t>
        </is>
      </c>
      <c r="C612" s="29" t="inlineStr">
        <is>
          <t>미코</t>
        </is>
      </c>
      <c r="D612" s="29" t="inlineStr">
        <is>
          <t>mico</t>
        </is>
      </c>
      <c r="E612" s="29" t="inlineStr">
        <is>
          <t>059090</t>
        </is>
      </c>
      <c r="F612" s="29" t="inlineStr">
        <is>
          <t>2023</t>
        </is>
      </c>
      <c r="G612" s="29" t="inlineStr">
        <is>
          <t>CFS</t>
        </is>
      </c>
      <c r="H612" s="29" t="inlineStr">
        <is>
          <t>SCE</t>
        </is>
      </c>
      <c r="I612" s="29" t="inlineStr">
        <is>
          <t>자본변동표</t>
        </is>
      </c>
      <c r="J612" s="29" t="inlineStr">
        <is>
          <t>-표준계정코드 미사용-</t>
        </is>
      </c>
      <c r="K612" s="29" t="inlineStr">
        <is>
          <t>기타포괄손익-공정가치측정금융자산평가손익</t>
        </is>
      </c>
      <c r="L612" s="29" t="inlineStr">
        <is>
          <t>자본 [구성요소]|지배기업의 소유주에게 귀속되는 지분 [구성요소]</t>
        </is>
      </c>
      <c r="M612" s="29" t="inlineStr">
        <is>
          <t>제 25 기</t>
        </is>
      </c>
      <c r="N612" s="29" t="inlineStr">
        <is>
          <t>해당 없음</t>
        </is>
      </c>
      <c r="O612" s="29" t="inlineStr">
        <is>
          <t>140585882.0</t>
        </is>
      </c>
      <c r="P612" s="29" t="inlineStr">
        <is>
          <t>KRW</t>
        </is>
      </c>
      <c r="Q612" s="29" t="inlineStr">
        <is>
          <t>8</t>
        </is>
      </c>
    </row>
    <row r="613" ht="24" customHeight="1">
      <c r="A613" s="24" t="inlineStr">
        <is>
          <t>OpenDART_fnlttSinglAcntAll</t>
        </is>
      </c>
      <c r="B613" s="24" t="inlineStr">
        <is>
          <t>00366942</t>
        </is>
      </c>
      <c r="C613" s="24" t="inlineStr">
        <is>
          <t>미코</t>
        </is>
      </c>
      <c r="D613" s="24" t="inlineStr">
        <is>
          <t>mico</t>
        </is>
      </c>
      <c r="E613" s="24" t="inlineStr">
        <is>
          <t>059090</t>
        </is>
      </c>
      <c r="F613" s="24" t="inlineStr">
        <is>
          <t>2023</t>
        </is>
      </c>
      <c r="G613" s="24" t="inlineStr">
        <is>
          <t>CFS</t>
        </is>
      </c>
      <c r="H613" s="24" t="inlineStr">
        <is>
          <t>SCE</t>
        </is>
      </c>
      <c r="I613" s="24" t="inlineStr">
        <is>
          <t>자본변동표</t>
        </is>
      </c>
      <c r="J613" s="24" t="inlineStr">
        <is>
          <t>-표준계정코드 미사용-</t>
        </is>
      </c>
      <c r="K613" s="24" t="inlineStr">
        <is>
          <t>기타포괄손익-공정가치측정금융자산평가손익</t>
        </is>
      </c>
      <c r="L613" s="24" t="inlineStr">
        <is>
          <t>자본 [구성요소]|비지배지분 [구성요소]</t>
        </is>
      </c>
      <c r="M613" s="24" t="inlineStr">
        <is>
          <t>제 25 기</t>
        </is>
      </c>
      <c r="N613" s="24" t="inlineStr">
        <is>
          <t>해당 없음</t>
        </is>
      </c>
      <c r="O613" s="24" t="inlineStr">
        <is>
          <t>222544412.0</t>
        </is>
      </c>
      <c r="P613" s="24" t="inlineStr">
        <is>
          <t>KRW</t>
        </is>
      </c>
      <c r="Q613" s="24" t="inlineStr">
        <is>
          <t>8</t>
        </is>
      </c>
    </row>
    <row r="614" ht="24" customHeight="1">
      <c r="A614" s="29" t="inlineStr">
        <is>
          <t>OpenDART_fnlttSinglAcntAll</t>
        </is>
      </c>
      <c r="B614" s="29" t="inlineStr">
        <is>
          <t>00366942</t>
        </is>
      </c>
      <c r="C614" s="29" t="inlineStr">
        <is>
          <t>미코</t>
        </is>
      </c>
      <c r="D614" s="29" t="inlineStr">
        <is>
          <t>mico</t>
        </is>
      </c>
      <c r="E614" s="29" t="inlineStr">
        <is>
          <t>059090</t>
        </is>
      </c>
      <c r="F614" s="29" t="inlineStr">
        <is>
          <t>2023</t>
        </is>
      </c>
      <c r="G614" s="29" t="inlineStr">
        <is>
          <t>CFS</t>
        </is>
      </c>
      <c r="H614" s="29" t="inlineStr">
        <is>
          <t>SCE</t>
        </is>
      </c>
      <c r="I614" s="29" t="inlineStr">
        <is>
          <t>자본변동표</t>
        </is>
      </c>
      <c r="J614" s="29" t="inlineStr">
        <is>
          <t>-표준계정코드 미사용-</t>
        </is>
      </c>
      <c r="K614" s="29" t="inlineStr">
        <is>
          <t>기타포괄손익-공정가치측정금융자산평가손익</t>
        </is>
      </c>
      <c r="L614" s="29" t="inlineStr">
        <is>
          <t>연결재무제표 [member]</t>
        </is>
      </c>
      <c r="M614" s="29" t="inlineStr">
        <is>
          <t>제 25 기</t>
        </is>
      </c>
      <c r="N614" s="29" t="inlineStr">
        <is>
          <t>해당 없음</t>
        </is>
      </c>
      <c r="O614" s="29" t="inlineStr">
        <is>
          <t>363130294.0</t>
        </is>
      </c>
      <c r="P614" s="29" t="inlineStr">
        <is>
          <t>KRW</t>
        </is>
      </c>
      <c r="Q614" s="29" t="inlineStr">
        <is>
          <t>8</t>
        </is>
      </c>
    </row>
    <row r="615" ht="24" customHeight="1">
      <c r="A615" s="24" t="inlineStr">
        <is>
          <t>OpenDART_fnlttSinglAcntAll</t>
        </is>
      </c>
      <c r="B615" s="24" t="inlineStr">
        <is>
          <t>00366942</t>
        </is>
      </c>
      <c r="C615" s="24" t="inlineStr">
        <is>
          <t>미코</t>
        </is>
      </c>
      <c r="D615" s="24" t="inlineStr">
        <is>
          <t>mico</t>
        </is>
      </c>
      <c r="E615" s="24" t="inlineStr">
        <is>
          <t>059090</t>
        </is>
      </c>
      <c r="F615" s="24" t="inlineStr">
        <is>
          <t>2023</t>
        </is>
      </c>
      <c r="G615" s="24" t="inlineStr">
        <is>
          <t>CFS</t>
        </is>
      </c>
      <c r="H615" s="24" t="inlineStr">
        <is>
          <t>SCE</t>
        </is>
      </c>
      <c r="I615" s="24" t="inlineStr">
        <is>
          <t>자본변동표</t>
        </is>
      </c>
      <c r="J615" s="24" t="inlineStr">
        <is>
          <t>-표준계정코드 미사용-</t>
        </is>
      </c>
      <c r="K615" s="24" t="inlineStr">
        <is>
          <t>기타포괄손익-공정가치측정금융자산평가손익</t>
        </is>
      </c>
      <c r="L615" s="24" t="inlineStr">
        <is>
          <t>자본 [구성요소]|지배기업의 소유주에게 귀속되는 지분 [구성요소]|기타포괄손익누계액 [구성요소]</t>
        </is>
      </c>
      <c r="M615" s="24" t="inlineStr">
        <is>
          <t>제 25 기</t>
        </is>
      </c>
      <c r="N615" s="24" t="inlineStr">
        <is>
          <t>-99181218.0</t>
        </is>
      </c>
      <c r="O615" s="24" t="inlineStr">
        <is>
          <t>140585882.0</t>
        </is>
      </c>
      <c r="P615" s="24" t="inlineStr">
        <is>
          <t>KRW</t>
        </is>
      </c>
      <c r="Q615" s="24" t="inlineStr">
        <is>
          <t>8</t>
        </is>
      </c>
    </row>
    <row r="616" ht="24" customHeight="1">
      <c r="A616" s="29" t="inlineStr">
        <is>
          <t>OpenDART_fnlttSinglAcntAll</t>
        </is>
      </c>
      <c r="B616" s="29" t="inlineStr">
        <is>
          <t>00366942</t>
        </is>
      </c>
      <c r="C616" s="29" t="inlineStr">
        <is>
          <t>미코</t>
        </is>
      </c>
      <c r="D616" s="29" t="inlineStr">
        <is>
          <t>mico</t>
        </is>
      </c>
      <c r="E616" s="29" t="inlineStr">
        <is>
          <t>059090</t>
        </is>
      </c>
      <c r="F616" s="29" t="inlineStr">
        <is>
          <t>2023</t>
        </is>
      </c>
      <c r="G616" s="29" t="inlineStr">
        <is>
          <t>CFS</t>
        </is>
      </c>
      <c r="H616" s="29" t="inlineStr">
        <is>
          <t>SCE</t>
        </is>
      </c>
      <c r="I616" s="29" t="inlineStr">
        <is>
          <t>자본변동표</t>
        </is>
      </c>
      <c r="J616" s="29" t="inlineStr">
        <is>
          <t>-표준계정코드 미사용-</t>
        </is>
      </c>
      <c r="K616" s="29" t="inlineStr">
        <is>
          <t>기타포괄손익-공정가치측정금융자산평가손익</t>
        </is>
      </c>
      <c r="L616" s="29" t="inlineStr">
        <is>
          <t>자본 [구성요소]|지배기업의 소유주에게 귀속되는 지분 [구성요소]|이익잉여금 [구성요소]</t>
        </is>
      </c>
      <c r="M616" s="29" t="inlineStr">
        <is>
          <t>제 25 기</t>
        </is>
      </c>
      <c r="N616" s="29" t="inlineStr">
        <is>
          <t>99181218.0</t>
        </is>
      </c>
      <c r="O616" s="29" t="inlineStr">
        <is>
          <t>해당 없음</t>
        </is>
      </c>
      <c r="P616" s="29" t="inlineStr">
        <is>
          <t>KRW</t>
        </is>
      </c>
      <c r="Q616" s="29" t="inlineStr">
        <is>
          <t>8</t>
        </is>
      </c>
    </row>
    <row r="617" ht="24" customHeight="1">
      <c r="A617" s="24" t="inlineStr">
        <is>
          <t>OpenDART_fnlttSinglAcntAll</t>
        </is>
      </c>
      <c r="B617" s="24" t="inlineStr">
        <is>
          <t>00366942</t>
        </is>
      </c>
      <c r="C617" s="24" t="inlineStr">
        <is>
          <t>미코</t>
        </is>
      </c>
      <c r="D617" s="24" t="inlineStr">
        <is>
          <t>mico</t>
        </is>
      </c>
      <c r="E617" s="24" t="inlineStr">
        <is>
          <t>059090</t>
        </is>
      </c>
      <c r="F617" s="24" t="inlineStr">
        <is>
          <t>2023</t>
        </is>
      </c>
      <c r="G617" s="24" t="inlineStr">
        <is>
          <t>CFS</t>
        </is>
      </c>
      <c r="H617" s="24" t="inlineStr">
        <is>
          <t>SCE</t>
        </is>
      </c>
      <c r="I617" s="24" t="inlineStr">
        <is>
          <t>자본변동표</t>
        </is>
      </c>
      <c r="J617" s="24" t="inlineStr">
        <is>
          <t>-표준계정코드 미사용-</t>
        </is>
      </c>
      <c r="K617" s="24" t="inlineStr">
        <is>
          <t>연결기업내 자본거래</t>
        </is>
      </c>
      <c r="L617" s="24" t="inlineStr">
        <is>
          <t>연결재무제표 [member]</t>
        </is>
      </c>
      <c r="M617" s="24" t="inlineStr">
        <is>
          <t>제 25 기</t>
        </is>
      </c>
      <c r="N617" s="24" t="inlineStr">
        <is>
          <t>-202304175.0</t>
        </is>
      </c>
      <c r="O617" s="24" t="inlineStr">
        <is>
          <t>-2003768952.0</t>
        </is>
      </c>
      <c r="P617" s="24" t="inlineStr">
        <is>
          <t>KRW</t>
        </is>
      </c>
      <c r="Q617" s="24" t="inlineStr">
        <is>
          <t>9</t>
        </is>
      </c>
    </row>
    <row r="618" ht="24" customHeight="1">
      <c r="A618" s="29" t="inlineStr">
        <is>
          <t>OpenDART_fnlttSinglAcntAll</t>
        </is>
      </c>
      <c r="B618" s="29" t="inlineStr">
        <is>
          <t>00366942</t>
        </is>
      </c>
      <c r="C618" s="29" t="inlineStr">
        <is>
          <t>미코</t>
        </is>
      </c>
      <c r="D618" s="29" t="inlineStr">
        <is>
          <t>mico</t>
        </is>
      </c>
      <c r="E618" s="29" t="inlineStr">
        <is>
          <t>059090</t>
        </is>
      </c>
      <c r="F618" s="29" t="inlineStr">
        <is>
          <t>2023</t>
        </is>
      </c>
      <c r="G618" s="29" t="inlineStr">
        <is>
          <t>CFS</t>
        </is>
      </c>
      <c r="H618" s="29" t="inlineStr">
        <is>
          <t>SCE</t>
        </is>
      </c>
      <c r="I618" s="29" t="inlineStr">
        <is>
          <t>자본변동표</t>
        </is>
      </c>
      <c r="J618" s="29" t="inlineStr">
        <is>
          <t>-표준계정코드 미사용-</t>
        </is>
      </c>
      <c r="K618" s="29" t="inlineStr">
        <is>
          <t>연결기업내 자본거래</t>
        </is>
      </c>
      <c r="L618" s="29" t="inlineStr">
        <is>
          <t>자본 [구성요소]|비지배지분 [구성요소]</t>
        </is>
      </c>
      <c r="M618" s="29" t="inlineStr">
        <is>
          <t>제 25 기</t>
        </is>
      </c>
      <c r="N618" s="29" t="inlineStr">
        <is>
          <t>35959576845.0</t>
        </is>
      </c>
      <c r="O618" s="29" t="inlineStr">
        <is>
          <t>-1637293864.0</t>
        </is>
      </c>
      <c r="P618" s="29" t="inlineStr">
        <is>
          <t>KRW</t>
        </is>
      </c>
      <c r="Q618" s="29" t="inlineStr">
        <is>
          <t>9</t>
        </is>
      </c>
    </row>
    <row r="619" ht="24" customHeight="1">
      <c r="A619" s="24" t="inlineStr">
        <is>
          <t>OpenDART_fnlttSinglAcntAll</t>
        </is>
      </c>
      <c r="B619" s="24" t="inlineStr">
        <is>
          <t>00366942</t>
        </is>
      </c>
      <c r="C619" s="24" t="inlineStr">
        <is>
          <t>미코</t>
        </is>
      </c>
      <c r="D619" s="24" t="inlineStr">
        <is>
          <t>mico</t>
        </is>
      </c>
      <c r="E619" s="24" t="inlineStr">
        <is>
          <t>059090</t>
        </is>
      </c>
      <c r="F619" s="24" t="inlineStr">
        <is>
          <t>2023</t>
        </is>
      </c>
      <c r="G619" s="24" t="inlineStr">
        <is>
          <t>CFS</t>
        </is>
      </c>
      <c r="H619" s="24" t="inlineStr">
        <is>
          <t>SCE</t>
        </is>
      </c>
      <c r="I619" s="24" t="inlineStr">
        <is>
          <t>자본변동표</t>
        </is>
      </c>
      <c r="J619" s="24" t="inlineStr">
        <is>
          <t>-표준계정코드 미사용-</t>
        </is>
      </c>
      <c r="K619" s="24" t="inlineStr">
        <is>
          <t>연결기업내 자본거래</t>
        </is>
      </c>
      <c r="L619" s="24" t="inlineStr">
        <is>
          <t>자본 [구성요소]|지배기업의 소유주에게 귀속되는 지분 [구성요소]</t>
        </is>
      </c>
      <c r="M619" s="24" t="inlineStr">
        <is>
          <t>제 25 기</t>
        </is>
      </c>
      <c r="N619" s="24" t="inlineStr">
        <is>
          <t>-36161881020.0</t>
        </is>
      </c>
      <c r="O619" s="24" t="inlineStr">
        <is>
          <t>-366475088.0</t>
        </is>
      </c>
      <c r="P619" s="24" t="inlineStr">
        <is>
          <t>KRW</t>
        </is>
      </c>
      <c r="Q619" s="24" t="inlineStr">
        <is>
          <t>9</t>
        </is>
      </c>
    </row>
    <row r="620" ht="24" customHeight="1">
      <c r="A620" s="29" t="inlineStr">
        <is>
          <t>OpenDART_fnlttSinglAcntAll</t>
        </is>
      </c>
      <c r="B620" s="29" t="inlineStr">
        <is>
          <t>00366942</t>
        </is>
      </c>
      <c r="C620" s="29" t="inlineStr">
        <is>
          <t>미코</t>
        </is>
      </c>
      <c r="D620" s="29" t="inlineStr">
        <is>
          <t>mico</t>
        </is>
      </c>
      <c r="E620" s="29" t="inlineStr">
        <is>
          <t>059090</t>
        </is>
      </c>
      <c r="F620" s="29" t="inlineStr">
        <is>
          <t>2023</t>
        </is>
      </c>
      <c r="G620" s="29" t="inlineStr">
        <is>
          <t>CFS</t>
        </is>
      </c>
      <c r="H620" s="29" t="inlineStr">
        <is>
          <t>SCE</t>
        </is>
      </c>
      <c r="I620" s="29" t="inlineStr">
        <is>
          <t>자본변동표</t>
        </is>
      </c>
      <c r="J620" s="29" t="inlineStr">
        <is>
          <t>-표준계정코드 미사용-</t>
        </is>
      </c>
      <c r="K620" s="29" t="inlineStr">
        <is>
          <t>연결기업내 자본거래</t>
        </is>
      </c>
      <c r="L620" s="29" t="inlineStr">
        <is>
          <t>자본 [구성요소]|지배기업의 소유주에게 귀속되는 지분 [구성요소]|기타자본구성요소 [구성요소]</t>
        </is>
      </c>
      <c r="M620" s="29" t="inlineStr">
        <is>
          <t>제 25 기</t>
        </is>
      </c>
      <c r="N620" s="29" t="inlineStr">
        <is>
          <t>-31068511589.0</t>
        </is>
      </c>
      <c r="O620" s="29" t="inlineStr">
        <is>
          <t>-366475088.0</t>
        </is>
      </c>
      <c r="P620" s="29" t="inlineStr">
        <is>
          <t>KRW</t>
        </is>
      </c>
      <c r="Q620" s="29" t="inlineStr">
        <is>
          <t>9</t>
        </is>
      </c>
    </row>
    <row r="621" ht="24" customHeight="1">
      <c r="A621" s="24" t="inlineStr">
        <is>
          <t>OpenDART_fnlttSinglAcntAll</t>
        </is>
      </c>
      <c r="B621" s="24" t="inlineStr">
        <is>
          <t>00366942</t>
        </is>
      </c>
      <c r="C621" s="24" t="inlineStr">
        <is>
          <t>미코</t>
        </is>
      </c>
      <c r="D621" s="24" t="inlineStr">
        <is>
          <t>mico</t>
        </is>
      </c>
      <c r="E621" s="24" t="inlineStr">
        <is>
          <t>059090</t>
        </is>
      </c>
      <c r="F621" s="24" t="inlineStr">
        <is>
          <t>2023</t>
        </is>
      </c>
      <c r="G621" s="24" t="inlineStr">
        <is>
          <t>CFS</t>
        </is>
      </c>
      <c r="H621" s="24" t="inlineStr">
        <is>
          <t>SCE</t>
        </is>
      </c>
      <c r="I621" s="24" t="inlineStr">
        <is>
          <t>자본변동표</t>
        </is>
      </c>
      <c r="J621" s="24" t="inlineStr">
        <is>
          <t>-표준계정코드 미사용-</t>
        </is>
      </c>
      <c r="K621" s="24" t="inlineStr">
        <is>
          <t>연결기업내 자본거래</t>
        </is>
      </c>
      <c r="L621" s="24" t="inlineStr">
        <is>
          <t>자본 [구성요소]|지배기업의 소유주에게 귀속되는 지분 [구성요소]|자본잉여금 [구성요소]</t>
        </is>
      </c>
      <c r="M621" s="24" t="inlineStr">
        <is>
          <t>제 25 기</t>
        </is>
      </c>
      <c r="N621" s="24" t="inlineStr">
        <is>
          <t>-5093369431.0</t>
        </is>
      </c>
      <c r="O621" s="24" t="inlineStr">
        <is>
          <t>해당 없음</t>
        </is>
      </c>
      <c r="P621" s="24" t="inlineStr">
        <is>
          <t>KRW</t>
        </is>
      </c>
      <c r="Q621" s="24" t="inlineStr">
        <is>
          <t>9</t>
        </is>
      </c>
    </row>
    <row r="622" ht="24" customHeight="1">
      <c r="A622" s="29" t="inlineStr">
        <is>
          <t>OpenDART_fnlttSinglAcntAll</t>
        </is>
      </c>
      <c r="B622" s="29" t="inlineStr">
        <is>
          <t>00366942</t>
        </is>
      </c>
      <c r="C622" s="29" t="inlineStr">
        <is>
          <t>미코</t>
        </is>
      </c>
      <c r="D622" s="29" t="inlineStr">
        <is>
          <t>mico</t>
        </is>
      </c>
      <c r="E622" s="29" t="inlineStr">
        <is>
          <t>059090</t>
        </is>
      </c>
      <c r="F622" s="29" t="inlineStr">
        <is>
          <t>2023</t>
        </is>
      </c>
      <c r="G622" s="29" t="inlineStr">
        <is>
          <t>CFS</t>
        </is>
      </c>
      <c r="H622" s="29" t="inlineStr">
        <is>
          <t>SCE</t>
        </is>
      </c>
      <c r="I622" s="29" t="inlineStr">
        <is>
          <t>자본변동표</t>
        </is>
      </c>
      <c r="J622" s="29" t="inlineStr">
        <is>
          <t>-표준계정코드 미사용-</t>
        </is>
      </c>
      <c r="K622" s="29" t="inlineStr">
        <is>
          <t>보험수리적손익</t>
        </is>
      </c>
      <c r="L622" s="29" t="inlineStr">
        <is>
          <t>연결재무제표 [member]</t>
        </is>
      </c>
      <c r="M622" s="29" t="inlineStr">
        <is>
          <t>제 25 기</t>
        </is>
      </c>
      <c r="N622" s="29" t="inlineStr">
        <is>
          <t>-773054587.0</t>
        </is>
      </c>
      <c r="O622" s="29" t="inlineStr">
        <is>
          <t>2703551061.0</t>
        </is>
      </c>
      <c r="P622" s="29" t="inlineStr">
        <is>
          <t>KRW</t>
        </is>
      </c>
      <c r="Q622" s="29" t="inlineStr">
        <is>
          <t>10</t>
        </is>
      </c>
    </row>
    <row r="623" ht="24" customHeight="1">
      <c r="A623" s="24" t="inlineStr">
        <is>
          <t>OpenDART_fnlttSinglAcntAll</t>
        </is>
      </c>
      <c r="B623" s="24" t="inlineStr">
        <is>
          <t>00366942</t>
        </is>
      </c>
      <c r="C623" s="24" t="inlineStr">
        <is>
          <t>미코</t>
        </is>
      </c>
      <c r="D623" s="24" t="inlineStr">
        <is>
          <t>mico</t>
        </is>
      </c>
      <c r="E623" s="24" t="inlineStr">
        <is>
          <t>059090</t>
        </is>
      </c>
      <c r="F623" s="24" t="inlineStr">
        <is>
          <t>2023</t>
        </is>
      </c>
      <c r="G623" s="24" t="inlineStr">
        <is>
          <t>CFS</t>
        </is>
      </c>
      <c r="H623" s="24" t="inlineStr">
        <is>
          <t>SCE</t>
        </is>
      </c>
      <c r="I623" s="24" t="inlineStr">
        <is>
          <t>자본변동표</t>
        </is>
      </c>
      <c r="J623" s="24" t="inlineStr">
        <is>
          <t>-표준계정코드 미사용-</t>
        </is>
      </c>
      <c r="K623" s="24" t="inlineStr">
        <is>
          <t>보험수리적손익</t>
        </is>
      </c>
      <c r="L623" s="24" t="inlineStr">
        <is>
          <t>자본 [구성요소]|비지배지분 [구성요소]</t>
        </is>
      </c>
      <c r="M623" s="24" t="inlineStr">
        <is>
          <t>제 25 기</t>
        </is>
      </c>
      <c r="N623" s="24" t="inlineStr">
        <is>
          <t>-321102278.0</t>
        </is>
      </c>
      <c r="O623" s="24" t="inlineStr">
        <is>
          <t>1142556331.0</t>
        </is>
      </c>
      <c r="P623" s="24" t="inlineStr">
        <is>
          <t>KRW</t>
        </is>
      </c>
      <c r="Q623" s="24" t="inlineStr">
        <is>
          <t>10</t>
        </is>
      </c>
    </row>
    <row r="624" ht="24" customHeight="1">
      <c r="A624" s="29" t="inlineStr">
        <is>
          <t>OpenDART_fnlttSinglAcntAll</t>
        </is>
      </c>
      <c r="B624" s="29" t="inlineStr">
        <is>
          <t>00366942</t>
        </is>
      </c>
      <c r="C624" s="29" t="inlineStr">
        <is>
          <t>미코</t>
        </is>
      </c>
      <c r="D624" s="29" t="inlineStr">
        <is>
          <t>mico</t>
        </is>
      </c>
      <c r="E624" s="29" t="inlineStr">
        <is>
          <t>059090</t>
        </is>
      </c>
      <c r="F624" s="29" t="inlineStr">
        <is>
          <t>2023</t>
        </is>
      </c>
      <c r="G624" s="29" t="inlineStr">
        <is>
          <t>CFS</t>
        </is>
      </c>
      <c r="H624" s="29" t="inlineStr">
        <is>
          <t>SCE</t>
        </is>
      </c>
      <c r="I624" s="29" t="inlineStr">
        <is>
          <t>자본변동표</t>
        </is>
      </c>
      <c r="J624" s="29" t="inlineStr">
        <is>
          <t>-표준계정코드 미사용-</t>
        </is>
      </c>
      <c r="K624" s="29" t="inlineStr">
        <is>
          <t>보험수리적손익</t>
        </is>
      </c>
      <c r="L624" s="29" t="inlineStr">
        <is>
          <t>자본 [구성요소]|지배기업의 소유주에게 귀속되는 지분 [구성요소]|기타포괄손익누계액 [구성요소]</t>
        </is>
      </c>
      <c r="M624" s="29" t="inlineStr">
        <is>
          <t>제 25 기</t>
        </is>
      </c>
      <c r="N624" s="29" t="inlineStr">
        <is>
          <t>-451952309.0</t>
        </is>
      </c>
      <c r="O624" s="29" t="inlineStr">
        <is>
          <t>1560994730.0</t>
        </is>
      </c>
      <c r="P624" s="29" t="inlineStr">
        <is>
          <t>KRW</t>
        </is>
      </c>
      <c r="Q624" s="29" t="inlineStr">
        <is>
          <t>10</t>
        </is>
      </c>
    </row>
    <row r="625" ht="24" customHeight="1">
      <c r="A625" s="24" t="inlineStr">
        <is>
          <t>OpenDART_fnlttSinglAcntAll</t>
        </is>
      </c>
      <c r="B625" s="24" t="inlineStr">
        <is>
          <t>00366942</t>
        </is>
      </c>
      <c r="C625" s="24" t="inlineStr">
        <is>
          <t>미코</t>
        </is>
      </c>
      <c r="D625" s="24" t="inlineStr">
        <is>
          <t>mico</t>
        </is>
      </c>
      <c r="E625" s="24" t="inlineStr">
        <is>
          <t>059090</t>
        </is>
      </c>
      <c r="F625" s="24" t="inlineStr">
        <is>
          <t>2023</t>
        </is>
      </c>
      <c r="G625" s="24" t="inlineStr">
        <is>
          <t>CFS</t>
        </is>
      </c>
      <c r="H625" s="24" t="inlineStr">
        <is>
          <t>SCE</t>
        </is>
      </c>
      <c r="I625" s="24" t="inlineStr">
        <is>
          <t>자본변동표</t>
        </is>
      </c>
      <c r="J625" s="24" t="inlineStr">
        <is>
          <t>-표준계정코드 미사용-</t>
        </is>
      </c>
      <c r="K625" s="24" t="inlineStr">
        <is>
          <t>보험수리적손익</t>
        </is>
      </c>
      <c r="L625" s="24" t="inlineStr">
        <is>
          <t>자본 [구성요소]|지배기업의 소유주에게 귀속되는 지분 [구성요소]</t>
        </is>
      </c>
      <c r="M625" s="24" t="inlineStr">
        <is>
          <t>제 25 기</t>
        </is>
      </c>
      <c r="N625" s="24" t="inlineStr">
        <is>
          <t>-451952309.0</t>
        </is>
      </c>
      <c r="O625" s="24" t="inlineStr">
        <is>
          <t>1560994730.0</t>
        </is>
      </c>
      <c r="P625" s="24" t="inlineStr">
        <is>
          <t>KRW</t>
        </is>
      </c>
      <c r="Q625" s="24" t="inlineStr">
        <is>
          <t>10</t>
        </is>
      </c>
    </row>
    <row r="626" ht="24" customHeight="1">
      <c r="A626" s="29" t="inlineStr">
        <is>
          <t>OpenDART_fnlttSinglAcntAll</t>
        </is>
      </c>
      <c r="B626" s="29" t="inlineStr">
        <is>
          <t>00366942</t>
        </is>
      </c>
      <c r="C626" s="29" t="inlineStr">
        <is>
          <t>미코</t>
        </is>
      </c>
      <c r="D626" s="29" t="inlineStr">
        <is>
          <t>mico</t>
        </is>
      </c>
      <c r="E626" s="29" t="inlineStr">
        <is>
          <t>059090</t>
        </is>
      </c>
      <c r="F626" s="29" t="inlineStr">
        <is>
          <t>2023</t>
        </is>
      </c>
      <c r="G626" s="29" t="inlineStr">
        <is>
          <t>CFS</t>
        </is>
      </c>
      <c r="H626" s="29" t="inlineStr">
        <is>
          <t>SCE</t>
        </is>
      </c>
      <c r="I626" s="29" t="inlineStr">
        <is>
          <t>자본변동표</t>
        </is>
      </c>
      <c r="J626" s="29" t="inlineStr">
        <is>
          <t>-표준계정코드 미사용-</t>
        </is>
      </c>
      <c r="K626" s="29" t="inlineStr">
        <is>
          <t>지분법자본변동</t>
        </is>
      </c>
      <c r="L626" s="29" t="inlineStr">
        <is>
          <t>연결재무제표 [member]</t>
        </is>
      </c>
      <c r="M626" s="29" t="inlineStr">
        <is>
          <t>제 25 기</t>
        </is>
      </c>
      <c r="N626" s="29" t="inlineStr">
        <is>
          <t>-863643956.0</t>
        </is>
      </c>
      <c r="O626" s="29" t="inlineStr">
        <is>
          <t>492617001.0</t>
        </is>
      </c>
      <c r="P626" s="29" t="inlineStr">
        <is>
          <t>KRW</t>
        </is>
      </c>
      <c r="Q626" s="29" t="inlineStr">
        <is>
          <t>11</t>
        </is>
      </c>
    </row>
    <row r="627" ht="24" customHeight="1">
      <c r="A627" s="24" t="inlineStr">
        <is>
          <t>OpenDART_fnlttSinglAcntAll</t>
        </is>
      </c>
      <c r="B627" s="24" t="inlineStr">
        <is>
          <t>00366942</t>
        </is>
      </c>
      <c r="C627" s="24" t="inlineStr">
        <is>
          <t>미코</t>
        </is>
      </c>
      <c r="D627" s="24" t="inlineStr">
        <is>
          <t>mico</t>
        </is>
      </c>
      <c r="E627" s="24" t="inlineStr">
        <is>
          <t>059090</t>
        </is>
      </c>
      <c r="F627" s="24" t="inlineStr">
        <is>
          <t>2023</t>
        </is>
      </c>
      <c r="G627" s="24" t="inlineStr">
        <is>
          <t>CFS</t>
        </is>
      </c>
      <c r="H627" s="24" t="inlineStr">
        <is>
          <t>SCE</t>
        </is>
      </c>
      <c r="I627" s="24" t="inlineStr">
        <is>
          <t>자본변동표</t>
        </is>
      </c>
      <c r="J627" s="24" t="inlineStr">
        <is>
          <t>-표준계정코드 미사용-</t>
        </is>
      </c>
      <c r="K627" s="24" t="inlineStr">
        <is>
          <t>지분법자본변동</t>
        </is>
      </c>
      <c r="L627" s="24" t="inlineStr">
        <is>
          <t>자본 [구성요소]|지배기업의 소유주에게 귀속되는 지분 [구성요소]|기타포괄손익누계액 [구성요소]</t>
        </is>
      </c>
      <c r="M627" s="24" t="inlineStr">
        <is>
          <t>제 25 기</t>
        </is>
      </c>
      <c r="N627" s="24" t="inlineStr">
        <is>
          <t>-863643956.0</t>
        </is>
      </c>
      <c r="O627" s="24" t="inlineStr">
        <is>
          <t>492507041.0</t>
        </is>
      </c>
      <c r="P627" s="24" t="inlineStr">
        <is>
          <t>KRW</t>
        </is>
      </c>
      <c r="Q627" s="24" t="inlineStr">
        <is>
          <t>11</t>
        </is>
      </c>
    </row>
    <row r="628" ht="24" customHeight="1">
      <c r="A628" s="29" t="inlineStr">
        <is>
          <t>OpenDART_fnlttSinglAcntAll</t>
        </is>
      </c>
      <c r="B628" s="29" t="inlineStr">
        <is>
          <t>00366942</t>
        </is>
      </c>
      <c r="C628" s="29" t="inlineStr">
        <is>
          <t>미코</t>
        </is>
      </c>
      <c r="D628" s="29" t="inlineStr">
        <is>
          <t>mico</t>
        </is>
      </c>
      <c r="E628" s="29" t="inlineStr">
        <is>
          <t>059090</t>
        </is>
      </c>
      <c r="F628" s="29" t="inlineStr">
        <is>
          <t>2023</t>
        </is>
      </c>
      <c r="G628" s="29" t="inlineStr">
        <is>
          <t>CFS</t>
        </is>
      </c>
      <c r="H628" s="29" t="inlineStr">
        <is>
          <t>SCE</t>
        </is>
      </c>
      <c r="I628" s="29" t="inlineStr">
        <is>
          <t>자본변동표</t>
        </is>
      </c>
      <c r="J628" s="29" t="inlineStr">
        <is>
          <t>-표준계정코드 미사용-</t>
        </is>
      </c>
      <c r="K628" s="29" t="inlineStr">
        <is>
          <t>지분법자본변동</t>
        </is>
      </c>
      <c r="L628" s="29" t="inlineStr">
        <is>
          <t>자본 [구성요소]|지배기업의 소유주에게 귀속되는 지분 [구성요소]</t>
        </is>
      </c>
      <c r="M628" s="29" t="inlineStr">
        <is>
          <t>제 25 기</t>
        </is>
      </c>
      <c r="N628" s="29" t="inlineStr">
        <is>
          <t>-863643956.0</t>
        </is>
      </c>
      <c r="O628" s="29" t="inlineStr">
        <is>
          <t>492617001.0</t>
        </is>
      </c>
      <c r="P628" s="29" t="inlineStr">
        <is>
          <t>KRW</t>
        </is>
      </c>
      <c r="Q628" s="29" t="inlineStr">
        <is>
          <t>11</t>
        </is>
      </c>
    </row>
    <row r="629" ht="24" customHeight="1">
      <c r="A629" s="24" t="inlineStr">
        <is>
          <t>OpenDART_fnlttSinglAcntAll</t>
        </is>
      </c>
      <c r="B629" s="24" t="inlineStr">
        <is>
          <t>00366942</t>
        </is>
      </c>
      <c r="C629" s="24" t="inlineStr">
        <is>
          <t>미코</t>
        </is>
      </c>
      <c r="D629" s="24" t="inlineStr">
        <is>
          <t>mico</t>
        </is>
      </c>
      <c r="E629" s="24" t="inlineStr">
        <is>
          <t>059090</t>
        </is>
      </c>
      <c r="F629" s="24" t="inlineStr">
        <is>
          <t>2023</t>
        </is>
      </c>
      <c r="G629" s="24" t="inlineStr">
        <is>
          <t>CFS</t>
        </is>
      </c>
      <c r="H629" s="24" t="inlineStr">
        <is>
          <t>SCE</t>
        </is>
      </c>
      <c r="I629" s="24" t="inlineStr">
        <is>
          <t>자본변동표</t>
        </is>
      </c>
      <c r="J629" s="24" t="inlineStr">
        <is>
          <t>-표준계정코드 미사용-</t>
        </is>
      </c>
      <c r="K629" s="24" t="inlineStr">
        <is>
          <t>지분법자본변동</t>
        </is>
      </c>
      <c r="L629" s="24" t="inlineStr">
        <is>
          <t>자본 [구성요소]|지배기업의 소유주에게 귀속되는 지분 [구성요소]|이익잉여금 [구성요소]</t>
        </is>
      </c>
      <c r="M629" s="24" t="inlineStr">
        <is>
          <t>제 25 기</t>
        </is>
      </c>
      <c r="N629" s="24" t="inlineStr">
        <is>
          <t>해당 없음</t>
        </is>
      </c>
      <c r="O629" s="24" t="inlineStr">
        <is>
          <t>109960.0</t>
        </is>
      </c>
      <c r="P629" s="24" t="inlineStr">
        <is>
          <t>KRW</t>
        </is>
      </c>
      <c r="Q629" s="24" t="inlineStr">
        <is>
          <t>11</t>
        </is>
      </c>
    </row>
    <row r="630" ht="24" customHeight="1">
      <c r="A630" s="29" t="inlineStr">
        <is>
          <t>OpenDART_fnlttSinglAcntAll</t>
        </is>
      </c>
      <c r="B630" s="29" t="inlineStr">
        <is>
          <t>00366942</t>
        </is>
      </c>
      <c r="C630" s="29" t="inlineStr">
        <is>
          <t>미코</t>
        </is>
      </c>
      <c r="D630" s="29" t="inlineStr">
        <is>
          <t>mico</t>
        </is>
      </c>
      <c r="E630" s="29" t="inlineStr">
        <is>
          <t>059090</t>
        </is>
      </c>
      <c r="F630" s="29" t="inlineStr">
        <is>
          <t>2023</t>
        </is>
      </c>
      <c r="G630" s="29" t="inlineStr">
        <is>
          <t>CFS</t>
        </is>
      </c>
      <c r="H630" s="29" t="inlineStr">
        <is>
          <t>SCE</t>
        </is>
      </c>
      <c r="I630" s="29" t="inlineStr">
        <is>
          <t>자본변동표</t>
        </is>
      </c>
      <c r="J630" s="29" t="inlineStr">
        <is>
          <t>-표준계정코드 미사용-</t>
        </is>
      </c>
      <c r="K630" s="29" t="inlineStr">
        <is>
          <t>전환권행사</t>
        </is>
      </c>
      <c r="L630" s="29" t="inlineStr">
        <is>
          <t>연결재무제표 [member]</t>
        </is>
      </c>
      <c r="M630" s="29" t="inlineStr">
        <is>
          <t>제 25 기</t>
        </is>
      </c>
      <c r="N630" s="29" t="inlineStr">
        <is>
          <t>해당 없음</t>
        </is>
      </c>
      <c r="O630" s="29" t="inlineStr">
        <is>
          <t>해당 없음</t>
        </is>
      </c>
      <c r="P630" s="29" t="inlineStr">
        <is>
          <t>KRW</t>
        </is>
      </c>
      <c r="Q630" s="29" t="inlineStr">
        <is>
          <t>12</t>
        </is>
      </c>
    </row>
    <row r="631" ht="24" customHeight="1">
      <c r="A631" s="24" t="inlineStr">
        <is>
          <t>OpenDART_fnlttSinglAcntAll</t>
        </is>
      </c>
      <c r="B631" s="24" t="inlineStr">
        <is>
          <t>00366942</t>
        </is>
      </c>
      <c r="C631" s="24" t="inlineStr">
        <is>
          <t>미코</t>
        </is>
      </c>
      <c r="D631" s="24" t="inlineStr">
        <is>
          <t>mico</t>
        </is>
      </c>
      <c r="E631" s="24" t="inlineStr">
        <is>
          <t>059090</t>
        </is>
      </c>
      <c r="F631" s="24" t="inlineStr">
        <is>
          <t>2023</t>
        </is>
      </c>
      <c r="G631" s="24" t="inlineStr">
        <is>
          <t>CFS</t>
        </is>
      </c>
      <c r="H631" s="24" t="inlineStr">
        <is>
          <t>SCE</t>
        </is>
      </c>
      <c r="I631" s="24" t="inlineStr">
        <is>
          <t>자본변동표</t>
        </is>
      </c>
      <c r="J631" s="24" t="inlineStr">
        <is>
          <t>-표준계정코드 미사용-</t>
        </is>
      </c>
      <c r="K631" s="24" t="inlineStr">
        <is>
          <t>전환권행사</t>
        </is>
      </c>
      <c r="L631" s="24" t="inlineStr">
        <is>
          <t>자본 [구성요소]|지배기업의 소유주에게 귀속되는 지분 [구성요소]</t>
        </is>
      </c>
      <c r="M631" s="24" t="inlineStr">
        <is>
          <t>제 25 기</t>
        </is>
      </c>
      <c r="N631" s="24" t="inlineStr">
        <is>
          <t>해당 없음</t>
        </is>
      </c>
      <c r="O631" s="24" t="inlineStr">
        <is>
          <t>해당 없음</t>
        </is>
      </c>
      <c r="P631" s="24" t="inlineStr">
        <is>
          <t>KRW</t>
        </is>
      </c>
      <c r="Q631" s="24" t="inlineStr">
        <is>
          <t>12</t>
        </is>
      </c>
    </row>
    <row r="632" ht="24" customHeight="1">
      <c r="A632" s="29" t="inlineStr">
        <is>
          <t>OpenDART_fnlttSinglAcntAll</t>
        </is>
      </c>
      <c r="B632" s="29" t="inlineStr">
        <is>
          <t>00366942</t>
        </is>
      </c>
      <c r="C632" s="29" t="inlineStr">
        <is>
          <t>미코</t>
        </is>
      </c>
      <c r="D632" s="29" t="inlineStr">
        <is>
          <t>mico</t>
        </is>
      </c>
      <c r="E632" s="29" t="inlineStr">
        <is>
          <t>059090</t>
        </is>
      </c>
      <c r="F632" s="29" t="inlineStr">
        <is>
          <t>2023</t>
        </is>
      </c>
      <c r="G632" s="29" t="inlineStr">
        <is>
          <t>CFS</t>
        </is>
      </c>
      <c r="H632" s="29" t="inlineStr">
        <is>
          <t>SCE</t>
        </is>
      </c>
      <c r="I632" s="29" t="inlineStr">
        <is>
          <t>자본변동표</t>
        </is>
      </c>
      <c r="J632" s="29" t="inlineStr">
        <is>
          <t>-표준계정코드 미사용-</t>
        </is>
      </c>
      <c r="K632" s="29" t="inlineStr">
        <is>
          <t>전환권행사</t>
        </is>
      </c>
      <c r="L632" s="29" t="inlineStr">
        <is>
          <t>자본 [구성요소]|지배기업의 소유주에게 귀속되는 지분 [구성요소]|자본잉여금 [구성요소]</t>
        </is>
      </c>
      <c r="M632" s="29" t="inlineStr">
        <is>
          <t>제 25 기</t>
        </is>
      </c>
      <c r="N632" s="29" t="inlineStr">
        <is>
          <t>해당 없음</t>
        </is>
      </c>
      <c r="O632" s="29" t="inlineStr">
        <is>
          <t>해당 없음</t>
        </is>
      </c>
      <c r="P632" s="29" t="inlineStr">
        <is>
          <t>KRW</t>
        </is>
      </c>
      <c r="Q632" s="29" t="inlineStr">
        <is>
          <t>12</t>
        </is>
      </c>
    </row>
    <row r="633" ht="24" customHeight="1">
      <c r="A633" s="24" t="inlineStr">
        <is>
          <t>OpenDART_fnlttSinglAcntAll</t>
        </is>
      </c>
      <c r="B633" s="24" t="inlineStr">
        <is>
          <t>00366942</t>
        </is>
      </c>
      <c r="C633" s="24" t="inlineStr">
        <is>
          <t>미코</t>
        </is>
      </c>
      <c r="D633" s="24" t="inlineStr">
        <is>
          <t>mico</t>
        </is>
      </c>
      <c r="E633" s="24" t="inlineStr">
        <is>
          <t>059090</t>
        </is>
      </c>
      <c r="F633" s="24" t="inlineStr">
        <is>
          <t>2023</t>
        </is>
      </c>
      <c r="G633" s="24" t="inlineStr">
        <is>
          <t>CFS</t>
        </is>
      </c>
      <c r="H633" s="24" t="inlineStr">
        <is>
          <t>SCE</t>
        </is>
      </c>
      <c r="I633" s="24" t="inlineStr">
        <is>
          <t>자본변동표</t>
        </is>
      </c>
      <c r="J633" s="24" t="inlineStr">
        <is>
          <t>-표준계정코드 미사용-</t>
        </is>
      </c>
      <c r="K633" s="24" t="inlineStr">
        <is>
          <t>전환권행사</t>
        </is>
      </c>
      <c r="L633" s="24" t="inlineStr">
        <is>
          <t>자본 [구성요소]|지배기업의 소유주에게 귀속되는 지분 [구성요소]|자본금 [구성요소]</t>
        </is>
      </c>
      <c r="M633" s="24" t="inlineStr">
        <is>
          <t>제 25 기</t>
        </is>
      </c>
      <c r="N633" s="24" t="inlineStr">
        <is>
          <t>해당 없음</t>
        </is>
      </c>
      <c r="O633" s="24" t="inlineStr">
        <is>
          <t>해당 없음</t>
        </is>
      </c>
      <c r="P633" s="24" t="inlineStr">
        <is>
          <t>KRW</t>
        </is>
      </c>
      <c r="Q633" s="24" t="inlineStr">
        <is>
          <t>12</t>
        </is>
      </c>
    </row>
    <row r="634" ht="24" customHeight="1">
      <c r="A634" s="29" t="inlineStr">
        <is>
          <t>OpenDART_fnlttSinglAcntAll</t>
        </is>
      </c>
      <c r="B634" s="29" t="inlineStr">
        <is>
          <t>00366942</t>
        </is>
      </c>
      <c r="C634" s="29" t="inlineStr">
        <is>
          <t>미코</t>
        </is>
      </c>
      <c r="D634" s="29" t="inlineStr">
        <is>
          <t>mico</t>
        </is>
      </c>
      <c r="E634" s="29" t="inlineStr">
        <is>
          <t>059090</t>
        </is>
      </c>
      <c r="F634" s="29" t="inlineStr">
        <is>
          <t>2023</t>
        </is>
      </c>
      <c r="G634" s="29" t="inlineStr">
        <is>
          <t>CFS</t>
        </is>
      </c>
      <c r="H634" s="29" t="inlineStr">
        <is>
          <t>SCE</t>
        </is>
      </c>
      <c r="I634" s="29" t="inlineStr">
        <is>
          <t>자본변동표</t>
        </is>
      </c>
      <c r="J634" s="29" t="inlineStr">
        <is>
          <t>-표준계정코드 미사용-</t>
        </is>
      </c>
      <c r="K634" s="29" t="inlineStr">
        <is>
          <t>신주인수권행사</t>
        </is>
      </c>
      <c r="L634" s="29" t="inlineStr">
        <is>
          <t>자본 [구성요소]|비지배지분 [구성요소]</t>
        </is>
      </c>
      <c r="M634" s="29" t="inlineStr">
        <is>
          <t>제 25 기</t>
        </is>
      </c>
      <c r="N634" s="29" t="inlineStr">
        <is>
          <t>해당 없음</t>
        </is>
      </c>
      <c r="O634" s="29" t="inlineStr">
        <is>
          <t>해당 없음</t>
        </is>
      </c>
      <c r="P634" s="29" t="inlineStr">
        <is>
          <t>KRW</t>
        </is>
      </c>
      <c r="Q634" s="29" t="inlineStr">
        <is>
          <t>13</t>
        </is>
      </c>
    </row>
    <row r="635" ht="24" customHeight="1">
      <c r="A635" s="24" t="inlineStr">
        <is>
          <t>OpenDART_fnlttSinglAcntAll</t>
        </is>
      </c>
      <c r="B635" s="24" t="inlineStr">
        <is>
          <t>00366942</t>
        </is>
      </c>
      <c r="C635" s="24" t="inlineStr">
        <is>
          <t>미코</t>
        </is>
      </c>
      <c r="D635" s="24" t="inlineStr">
        <is>
          <t>mico</t>
        </is>
      </c>
      <c r="E635" s="24" t="inlineStr">
        <is>
          <t>059090</t>
        </is>
      </c>
      <c r="F635" s="24" t="inlineStr">
        <is>
          <t>2023</t>
        </is>
      </c>
      <c r="G635" s="24" t="inlineStr">
        <is>
          <t>CFS</t>
        </is>
      </c>
      <c r="H635" s="24" t="inlineStr">
        <is>
          <t>SCE</t>
        </is>
      </c>
      <c r="I635" s="24" t="inlineStr">
        <is>
          <t>자본변동표</t>
        </is>
      </c>
      <c r="J635" s="24" t="inlineStr">
        <is>
          <t>-표준계정코드 미사용-</t>
        </is>
      </c>
      <c r="K635" s="24" t="inlineStr">
        <is>
          <t>신주인수권행사</t>
        </is>
      </c>
      <c r="L635" s="24" t="inlineStr">
        <is>
          <t>연결재무제표 [member]</t>
        </is>
      </c>
      <c r="M635" s="24" t="inlineStr">
        <is>
          <t>제 25 기</t>
        </is>
      </c>
      <c r="N635" s="24" t="inlineStr">
        <is>
          <t>해당 없음</t>
        </is>
      </c>
      <c r="O635" s="24" t="inlineStr">
        <is>
          <t>해당 없음</t>
        </is>
      </c>
      <c r="P635" s="24" t="inlineStr">
        <is>
          <t>KRW</t>
        </is>
      </c>
      <c r="Q635" s="24" t="inlineStr">
        <is>
          <t>13</t>
        </is>
      </c>
    </row>
    <row r="636" ht="24" customHeight="1">
      <c r="A636" s="29" t="inlineStr">
        <is>
          <t>OpenDART_fnlttSinglAcntAll</t>
        </is>
      </c>
      <c r="B636" s="29" t="inlineStr">
        <is>
          <t>00366942</t>
        </is>
      </c>
      <c r="C636" s="29" t="inlineStr">
        <is>
          <t>미코</t>
        </is>
      </c>
      <c r="D636" s="29" t="inlineStr">
        <is>
          <t>mico</t>
        </is>
      </c>
      <c r="E636" s="29" t="inlineStr">
        <is>
          <t>059090</t>
        </is>
      </c>
      <c r="F636" s="29" t="inlineStr">
        <is>
          <t>2023</t>
        </is>
      </c>
      <c r="G636" s="29" t="inlineStr">
        <is>
          <t>CFS</t>
        </is>
      </c>
      <c r="H636" s="29" t="inlineStr">
        <is>
          <t>SCE</t>
        </is>
      </c>
      <c r="I636" s="29" t="inlineStr">
        <is>
          <t>자본변동표</t>
        </is>
      </c>
      <c r="J636" s="29" t="inlineStr">
        <is>
          <t>-표준계정코드 미사용-</t>
        </is>
      </c>
      <c r="K636" s="29" t="inlineStr">
        <is>
          <t>신주인수권행사</t>
        </is>
      </c>
      <c r="L636" s="29" t="inlineStr">
        <is>
          <t>자본 [구성요소]|지배기업의 소유주에게 귀속되는 지분 [구성요소]</t>
        </is>
      </c>
      <c r="M636" s="29" t="inlineStr">
        <is>
          <t>제 25 기</t>
        </is>
      </c>
      <c r="N636" s="29" t="inlineStr">
        <is>
          <t>해당 없음</t>
        </is>
      </c>
      <c r="O636" s="29" t="inlineStr">
        <is>
          <t>해당 없음</t>
        </is>
      </c>
      <c r="P636" s="29" t="inlineStr">
        <is>
          <t>KRW</t>
        </is>
      </c>
      <c r="Q636" s="29" t="inlineStr">
        <is>
          <t>13</t>
        </is>
      </c>
    </row>
    <row r="637" ht="24" customHeight="1">
      <c r="A637" s="24" t="inlineStr">
        <is>
          <t>OpenDART_fnlttSinglAcntAll</t>
        </is>
      </c>
      <c r="B637" s="24" t="inlineStr">
        <is>
          <t>00366942</t>
        </is>
      </c>
      <c r="C637" s="24" t="inlineStr">
        <is>
          <t>미코</t>
        </is>
      </c>
      <c r="D637" s="24" t="inlineStr">
        <is>
          <t>mico</t>
        </is>
      </c>
      <c r="E637" s="24" t="inlineStr">
        <is>
          <t>059090</t>
        </is>
      </c>
      <c r="F637" s="24" t="inlineStr">
        <is>
          <t>2023</t>
        </is>
      </c>
      <c r="G637" s="24" t="inlineStr">
        <is>
          <t>CFS</t>
        </is>
      </c>
      <c r="H637" s="24" t="inlineStr">
        <is>
          <t>SCE</t>
        </is>
      </c>
      <c r="I637" s="24" t="inlineStr">
        <is>
          <t>자본변동표</t>
        </is>
      </c>
      <c r="J637" s="24" t="inlineStr">
        <is>
          <t>-표준계정코드 미사용-</t>
        </is>
      </c>
      <c r="K637" s="24" t="inlineStr">
        <is>
          <t>신주인수권행사</t>
        </is>
      </c>
      <c r="L637" s="24" t="inlineStr">
        <is>
          <t>자본 [구성요소]|지배기업의 소유주에게 귀속되는 지분 [구성요소]|자본잉여금 [구성요소]</t>
        </is>
      </c>
      <c r="M637" s="24" t="inlineStr">
        <is>
          <t>제 25 기</t>
        </is>
      </c>
      <c r="N637" s="24" t="inlineStr">
        <is>
          <t>해당 없음</t>
        </is>
      </c>
      <c r="O637" s="24" t="inlineStr">
        <is>
          <t>해당 없음</t>
        </is>
      </c>
      <c r="P637" s="24" t="inlineStr">
        <is>
          <t>KRW</t>
        </is>
      </c>
      <c r="Q637" s="24" t="inlineStr">
        <is>
          <t>13</t>
        </is>
      </c>
    </row>
    <row r="638" ht="24" customHeight="1">
      <c r="A638" s="29" t="inlineStr">
        <is>
          <t>OpenDART_fnlttSinglAcntAll</t>
        </is>
      </c>
      <c r="B638" s="29" t="inlineStr">
        <is>
          <t>00366942</t>
        </is>
      </c>
      <c r="C638" s="29" t="inlineStr">
        <is>
          <t>미코</t>
        </is>
      </c>
      <c r="D638" s="29" t="inlineStr">
        <is>
          <t>mico</t>
        </is>
      </c>
      <c r="E638" s="29" t="inlineStr">
        <is>
          <t>059090</t>
        </is>
      </c>
      <c r="F638" s="29" t="inlineStr">
        <is>
          <t>2023</t>
        </is>
      </c>
      <c r="G638" s="29" t="inlineStr">
        <is>
          <t>CFS</t>
        </is>
      </c>
      <c r="H638" s="29" t="inlineStr">
        <is>
          <t>SCE</t>
        </is>
      </c>
      <c r="I638" s="29" t="inlineStr">
        <is>
          <t>자본변동표</t>
        </is>
      </c>
      <c r="J638" s="29" t="inlineStr">
        <is>
          <t>-표준계정코드 미사용-</t>
        </is>
      </c>
      <c r="K638" s="29" t="inlineStr">
        <is>
          <t>신주인수권대가</t>
        </is>
      </c>
      <c r="L638" s="29" t="inlineStr">
        <is>
          <t>자본 [구성요소]|비지배지분 [구성요소]</t>
        </is>
      </c>
      <c r="M638" s="29" t="inlineStr">
        <is>
          <t>제 25 기</t>
        </is>
      </c>
      <c r="N638" s="29" t="inlineStr">
        <is>
          <t>해당 없음</t>
        </is>
      </c>
      <c r="O638" s="29" t="inlineStr">
        <is>
          <t>해당 없음</t>
        </is>
      </c>
      <c r="P638" s="29" t="inlineStr">
        <is>
          <t>KRW</t>
        </is>
      </c>
      <c r="Q638" s="29" t="inlineStr">
        <is>
          <t>14</t>
        </is>
      </c>
    </row>
    <row r="639" ht="24" customHeight="1">
      <c r="A639" s="24" t="inlineStr">
        <is>
          <t>OpenDART_fnlttSinglAcntAll</t>
        </is>
      </c>
      <c r="B639" s="24" t="inlineStr">
        <is>
          <t>00366942</t>
        </is>
      </c>
      <c r="C639" s="24" t="inlineStr">
        <is>
          <t>미코</t>
        </is>
      </c>
      <c r="D639" s="24" t="inlineStr">
        <is>
          <t>mico</t>
        </is>
      </c>
      <c r="E639" s="24" t="inlineStr">
        <is>
          <t>059090</t>
        </is>
      </c>
      <c r="F639" s="24" t="inlineStr">
        <is>
          <t>2023</t>
        </is>
      </c>
      <c r="G639" s="24" t="inlineStr">
        <is>
          <t>CFS</t>
        </is>
      </c>
      <c r="H639" s="24" t="inlineStr">
        <is>
          <t>SCE</t>
        </is>
      </c>
      <c r="I639" s="24" t="inlineStr">
        <is>
          <t>자본변동표</t>
        </is>
      </c>
      <c r="J639" s="24" t="inlineStr">
        <is>
          <t>-표준계정코드 미사용-</t>
        </is>
      </c>
      <c r="K639" s="24" t="inlineStr">
        <is>
          <t>신주인수권대가</t>
        </is>
      </c>
      <c r="L639" s="24" t="inlineStr">
        <is>
          <t>연결재무제표 [member]</t>
        </is>
      </c>
      <c r="M639" s="24" t="inlineStr">
        <is>
          <t>제 25 기</t>
        </is>
      </c>
      <c r="N639" s="24" t="inlineStr">
        <is>
          <t>해당 없음</t>
        </is>
      </c>
      <c r="O639" s="24" t="inlineStr">
        <is>
          <t>해당 없음</t>
        </is>
      </c>
      <c r="P639" s="24" t="inlineStr">
        <is>
          <t>KRW</t>
        </is>
      </c>
      <c r="Q639" s="24" t="inlineStr">
        <is>
          <t>14</t>
        </is>
      </c>
    </row>
    <row r="640" ht="24" customHeight="1">
      <c r="A640" s="29" t="inlineStr">
        <is>
          <t>OpenDART_fnlttSinglAcntAll</t>
        </is>
      </c>
      <c r="B640" s="29" t="inlineStr">
        <is>
          <t>00366942</t>
        </is>
      </c>
      <c r="C640" s="29" t="inlineStr">
        <is>
          <t>미코</t>
        </is>
      </c>
      <c r="D640" s="29" t="inlineStr">
        <is>
          <t>mico</t>
        </is>
      </c>
      <c r="E640" s="29" t="inlineStr">
        <is>
          <t>059090</t>
        </is>
      </c>
      <c r="F640" s="29" t="inlineStr">
        <is>
          <t>2023</t>
        </is>
      </c>
      <c r="G640" s="29" t="inlineStr">
        <is>
          <t>CFS</t>
        </is>
      </c>
      <c r="H640" s="29" t="inlineStr">
        <is>
          <t>SCE</t>
        </is>
      </c>
      <c r="I640" s="29" t="inlineStr">
        <is>
          <t>자본변동표</t>
        </is>
      </c>
      <c r="J640" s="29" t="inlineStr">
        <is>
          <t>-표준계정코드 미사용-</t>
        </is>
      </c>
      <c r="K640" s="29" t="inlineStr">
        <is>
          <t>신주인수권대가</t>
        </is>
      </c>
      <c r="L640" s="29" t="inlineStr">
        <is>
          <t>자본 [구성요소]|지배기업의 소유주에게 귀속되는 지분 [구성요소]</t>
        </is>
      </c>
      <c r="M640" s="29" t="inlineStr">
        <is>
          <t>제 25 기</t>
        </is>
      </c>
      <c r="N640" s="29" t="inlineStr">
        <is>
          <t>해당 없음</t>
        </is>
      </c>
      <c r="O640" s="29" t="inlineStr">
        <is>
          <t>해당 없음</t>
        </is>
      </c>
      <c r="P640" s="29" t="inlineStr">
        <is>
          <t>KRW</t>
        </is>
      </c>
      <c r="Q640" s="29" t="inlineStr">
        <is>
          <t>14</t>
        </is>
      </c>
    </row>
    <row r="641" ht="24" customHeight="1">
      <c r="A641" s="24" t="inlineStr">
        <is>
          <t>OpenDART_fnlttSinglAcntAll</t>
        </is>
      </c>
      <c r="B641" s="24" t="inlineStr">
        <is>
          <t>00366942</t>
        </is>
      </c>
      <c r="C641" s="24" t="inlineStr">
        <is>
          <t>미코</t>
        </is>
      </c>
      <c r="D641" s="24" t="inlineStr">
        <is>
          <t>mico</t>
        </is>
      </c>
      <c r="E641" s="24" t="inlineStr">
        <is>
          <t>059090</t>
        </is>
      </c>
      <c r="F641" s="24" t="inlineStr">
        <is>
          <t>2023</t>
        </is>
      </c>
      <c r="G641" s="24" t="inlineStr">
        <is>
          <t>CFS</t>
        </is>
      </c>
      <c r="H641" s="24" t="inlineStr">
        <is>
          <t>SCE</t>
        </is>
      </c>
      <c r="I641" s="24" t="inlineStr">
        <is>
          <t>자본변동표</t>
        </is>
      </c>
      <c r="J641" s="24" t="inlineStr">
        <is>
          <t>-표준계정코드 미사용-</t>
        </is>
      </c>
      <c r="K641" s="24" t="inlineStr">
        <is>
          <t>신주인수권대가</t>
        </is>
      </c>
      <c r="L641" s="24" t="inlineStr">
        <is>
          <t>자본 [구성요소]|지배기업의 소유주에게 귀속되는 지분 [구성요소]|자본잉여금 [구성요소]</t>
        </is>
      </c>
      <c r="M641" s="24" t="inlineStr">
        <is>
          <t>제 25 기</t>
        </is>
      </c>
      <c r="N641" s="24" t="inlineStr">
        <is>
          <t>해당 없음</t>
        </is>
      </c>
      <c r="O641" s="24" t="inlineStr">
        <is>
          <t>해당 없음</t>
        </is>
      </c>
      <c r="P641" s="24" t="inlineStr">
        <is>
          <t>KRW</t>
        </is>
      </c>
      <c r="Q641" s="24" t="inlineStr">
        <is>
          <t>14</t>
        </is>
      </c>
    </row>
    <row r="642" ht="24" customHeight="1">
      <c r="A642" s="29" t="inlineStr">
        <is>
          <t>OpenDART_fnlttSinglAcntAll</t>
        </is>
      </c>
      <c r="B642" s="29" t="inlineStr">
        <is>
          <t>00366942</t>
        </is>
      </c>
      <c r="C642" s="29" t="inlineStr">
        <is>
          <t>미코</t>
        </is>
      </c>
      <c r="D642" s="29" t="inlineStr">
        <is>
          <t>mico</t>
        </is>
      </c>
      <c r="E642" s="29" t="inlineStr">
        <is>
          <t>059090</t>
        </is>
      </c>
      <c r="F642" s="29" t="inlineStr">
        <is>
          <t>2023</t>
        </is>
      </c>
      <c r="G642" s="29" t="inlineStr">
        <is>
          <t>CFS</t>
        </is>
      </c>
      <c r="H642" s="29" t="inlineStr">
        <is>
          <t>SCE</t>
        </is>
      </c>
      <c r="I642" s="29" t="inlineStr">
        <is>
          <t>자본변동표</t>
        </is>
      </c>
      <c r="J642" s="29" t="inlineStr">
        <is>
          <t>-표준계정코드 미사용-</t>
        </is>
      </c>
      <c r="K642" s="29" t="inlineStr">
        <is>
          <t>신주인수권대가</t>
        </is>
      </c>
      <c r="L642" s="29" t="inlineStr">
        <is>
          <t>자본 [구성요소]|지배기업의 소유주에게 귀속되는 지분 [구성요소]|이익잉여금 [구성요소]</t>
        </is>
      </c>
      <c r="M642" s="29" t="inlineStr">
        <is>
          <t>제 25 기</t>
        </is>
      </c>
      <c r="N642" s="29" t="inlineStr">
        <is>
          <t>해당 없음</t>
        </is>
      </c>
      <c r="O642" s="29" t="inlineStr">
        <is>
          <t>해당 없음</t>
        </is>
      </c>
      <c r="P642" s="29" t="inlineStr">
        <is>
          <t>KRW</t>
        </is>
      </c>
      <c r="Q642" s="29" t="inlineStr">
        <is>
          <t>14</t>
        </is>
      </c>
    </row>
    <row r="643" ht="24" customHeight="1">
      <c r="A643" s="24" t="inlineStr">
        <is>
          <t>OpenDART_fnlttSinglAcntAll</t>
        </is>
      </c>
      <c r="B643" s="24" t="inlineStr">
        <is>
          <t>00366942</t>
        </is>
      </c>
      <c r="C643" s="24" t="inlineStr">
        <is>
          <t>미코</t>
        </is>
      </c>
      <c r="D643" s="24" t="inlineStr">
        <is>
          <t>mico</t>
        </is>
      </c>
      <c r="E643" s="24" t="inlineStr">
        <is>
          <t>059090</t>
        </is>
      </c>
      <c r="F643" s="24" t="inlineStr">
        <is>
          <t>2023</t>
        </is>
      </c>
      <c r="G643" s="24" t="inlineStr">
        <is>
          <t>CFS</t>
        </is>
      </c>
      <c r="H643" s="24" t="inlineStr">
        <is>
          <t>SCE</t>
        </is>
      </c>
      <c r="I643" s="24" t="inlineStr">
        <is>
          <t>자본변동표</t>
        </is>
      </c>
      <c r="J643" s="24" t="inlineStr">
        <is>
          <t>-표준계정코드 미사용-</t>
        </is>
      </c>
      <c r="K643" s="24" t="inlineStr">
        <is>
          <t>전환권대가 및 교환권대가</t>
        </is>
      </c>
      <c r="L643" s="24" t="inlineStr">
        <is>
          <t>연결재무제표 [member]</t>
        </is>
      </c>
      <c r="M643" s="24" t="inlineStr">
        <is>
          <t>제 25 기</t>
        </is>
      </c>
      <c r="N643" s="24" t="inlineStr">
        <is>
          <t>해당 없음</t>
        </is>
      </c>
      <c r="O643" s="24" t="inlineStr">
        <is>
          <t>16100920055.0</t>
        </is>
      </c>
      <c r="P643" s="24" t="inlineStr">
        <is>
          <t>KRW</t>
        </is>
      </c>
      <c r="Q643" s="24" t="inlineStr">
        <is>
          <t>15</t>
        </is>
      </c>
    </row>
    <row r="644" ht="24" customHeight="1">
      <c r="A644" s="29" t="inlineStr">
        <is>
          <t>OpenDART_fnlttSinglAcntAll</t>
        </is>
      </c>
      <c r="B644" s="29" t="inlineStr">
        <is>
          <t>00366942</t>
        </is>
      </c>
      <c r="C644" s="29" t="inlineStr">
        <is>
          <t>미코</t>
        </is>
      </c>
      <c r="D644" s="29" t="inlineStr">
        <is>
          <t>mico</t>
        </is>
      </c>
      <c r="E644" s="29" t="inlineStr">
        <is>
          <t>059090</t>
        </is>
      </c>
      <c r="F644" s="29" t="inlineStr">
        <is>
          <t>2023</t>
        </is>
      </c>
      <c r="G644" s="29" t="inlineStr">
        <is>
          <t>CFS</t>
        </is>
      </c>
      <c r="H644" s="29" t="inlineStr">
        <is>
          <t>SCE</t>
        </is>
      </c>
      <c r="I644" s="29" t="inlineStr">
        <is>
          <t>자본변동표</t>
        </is>
      </c>
      <c r="J644" s="29" t="inlineStr">
        <is>
          <t>-표준계정코드 미사용-</t>
        </is>
      </c>
      <c r="K644" s="29" t="inlineStr">
        <is>
          <t>전환권대가 및 교환권대가</t>
        </is>
      </c>
      <c r="L644" s="29" t="inlineStr">
        <is>
          <t>자본 [구성요소]|비지배지분 [구성요소]</t>
        </is>
      </c>
      <c r="M644" s="29" t="inlineStr">
        <is>
          <t>제 25 기</t>
        </is>
      </c>
      <c r="N644" s="29" t="inlineStr">
        <is>
          <t>해당 없음</t>
        </is>
      </c>
      <c r="O644" s="29" t="inlineStr">
        <is>
          <t>10133426716.0</t>
        </is>
      </c>
      <c r="P644" s="29" t="inlineStr">
        <is>
          <t>KRW</t>
        </is>
      </c>
      <c r="Q644" s="29" t="inlineStr">
        <is>
          <t>15</t>
        </is>
      </c>
    </row>
    <row r="645" ht="24" customHeight="1">
      <c r="A645" s="24" t="inlineStr">
        <is>
          <t>OpenDART_fnlttSinglAcntAll</t>
        </is>
      </c>
      <c r="B645" s="24" t="inlineStr">
        <is>
          <t>00366942</t>
        </is>
      </c>
      <c r="C645" s="24" t="inlineStr">
        <is>
          <t>미코</t>
        </is>
      </c>
      <c r="D645" s="24" t="inlineStr">
        <is>
          <t>mico</t>
        </is>
      </c>
      <c r="E645" s="24" t="inlineStr">
        <is>
          <t>059090</t>
        </is>
      </c>
      <c r="F645" s="24" t="inlineStr">
        <is>
          <t>2023</t>
        </is>
      </c>
      <c r="G645" s="24" t="inlineStr">
        <is>
          <t>CFS</t>
        </is>
      </c>
      <c r="H645" s="24" t="inlineStr">
        <is>
          <t>SCE</t>
        </is>
      </c>
      <c r="I645" s="24" t="inlineStr">
        <is>
          <t>자본변동표</t>
        </is>
      </c>
      <c r="J645" s="24" t="inlineStr">
        <is>
          <t>-표준계정코드 미사용-</t>
        </is>
      </c>
      <c r="K645" s="24" t="inlineStr">
        <is>
          <t>전환권대가 및 교환권대가</t>
        </is>
      </c>
      <c r="L645" s="24" t="inlineStr">
        <is>
          <t>자본 [구성요소]|지배기업의 소유주에게 귀속되는 지분 [구성요소]</t>
        </is>
      </c>
      <c r="M645" s="24" t="inlineStr">
        <is>
          <t>제 25 기</t>
        </is>
      </c>
      <c r="N645" s="24" t="inlineStr">
        <is>
          <t>해당 없음</t>
        </is>
      </c>
      <c r="O645" s="24" t="inlineStr">
        <is>
          <t>5967493339.0</t>
        </is>
      </c>
      <c r="P645" s="24" t="inlineStr">
        <is>
          <t>KRW</t>
        </is>
      </c>
      <c r="Q645" s="24" t="inlineStr">
        <is>
          <t>15</t>
        </is>
      </c>
    </row>
    <row r="646" ht="24" customHeight="1">
      <c r="A646" s="29" t="inlineStr">
        <is>
          <t>OpenDART_fnlttSinglAcntAll</t>
        </is>
      </c>
      <c r="B646" s="29" t="inlineStr">
        <is>
          <t>00366942</t>
        </is>
      </c>
      <c r="C646" s="29" t="inlineStr">
        <is>
          <t>미코</t>
        </is>
      </c>
      <c r="D646" s="29" t="inlineStr">
        <is>
          <t>mico</t>
        </is>
      </c>
      <c r="E646" s="29" t="inlineStr">
        <is>
          <t>059090</t>
        </is>
      </c>
      <c r="F646" s="29" t="inlineStr">
        <is>
          <t>2023</t>
        </is>
      </c>
      <c r="G646" s="29" t="inlineStr">
        <is>
          <t>CFS</t>
        </is>
      </c>
      <c r="H646" s="29" t="inlineStr">
        <is>
          <t>SCE</t>
        </is>
      </c>
      <c r="I646" s="29" t="inlineStr">
        <is>
          <t>자본변동표</t>
        </is>
      </c>
      <c r="J646" s="29" t="inlineStr">
        <is>
          <t>-표준계정코드 미사용-</t>
        </is>
      </c>
      <c r="K646" s="29" t="inlineStr">
        <is>
          <t>전환권대가 및 교환권대가</t>
        </is>
      </c>
      <c r="L646" s="29" t="inlineStr">
        <is>
          <t>자본 [구성요소]|지배기업의 소유주에게 귀속되는 지분 [구성요소]|자본잉여금 [구성요소]</t>
        </is>
      </c>
      <c r="M646" s="29" t="inlineStr">
        <is>
          <t>제 25 기</t>
        </is>
      </c>
      <c r="N646" s="29" t="inlineStr">
        <is>
          <t>해당 없음</t>
        </is>
      </c>
      <c r="O646" s="29" t="inlineStr">
        <is>
          <t>5967493339.0</t>
        </is>
      </c>
      <c r="P646" s="29" t="inlineStr">
        <is>
          <t>KRW</t>
        </is>
      </c>
      <c r="Q646" s="29" t="inlineStr">
        <is>
          <t>15</t>
        </is>
      </c>
    </row>
    <row r="647" ht="24" customHeight="1">
      <c r="A647" s="24" t="inlineStr">
        <is>
          <t>OpenDART_fnlttSinglAcntAll</t>
        </is>
      </c>
      <c r="B647" s="24" t="inlineStr">
        <is>
          <t>00366942</t>
        </is>
      </c>
      <c r="C647" s="24" t="inlineStr">
        <is>
          <t>미코</t>
        </is>
      </c>
      <c r="D647" s="24" t="inlineStr">
        <is>
          <t>mico</t>
        </is>
      </c>
      <c r="E647" s="24" t="inlineStr">
        <is>
          <t>059090</t>
        </is>
      </c>
      <c r="F647" s="24" t="inlineStr">
        <is>
          <t>2023</t>
        </is>
      </c>
      <c r="G647" s="24" t="inlineStr">
        <is>
          <t>CFS</t>
        </is>
      </c>
      <c r="H647" s="24" t="inlineStr">
        <is>
          <t>SCE</t>
        </is>
      </c>
      <c r="I647" s="24" t="inlineStr">
        <is>
          <t>자본변동표</t>
        </is>
      </c>
      <c r="J647" s="24" t="inlineStr">
        <is>
          <t>-표준계정코드 미사용-</t>
        </is>
      </c>
      <c r="K647" s="24" t="inlineStr">
        <is>
          <t>종속기업의 증자</t>
        </is>
      </c>
      <c r="L647" s="24" t="inlineStr">
        <is>
          <t>자본 [구성요소]|지배기업의 소유주에게 귀속되는 지분 [구성요소]</t>
        </is>
      </c>
      <c r="M647" s="24" t="inlineStr">
        <is>
          <t>제 25 기</t>
        </is>
      </c>
      <c r="N647" s="24" t="inlineStr">
        <is>
          <t>해당 없음</t>
        </is>
      </c>
      <c r="O647" s="24" t="inlineStr">
        <is>
          <t>해당 없음</t>
        </is>
      </c>
      <c r="P647" s="24" t="inlineStr">
        <is>
          <t>KRW</t>
        </is>
      </c>
      <c r="Q647" s="24" t="inlineStr">
        <is>
          <t>16</t>
        </is>
      </c>
    </row>
    <row r="648" ht="24" customHeight="1">
      <c r="A648" s="29" t="inlineStr">
        <is>
          <t>OpenDART_fnlttSinglAcntAll</t>
        </is>
      </c>
      <c r="B648" s="29" t="inlineStr">
        <is>
          <t>00366942</t>
        </is>
      </c>
      <c r="C648" s="29" t="inlineStr">
        <is>
          <t>미코</t>
        </is>
      </c>
      <c r="D648" s="29" t="inlineStr">
        <is>
          <t>mico</t>
        </is>
      </c>
      <c r="E648" s="29" t="inlineStr">
        <is>
          <t>059090</t>
        </is>
      </c>
      <c r="F648" s="29" t="inlineStr">
        <is>
          <t>2023</t>
        </is>
      </c>
      <c r="G648" s="29" t="inlineStr">
        <is>
          <t>CFS</t>
        </is>
      </c>
      <c r="H648" s="29" t="inlineStr">
        <is>
          <t>SCE</t>
        </is>
      </c>
      <c r="I648" s="29" t="inlineStr">
        <is>
          <t>자본변동표</t>
        </is>
      </c>
      <c r="J648" s="29" t="inlineStr">
        <is>
          <t>-표준계정코드 미사용-</t>
        </is>
      </c>
      <c r="K648" s="29" t="inlineStr">
        <is>
          <t>종속기업의 증자</t>
        </is>
      </c>
      <c r="L648" s="29" t="inlineStr">
        <is>
          <t>자본 [구성요소]|지배기업의 소유주에게 귀속되는 지분 [구성요소]|자본잉여금 [구성요소]</t>
        </is>
      </c>
      <c r="M648" s="29" t="inlineStr">
        <is>
          <t>제 25 기</t>
        </is>
      </c>
      <c r="N648" s="29" t="inlineStr">
        <is>
          <t>해당 없음</t>
        </is>
      </c>
      <c r="O648" s="29" t="inlineStr">
        <is>
          <t>해당 없음</t>
        </is>
      </c>
      <c r="P648" s="29" t="inlineStr">
        <is>
          <t>KRW</t>
        </is>
      </c>
      <c r="Q648" s="29" t="inlineStr">
        <is>
          <t>16</t>
        </is>
      </c>
    </row>
    <row r="649" ht="24" customHeight="1">
      <c r="A649" s="24" t="inlineStr">
        <is>
          <t>OpenDART_fnlttSinglAcntAll</t>
        </is>
      </c>
      <c r="B649" s="24" t="inlineStr">
        <is>
          <t>00366942</t>
        </is>
      </c>
      <c r="C649" s="24" t="inlineStr">
        <is>
          <t>미코</t>
        </is>
      </c>
      <c r="D649" s="24" t="inlineStr">
        <is>
          <t>mico</t>
        </is>
      </c>
      <c r="E649" s="24" t="inlineStr">
        <is>
          <t>059090</t>
        </is>
      </c>
      <c r="F649" s="24" t="inlineStr">
        <is>
          <t>2023</t>
        </is>
      </c>
      <c r="G649" s="24" t="inlineStr">
        <is>
          <t>CFS</t>
        </is>
      </c>
      <c r="H649" s="24" t="inlineStr">
        <is>
          <t>SCE</t>
        </is>
      </c>
      <c r="I649" s="24" t="inlineStr">
        <is>
          <t>자본변동표</t>
        </is>
      </c>
      <c r="J649" s="24" t="inlineStr">
        <is>
          <t>-표준계정코드 미사용-</t>
        </is>
      </c>
      <c r="K649" s="24" t="inlineStr">
        <is>
          <t>종속기업의 증자</t>
        </is>
      </c>
      <c r="L649" s="24" t="inlineStr">
        <is>
          <t>연결재무제표 [member]</t>
        </is>
      </c>
      <c r="M649" s="24" t="inlineStr">
        <is>
          <t>제 25 기</t>
        </is>
      </c>
      <c r="N649" s="24" t="inlineStr">
        <is>
          <t>해당 없음</t>
        </is>
      </c>
      <c r="O649" s="24" t="inlineStr">
        <is>
          <t>해당 없음</t>
        </is>
      </c>
      <c r="P649" s="24" t="inlineStr">
        <is>
          <t>KRW</t>
        </is>
      </c>
      <c r="Q649" s="24" t="inlineStr">
        <is>
          <t>16</t>
        </is>
      </c>
    </row>
    <row r="650" ht="24" customHeight="1">
      <c r="A650" s="29" t="inlineStr">
        <is>
          <t>OpenDART_fnlttSinglAcntAll</t>
        </is>
      </c>
      <c r="B650" s="29" t="inlineStr">
        <is>
          <t>00366942</t>
        </is>
      </c>
      <c r="C650" s="29" t="inlineStr">
        <is>
          <t>미코</t>
        </is>
      </c>
      <c r="D650" s="29" t="inlineStr">
        <is>
          <t>mico</t>
        </is>
      </c>
      <c r="E650" s="29" t="inlineStr">
        <is>
          <t>059090</t>
        </is>
      </c>
      <c r="F650" s="29" t="inlineStr">
        <is>
          <t>2023</t>
        </is>
      </c>
      <c r="G650" s="29" t="inlineStr">
        <is>
          <t>CFS</t>
        </is>
      </c>
      <c r="H650" s="29" t="inlineStr">
        <is>
          <t>SCE</t>
        </is>
      </c>
      <c r="I650" s="29" t="inlineStr">
        <is>
          <t>자본변동표</t>
        </is>
      </c>
      <c r="J650" s="29" t="inlineStr">
        <is>
          <t>-표준계정코드 미사용-</t>
        </is>
      </c>
      <c r="K650" s="29" t="inlineStr">
        <is>
          <t>종속기업의 증자</t>
        </is>
      </c>
      <c r="L650" s="29" t="inlineStr">
        <is>
          <t>자본 [구성요소]|비지배지분 [구성요소]</t>
        </is>
      </c>
      <c r="M650" s="29" t="inlineStr">
        <is>
          <t>제 25 기</t>
        </is>
      </c>
      <c r="N650" s="29" t="inlineStr">
        <is>
          <t>해당 없음</t>
        </is>
      </c>
      <c r="O650" s="29" t="inlineStr">
        <is>
          <t>해당 없음</t>
        </is>
      </c>
      <c r="P650" s="29" t="inlineStr">
        <is>
          <t>KRW</t>
        </is>
      </c>
      <c r="Q650" s="29" t="inlineStr">
        <is>
          <t>16</t>
        </is>
      </c>
    </row>
    <row r="651" ht="24" customHeight="1">
      <c r="A651" s="24" t="inlineStr">
        <is>
          <t>OpenDART_fnlttSinglAcntAll</t>
        </is>
      </c>
      <c r="B651" s="24" t="inlineStr">
        <is>
          <t>00366942</t>
        </is>
      </c>
      <c r="C651" s="24" t="inlineStr">
        <is>
          <t>미코</t>
        </is>
      </c>
      <c r="D651" s="24" t="inlineStr">
        <is>
          <t>mico</t>
        </is>
      </c>
      <c r="E651" s="24" t="inlineStr">
        <is>
          <t>059090</t>
        </is>
      </c>
      <c r="F651" s="24" t="inlineStr">
        <is>
          <t>2023</t>
        </is>
      </c>
      <c r="G651" s="24" t="inlineStr">
        <is>
          <t>CFS</t>
        </is>
      </c>
      <c r="H651" s="24" t="inlineStr">
        <is>
          <t>SCE</t>
        </is>
      </c>
      <c r="I651" s="24" t="inlineStr">
        <is>
          <t>자본변동표</t>
        </is>
      </c>
      <c r="J651" s="24" t="inlineStr">
        <is>
          <t>-표준계정코드 미사용-</t>
        </is>
      </c>
      <c r="K651" s="24" t="inlineStr">
        <is>
          <t>수정후 재작성된 금액</t>
        </is>
      </c>
      <c r="L651" s="24" t="inlineStr">
        <is>
          <t>연결재무제표 [member]</t>
        </is>
      </c>
      <c r="M651" s="24" t="inlineStr">
        <is>
          <t>제 25 기</t>
        </is>
      </c>
      <c r="N651" s="24" t="inlineStr">
        <is>
          <t>해당 없음</t>
        </is>
      </c>
      <c r="O651" s="24" t="inlineStr">
        <is>
          <t>해당 없음</t>
        </is>
      </c>
      <c r="P651" s="24" t="inlineStr">
        <is>
          <t>KRW</t>
        </is>
      </c>
      <c r="Q651" s="24" t="inlineStr">
        <is>
          <t>17</t>
        </is>
      </c>
    </row>
    <row r="652" ht="24" customHeight="1">
      <c r="A652" s="29" t="inlineStr">
        <is>
          <t>OpenDART_fnlttSinglAcntAll</t>
        </is>
      </c>
      <c r="B652" s="29" t="inlineStr">
        <is>
          <t>00366942</t>
        </is>
      </c>
      <c r="C652" s="29" t="inlineStr">
        <is>
          <t>미코</t>
        </is>
      </c>
      <c r="D652" s="29" t="inlineStr">
        <is>
          <t>mico</t>
        </is>
      </c>
      <c r="E652" s="29" t="inlineStr">
        <is>
          <t>059090</t>
        </is>
      </c>
      <c r="F652" s="29" t="inlineStr">
        <is>
          <t>2023</t>
        </is>
      </c>
      <c r="G652" s="29" t="inlineStr">
        <is>
          <t>CFS</t>
        </is>
      </c>
      <c r="H652" s="29" t="inlineStr">
        <is>
          <t>SCE</t>
        </is>
      </c>
      <c r="I652" s="29" t="inlineStr">
        <is>
          <t>자본변동표</t>
        </is>
      </c>
      <c r="J652" s="29" t="inlineStr">
        <is>
          <t>-표준계정코드 미사용-</t>
        </is>
      </c>
      <c r="K652" s="29" t="inlineStr">
        <is>
          <t>수정후 재작성된 금액</t>
        </is>
      </c>
      <c r="L652" s="29" t="inlineStr">
        <is>
          <t>자본 [구성요소]|비지배지분 [구성요소]</t>
        </is>
      </c>
      <c r="M652" s="29" t="inlineStr">
        <is>
          <t>제 25 기</t>
        </is>
      </c>
      <c r="N652" s="29" t="inlineStr">
        <is>
          <t>해당 없음</t>
        </is>
      </c>
      <c r="O652" s="29" t="inlineStr">
        <is>
          <t>해당 없음</t>
        </is>
      </c>
      <c r="P652" s="29" t="inlineStr">
        <is>
          <t>KRW</t>
        </is>
      </c>
      <c r="Q652" s="29" t="inlineStr">
        <is>
          <t>17</t>
        </is>
      </c>
    </row>
    <row r="653" ht="24" customHeight="1">
      <c r="A653" s="24" t="inlineStr">
        <is>
          <t>OpenDART_fnlttSinglAcntAll</t>
        </is>
      </c>
      <c r="B653" s="24" t="inlineStr">
        <is>
          <t>00366942</t>
        </is>
      </c>
      <c r="C653" s="24" t="inlineStr">
        <is>
          <t>미코</t>
        </is>
      </c>
      <c r="D653" s="24" t="inlineStr">
        <is>
          <t>mico</t>
        </is>
      </c>
      <c r="E653" s="24" t="inlineStr">
        <is>
          <t>059090</t>
        </is>
      </c>
      <c r="F653" s="24" t="inlineStr">
        <is>
          <t>2023</t>
        </is>
      </c>
      <c r="G653" s="24" t="inlineStr">
        <is>
          <t>CFS</t>
        </is>
      </c>
      <c r="H653" s="24" t="inlineStr">
        <is>
          <t>SCE</t>
        </is>
      </c>
      <c r="I653" s="24" t="inlineStr">
        <is>
          <t>자본변동표</t>
        </is>
      </c>
      <c r="J653" s="24" t="inlineStr">
        <is>
          <t>-표준계정코드 미사용-</t>
        </is>
      </c>
      <c r="K653" s="24" t="inlineStr">
        <is>
          <t>수정후 재작성된 금액</t>
        </is>
      </c>
      <c r="L653" s="24" t="inlineStr">
        <is>
          <t>자본 [구성요소]|지배기업의 소유주에게 귀속되는 지분 [구성요소]</t>
        </is>
      </c>
      <c r="M653" s="24" t="inlineStr">
        <is>
          <t>제 25 기</t>
        </is>
      </c>
      <c r="N653" s="24" t="inlineStr">
        <is>
          <t>해당 없음</t>
        </is>
      </c>
      <c r="O653" s="24" t="inlineStr">
        <is>
          <t>해당 없음</t>
        </is>
      </c>
      <c r="P653" s="24" t="inlineStr">
        <is>
          <t>KRW</t>
        </is>
      </c>
      <c r="Q653" s="24" t="inlineStr">
        <is>
          <t>17</t>
        </is>
      </c>
    </row>
    <row r="654" ht="24" customHeight="1">
      <c r="A654" s="29" t="inlineStr">
        <is>
          <t>OpenDART_fnlttSinglAcntAll</t>
        </is>
      </c>
      <c r="B654" s="29" t="inlineStr">
        <is>
          <t>00366942</t>
        </is>
      </c>
      <c r="C654" s="29" t="inlineStr">
        <is>
          <t>미코</t>
        </is>
      </c>
      <c r="D654" s="29" t="inlineStr">
        <is>
          <t>mico</t>
        </is>
      </c>
      <c r="E654" s="29" t="inlineStr">
        <is>
          <t>059090</t>
        </is>
      </c>
      <c r="F654" s="29" t="inlineStr">
        <is>
          <t>2023</t>
        </is>
      </c>
      <c r="G654" s="29" t="inlineStr">
        <is>
          <t>CFS</t>
        </is>
      </c>
      <c r="H654" s="29" t="inlineStr">
        <is>
          <t>SCE</t>
        </is>
      </c>
      <c r="I654" s="29" t="inlineStr">
        <is>
          <t>자본변동표</t>
        </is>
      </c>
      <c r="J654" s="29" t="inlineStr">
        <is>
          <t>-표준계정코드 미사용-</t>
        </is>
      </c>
      <c r="K654" s="29" t="inlineStr">
        <is>
          <t>수정후 재작성된 금액</t>
        </is>
      </c>
      <c r="L654" s="29" t="inlineStr">
        <is>
          <t>자본 [구성요소]|지배기업의 소유주에게 귀속되는 지분 [구성요소]|기타자본구성요소 [구성요소]</t>
        </is>
      </c>
      <c r="M654" s="29" t="inlineStr">
        <is>
          <t>제 25 기</t>
        </is>
      </c>
      <c r="N654" s="29" t="inlineStr">
        <is>
          <t>해당 없음</t>
        </is>
      </c>
      <c r="O654" s="29" t="inlineStr">
        <is>
          <t>해당 없음</t>
        </is>
      </c>
      <c r="P654" s="29" t="inlineStr">
        <is>
          <t>KRW</t>
        </is>
      </c>
      <c r="Q654" s="29" t="inlineStr">
        <is>
          <t>17</t>
        </is>
      </c>
    </row>
    <row r="655" ht="24" customHeight="1">
      <c r="A655" s="24" t="inlineStr">
        <is>
          <t>OpenDART_fnlttSinglAcntAll</t>
        </is>
      </c>
      <c r="B655" s="24" t="inlineStr">
        <is>
          <t>00366942</t>
        </is>
      </c>
      <c r="C655" s="24" t="inlineStr">
        <is>
          <t>미코</t>
        </is>
      </c>
      <c r="D655" s="24" t="inlineStr">
        <is>
          <t>mico</t>
        </is>
      </c>
      <c r="E655" s="24" t="inlineStr">
        <is>
          <t>059090</t>
        </is>
      </c>
      <c r="F655" s="24" t="inlineStr">
        <is>
          <t>2023</t>
        </is>
      </c>
      <c r="G655" s="24" t="inlineStr">
        <is>
          <t>CFS</t>
        </is>
      </c>
      <c r="H655" s="24" t="inlineStr">
        <is>
          <t>SCE</t>
        </is>
      </c>
      <c r="I655" s="24" t="inlineStr">
        <is>
          <t>자본변동표</t>
        </is>
      </c>
      <c r="J655" s="24" t="inlineStr">
        <is>
          <t>-표준계정코드 미사용-</t>
        </is>
      </c>
      <c r="K655" s="24" t="inlineStr">
        <is>
          <t>수정후 재작성된 금액</t>
        </is>
      </c>
      <c r="L655" s="24" t="inlineStr">
        <is>
          <t>자본 [구성요소]|지배기업의 소유주에게 귀속되는 지분 [구성요소]|기타포괄손익누계액 [구성요소]</t>
        </is>
      </c>
      <c r="M655" s="24" t="inlineStr">
        <is>
          <t>제 25 기</t>
        </is>
      </c>
      <c r="N655" s="24" t="inlineStr">
        <is>
          <t>해당 없음</t>
        </is>
      </c>
      <c r="O655" s="24" t="inlineStr">
        <is>
          <t>해당 없음</t>
        </is>
      </c>
      <c r="P655" s="24" t="inlineStr">
        <is>
          <t>KRW</t>
        </is>
      </c>
      <c r="Q655" s="24" t="inlineStr">
        <is>
          <t>17</t>
        </is>
      </c>
    </row>
    <row r="656" ht="24" customHeight="1">
      <c r="A656" s="29" t="inlineStr">
        <is>
          <t>OpenDART_fnlttSinglAcntAll</t>
        </is>
      </c>
      <c r="B656" s="29" t="inlineStr">
        <is>
          <t>00366942</t>
        </is>
      </c>
      <c r="C656" s="29" t="inlineStr">
        <is>
          <t>미코</t>
        </is>
      </c>
      <c r="D656" s="29" t="inlineStr">
        <is>
          <t>mico</t>
        </is>
      </c>
      <c r="E656" s="29" t="inlineStr">
        <is>
          <t>059090</t>
        </is>
      </c>
      <c r="F656" s="29" t="inlineStr">
        <is>
          <t>2023</t>
        </is>
      </c>
      <c r="G656" s="29" t="inlineStr">
        <is>
          <t>CFS</t>
        </is>
      </c>
      <c r="H656" s="29" t="inlineStr">
        <is>
          <t>SCE</t>
        </is>
      </c>
      <c r="I656" s="29" t="inlineStr">
        <is>
          <t>자본변동표</t>
        </is>
      </c>
      <c r="J656" s="29" t="inlineStr">
        <is>
          <t>-표준계정코드 미사용-</t>
        </is>
      </c>
      <c r="K656" s="29" t="inlineStr">
        <is>
          <t>수정후 재작성된 금액</t>
        </is>
      </c>
      <c r="L656" s="29" t="inlineStr">
        <is>
          <t>자본 [구성요소]|지배기업의 소유주에게 귀속되는 지분 [구성요소]|이익잉여금 [구성요소]</t>
        </is>
      </c>
      <c r="M656" s="29" t="inlineStr">
        <is>
          <t>제 25 기</t>
        </is>
      </c>
      <c r="N656" s="29" t="inlineStr">
        <is>
          <t>해당 없음</t>
        </is>
      </c>
      <c r="O656" s="29" t="inlineStr">
        <is>
          <t>해당 없음</t>
        </is>
      </c>
      <c r="P656" s="29" t="inlineStr">
        <is>
          <t>KRW</t>
        </is>
      </c>
      <c r="Q656" s="29" t="inlineStr">
        <is>
          <t>17</t>
        </is>
      </c>
    </row>
    <row r="657" ht="24" customHeight="1">
      <c r="A657" s="24" t="inlineStr">
        <is>
          <t>OpenDART_fnlttSinglAcntAll</t>
        </is>
      </c>
      <c r="B657" s="24" t="inlineStr">
        <is>
          <t>00366942</t>
        </is>
      </c>
      <c r="C657" s="24" t="inlineStr">
        <is>
          <t>미코</t>
        </is>
      </c>
      <c r="D657" s="24" t="inlineStr">
        <is>
          <t>mico</t>
        </is>
      </c>
      <c r="E657" s="24" t="inlineStr">
        <is>
          <t>059090</t>
        </is>
      </c>
      <c r="F657" s="24" t="inlineStr">
        <is>
          <t>2023</t>
        </is>
      </c>
      <c r="G657" s="24" t="inlineStr">
        <is>
          <t>CFS</t>
        </is>
      </c>
      <c r="H657" s="24" t="inlineStr">
        <is>
          <t>SCE</t>
        </is>
      </c>
      <c r="I657" s="24" t="inlineStr">
        <is>
          <t>자본변동표</t>
        </is>
      </c>
      <c r="J657" s="24" t="inlineStr">
        <is>
          <t>-표준계정코드 미사용-</t>
        </is>
      </c>
      <c r="K657" s="24" t="inlineStr">
        <is>
          <t>수정후 재작성된 금액</t>
        </is>
      </c>
      <c r="L657" s="24" t="inlineStr">
        <is>
          <t>자본 [구성요소]|지배기업의 소유주에게 귀속되는 지분 [구성요소]|자본잉여금 [구성요소]</t>
        </is>
      </c>
      <c r="M657" s="24" t="inlineStr">
        <is>
          <t>제 25 기</t>
        </is>
      </c>
      <c r="N657" s="24" t="inlineStr">
        <is>
          <t>해당 없음</t>
        </is>
      </c>
      <c r="O657" s="24" t="inlineStr">
        <is>
          <t>해당 없음</t>
        </is>
      </c>
      <c r="P657" s="24" t="inlineStr">
        <is>
          <t>KRW</t>
        </is>
      </c>
      <c r="Q657" s="24" t="inlineStr">
        <is>
          <t>17</t>
        </is>
      </c>
    </row>
    <row r="658" ht="24" customHeight="1">
      <c r="A658" s="29" t="inlineStr">
        <is>
          <t>OpenDART_fnlttSinglAcntAll</t>
        </is>
      </c>
      <c r="B658" s="29" t="inlineStr">
        <is>
          <t>00366942</t>
        </is>
      </c>
      <c r="C658" s="29" t="inlineStr">
        <is>
          <t>미코</t>
        </is>
      </c>
      <c r="D658" s="29" t="inlineStr">
        <is>
          <t>mico</t>
        </is>
      </c>
      <c r="E658" s="29" t="inlineStr">
        <is>
          <t>059090</t>
        </is>
      </c>
      <c r="F658" s="29" t="inlineStr">
        <is>
          <t>2023</t>
        </is>
      </c>
      <c r="G658" s="29" t="inlineStr">
        <is>
          <t>CFS</t>
        </is>
      </c>
      <c r="H658" s="29" t="inlineStr">
        <is>
          <t>SCE</t>
        </is>
      </c>
      <c r="I658" s="29" t="inlineStr">
        <is>
          <t>자본변동표</t>
        </is>
      </c>
      <c r="J658" s="29" t="inlineStr">
        <is>
          <t>-표준계정코드 미사용-</t>
        </is>
      </c>
      <c r="K658" s="29" t="inlineStr">
        <is>
          <t>수정후 재작성된 금액</t>
        </is>
      </c>
      <c r="L658" s="29" t="inlineStr">
        <is>
          <t>자본 [구성요소]|지배기업의 소유주에게 귀속되는 지분 [구성요소]|자본금 [구성요소]</t>
        </is>
      </c>
      <c r="M658" s="29" t="inlineStr">
        <is>
          <t>제 25 기</t>
        </is>
      </c>
      <c r="N658" s="29" t="inlineStr">
        <is>
          <t>해당 없음</t>
        </is>
      </c>
      <c r="O658" s="29" t="inlineStr">
        <is>
          <t>해당 없음</t>
        </is>
      </c>
      <c r="P658" s="29" t="inlineStr">
        <is>
          <t>KRW</t>
        </is>
      </c>
      <c r="Q658" s="29" t="inlineStr">
        <is>
          <t>17</t>
        </is>
      </c>
    </row>
    <row r="659" ht="24" customHeight="1">
      <c r="A659" s="24" t="inlineStr">
        <is>
          <t>OpenDART_fnlttSinglAcntAll</t>
        </is>
      </c>
      <c r="B659" s="24" t="inlineStr">
        <is>
          <t>00366942</t>
        </is>
      </c>
      <c r="C659" s="24" t="inlineStr">
        <is>
          <t>미코</t>
        </is>
      </c>
      <c r="D659" s="24" t="inlineStr">
        <is>
          <t>mico</t>
        </is>
      </c>
      <c r="E659" s="24" t="inlineStr">
        <is>
          <t>059090</t>
        </is>
      </c>
      <c r="F659" s="24" t="inlineStr">
        <is>
          <t>2023</t>
        </is>
      </c>
      <c r="G659" s="24" t="inlineStr">
        <is>
          <t>CFS</t>
        </is>
      </c>
      <c r="H659" s="24" t="inlineStr">
        <is>
          <t>SCE</t>
        </is>
      </c>
      <c r="I659" s="24" t="inlineStr">
        <is>
          <t>자본변동표</t>
        </is>
      </c>
      <c r="J659" s="24" t="inlineStr">
        <is>
          <t>ifrs-full_DividendsPaid</t>
        </is>
      </c>
      <c r="K659" s="24" t="inlineStr">
        <is>
          <t>배당금의 지급</t>
        </is>
      </c>
      <c r="L659" s="24" t="inlineStr">
        <is>
          <t>연결재무제표 [member]</t>
        </is>
      </c>
      <c r="M659" s="24" t="inlineStr">
        <is>
          <t>제 25 기</t>
        </is>
      </c>
      <c r="N659" s="24" t="inlineStr">
        <is>
          <t>-7778375900.0</t>
        </is>
      </c>
      <c r="O659" s="24" t="inlineStr">
        <is>
          <t>-5601991810.0</t>
        </is>
      </c>
      <c r="P659" s="24" t="inlineStr">
        <is>
          <t>KRW</t>
        </is>
      </c>
      <c r="Q659" s="24" t="inlineStr">
        <is>
          <t>18</t>
        </is>
      </c>
    </row>
    <row r="660" ht="24" customHeight="1">
      <c r="A660" s="29" t="inlineStr">
        <is>
          <t>OpenDART_fnlttSinglAcntAll</t>
        </is>
      </c>
      <c r="B660" s="29" t="inlineStr">
        <is>
          <t>00366942</t>
        </is>
      </c>
      <c r="C660" s="29" t="inlineStr">
        <is>
          <t>미코</t>
        </is>
      </c>
      <c r="D660" s="29" t="inlineStr">
        <is>
          <t>mico</t>
        </is>
      </c>
      <c r="E660" s="29" t="inlineStr">
        <is>
          <t>059090</t>
        </is>
      </c>
      <c r="F660" s="29" t="inlineStr">
        <is>
          <t>2023</t>
        </is>
      </c>
      <c r="G660" s="29" t="inlineStr">
        <is>
          <t>CFS</t>
        </is>
      </c>
      <c r="H660" s="29" t="inlineStr">
        <is>
          <t>SCE</t>
        </is>
      </c>
      <c r="I660" s="29" t="inlineStr">
        <is>
          <t>자본변동표</t>
        </is>
      </c>
      <c r="J660" s="29" t="inlineStr">
        <is>
          <t>ifrs-full_DividendsPaid</t>
        </is>
      </c>
      <c r="K660" s="29" t="inlineStr">
        <is>
          <t>배당금의 지급</t>
        </is>
      </c>
      <c r="L660" s="29" t="inlineStr">
        <is>
          <t>자본 [구성요소]|지배기업의 소유주에게 귀속되는 지분 [구성요소]</t>
        </is>
      </c>
      <c r="M660" s="29" t="inlineStr">
        <is>
          <t>제 25 기</t>
        </is>
      </c>
      <c r="N660" s="29" t="inlineStr">
        <is>
          <t>해당 없음</t>
        </is>
      </c>
      <c r="O660" s="29" t="inlineStr">
        <is>
          <t>-2233828660.0</t>
        </is>
      </c>
      <c r="P660" s="29" t="inlineStr">
        <is>
          <t>KRW</t>
        </is>
      </c>
      <c r="Q660" s="29" t="inlineStr">
        <is>
          <t>18</t>
        </is>
      </c>
    </row>
    <row r="661" ht="24" customHeight="1">
      <c r="A661" s="24" t="inlineStr">
        <is>
          <t>OpenDART_fnlttSinglAcntAll</t>
        </is>
      </c>
      <c r="B661" s="24" t="inlineStr">
        <is>
          <t>00366942</t>
        </is>
      </c>
      <c r="C661" s="24" t="inlineStr">
        <is>
          <t>미코</t>
        </is>
      </c>
      <c r="D661" s="24" t="inlineStr">
        <is>
          <t>mico</t>
        </is>
      </c>
      <c r="E661" s="24" t="inlineStr">
        <is>
          <t>059090</t>
        </is>
      </c>
      <c r="F661" s="24" t="inlineStr">
        <is>
          <t>2023</t>
        </is>
      </c>
      <c r="G661" s="24" t="inlineStr">
        <is>
          <t>CFS</t>
        </is>
      </c>
      <c r="H661" s="24" t="inlineStr">
        <is>
          <t>SCE</t>
        </is>
      </c>
      <c r="I661" s="24" t="inlineStr">
        <is>
          <t>자본변동표</t>
        </is>
      </c>
      <c r="J661" s="24" t="inlineStr">
        <is>
          <t>ifrs-full_DividendsPaid</t>
        </is>
      </c>
      <c r="K661" s="24" t="inlineStr">
        <is>
          <t>배당금의 지급</t>
        </is>
      </c>
      <c r="L661" s="24" t="inlineStr">
        <is>
          <t>자본 [구성요소]|비지배지분 [구성요소]</t>
        </is>
      </c>
      <c r="M661" s="24" t="inlineStr">
        <is>
          <t>제 25 기</t>
        </is>
      </c>
      <c r="N661" s="24" t="inlineStr">
        <is>
          <t>-7778375900.0</t>
        </is>
      </c>
      <c r="O661" s="24" t="inlineStr">
        <is>
          <t>-3368163150.0</t>
        </is>
      </c>
      <c r="P661" s="24" t="inlineStr">
        <is>
          <t>KRW</t>
        </is>
      </c>
      <c r="Q661" s="24" t="inlineStr">
        <is>
          <t>18</t>
        </is>
      </c>
    </row>
    <row r="662" ht="24" customHeight="1">
      <c r="A662" s="29" t="inlineStr">
        <is>
          <t>OpenDART_fnlttSinglAcntAll</t>
        </is>
      </c>
      <c r="B662" s="29" t="inlineStr">
        <is>
          <t>00366942</t>
        </is>
      </c>
      <c r="C662" s="29" t="inlineStr">
        <is>
          <t>미코</t>
        </is>
      </c>
      <c r="D662" s="29" t="inlineStr">
        <is>
          <t>mico</t>
        </is>
      </c>
      <c r="E662" s="29" t="inlineStr">
        <is>
          <t>059090</t>
        </is>
      </c>
      <c r="F662" s="29" t="inlineStr">
        <is>
          <t>2023</t>
        </is>
      </c>
      <c r="G662" s="29" t="inlineStr">
        <is>
          <t>CFS</t>
        </is>
      </c>
      <c r="H662" s="29" t="inlineStr">
        <is>
          <t>SCE</t>
        </is>
      </c>
      <c r="I662" s="29" t="inlineStr">
        <is>
          <t>자본변동표</t>
        </is>
      </c>
      <c r="J662" s="29" t="inlineStr">
        <is>
          <t>ifrs-full_DividendsPaid</t>
        </is>
      </c>
      <c r="K662" s="29" t="inlineStr">
        <is>
          <t>배당금의 지급</t>
        </is>
      </c>
      <c r="L662" s="29" t="inlineStr">
        <is>
          <t>자본 [구성요소]|지배기업의 소유주에게 귀속되는 지분 [구성요소]|이익잉여금 [구성요소]</t>
        </is>
      </c>
      <c r="M662" s="29" t="inlineStr">
        <is>
          <t>제 25 기</t>
        </is>
      </c>
      <c r="N662" s="29" t="inlineStr">
        <is>
          <t>해당 없음</t>
        </is>
      </c>
      <c r="O662" s="29" t="inlineStr">
        <is>
          <t>-2233828660.0</t>
        </is>
      </c>
      <c r="P662" s="29" t="inlineStr">
        <is>
          <t>KRW</t>
        </is>
      </c>
      <c r="Q662" s="29" t="inlineStr">
        <is>
          <t>18</t>
        </is>
      </c>
    </row>
    <row r="663" ht="24" customHeight="1">
      <c r="A663" s="24" t="inlineStr">
        <is>
          <t>OpenDART_fnlttSinglAcntAll</t>
        </is>
      </c>
      <c r="B663" s="24" t="inlineStr">
        <is>
          <t>00366942</t>
        </is>
      </c>
      <c r="C663" s="24" t="inlineStr">
        <is>
          <t>미코</t>
        </is>
      </c>
      <c r="D663" s="24" t="inlineStr">
        <is>
          <t>mico</t>
        </is>
      </c>
      <c r="E663" s="24" t="inlineStr">
        <is>
          <t>059090</t>
        </is>
      </c>
      <c r="F663" s="24" t="inlineStr">
        <is>
          <t>2023</t>
        </is>
      </c>
      <c r="G663" s="24" t="inlineStr">
        <is>
          <t>CFS</t>
        </is>
      </c>
      <c r="H663" s="24" t="inlineStr">
        <is>
          <t>SCE</t>
        </is>
      </c>
      <c r="I663" s="24" t="inlineStr">
        <is>
          <t>자본변동표</t>
        </is>
      </c>
      <c r="J663" s="24" t="inlineStr">
        <is>
          <t>ifrs-full_Equity</t>
        </is>
      </c>
      <c r="K663" s="24" t="inlineStr">
        <is>
          <t>자본총계</t>
        </is>
      </c>
      <c r="L663" s="24" t="inlineStr">
        <is>
          <t>연결재무제표 [member]</t>
        </is>
      </c>
      <c r="M663" s="24" t="inlineStr">
        <is>
          <t>제 25 기</t>
        </is>
      </c>
      <c r="N663" s="24" t="inlineStr">
        <is>
          <t>366083933670.0</t>
        </is>
      </c>
      <c r="O663" s="24" t="inlineStr">
        <is>
          <t>376300039996.0</t>
        </is>
      </c>
      <c r="P663" s="24" t="inlineStr">
        <is>
          <t>KRW</t>
        </is>
      </c>
      <c r="Q663" s="24" t="inlineStr">
        <is>
          <t>19</t>
        </is>
      </c>
    </row>
    <row r="664" ht="24" customHeight="1">
      <c r="A664" s="29" t="inlineStr">
        <is>
          <t>OpenDART_fnlttSinglAcntAll</t>
        </is>
      </c>
      <c r="B664" s="29" t="inlineStr">
        <is>
          <t>00366942</t>
        </is>
      </c>
      <c r="C664" s="29" t="inlineStr">
        <is>
          <t>미코</t>
        </is>
      </c>
      <c r="D664" s="29" t="inlineStr">
        <is>
          <t>mico</t>
        </is>
      </c>
      <c r="E664" s="29" t="inlineStr">
        <is>
          <t>059090</t>
        </is>
      </c>
      <c r="F664" s="29" t="inlineStr">
        <is>
          <t>2023</t>
        </is>
      </c>
      <c r="G664" s="29" t="inlineStr">
        <is>
          <t>CFS</t>
        </is>
      </c>
      <c r="H664" s="29" t="inlineStr">
        <is>
          <t>SCE</t>
        </is>
      </c>
      <c r="I664" s="29" t="inlineStr">
        <is>
          <t>자본변동표</t>
        </is>
      </c>
      <c r="J664" s="29" t="inlineStr">
        <is>
          <t>ifrs-full_Equity</t>
        </is>
      </c>
      <c r="K664" s="29" t="inlineStr">
        <is>
          <t>자본총계</t>
        </is>
      </c>
      <c r="L664" s="29" t="inlineStr">
        <is>
          <t>자본 [구성요소]|지배기업의 소유주에게 귀속되는 지분 [구성요소]|자본잉여금 [구성요소]</t>
        </is>
      </c>
      <c r="M664" s="29" t="inlineStr">
        <is>
          <t>제 25 기</t>
        </is>
      </c>
      <c r="N664" s="29" t="inlineStr">
        <is>
          <t>192820760657.0</t>
        </is>
      </c>
      <c r="O664" s="29" t="inlineStr">
        <is>
          <t>197914130088.0</t>
        </is>
      </c>
      <c r="P664" s="29" t="inlineStr">
        <is>
          <t>KRW</t>
        </is>
      </c>
      <c r="Q664" s="29" t="inlineStr">
        <is>
          <t>19</t>
        </is>
      </c>
    </row>
    <row r="665" ht="24" customHeight="1">
      <c r="A665" s="24" t="inlineStr">
        <is>
          <t>OpenDART_fnlttSinglAcntAll</t>
        </is>
      </c>
      <c r="B665" s="24" t="inlineStr">
        <is>
          <t>00366942</t>
        </is>
      </c>
      <c r="C665" s="24" t="inlineStr">
        <is>
          <t>미코</t>
        </is>
      </c>
      <c r="D665" s="24" t="inlineStr">
        <is>
          <t>mico</t>
        </is>
      </c>
      <c r="E665" s="24" t="inlineStr">
        <is>
          <t>059090</t>
        </is>
      </c>
      <c r="F665" s="24" t="inlineStr">
        <is>
          <t>2023</t>
        </is>
      </c>
      <c r="G665" s="24" t="inlineStr">
        <is>
          <t>CFS</t>
        </is>
      </c>
      <c r="H665" s="24" t="inlineStr">
        <is>
          <t>SCE</t>
        </is>
      </c>
      <c r="I665" s="24" t="inlineStr">
        <is>
          <t>자본변동표</t>
        </is>
      </c>
      <c r="J665" s="24" t="inlineStr">
        <is>
          <t>ifrs-full_Equity</t>
        </is>
      </c>
      <c r="K665" s="24" t="inlineStr">
        <is>
          <t>자본총계</t>
        </is>
      </c>
      <c r="L665" s="24" t="inlineStr">
        <is>
          <t>자본 [구성요소]|지배기업의 소유주에게 귀속되는 지분 [구성요소]|자본금 [구성요소]</t>
        </is>
      </c>
      <c r="M665" s="24" t="inlineStr">
        <is>
          <t>제 25 기</t>
        </is>
      </c>
      <c r="N665" s="24" t="inlineStr">
        <is>
          <t>16708389000.0</t>
        </is>
      </c>
      <c r="O665" s="24" t="inlineStr">
        <is>
          <t>16708389000.0</t>
        </is>
      </c>
      <c r="P665" s="24" t="inlineStr">
        <is>
          <t>KRW</t>
        </is>
      </c>
      <c r="Q665" s="24" t="inlineStr">
        <is>
          <t>19</t>
        </is>
      </c>
    </row>
    <row r="666" ht="24" customHeight="1">
      <c r="A666" s="29" t="inlineStr">
        <is>
          <t>OpenDART_fnlttSinglAcntAll</t>
        </is>
      </c>
      <c r="B666" s="29" t="inlineStr">
        <is>
          <t>00366942</t>
        </is>
      </c>
      <c r="C666" s="29" t="inlineStr">
        <is>
          <t>미코</t>
        </is>
      </c>
      <c r="D666" s="29" t="inlineStr">
        <is>
          <t>mico</t>
        </is>
      </c>
      <c r="E666" s="29" t="inlineStr">
        <is>
          <t>059090</t>
        </is>
      </c>
      <c r="F666" s="29" t="inlineStr">
        <is>
          <t>2023</t>
        </is>
      </c>
      <c r="G666" s="29" t="inlineStr">
        <is>
          <t>CFS</t>
        </is>
      </c>
      <c r="H666" s="29" t="inlineStr">
        <is>
          <t>SCE</t>
        </is>
      </c>
      <c r="I666" s="29" t="inlineStr">
        <is>
          <t>자본변동표</t>
        </is>
      </c>
      <c r="J666" s="29" t="inlineStr">
        <is>
          <t>ifrs-full_Equity</t>
        </is>
      </c>
      <c r="K666" s="29" t="inlineStr">
        <is>
          <t>자본총계</t>
        </is>
      </c>
      <c r="L666" s="29" t="inlineStr">
        <is>
          <t>자본 [구성요소]|지배기업의 소유주에게 귀속되는 지분 [구성요소]|이익잉여금 [구성요소]</t>
        </is>
      </c>
      <c r="M666" s="29" t="inlineStr">
        <is>
          <t>제 25 기</t>
        </is>
      </c>
      <c r="N666" s="29" t="inlineStr">
        <is>
          <t>-64088444589.0</t>
        </is>
      </c>
      <c r="O666" s="29" t="inlineStr">
        <is>
          <t>-36931887394.0</t>
        </is>
      </c>
      <c r="P666" s="29" t="inlineStr">
        <is>
          <t>KRW</t>
        </is>
      </c>
      <c r="Q666" s="29" t="inlineStr">
        <is>
          <t>19</t>
        </is>
      </c>
    </row>
    <row r="667" ht="24" customHeight="1">
      <c r="A667" s="24" t="inlineStr">
        <is>
          <t>OpenDART_fnlttSinglAcntAll</t>
        </is>
      </c>
      <c r="B667" s="24" t="inlineStr">
        <is>
          <t>00366942</t>
        </is>
      </c>
      <c r="C667" s="24" t="inlineStr">
        <is>
          <t>미코</t>
        </is>
      </c>
      <c r="D667" s="24" t="inlineStr">
        <is>
          <t>mico</t>
        </is>
      </c>
      <c r="E667" s="24" t="inlineStr">
        <is>
          <t>059090</t>
        </is>
      </c>
      <c r="F667" s="24" t="inlineStr">
        <is>
          <t>2023</t>
        </is>
      </c>
      <c r="G667" s="24" t="inlineStr">
        <is>
          <t>CFS</t>
        </is>
      </c>
      <c r="H667" s="24" t="inlineStr">
        <is>
          <t>SCE</t>
        </is>
      </c>
      <c r="I667" s="24" t="inlineStr">
        <is>
          <t>자본변동표</t>
        </is>
      </c>
      <c r="J667" s="24" t="inlineStr">
        <is>
          <t>ifrs-full_Equity</t>
        </is>
      </c>
      <c r="K667" s="24" t="inlineStr">
        <is>
          <t>자본총계</t>
        </is>
      </c>
      <c r="L667" s="24" t="inlineStr">
        <is>
          <t>자본 [구성요소]|지배기업의 소유주에게 귀속되는 지분 [구성요소]|기타포괄손익누계액 [구성요소]</t>
        </is>
      </c>
      <c r="M667" s="24" t="inlineStr">
        <is>
          <t>제 25 기</t>
        </is>
      </c>
      <c r="N667" s="24" t="inlineStr">
        <is>
          <t>-11390418.0</t>
        </is>
      </c>
      <c r="O667" s="24" t="inlineStr">
        <is>
          <t>2578387177.0</t>
        </is>
      </c>
      <c r="P667" s="24" t="inlineStr">
        <is>
          <t>KRW</t>
        </is>
      </c>
      <c r="Q667" s="24" t="inlineStr">
        <is>
          <t>19</t>
        </is>
      </c>
    </row>
    <row r="668" ht="24" customHeight="1">
      <c r="A668" s="29" t="inlineStr">
        <is>
          <t>OpenDART_fnlttSinglAcntAll</t>
        </is>
      </c>
      <c r="B668" s="29" t="inlineStr">
        <is>
          <t>00366942</t>
        </is>
      </c>
      <c r="C668" s="29" t="inlineStr">
        <is>
          <t>미코</t>
        </is>
      </c>
      <c r="D668" s="29" t="inlineStr">
        <is>
          <t>mico</t>
        </is>
      </c>
      <c r="E668" s="29" t="inlineStr">
        <is>
          <t>059090</t>
        </is>
      </c>
      <c r="F668" s="29" t="inlineStr">
        <is>
          <t>2023</t>
        </is>
      </c>
      <c r="G668" s="29" t="inlineStr">
        <is>
          <t>CFS</t>
        </is>
      </c>
      <c r="H668" s="29" t="inlineStr">
        <is>
          <t>SCE</t>
        </is>
      </c>
      <c r="I668" s="29" t="inlineStr">
        <is>
          <t>자본변동표</t>
        </is>
      </c>
      <c r="J668" s="29" t="inlineStr">
        <is>
          <t>ifrs-full_Equity</t>
        </is>
      </c>
      <c r="K668" s="29" t="inlineStr">
        <is>
          <t>자본총계</t>
        </is>
      </c>
      <c r="L668" s="29" t="inlineStr">
        <is>
          <t>자본 [구성요소]|지배기업의 소유주에게 귀속되는 지분 [구성요소]|기타자본구성요소 [구성요소]</t>
        </is>
      </c>
      <c r="M668" s="29" t="inlineStr">
        <is>
          <t>제 25 기</t>
        </is>
      </c>
      <c r="N668" s="29" t="inlineStr">
        <is>
          <t>-69525407495.0</t>
        </is>
      </c>
      <c r="O668" s="29" t="inlineStr">
        <is>
          <t>-38456895906.0</t>
        </is>
      </c>
      <c r="P668" s="29" t="inlineStr">
        <is>
          <t>KRW</t>
        </is>
      </c>
      <c r="Q668" s="29" t="inlineStr">
        <is>
          <t>19</t>
        </is>
      </c>
    </row>
    <row r="669" ht="24" customHeight="1">
      <c r="A669" s="24" t="inlineStr">
        <is>
          <t>OpenDART_fnlttSinglAcntAll</t>
        </is>
      </c>
      <c r="B669" s="24" t="inlineStr">
        <is>
          <t>00366942</t>
        </is>
      </c>
      <c r="C669" s="24" t="inlineStr">
        <is>
          <t>미코</t>
        </is>
      </c>
      <c r="D669" s="24" t="inlineStr">
        <is>
          <t>mico</t>
        </is>
      </c>
      <c r="E669" s="24" t="inlineStr">
        <is>
          <t>059090</t>
        </is>
      </c>
      <c r="F669" s="24" t="inlineStr">
        <is>
          <t>2023</t>
        </is>
      </c>
      <c r="G669" s="24" t="inlineStr">
        <is>
          <t>CFS</t>
        </is>
      </c>
      <c r="H669" s="24" t="inlineStr">
        <is>
          <t>SCE</t>
        </is>
      </c>
      <c r="I669" s="24" t="inlineStr">
        <is>
          <t>자본변동표</t>
        </is>
      </c>
      <c r="J669" s="24" t="inlineStr">
        <is>
          <t>ifrs-full_Equity</t>
        </is>
      </c>
      <c r="K669" s="24" t="inlineStr">
        <is>
          <t>자본총계</t>
        </is>
      </c>
      <c r="L669" s="24" t="inlineStr">
        <is>
          <t>자본 [구성요소]|비지배지분 [구성요소]</t>
        </is>
      </c>
      <c r="M669" s="24" t="inlineStr">
        <is>
          <t>제 25 기</t>
        </is>
      </c>
      <c r="N669" s="24" t="inlineStr">
        <is>
          <t>290180026515.0</t>
        </is>
      </c>
      <c r="O669" s="24" t="inlineStr">
        <is>
          <t>234487917031.0</t>
        </is>
      </c>
      <c r="P669" s="24" t="inlineStr">
        <is>
          <t>KRW</t>
        </is>
      </c>
      <c r="Q669" s="24" t="inlineStr">
        <is>
          <t>19</t>
        </is>
      </c>
    </row>
    <row r="670" ht="24" customHeight="1">
      <c r="A670" s="29" t="inlineStr">
        <is>
          <t>OpenDART_fnlttSinglAcntAll</t>
        </is>
      </c>
      <c r="B670" s="29" t="inlineStr">
        <is>
          <t>00366942</t>
        </is>
      </c>
      <c r="C670" s="29" t="inlineStr">
        <is>
          <t>미코</t>
        </is>
      </c>
      <c r="D670" s="29" t="inlineStr">
        <is>
          <t>mico</t>
        </is>
      </c>
      <c r="E670" s="29" t="inlineStr">
        <is>
          <t>059090</t>
        </is>
      </c>
      <c r="F670" s="29" t="inlineStr">
        <is>
          <t>2023</t>
        </is>
      </c>
      <c r="G670" s="29" t="inlineStr">
        <is>
          <t>CFS</t>
        </is>
      </c>
      <c r="H670" s="29" t="inlineStr">
        <is>
          <t>SCE</t>
        </is>
      </c>
      <c r="I670" s="29" t="inlineStr">
        <is>
          <t>자본변동표</t>
        </is>
      </c>
      <c r="J670" s="29" t="inlineStr">
        <is>
          <t>ifrs-full_Equity</t>
        </is>
      </c>
      <c r="K670" s="29" t="inlineStr">
        <is>
          <t>자본총계</t>
        </is>
      </c>
      <c r="L670" s="29" t="inlineStr">
        <is>
          <t>자본 [구성요소]|지배기업의 소유주에게 귀속되는 지분 [구성요소]</t>
        </is>
      </c>
      <c r="M670" s="29" t="inlineStr">
        <is>
          <t>제 25 기</t>
        </is>
      </c>
      <c r="N670" s="29" t="inlineStr">
        <is>
          <t>75903907155.0</t>
        </is>
      </c>
      <c r="O670" s="29" t="inlineStr">
        <is>
          <t>141812122965.0</t>
        </is>
      </c>
      <c r="P670" s="29" t="inlineStr">
        <is>
          <t>KRW</t>
        </is>
      </c>
      <c r="Q670" s="29" t="inlineStr">
        <is>
          <t>19</t>
        </is>
      </c>
    </row>
    <row r="671" ht="24" customHeight="1">
      <c r="A671" s="24" t="inlineStr">
        <is>
          <t>OpenDART_fnlttSinglAcntAll</t>
        </is>
      </c>
      <c r="B671" s="24" t="inlineStr">
        <is>
          <t>00366942</t>
        </is>
      </c>
      <c r="C671" s="24" t="inlineStr">
        <is>
          <t>미코</t>
        </is>
      </c>
      <c r="D671" s="24" t="inlineStr">
        <is>
          <t>mico</t>
        </is>
      </c>
      <c r="E671" s="24" t="inlineStr">
        <is>
          <t>059090</t>
        </is>
      </c>
      <c r="F671" s="24" t="inlineStr">
        <is>
          <t>2023</t>
        </is>
      </c>
      <c r="G671" s="24" t="inlineStr">
        <is>
          <t>CFS</t>
        </is>
      </c>
      <c r="H671" s="24" t="inlineStr">
        <is>
          <t>SCE</t>
        </is>
      </c>
      <c r="I671" s="24" t="inlineStr">
        <is>
          <t>자본변동표</t>
        </is>
      </c>
      <c r="J671" s="24" t="inlineStr">
        <is>
          <t>ifrs-full_IncreaseDecreaseThroughSharebasedPaymentTransactions</t>
        </is>
      </c>
      <c r="K671" s="24" t="inlineStr">
        <is>
          <t>종속기업 주식선택권</t>
        </is>
      </c>
      <c r="L671" s="24" t="inlineStr">
        <is>
          <t>자본 [구성요소]|비지배지분 [구성요소]</t>
        </is>
      </c>
      <c r="M671" s="24" t="inlineStr">
        <is>
          <t>제 25 기</t>
        </is>
      </c>
      <c r="N671" s="24" t="inlineStr">
        <is>
          <t>3311569224.0</t>
        </is>
      </c>
      <c r="O671" s="24" t="inlineStr">
        <is>
          <t>7537072306.0</t>
        </is>
      </c>
      <c r="P671" s="24" t="inlineStr">
        <is>
          <t>KRW</t>
        </is>
      </c>
      <c r="Q671" s="24" t="inlineStr">
        <is>
          <t>20</t>
        </is>
      </c>
    </row>
    <row r="672" ht="24" customHeight="1">
      <c r="A672" s="29" t="inlineStr">
        <is>
          <t>OpenDART_fnlttSinglAcntAll</t>
        </is>
      </c>
      <c r="B672" s="29" t="inlineStr">
        <is>
          <t>00366942</t>
        </is>
      </c>
      <c r="C672" s="29" t="inlineStr">
        <is>
          <t>미코</t>
        </is>
      </c>
      <c r="D672" s="29" t="inlineStr">
        <is>
          <t>mico</t>
        </is>
      </c>
      <c r="E672" s="29" t="inlineStr">
        <is>
          <t>059090</t>
        </is>
      </c>
      <c r="F672" s="29" t="inlineStr">
        <is>
          <t>2023</t>
        </is>
      </c>
      <c r="G672" s="29" t="inlineStr">
        <is>
          <t>CFS</t>
        </is>
      </c>
      <c r="H672" s="29" t="inlineStr">
        <is>
          <t>SCE</t>
        </is>
      </c>
      <c r="I672" s="29" t="inlineStr">
        <is>
          <t>자본변동표</t>
        </is>
      </c>
      <c r="J672" s="29" t="inlineStr">
        <is>
          <t>ifrs-full_IncreaseDecreaseThroughSharebasedPaymentTransactions</t>
        </is>
      </c>
      <c r="K672" s="29" t="inlineStr">
        <is>
          <t>종속기업 주식선택권</t>
        </is>
      </c>
      <c r="L672" s="29" t="inlineStr">
        <is>
          <t>연결재무제표 [member]</t>
        </is>
      </c>
      <c r="M672" s="29" t="inlineStr">
        <is>
          <t>제 25 기</t>
        </is>
      </c>
      <c r="N672" s="29" t="inlineStr">
        <is>
          <t>3311569224.0</t>
        </is>
      </c>
      <c r="O672" s="29" t="inlineStr">
        <is>
          <t>7537072306.0</t>
        </is>
      </c>
      <c r="P672" s="29" t="inlineStr">
        <is>
          <t>KRW</t>
        </is>
      </c>
      <c r="Q672" s="29" t="inlineStr">
        <is>
          <t>20</t>
        </is>
      </c>
    </row>
    <row r="673" ht="24" customHeight="1">
      <c r="A673" s="24" t="inlineStr">
        <is>
          <t>OpenDART_fnlttSinglAcntAll</t>
        </is>
      </c>
      <c r="B673" s="24" t="inlineStr">
        <is>
          <t>00366942</t>
        </is>
      </c>
      <c r="C673" s="24" t="inlineStr">
        <is>
          <t>미코</t>
        </is>
      </c>
      <c r="D673" s="24" t="inlineStr">
        <is>
          <t>mico</t>
        </is>
      </c>
      <c r="E673" s="24" t="inlineStr">
        <is>
          <t>059090</t>
        </is>
      </c>
      <c r="F673" s="24" t="inlineStr">
        <is>
          <t>2023</t>
        </is>
      </c>
      <c r="G673" s="24" t="inlineStr">
        <is>
          <t>CFS</t>
        </is>
      </c>
      <c r="H673" s="24" t="inlineStr">
        <is>
          <t>SCE</t>
        </is>
      </c>
      <c r="I673" s="24" t="inlineStr">
        <is>
          <t>자본변동표</t>
        </is>
      </c>
      <c r="J673" s="24" t="inlineStr">
        <is>
          <t>ifrs-full_ProfitLoss</t>
        </is>
      </c>
      <c r="K673" s="24" t="inlineStr">
        <is>
          <t>당기순이익(손실)</t>
        </is>
      </c>
      <c r="L673" s="24" t="inlineStr">
        <is>
          <t>연결재무제표 [member]</t>
        </is>
      </c>
      <c r="M673" s="24" t="inlineStr">
        <is>
          <t>제 25 기</t>
        </is>
      </c>
      <c r="N673" s="24" t="inlineStr">
        <is>
          <t>-2036721583.0</t>
        </is>
      </c>
      <c r="O673" s="24" t="inlineStr">
        <is>
          <t>-31225946867.0</t>
        </is>
      </c>
      <c r="P673" s="24" t="inlineStr">
        <is>
          <t>KRW</t>
        </is>
      </c>
      <c r="Q673" s="24" t="inlineStr">
        <is>
          <t>21</t>
        </is>
      </c>
    </row>
    <row r="674" ht="24" customHeight="1">
      <c r="A674" s="29" t="inlineStr">
        <is>
          <t>OpenDART_fnlttSinglAcntAll</t>
        </is>
      </c>
      <c r="B674" s="29" t="inlineStr">
        <is>
          <t>00366942</t>
        </is>
      </c>
      <c r="C674" s="29" t="inlineStr">
        <is>
          <t>미코</t>
        </is>
      </c>
      <c r="D674" s="29" t="inlineStr">
        <is>
          <t>mico</t>
        </is>
      </c>
      <c r="E674" s="29" t="inlineStr">
        <is>
          <t>059090</t>
        </is>
      </c>
      <c r="F674" s="29" t="inlineStr">
        <is>
          <t>2023</t>
        </is>
      </c>
      <c r="G674" s="29" t="inlineStr">
        <is>
          <t>CFS</t>
        </is>
      </c>
      <c r="H674" s="29" t="inlineStr">
        <is>
          <t>SCE</t>
        </is>
      </c>
      <c r="I674" s="29" t="inlineStr">
        <is>
          <t>자본변동표</t>
        </is>
      </c>
      <c r="J674" s="29" t="inlineStr">
        <is>
          <t>ifrs-full_ProfitLoss</t>
        </is>
      </c>
      <c r="K674" s="29" t="inlineStr">
        <is>
          <t>당기순이익(손실)</t>
        </is>
      </c>
      <c r="L674" s="29" t="inlineStr">
        <is>
          <t>자본 [구성요소]|지배기업의 소유주에게 귀속되는 지분 [구성요소]</t>
        </is>
      </c>
      <c r="M674" s="29" t="inlineStr">
        <is>
          <t>제 25 기</t>
        </is>
      </c>
      <c r="N674" s="29" t="inlineStr">
        <is>
          <t>-27255738413.0</t>
        </is>
      </c>
      <c r="O674" s="29" t="inlineStr">
        <is>
          <t>-55231159403.0</t>
        </is>
      </c>
      <c r="P674" s="29" t="inlineStr">
        <is>
          <t>KRW</t>
        </is>
      </c>
      <c r="Q674" s="29" t="inlineStr">
        <is>
          <t>21</t>
        </is>
      </c>
    </row>
    <row r="675" ht="24" customHeight="1">
      <c r="A675" s="24" t="inlineStr">
        <is>
          <t>OpenDART_fnlttSinglAcntAll</t>
        </is>
      </c>
      <c r="B675" s="24" t="inlineStr">
        <is>
          <t>00366942</t>
        </is>
      </c>
      <c r="C675" s="24" t="inlineStr">
        <is>
          <t>미코</t>
        </is>
      </c>
      <c r="D675" s="24" t="inlineStr">
        <is>
          <t>mico</t>
        </is>
      </c>
      <c r="E675" s="24" t="inlineStr">
        <is>
          <t>059090</t>
        </is>
      </c>
      <c r="F675" s="24" t="inlineStr">
        <is>
          <t>2023</t>
        </is>
      </c>
      <c r="G675" s="24" t="inlineStr">
        <is>
          <t>CFS</t>
        </is>
      </c>
      <c r="H675" s="24" t="inlineStr">
        <is>
          <t>SCE</t>
        </is>
      </c>
      <c r="I675" s="24" t="inlineStr">
        <is>
          <t>자본변동표</t>
        </is>
      </c>
      <c r="J675" s="24" t="inlineStr">
        <is>
          <t>ifrs-full_ProfitLoss</t>
        </is>
      </c>
      <c r="K675" s="24" t="inlineStr">
        <is>
          <t>당기순이익(손실)</t>
        </is>
      </c>
      <c r="L675" s="24" t="inlineStr">
        <is>
          <t>자본 [구성요소]|비지배지분 [구성요소]</t>
        </is>
      </c>
      <c r="M675" s="24" t="inlineStr">
        <is>
          <t>제 25 기</t>
        </is>
      </c>
      <c r="N675" s="24" t="inlineStr">
        <is>
          <t>25219016830.0</t>
        </is>
      </c>
      <c r="O675" s="24" t="inlineStr">
        <is>
          <t>24005212536.0</t>
        </is>
      </c>
      <c r="P675" s="24" t="inlineStr">
        <is>
          <t>KRW</t>
        </is>
      </c>
      <c r="Q675" s="24" t="inlineStr">
        <is>
          <t>21</t>
        </is>
      </c>
    </row>
    <row r="676" ht="24" customHeight="1">
      <c r="A676" s="29" t="inlineStr">
        <is>
          <t>OpenDART_fnlttSinglAcntAll</t>
        </is>
      </c>
      <c r="B676" s="29" t="inlineStr">
        <is>
          <t>00366942</t>
        </is>
      </c>
      <c r="C676" s="29" t="inlineStr">
        <is>
          <t>미코</t>
        </is>
      </c>
      <c r="D676" s="29" t="inlineStr">
        <is>
          <t>mico</t>
        </is>
      </c>
      <c r="E676" s="29" t="inlineStr">
        <is>
          <t>059090</t>
        </is>
      </c>
      <c r="F676" s="29" t="inlineStr">
        <is>
          <t>2023</t>
        </is>
      </c>
      <c r="G676" s="29" t="inlineStr">
        <is>
          <t>CFS</t>
        </is>
      </c>
      <c r="H676" s="29" t="inlineStr">
        <is>
          <t>SCE</t>
        </is>
      </c>
      <c r="I676" s="29" t="inlineStr">
        <is>
          <t>자본변동표</t>
        </is>
      </c>
      <c r="J676" s="29" t="inlineStr">
        <is>
          <t>ifrs-full_ProfitLoss</t>
        </is>
      </c>
      <c r="K676" s="29" t="inlineStr">
        <is>
          <t>당기순이익(손실)</t>
        </is>
      </c>
      <c r="L676" s="29" t="inlineStr">
        <is>
          <t>자본 [구성요소]|지배기업의 소유주에게 귀속되는 지분 [구성요소]|이익잉여금 [구성요소]</t>
        </is>
      </c>
      <c r="M676" s="29" t="inlineStr">
        <is>
          <t>제 25 기</t>
        </is>
      </c>
      <c r="N676" s="29" t="inlineStr">
        <is>
          <t>-27255738413.0</t>
        </is>
      </c>
      <c r="O676" s="29" t="inlineStr">
        <is>
          <t>-55231159403.0</t>
        </is>
      </c>
      <c r="P676" s="29" t="inlineStr">
        <is>
          <t>KRW</t>
        </is>
      </c>
      <c r="Q676" s="29" t="inlineStr">
        <is>
          <t>21</t>
        </is>
      </c>
    </row>
    <row r="677" ht="24" customHeight="1">
      <c r="A677" s="24" t="inlineStr">
        <is>
          <t>OpenDART_fnlttSinglAcntAll</t>
        </is>
      </c>
      <c r="B677" s="24" t="inlineStr">
        <is>
          <t>00366942</t>
        </is>
      </c>
      <c r="C677" s="24" t="inlineStr">
        <is>
          <t>미코</t>
        </is>
      </c>
      <c r="D677" s="24" t="inlineStr">
        <is>
          <t>mico</t>
        </is>
      </c>
      <c r="E677" s="24" t="inlineStr">
        <is>
          <t>059090</t>
        </is>
      </c>
      <c r="F677" s="24" t="inlineStr">
        <is>
          <t>2024</t>
        </is>
      </c>
      <c r="G677" s="24" t="inlineStr">
        <is>
          <t>CFS</t>
        </is>
      </c>
      <c r="H677" s="24" t="inlineStr">
        <is>
          <t>BS</t>
        </is>
      </c>
      <c r="I677" s="24" t="inlineStr">
        <is>
          <t>재무상태표</t>
        </is>
      </c>
      <c r="J677" s="24" t="inlineStr">
        <is>
          <t>ifrs-full_Assets</t>
        </is>
      </c>
      <c r="K677" s="24" t="inlineStr">
        <is>
          <t>자산총계</t>
        </is>
      </c>
      <c r="L677" s="24" t="inlineStr">
        <is>
          <t>-</t>
        </is>
      </c>
      <c r="M677" s="24" t="inlineStr">
        <is>
          <t>제 26 기</t>
        </is>
      </c>
      <c r="N677" s="24" t="inlineStr">
        <is>
          <t>1392676089676.0</t>
        </is>
      </c>
      <c r="O677" s="24" t="inlineStr">
        <is>
          <t>833895121319.0</t>
        </is>
      </c>
      <c r="P677" s="24" t="inlineStr">
        <is>
          <t>KRW</t>
        </is>
      </c>
      <c r="Q677" s="24" t="inlineStr">
        <is>
          <t>7</t>
        </is>
      </c>
    </row>
    <row r="678" ht="24" customHeight="1">
      <c r="A678" s="29" t="inlineStr">
        <is>
          <t>OpenDART_fnlttSinglAcntAll</t>
        </is>
      </c>
      <c r="B678" s="29" t="inlineStr">
        <is>
          <t>00366942</t>
        </is>
      </c>
      <c r="C678" s="29" t="inlineStr">
        <is>
          <t>미코</t>
        </is>
      </c>
      <c r="D678" s="29" t="inlineStr">
        <is>
          <t>mico</t>
        </is>
      </c>
      <c r="E678" s="29" t="inlineStr">
        <is>
          <t>059090</t>
        </is>
      </c>
      <c r="F678" s="29" t="inlineStr">
        <is>
          <t>2024</t>
        </is>
      </c>
      <c r="G678" s="29" t="inlineStr">
        <is>
          <t>CFS</t>
        </is>
      </c>
      <c r="H678" s="29" t="inlineStr">
        <is>
          <t>BS</t>
        </is>
      </c>
      <c r="I678" s="29" t="inlineStr">
        <is>
          <t>재무상태표</t>
        </is>
      </c>
      <c r="J678" s="29" t="inlineStr">
        <is>
          <t>ifrs-full_CurrentAssets</t>
        </is>
      </c>
      <c r="K678" s="29" t="inlineStr">
        <is>
          <t>유동자산</t>
        </is>
      </c>
      <c r="L678" s="29" t="inlineStr">
        <is>
          <t>-</t>
        </is>
      </c>
      <c r="M678" s="29" t="inlineStr">
        <is>
          <t>제 26 기</t>
        </is>
      </c>
      <c r="N678" s="29" t="inlineStr">
        <is>
          <t>596219133792.0</t>
        </is>
      </c>
      <c r="O678" s="29" t="inlineStr">
        <is>
          <t>371223182196.0</t>
        </is>
      </c>
      <c r="P678" s="29" t="inlineStr">
        <is>
          <t>KRW</t>
        </is>
      </c>
      <c r="Q678" s="29" t="inlineStr">
        <is>
          <t>8</t>
        </is>
      </c>
    </row>
    <row r="679" ht="24" customHeight="1">
      <c r="A679" s="24" t="inlineStr">
        <is>
          <t>OpenDART_fnlttSinglAcntAll</t>
        </is>
      </c>
      <c r="B679" s="24" t="inlineStr">
        <is>
          <t>00366942</t>
        </is>
      </c>
      <c r="C679" s="24" t="inlineStr">
        <is>
          <t>미코</t>
        </is>
      </c>
      <c r="D679" s="24" t="inlineStr">
        <is>
          <t>mico</t>
        </is>
      </c>
      <c r="E679" s="24" t="inlineStr">
        <is>
          <t>059090</t>
        </is>
      </c>
      <c r="F679" s="24" t="inlineStr">
        <is>
          <t>2024</t>
        </is>
      </c>
      <c r="G679" s="24" t="inlineStr">
        <is>
          <t>CFS</t>
        </is>
      </c>
      <c r="H679" s="24" t="inlineStr">
        <is>
          <t>BS</t>
        </is>
      </c>
      <c r="I679" s="24" t="inlineStr">
        <is>
          <t>재무상태표</t>
        </is>
      </c>
      <c r="J679" s="24" t="inlineStr">
        <is>
          <t>ifrs-full_CashAndCashEquivalents</t>
        </is>
      </c>
      <c r="K679" s="24" t="inlineStr">
        <is>
          <t>현금및현금성자산</t>
        </is>
      </c>
      <c r="L679" s="24" t="inlineStr">
        <is>
          <t>-</t>
        </is>
      </c>
      <c r="M679" s="24" t="inlineStr">
        <is>
          <t>제 26 기</t>
        </is>
      </c>
      <c r="N679" s="24" t="inlineStr">
        <is>
          <t>224894256663.0</t>
        </is>
      </c>
      <c r="O679" s="24" t="inlineStr">
        <is>
          <t>170532361522.0</t>
        </is>
      </c>
      <c r="P679" s="24" t="inlineStr">
        <is>
          <t>KRW</t>
        </is>
      </c>
      <c r="Q679" s="24" t="inlineStr">
        <is>
          <t>9</t>
        </is>
      </c>
    </row>
    <row r="680" ht="24" customHeight="1">
      <c r="A680" s="29" t="inlineStr">
        <is>
          <t>OpenDART_fnlttSinglAcntAll</t>
        </is>
      </c>
      <c r="B680" s="29" t="inlineStr">
        <is>
          <t>00366942</t>
        </is>
      </c>
      <c r="C680" s="29" t="inlineStr">
        <is>
          <t>미코</t>
        </is>
      </c>
      <c r="D680" s="29" t="inlineStr">
        <is>
          <t>mico</t>
        </is>
      </c>
      <c r="E680" s="29" t="inlineStr">
        <is>
          <t>059090</t>
        </is>
      </c>
      <c r="F680" s="29" t="inlineStr">
        <is>
          <t>2024</t>
        </is>
      </c>
      <c r="G680" s="29" t="inlineStr">
        <is>
          <t>CFS</t>
        </is>
      </c>
      <c r="H680" s="29" t="inlineStr">
        <is>
          <t>BS</t>
        </is>
      </c>
      <c r="I680" s="29" t="inlineStr">
        <is>
          <t>재무상태표</t>
        </is>
      </c>
      <c r="J680" s="29" t="inlineStr">
        <is>
          <t>ifrs-full_CurrentContractAssets</t>
        </is>
      </c>
      <c r="K680" s="29" t="inlineStr">
        <is>
          <t>유동계약자산</t>
        </is>
      </c>
      <c r="L680" s="29" t="inlineStr">
        <is>
          <t>-</t>
        </is>
      </c>
      <c r="M680" s="29" t="inlineStr">
        <is>
          <t>제 26 기</t>
        </is>
      </c>
      <c r="N680" s="29" t="inlineStr">
        <is>
          <t>71874135065.0</t>
        </is>
      </c>
      <c r="O680" s="29" t="inlineStr">
        <is>
          <t>해당 없음</t>
        </is>
      </c>
      <c r="P680" s="29" t="inlineStr">
        <is>
          <t>KRW</t>
        </is>
      </c>
      <c r="Q680" s="29" t="inlineStr">
        <is>
          <t>10</t>
        </is>
      </c>
    </row>
    <row r="681" ht="24" customHeight="1">
      <c r="A681" s="24" t="inlineStr">
        <is>
          <t>OpenDART_fnlttSinglAcntAll</t>
        </is>
      </c>
      <c r="B681" s="24" t="inlineStr">
        <is>
          <t>00366942</t>
        </is>
      </c>
      <c r="C681" s="24" t="inlineStr">
        <is>
          <t>미코</t>
        </is>
      </c>
      <c r="D681" s="24" t="inlineStr">
        <is>
          <t>mico</t>
        </is>
      </c>
      <c r="E681" s="24" t="inlineStr">
        <is>
          <t>059090</t>
        </is>
      </c>
      <c r="F681" s="24" t="inlineStr">
        <is>
          <t>2024</t>
        </is>
      </c>
      <c r="G681" s="24" t="inlineStr">
        <is>
          <t>CFS</t>
        </is>
      </c>
      <c r="H681" s="24" t="inlineStr">
        <is>
          <t>BS</t>
        </is>
      </c>
      <c r="I681" s="24" t="inlineStr">
        <is>
          <t>재무상태표</t>
        </is>
      </c>
      <c r="J681" s="24" t="inlineStr">
        <is>
          <t>ifrs-full_CurrentTaxAssets</t>
        </is>
      </c>
      <c r="K681" s="24" t="inlineStr">
        <is>
          <t>당기법인세자산</t>
        </is>
      </c>
      <c r="L681" s="24" t="inlineStr">
        <is>
          <t>-</t>
        </is>
      </c>
      <c r="M681" s="24" t="inlineStr">
        <is>
          <t>제 26 기</t>
        </is>
      </c>
      <c r="N681" s="24" t="inlineStr">
        <is>
          <t>1107699905.0</t>
        </is>
      </c>
      <c r="O681" s="24" t="inlineStr">
        <is>
          <t>244762.0</t>
        </is>
      </c>
      <c r="P681" s="24" t="inlineStr">
        <is>
          <t>KRW</t>
        </is>
      </c>
      <c r="Q681" s="24" t="inlineStr">
        <is>
          <t>11</t>
        </is>
      </c>
    </row>
    <row r="682" ht="24" customHeight="1">
      <c r="A682" s="29" t="inlineStr">
        <is>
          <t>OpenDART_fnlttSinglAcntAll</t>
        </is>
      </c>
      <c r="B682" s="29" t="inlineStr">
        <is>
          <t>00366942</t>
        </is>
      </c>
      <c r="C682" s="29" t="inlineStr">
        <is>
          <t>미코</t>
        </is>
      </c>
      <c r="D682" s="29" t="inlineStr">
        <is>
          <t>mico</t>
        </is>
      </c>
      <c r="E682" s="29" t="inlineStr">
        <is>
          <t>059090</t>
        </is>
      </c>
      <c r="F682" s="29" t="inlineStr">
        <is>
          <t>2024</t>
        </is>
      </c>
      <c r="G682" s="29" t="inlineStr">
        <is>
          <t>CFS</t>
        </is>
      </c>
      <c r="H682" s="29" t="inlineStr">
        <is>
          <t>BS</t>
        </is>
      </c>
      <c r="I682" s="29" t="inlineStr">
        <is>
          <t>재무상태표</t>
        </is>
      </c>
      <c r="J682" s="29" t="inlineStr">
        <is>
          <t>ifrs-full_Inventories</t>
        </is>
      </c>
      <c r="K682" s="29" t="inlineStr">
        <is>
          <t>재고자산</t>
        </is>
      </c>
      <c r="L682" s="29" t="inlineStr">
        <is>
          <t>-</t>
        </is>
      </c>
      <c r="M682" s="29" t="inlineStr">
        <is>
          <t>제 26 기</t>
        </is>
      </c>
      <c r="N682" s="29" t="inlineStr">
        <is>
          <t>82788390255.0</t>
        </is>
      </c>
      <c r="O682" s="29" t="inlineStr">
        <is>
          <t>57251878396.0</t>
        </is>
      </c>
      <c r="P682" s="29" t="inlineStr">
        <is>
          <t>KRW</t>
        </is>
      </c>
      <c r="Q682" s="29" t="inlineStr">
        <is>
          <t>12</t>
        </is>
      </c>
    </row>
    <row r="683" ht="24" customHeight="1">
      <c r="A683" s="24" t="inlineStr">
        <is>
          <t>OpenDART_fnlttSinglAcntAll</t>
        </is>
      </c>
      <c r="B683" s="24" t="inlineStr">
        <is>
          <t>00366942</t>
        </is>
      </c>
      <c r="C683" s="24" t="inlineStr">
        <is>
          <t>미코</t>
        </is>
      </c>
      <c r="D683" s="24" t="inlineStr">
        <is>
          <t>mico</t>
        </is>
      </c>
      <c r="E683" s="24" t="inlineStr">
        <is>
          <t>059090</t>
        </is>
      </c>
      <c r="F683" s="24" t="inlineStr">
        <is>
          <t>2024</t>
        </is>
      </c>
      <c r="G683" s="24" t="inlineStr">
        <is>
          <t>CFS</t>
        </is>
      </c>
      <c r="H683" s="24" t="inlineStr">
        <is>
          <t>BS</t>
        </is>
      </c>
      <c r="I683" s="24" t="inlineStr">
        <is>
          <t>재무상태표</t>
        </is>
      </c>
      <c r="J683" s="24" t="inlineStr">
        <is>
          <t>ifrs-full_NoncurrentAssetsOrDisposalGroupsClassifiedAsHeldForSaleOrAsHeldForDistributionToOwners</t>
        </is>
      </c>
      <c r="K683" s="24" t="inlineStr">
        <is>
          <t>매각예정비유동자산</t>
        </is>
      </c>
      <c r="L683" s="24" t="inlineStr">
        <is>
          <t>-</t>
        </is>
      </c>
      <c r="M683" s="24" t="inlineStr">
        <is>
          <t>제 26 기</t>
        </is>
      </c>
      <c r="N683" s="24" t="inlineStr">
        <is>
          <t>해당 없음</t>
        </is>
      </c>
      <c r="O683" s="24" t="inlineStr">
        <is>
          <t>1976000000.0</t>
        </is>
      </c>
      <c r="P683" s="24" t="inlineStr">
        <is>
          <t>KRW</t>
        </is>
      </c>
      <c r="Q683" s="24" t="inlineStr">
        <is>
          <t>13</t>
        </is>
      </c>
    </row>
    <row r="684" ht="24" customHeight="1">
      <c r="A684" s="29" t="inlineStr">
        <is>
          <t>OpenDART_fnlttSinglAcntAll</t>
        </is>
      </c>
      <c r="B684" s="29" t="inlineStr">
        <is>
          <t>00366942</t>
        </is>
      </c>
      <c r="C684" s="29" t="inlineStr">
        <is>
          <t>미코</t>
        </is>
      </c>
      <c r="D684" s="29" t="inlineStr">
        <is>
          <t>mico</t>
        </is>
      </c>
      <c r="E684" s="29" t="inlineStr">
        <is>
          <t>059090</t>
        </is>
      </c>
      <c r="F684" s="29" t="inlineStr">
        <is>
          <t>2024</t>
        </is>
      </c>
      <c r="G684" s="29" t="inlineStr">
        <is>
          <t>CFS</t>
        </is>
      </c>
      <c r="H684" s="29" t="inlineStr">
        <is>
          <t>BS</t>
        </is>
      </c>
      <c r="I684" s="29" t="inlineStr">
        <is>
          <t>재무상태표</t>
        </is>
      </c>
      <c r="J684" s="29" t="inlineStr">
        <is>
          <t>ifrs-full_OtherCurrentAssets</t>
        </is>
      </c>
      <c r="K684" s="29" t="inlineStr">
        <is>
          <t>기타유동자산</t>
        </is>
      </c>
      <c r="L684" s="29" t="inlineStr">
        <is>
          <t>-</t>
        </is>
      </c>
      <c r="M684" s="29" t="inlineStr">
        <is>
          <t>제 26 기</t>
        </is>
      </c>
      <c r="N684" s="29" t="inlineStr">
        <is>
          <t>51847163656.0</t>
        </is>
      </c>
      <c r="O684" s="29" t="inlineStr">
        <is>
          <t>2693623474.0</t>
        </is>
      </c>
      <c r="P684" s="29" t="inlineStr">
        <is>
          <t>KRW</t>
        </is>
      </c>
      <c r="Q684" s="29" t="inlineStr">
        <is>
          <t>14</t>
        </is>
      </c>
    </row>
    <row r="685" ht="24" customHeight="1">
      <c r="A685" s="24" t="inlineStr">
        <is>
          <t>OpenDART_fnlttSinglAcntAll</t>
        </is>
      </c>
      <c r="B685" s="24" t="inlineStr">
        <is>
          <t>00366942</t>
        </is>
      </c>
      <c r="C685" s="24" t="inlineStr">
        <is>
          <t>미코</t>
        </is>
      </c>
      <c r="D685" s="24" t="inlineStr">
        <is>
          <t>mico</t>
        </is>
      </c>
      <c r="E685" s="24" t="inlineStr">
        <is>
          <t>059090</t>
        </is>
      </c>
      <c r="F685" s="24" t="inlineStr">
        <is>
          <t>2024</t>
        </is>
      </c>
      <c r="G685" s="24" t="inlineStr">
        <is>
          <t>CFS</t>
        </is>
      </c>
      <c r="H685" s="24" t="inlineStr">
        <is>
          <t>BS</t>
        </is>
      </c>
      <c r="I685" s="24" t="inlineStr">
        <is>
          <t>재무상태표</t>
        </is>
      </c>
      <c r="J685" s="24" t="inlineStr">
        <is>
          <t>ifrs-full_OtherCurrentFinancialAssets</t>
        </is>
      </c>
      <c r="K685" s="24" t="inlineStr">
        <is>
          <t>기타유동금융자산</t>
        </is>
      </c>
      <c r="L685" s="24" t="inlineStr">
        <is>
          <t>-</t>
        </is>
      </c>
      <c r="M685" s="24" t="inlineStr">
        <is>
          <t>제 26 기</t>
        </is>
      </c>
      <c r="N685" s="24" t="inlineStr">
        <is>
          <t>26254403020.0</t>
        </is>
      </c>
      <c r="O685" s="24" t="inlineStr">
        <is>
          <t>35627840000.0</t>
        </is>
      </c>
      <c r="P685" s="24" t="inlineStr">
        <is>
          <t>KRW</t>
        </is>
      </c>
      <c r="Q685" s="24" t="inlineStr">
        <is>
          <t>15</t>
        </is>
      </c>
    </row>
    <row r="686" ht="24" customHeight="1">
      <c r="A686" s="29" t="inlineStr">
        <is>
          <t>OpenDART_fnlttSinglAcntAll</t>
        </is>
      </c>
      <c r="B686" s="29" t="inlineStr">
        <is>
          <t>00366942</t>
        </is>
      </c>
      <c r="C686" s="29" t="inlineStr">
        <is>
          <t>미코</t>
        </is>
      </c>
      <c r="D686" s="29" t="inlineStr">
        <is>
          <t>mico</t>
        </is>
      </c>
      <c r="E686" s="29" t="inlineStr">
        <is>
          <t>059090</t>
        </is>
      </c>
      <c r="F686" s="29" t="inlineStr">
        <is>
          <t>2024</t>
        </is>
      </c>
      <c r="G686" s="29" t="inlineStr">
        <is>
          <t>CFS</t>
        </is>
      </c>
      <c r="H686" s="29" t="inlineStr">
        <is>
          <t>BS</t>
        </is>
      </c>
      <c r="I686" s="29" t="inlineStr">
        <is>
          <t>재무상태표</t>
        </is>
      </c>
      <c r="J686" s="29" t="inlineStr">
        <is>
          <t>ifrs-full_TradeAndOtherCurrentReceivables</t>
        </is>
      </c>
      <c r="K686" s="29" t="inlineStr">
        <is>
          <t>매출채권 및 기타채권</t>
        </is>
      </c>
      <c r="L686" s="29" t="inlineStr">
        <is>
          <t>-</t>
        </is>
      </c>
      <c r="M686" s="29" t="inlineStr">
        <is>
          <t>제 26 기</t>
        </is>
      </c>
      <c r="N686" s="29" t="inlineStr">
        <is>
          <t>137453085228.0</t>
        </is>
      </c>
      <c r="O686" s="29" t="inlineStr">
        <is>
          <t>103141234042.0</t>
        </is>
      </c>
      <c r="P686" s="29" t="inlineStr">
        <is>
          <t>KRW</t>
        </is>
      </c>
      <c r="Q686" s="29" t="inlineStr">
        <is>
          <t>16</t>
        </is>
      </c>
    </row>
    <row r="687" ht="24" customHeight="1">
      <c r="A687" s="24" t="inlineStr">
        <is>
          <t>OpenDART_fnlttSinglAcntAll</t>
        </is>
      </c>
      <c r="B687" s="24" t="inlineStr">
        <is>
          <t>00366942</t>
        </is>
      </c>
      <c r="C687" s="24" t="inlineStr">
        <is>
          <t>미코</t>
        </is>
      </c>
      <c r="D687" s="24" t="inlineStr">
        <is>
          <t>mico</t>
        </is>
      </c>
      <c r="E687" s="24" t="inlineStr">
        <is>
          <t>059090</t>
        </is>
      </c>
      <c r="F687" s="24" t="inlineStr">
        <is>
          <t>2024</t>
        </is>
      </c>
      <c r="G687" s="24" t="inlineStr">
        <is>
          <t>CFS</t>
        </is>
      </c>
      <c r="H687" s="24" t="inlineStr">
        <is>
          <t>BS</t>
        </is>
      </c>
      <c r="I687" s="24" t="inlineStr">
        <is>
          <t>재무상태표</t>
        </is>
      </c>
      <c r="J687" s="24" t="inlineStr">
        <is>
          <t>ifrs-full_NoncurrentAssets</t>
        </is>
      </c>
      <c r="K687" s="24" t="inlineStr">
        <is>
          <t>비유동자산</t>
        </is>
      </c>
      <c r="L687" s="24" t="inlineStr">
        <is>
          <t>-</t>
        </is>
      </c>
      <c r="M687" s="24" t="inlineStr">
        <is>
          <t>제 26 기</t>
        </is>
      </c>
      <c r="N687" s="24" t="inlineStr">
        <is>
          <t>796456955884.0</t>
        </is>
      </c>
      <c r="O687" s="24" t="inlineStr">
        <is>
          <t>462671939123.0</t>
        </is>
      </c>
      <c r="P687" s="24" t="inlineStr">
        <is>
          <t>KRW</t>
        </is>
      </c>
      <c r="Q687" s="24" t="inlineStr">
        <is>
          <t>17</t>
        </is>
      </c>
    </row>
    <row r="688" ht="24" customHeight="1">
      <c r="A688" s="29" t="inlineStr">
        <is>
          <t>OpenDART_fnlttSinglAcntAll</t>
        </is>
      </c>
      <c r="B688" s="29" t="inlineStr">
        <is>
          <t>00366942</t>
        </is>
      </c>
      <c r="C688" s="29" t="inlineStr">
        <is>
          <t>미코</t>
        </is>
      </c>
      <c r="D688" s="29" t="inlineStr">
        <is>
          <t>mico</t>
        </is>
      </c>
      <c r="E688" s="29" t="inlineStr">
        <is>
          <t>059090</t>
        </is>
      </c>
      <c r="F688" s="29" t="inlineStr">
        <is>
          <t>2024</t>
        </is>
      </c>
      <c r="G688" s="29" t="inlineStr">
        <is>
          <t>CFS</t>
        </is>
      </c>
      <c r="H688" s="29" t="inlineStr">
        <is>
          <t>BS</t>
        </is>
      </c>
      <c r="I688" s="29" t="inlineStr">
        <is>
          <t>재무상태표</t>
        </is>
      </c>
      <c r="J688" s="29" t="inlineStr">
        <is>
          <t>dart_InvestedAssetForPostemploymentBenefit</t>
        </is>
      </c>
      <c r="K688" s="29" t="inlineStr">
        <is>
          <t>확정급여자산</t>
        </is>
      </c>
      <c r="L688" s="29" t="inlineStr">
        <is>
          <t>-</t>
        </is>
      </c>
      <c r="M688" s="29" t="inlineStr">
        <is>
          <t>제 26 기</t>
        </is>
      </c>
      <c r="N688" s="29" t="inlineStr">
        <is>
          <t>178808511.0</t>
        </is>
      </c>
      <c r="O688" s="29" t="inlineStr">
        <is>
          <t>132208625.0</t>
        </is>
      </c>
      <c r="P688" s="29" t="inlineStr">
        <is>
          <t>KRW</t>
        </is>
      </c>
      <c r="Q688" s="29" t="inlineStr">
        <is>
          <t>18</t>
        </is>
      </c>
    </row>
    <row r="689" ht="24" customHeight="1">
      <c r="A689" s="24" t="inlineStr">
        <is>
          <t>OpenDART_fnlttSinglAcntAll</t>
        </is>
      </c>
      <c r="B689" s="24" t="inlineStr">
        <is>
          <t>00366942</t>
        </is>
      </c>
      <c r="C689" s="24" t="inlineStr">
        <is>
          <t>미코</t>
        </is>
      </c>
      <c r="D689" s="24" t="inlineStr">
        <is>
          <t>mico</t>
        </is>
      </c>
      <c r="E689" s="24" t="inlineStr">
        <is>
          <t>059090</t>
        </is>
      </c>
      <c r="F689" s="24" t="inlineStr">
        <is>
          <t>2024</t>
        </is>
      </c>
      <c r="G689" s="24" t="inlineStr">
        <is>
          <t>CFS</t>
        </is>
      </c>
      <c r="H689" s="24" t="inlineStr">
        <is>
          <t>BS</t>
        </is>
      </c>
      <c r="I689" s="24" t="inlineStr">
        <is>
          <t>재무상태표</t>
        </is>
      </c>
      <c r="J689" s="24" t="inlineStr">
        <is>
          <t>dart_LongTermTradeAndOtherNonCurrentReceivablesGross</t>
        </is>
      </c>
      <c r="K689" s="24" t="inlineStr">
        <is>
          <t>장기매출채권 및 기타채권</t>
        </is>
      </c>
      <c r="L689" s="24" t="inlineStr">
        <is>
          <t>-</t>
        </is>
      </c>
      <c r="M689" s="24" t="inlineStr">
        <is>
          <t>제 26 기</t>
        </is>
      </c>
      <c r="N689" s="24" t="inlineStr">
        <is>
          <t>44424737925.0</t>
        </is>
      </c>
      <c r="O689" s="24" t="inlineStr">
        <is>
          <t>6510496281.0</t>
        </is>
      </c>
      <c r="P689" s="24" t="inlineStr">
        <is>
          <t>KRW</t>
        </is>
      </c>
      <c r="Q689" s="24" t="inlineStr">
        <is>
          <t>19</t>
        </is>
      </c>
    </row>
    <row r="690" ht="24" customHeight="1">
      <c r="A690" s="29" t="inlineStr">
        <is>
          <t>OpenDART_fnlttSinglAcntAll</t>
        </is>
      </c>
      <c r="B690" s="29" t="inlineStr">
        <is>
          <t>00366942</t>
        </is>
      </c>
      <c r="C690" s="29" t="inlineStr">
        <is>
          <t>미코</t>
        </is>
      </c>
      <c r="D690" s="29" t="inlineStr">
        <is>
          <t>mico</t>
        </is>
      </c>
      <c r="E690" s="29" t="inlineStr">
        <is>
          <t>059090</t>
        </is>
      </c>
      <c r="F690" s="29" t="inlineStr">
        <is>
          <t>2024</t>
        </is>
      </c>
      <c r="G690" s="29" t="inlineStr">
        <is>
          <t>CFS</t>
        </is>
      </c>
      <c r="H690" s="29" t="inlineStr">
        <is>
          <t>BS</t>
        </is>
      </c>
      <c r="I690" s="29" t="inlineStr">
        <is>
          <t>재무상태표</t>
        </is>
      </c>
      <c r="J690" s="29" t="inlineStr">
        <is>
          <t>ifrs-full_DeferredTaxAssets</t>
        </is>
      </c>
      <c r="K690" s="29" t="inlineStr">
        <is>
          <t>이연법인세자산</t>
        </is>
      </c>
      <c r="L690" s="29" t="inlineStr">
        <is>
          <t>-</t>
        </is>
      </c>
      <c r="M690" s="29" t="inlineStr">
        <is>
          <t>제 26 기</t>
        </is>
      </c>
      <c r="N690" s="29" t="inlineStr">
        <is>
          <t>37806837892.0</t>
        </is>
      </c>
      <c r="O690" s="29" t="inlineStr">
        <is>
          <t>11639311371.0</t>
        </is>
      </c>
      <c r="P690" s="29" t="inlineStr">
        <is>
          <t>KRW</t>
        </is>
      </c>
      <c r="Q690" s="29" t="inlineStr">
        <is>
          <t>20</t>
        </is>
      </c>
    </row>
    <row r="691" ht="24" customHeight="1">
      <c r="A691" s="24" t="inlineStr">
        <is>
          <t>OpenDART_fnlttSinglAcntAll</t>
        </is>
      </c>
      <c r="B691" s="24" t="inlineStr">
        <is>
          <t>00366942</t>
        </is>
      </c>
      <c r="C691" s="24" t="inlineStr">
        <is>
          <t>미코</t>
        </is>
      </c>
      <c r="D691" s="24" t="inlineStr">
        <is>
          <t>mico</t>
        </is>
      </c>
      <c r="E691" s="24" t="inlineStr">
        <is>
          <t>059090</t>
        </is>
      </c>
      <c r="F691" s="24" t="inlineStr">
        <is>
          <t>2024</t>
        </is>
      </c>
      <c r="G691" s="24" t="inlineStr">
        <is>
          <t>CFS</t>
        </is>
      </c>
      <c r="H691" s="24" t="inlineStr">
        <is>
          <t>BS</t>
        </is>
      </c>
      <c r="I691" s="24" t="inlineStr">
        <is>
          <t>재무상태표</t>
        </is>
      </c>
      <c r="J691" s="24" t="inlineStr">
        <is>
          <t>ifrs-full_IntangibleAssetsOtherThanGoodwill</t>
        </is>
      </c>
      <c r="K691" s="24" t="inlineStr">
        <is>
          <t>무형자산</t>
        </is>
      </c>
      <c r="L691" s="24" t="inlineStr">
        <is>
          <t>-</t>
        </is>
      </c>
      <c r="M691" s="24" t="inlineStr">
        <is>
          <t>제 26 기</t>
        </is>
      </c>
      <c r="N691" s="24" t="inlineStr">
        <is>
          <t>48967336125.0</t>
        </is>
      </c>
      <c r="O691" s="24" t="inlineStr">
        <is>
          <t>9557272048.0</t>
        </is>
      </c>
      <c r="P691" s="24" t="inlineStr">
        <is>
          <t>KRW</t>
        </is>
      </c>
      <c r="Q691" s="24" t="inlineStr">
        <is>
          <t>21</t>
        </is>
      </c>
    </row>
    <row r="692" ht="24" customHeight="1">
      <c r="A692" s="29" t="inlineStr">
        <is>
          <t>OpenDART_fnlttSinglAcntAll</t>
        </is>
      </c>
      <c r="B692" s="29" t="inlineStr">
        <is>
          <t>00366942</t>
        </is>
      </c>
      <c r="C692" s="29" t="inlineStr">
        <is>
          <t>미코</t>
        </is>
      </c>
      <c r="D692" s="29" t="inlineStr">
        <is>
          <t>mico</t>
        </is>
      </c>
      <c r="E692" s="29" t="inlineStr">
        <is>
          <t>059090</t>
        </is>
      </c>
      <c r="F692" s="29" t="inlineStr">
        <is>
          <t>2024</t>
        </is>
      </c>
      <c r="G692" s="29" t="inlineStr">
        <is>
          <t>CFS</t>
        </is>
      </c>
      <c r="H692" s="29" t="inlineStr">
        <is>
          <t>BS</t>
        </is>
      </c>
      <c r="I692" s="29" t="inlineStr">
        <is>
          <t>재무상태표</t>
        </is>
      </c>
      <c r="J692" s="29" t="inlineStr">
        <is>
          <t>ifrs-full_InvestmentProperty</t>
        </is>
      </c>
      <c r="K692" s="29" t="inlineStr">
        <is>
          <t>투자부동산</t>
        </is>
      </c>
      <c r="L692" s="29" t="inlineStr">
        <is>
          <t>-</t>
        </is>
      </c>
      <c r="M692" s="29" t="inlineStr">
        <is>
          <t>제 26 기</t>
        </is>
      </c>
      <c r="N692" s="29" t="inlineStr">
        <is>
          <t>5107299350.0</t>
        </is>
      </c>
      <c r="O692" s="29" t="inlineStr">
        <is>
          <t>6410255832.0</t>
        </is>
      </c>
      <c r="P692" s="29" t="inlineStr">
        <is>
          <t>KRW</t>
        </is>
      </c>
      <c r="Q692" s="29" t="inlineStr">
        <is>
          <t>22</t>
        </is>
      </c>
    </row>
    <row r="693" ht="24" customHeight="1">
      <c r="A693" s="24" t="inlineStr">
        <is>
          <t>OpenDART_fnlttSinglAcntAll</t>
        </is>
      </c>
      <c r="B693" s="24" t="inlineStr">
        <is>
          <t>00366942</t>
        </is>
      </c>
      <c r="C693" s="24" t="inlineStr">
        <is>
          <t>미코</t>
        </is>
      </c>
      <c r="D693" s="24" t="inlineStr">
        <is>
          <t>mico</t>
        </is>
      </c>
      <c r="E693" s="24" t="inlineStr">
        <is>
          <t>059090</t>
        </is>
      </c>
      <c r="F693" s="24" t="inlineStr">
        <is>
          <t>2024</t>
        </is>
      </c>
      <c r="G693" s="24" t="inlineStr">
        <is>
          <t>CFS</t>
        </is>
      </c>
      <c r="H693" s="24" t="inlineStr">
        <is>
          <t>BS</t>
        </is>
      </c>
      <c r="I693" s="24" t="inlineStr">
        <is>
          <t>재무상태표</t>
        </is>
      </c>
      <c r="J693" s="24" t="inlineStr">
        <is>
          <t>ifrs-full_InvestmentsInAssociates</t>
        </is>
      </c>
      <c r="K693" s="24" t="inlineStr">
        <is>
          <t>관계기업투자</t>
        </is>
      </c>
      <c r="L693" s="24" t="inlineStr">
        <is>
          <t>-</t>
        </is>
      </c>
      <c r="M693" s="24" t="inlineStr">
        <is>
          <t>제 26 기</t>
        </is>
      </c>
      <c r="N693" s="24" t="inlineStr">
        <is>
          <t>7375274173.0</t>
        </is>
      </c>
      <c r="O693" s="24" t="inlineStr">
        <is>
          <t>22927278005.0</t>
        </is>
      </c>
      <c r="P693" s="24" t="inlineStr">
        <is>
          <t>KRW</t>
        </is>
      </c>
      <c r="Q693" s="24" t="inlineStr">
        <is>
          <t>23</t>
        </is>
      </c>
    </row>
    <row r="694" ht="24" customHeight="1">
      <c r="A694" s="29" t="inlineStr">
        <is>
          <t>OpenDART_fnlttSinglAcntAll</t>
        </is>
      </c>
      <c r="B694" s="29" t="inlineStr">
        <is>
          <t>00366942</t>
        </is>
      </c>
      <c r="C694" s="29" t="inlineStr">
        <is>
          <t>미코</t>
        </is>
      </c>
      <c r="D694" s="29" t="inlineStr">
        <is>
          <t>mico</t>
        </is>
      </c>
      <c r="E694" s="29" t="inlineStr">
        <is>
          <t>059090</t>
        </is>
      </c>
      <c r="F694" s="29" t="inlineStr">
        <is>
          <t>2024</t>
        </is>
      </c>
      <c r="G694" s="29" t="inlineStr">
        <is>
          <t>CFS</t>
        </is>
      </c>
      <c r="H694" s="29" t="inlineStr">
        <is>
          <t>BS</t>
        </is>
      </c>
      <c r="I694" s="29" t="inlineStr">
        <is>
          <t>재무상태표</t>
        </is>
      </c>
      <c r="J694" s="29" t="inlineStr">
        <is>
          <t>ifrs-full_OtherNoncurrentAssets</t>
        </is>
      </c>
      <c r="K694" s="29" t="inlineStr">
        <is>
          <t>기타비유동자산</t>
        </is>
      </c>
      <c r="L694" s="29" t="inlineStr">
        <is>
          <t>-</t>
        </is>
      </c>
      <c r="M694" s="29" t="inlineStr">
        <is>
          <t>제 26 기</t>
        </is>
      </c>
      <c r="N694" s="29" t="inlineStr">
        <is>
          <t>6996538894.0</t>
        </is>
      </c>
      <c r="O694" s="29" t="inlineStr">
        <is>
          <t>16854607.0</t>
        </is>
      </c>
      <c r="P694" s="29" t="inlineStr">
        <is>
          <t>KRW</t>
        </is>
      </c>
      <c r="Q694" s="29" t="inlineStr">
        <is>
          <t>24</t>
        </is>
      </c>
    </row>
    <row r="695" ht="24" customHeight="1">
      <c r="A695" s="24" t="inlineStr">
        <is>
          <t>OpenDART_fnlttSinglAcntAll</t>
        </is>
      </c>
      <c r="B695" s="24" t="inlineStr">
        <is>
          <t>00366942</t>
        </is>
      </c>
      <c r="C695" s="24" t="inlineStr">
        <is>
          <t>미코</t>
        </is>
      </c>
      <c r="D695" s="24" t="inlineStr">
        <is>
          <t>mico</t>
        </is>
      </c>
      <c r="E695" s="24" t="inlineStr">
        <is>
          <t>059090</t>
        </is>
      </c>
      <c r="F695" s="24" t="inlineStr">
        <is>
          <t>2024</t>
        </is>
      </c>
      <c r="G695" s="24" t="inlineStr">
        <is>
          <t>CFS</t>
        </is>
      </c>
      <c r="H695" s="24" t="inlineStr">
        <is>
          <t>BS</t>
        </is>
      </c>
      <c r="I695" s="24" t="inlineStr">
        <is>
          <t>재무상태표</t>
        </is>
      </c>
      <c r="J695" s="24" t="inlineStr">
        <is>
          <t>ifrs-full_OtherNoncurrentFinancialAssets</t>
        </is>
      </c>
      <c r="K695" s="24" t="inlineStr">
        <is>
          <t>기타비유동금융자산</t>
        </is>
      </c>
      <c r="L695" s="24" t="inlineStr">
        <is>
          <t>-</t>
        </is>
      </c>
      <c r="M695" s="24" t="inlineStr">
        <is>
          <t>제 26 기</t>
        </is>
      </c>
      <c r="N695" s="24" t="inlineStr">
        <is>
          <t>45332985709.0</t>
        </is>
      </c>
      <c r="O695" s="24" t="inlineStr">
        <is>
          <t>49806179352.0</t>
        </is>
      </c>
      <c r="P695" s="24" t="inlineStr">
        <is>
          <t>KRW</t>
        </is>
      </c>
      <c r="Q695" s="24" t="inlineStr">
        <is>
          <t>25</t>
        </is>
      </c>
    </row>
    <row r="696" ht="24" customHeight="1">
      <c r="A696" s="29" t="inlineStr">
        <is>
          <t>OpenDART_fnlttSinglAcntAll</t>
        </is>
      </c>
      <c r="B696" s="29" t="inlineStr">
        <is>
          <t>00366942</t>
        </is>
      </c>
      <c r="C696" s="29" t="inlineStr">
        <is>
          <t>미코</t>
        </is>
      </c>
      <c r="D696" s="29" t="inlineStr">
        <is>
          <t>mico</t>
        </is>
      </c>
      <c r="E696" s="29" t="inlineStr">
        <is>
          <t>059090</t>
        </is>
      </c>
      <c r="F696" s="29" t="inlineStr">
        <is>
          <t>2024</t>
        </is>
      </c>
      <c r="G696" s="29" t="inlineStr">
        <is>
          <t>CFS</t>
        </is>
      </c>
      <c r="H696" s="29" t="inlineStr">
        <is>
          <t>BS</t>
        </is>
      </c>
      <c r="I696" s="29" t="inlineStr">
        <is>
          <t>재무상태표</t>
        </is>
      </c>
      <c r="J696" s="29" t="inlineStr">
        <is>
          <t>ifrs-full_PropertyPlantAndEquipment</t>
        </is>
      </c>
      <c r="K696" s="29" t="inlineStr">
        <is>
          <t>유형자산</t>
        </is>
      </c>
      <c r="L696" s="29" t="inlineStr">
        <is>
          <t>-</t>
        </is>
      </c>
      <c r="M696" s="29" t="inlineStr">
        <is>
          <t>제 26 기</t>
        </is>
      </c>
      <c r="N696" s="29" t="inlineStr">
        <is>
          <t>574648645839.0</t>
        </is>
      </c>
      <c r="O696" s="29" t="inlineStr">
        <is>
          <t>347467912170.0</t>
        </is>
      </c>
      <c r="P696" s="29" t="inlineStr">
        <is>
          <t>KRW</t>
        </is>
      </c>
      <c r="Q696" s="29" t="inlineStr">
        <is>
          <t>26</t>
        </is>
      </c>
    </row>
    <row r="697" ht="24" customHeight="1">
      <c r="A697" s="24" t="inlineStr">
        <is>
          <t>OpenDART_fnlttSinglAcntAll</t>
        </is>
      </c>
      <c r="B697" s="24" t="inlineStr">
        <is>
          <t>00366942</t>
        </is>
      </c>
      <c r="C697" s="24" t="inlineStr">
        <is>
          <t>미코</t>
        </is>
      </c>
      <c r="D697" s="24" t="inlineStr">
        <is>
          <t>mico</t>
        </is>
      </c>
      <c r="E697" s="24" t="inlineStr">
        <is>
          <t>059090</t>
        </is>
      </c>
      <c r="F697" s="24" t="inlineStr">
        <is>
          <t>2024</t>
        </is>
      </c>
      <c r="G697" s="24" t="inlineStr">
        <is>
          <t>CFS</t>
        </is>
      </c>
      <c r="H697" s="24" t="inlineStr">
        <is>
          <t>BS</t>
        </is>
      </c>
      <c r="I697" s="24" t="inlineStr">
        <is>
          <t>재무상태표</t>
        </is>
      </c>
      <c r="J697" s="24" t="inlineStr">
        <is>
          <t>ifrs-full_RightofuseAssets</t>
        </is>
      </c>
      <c r="K697" s="24" t="inlineStr">
        <is>
          <t>사용권자산</t>
        </is>
      </c>
      <c r="L697" s="24" t="inlineStr">
        <is>
          <t>-</t>
        </is>
      </c>
      <c r="M697" s="24" t="inlineStr">
        <is>
          <t>제 26 기</t>
        </is>
      </c>
      <c r="N697" s="24" t="inlineStr">
        <is>
          <t>25618491466.0</t>
        </is>
      </c>
      <c r="O697" s="24" t="inlineStr">
        <is>
          <t>8204170832.0</t>
        </is>
      </c>
      <c r="P697" s="24" t="inlineStr">
        <is>
          <t>KRW</t>
        </is>
      </c>
      <c r="Q697" s="24" t="inlineStr">
        <is>
          <t>27</t>
        </is>
      </c>
    </row>
    <row r="698" ht="24" customHeight="1">
      <c r="A698" s="29" t="inlineStr">
        <is>
          <t>OpenDART_fnlttSinglAcntAll</t>
        </is>
      </c>
      <c r="B698" s="29" t="inlineStr">
        <is>
          <t>00366942</t>
        </is>
      </c>
      <c r="C698" s="29" t="inlineStr">
        <is>
          <t>미코</t>
        </is>
      </c>
      <c r="D698" s="29" t="inlineStr">
        <is>
          <t>mico</t>
        </is>
      </c>
      <c r="E698" s="29" t="inlineStr">
        <is>
          <t>059090</t>
        </is>
      </c>
      <c r="F698" s="29" t="inlineStr">
        <is>
          <t>2024</t>
        </is>
      </c>
      <c r="G698" s="29" t="inlineStr">
        <is>
          <t>CFS</t>
        </is>
      </c>
      <c r="H698" s="29" t="inlineStr">
        <is>
          <t>BS</t>
        </is>
      </c>
      <c r="I698" s="29" t="inlineStr">
        <is>
          <t>재무상태표</t>
        </is>
      </c>
      <c r="J698" s="29" t="inlineStr">
        <is>
          <t>ifrs-full_Equity</t>
        </is>
      </c>
      <c r="K698" s="29" t="inlineStr">
        <is>
          <t>자본총계</t>
        </is>
      </c>
      <c r="L698" s="29" t="inlineStr">
        <is>
          <t>-</t>
        </is>
      </c>
      <c r="M698" s="29" t="inlineStr">
        <is>
          <t>제 26 기</t>
        </is>
      </c>
      <c r="N698" s="29" t="inlineStr">
        <is>
          <t>532847652534.0</t>
        </is>
      </c>
      <c r="O698" s="29" t="inlineStr">
        <is>
          <t>366083933670.0</t>
        </is>
      </c>
      <c r="P698" s="29" t="inlineStr">
        <is>
          <t>KRW</t>
        </is>
      </c>
      <c r="Q698" s="29" t="inlineStr">
        <is>
          <t>29</t>
        </is>
      </c>
    </row>
    <row r="699" ht="24" customHeight="1">
      <c r="A699" s="24" t="inlineStr">
        <is>
          <t>OpenDART_fnlttSinglAcntAll</t>
        </is>
      </c>
      <c r="B699" s="24" t="inlineStr">
        <is>
          <t>00366942</t>
        </is>
      </c>
      <c r="C699" s="24" t="inlineStr">
        <is>
          <t>미코</t>
        </is>
      </c>
      <c r="D699" s="24" t="inlineStr">
        <is>
          <t>mico</t>
        </is>
      </c>
      <c r="E699" s="24" t="inlineStr">
        <is>
          <t>059090</t>
        </is>
      </c>
      <c r="F699" s="24" t="inlineStr">
        <is>
          <t>2024</t>
        </is>
      </c>
      <c r="G699" s="24" t="inlineStr">
        <is>
          <t>CFS</t>
        </is>
      </c>
      <c r="H699" s="24" t="inlineStr">
        <is>
          <t>BS</t>
        </is>
      </c>
      <c r="I699" s="24" t="inlineStr">
        <is>
          <t>재무상태표</t>
        </is>
      </c>
      <c r="J699" s="24" t="inlineStr">
        <is>
          <t>ifrs-full_EquityAttributableToOwnersOfParent</t>
        </is>
      </c>
      <c r="K699" s="24" t="inlineStr">
        <is>
          <t>지배기업주주지분</t>
        </is>
      </c>
      <c r="L699" s="24" t="inlineStr">
        <is>
          <t>-</t>
        </is>
      </c>
      <c r="M699" s="24" t="inlineStr">
        <is>
          <t>제 26 기</t>
        </is>
      </c>
      <c r="N699" s="24" t="inlineStr">
        <is>
          <t>101407477059.0</t>
        </is>
      </c>
      <c r="O699" s="24" t="inlineStr">
        <is>
          <t>75903907155.0</t>
        </is>
      </c>
      <c r="P699" s="24" t="inlineStr">
        <is>
          <t>KRW</t>
        </is>
      </c>
      <c r="Q699" s="24" t="inlineStr">
        <is>
          <t>30</t>
        </is>
      </c>
    </row>
    <row r="700" ht="24" customHeight="1">
      <c r="A700" s="29" t="inlineStr">
        <is>
          <t>OpenDART_fnlttSinglAcntAll</t>
        </is>
      </c>
      <c r="B700" s="29" t="inlineStr">
        <is>
          <t>00366942</t>
        </is>
      </c>
      <c r="C700" s="29" t="inlineStr">
        <is>
          <t>미코</t>
        </is>
      </c>
      <c r="D700" s="29" t="inlineStr">
        <is>
          <t>mico</t>
        </is>
      </c>
      <c r="E700" s="29" t="inlineStr">
        <is>
          <t>059090</t>
        </is>
      </c>
      <c r="F700" s="29" t="inlineStr">
        <is>
          <t>2024</t>
        </is>
      </c>
      <c r="G700" s="29" t="inlineStr">
        <is>
          <t>CFS</t>
        </is>
      </c>
      <c r="H700" s="29" t="inlineStr">
        <is>
          <t>BS</t>
        </is>
      </c>
      <c r="I700" s="29" t="inlineStr">
        <is>
          <t>재무상태표</t>
        </is>
      </c>
      <c r="J700" s="29" t="inlineStr">
        <is>
          <t>dart_CapitalSurplus</t>
        </is>
      </c>
      <c r="K700" s="29" t="inlineStr">
        <is>
          <t>자본잉여금</t>
        </is>
      </c>
      <c r="L700" s="29" t="inlineStr">
        <is>
          <t>-</t>
        </is>
      </c>
      <c r="M700" s="29" t="inlineStr">
        <is>
          <t>제 26 기</t>
        </is>
      </c>
      <c r="N700" s="29" t="inlineStr">
        <is>
          <t>199732484801.0</t>
        </is>
      </c>
      <c r="O700" s="29" t="inlineStr">
        <is>
          <t>192820760657.0</t>
        </is>
      </c>
      <c r="P700" s="29" t="inlineStr">
        <is>
          <t>KRW</t>
        </is>
      </c>
      <c r="Q700" s="29" t="inlineStr">
        <is>
          <t>31</t>
        </is>
      </c>
    </row>
    <row r="701" ht="24" customHeight="1">
      <c r="A701" s="24" t="inlineStr">
        <is>
          <t>OpenDART_fnlttSinglAcntAll</t>
        </is>
      </c>
      <c r="B701" s="24" t="inlineStr">
        <is>
          <t>00366942</t>
        </is>
      </c>
      <c r="C701" s="24" t="inlineStr">
        <is>
          <t>미코</t>
        </is>
      </c>
      <c r="D701" s="24" t="inlineStr">
        <is>
          <t>mico</t>
        </is>
      </c>
      <c r="E701" s="24" t="inlineStr">
        <is>
          <t>059090</t>
        </is>
      </c>
      <c r="F701" s="24" t="inlineStr">
        <is>
          <t>2024</t>
        </is>
      </c>
      <c r="G701" s="24" t="inlineStr">
        <is>
          <t>CFS</t>
        </is>
      </c>
      <c r="H701" s="24" t="inlineStr">
        <is>
          <t>BS</t>
        </is>
      </c>
      <c r="I701" s="24" t="inlineStr">
        <is>
          <t>재무상태표</t>
        </is>
      </c>
      <c r="J701" s="24" t="inlineStr">
        <is>
          <t>dart_ElementsOfOtherStockholdersEquity</t>
        </is>
      </c>
      <c r="K701" s="24" t="inlineStr">
        <is>
          <t>기타자본구성요소</t>
        </is>
      </c>
      <c r="L701" s="24" t="inlineStr">
        <is>
          <t>-</t>
        </is>
      </c>
      <c r="M701" s="24" t="inlineStr">
        <is>
          <t>제 26 기</t>
        </is>
      </c>
      <c r="N701" s="24" t="inlineStr">
        <is>
          <t>-71028018806.0</t>
        </is>
      </c>
      <c r="O701" s="24" t="inlineStr">
        <is>
          <t>-69525407495.0</t>
        </is>
      </c>
      <c r="P701" s="24" t="inlineStr">
        <is>
          <t>KRW</t>
        </is>
      </c>
      <c r="Q701" s="24" t="inlineStr">
        <is>
          <t>32</t>
        </is>
      </c>
    </row>
    <row r="702" ht="24" customHeight="1">
      <c r="A702" s="29" t="inlineStr">
        <is>
          <t>OpenDART_fnlttSinglAcntAll</t>
        </is>
      </c>
      <c r="B702" s="29" t="inlineStr">
        <is>
          <t>00366942</t>
        </is>
      </c>
      <c r="C702" s="29" t="inlineStr">
        <is>
          <t>미코</t>
        </is>
      </c>
      <c r="D702" s="29" t="inlineStr">
        <is>
          <t>mico</t>
        </is>
      </c>
      <c r="E702" s="29" t="inlineStr">
        <is>
          <t>059090</t>
        </is>
      </c>
      <c r="F702" s="29" t="inlineStr">
        <is>
          <t>2024</t>
        </is>
      </c>
      <c r="G702" s="29" t="inlineStr">
        <is>
          <t>CFS</t>
        </is>
      </c>
      <c r="H702" s="29" t="inlineStr">
        <is>
          <t>BS</t>
        </is>
      </c>
      <c r="I702" s="29" t="inlineStr">
        <is>
          <t>재무상태표</t>
        </is>
      </c>
      <c r="J702" s="29" t="inlineStr">
        <is>
          <t>dart_OtherComprehensiveIncomeLossAccumulatedAmount</t>
        </is>
      </c>
      <c r="K702" s="29" t="inlineStr">
        <is>
          <t>기타포괄손익누계액</t>
        </is>
      </c>
      <c r="L702" s="29" t="inlineStr">
        <is>
          <t>-</t>
        </is>
      </c>
      <c r="M702" s="29" t="inlineStr">
        <is>
          <t>제 26 기</t>
        </is>
      </c>
      <c r="N702" s="29" t="inlineStr">
        <is>
          <t>2635493826.0</t>
        </is>
      </c>
      <c r="O702" s="29" t="inlineStr">
        <is>
          <t>-11390418.0</t>
        </is>
      </c>
      <c r="P702" s="29" t="inlineStr">
        <is>
          <t>KRW</t>
        </is>
      </c>
      <c r="Q702" s="29" t="inlineStr">
        <is>
          <t>33</t>
        </is>
      </c>
    </row>
    <row r="703" ht="24" customHeight="1">
      <c r="A703" s="24" t="inlineStr">
        <is>
          <t>OpenDART_fnlttSinglAcntAll</t>
        </is>
      </c>
      <c r="B703" s="24" t="inlineStr">
        <is>
          <t>00366942</t>
        </is>
      </c>
      <c r="C703" s="24" t="inlineStr">
        <is>
          <t>미코</t>
        </is>
      </c>
      <c r="D703" s="24" t="inlineStr">
        <is>
          <t>mico</t>
        </is>
      </c>
      <c r="E703" s="24" t="inlineStr">
        <is>
          <t>059090</t>
        </is>
      </c>
      <c r="F703" s="24" t="inlineStr">
        <is>
          <t>2024</t>
        </is>
      </c>
      <c r="G703" s="24" t="inlineStr">
        <is>
          <t>CFS</t>
        </is>
      </c>
      <c r="H703" s="24" t="inlineStr">
        <is>
          <t>BS</t>
        </is>
      </c>
      <c r="I703" s="24" t="inlineStr">
        <is>
          <t>재무상태표</t>
        </is>
      </c>
      <c r="J703" s="24" t="inlineStr">
        <is>
          <t>ifrs-full_IssuedCapital</t>
        </is>
      </c>
      <c r="K703" s="24" t="inlineStr">
        <is>
          <t>자본금</t>
        </is>
      </c>
      <c r="L703" s="24" t="inlineStr">
        <is>
          <t>-</t>
        </is>
      </c>
      <c r="M703" s="24" t="inlineStr">
        <is>
          <t>제 26 기</t>
        </is>
      </c>
      <c r="N703" s="24" t="inlineStr">
        <is>
          <t>16708389000.0</t>
        </is>
      </c>
      <c r="O703" s="24" t="inlineStr">
        <is>
          <t>16708389000.0</t>
        </is>
      </c>
      <c r="P703" s="24" t="inlineStr">
        <is>
          <t>KRW</t>
        </is>
      </c>
      <c r="Q703" s="24" t="inlineStr">
        <is>
          <t>34</t>
        </is>
      </c>
    </row>
    <row r="704" ht="24" customHeight="1">
      <c r="A704" s="29" t="inlineStr">
        <is>
          <t>OpenDART_fnlttSinglAcntAll</t>
        </is>
      </c>
      <c r="B704" s="29" t="inlineStr">
        <is>
          <t>00366942</t>
        </is>
      </c>
      <c r="C704" s="29" t="inlineStr">
        <is>
          <t>미코</t>
        </is>
      </c>
      <c r="D704" s="29" t="inlineStr">
        <is>
          <t>mico</t>
        </is>
      </c>
      <c r="E704" s="29" t="inlineStr">
        <is>
          <t>059090</t>
        </is>
      </c>
      <c r="F704" s="29" t="inlineStr">
        <is>
          <t>2024</t>
        </is>
      </c>
      <c r="G704" s="29" t="inlineStr">
        <is>
          <t>CFS</t>
        </is>
      </c>
      <c r="H704" s="29" t="inlineStr">
        <is>
          <t>BS</t>
        </is>
      </c>
      <c r="I704" s="29" t="inlineStr">
        <is>
          <t>재무상태표</t>
        </is>
      </c>
      <c r="J704" s="29" t="inlineStr">
        <is>
          <t>ifrs-full_RetainedEarnings</t>
        </is>
      </c>
      <c r="K704" s="29" t="inlineStr">
        <is>
          <t>미처리 결손금</t>
        </is>
      </c>
      <c r="L704" s="29" t="inlineStr">
        <is>
          <t>-</t>
        </is>
      </c>
      <c r="M704" s="29" t="inlineStr">
        <is>
          <t>제 26 기</t>
        </is>
      </c>
      <c r="N704" s="29" t="inlineStr">
        <is>
          <t>-46640871762.0</t>
        </is>
      </c>
      <c r="O704" s="29" t="inlineStr">
        <is>
          <t>-64088444589.0</t>
        </is>
      </c>
      <c r="P704" s="29" t="inlineStr">
        <is>
          <t>KRW</t>
        </is>
      </c>
      <c r="Q704" s="29" t="inlineStr">
        <is>
          <t>35</t>
        </is>
      </c>
    </row>
    <row r="705" ht="24" customHeight="1">
      <c r="A705" s="24" t="inlineStr">
        <is>
          <t>OpenDART_fnlttSinglAcntAll</t>
        </is>
      </c>
      <c r="B705" s="24" t="inlineStr">
        <is>
          <t>00366942</t>
        </is>
      </c>
      <c r="C705" s="24" t="inlineStr">
        <is>
          <t>미코</t>
        </is>
      </c>
      <c r="D705" s="24" t="inlineStr">
        <is>
          <t>mico</t>
        </is>
      </c>
      <c r="E705" s="24" t="inlineStr">
        <is>
          <t>059090</t>
        </is>
      </c>
      <c r="F705" s="24" t="inlineStr">
        <is>
          <t>2024</t>
        </is>
      </c>
      <c r="G705" s="24" t="inlineStr">
        <is>
          <t>CFS</t>
        </is>
      </c>
      <c r="H705" s="24" t="inlineStr">
        <is>
          <t>BS</t>
        </is>
      </c>
      <c r="I705" s="24" t="inlineStr">
        <is>
          <t>재무상태표</t>
        </is>
      </c>
      <c r="J705" s="24" t="inlineStr">
        <is>
          <t>ifrs-full_NoncontrollingInterests</t>
        </is>
      </c>
      <c r="K705" s="24" t="inlineStr">
        <is>
          <t>비지배지분</t>
        </is>
      </c>
      <c r="L705" s="24" t="inlineStr">
        <is>
          <t>-</t>
        </is>
      </c>
      <c r="M705" s="24" t="inlineStr">
        <is>
          <t>제 26 기</t>
        </is>
      </c>
      <c r="N705" s="24" t="inlineStr">
        <is>
          <t>431440175475.0</t>
        </is>
      </c>
      <c r="O705" s="24" t="inlineStr">
        <is>
          <t>290180026515.0</t>
        </is>
      </c>
      <c r="P705" s="24" t="inlineStr">
        <is>
          <t>KRW</t>
        </is>
      </c>
      <c r="Q705" s="24" t="inlineStr">
        <is>
          <t>36</t>
        </is>
      </c>
    </row>
    <row r="706" ht="24" customHeight="1">
      <c r="A706" s="29" t="inlineStr">
        <is>
          <t>OpenDART_fnlttSinglAcntAll</t>
        </is>
      </c>
      <c r="B706" s="29" t="inlineStr">
        <is>
          <t>00366942</t>
        </is>
      </c>
      <c r="C706" s="29" t="inlineStr">
        <is>
          <t>미코</t>
        </is>
      </c>
      <c r="D706" s="29" t="inlineStr">
        <is>
          <t>mico</t>
        </is>
      </c>
      <c r="E706" s="29" t="inlineStr">
        <is>
          <t>059090</t>
        </is>
      </c>
      <c r="F706" s="29" t="inlineStr">
        <is>
          <t>2024</t>
        </is>
      </c>
      <c r="G706" s="29" t="inlineStr">
        <is>
          <t>CFS</t>
        </is>
      </c>
      <c r="H706" s="29" t="inlineStr">
        <is>
          <t>BS</t>
        </is>
      </c>
      <c r="I706" s="29" t="inlineStr">
        <is>
          <t>재무상태표</t>
        </is>
      </c>
      <c r="J706" s="29" t="inlineStr">
        <is>
          <t>ifrs-full_EquityAndLiabilities</t>
        </is>
      </c>
      <c r="K706" s="29" t="inlineStr">
        <is>
          <t>부채 및 자본 총계</t>
        </is>
      </c>
      <c r="L706" s="29" t="inlineStr">
        <is>
          <t>-</t>
        </is>
      </c>
      <c r="M706" s="29" t="inlineStr">
        <is>
          <t>제 26 기</t>
        </is>
      </c>
      <c r="N706" s="29" t="inlineStr">
        <is>
          <t>1392676089676.0</t>
        </is>
      </c>
      <c r="O706" s="29" t="inlineStr">
        <is>
          <t>833895121319.0</t>
        </is>
      </c>
      <c r="P706" s="29" t="inlineStr">
        <is>
          <t>KRW</t>
        </is>
      </c>
      <c r="Q706" s="29" t="inlineStr">
        <is>
          <t>37</t>
        </is>
      </c>
    </row>
    <row r="707" ht="24" customHeight="1">
      <c r="A707" s="24" t="inlineStr">
        <is>
          <t>OpenDART_fnlttSinglAcntAll</t>
        </is>
      </c>
      <c r="B707" s="24" t="inlineStr">
        <is>
          <t>00366942</t>
        </is>
      </c>
      <c r="C707" s="24" t="inlineStr">
        <is>
          <t>미코</t>
        </is>
      </c>
      <c r="D707" s="24" t="inlineStr">
        <is>
          <t>mico</t>
        </is>
      </c>
      <c r="E707" s="24" t="inlineStr">
        <is>
          <t>059090</t>
        </is>
      </c>
      <c r="F707" s="24" t="inlineStr">
        <is>
          <t>2024</t>
        </is>
      </c>
      <c r="G707" s="24" t="inlineStr">
        <is>
          <t>CFS</t>
        </is>
      </c>
      <c r="H707" s="24" t="inlineStr">
        <is>
          <t>BS</t>
        </is>
      </c>
      <c r="I707" s="24" t="inlineStr">
        <is>
          <t>재무상태표</t>
        </is>
      </c>
      <c r="J707" s="24" t="inlineStr">
        <is>
          <t>ifrs-full_CurrentLiabilities</t>
        </is>
      </c>
      <c r="K707" s="24" t="inlineStr">
        <is>
          <t>유동부채</t>
        </is>
      </c>
      <c r="L707" s="24" t="inlineStr">
        <is>
          <t>-</t>
        </is>
      </c>
      <c r="M707" s="24" t="inlineStr">
        <is>
          <t>제 26 기</t>
        </is>
      </c>
      <c r="N707" s="24" t="inlineStr">
        <is>
          <t>609493350413.0</t>
        </is>
      </c>
      <c r="O707" s="24" t="inlineStr">
        <is>
          <t>271729403586.0</t>
        </is>
      </c>
      <c r="P707" s="24" t="inlineStr">
        <is>
          <t>KRW</t>
        </is>
      </c>
      <c r="Q707" s="24" t="inlineStr">
        <is>
          <t>39</t>
        </is>
      </c>
    </row>
    <row r="708" ht="24" customHeight="1">
      <c r="A708" s="29" t="inlineStr">
        <is>
          <t>OpenDART_fnlttSinglAcntAll</t>
        </is>
      </c>
      <c r="B708" s="29" t="inlineStr">
        <is>
          <t>00366942</t>
        </is>
      </c>
      <c r="C708" s="29" t="inlineStr">
        <is>
          <t>미코</t>
        </is>
      </c>
      <c r="D708" s="29" t="inlineStr">
        <is>
          <t>mico</t>
        </is>
      </c>
      <c r="E708" s="29" t="inlineStr">
        <is>
          <t>059090</t>
        </is>
      </c>
      <c r="F708" s="29" t="inlineStr">
        <is>
          <t>2024</t>
        </is>
      </c>
      <c r="G708" s="29" t="inlineStr">
        <is>
          <t>CFS</t>
        </is>
      </c>
      <c r="H708" s="29" t="inlineStr">
        <is>
          <t>BS</t>
        </is>
      </c>
      <c r="I708" s="29" t="inlineStr">
        <is>
          <t>재무상태표</t>
        </is>
      </c>
      <c r="J708" s="29" t="inlineStr">
        <is>
          <t>dart_CurrentPortionOfBonds</t>
        </is>
      </c>
      <c r="K708" s="29" t="inlineStr">
        <is>
          <t>유동성사채</t>
        </is>
      </c>
      <c r="L708" s="29" t="inlineStr">
        <is>
          <t>-</t>
        </is>
      </c>
      <c r="M708" s="29" t="inlineStr">
        <is>
          <t>제 26 기</t>
        </is>
      </c>
      <c r="N708" s="29" t="inlineStr">
        <is>
          <t>19935126341.0</t>
        </is>
      </c>
      <c r="O708" s="29" t="inlineStr">
        <is>
          <t>해당 없음</t>
        </is>
      </c>
      <c r="P708" s="29" t="inlineStr">
        <is>
          <t>KRW</t>
        </is>
      </c>
      <c r="Q708" s="29" t="inlineStr">
        <is>
          <t>40</t>
        </is>
      </c>
    </row>
    <row r="709" ht="24" customHeight="1">
      <c r="A709" s="24" t="inlineStr">
        <is>
          <t>OpenDART_fnlttSinglAcntAll</t>
        </is>
      </c>
      <c r="B709" s="24" t="inlineStr">
        <is>
          <t>00366942</t>
        </is>
      </c>
      <c r="C709" s="24" t="inlineStr">
        <is>
          <t>미코</t>
        </is>
      </c>
      <c r="D709" s="24" t="inlineStr">
        <is>
          <t>mico</t>
        </is>
      </c>
      <c r="E709" s="24" t="inlineStr">
        <is>
          <t>059090</t>
        </is>
      </c>
      <c r="F709" s="24" t="inlineStr">
        <is>
          <t>2024</t>
        </is>
      </c>
      <c r="G709" s="24" t="inlineStr">
        <is>
          <t>CFS</t>
        </is>
      </c>
      <c r="H709" s="24" t="inlineStr">
        <is>
          <t>BS</t>
        </is>
      </c>
      <c r="I709" s="24" t="inlineStr">
        <is>
          <t>재무상태표</t>
        </is>
      </c>
      <c r="J709" s="24" t="inlineStr">
        <is>
          <t>dart_CurrentPortionOfConvertibleBonds</t>
        </is>
      </c>
      <c r="K709" s="24" t="inlineStr">
        <is>
          <t>유동성전환사채</t>
        </is>
      </c>
      <c r="L709" s="24" t="inlineStr">
        <is>
          <t>-</t>
        </is>
      </c>
      <c r="M709" s="24" t="inlineStr">
        <is>
          <t>제 26 기</t>
        </is>
      </c>
      <c r="N709" s="24" t="inlineStr">
        <is>
          <t>34776012096.0</t>
        </is>
      </c>
      <c r="O709" s="24" t="inlineStr">
        <is>
          <t>16184806771.0</t>
        </is>
      </c>
      <c r="P709" s="24" t="inlineStr">
        <is>
          <t>KRW</t>
        </is>
      </c>
      <c r="Q709" s="24" t="inlineStr">
        <is>
          <t>41</t>
        </is>
      </c>
    </row>
    <row r="710" ht="24" customHeight="1">
      <c r="A710" s="29" t="inlineStr">
        <is>
          <t>OpenDART_fnlttSinglAcntAll</t>
        </is>
      </c>
      <c r="B710" s="29" t="inlineStr">
        <is>
          <t>00366942</t>
        </is>
      </c>
      <c r="C710" s="29" t="inlineStr">
        <is>
          <t>미코</t>
        </is>
      </c>
      <c r="D710" s="29" t="inlineStr">
        <is>
          <t>mico</t>
        </is>
      </c>
      <c r="E710" s="29" t="inlineStr">
        <is>
          <t>059090</t>
        </is>
      </c>
      <c r="F710" s="29" t="inlineStr">
        <is>
          <t>2024</t>
        </is>
      </c>
      <c r="G710" s="29" t="inlineStr">
        <is>
          <t>CFS</t>
        </is>
      </c>
      <c r="H710" s="29" t="inlineStr">
        <is>
          <t>BS</t>
        </is>
      </c>
      <c r="I710" s="29" t="inlineStr">
        <is>
          <t>재무상태표</t>
        </is>
      </c>
      <c r="J710" s="29" t="inlineStr">
        <is>
          <t>dart_CurrentPortionOfExchangeableBond</t>
        </is>
      </c>
      <c r="K710" s="29" t="inlineStr">
        <is>
          <t>유동성교환사채</t>
        </is>
      </c>
      <c r="L710" s="29" t="inlineStr">
        <is>
          <t>-</t>
        </is>
      </c>
      <c r="M710" s="29" t="inlineStr">
        <is>
          <t>제 26 기</t>
        </is>
      </c>
      <c r="N710" s="29" t="inlineStr">
        <is>
          <t>22241112111.0</t>
        </is>
      </c>
      <c r="O710" s="29" t="inlineStr">
        <is>
          <t>19467399924.0</t>
        </is>
      </c>
      <c r="P710" s="29" t="inlineStr">
        <is>
          <t>KRW</t>
        </is>
      </c>
      <c r="Q710" s="29" t="inlineStr">
        <is>
          <t>42</t>
        </is>
      </c>
    </row>
    <row r="711" ht="24" customHeight="1">
      <c r="A711" s="24" t="inlineStr">
        <is>
          <t>OpenDART_fnlttSinglAcntAll</t>
        </is>
      </c>
      <c r="B711" s="24" t="inlineStr">
        <is>
          <t>00366942</t>
        </is>
      </c>
      <c r="C711" s="24" t="inlineStr">
        <is>
          <t>미코</t>
        </is>
      </c>
      <c r="D711" s="24" t="inlineStr">
        <is>
          <t>mico</t>
        </is>
      </c>
      <c r="E711" s="24" t="inlineStr">
        <is>
          <t>059090</t>
        </is>
      </c>
      <c r="F711" s="24" t="inlineStr">
        <is>
          <t>2024</t>
        </is>
      </c>
      <c r="G711" s="24" t="inlineStr">
        <is>
          <t>CFS</t>
        </is>
      </c>
      <c r="H711" s="24" t="inlineStr">
        <is>
          <t>BS</t>
        </is>
      </c>
      <c r="I711" s="24" t="inlineStr">
        <is>
          <t>재무상태표</t>
        </is>
      </c>
      <c r="J711" s="24" t="inlineStr">
        <is>
          <t>ifrs-full_CurrentContractLiabilities</t>
        </is>
      </c>
      <c r="K711" s="24" t="inlineStr">
        <is>
          <t>유동계약부채</t>
        </is>
      </c>
      <c r="L711" s="24" t="inlineStr">
        <is>
          <t>-</t>
        </is>
      </c>
      <c r="M711" s="24" t="inlineStr">
        <is>
          <t>제 26 기</t>
        </is>
      </c>
      <c r="N711" s="24" t="inlineStr">
        <is>
          <t>63785251008.0</t>
        </is>
      </c>
      <c r="O711" s="24" t="inlineStr">
        <is>
          <t>7802497744.0</t>
        </is>
      </c>
      <c r="P711" s="24" t="inlineStr">
        <is>
          <t>KRW</t>
        </is>
      </c>
      <c r="Q711" s="24" t="inlineStr">
        <is>
          <t>43</t>
        </is>
      </c>
    </row>
    <row r="712" ht="24" customHeight="1">
      <c r="A712" s="29" t="inlineStr">
        <is>
          <t>OpenDART_fnlttSinglAcntAll</t>
        </is>
      </c>
      <c r="B712" s="29" t="inlineStr">
        <is>
          <t>00366942</t>
        </is>
      </c>
      <c r="C712" s="29" t="inlineStr">
        <is>
          <t>미코</t>
        </is>
      </c>
      <c r="D712" s="29" t="inlineStr">
        <is>
          <t>mico</t>
        </is>
      </c>
      <c r="E712" s="29" t="inlineStr">
        <is>
          <t>059090</t>
        </is>
      </c>
      <c r="F712" s="29" t="inlineStr">
        <is>
          <t>2024</t>
        </is>
      </c>
      <c r="G712" s="29" t="inlineStr">
        <is>
          <t>CFS</t>
        </is>
      </c>
      <c r="H712" s="29" t="inlineStr">
        <is>
          <t>BS</t>
        </is>
      </c>
      <c r="I712" s="29" t="inlineStr">
        <is>
          <t>재무상태표</t>
        </is>
      </c>
      <c r="J712" s="29" t="inlineStr">
        <is>
          <t>ifrs-full_CurrentLeaseLiabilities</t>
        </is>
      </c>
      <c r="K712" s="29" t="inlineStr">
        <is>
          <t>유동 리스부채</t>
        </is>
      </c>
      <c r="L712" s="29" t="inlineStr">
        <is>
          <t>-</t>
        </is>
      </c>
      <c r="M712" s="29" t="inlineStr">
        <is>
          <t>제 26 기</t>
        </is>
      </c>
      <c r="N712" s="29" t="inlineStr">
        <is>
          <t>4264342393.0</t>
        </is>
      </c>
      <c r="O712" s="29" t="inlineStr">
        <is>
          <t>2258984161.0</t>
        </is>
      </c>
      <c r="P712" s="29" t="inlineStr">
        <is>
          <t>KRW</t>
        </is>
      </c>
      <c r="Q712" s="29" t="inlineStr">
        <is>
          <t>44</t>
        </is>
      </c>
    </row>
    <row r="713" ht="24" customHeight="1">
      <c r="A713" s="24" t="inlineStr">
        <is>
          <t>OpenDART_fnlttSinglAcntAll</t>
        </is>
      </c>
      <c r="B713" s="24" t="inlineStr">
        <is>
          <t>00366942</t>
        </is>
      </c>
      <c r="C713" s="24" t="inlineStr">
        <is>
          <t>미코</t>
        </is>
      </c>
      <c r="D713" s="24" t="inlineStr">
        <is>
          <t>mico</t>
        </is>
      </c>
      <c r="E713" s="24" t="inlineStr">
        <is>
          <t>059090</t>
        </is>
      </c>
      <c r="F713" s="24" t="inlineStr">
        <is>
          <t>2024</t>
        </is>
      </c>
      <c r="G713" s="24" t="inlineStr">
        <is>
          <t>CFS</t>
        </is>
      </c>
      <c r="H713" s="24" t="inlineStr">
        <is>
          <t>BS</t>
        </is>
      </c>
      <c r="I713" s="24" t="inlineStr">
        <is>
          <t>재무상태표</t>
        </is>
      </c>
      <c r="J713" s="24" t="inlineStr">
        <is>
          <t>ifrs-full_CurrentPortionOfLongtermBorrowings</t>
        </is>
      </c>
      <c r="K713" s="24" t="inlineStr">
        <is>
          <t>유동성장기차입금</t>
        </is>
      </c>
      <c r="L713" s="24" t="inlineStr">
        <is>
          <t>-</t>
        </is>
      </c>
      <c r="M713" s="24" t="inlineStr">
        <is>
          <t>제 26 기</t>
        </is>
      </c>
      <c r="N713" s="24" t="inlineStr">
        <is>
          <t>38976000000.0</t>
        </is>
      </c>
      <c r="O713" s="24" t="inlineStr">
        <is>
          <t>19846220000.0</t>
        </is>
      </c>
      <c r="P713" s="24" t="inlineStr">
        <is>
          <t>KRW</t>
        </is>
      </c>
      <c r="Q713" s="24" t="inlineStr">
        <is>
          <t>45</t>
        </is>
      </c>
    </row>
    <row r="714" ht="24" customHeight="1">
      <c r="A714" s="29" t="inlineStr">
        <is>
          <t>OpenDART_fnlttSinglAcntAll</t>
        </is>
      </c>
      <c r="B714" s="29" t="inlineStr">
        <is>
          <t>00366942</t>
        </is>
      </c>
      <c r="C714" s="29" t="inlineStr">
        <is>
          <t>미코</t>
        </is>
      </c>
      <c r="D714" s="29" t="inlineStr">
        <is>
          <t>mico</t>
        </is>
      </c>
      <c r="E714" s="29" t="inlineStr">
        <is>
          <t>059090</t>
        </is>
      </c>
      <c r="F714" s="29" t="inlineStr">
        <is>
          <t>2024</t>
        </is>
      </c>
      <c r="G714" s="29" t="inlineStr">
        <is>
          <t>CFS</t>
        </is>
      </c>
      <c r="H714" s="29" t="inlineStr">
        <is>
          <t>BS</t>
        </is>
      </c>
      <c r="I714" s="29" t="inlineStr">
        <is>
          <t>재무상태표</t>
        </is>
      </c>
      <c r="J714" s="29" t="inlineStr">
        <is>
          <t>ifrs-full_CurrentTaxLiabilities</t>
        </is>
      </c>
      <c r="K714" s="29" t="inlineStr">
        <is>
          <t>당기법인세부채</t>
        </is>
      </c>
      <c r="L714" s="29" t="inlineStr">
        <is>
          <t>-</t>
        </is>
      </c>
      <c r="M714" s="29" t="inlineStr">
        <is>
          <t>제 26 기</t>
        </is>
      </c>
      <c r="N714" s="29" t="inlineStr">
        <is>
          <t>29321760841.0</t>
        </is>
      </c>
      <c r="O714" s="29" t="inlineStr">
        <is>
          <t>12866207102.0</t>
        </is>
      </c>
      <c r="P714" s="29" t="inlineStr">
        <is>
          <t>KRW</t>
        </is>
      </c>
      <c r="Q714" s="29" t="inlineStr">
        <is>
          <t>46</t>
        </is>
      </c>
    </row>
    <row r="715" ht="24" customHeight="1">
      <c r="A715" s="24" t="inlineStr">
        <is>
          <t>OpenDART_fnlttSinglAcntAll</t>
        </is>
      </c>
      <c r="B715" s="24" t="inlineStr">
        <is>
          <t>00366942</t>
        </is>
      </c>
      <c r="C715" s="24" t="inlineStr">
        <is>
          <t>미코</t>
        </is>
      </c>
      <c r="D715" s="24" t="inlineStr">
        <is>
          <t>mico</t>
        </is>
      </c>
      <c r="E715" s="24" t="inlineStr">
        <is>
          <t>059090</t>
        </is>
      </c>
      <c r="F715" s="24" t="inlineStr">
        <is>
          <t>2024</t>
        </is>
      </c>
      <c r="G715" s="24" t="inlineStr">
        <is>
          <t>CFS</t>
        </is>
      </c>
      <c r="H715" s="24" t="inlineStr">
        <is>
          <t>BS</t>
        </is>
      </c>
      <c r="I715" s="24" t="inlineStr">
        <is>
          <t>재무상태표</t>
        </is>
      </c>
      <c r="J715" s="24" t="inlineStr">
        <is>
          <t>ifrs-full_OtherCurrentFinancialLiabilities</t>
        </is>
      </c>
      <c r="K715" s="24" t="inlineStr">
        <is>
          <t>기타유동금융부채</t>
        </is>
      </c>
      <c r="L715" s="24" t="inlineStr">
        <is>
          <t>-</t>
        </is>
      </c>
      <c r="M715" s="24" t="inlineStr">
        <is>
          <t>제 26 기</t>
        </is>
      </c>
      <c r="N715" s="24" t="inlineStr">
        <is>
          <t>38337909263.0</t>
        </is>
      </c>
      <c r="O715" s="24" t="inlineStr">
        <is>
          <t>16101932612.0</t>
        </is>
      </c>
      <c r="P715" s="24" t="inlineStr">
        <is>
          <t>KRW</t>
        </is>
      </c>
      <c r="Q715" s="24" t="inlineStr">
        <is>
          <t>47</t>
        </is>
      </c>
    </row>
    <row r="716" ht="24" customHeight="1">
      <c r="A716" s="29" t="inlineStr">
        <is>
          <t>OpenDART_fnlttSinglAcntAll</t>
        </is>
      </c>
      <c r="B716" s="29" t="inlineStr">
        <is>
          <t>00366942</t>
        </is>
      </c>
      <c r="C716" s="29" t="inlineStr">
        <is>
          <t>미코</t>
        </is>
      </c>
      <c r="D716" s="29" t="inlineStr">
        <is>
          <t>mico</t>
        </is>
      </c>
      <c r="E716" s="29" t="inlineStr">
        <is>
          <t>059090</t>
        </is>
      </c>
      <c r="F716" s="29" t="inlineStr">
        <is>
          <t>2024</t>
        </is>
      </c>
      <c r="G716" s="29" t="inlineStr">
        <is>
          <t>CFS</t>
        </is>
      </c>
      <c r="H716" s="29" t="inlineStr">
        <is>
          <t>BS</t>
        </is>
      </c>
      <c r="I716" s="29" t="inlineStr">
        <is>
          <t>재무상태표</t>
        </is>
      </c>
      <c r="J716" s="29" t="inlineStr">
        <is>
          <t>ifrs-full_OtherCurrentLiabilities</t>
        </is>
      </c>
      <c r="K716" s="29" t="inlineStr">
        <is>
          <t>기타 유동부채</t>
        </is>
      </c>
      <c r="L716" s="29" t="inlineStr">
        <is>
          <t>-</t>
        </is>
      </c>
      <c r="M716" s="29" t="inlineStr">
        <is>
          <t>제 26 기</t>
        </is>
      </c>
      <c r="N716" s="29" t="inlineStr">
        <is>
          <t>40432991147.0</t>
        </is>
      </c>
      <c r="O716" s="29" t="inlineStr">
        <is>
          <t>14569303825.0</t>
        </is>
      </c>
      <c r="P716" s="29" t="inlineStr">
        <is>
          <t>KRW</t>
        </is>
      </c>
      <c r="Q716" s="29" t="inlineStr">
        <is>
          <t>48</t>
        </is>
      </c>
    </row>
    <row r="717" ht="24" customHeight="1">
      <c r="A717" s="24" t="inlineStr">
        <is>
          <t>OpenDART_fnlttSinglAcntAll</t>
        </is>
      </c>
      <c r="B717" s="24" t="inlineStr">
        <is>
          <t>00366942</t>
        </is>
      </c>
      <c r="C717" s="24" t="inlineStr">
        <is>
          <t>미코</t>
        </is>
      </c>
      <c r="D717" s="24" t="inlineStr">
        <is>
          <t>mico</t>
        </is>
      </c>
      <c r="E717" s="24" t="inlineStr">
        <is>
          <t>059090</t>
        </is>
      </c>
      <c r="F717" s="24" t="inlineStr">
        <is>
          <t>2024</t>
        </is>
      </c>
      <c r="G717" s="24" t="inlineStr">
        <is>
          <t>CFS</t>
        </is>
      </c>
      <c r="H717" s="24" t="inlineStr">
        <is>
          <t>BS</t>
        </is>
      </c>
      <c r="I717" s="24" t="inlineStr">
        <is>
          <t>재무상태표</t>
        </is>
      </c>
      <c r="J717" s="24" t="inlineStr">
        <is>
          <t>ifrs-full_ShorttermBorrowings</t>
        </is>
      </c>
      <c r="K717" s="24" t="inlineStr">
        <is>
          <t>단기차입금</t>
        </is>
      </c>
      <c r="L717" s="24" t="inlineStr">
        <is>
          <t>-</t>
        </is>
      </c>
      <c r="M717" s="24" t="inlineStr">
        <is>
          <t>제 26 기</t>
        </is>
      </c>
      <c r="N717" s="24" t="inlineStr">
        <is>
          <t>229434484926.0</t>
        </is>
      </c>
      <c r="O717" s="24" t="inlineStr">
        <is>
          <t>130138650000.0</t>
        </is>
      </c>
      <c r="P717" s="24" t="inlineStr">
        <is>
          <t>KRW</t>
        </is>
      </c>
      <c r="Q717" s="24" t="inlineStr">
        <is>
          <t>49</t>
        </is>
      </c>
    </row>
    <row r="718" ht="24" customHeight="1">
      <c r="A718" s="29" t="inlineStr">
        <is>
          <t>OpenDART_fnlttSinglAcntAll</t>
        </is>
      </c>
      <c r="B718" s="29" t="inlineStr">
        <is>
          <t>00366942</t>
        </is>
      </c>
      <c r="C718" s="29" t="inlineStr">
        <is>
          <t>미코</t>
        </is>
      </c>
      <c r="D718" s="29" t="inlineStr">
        <is>
          <t>mico</t>
        </is>
      </c>
      <c r="E718" s="29" t="inlineStr">
        <is>
          <t>059090</t>
        </is>
      </c>
      <c r="F718" s="29" t="inlineStr">
        <is>
          <t>2024</t>
        </is>
      </c>
      <c r="G718" s="29" t="inlineStr">
        <is>
          <t>CFS</t>
        </is>
      </c>
      <c r="H718" s="29" t="inlineStr">
        <is>
          <t>BS</t>
        </is>
      </c>
      <c r="I718" s="29" t="inlineStr">
        <is>
          <t>재무상태표</t>
        </is>
      </c>
      <c r="J718" s="29" t="inlineStr">
        <is>
          <t>ifrs-full_TradeAndOtherCurrentPayables</t>
        </is>
      </c>
      <c r="K718" s="29" t="inlineStr">
        <is>
          <t>매입채무및기타채무</t>
        </is>
      </c>
      <c r="L718" s="29" t="inlineStr">
        <is>
          <t>-</t>
        </is>
      </c>
      <c r="M718" s="29" t="inlineStr">
        <is>
          <t>제 26 기</t>
        </is>
      </c>
      <c r="N718" s="29" t="inlineStr">
        <is>
          <t>87988360287.0</t>
        </is>
      </c>
      <c r="O718" s="29" t="inlineStr">
        <is>
          <t>32493401447.0</t>
        </is>
      </c>
      <c r="P718" s="29" t="inlineStr">
        <is>
          <t>KRW</t>
        </is>
      </c>
      <c r="Q718" s="29" t="inlineStr">
        <is>
          <t>50</t>
        </is>
      </c>
    </row>
    <row r="719" ht="24" customHeight="1">
      <c r="A719" s="24" t="inlineStr">
        <is>
          <t>OpenDART_fnlttSinglAcntAll</t>
        </is>
      </c>
      <c r="B719" s="24" t="inlineStr">
        <is>
          <t>00366942</t>
        </is>
      </c>
      <c r="C719" s="24" t="inlineStr">
        <is>
          <t>미코</t>
        </is>
      </c>
      <c r="D719" s="24" t="inlineStr">
        <is>
          <t>mico</t>
        </is>
      </c>
      <c r="E719" s="24" t="inlineStr">
        <is>
          <t>059090</t>
        </is>
      </c>
      <c r="F719" s="24" t="inlineStr">
        <is>
          <t>2024</t>
        </is>
      </c>
      <c r="G719" s="24" t="inlineStr">
        <is>
          <t>CFS</t>
        </is>
      </c>
      <c r="H719" s="24" t="inlineStr">
        <is>
          <t>BS</t>
        </is>
      </c>
      <c r="I719" s="24" t="inlineStr">
        <is>
          <t>재무상태표</t>
        </is>
      </c>
      <c r="J719" s="24" t="inlineStr">
        <is>
          <t>ifrs-full_Liabilities</t>
        </is>
      </c>
      <c r="K719" s="24" t="inlineStr">
        <is>
          <t>부채총계</t>
        </is>
      </c>
      <c r="L719" s="24" t="inlineStr">
        <is>
          <t>-</t>
        </is>
      </c>
      <c r="M719" s="24" t="inlineStr">
        <is>
          <t>제 26 기</t>
        </is>
      </c>
      <c r="N719" s="24" t="inlineStr">
        <is>
          <t>859828437142.0</t>
        </is>
      </c>
      <c r="O719" s="24" t="inlineStr">
        <is>
          <t>467811187649.0</t>
        </is>
      </c>
      <c r="P719" s="24" t="inlineStr">
        <is>
          <t>KRW</t>
        </is>
      </c>
      <c r="Q719" s="24" t="inlineStr">
        <is>
          <t>51</t>
        </is>
      </c>
    </row>
    <row r="720" ht="24" customHeight="1">
      <c r="A720" s="29" t="inlineStr">
        <is>
          <t>OpenDART_fnlttSinglAcntAll</t>
        </is>
      </c>
      <c r="B720" s="29" t="inlineStr">
        <is>
          <t>00366942</t>
        </is>
      </c>
      <c r="C720" s="29" t="inlineStr">
        <is>
          <t>미코</t>
        </is>
      </c>
      <c r="D720" s="29" t="inlineStr">
        <is>
          <t>mico</t>
        </is>
      </c>
      <c r="E720" s="29" t="inlineStr">
        <is>
          <t>059090</t>
        </is>
      </c>
      <c r="F720" s="29" t="inlineStr">
        <is>
          <t>2024</t>
        </is>
      </c>
      <c r="G720" s="29" t="inlineStr">
        <is>
          <t>CFS</t>
        </is>
      </c>
      <c r="H720" s="29" t="inlineStr">
        <is>
          <t>BS</t>
        </is>
      </c>
      <c r="I720" s="29" t="inlineStr">
        <is>
          <t>재무상태표</t>
        </is>
      </c>
      <c r="J720" s="29" t="inlineStr">
        <is>
          <t>ifrs-full_NoncurrentLiabilities</t>
        </is>
      </c>
      <c r="K720" s="29" t="inlineStr">
        <is>
          <t>비유동부채</t>
        </is>
      </c>
      <c r="L720" s="29" t="inlineStr">
        <is>
          <t>-</t>
        </is>
      </c>
      <c r="M720" s="29" t="inlineStr">
        <is>
          <t>제 26 기</t>
        </is>
      </c>
      <c r="N720" s="29" t="inlineStr">
        <is>
          <t>250335086729.0</t>
        </is>
      </c>
      <c r="O720" s="29" t="inlineStr">
        <is>
          <t>196081784063.0</t>
        </is>
      </c>
      <c r="P720" s="29" t="inlineStr">
        <is>
          <t>KRW</t>
        </is>
      </c>
      <c r="Q720" s="29" t="inlineStr">
        <is>
          <t>52</t>
        </is>
      </c>
    </row>
    <row r="721" ht="24" customHeight="1">
      <c r="A721" s="24" t="inlineStr">
        <is>
          <t>OpenDART_fnlttSinglAcntAll</t>
        </is>
      </c>
      <c r="B721" s="24" t="inlineStr">
        <is>
          <t>00366942</t>
        </is>
      </c>
      <c r="C721" s="24" t="inlineStr">
        <is>
          <t>미코</t>
        </is>
      </c>
      <c r="D721" s="24" t="inlineStr">
        <is>
          <t>mico</t>
        </is>
      </c>
      <c r="E721" s="24" t="inlineStr">
        <is>
          <t>059090</t>
        </is>
      </c>
      <c r="F721" s="24" t="inlineStr">
        <is>
          <t>2024</t>
        </is>
      </c>
      <c r="G721" s="24" t="inlineStr">
        <is>
          <t>CFS</t>
        </is>
      </c>
      <c r="H721" s="24" t="inlineStr">
        <is>
          <t>BS</t>
        </is>
      </c>
      <c r="I721" s="24" t="inlineStr">
        <is>
          <t>재무상태표</t>
        </is>
      </c>
      <c r="J721" s="24" t="inlineStr">
        <is>
          <t>dart_ConvertibleBonds</t>
        </is>
      </c>
      <c r="K721" s="24" t="inlineStr">
        <is>
          <t>전환사채</t>
        </is>
      </c>
      <c r="L721" s="24" t="inlineStr">
        <is>
          <t>-</t>
        </is>
      </c>
      <c r="M721" s="24" t="inlineStr">
        <is>
          <t>제 26 기</t>
        </is>
      </c>
      <c r="N721" s="24" t="inlineStr">
        <is>
          <t>해당 없음</t>
        </is>
      </c>
      <c r="O721" s="24" t="inlineStr">
        <is>
          <t>해당 없음</t>
        </is>
      </c>
      <c r="P721" s="24" t="inlineStr">
        <is>
          <t>KRW</t>
        </is>
      </c>
      <c r="Q721" s="24" t="inlineStr">
        <is>
          <t>53</t>
        </is>
      </c>
    </row>
    <row r="722" ht="24" customHeight="1">
      <c r="A722" s="29" t="inlineStr">
        <is>
          <t>OpenDART_fnlttSinglAcntAll</t>
        </is>
      </c>
      <c r="B722" s="29" t="inlineStr">
        <is>
          <t>00366942</t>
        </is>
      </c>
      <c r="C722" s="29" t="inlineStr">
        <is>
          <t>미코</t>
        </is>
      </c>
      <c r="D722" s="29" t="inlineStr">
        <is>
          <t>mico</t>
        </is>
      </c>
      <c r="E722" s="29" t="inlineStr">
        <is>
          <t>059090</t>
        </is>
      </c>
      <c r="F722" s="29" t="inlineStr">
        <is>
          <t>2024</t>
        </is>
      </c>
      <c r="G722" s="29" t="inlineStr">
        <is>
          <t>CFS</t>
        </is>
      </c>
      <c r="H722" s="29" t="inlineStr">
        <is>
          <t>BS</t>
        </is>
      </c>
      <c r="I722" s="29" t="inlineStr">
        <is>
          <t>재무상태표</t>
        </is>
      </c>
      <c r="J722" s="29" t="inlineStr">
        <is>
          <t>dart_ExchangeableBonds</t>
        </is>
      </c>
      <c r="K722" s="29" t="inlineStr">
        <is>
          <t>교환사채</t>
        </is>
      </c>
      <c r="L722" s="29" t="inlineStr">
        <is>
          <t>-</t>
        </is>
      </c>
      <c r="M722" s="29" t="inlineStr">
        <is>
          <t>제 26 기</t>
        </is>
      </c>
      <c r="N722" s="29" t="inlineStr">
        <is>
          <t>해당 없음</t>
        </is>
      </c>
      <c r="O722" s="29" t="inlineStr">
        <is>
          <t>해당 없음</t>
        </is>
      </c>
      <c r="P722" s="29" t="inlineStr">
        <is>
          <t>KRW</t>
        </is>
      </c>
      <c r="Q722" s="29" t="inlineStr">
        <is>
          <t>54</t>
        </is>
      </c>
    </row>
    <row r="723" ht="24" customHeight="1">
      <c r="A723" s="24" t="inlineStr">
        <is>
          <t>OpenDART_fnlttSinglAcntAll</t>
        </is>
      </c>
      <c r="B723" s="24" t="inlineStr">
        <is>
          <t>00366942</t>
        </is>
      </c>
      <c r="C723" s="24" t="inlineStr">
        <is>
          <t>미코</t>
        </is>
      </c>
      <c r="D723" s="24" t="inlineStr">
        <is>
          <t>mico</t>
        </is>
      </c>
      <c r="E723" s="24" t="inlineStr">
        <is>
          <t>059090</t>
        </is>
      </c>
      <c r="F723" s="24" t="inlineStr">
        <is>
          <t>2024</t>
        </is>
      </c>
      <c r="G723" s="24" t="inlineStr">
        <is>
          <t>CFS</t>
        </is>
      </c>
      <c r="H723" s="24" t="inlineStr">
        <is>
          <t>BS</t>
        </is>
      </c>
      <c r="I723" s="24" t="inlineStr">
        <is>
          <t>재무상태표</t>
        </is>
      </c>
      <c r="J723" s="24" t="inlineStr">
        <is>
          <t>dart_LongTermBorrowingsGross</t>
        </is>
      </c>
      <c r="K723" s="24" t="inlineStr">
        <is>
          <t>장기차입금</t>
        </is>
      </c>
      <c r="L723" s="24" t="inlineStr">
        <is>
          <t>-</t>
        </is>
      </c>
      <c r="M723" s="24" t="inlineStr">
        <is>
          <t>제 26 기</t>
        </is>
      </c>
      <c r="N723" s="24" t="inlineStr">
        <is>
          <t>161918430345.0</t>
        </is>
      </c>
      <c r="O723" s="24" t="inlineStr">
        <is>
          <t>140439880000.0</t>
        </is>
      </c>
      <c r="P723" s="24" t="inlineStr">
        <is>
          <t>KRW</t>
        </is>
      </c>
      <c r="Q723" s="24" t="inlineStr">
        <is>
          <t>55</t>
        </is>
      </c>
    </row>
    <row r="724" ht="24" customHeight="1">
      <c r="A724" s="29" t="inlineStr">
        <is>
          <t>OpenDART_fnlttSinglAcntAll</t>
        </is>
      </c>
      <c r="B724" s="29" t="inlineStr">
        <is>
          <t>00366942</t>
        </is>
      </c>
      <c r="C724" s="29" t="inlineStr">
        <is>
          <t>미코</t>
        </is>
      </c>
      <c r="D724" s="29" t="inlineStr">
        <is>
          <t>mico</t>
        </is>
      </c>
      <c r="E724" s="29" t="inlineStr">
        <is>
          <t>059090</t>
        </is>
      </c>
      <c r="F724" s="29" t="inlineStr">
        <is>
          <t>2024</t>
        </is>
      </c>
      <c r="G724" s="29" t="inlineStr">
        <is>
          <t>CFS</t>
        </is>
      </c>
      <c r="H724" s="29" t="inlineStr">
        <is>
          <t>BS</t>
        </is>
      </c>
      <c r="I724" s="29" t="inlineStr">
        <is>
          <t>재무상태표</t>
        </is>
      </c>
      <c r="J724" s="29" t="inlineStr">
        <is>
          <t>dart_LongTermTradeAndOtherNonCurrentPayables</t>
        </is>
      </c>
      <c r="K724" s="29" t="inlineStr">
        <is>
          <t>장기매입채무 및 기타채무</t>
        </is>
      </c>
      <c r="L724" s="29" t="inlineStr">
        <is>
          <t>-</t>
        </is>
      </c>
      <c r="M724" s="29" t="inlineStr">
        <is>
          <t>제 26 기</t>
        </is>
      </c>
      <c r="N724" s="29" t="inlineStr">
        <is>
          <t>908753642.0</t>
        </is>
      </c>
      <c r="O724" s="29" t="inlineStr">
        <is>
          <t>해당 없음</t>
        </is>
      </c>
      <c r="P724" s="29" t="inlineStr">
        <is>
          <t>KRW</t>
        </is>
      </c>
      <c r="Q724" s="29" t="inlineStr">
        <is>
          <t>56</t>
        </is>
      </c>
    </row>
    <row r="725" ht="24" customHeight="1">
      <c r="A725" s="24" t="inlineStr">
        <is>
          <t>OpenDART_fnlttSinglAcntAll</t>
        </is>
      </c>
      <c r="B725" s="24" t="inlineStr">
        <is>
          <t>00366942</t>
        </is>
      </c>
      <c r="C725" s="24" t="inlineStr">
        <is>
          <t>미코</t>
        </is>
      </c>
      <c r="D725" s="24" t="inlineStr">
        <is>
          <t>mico</t>
        </is>
      </c>
      <c r="E725" s="24" t="inlineStr">
        <is>
          <t>059090</t>
        </is>
      </c>
      <c r="F725" s="24" t="inlineStr">
        <is>
          <t>2024</t>
        </is>
      </c>
      <c r="G725" s="24" t="inlineStr">
        <is>
          <t>CFS</t>
        </is>
      </c>
      <c r="H725" s="24" t="inlineStr">
        <is>
          <t>BS</t>
        </is>
      </c>
      <c r="I725" s="24" t="inlineStr">
        <is>
          <t>재무상태표</t>
        </is>
      </c>
      <c r="J725" s="24" t="inlineStr">
        <is>
          <t>dart_PostemploymentBenefitObligations</t>
        </is>
      </c>
      <c r="K725" s="24" t="inlineStr">
        <is>
          <t>퇴직급여채무</t>
        </is>
      </c>
      <c r="L725" s="24" t="inlineStr">
        <is>
          <t>-</t>
        </is>
      </c>
      <c r="M725" s="24" t="inlineStr">
        <is>
          <t>제 26 기</t>
        </is>
      </c>
      <c r="N725" s="24" t="inlineStr">
        <is>
          <t>17636759523.0</t>
        </is>
      </c>
      <c r="O725" s="24" t="inlineStr">
        <is>
          <t>18785677143.0</t>
        </is>
      </c>
      <c r="P725" s="24" t="inlineStr">
        <is>
          <t>KRW</t>
        </is>
      </c>
      <c r="Q725" s="24" t="inlineStr">
        <is>
          <t>57</t>
        </is>
      </c>
    </row>
    <row r="726" ht="24" customHeight="1">
      <c r="A726" s="29" t="inlineStr">
        <is>
          <t>OpenDART_fnlttSinglAcntAll</t>
        </is>
      </c>
      <c r="B726" s="29" t="inlineStr">
        <is>
          <t>00366942</t>
        </is>
      </c>
      <c r="C726" s="29" t="inlineStr">
        <is>
          <t>미코</t>
        </is>
      </c>
      <c r="D726" s="29" t="inlineStr">
        <is>
          <t>mico</t>
        </is>
      </c>
      <c r="E726" s="29" t="inlineStr">
        <is>
          <t>059090</t>
        </is>
      </c>
      <c r="F726" s="29" t="inlineStr">
        <is>
          <t>2024</t>
        </is>
      </c>
      <c r="G726" s="29" t="inlineStr">
        <is>
          <t>CFS</t>
        </is>
      </c>
      <c r="H726" s="29" t="inlineStr">
        <is>
          <t>BS</t>
        </is>
      </c>
      <c r="I726" s="29" t="inlineStr">
        <is>
          <t>재무상태표</t>
        </is>
      </c>
      <c r="J726" s="29" t="inlineStr">
        <is>
          <t>-표준계정코드 미사용-</t>
        </is>
      </c>
      <c r="K726" s="29" t="inlineStr">
        <is>
          <t>장기종업원급여</t>
        </is>
      </c>
      <c r="L726" s="29" t="inlineStr">
        <is>
          <t>-</t>
        </is>
      </c>
      <c r="M726" s="29" t="inlineStr">
        <is>
          <t>제 26 기</t>
        </is>
      </c>
      <c r="N726" s="29" t="inlineStr">
        <is>
          <t>3332244732.0</t>
        </is>
      </c>
      <c r="O726" s="29" t="inlineStr">
        <is>
          <t>2986215299.0</t>
        </is>
      </c>
      <c r="P726" s="29" t="inlineStr">
        <is>
          <t>KRW</t>
        </is>
      </c>
      <c r="Q726" s="29" t="inlineStr">
        <is>
          <t>58</t>
        </is>
      </c>
    </row>
    <row r="727" ht="24" customHeight="1">
      <c r="A727" s="24" t="inlineStr">
        <is>
          <t>OpenDART_fnlttSinglAcntAll</t>
        </is>
      </c>
      <c r="B727" s="24" t="inlineStr">
        <is>
          <t>00366942</t>
        </is>
      </c>
      <c r="C727" s="24" t="inlineStr">
        <is>
          <t>미코</t>
        </is>
      </c>
      <c r="D727" s="24" t="inlineStr">
        <is>
          <t>mico</t>
        </is>
      </c>
      <c r="E727" s="24" t="inlineStr">
        <is>
          <t>059090</t>
        </is>
      </c>
      <c r="F727" s="24" t="inlineStr">
        <is>
          <t>2024</t>
        </is>
      </c>
      <c r="G727" s="24" t="inlineStr">
        <is>
          <t>CFS</t>
        </is>
      </c>
      <c r="H727" s="24" t="inlineStr">
        <is>
          <t>BS</t>
        </is>
      </c>
      <c r="I727" s="24" t="inlineStr">
        <is>
          <t>재무상태표</t>
        </is>
      </c>
      <c r="J727" s="24" t="inlineStr">
        <is>
          <t>ifrs-full_DeferredTaxLiabilities</t>
        </is>
      </c>
      <c r="K727" s="24" t="inlineStr">
        <is>
          <t>이연법인세부채</t>
        </is>
      </c>
      <c r="L727" s="24" t="inlineStr">
        <is>
          <t>-</t>
        </is>
      </c>
      <c r="M727" s="24" t="inlineStr">
        <is>
          <t>제 26 기</t>
        </is>
      </c>
      <c r="N727" s="24" t="inlineStr">
        <is>
          <t>38594905624.0</t>
        </is>
      </c>
      <c r="O727" s="24" t="inlineStr">
        <is>
          <t>27678285279.0</t>
        </is>
      </c>
      <c r="P727" s="24" t="inlineStr">
        <is>
          <t>KRW</t>
        </is>
      </c>
      <c r="Q727" s="24" t="inlineStr">
        <is>
          <t>59</t>
        </is>
      </c>
    </row>
    <row r="728" ht="24" customHeight="1">
      <c r="A728" s="29" t="inlineStr">
        <is>
          <t>OpenDART_fnlttSinglAcntAll</t>
        </is>
      </c>
      <c r="B728" s="29" t="inlineStr">
        <is>
          <t>00366942</t>
        </is>
      </c>
      <c r="C728" s="29" t="inlineStr">
        <is>
          <t>미코</t>
        </is>
      </c>
      <c r="D728" s="29" t="inlineStr">
        <is>
          <t>mico</t>
        </is>
      </c>
      <c r="E728" s="29" t="inlineStr">
        <is>
          <t>059090</t>
        </is>
      </c>
      <c r="F728" s="29" t="inlineStr">
        <is>
          <t>2024</t>
        </is>
      </c>
      <c r="G728" s="29" t="inlineStr">
        <is>
          <t>CFS</t>
        </is>
      </c>
      <c r="H728" s="29" t="inlineStr">
        <is>
          <t>BS</t>
        </is>
      </c>
      <c r="I728" s="29" t="inlineStr">
        <is>
          <t>재무상태표</t>
        </is>
      </c>
      <c r="J728" s="29" t="inlineStr">
        <is>
          <t>ifrs-full_NoncurrentContractLiabilities</t>
        </is>
      </c>
      <c r="K728" s="29" t="inlineStr">
        <is>
          <t>비유동계약부채</t>
        </is>
      </c>
      <c r="L728" s="29" t="inlineStr">
        <is>
          <t>-</t>
        </is>
      </c>
      <c r="M728" s="29" t="inlineStr">
        <is>
          <t>제 26 기</t>
        </is>
      </c>
      <c r="N728" s="29" t="inlineStr">
        <is>
          <t>13719462900.0</t>
        </is>
      </c>
      <c r="O728" s="29" t="inlineStr">
        <is>
          <t>해당 없음</t>
        </is>
      </c>
      <c r="P728" s="29" t="inlineStr">
        <is>
          <t>KRW</t>
        </is>
      </c>
      <c r="Q728" s="29" t="inlineStr">
        <is>
          <t>60</t>
        </is>
      </c>
    </row>
    <row r="729" ht="24" customHeight="1">
      <c r="A729" s="24" t="inlineStr">
        <is>
          <t>OpenDART_fnlttSinglAcntAll</t>
        </is>
      </c>
      <c r="B729" s="24" t="inlineStr">
        <is>
          <t>00366942</t>
        </is>
      </c>
      <c r="C729" s="24" t="inlineStr">
        <is>
          <t>미코</t>
        </is>
      </c>
      <c r="D729" s="24" t="inlineStr">
        <is>
          <t>mico</t>
        </is>
      </c>
      <c r="E729" s="24" t="inlineStr">
        <is>
          <t>059090</t>
        </is>
      </c>
      <c r="F729" s="24" t="inlineStr">
        <is>
          <t>2024</t>
        </is>
      </c>
      <c r="G729" s="24" t="inlineStr">
        <is>
          <t>CFS</t>
        </is>
      </c>
      <c r="H729" s="24" t="inlineStr">
        <is>
          <t>BS</t>
        </is>
      </c>
      <c r="I729" s="24" t="inlineStr">
        <is>
          <t>재무상태표</t>
        </is>
      </c>
      <c r="J729" s="24" t="inlineStr">
        <is>
          <t>ifrs-full_NoncurrentLeaseLiabilities</t>
        </is>
      </c>
      <c r="K729" s="24" t="inlineStr">
        <is>
          <t>리스부채</t>
        </is>
      </c>
      <c r="L729" s="24" t="inlineStr">
        <is>
          <t>-</t>
        </is>
      </c>
      <c r="M729" s="24" t="inlineStr">
        <is>
          <t>제 26 기</t>
        </is>
      </c>
      <c r="N729" s="24" t="inlineStr">
        <is>
          <t>8615887188.0</t>
        </is>
      </c>
      <c r="O729" s="24" t="inlineStr">
        <is>
          <t>4447325890.0</t>
        </is>
      </c>
      <c r="P729" s="24" t="inlineStr">
        <is>
          <t>KRW</t>
        </is>
      </c>
      <c r="Q729" s="24" t="inlineStr">
        <is>
          <t>61</t>
        </is>
      </c>
    </row>
    <row r="730" ht="24" customHeight="1">
      <c r="A730" s="29" t="inlineStr">
        <is>
          <t>OpenDART_fnlttSinglAcntAll</t>
        </is>
      </c>
      <c r="B730" s="29" t="inlineStr">
        <is>
          <t>00366942</t>
        </is>
      </c>
      <c r="C730" s="29" t="inlineStr">
        <is>
          <t>미코</t>
        </is>
      </c>
      <c r="D730" s="29" t="inlineStr">
        <is>
          <t>mico</t>
        </is>
      </c>
      <c r="E730" s="29" t="inlineStr">
        <is>
          <t>059090</t>
        </is>
      </c>
      <c r="F730" s="29" t="inlineStr">
        <is>
          <t>2024</t>
        </is>
      </c>
      <c r="G730" s="29" t="inlineStr">
        <is>
          <t>CFS</t>
        </is>
      </c>
      <c r="H730" s="29" t="inlineStr">
        <is>
          <t>BS</t>
        </is>
      </c>
      <c r="I730" s="29" t="inlineStr">
        <is>
          <t>재무상태표</t>
        </is>
      </c>
      <c r="J730" s="29" t="inlineStr">
        <is>
          <t>ifrs-full_OtherNoncurrentFinancialLiabilities</t>
        </is>
      </c>
      <c r="K730" s="29" t="inlineStr">
        <is>
          <t>기타비유동금융부채</t>
        </is>
      </c>
      <c r="L730" s="29" t="inlineStr">
        <is>
          <t>-</t>
        </is>
      </c>
      <c r="M730" s="29" t="inlineStr">
        <is>
          <t>제 26 기</t>
        </is>
      </c>
      <c r="N730" s="29" t="inlineStr">
        <is>
          <t>해당 없음</t>
        </is>
      </c>
      <c r="O730" s="29" t="inlineStr">
        <is>
          <t>해당 없음</t>
        </is>
      </c>
      <c r="P730" s="29" t="inlineStr">
        <is>
          <t>KRW</t>
        </is>
      </c>
      <c r="Q730" s="29" t="inlineStr">
        <is>
          <t>62</t>
        </is>
      </c>
    </row>
    <row r="731" ht="24" customHeight="1">
      <c r="A731" s="24" t="inlineStr">
        <is>
          <t>OpenDART_fnlttSinglAcntAll</t>
        </is>
      </c>
      <c r="B731" s="24" t="inlineStr">
        <is>
          <t>00366942</t>
        </is>
      </c>
      <c r="C731" s="24" t="inlineStr">
        <is>
          <t>미코</t>
        </is>
      </c>
      <c r="D731" s="24" t="inlineStr">
        <is>
          <t>mico</t>
        </is>
      </c>
      <c r="E731" s="24" t="inlineStr">
        <is>
          <t>059090</t>
        </is>
      </c>
      <c r="F731" s="24" t="inlineStr">
        <is>
          <t>2024</t>
        </is>
      </c>
      <c r="G731" s="24" t="inlineStr">
        <is>
          <t>CFS</t>
        </is>
      </c>
      <c r="H731" s="24" t="inlineStr">
        <is>
          <t>BS</t>
        </is>
      </c>
      <c r="I731" s="24" t="inlineStr">
        <is>
          <t>재무상태표</t>
        </is>
      </c>
      <c r="J731" s="24" t="inlineStr">
        <is>
          <t>ifrs-full_OtherNoncurrentLiabilities</t>
        </is>
      </c>
      <c r="K731" s="24" t="inlineStr">
        <is>
          <t>기타 비유동 부채</t>
        </is>
      </c>
      <c r="L731" s="24" t="inlineStr">
        <is>
          <t>-</t>
        </is>
      </c>
      <c r="M731" s="24" t="inlineStr">
        <is>
          <t>제 26 기</t>
        </is>
      </c>
      <c r="N731" s="24" t="inlineStr">
        <is>
          <t>5608642775.0</t>
        </is>
      </c>
      <c r="O731" s="24" t="inlineStr">
        <is>
          <t>1744400452.0</t>
        </is>
      </c>
      <c r="P731" s="24" t="inlineStr">
        <is>
          <t>KRW</t>
        </is>
      </c>
      <c r="Q731" s="24" t="inlineStr">
        <is>
          <t>63</t>
        </is>
      </c>
    </row>
    <row r="732" ht="24" customHeight="1">
      <c r="A732" s="29" t="inlineStr">
        <is>
          <t>OpenDART_fnlttSinglAcntAll</t>
        </is>
      </c>
      <c r="B732" s="29" t="inlineStr">
        <is>
          <t>00366942</t>
        </is>
      </c>
      <c r="C732" s="29" t="inlineStr">
        <is>
          <t>미코</t>
        </is>
      </c>
      <c r="D732" s="29" t="inlineStr">
        <is>
          <t>mico</t>
        </is>
      </c>
      <c r="E732" s="29" t="inlineStr">
        <is>
          <t>059090</t>
        </is>
      </c>
      <c r="F732" s="29" t="inlineStr">
        <is>
          <t>2024</t>
        </is>
      </c>
      <c r="G732" s="29" t="inlineStr">
        <is>
          <t>CFS</t>
        </is>
      </c>
      <c r="H732" s="29" t="inlineStr">
        <is>
          <t>CIS</t>
        </is>
      </c>
      <c r="I732" s="29" t="inlineStr">
        <is>
          <t>포괄손익계산서</t>
        </is>
      </c>
      <c r="J732" s="29" t="inlineStr">
        <is>
          <t>dart_OperatingIncomeLoss</t>
        </is>
      </c>
      <c r="K732" s="29" t="inlineStr">
        <is>
          <t>영업이익</t>
        </is>
      </c>
      <c r="L732" s="29" t="inlineStr">
        <is>
          <t>-</t>
        </is>
      </c>
      <c r="M732" s="29" t="inlineStr">
        <is>
          <t>제 26 기</t>
        </is>
      </c>
      <c r="N732" s="29" t="inlineStr">
        <is>
          <t>94633945006.0</t>
        </is>
      </c>
      <c r="O732" s="29" t="inlineStr">
        <is>
          <t>29899274316.0</t>
        </is>
      </c>
      <c r="P732" s="29" t="inlineStr">
        <is>
          <t>KRW</t>
        </is>
      </c>
      <c r="Q732" s="29" t="inlineStr">
        <is>
          <t>6</t>
        </is>
      </c>
    </row>
    <row r="733" ht="24" customHeight="1">
      <c r="A733" s="24" t="inlineStr">
        <is>
          <t>OpenDART_fnlttSinglAcntAll</t>
        </is>
      </c>
      <c r="B733" s="24" t="inlineStr">
        <is>
          <t>00366942</t>
        </is>
      </c>
      <c r="C733" s="24" t="inlineStr">
        <is>
          <t>미코</t>
        </is>
      </c>
      <c r="D733" s="24" t="inlineStr">
        <is>
          <t>mico</t>
        </is>
      </c>
      <c r="E733" s="24" t="inlineStr">
        <is>
          <t>059090</t>
        </is>
      </c>
      <c r="F733" s="24" t="inlineStr">
        <is>
          <t>2024</t>
        </is>
      </c>
      <c r="G733" s="24" t="inlineStr">
        <is>
          <t>CFS</t>
        </is>
      </c>
      <c r="H733" s="24" t="inlineStr">
        <is>
          <t>CIS</t>
        </is>
      </c>
      <c r="I733" s="24" t="inlineStr">
        <is>
          <t>포괄손익계산서</t>
        </is>
      </c>
      <c r="J733" s="24" t="inlineStr">
        <is>
          <t>dart_OtherGains</t>
        </is>
      </c>
      <c r="K733" s="24" t="inlineStr">
        <is>
          <t>기타수익</t>
        </is>
      </c>
      <c r="L733" s="24" t="inlineStr">
        <is>
          <t>-</t>
        </is>
      </c>
      <c r="M733" s="24" t="inlineStr">
        <is>
          <t>제 26 기</t>
        </is>
      </c>
      <c r="N733" s="24" t="inlineStr">
        <is>
          <t>5848628120.0</t>
        </is>
      </c>
      <c r="O733" s="24" t="inlineStr">
        <is>
          <t>2260521079.0</t>
        </is>
      </c>
      <c r="P733" s="24" t="inlineStr">
        <is>
          <t>KRW</t>
        </is>
      </c>
      <c r="Q733" s="24" t="inlineStr">
        <is>
          <t>7</t>
        </is>
      </c>
    </row>
    <row r="734" ht="24" customHeight="1">
      <c r="A734" s="29" t="inlineStr">
        <is>
          <t>OpenDART_fnlttSinglAcntAll</t>
        </is>
      </c>
      <c r="B734" s="29" t="inlineStr">
        <is>
          <t>00366942</t>
        </is>
      </c>
      <c r="C734" s="29" t="inlineStr">
        <is>
          <t>미코</t>
        </is>
      </c>
      <c r="D734" s="29" t="inlineStr">
        <is>
          <t>mico</t>
        </is>
      </c>
      <c r="E734" s="29" t="inlineStr">
        <is>
          <t>059090</t>
        </is>
      </c>
      <c r="F734" s="29" t="inlineStr">
        <is>
          <t>2024</t>
        </is>
      </c>
      <c r="G734" s="29" t="inlineStr">
        <is>
          <t>CFS</t>
        </is>
      </c>
      <c r="H734" s="29" t="inlineStr">
        <is>
          <t>CIS</t>
        </is>
      </c>
      <c r="I734" s="29" t="inlineStr">
        <is>
          <t>포괄손익계산서</t>
        </is>
      </c>
      <c r="J734" s="29" t="inlineStr">
        <is>
          <t>dart_OtherLosses</t>
        </is>
      </c>
      <c r="K734" s="29" t="inlineStr">
        <is>
          <t>기타비용</t>
        </is>
      </c>
      <c r="L734" s="29" t="inlineStr">
        <is>
          <t>-</t>
        </is>
      </c>
      <c r="M734" s="29" t="inlineStr">
        <is>
          <t>제 26 기</t>
        </is>
      </c>
      <c r="N734" s="29" t="inlineStr">
        <is>
          <t>6950690776.0</t>
        </is>
      </c>
      <c r="O734" s="29" t="inlineStr">
        <is>
          <t>9463583642.0</t>
        </is>
      </c>
      <c r="P734" s="29" t="inlineStr">
        <is>
          <t>KRW</t>
        </is>
      </c>
      <c r="Q734" s="29" t="inlineStr">
        <is>
          <t>8</t>
        </is>
      </c>
    </row>
    <row r="735" ht="24" customHeight="1">
      <c r="A735" s="24" t="inlineStr">
        <is>
          <t>OpenDART_fnlttSinglAcntAll</t>
        </is>
      </c>
      <c r="B735" s="24" t="inlineStr">
        <is>
          <t>00366942</t>
        </is>
      </c>
      <c r="C735" s="24" t="inlineStr">
        <is>
          <t>미코</t>
        </is>
      </c>
      <c r="D735" s="24" t="inlineStr">
        <is>
          <t>mico</t>
        </is>
      </c>
      <c r="E735" s="24" t="inlineStr">
        <is>
          <t>059090</t>
        </is>
      </c>
      <c r="F735" s="24" t="inlineStr">
        <is>
          <t>2024</t>
        </is>
      </c>
      <c r="G735" s="24" t="inlineStr">
        <is>
          <t>CFS</t>
        </is>
      </c>
      <c r="H735" s="24" t="inlineStr">
        <is>
          <t>CIS</t>
        </is>
      </c>
      <c r="I735" s="24" t="inlineStr">
        <is>
          <t>포괄손익계산서</t>
        </is>
      </c>
      <c r="J735" s="24" t="inlineStr">
        <is>
          <t>dart_TotalSellingGeneralAdministrativeExpenses</t>
        </is>
      </c>
      <c r="K735" s="24" t="inlineStr">
        <is>
          <t>판매비와관리비</t>
        </is>
      </c>
      <c r="L735" s="24" t="inlineStr">
        <is>
          <t>-</t>
        </is>
      </c>
      <c r="M735" s="24" t="inlineStr">
        <is>
          <t>제 26 기</t>
        </is>
      </c>
      <c r="N735" s="24" t="inlineStr">
        <is>
          <t>162703122755.0</t>
        </is>
      </c>
      <c r="O735" s="24" t="inlineStr">
        <is>
          <t>129940835116.0</t>
        </is>
      </c>
      <c r="P735" s="24" t="inlineStr">
        <is>
          <t>KRW</t>
        </is>
      </c>
      <c r="Q735" s="24" t="inlineStr">
        <is>
          <t>9</t>
        </is>
      </c>
    </row>
    <row r="736" ht="24" customHeight="1">
      <c r="A736" s="29" t="inlineStr">
        <is>
          <t>OpenDART_fnlttSinglAcntAll</t>
        </is>
      </c>
      <c r="B736" s="29" t="inlineStr">
        <is>
          <t>00366942</t>
        </is>
      </c>
      <c r="C736" s="29" t="inlineStr">
        <is>
          <t>미코</t>
        </is>
      </c>
      <c r="D736" s="29" t="inlineStr">
        <is>
          <t>mico</t>
        </is>
      </c>
      <c r="E736" s="29" t="inlineStr">
        <is>
          <t>059090</t>
        </is>
      </c>
      <c r="F736" s="29" t="inlineStr">
        <is>
          <t>2024</t>
        </is>
      </c>
      <c r="G736" s="29" t="inlineStr">
        <is>
          <t>CFS</t>
        </is>
      </c>
      <c r="H736" s="29" t="inlineStr">
        <is>
          <t>CIS</t>
        </is>
      </c>
      <c r="I736" s="29" t="inlineStr">
        <is>
          <t>포괄손익계산서</t>
        </is>
      </c>
      <c r="J736" s="29" t="inlineStr">
        <is>
          <t>-표준계정코드 미사용-</t>
        </is>
      </c>
      <c r="K736" s="29" t="inlineStr">
        <is>
          <t>지분법이익(손실)</t>
        </is>
      </c>
      <c r="L736" s="29" t="inlineStr">
        <is>
          <t>-</t>
        </is>
      </c>
      <c r="M736" s="29" t="inlineStr">
        <is>
          <t>제 26 기</t>
        </is>
      </c>
      <c r="N736" s="29" t="inlineStr">
        <is>
          <t>-368247669.0</t>
        </is>
      </c>
      <c r="O736" s="29" t="inlineStr">
        <is>
          <t>4831054847.0</t>
        </is>
      </c>
      <c r="P736" s="29" t="inlineStr">
        <is>
          <t>KRW</t>
        </is>
      </c>
      <c r="Q736" s="29" t="inlineStr">
        <is>
          <t>10</t>
        </is>
      </c>
    </row>
    <row r="737" ht="24" customHeight="1">
      <c r="A737" s="24" t="inlineStr">
        <is>
          <t>OpenDART_fnlttSinglAcntAll</t>
        </is>
      </c>
      <c r="B737" s="24" t="inlineStr">
        <is>
          <t>00366942</t>
        </is>
      </c>
      <c r="C737" s="24" t="inlineStr">
        <is>
          <t>미코</t>
        </is>
      </c>
      <c r="D737" s="24" t="inlineStr">
        <is>
          <t>mico</t>
        </is>
      </c>
      <c r="E737" s="24" t="inlineStr">
        <is>
          <t>059090</t>
        </is>
      </c>
      <c r="F737" s="24" t="inlineStr">
        <is>
          <t>2024</t>
        </is>
      </c>
      <c r="G737" s="24" t="inlineStr">
        <is>
          <t>CFS</t>
        </is>
      </c>
      <c r="H737" s="24" t="inlineStr">
        <is>
          <t>CIS</t>
        </is>
      </c>
      <c r="I737" s="24" t="inlineStr">
        <is>
          <t>포괄손익계산서</t>
        </is>
      </c>
      <c r="J737" s="24" t="inlineStr">
        <is>
          <t>ifrs-full_ComprehensiveIncomeAttributableToNoncontrollingInterests</t>
        </is>
      </c>
      <c r="K737" s="24" t="inlineStr">
        <is>
          <t>비지배지분</t>
        </is>
      </c>
      <c r="L737" s="24" t="inlineStr">
        <is>
          <t>-</t>
        </is>
      </c>
      <c r="M737" s="24" t="inlineStr">
        <is>
          <t>제 26 기</t>
        </is>
      </c>
      <c r="N737" s="24" t="inlineStr">
        <is>
          <t>67914579867.0</t>
        </is>
      </c>
      <c r="O737" s="24" t="inlineStr">
        <is>
          <t>25333413928.0</t>
        </is>
      </c>
      <c r="P737" s="24" t="inlineStr">
        <is>
          <t>KRW</t>
        </is>
      </c>
      <c r="Q737" s="24" t="inlineStr">
        <is>
          <t>12</t>
        </is>
      </c>
    </row>
    <row r="738" ht="24" customHeight="1">
      <c r="A738" s="29" t="inlineStr">
        <is>
          <t>OpenDART_fnlttSinglAcntAll</t>
        </is>
      </c>
      <c r="B738" s="29" t="inlineStr">
        <is>
          <t>00366942</t>
        </is>
      </c>
      <c r="C738" s="29" t="inlineStr">
        <is>
          <t>미코</t>
        </is>
      </c>
      <c r="D738" s="29" t="inlineStr">
        <is>
          <t>mico</t>
        </is>
      </c>
      <c r="E738" s="29" t="inlineStr">
        <is>
          <t>059090</t>
        </is>
      </c>
      <c r="F738" s="29" t="inlineStr">
        <is>
          <t>2024</t>
        </is>
      </c>
      <c r="G738" s="29" t="inlineStr">
        <is>
          <t>CFS</t>
        </is>
      </c>
      <c r="H738" s="29" t="inlineStr">
        <is>
          <t>CIS</t>
        </is>
      </c>
      <c r="I738" s="29" t="inlineStr">
        <is>
          <t>포괄손익계산서</t>
        </is>
      </c>
      <c r="J738" s="29" t="inlineStr">
        <is>
          <t>ifrs-full_ComprehensiveIncomeAttributableToOwnersOfParent</t>
        </is>
      </c>
      <c r="K738" s="29" t="inlineStr">
        <is>
          <t>지배기업소유지분</t>
        </is>
      </c>
      <c r="L738" s="29" t="inlineStr">
        <is>
          <t>-</t>
        </is>
      </c>
      <c r="M738" s="29" t="inlineStr">
        <is>
          <t>제 26 기</t>
        </is>
      </c>
      <c r="N738" s="29" t="inlineStr">
        <is>
          <t>20094457071.0</t>
        </is>
      </c>
      <c r="O738" s="29" t="inlineStr">
        <is>
          <t>-29746334790.0</t>
        </is>
      </c>
      <c r="P738" s="29" t="inlineStr">
        <is>
          <t>KRW</t>
        </is>
      </c>
      <c r="Q738" s="29" t="inlineStr">
        <is>
          <t>13</t>
        </is>
      </c>
    </row>
    <row r="739" ht="24" customHeight="1">
      <c r="A739" s="24" t="inlineStr">
        <is>
          <t>OpenDART_fnlttSinglAcntAll</t>
        </is>
      </c>
      <c r="B739" s="24" t="inlineStr">
        <is>
          <t>00366942</t>
        </is>
      </c>
      <c r="C739" s="24" t="inlineStr">
        <is>
          <t>미코</t>
        </is>
      </c>
      <c r="D739" s="24" t="inlineStr">
        <is>
          <t>mico</t>
        </is>
      </c>
      <c r="E739" s="24" t="inlineStr">
        <is>
          <t>059090</t>
        </is>
      </c>
      <c r="F739" s="24" t="inlineStr">
        <is>
          <t>2024</t>
        </is>
      </c>
      <c r="G739" s="24" t="inlineStr">
        <is>
          <t>CFS</t>
        </is>
      </c>
      <c r="H739" s="24" t="inlineStr">
        <is>
          <t>CIS</t>
        </is>
      </c>
      <c r="I739" s="24" t="inlineStr">
        <is>
          <t>포괄손익계산서</t>
        </is>
      </c>
      <c r="J739" s="24" t="inlineStr">
        <is>
          <t>ifrs-full_CostOfSales</t>
        </is>
      </c>
      <c r="K739" s="24" t="inlineStr">
        <is>
          <t>매출원가</t>
        </is>
      </c>
      <c r="L739" s="24" t="inlineStr">
        <is>
          <t>-</t>
        </is>
      </c>
      <c r="M739" s="24" t="inlineStr">
        <is>
          <t>제 26 기</t>
        </is>
      </c>
      <c r="N739" s="24" t="inlineStr">
        <is>
          <t>283167576143.0</t>
        </is>
      </c>
      <c r="O739" s="24" t="inlineStr">
        <is>
          <t>221815027948.0</t>
        </is>
      </c>
      <c r="P739" s="24" t="inlineStr">
        <is>
          <t>KRW</t>
        </is>
      </c>
      <c r="Q739" s="24" t="inlineStr">
        <is>
          <t>14</t>
        </is>
      </c>
    </row>
    <row r="740" ht="24" customHeight="1">
      <c r="A740" s="29" t="inlineStr">
        <is>
          <t>OpenDART_fnlttSinglAcntAll</t>
        </is>
      </c>
      <c r="B740" s="29" t="inlineStr">
        <is>
          <t>00366942</t>
        </is>
      </c>
      <c r="C740" s="29" t="inlineStr">
        <is>
          <t>미코</t>
        </is>
      </c>
      <c r="D740" s="29" t="inlineStr">
        <is>
          <t>mico</t>
        </is>
      </c>
      <c r="E740" s="29" t="inlineStr">
        <is>
          <t>059090</t>
        </is>
      </c>
      <c r="F740" s="29" t="inlineStr">
        <is>
          <t>2024</t>
        </is>
      </c>
      <c r="G740" s="29" t="inlineStr">
        <is>
          <t>CFS</t>
        </is>
      </c>
      <c r="H740" s="29" t="inlineStr">
        <is>
          <t>CIS</t>
        </is>
      </c>
      <c r="I740" s="29" t="inlineStr">
        <is>
          <t>포괄손익계산서</t>
        </is>
      </c>
      <c r="J740" s="29" t="inlineStr">
        <is>
          <t>ifrs-full_BasicEarningsLossPerShareFromContinuingOperations</t>
        </is>
      </c>
      <c r="K740" s="29" t="inlineStr">
        <is>
          <t>계속영업기본주당순이익(손실)</t>
        </is>
      </c>
      <c r="L740" s="29" t="inlineStr">
        <is>
          <t>-</t>
        </is>
      </c>
      <c r="M740" s="29" t="inlineStr">
        <is>
          <t>제 26 기</t>
        </is>
      </c>
      <c r="N740" s="29" t="inlineStr">
        <is>
          <t>372.0</t>
        </is>
      </c>
      <c r="O740" s="29" t="inlineStr">
        <is>
          <t>87.0</t>
        </is>
      </c>
      <c r="P740" s="29" t="inlineStr">
        <is>
          <t>KRW</t>
        </is>
      </c>
      <c r="Q740" s="29" t="inlineStr">
        <is>
          <t>16</t>
        </is>
      </c>
    </row>
    <row r="741" ht="24" customHeight="1">
      <c r="A741" s="24" t="inlineStr">
        <is>
          <t>OpenDART_fnlttSinglAcntAll</t>
        </is>
      </c>
      <c r="B741" s="24" t="inlineStr">
        <is>
          <t>00366942</t>
        </is>
      </c>
      <c r="C741" s="24" t="inlineStr">
        <is>
          <t>미코</t>
        </is>
      </c>
      <c r="D741" s="24" t="inlineStr">
        <is>
          <t>mico</t>
        </is>
      </c>
      <c r="E741" s="24" t="inlineStr">
        <is>
          <t>059090</t>
        </is>
      </c>
      <c r="F741" s="24" t="inlineStr">
        <is>
          <t>2024</t>
        </is>
      </c>
      <c r="G741" s="24" t="inlineStr">
        <is>
          <t>CFS</t>
        </is>
      </c>
      <c r="H741" s="24" t="inlineStr">
        <is>
          <t>CIS</t>
        </is>
      </c>
      <c r="I741" s="24" t="inlineStr">
        <is>
          <t>포괄손익계산서</t>
        </is>
      </c>
      <c r="J741" s="24" t="inlineStr">
        <is>
          <t>ifrs-full_BasicEarningsLossPerShareFromDiscontinuedOperations</t>
        </is>
      </c>
      <c r="K741" s="24" t="inlineStr">
        <is>
          <t>중단영업기본주당순이익(손실)</t>
        </is>
      </c>
      <c r="L741" s="24" t="inlineStr">
        <is>
          <t>-</t>
        </is>
      </c>
      <c r="M741" s="24" t="inlineStr">
        <is>
          <t>제 26 기</t>
        </is>
      </c>
      <c r="N741" s="24" t="inlineStr">
        <is>
          <t>203.0</t>
        </is>
      </c>
      <c r="O741" s="24" t="inlineStr">
        <is>
          <t>-952.0</t>
        </is>
      </c>
      <c r="P741" s="24" t="inlineStr">
        <is>
          <t>KRW</t>
        </is>
      </c>
      <c r="Q741" s="24" t="inlineStr">
        <is>
          <t>17</t>
        </is>
      </c>
    </row>
    <row r="742" ht="24" customHeight="1">
      <c r="A742" s="29" t="inlineStr">
        <is>
          <t>OpenDART_fnlttSinglAcntAll</t>
        </is>
      </c>
      <c r="B742" s="29" t="inlineStr">
        <is>
          <t>00366942</t>
        </is>
      </c>
      <c r="C742" s="29" t="inlineStr">
        <is>
          <t>미코</t>
        </is>
      </c>
      <c r="D742" s="29" t="inlineStr">
        <is>
          <t>mico</t>
        </is>
      </c>
      <c r="E742" s="29" t="inlineStr">
        <is>
          <t>059090</t>
        </is>
      </c>
      <c r="F742" s="29" t="inlineStr">
        <is>
          <t>2024</t>
        </is>
      </c>
      <c r="G742" s="29" t="inlineStr">
        <is>
          <t>CFS</t>
        </is>
      </c>
      <c r="H742" s="29" t="inlineStr">
        <is>
          <t>CIS</t>
        </is>
      </c>
      <c r="I742" s="29" t="inlineStr">
        <is>
          <t>포괄손익계산서</t>
        </is>
      </c>
      <c r="J742" s="29" t="inlineStr">
        <is>
          <t>ifrs-full_DilutedEarningsLossPerShareFromContinuingOperations</t>
        </is>
      </c>
      <c r="K742" s="29" t="inlineStr">
        <is>
          <t>계속영업희석주당순이익(손실)</t>
        </is>
      </c>
      <c r="L742" s="29" t="inlineStr">
        <is>
          <t>-</t>
        </is>
      </c>
      <c r="M742" s="29" t="inlineStr">
        <is>
          <t>제 26 기</t>
        </is>
      </c>
      <c r="N742" s="29" t="inlineStr">
        <is>
          <t>372.0</t>
        </is>
      </c>
      <c r="O742" s="29" t="inlineStr">
        <is>
          <t>87.0</t>
        </is>
      </c>
      <c r="P742" s="29" t="inlineStr">
        <is>
          <t>KRW</t>
        </is>
      </c>
      <c r="Q742" s="29" t="inlineStr">
        <is>
          <t>18</t>
        </is>
      </c>
    </row>
    <row r="743" ht="24" customHeight="1">
      <c r="A743" s="24" t="inlineStr">
        <is>
          <t>OpenDART_fnlttSinglAcntAll</t>
        </is>
      </c>
      <c r="B743" s="24" t="inlineStr">
        <is>
          <t>00366942</t>
        </is>
      </c>
      <c r="C743" s="24" t="inlineStr">
        <is>
          <t>미코</t>
        </is>
      </c>
      <c r="D743" s="24" t="inlineStr">
        <is>
          <t>mico</t>
        </is>
      </c>
      <c r="E743" s="24" t="inlineStr">
        <is>
          <t>059090</t>
        </is>
      </c>
      <c r="F743" s="24" t="inlineStr">
        <is>
          <t>2024</t>
        </is>
      </c>
      <c r="G743" s="24" t="inlineStr">
        <is>
          <t>CFS</t>
        </is>
      </c>
      <c r="H743" s="24" t="inlineStr">
        <is>
          <t>CIS</t>
        </is>
      </c>
      <c r="I743" s="24" t="inlineStr">
        <is>
          <t>포괄손익계산서</t>
        </is>
      </c>
      <c r="J743" s="24" t="inlineStr">
        <is>
          <t>ifrs-full_DilutedEarningsLossPerShareFromDiscontinuedOperations</t>
        </is>
      </c>
      <c r="K743" s="24" t="inlineStr">
        <is>
          <t>중단영업희석주당순이익(손실)</t>
        </is>
      </c>
      <c r="L743" s="24" t="inlineStr">
        <is>
          <t>-</t>
        </is>
      </c>
      <c r="M743" s="24" t="inlineStr">
        <is>
          <t>제 26 기</t>
        </is>
      </c>
      <c r="N743" s="24" t="inlineStr">
        <is>
          <t>203.0</t>
        </is>
      </c>
      <c r="O743" s="24" t="inlineStr">
        <is>
          <t>-952.0</t>
        </is>
      </c>
      <c r="P743" s="24" t="inlineStr">
        <is>
          <t>KRW</t>
        </is>
      </c>
      <c r="Q743" s="24" t="inlineStr">
        <is>
          <t>19</t>
        </is>
      </c>
    </row>
    <row r="744" ht="24" customHeight="1">
      <c r="A744" s="29" t="inlineStr">
        <is>
          <t>OpenDART_fnlttSinglAcntAll</t>
        </is>
      </c>
      <c r="B744" s="29" t="inlineStr">
        <is>
          <t>00366942</t>
        </is>
      </c>
      <c r="C744" s="29" t="inlineStr">
        <is>
          <t>미코</t>
        </is>
      </c>
      <c r="D744" s="29" t="inlineStr">
        <is>
          <t>mico</t>
        </is>
      </c>
      <c r="E744" s="29" t="inlineStr">
        <is>
          <t>059090</t>
        </is>
      </c>
      <c r="F744" s="29" t="inlineStr">
        <is>
          <t>2024</t>
        </is>
      </c>
      <c r="G744" s="29" t="inlineStr">
        <is>
          <t>CFS</t>
        </is>
      </c>
      <c r="H744" s="29" t="inlineStr">
        <is>
          <t>CIS</t>
        </is>
      </c>
      <c r="I744" s="29" t="inlineStr">
        <is>
          <t>포괄손익계산서</t>
        </is>
      </c>
      <c r="J744" s="29" t="inlineStr">
        <is>
          <t>ifrs-full_FinanceCosts</t>
        </is>
      </c>
      <c r="K744" s="29" t="inlineStr">
        <is>
          <t>금융비용</t>
        </is>
      </c>
      <c r="L744" s="29" t="inlineStr">
        <is>
          <t>-</t>
        </is>
      </c>
      <c r="M744" s="29" t="inlineStr">
        <is>
          <t>제 26 기</t>
        </is>
      </c>
      <c r="N744" s="29" t="inlineStr">
        <is>
          <t>31795266941.0</t>
        </is>
      </c>
      <c r="O744" s="29" t="inlineStr">
        <is>
          <t>21784862865.0</t>
        </is>
      </c>
      <c r="P744" s="29" t="inlineStr">
        <is>
          <t>KRW</t>
        </is>
      </c>
      <c r="Q744" s="29" t="inlineStr">
        <is>
          <t>20</t>
        </is>
      </c>
    </row>
    <row r="745" ht="24" customHeight="1">
      <c r="A745" s="24" t="inlineStr">
        <is>
          <t>OpenDART_fnlttSinglAcntAll</t>
        </is>
      </c>
      <c r="B745" s="24" t="inlineStr">
        <is>
          <t>00366942</t>
        </is>
      </c>
      <c r="C745" s="24" t="inlineStr">
        <is>
          <t>미코</t>
        </is>
      </c>
      <c r="D745" s="24" t="inlineStr">
        <is>
          <t>mico</t>
        </is>
      </c>
      <c r="E745" s="24" t="inlineStr">
        <is>
          <t>059090</t>
        </is>
      </c>
      <c r="F745" s="24" t="inlineStr">
        <is>
          <t>2024</t>
        </is>
      </c>
      <c r="G745" s="24" t="inlineStr">
        <is>
          <t>CFS</t>
        </is>
      </c>
      <c r="H745" s="24" t="inlineStr">
        <is>
          <t>CIS</t>
        </is>
      </c>
      <c r="I745" s="24" t="inlineStr">
        <is>
          <t>포괄손익계산서</t>
        </is>
      </c>
      <c r="J745" s="24" t="inlineStr">
        <is>
          <t>ifrs-full_FinanceIncome</t>
        </is>
      </c>
      <c r="K745" s="24" t="inlineStr">
        <is>
          <t>금융수익</t>
        </is>
      </c>
      <c r="L745" s="24" t="inlineStr">
        <is>
          <t>-</t>
        </is>
      </c>
      <c r="M745" s="24" t="inlineStr">
        <is>
          <t>제 26 기</t>
        </is>
      </c>
      <c r="N745" s="24" t="inlineStr">
        <is>
          <t>21959631018.0</t>
        </is>
      </c>
      <c r="O745" s="24" t="inlineStr">
        <is>
          <t>35236323862.0</t>
        </is>
      </c>
      <c r="P745" s="24" t="inlineStr">
        <is>
          <t>KRW</t>
        </is>
      </c>
      <c r="Q745" s="24" t="inlineStr">
        <is>
          <t>21</t>
        </is>
      </c>
    </row>
    <row r="746" ht="24" customHeight="1">
      <c r="A746" s="29" t="inlineStr">
        <is>
          <t>OpenDART_fnlttSinglAcntAll</t>
        </is>
      </c>
      <c r="B746" s="29" t="inlineStr">
        <is>
          <t>00366942</t>
        </is>
      </c>
      <c r="C746" s="29" t="inlineStr">
        <is>
          <t>미코</t>
        </is>
      </c>
      <c r="D746" s="29" t="inlineStr">
        <is>
          <t>mico</t>
        </is>
      </c>
      <c r="E746" s="29" t="inlineStr">
        <is>
          <t>059090</t>
        </is>
      </c>
      <c r="F746" s="29" t="inlineStr">
        <is>
          <t>2024</t>
        </is>
      </c>
      <c r="G746" s="29" t="inlineStr">
        <is>
          <t>CFS</t>
        </is>
      </c>
      <c r="H746" s="29" t="inlineStr">
        <is>
          <t>CIS</t>
        </is>
      </c>
      <c r="I746" s="29" t="inlineStr">
        <is>
          <t>포괄손익계산서</t>
        </is>
      </c>
      <c r="J746" s="29" t="inlineStr">
        <is>
          <t>ifrs-full_GrossProfit</t>
        </is>
      </c>
      <c r="K746" s="29" t="inlineStr">
        <is>
          <t>매출총이익</t>
        </is>
      </c>
      <c r="L746" s="29" t="inlineStr">
        <is>
          <t>-</t>
        </is>
      </c>
      <c r="M746" s="29" t="inlineStr">
        <is>
          <t>제 26 기</t>
        </is>
      </c>
      <c r="N746" s="29" t="inlineStr">
        <is>
          <t>257337067761.0</t>
        </is>
      </c>
      <c r="O746" s="29" t="inlineStr">
        <is>
          <t>159840109432.0</t>
        </is>
      </c>
      <c r="P746" s="29" t="inlineStr">
        <is>
          <t>KRW</t>
        </is>
      </c>
      <c r="Q746" s="29" t="inlineStr">
        <is>
          <t>22</t>
        </is>
      </c>
    </row>
    <row r="747" ht="24" customHeight="1">
      <c r="A747" s="24" t="inlineStr">
        <is>
          <t>OpenDART_fnlttSinglAcntAll</t>
        </is>
      </c>
      <c r="B747" s="24" t="inlineStr">
        <is>
          <t>00366942</t>
        </is>
      </c>
      <c r="C747" s="24" t="inlineStr">
        <is>
          <t>미코</t>
        </is>
      </c>
      <c r="D747" s="24" t="inlineStr">
        <is>
          <t>mico</t>
        </is>
      </c>
      <c r="E747" s="24" t="inlineStr">
        <is>
          <t>059090</t>
        </is>
      </c>
      <c r="F747" s="24" t="inlineStr">
        <is>
          <t>2024</t>
        </is>
      </c>
      <c r="G747" s="24" t="inlineStr">
        <is>
          <t>CFS</t>
        </is>
      </c>
      <c r="H747" s="24" t="inlineStr">
        <is>
          <t>CIS</t>
        </is>
      </c>
      <c r="I747" s="24" t="inlineStr">
        <is>
          <t>포괄손익계산서</t>
        </is>
      </c>
      <c r="J747" s="24" t="inlineStr">
        <is>
          <t>ifrs-full_IncomeTaxExpenseContinuingOperations</t>
        </is>
      </c>
      <c r="K747" s="24" t="inlineStr">
        <is>
          <t>법인세수익(비용)</t>
        </is>
      </c>
      <c r="L747" s="24" t="inlineStr">
        <is>
          <t>-</t>
        </is>
      </c>
      <c r="M747" s="24" t="inlineStr">
        <is>
          <t>제 26 기</t>
        </is>
      </c>
      <c r="N747" s="24" t="inlineStr">
        <is>
          <t>13221226158.0</t>
        </is>
      </c>
      <c r="O747" s="24" t="inlineStr">
        <is>
          <t>13025046216.0</t>
        </is>
      </c>
      <c r="P747" s="24" t="inlineStr">
        <is>
          <t>KRW</t>
        </is>
      </c>
      <c r="Q747" s="24" t="inlineStr">
        <is>
          <t>23</t>
        </is>
      </c>
    </row>
    <row r="748" ht="24" customHeight="1">
      <c r="A748" s="29" t="inlineStr">
        <is>
          <t>OpenDART_fnlttSinglAcntAll</t>
        </is>
      </c>
      <c r="B748" s="29" t="inlineStr">
        <is>
          <t>00366942</t>
        </is>
      </c>
      <c r="C748" s="29" t="inlineStr">
        <is>
          <t>미코</t>
        </is>
      </c>
      <c r="D748" s="29" t="inlineStr">
        <is>
          <t>mico</t>
        </is>
      </c>
      <c r="E748" s="29" t="inlineStr">
        <is>
          <t>059090</t>
        </is>
      </c>
      <c r="F748" s="29" t="inlineStr">
        <is>
          <t>2024</t>
        </is>
      </c>
      <c r="G748" s="29" t="inlineStr">
        <is>
          <t>CFS</t>
        </is>
      </c>
      <c r="H748" s="29" t="inlineStr">
        <is>
          <t>CIS</t>
        </is>
      </c>
      <c r="I748" s="29" t="inlineStr">
        <is>
          <t>포괄손익계산서</t>
        </is>
      </c>
      <c r="J748" s="29" t="inlineStr">
        <is>
          <t>ifrs-full_OtherComprehensiveIncome</t>
        </is>
      </c>
      <c r="K748" s="29" t="inlineStr">
        <is>
          <t>법인세비용 차감 후 기타포괄이익(손실)</t>
        </is>
      </c>
      <c r="L748" s="29" t="inlineStr">
        <is>
          <t>-</t>
        </is>
      </c>
      <c r="M748" s="29" t="inlineStr">
        <is>
          <t>제 26 기</t>
        </is>
      </c>
      <c r="N748" s="29" t="inlineStr">
        <is>
          <t>11494756152.0</t>
        </is>
      </c>
      <c r="O748" s="29" t="inlineStr">
        <is>
          <t>-2376199279.0</t>
        </is>
      </c>
      <c r="P748" s="29" t="inlineStr">
        <is>
          <t>KRW</t>
        </is>
      </c>
      <c r="Q748" s="29" t="inlineStr">
        <is>
          <t>24</t>
        </is>
      </c>
    </row>
    <row r="749" ht="24" customHeight="1">
      <c r="A749" s="24" t="inlineStr">
        <is>
          <t>OpenDART_fnlttSinglAcntAll</t>
        </is>
      </c>
      <c r="B749" s="24" t="inlineStr">
        <is>
          <t>00366942</t>
        </is>
      </c>
      <c r="C749" s="24" t="inlineStr">
        <is>
          <t>미코</t>
        </is>
      </c>
      <c r="D749" s="24" t="inlineStr">
        <is>
          <t>mico</t>
        </is>
      </c>
      <c r="E749" s="24" t="inlineStr">
        <is>
          <t>059090</t>
        </is>
      </c>
      <c r="F749" s="24" t="inlineStr">
        <is>
          <t>2024</t>
        </is>
      </c>
      <c r="G749" s="24" t="inlineStr">
        <is>
          <t>CFS</t>
        </is>
      </c>
      <c r="H749" s="24" t="inlineStr">
        <is>
          <t>CIS</t>
        </is>
      </c>
      <c r="I749" s="24" t="inlineStr">
        <is>
          <t>포괄손익계산서</t>
        </is>
      </c>
      <c r="J749" s="24" t="inlineStr">
        <is>
          <t>ifrs-full_OtherComprehensiveIncomeThatWillBeReclassifiedToProfitOrLossNetOfTax</t>
        </is>
      </c>
      <c r="K749" s="24" t="inlineStr">
        <is>
          <t>후속적으로 당기손익으로 재분류되는 포괄손익</t>
        </is>
      </c>
      <c r="L749" s="24" t="inlineStr">
        <is>
          <t>-</t>
        </is>
      </c>
      <c r="M749" s="24" t="inlineStr">
        <is>
          <t>제 26 기</t>
        </is>
      </c>
      <c r="N749" s="24" t="inlineStr">
        <is>
          <t>13791036293.0</t>
        </is>
      </c>
      <c r="O749" s="24" t="inlineStr">
        <is>
          <t>-714616817.0</t>
        </is>
      </c>
      <c r="P749" s="24" t="inlineStr">
        <is>
          <t>KRW</t>
        </is>
      </c>
      <c r="Q749" s="24" t="inlineStr">
        <is>
          <t>25</t>
        </is>
      </c>
    </row>
    <row r="750" ht="24" customHeight="1">
      <c r="A750" s="29" t="inlineStr">
        <is>
          <t>OpenDART_fnlttSinglAcntAll</t>
        </is>
      </c>
      <c r="B750" s="29" t="inlineStr">
        <is>
          <t>00366942</t>
        </is>
      </c>
      <c r="C750" s="29" t="inlineStr">
        <is>
          <t>미코</t>
        </is>
      </c>
      <c r="D750" s="29" t="inlineStr">
        <is>
          <t>mico</t>
        </is>
      </c>
      <c r="E750" s="29" t="inlineStr">
        <is>
          <t>059090</t>
        </is>
      </c>
      <c r="F750" s="29" t="inlineStr">
        <is>
          <t>2024</t>
        </is>
      </c>
      <c r="G750" s="29" t="inlineStr">
        <is>
          <t>CFS</t>
        </is>
      </c>
      <c r="H750" s="29" t="inlineStr">
        <is>
          <t>CIS</t>
        </is>
      </c>
      <c r="I750" s="29" t="inlineStr">
        <is>
          <t>포괄손익계산서</t>
        </is>
      </c>
      <c r="J750" s="29" t="inlineStr">
        <is>
          <t>-표준계정코드 미사용-</t>
        </is>
      </c>
      <c r="K750" s="29" t="inlineStr">
        <is>
          <t>해외사업환산손익</t>
        </is>
      </c>
      <c r="L750" s="29" t="inlineStr">
        <is>
          <t>-</t>
        </is>
      </c>
      <c r="M750" s="29" t="inlineStr">
        <is>
          <t>제 26 기</t>
        </is>
      </c>
      <c r="N750" s="29" t="inlineStr">
        <is>
          <t>13538422076.0</t>
        </is>
      </c>
      <c r="O750" s="29" t="inlineStr">
        <is>
          <t>-739500736.0</t>
        </is>
      </c>
      <c r="P750" s="29" t="inlineStr">
        <is>
          <t>KRW</t>
        </is>
      </c>
      <c r="Q750" s="29" t="inlineStr">
        <is>
          <t>26</t>
        </is>
      </c>
    </row>
    <row r="751" ht="24" customHeight="1">
      <c r="A751" s="24" t="inlineStr">
        <is>
          <t>OpenDART_fnlttSinglAcntAll</t>
        </is>
      </c>
      <c r="B751" s="24" t="inlineStr">
        <is>
          <t>00366942</t>
        </is>
      </c>
      <c r="C751" s="24" t="inlineStr">
        <is>
          <t>미코</t>
        </is>
      </c>
      <c r="D751" s="24" t="inlineStr">
        <is>
          <t>mico</t>
        </is>
      </c>
      <c r="E751" s="24" t="inlineStr">
        <is>
          <t>059090</t>
        </is>
      </c>
      <c r="F751" s="24" t="inlineStr">
        <is>
          <t>2024</t>
        </is>
      </c>
      <c r="G751" s="24" t="inlineStr">
        <is>
          <t>CFS</t>
        </is>
      </c>
      <c r="H751" s="24" t="inlineStr">
        <is>
          <t>CIS</t>
        </is>
      </c>
      <c r="I751" s="24" t="inlineStr">
        <is>
          <t>포괄손익계산서</t>
        </is>
      </c>
      <c r="J751" s="24" t="inlineStr">
        <is>
          <t>-표준계정코드 미사용-</t>
        </is>
      </c>
      <c r="K751" s="24" t="inlineStr">
        <is>
          <t>지분법자본변동</t>
        </is>
      </c>
      <c r="L751" s="24" t="inlineStr">
        <is>
          <t>-</t>
        </is>
      </c>
      <c r="M751" s="24" t="inlineStr">
        <is>
          <t>제 26 기</t>
        </is>
      </c>
      <c r="N751" s="24" t="inlineStr">
        <is>
          <t>252614217.0</t>
        </is>
      </c>
      <c r="O751" s="24" t="inlineStr">
        <is>
          <t>24883919.0</t>
        </is>
      </c>
      <c r="P751" s="24" t="inlineStr">
        <is>
          <t>KRW</t>
        </is>
      </c>
      <c r="Q751" s="24" t="inlineStr">
        <is>
          <t>27</t>
        </is>
      </c>
    </row>
    <row r="752" ht="24" customHeight="1">
      <c r="A752" s="29" t="inlineStr">
        <is>
          <t>OpenDART_fnlttSinglAcntAll</t>
        </is>
      </c>
      <c r="B752" s="29" t="inlineStr">
        <is>
          <t>00366942</t>
        </is>
      </c>
      <c r="C752" s="29" t="inlineStr">
        <is>
          <t>미코</t>
        </is>
      </c>
      <c r="D752" s="29" t="inlineStr">
        <is>
          <t>mico</t>
        </is>
      </c>
      <c r="E752" s="29" t="inlineStr">
        <is>
          <t>059090</t>
        </is>
      </c>
      <c r="F752" s="29" t="inlineStr">
        <is>
          <t>2024</t>
        </is>
      </c>
      <c r="G752" s="29" t="inlineStr">
        <is>
          <t>CFS</t>
        </is>
      </c>
      <c r="H752" s="29" t="inlineStr">
        <is>
          <t>CIS</t>
        </is>
      </c>
      <c r="I752" s="29" t="inlineStr">
        <is>
          <t>포괄손익계산서</t>
        </is>
      </c>
      <c r="J752" s="29" t="inlineStr">
        <is>
          <t>ifrs-full_OtherComprehensiveIncomeThatWillNotBeReclassifiedToProfitOrLossNetOfTax</t>
        </is>
      </c>
      <c r="K752" s="29" t="inlineStr">
        <is>
          <t>후속적으로 당기손익으로 재분류되지 않는 포괄손익</t>
        </is>
      </c>
      <c r="L752" s="29" t="inlineStr">
        <is>
          <t>-</t>
        </is>
      </c>
      <c r="M752" s="29" t="inlineStr">
        <is>
          <t>제 26 기</t>
        </is>
      </c>
      <c r="N752" s="29" t="inlineStr">
        <is>
          <t>-2296280141.0</t>
        </is>
      </c>
      <c r="O752" s="29" t="inlineStr">
        <is>
          <t>-1661582462.0</t>
        </is>
      </c>
      <c r="P752" s="29" t="inlineStr">
        <is>
          <t>KRW</t>
        </is>
      </c>
      <c r="Q752" s="29" t="inlineStr">
        <is>
          <t>28</t>
        </is>
      </c>
    </row>
    <row r="753" ht="24" customHeight="1">
      <c r="A753" s="24" t="inlineStr">
        <is>
          <t>OpenDART_fnlttSinglAcntAll</t>
        </is>
      </c>
      <c r="B753" s="24" t="inlineStr">
        <is>
          <t>00366942</t>
        </is>
      </c>
      <c r="C753" s="24" t="inlineStr">
        <is>
          <t>미코</t>
        </is>
      </c>
      <c r="D753" s="24" t="inlineStr">
        <is>
          <t>mico</t>
        </is>
      </c>
      <c r="E753" s="24" t="inlineStr">
        <is>
          <t>059090</t>
        </is>
      </c>
      <c r="F753" s="24" t="inlineStr">
        <is>
          <t>2024</t>
        </is>
      </c>
      <c r="G753" s="24" t="inlineStr">
        <is>
          <t>CFS</t>
        </is>
      </c>
      <c r="H753" s="24" t="inlineStr">
        <is>
          <t>CIS</t>
        </is>
      </c>
      <c r="I753" s="24" t="inlineStr">
        <is>
          <t>포괄손익계산서</t>
        </is>
      </c>
      <c r="J753" s="24" t="inlineStr">
        <is>
          <t>dart_OtherComprehensiveIncomeNetOfTaxChangeInFairValueOfFinancialAssetsMeasuredAtFairValueThroughOtherComprehensiveIncome</t>
        </is>
      </c>
      <c r="K753" s="24" t="inlineStr">
        <is>
          <t>기타포괄손익-공정가치측정금융자산평가손익</t>
        </is>
      </c>
      <c r="L753" s="24" t="inlineStr">
        <is>
          <t>-</t>
        </is>
      </c>
      <c r="M753" s="24" t="inlineStr">
        <is>
          <t>제 26 기</t>
        </is>
      </c>
      <c r="N753" s="24" t="inlineStr">
        <is>
          <t>65241846.0</t>
        </is>
      </c>
      <c r="O753" s="24" t="inlineStr">
        <is>
          <t>해당 없음</t>
        </is>
      </c>
      <c r="P753" s="24" t="inlineStr">
        <is>
          <t>KRW</t>
        </is>
      </c>
      <c r="Q753" s="24" t="inlineStr">
        <is>
          <t>29</t>
        </is>
      </c>
    </row>
    <row r="754" ht="24" customHeight="1">
      <c r="A754" s="29" t="inlineStr">
        <is>
          <t>OpenDART_fnlttSinglAcntAll</t>
        </is>
      </c>
      <c r="B754" s="29" t="inlineStr">
        <is>
          <t>00366942</t>
        </is>
      </c>
      <c r="C754" s="29" t="inlineStr">
        <is>
          <t>미코</t>
        </is>
      </c>
      <c r="D754" s="29" t="inlineStr">
        <is>
          <t>mico</t>
        </is>
      </c>
      <c r="E754" s="29" t="inlineStr">
        <is>
          <t>059090</t>
        </is>
      </c>
      <c r="F754" s="29" t="inlineStr">
        <is>
          <t>2024</t>
        </is>
      </c>
      <c r="G754" s="29" t="inlineStr">
        <is>
          <t>CFS</t>
        </is>
      </c>
      <c r="H754" s="29" t="inlineStr">
        <is>
          <t>CIS</t>
        </is>
      </c>
      <c r="I754" s="29" t="inlineStr">
        <is>
          <t>포괄손익계산서</t>
        </is>
      </c>
      <c r="J754" s="29" t="inlineStr">
        <is>
          <t>-표준계정코드 미사용-</t>
        </is>
      </c>
      <c r="K754" s="29" t="inlineStr">
        <is>
          <t>지분법자본변동</t>
        </is>
      </c>
      <c r="L754" s="29" t="inlineStr">
        <is>
          <t>-</t>
        </is>
      </c>
      <c r="M754" s="29" t="inlineStr">
        <is>
          <t>제 26 기</t>
        </is>
      </c>
      <c r="N754" s="29" t="inlineStr">
        <is>
          <t>-3048161199.0</t>
        </is>
      </c>
      <c r="O754" s="29" t="inlineStr">
        <is>
          <t>-888527875.0</t>
        </is>
      </c>
      <c r="P754" s="29" t="inlineStr">
        <is>
          <t>KRW</t>
        </is>
      </c>
      <c r="Q754" s="29" t="inlineStr">
        <is>
          <t>30</t>
        </is>
      </c>
    </row>
    <row r="755" ht="24" customHeight="1">
      <c r="A755" s="24" t="inlineStr">
        <is>
          <t>OpenDART_fnlttSinglAcntAll</t>
        </is>
      </c>
      <c r="B755" s="24" t="inlineStr">
        <is>
          <t>00366942</t>
        </is>
      </c>
      <c r="C755" s="24" t="inlineStr">
        <is>
          <t>미코</t>
        </is>
      </c>
      <c r="D755" s="24" t="inlineStr">
        <is>
          <t>mico</t>
        </is>
      </c>
      <c r="E755" s="24" t="inlineStr">
        <is>
          <t>059090</t>
        </is>
      </c>
      <c r="F755" s="24" t="inlineStr">
        <is>
          <t>2024</t>
        </is>
      </c>
      <c r="G755" s="24" t="inlineStr">
        <is>
          <t>CFS</t>
        </is>
      </c>
      <c r="H755" s="24" t="inlineStr">
        <is>
          <t>CIS</t>
        </is>
      </c>
      <c r="I755" s="24" t="inlineStr">
        <is>
          <t>포괄손익계산서</t>
        </is>
      </c>
      <c r="J755" s="24" t="inlineStr">
        <is>
          <t>ifrs-full_OtherComprehensiveIncomeNetOfTaxGainsLossesOnRemeasurementsOfDefinedBenefitPlans</t>
        </is>
      </c>
      <c r="K755" s="24" t="inlineStr">
        <is>
          <t>보험수리적손익</t>
        </is>
      </c>
      <c r="L755" s="24" t="inlineStr">
        <is>
          <t>-</t>
        </is>
      </c>
      <c r="M755" s="24" t="inlineStr">
        <is>
          <t>제 26 기</t>
        </is>
      </c>
      <c r="N755" s="24" t="inlineStr">
        <is>
          <t>686639212.0</t>
        </is>
      </c>
      <c r="O755" s="24" t="inlineStr">
        <is>
          <t>-773054587.0</t>
        </is>
      </c>
      <c r="P755" s="24" t="inlineStr">
        <is>
          <t>KRW</t>
        </is>
      </c>
      <c r="Q755" s="24" t="inlineStr">
        <is>
          <t>31</t>
        </is>
      </c>
    </row>
    <row r="756" ht="24" customHeight="1">
      <c r="A756" s="29" t="inlineStr">
        <is>
          <t>OpenDART_fnlttSinglAcntAll</t>
        </is>
      </c>
      <c r="B756" s="29" t="inlineStr">
        <is>
          <t>00366942</t>
        </is>
      </c>
      <c r="C756" s="29" t="inlineStr">
        <is>
          <t>미코</t>
        </is>
      </c>
      <c r="D756" s="29" t="inlineStr">
        <is>
          <t>mico</t>
        </is>
      </c>
      <c r="E756" s="29" t="inlineStr">
        <is>
          <t>059090</t>
        </is>
      </c>
      <c r="F756" s="29" t="inlineStr">
        <is>
          <t>2024</t>
        </is>
      </c>
      <c r="G756" s="29" t="inlineStr">
        <is>
          <t>CFS</t>
        </is>
      </c>
      <c r="H756" s="29" t="inlineStr">
        <is>
          <t>CIS</t>
        </is>
      </c>
      <c r="I756" s="29" t="inlineStr">
        <is>
          <t>포괄손익계산서</t>
        </is>
      </c>
      <c r="J756" s="29" t="inlineStr">
        <is>
          <t>ifrs-full_ProfitLoss</t>
        </is>
      </c>
      <c r="K756" s="29" t="inlineStr">
        <is>
          <t>당기순이익(손실)</t>
        </is>
      </c>
      <c r="L756" s="29" t="inlineStr">
        <is>
          <t>-</t>
        </is>
      </c>
      <c r="M756" s="29" t="inlineStr">
        <is>
          <t>제 26 기</t>
        </is>
      </c>
      <c r="N756" s="29" t="inlineStr">
        <is>
          <t>76514280786.0</t>
        </is>
      </c>
      <c r="O756" s="29" t="inlineStr">
        <is>
          <t>-2036721583.0</t>
        </is>
      </c>
      <c r="P756" s="29" t="inlineStr">
        <is>
          <t>KRW</t>
        </is>
      </c>
      <c r="Q756" s="29" t="inlineStr">
        <is>
          <t>32</t>
        </is>
      </c>
    </row>
    <row r="757" ht="24" customHeight="1">
      <c r="A757" s="24" t="inlineStr">
        <is>
          <t>OpenDART_fnlttSinglAcntAll</t>
        </is>
      </c>
      <c r="B757" s="24" t="inlineStr">
        <is>
          <t>00366942</t>
        </is>
      </c>
      <c r="C757" s="24" t="inlineStr">
        <is>
          <t>미코</t>
        </is>
      </c>
      <c r="D757" s="24" t="inlineStr">
        <is>
          <t>mico</t>
        </is>
      </c>
      <c r="E757" s="24" t="inlineStr">
        <is>
          <t>059090</t>
        </is>
      </c>
      <c r="F757" s="24" t="inlineStr">
        <is>
          <t>2024</t>
        </is>
      </c>
      <c r="G757" s="24" t="inlineStr">
        <is>
          <t>CFS</t>
        </is>
      </c>
      <c r="H757" s="24" t="inlineStr">
        <is>
          <t>CIS</t>
        </is>
      </c>
      <c r="I757" s="24" t="inlineStr">
        <is>
          <t>포괄손익계산서</t>
        </is>
      </c>
      <c r="J757" s="24" t="inlineStr">
        <is>
          <t>ifrs-full_ProfitLossAttributableToNoncontrollingInterests</t>
        </is>
      </c>
      <c r="K757" s="24" t="inlineStr">
        <is>
          <t>비지배지분</t>
        </is>
      </c>
      <c r="L757" s="24" t="inlineStr">
        <is>
          <t>-</t>
        </is>
      </c>
      <c r="M757" s="24" t="inlineStr">
        <is>
          <t>제 26 기</t>
        </is>
      </c>
      <c r="N757" s="24" t="inlineStr">
        <is>
          <t>58398504644.0</t>
        </is>
      </c>
      <c r="O757" s="24" t="inlineStr">
        <is>
          <t>25219016830.0</t>
        </is>
      </c>
      <c r="P757" s="24" t="inlineStr">
        <is>
          <t>KRW</t>
        </is>
      </c>
      <c r="Q757" s="24" t="inlineStr">
        <is>
          <t>34</t>
        </is>
      </c>
    </row>
    <row r="758" ht="24" customHeight="1">
      <c r="A758" s="29" t="inlineStr">
        <is>
          <t>OpenDART_fnlttSinglAcntAll</t>
        </is>
      </c>
      <c r="B758" s="29" t="inlineStr">
        <is>
          <t>00366942</t>
        </is>
      </c>
      <c r="C758" s="29" t="inlineStr">
        <is>
          <t>미코</t>
        </is>
      </c>
      <c r="D758" s="29" t="inlineStr">
        <is>
          <t>mico</t>
        </is>
      </c>
      <c r="E758" s="29" t="inlineStr">
        <is>
          <t>059090</t>
        </is>
      </c>
      <c r="F758" s="29" t="inlineStr">
        <is>
          <t>2024</t>
        </is>
      </c>
      <c r="G758" s="29" t="inlineStr">
        <is>
          <t>CFS</t>
        </is>
      </c>
      <c r="H758" s="29" t="inlineStr">
        <is>
          <t>CIS</t>
        </is>
      </c>
      <c r="I758" s="29" t="inlineStr">
        <is>
          <t>포괄손익계산서</t>
        </is>
      </c>
      <c r="J758" s="29" t="inlineStr">
        <is>
          <t>ifrs-full_ProfitLossAttributableToOwnersOfParent</t>
        </is>
      </c>
      <c r="K758" s="29" t="inlineStr">
        <is>
          <t>지배기업소유지분</t>
        </is>
      </c>
      <c r="L758" s="29" t="inlineStr">
        <is>
          <t>-</t>
        </is>
      </c>
      <c r="M758" s="29" t="inlineStr">
        <is>
          <t>제 26 기</t>
        </is>
      </c>
      <c r="N758" s="29" t="inlineStr">
        <is>
          <t>18115776142.0</t>
        </is>
      </c>
      <c r="O758" s="29" t="inlineStr">
        <is>
          <t>-27255738413.0</t>
        </is>
      </c>
      <c r="P758" s="29" t="inlineStr">
        <is>
          <t>KRW</t>
        </is>
      </c>
      <c r="Q758" s="29" t="inlineStr">
        <is>
          <t>35</t>
        </is>
      </c>
    </row>
    <row r="759" ht="24" customHeight="1">
      <c r="A759" s="24" t="inlineStr">
        <is>
          <t>OpenDART_fnlttSinglAcntAll</t>
        </is>
      </c>
      <c r="B759" s="24" t="inlineStr">
        <is>
          <t>00366942</t>
        </is>
      </c>
      <c r="C759" s="24" t="inlineStr">
        <is>
          <t>미코</t>
        </is>
      </c>
      <c r="D759" s="24" t="inlineStr">
        <is>
          <t>mico</t>
        </is>
      </c>
      <c r="E759" s="24" t="inlineStr">
        <is>
          <t>059090</t>
        </is>
      </c>
      <c r="F759" s="24" t="inlineStr">
        <is>
          <t>2024</t>
        </is>
      </c>
      <c r="G759" s="24" t="inlineStr">
        <is>
          <t>CFS</t>
        </is>
      </c>
      <c r="H759" s="24" t="inlineStr">
        <is>
          <t>CIS</t>
        </is>
      </c>
      <c r="I759" s="24" t="inlineStr">
        <is>
          <t>포괄손익계산서</t>
        </is>
      </c>
      <c r="J759" s="24" t="inlineStr">
        <is>
          <t>ifrs-full_ProfitLossBeforeTax</t>
        </is>
      </c>
      <c r="K759" s="24" t="inlineStr">
        <is>
          <t>법인세비용차감전이익</t>
        </is>
      </c>
      <c r="L759" s="24" t="inlineStr">
        <is>
          <t>-</t>
        </is>
      </c>
      <c r="M759" s="24" t="inlineStr">
        <is>
          <t>제 26 기</t>
        </is>
      </c>
      <c r="N759" s="24" t="inlineStr">
        <is>
          <t>83327998758.0</t>
        </is>
      </c>
      <c r="O759" s="24" t="inlineStr">
        <is>
          <t>40978727597.0</t>
        </is>
      </c>
      <c r="P759" s="24" t="inlineStr">
        <is>
          <t>KRW</t>
        </is>
      </c>
      <c r="Q759" s="24" t="inlineStr">
        <is>
          <t>36</t>
        </is>
      </c>
    </row>
    <row r="760" ht="24" customHeight="1">
      <c r="A760" s="29" t="inlineStr">
        <is>
          <t>OpenDART_fnlttSinglAcntAll</t>
        </is>
      </c>
      <c r="B760" s="29" t="inlineStr">
        <is>
          <t>00366942</t>
        </is>
      </c>
      <c r="C760" s="29" t="inlineStr">
        <is>
          <t>미코</t>
        </is>
      </c>
      <c r="D760" s="29" t="inlineStr">
        <is>
          <t>mico</t>
        </is>
      </c>
      <c r="E760" s="29" t="inlineStr">
        <is>
          <t>059090</t>
        </is>
      </c>
      <c r="F760" s="29" t="inlineStr">
        <is>
          <t>2024</t>
        </is>
      </c>
      <c r="G760" s="29" t="inlineStr">
        <is>
          <t>CFS</t>
        </is>
      </c>
      <c r="H760" s="29" t="inlineStr">
        <is>
          <t>CIS</t>
        </is>
      </c>
      <c r="I760" s="29" t="inlineStr">
        <is>
          <t>포괄손익계산서</t>
        </is>
      </c>
      <c r="J760" s="29" t="inlineStr">
        <is>
          <t>ifrs-full_ProfitLossFromContinuingOperations</t>
        </is>
      </c>
      <c r="K760" s="29" t="inlineStr">
        <is>
          <t>계속영업이익(손실)</t>
        </is>
      </c>
      <c r="L760" s="29" t="inlineStr">
        <is>
          <t>-</t>
        </is>
      </c>
      <c r="M760" s="29" t="inlineStr">
        <is>
          <t>제 26 기</t>
        </is>
      </c>
      <c r="N760" s="29" t="inlineStr">
        <is>
          <t>70106772600.0</t>
        </is>
      </c>
      <c r="O760" s="29" t="inlineStr">
        <is>
          <t>27953681381.0</t>
        </is>
      </c>
      <c r="P760" s="29" t="inlineStr">
        <is>
          <t>KRW</t>
        </is>
      </c>
      <c r="Q760" s="29" t="inlineStr">
        <is>
          <t>37</t>
        </is>
      </c>
    </row>
    <row r="761" ht="24" customHeight="1">
      <c r="A761" s="24" t="inlineStr">
        <is>
          <t>OpenDART_fnlttSinglAcntAll</t>
        </is>
      </c>
      <c r="B761" s="24" t="inlineStr">
        <is>
          <t>00366942</t>
        </is>
      </c>
      <c r="C761" s="24" t="inlineStr">
        <is>
          <t>미코</t>
        </is>
      </c>
      <c r="D761" s="24" t="inlineStr">
        <is>
          <t>mico</t>
        </is>
      </c>
      <c r="E761" s="24" t="inlineStr">
        <is>
          <t>059090</t>
        </is>
      </c>
      <c r="F761" s="24" t="inlineStr">
        <is>
          <t>2024</t>
        </is>
      </c>
      <c r="G761" s="24" t="inlineStr">
        <is>
          <t>CFS</t>
        </is>
      </c>
      <c r="H761" s="24" t="inlineStr">
        <is>
          <t>CIS</t>
        </is>
      </c>
      <c r="I761" s="24" t="inlineStr">
        <is>
          <t>포괄손익계산서</t>
        </is>
      </c>
      <c r="J761" s="24" t="inlineStr">
        <is>
          <t>ifrs-full_ProfitLossFromDiscontinuedOperations</t>
        </is>
      </c>
      <c r="K761" s="24" t="inlineStr">
        <is>
          <t>중단영업이익(손실)</t>
        </is>
      </c>
      <c r="L761" s="24" t="inlineStr">
        <is>
          <t>-</t>
        </is>
      </c>
      <c r="M761" s="24" t="inlineStr">
        <is>
          <t>제 26 기</t>
        </is>
      </c>
      <c r="N761" s="24" t="inlineStr">
        <is>
          <t>6407508186.0</t>
        </is>
      </c>
      <c r="O761" s="24" t="inlineStr">
        <is>
          <t>-29990402964.0</t>
        </is>
      </c>
      <c r="P761" s="24" t="inlineStr">
        <is>
          <t>KRW</t>
        </is>
      </c>
      <c r="Q761" s="24" t="inlineStr">
        <is>
          <t>38</t>
        </is>
      </c>
    </row>
    <row r="762" ht="24" customHeight="1">
      <c r="A762" s="29" t="inlineStr">
        <is>
          <t>OpenDART_fnlttSinglAcntAll</t>
        </is>
      </c>
      <c r="B762" s="29" t="inlineStr">
        <is>
          <t>00366942</t>
        </is>
      </c>
      <c r="C762" s="29" t="inlineStr">
        <is>
          <t>미코</t>
        </is>
      </c>
      <c r="D762" s="29" t="inlineStr">
        <is>
          <t>mico</t>
        </is>
      </c>
      <c r="E762" s="29" t="inlineStr">
        <is>
          <t>059090</t>
        </is>
      </c>
      <c r="F762" s="29" t="inlineStr">
        <is>
          <t>2024</t>
        </is>
      </c>
      <c r="G762" s="29" t="inlineStr">
        <is>
          <t>CFS</t>
        </is>
      </c>
      <c r="H762" s="29" t="inlineStr">
        <is>
          <t>CIS</t>
        </is>
      </c>
      <c r="I762" s="29" t="inlineStr">
        <is>
          <t>포괄손익계산서</t>
        </is>
      </c>
      <c r="J762" s="29" t="inlineStr">
        <is>
          <t>ifrs-full_Revenue</t>
        </is>
      </c>
      <c r="K762" s="29" t="inlineStr">
        <is>
          <t>매출액</t>
        </is>
      </c>
      <c r="L762" s="29" t="inlineStr">
        <is>
          <t>-</t>
        </is>
      </c>
      <c r="M762" s="29" t="inlineStr">
        <is>
          <t>제 26 기</t>
        </is>
      </c>
      <c r="N762" s="29" t="inlineStr">
        <is>
          <t>540504643904.0</t>
        </is>
      </c>
      <c r="O762" s="29" t="inlineStr">
        <is>
          <t>381655137380.0</t>
        </is>
      </c>
      <c r="P762" s="29" t="inlineStr">
        <is>
          <t>KRW</t>
        </is>
      </c>
      <c r="Q762" s="29" t="inlineStr">
        <is>
          <t>39</t>
        </is>
      </c>
    </row>
    <row r="763" ht="24" customHeight="1">
      <c r="A763" s="24" t="inlineStr">
        <is>
          <t>OpenDART_fnlttSinglAcntAll</t>
        </is>
      </c>
      <c r="B763" s="24" t="inlineStr">
        <is>
          <t>00366942</t>
        </is>
      </c>
      <c r="C763" s="24" t="inlineStr">
        <is>
          <t>미코</t>
        </is>
      </c>
      <c r="D763" s="24" t="inlineStr">
        <is>
          <t>mico</t>
        </is>
      </c>
      <c r="E763" s="24" t="inlineStr">
        <is>
          <t>059090</t>
        </is>
      </c>
      <c r="F763" s="24" t="inlineStr">
        <is>
          <t>2024</t>
        </is>
      </c>
      <c r="G763" s="24" t="inlineStr">
        <is>
          <t>CFS</t>
        </is>
      </c>
      <c r="H763" s="24" t="inlineStr">
        <is>
          <t>CF</t>
        </is>
      </c>
      <c r="I763" s="24" t="inlineStr">
        <is>
          <t>현금흐름표</t>
        </is>
      </c>
      <c r="J763" s="24" t="inlineStr">
        <is>
          <t>dart_CashAndCashEquivalentsAtBeginningOfPeriodCf</t>
        </is>
      </c>
      <c r="K763" s="24" t="inlineStr">
        <is>
          <t>기초현금및현금성자산</t>
        </is>
      </c>
      <c r="L763" s="24" t="inlineStr">
        <is>
          <t>-</t>
        </is>
      </c>
      <c r="M763" s="24" t="inlineStr">
        <is>
          <t>제 26 기</t>
        </is>
      </c>
      <c r="N763" s="24" t="inlineStr">
        <is>
          <t>170532361522.0</t>
        </is>
      </c>
      <c r="O763" s="24" t="inlineStr">
        <is>
          <t>131960647862.0</t>
        </is>
      </c>
      <c r="P763" s="24" t="inlineStr">
        <is>
          <t>KRW</t>
        </is>
      </c>
      <c r="Q763" s="24" t="inlineStr">
        <is>
          <t>2</t>
        </is>
      </c>
    </row>
    <row r="764" ht="24" customHeight="1">
      <c r="A764" s="29" t="inlineStr">
        <is>
          <t>OpenDART_fnlttSinglAcntAll</t>
        </is>
      </c>
      <c r="B764" s="29" t="inlineStr">
        <is>
          <t>00366942</t>
        </is>
      </c>
      <c r="C764" s="29" t="inlineStr">
        <is>
          <t>미코</t>
        </is>
      </c>
      <c r="D764" s="29" t="inlineStr">
        <is>
          <t>mico</t>
        </is>
      </c>
      <c r="E764" s="29" t="inlineStr">
        <is>
          <t>059090</t>
        </is>
      </c>
      <c r="F764" s="29" t="inlineStr">
        <is>
          <t>2024</t>
        </is>
      </c>
      <c r="G764" s="29" t="inlineStr">
        <is>
          <t>CFS</t>
        </is>
      </c>
      <c r="H764" s="29" t="inlineStr">
        <is>
          <t>CF</t>
        </is>
      </c>
      <c r="I764" s="29" t="inlineStr">
        <is>
          <t>현금흐름표</t>
        </is>
      </c>
      <c r="J764" s="29" t="inlineStr">
        <is>
          <t>dart_CashAndCashEquivalentsAtEndOfPeriodCf</t>
        </is>
      </c>
      <c r="K764" s="29" t="inlineStr">
        <is>
          <t>기말현금및현금성자산</t>
        </is>
      </c>
      <c r="L764" s="29" t="inlineStr">
        <is>
          <t>-</t>
        </is>
      </c>
      <c r="M764" s="29" t="inlineStr">
        <is>
          <t>제 26 기</t>
        </is>
      </c>
      <c r="N764" s="29" t="inlineStr">
        <is>
          <t>224894256663.0</t>
        </is>
      </c>
      <c r="O764" s="29" t="inlineStr">
        <is>
          <t>170532361522.0</t>
        </is>
      </c>
      <c r="P764" s="29" t="inlineStr">
        <is>
          <t>KRW</t>
        </is>
      </c>
      <c r="Q764" s="29" t="inlineStr">
        <is>
          <t>3</t>
        </is>
      </c>
    </row>
    <row r="765" ht="24" customHeight="1">
      <c r="A765" s="24" t="inlineStr">
        <is>
          <t>OpenDART_fnlttSinglAcntAll</t>
        </is>
      </c>
      <c r="B765" s="24" t="inlineStr">
        <is>
          <t>00366942</t>
        </is>
      </c>
      <c r="C765" s="24" t="inlineStr">
        <is>
          <t>미코</t>
        </is>
      </c>
      <c r="D765" s="24" t="inlineStr">
        <is>
          <t>mico</t>
        </is>
      </c>
      <c r="E765" s="24" t="inlineStr">
        <is>
          <t>059090</t>
        </is>
      </c>
      <c r="F765" s="24" t="inlineStr">
        <is>
          <t>2024</t>
        </is>
      </c>
      <c r="G765" s="24" t="inlineStr">
        <is>
          <t>CFS</t>
        </is>
      </c>
      <c r="H765" s="24" t="inlineStr">
        <is>
          <t>CF</t>
        </is>
      </c>
      <c r="I765" s="24" t="inlineStr">
        <is>
          <t>현금흐름표</t>
        </is>
      </c>
      <c r="J765" s="24" t="inlineStr">
        <is>
          <t>ifrs-full_CashFlowsFromUsedInFinancingActivities</t>
        </is>
      </c>
      <c r="K765" s="24" t="inlineStr">
        <is>
          <t>재무활동현금흐름</t>
        </is>
      </c>
      <c r="L765" s="24" t="inlineStr">
        <is>
          <t>-</t>
        </is>
      </c>
      <c r="M765" s="24" t="inlineStr">
        <is>
          <t>제 26 기</t>
        </is>
      </c>
      <c r="N765" s="24" t="inlineStr">
        <is>
          <t>91403714053.0</t>
        </is>
      </c>
      <c r="O765" s="24" t="inlineStr">
        <is>
          <t>83847362457.0</t>
        </is>
      </c>
      <c r="P765" s="24" t="inlineStr">
        <is>
          <t>KRW</t>
        </is>
      </c>
      <c r="Q765" s="24" t="inlineStr">
        <is>
          <t>8</t>
        </is>
      </c>
    </row>
    <row r="766" ht="24" customHeight="1">
      <c r="A766" s="29" t="inlineStr">
        <is>
          <t>OpenDART_fnlttSinglAcntAll</t>
        </is>
      </c>
      <c r="B766" s="29" t="inlineStr">
        <is>
          <t>00366942</t>
        </is>
      </c>
      <c r="C766" s="29" t="inlineStr">
        <is>
          <t>미코</t>
        </is>
      </c>
      <c r="D766" s="29" t="inlineStr">
        <is>
          <t>mico</t>
        </is>
      </c>
      <c r="E766" s="29" t="inlineStr">
        <is>
          <t>059090</t>
        </is>
      </c>
      <c r="F766" s="29" t="inlineStr">
        <is>
          <t>2024</t>
        </is>
      </c>
      <c r="G766" s="29" t="inlineStr">
        <is>
          <t>CFS</t>
        </is>
      </c>
      <c r="H766" s="29" t="inlineStr">
        <is>
          <t>CF</t>
        </is>
      </c>
      <c r="I766" s="29" t="inlineStr">
        <is>
          <t>현금흐름표</t>
        </is>
      </c>
      <c r="J766" s="29" t="inlineStr">
        <is>
          <t>dart_AdjustmentsForIncreasedecreaseInLongTermWithholdingsBanks</t>
        </is>
      </c>
      <c r="K766" s="29" t="inlineStr">
        <is>
          <t>장기예수금의 감소</t>
        </is>
      </c>
      <c r="L766" s="29" t="inlineStr">
        <is>
          <t>-</t>
        </is>
      </c>
      <c r="M766" s="29" t="inlineStr">
        <is>
          <t>제 26 기</t>
        </is>
      </c>
      <c r="N766" s="29" t="inlineStr">
        <is>
          <t>해당 없음</t>
        </is>
      </c>
      <c r="O766" s="29" t="inlineStr">
        <is>
          <t>279052318.0</t>
        </is>
      </c>
      <c r="P766" s="29" t="inlineStr">
        <is>
          <t>KRW</t>
        </is>
      </c>
      <c r="Q766" s="29" t="inlineStr">
        <is>
          <t>9</t>
        </is>
      </c>
    </row>
    <row r="767" ht="24" customHeight="1">
      <c r="A767" s="24" t="inlineStr">
        <is>
          <t>OpenDART_fnlttSinglAcntAll</t>
        </is>
      </c>
      <c r="B767" s="24" t="inlineStr">
        <is>
          <t>00366942</t>
        </is>
      </c>
      <c r="C767" s="24" t="inlineStr">
        <is>
          <t>미코</t>
        </is>
      </c>
      <c r="D767" s="24" t="inlineStr">
        <is>
          <t>mico</t>
        </is>
      </c>
      <c r="E767" s="24" t="inlineStr">
        <is>
          <t>059090</t>
        </is>
      </c>
      <c r="F767" s="24" t="inlineStr">
        <is>
          <t>2024</t>
        </is>
      </c>
      <c r="G767" s="24" t="inlineStr">
        <is>
          <t>CFS</t>
        </is>
      </c>
      <c r="H767" s="24" t="inlineStr">
        <is>
          <t>CF</t>
        </is>
      </c>
      <c r="I767" s="24" t="inlineStr">
        <is>
          <t>현금흐름표</t>
        </is>
      </c>
      <c r="J767" s="24" t="inlineStr">
        <is>
          <t>dart_DecreaseInGuaranteeDepositsAsFinancialActivities</t>
        </is>
      </c>
      <c r="K767" s="24" t="inlineStr">
        <is>
          <t>임대보증금의 감소</t>
        </is>
      </c>
      <c r="L767" s="24" t="inlineStr">
        <is>
          <t>-</t>
        </is>
      </c>
      <c r="M767" s="24" t="inlineStr">
        <is>
          <t>제 26 기</t>
        </is>
      </c>
      <c r="N767" s="24" t="inlineStr">
        <is>
          <t>352263000.0</t>
        </is>
      </c>
      <c r="O767" s="24" t="inlineStr">
        <is>
          <t>11760000.0</t>
        </is>
      </c>
      <c r="P767" s="24" t="inlineStr">
        <is>
          <t>KRW</t>
        </is>
      </c>
      <c r="Q767" s="24" t="inlineStr">
        <is>
          <t>10</t>
        </is>
      </c>
    </row>
    <row r="768" ht="24" customHeight="1">
      <c r="A768" s="29" t="inlineStr">
        <is>
          <t>OpenDART_fnlttSinglAcntAll</t>
        </is>
      </c>
      <c r="B768" s="29" t="inlineStr">
        <is>
          <t>00366942</t>
        </is>
      </c>
      <c r="C768" s="29" t="inlineStr">
        <is>
          <t>미코</t>
        </is>
      </c>
      <c r="D768" s="29" t="inlineStr">
        <is>
          <t>mico</t>
        </is>
      </c>
      <c r="E768" s="29" t="inlineStr">
        <is>
          <t>059090</t>
        </is>
      </c>
      <c r="F768" s="29" t="inlineStr">
        <is>
          <t>2024</t>
        </is>
      </c>
      <c r="G768" s="29" t="inlineStr">
        <is>
          <t>CFS</t>
        </is>
      </c>
      <c r="H768" s="29" t="inlineStr">
        <is>
          <t>CF</t>
        </is>
      </c>
      <c r="I768" s="29" t="inlineStr">
        <is>
          <t>현금흐름표</t>
        </is>
      </c>
      <c r="J768" s="29" t="inlineStr">
        <is>
          <t>dart_IncreaseInGuaranteeDepositsAsFinancialActivities</t>
        </is>
      </c>
      <c r="K768" s="29" t="inlineStr">
        <is>
          <t>임대보증금의 증가</t>
        </is>
      </c>
      <c r="L768" s="29" t="inlineStr">
        <is>
          <t>-</t>
        </is>
      </c>
      <c r="M768" s="29" t="inlineStr">
        <is>
          <t>제 26 기</t>
        </is>
      </c>
      <c r="N768" s="29" t="inlineStr">
        <is>
          <t>233738000.0</t>
        </is>
      </c>
      <c r="O768" s="29" t="inlineStr">
        <is>
          <t>153430000.0</t>
        </is>
      </c>
      <c r="P768" s="29" t="inlineStr">
        <is>
          <t>KRW</t>
        </is>
      </c>
      <c r="Q768" s="29" t="inlineStr">
        <is>
          <t>11</t>
        </is>
      </c>
    </row>
    <row r="769" ht="24" customHeight="1">
      <c r="A769" s="24" t="inlineStr">
        <is>
          <t>OpenDART_fnlttSinglAcntAll</t>
        </is>
      </c>
      <c r="B769" s="24" t="inlineStr">
        <is>
          <t>00366942</t>
        </is>
      </c>
      <c r="C769" s="24" t="inlineStr">
        <is>
          <t>미코</t>
        </is>
      </c>
      <c r="D769" s="24" t="inlineStr">
        <is>
          <t>mico</t>
        </is>
      </c>
      <c r="E769" s="24" t="inlineStr">
        <is>
          <t>059090</t>
        </is>
      </c>
      <c r="F769" s="24" t="inlineStr">
        <is>
          <t>2024</t>
        </is>
      </c>
      <c r="G769" s="24" t="inlineStr">
        <is>
          <t>CFS</t>
        </is>
      </c>
      <c r="H769" s="24" t="inlineStr">
        <is>
          <t>CF</t>
        </is>
      </c>
      <c r="I769" s="24" t="inlineStr">
        <is>
          <t>현금흐름표</t>
        </is>
      </c>
      <c r="J769" s="24" t="inlineStr">
        <is>
          <t>dart_ProceedsFromBonds</t>
        </is>
      </c>
      <c r="K769" s="24" t="inlineStr">
        <is>
          <t>사채의 발행</t>
        </is>
      </c>
      <c r="L769" s="24" t="inlineStr">
        <is>
          <t>-</t>
        </is>
      </c>
      <c r="M769" s="24" t="inlineStr">
        <is>
          <t>제 26 기</t>
        </is>
      </c>
      <c r="N769" s="24" t="inlineStr">
        <is>
          <t>29531250000.0</t>
        </is>
      </c>
      <c r="O769" s="24" t="inlineStr">
        <is>
          <t>해당 없음</t>
        </is>
      </c>
      <c r="P769" s="24" t="inlineStr">
        <is>
          <t>KRW</t>
        </is>
      </c>
      <c r="Q769" s="24" t="inlineStr">
        <is>
          <t>12</t>
        </is>
      </c>
    </row>
    <row r="770" ht="24" customHeight="1">
      <c r="A770" s="29" t="inlineStr">
        <is>
          <t>OpenDART_fnlttSinglAcntAll</t>
        </is>
      </c>
      <c r="B770" s="29" t="inlineStr">
        <is>
          <t>00366942</t>
        </is>
      </c>
      <c r="C770" s="29" t="inlineStr">
        <is>
          <t>미코</t>
        </is>
      </c>
      <c r="D770" s="29" t="inlineStr">
        <is>
          <t>mico</t>
        </is>
      </c>
      <c r="E770" s="29" t="inlineStr">
        <is>
          <t>059090</t>
        </is>
      </c>
      <c r="F770" s="29" t="inlineStr">
        <is>
          <t>2024</t>
        </is>
      </c>
      <c r="G770" s="29" t="inlineStr">
        <is>
          <t>CFS</t>
        </is>
      </c>
      <c r="H770" s="29" t="inlineStr">
        <is>
          <t>CF</t>
        </is>
      </c>
      <c r="I770" s="29" t="inlineStr">
        <is>
          <t>현금흐름표</t>
        </is>
      </c>
      <c r="J770" s="29" t="inlineStr">
        <is>
          <t>dart_ProceedsFromConvertibleBonds</t>
        </is>
      </c>
      <c r="K770" s="29" t="inlineStr">
        <is>
          <t>전환사채의 발행</t>
        </is>
      </c>
      <c r="L770" s="29" t="inlineStr">
        <is>
          <t>-</t>
        </is>
      </c>
      <c r="M770" s="29" t="inlineStr">
        <is>
          <t>제 26 기</t>
        </is>
      </c>
      <c r="N770" s="29" t="inlineStr">
        <is>
          <t>30000000000.0</t>
        </is>
      </c>
      <c r="O770" s="29" t="inlineStr">
        <is>
          <t>해당 없음</t>
        </is>
      </c>
      <c r="P770" s="29" t="inlineStr">
        <is>
          <t>KRW</t>
        </is>
      </c>
      <c r="Q770" s="29" t="inlineStr">
        <is>
          <t>13</t>
        </is>
      </c>
    </row>
    <row r="771" ht="24" customHeight="1">
      <c r="A771" s="24" t="inlineStr">
        <is>
          <t>OpenDART_fnlttSinglAcntAll</t>
        </is>
      </c>
      <c r="B771" s="24" t="inlineStr">
        <is>
          <t>00366942</t>
        </is>
      </c>
      <c r="C771" s="24" t="inlineStr">
        <is>
          <t>미코</t>
        </is>
      </c>
      <c r="D771" s="24" t="inlineStr">
        <is>
          <t>mico</t>
        </is>
      </c>
      <c r="E771" s="24" t="inlineStr">
        <is>
          <t>059090</t>
        </is>
      </c>
      <c r="F771" s="24" t="inlineStr">
        <is>
          <t>2024</t>
        </is>
      </c>
      <c r="G771" s="24" t="inlineStr">
        <is>
          <t>CFS</t>
        </is>
      </c>
      <c r="H771" s="24" t="inlineStr">
        <is>
          <t>CF</t>
        </is>
      </c>
      <c r="I771" s="24" t="inlineStr">
        <is>
          <t>현금흐름표</t>
        </is>
      </c>
      <c r="J771" s="24" t="inlineStr">
        <is>
          <t>dart_ProceedsFromExchangeableBond</t>
        </is>
      </c>
      <c r="K771" s="24" t="inlineStr">
        <is>
          <t>교환사채의 발행</t>
        </is>
      </c>
      <c r="L771" s="24" t="inlineStr">
        <is>
          <t>-</t>
        </is>
      </c>
      <c r="M771" s="24" t="inlineStr">
        <is>
          <t>제 26 기</t>
        </is>
      </c>
      <c r="N771" s="24" t="inlineStr">
        <is>
          <t>해당 없음</t>
        </is>
      </c>
      <c r="O771" s="24" t="inlineStr">
        <is>
          <t>해당 없음</t>
        </is>
      </c>
      <c r="P771" s="24" t="inlineStr">
        <is>
          <t>KRW</t>
        </is>
      </c>
      <c r="Q771" s="24" t="inlineStr">
        <is>
          <t>14</t>
        </is>
      </c>
    </row>
    <row r="772" ht="24" customHeight="1">
      <c r="A772" s="29" t="inlineStr">
        <is>
          <t>OpenDART_fnlttSinglAcntAll</t>
        </is>
      </c>
      <c r="B772" s="29" t="inlineStr">
        <is>
          <t>00366942</t>
        </is>
      </c>
      <c r="C772" s="29" t="inlineStr">
        <is>
          <t>미코</t>
        </is>
      </c>
      <c r="D772" s="29" t="inlineStr">
        <is>
          <t>mico</t>
        </is>
      </c>
      <c r="E772" s="29" t="inlineStr">
        <is>
          <t>059090</t>
        </is>
      </c>
      <c r="F772" s="29" t="inlineStr">
        <is>
          <t>2024</t>
        </is>
      </c>
      <c r="G772" s="29" t="inlineStr">
        <is>
          <t>CFS</t>
        </is>
      </c>
      <c r="H772" s="29" t="inlineStr">
        <is>
          <t>CF</t>
        </is>
      </c>
      <c r="I772" s="29" t="inlineStr">
        <is>
          <t>현금흐름표</t>
        </is>
      </c>
      <c r="J772" s="29" t="inlineStr">
        <is>
          <t>dart_ProceedsFromLongTermBorrowings</t>
        </is>
      </c>
      <c r="K772" s="29" t="inlineStr">
        <is>
          <t>장기차입금의 증가</t>
        </is>
      </c>
      <c r="L772" s="29" t="inlineStr">
        <is>
          <t>-</t>
        </is>
      </c>
      <c r="M772" s="29" t="inlineStr">
        <is>
          <t>제 26 기</t>
        </is>
      </c>
      <c r="N772" s="29" t="inlineStr">
        <is>
          <t>86810592000.0</t>
        </is>
      </c>
      <c r="O772" s="29" t="inlineStr">
        <is>
          <t>94177312000.0</t>
        </is>
      </c>
      <c r="P772" s="29" t="inlineStr">
        <is>
          <t>KRW</t>
        </is>
      </c>
      <c r="Q772" s="29" t="inlineStr">
        <is>
          <t>15</t>
        </is>
      </c>
    </row>
    <row r="773" ht="24" customHeight="1">
      <c r="A773" s="24" t="inlineStr">
        <is>
          <t>OpenDART_fnlttSinglAcntAll</t>
        </is>
      </c>
      <c r="B773" s="24" t="inlineStr">
        <is>
          <t>00366942</t>
        </is>
      </c>
      <c r="C773" s="24" t="inlineStr">
        <is>
          <t>미코</t>
        </is>
      </c>
      <c r="D773" s="24" t="inlineStr">
        <is>
          <t>mico</t>
        </is>
      </c>
      <c r="E773" s="24" t="inlineStr">
        <is>
          <t>059090</t>
        </is>
      </c>
      <c r="F773" s="24" t="inlineStr">
        <is>
          <t>2024</t>
        </is>
      </c>
      <c r="G773" s="24" t="inlineStr">
        <is>
          <t>CFS</t>
        </is>
      </c>
      <c r="H773" s="24" t="inlineStr">
        <is>
          <t>CF</t>
        </is>
      </c>
      <c r="I773" s="24" t="inlineStr">
        <is>
          <t>현금흐름표</t>
        </is>
      </c>
      <c r="J773" s="24" t="inlineStr">
        <is>
          <t>dart_ProceedsFromShortTermBorrowings</t>
        </is>
      </c>
      <c r="K773" s="24" t="inlineStr">
        <is>
          <t>단기차입금의 증가</t>
        </is>
      </c>
      <c r="L773" s="24" t="inlineStr">
        <is>
          <t>-</t>
        </is>
      </c>
      <c r="M773" s="24" t="inlineStr">
        <is>
          <t>제 26 기</t>
        </is>
      </c>
      <c r="N773" s="24" t="inlineStr">
        <is>
          <t>188444285200.0</t>
        </is>
      </c>
      <c r="O773" s="24" t="inlineStr">
        <is>
          <t>84852993036.0</t>
        </is>
      </c>
      <c r="P773" s="24" t="inlineStr">
        <is>
          <t>KRW</t>
        </is>
      </c>
      <c r="Q773" s="24" t="inlineStr">
        <is>
          <t>16</t>
        </is>
      </c>
    </row>
    <row r="774" ht="24" customHeight="1">
      <c r="A774" s="29" t="inlineStr">
        <is>
          <t>OpenDART_fnlttSinglAcntAll</t>
        </is>
      </c>
      <c r="B774" s="29" t="inlineStr">
        <is>
          <t>00366942</t>
        </is>
      </c>
      <c r="C774" s="29" t="inlineStr">
        <is>
          <t>미코</t>
        </is>
      </c>
      <c r="D774" s="29" t="inlineStr">
        <is>
          <t>mico</t>
        </is>
      </c>
      <c r="E774" s="29" t="inlineStr">
        <is>
          <t>059090</t>
        </is>
      </c>
      <c r="F774" s="29" t="inlineStr">
        <is>
          <t>2024</t>
        </is>
      </c>
      <c r="G774" s="29" t="inlineStr">
        <is>
          <t>CFS</t>
        </is>
      </c>
      <c r="H774" s="29" t="inlineStr">
        <is>
          <t>CF</t>
        </is>
      </c>
      <c r="I774" s="29" t="inlineStr">
        <is>
          <t>현금흐름표</t>
        </is>
      </c>
      <c r="J774" s="29" t="inlineStr">
        <is>
          <t>dart_RepaymentsOfBondWithWarrant</t>
        </is>
      </c>
      <c r="K774" s="29" t="inlineStr">
        <is>
          <t>신주인수권부사채의 감소</t>
        </is>
      </c>
      <c r="L774" s="29" t="inlineStr">
        <is>
          <t>-</t>
        </is>
      </c>
      <c r="M774" s="29" t="inlineStr">
        <is>
          <t>제 26 기</t>
        </is>
      </c>
      <c r="N774" s="29" t="inlineStr">
        <is>
          <t>해당 없음</t>
        </is>
      </c>
      <c r="O774" s="29" t="inlineStr">
        <is>
          <t>해당 없음</t>
        </is>
      </c>
      <c r="P774" s="29" t="inlineStr">
        <is>
          <t>KRW</t>
        </is>
      </c>
      <c r="Q774" s="29" t="inlineStr">
        <is>
          <t>17</t>
        </is>
      </c>
    </row>
    <row r="775" ht="24" customHeight="1">
      <c r="A775" s="24" t="inlineStr">
        <is>
          <t>OpenDART_fnlttSinglAcntAll</t>
        </is>
      </c>
      <c r="B775" s="24" t="inlineStr">
        <is>
          <t>00366942</t>
        </is>
      </c>
      <c r="C775" s="24" t="inlineStr">
        <is>
          <t>미코</t>
        </is>
      </c>
      <c r="D775" s="24" t="inlineStr">
        <is>
          <t>mico</t>
        </is>
      </c>
      <c r="E775" s="24" t="inlineStr">
        <is>
          <t>059090</t>
        </is>
      </c>
      <c r="F775" s="24" t="inlineStr">
        <is>
          <t>2024</t>
        </is>
      </c>
      <c r="G775" s="24" t="inlineStr">
        <is>
          <t>CFS</t>
        </is>
      </c>
      <c r="H775" s="24" t="inlineStr">
        <is>
          <t>CF</t>
        </is>
      </c>
      <c r="I775" s="24" t="inlineStr">
        <is>
          <t>현금흐름표</t>
        </is>
      </c>
      <c r="J775" s="24" t="inlineStr">
        <is>
          <t>dart_RepaymentsOfConvertibleBonds</t>
        </is>
      </c>
      <c r="K775" s="24" t="inlineStr">
        <is>
          <t>전환사채의 감소</t>
        </is>
      </c>
      <c r="L775" s="24" t="inlineStr">
        <is>
          <t>-</t>
        </is>
      </c>
      <c r="M775" s="24" t="inlineStr">
        <is>
          <t>제 26 기</t>
        </is>
      </c>
      <c r="N775" s="24" t="inlineStr">
        <is>
          <t>해당 없음</t>
        </is>
      </c>
      <c r="O775" s="24" t="inlineStr">
        <is>
          <t>해당 없음</t>
        </is>
      </c>
      <c r="P775" s="24" t="inlineStr">
        <is>
          <t>KRW</t>
        </is>
      </c>
      <c r="Q775" s="24" t="inlineStr">
        <is>
          <t>18</t>
        </is>
      </c>
    </row>
    <row r="776" ht="24" customHeight="1">
      <c r="A776" s="29" t="inlineStr">
        <is>
          <t>OpenDART_fnlttSinglAcntAll</t>
        </is>
      </c>
      <c r="B776" s="29" t="inlineStr">
        <is>
          <t>00366942</t>
        </is>
      </c>
      <c r="C776" s="29" t="inlineStr">
        <is>
          <t>미코</t>
        </is>
      </c>
      <c r="D776" s="29" t="inlineStr">
        <is>
          <t>mico</t>
        </is>
      </c>
      <c r="E776" s="29" t="inlineStr">
        <is>
          <t>059090</t>
        </is>
      </c>
      <c r="F776" s="29" t="inlineStr">
        <is>
          <t>2024</t>
        </is>
      </c>
      <c r="G776" s="29" t="inlineStr">
        <is>
          <t>CFS</t>
        </is>
      </c>
      <c r="H776" s="29" t="inlineStr">
        <is>
          <t>CF</t>
        </is>
      </c>
      <c r="I776" s="29" t="inlineStr">
        <is>
          <t>현금흐름표</t>
        </is>
      </c>
      <c r="J776" s="29" t="inlineStr">
        <is>
          <t>dart_RepaymentsOfLongTermBorrowings</t>
        </is>
      </c>
      <c r="K776" s="29" t="inlineStr">
        <is>
          <t>장기차입금의 상환</t>
        </is>
      </c>
      <c r="L776" s="29" t="inlineStr">
        <is>
          <t>-</t>
        </is>
      </c>
      <c r="M776" s="29" t="inlineStr">
        <is>
          <t>제 26 기</t>
        </is>
      </c>
      <c r="N776" s="29" t="inlineStr">
        <is>
          <t>80593150000.0</t>
        </is>
      </c>
      <c r="O776" s="29" t="inlineStr">
        <is>
          <t>666640000.0</t>
        </is>
      </c>
      <c r="P776" s="29" t="inlineStr">
        <is>
          <t>KRW</t>
        </is>
      </c>
      <c r="Q776" s="29" t="inlineStr">
        <is>
          <t>19</t>
        </is>
      </c>
    </row>
    <row r="777" ht="24" customHeight="1">
      <c r="A777" s="24" t="inlineStr">
        <is>
          <t>OpenDART_fnlttSinglAcntAll</t>
        </is>
      </c>
      <c r="B777" s="24" t="inlineStr">
        <is>
          <t>00366942</t>
        </is>
      </c>
      <c r="C777" s="24" t="inlineStr">
        <is>
          <t>미코</t>
        </is>
      </c>
      <c r="D777" s="24" t="inlineStr">
        <is>
          <t>mico</t>
        </is>
      </c>
      <c r="E777" s="24" t="inlineStr">
        <is>
          <t>059090</t>
        </is>
      </c>
      <c r="F777" s="24" t="inlineStr">
        <is>
          <t>2024</t>
        </is>
      </c>
      <c r="G777" s="24" t="inlineStr">
        <is>
          <t>CFS</t>
        </is>
      </c>
      <c r="H777" s="24" t="inlineStr">
        <is>
          <t>CF</t>
        </is>
      </c>
      <c r="I777" s="24" t="inlineStr">
        <is>
          <t>현금흐름표</t>
        </is>
      </c>
      <c r="J777" s="24" t="inlineStr">
        <is>
          <t>dart_RepaymentsOfShortTermBorrowings</t>
        </is>
      </c>
      <c r="K777" s="24" t="inlineStr">
        <is>
          <t>단기차입금의 상환</t>
        </is>
      </c>
      <c r="L777" s="24" t="inlineStr">
        <is>
          <t>-</t>
        </is>
      </c>
      <c r="M777" s="24" t="inlineStr">
        <is>
          <t>제 26 기</t>
        </is>
      </c>
      <c r="N777" s="24" t="inlineStr">
        <is>
          <t>133634900000.0</t>
        </is>
      </c>
      <c r="O777" s="24" t="inlineStr">
        <is>
          <t>64458463029.0</t>
        </is>
      </c>
      <c r="P777" s="24" t="inlineStr">
        <is>
          <t>KRW</t>
        </is>
      </c>
      <c r="Q777" s="24" t="inlineStr">
        <is>
          <t>20</t>
        </is>
      </c>
    </row>
    <row r="778" ht="24" customHeight="1">
      <c r="A778" s="29" t="inlineStr">
        <is>
          <t>OpenDART_fnlttSinglAcntAll</t>
        </is>
      </c>
      <c r="B778" s="29" t="inlineStr">
        <is>
          <t>00366942</t>
        </is>
      </c>
      <c r="C778" s="29" t="inlineStr">
        <is>
          <t>미코</t>
        </is>
      </c>
      <c r="D778" s="29" t="inlineStr">
        <is>
          <t>mico</t>
        </is>
      </c>
      <c r="E778" s="29" t="inlineStr">
        <is>
          <t>059090</t>
        </is>
      </c>
      <c r="F778" s="29" t="inlineStr">
        <is>
          <t>2024</t>
        </is>
      </c>
      <c r="G778" s="29" t="inlineStr">
        <is>
          <t>CFS</t>
        </is>
      </c>
      <c r="H778" s="29" t="inlineStr">
        <is>
          <t>CF</t>
        </is>
      </c>
      <c r="I778" s="29" t="inlineStr">
        <is>
          <t>현금흐름표</t>
        </is>
      </c>
      <c r="J778" s="29" t="inlineStr">
        <is>
          <t>-표준계정코드 미사용-</t>
        </is>
      </c>
      <c r="K778" s="29" t="inlineStr">
        <is>
          <t>기타차입부채의 상환</t>
        </is>
      </c>
      <c r="L778" s="29" t="inlineStr">
        <is>
          <t>-</t>
        </is>
      </c>
      <c r="M778" s="29" t="inlineStr">
        <is>
          <t>제 26 기</t>
        </is>
      </c>
      <c r="N778" s="29" t="inlineStr">
        <is>
          <t>해당 없음</t>
        </is>
      </c>
      <c r="O778" s="29" t="inlineStr">
        <is>
          <t>해당 없음</t>
        </is>
      </c>
      <c r="P778" s="29" t="inlineStr">
        <is>
          <t>KRW</t>
        </is>
      </c>
      <c r="Q778" s="29" t="inlineStr">
        <is>
          <t>21</t>
        </is>
      </c>
    </row>
    <row r="779" ht="24" customHeight="1">
      <c r="A779" s="24" t="inlineStr">
        <is>
          <t>OpenDART_fnlttSinglAcntAll</t>
        </is>
      </c>
      <c r="B779" s="24" t="inlineStr">
        <is>
          <t>00366942</t>
        </is>
      </c>
      <c r="C779" s="24" t="inlineStr">
        <is>
          <t>미코</t>
        </is>
      </c>
      <c r="D779" s="24" t="inlineStr">
        <is>
          <t>mico</t>
        </is>
      </c>
      <c r="E779" s="24" t="inlineStr">
        <is>
          <t>059090</t>
        </is>
      </c>
      <c r="F779" s="24" t="inlineStr">
        <is>
          <t>2024</t>
        </is>
      </c>
      <c r="G779" s="24" t="inlineStr">
        <is>
          <t>CFS</t>
        </is>
      </c>
      <c r="H779" s="24" t="inlineStr">
        <is>
          <t>CF</t>
        </is>
      </c>
      <c r="I779" s="24" t="inlineStr">
        <is>
          <t>현금흐름표</t>
        </is>
      </c>
      <c r="J779" s="24" t="inlineStr">
        <is>
          <t>-표준계정코드 미사용-</t>
        </is>
      </c>
      <c r="K779" s="24" t="inlineStr">
        <is>
          <t>비지배주주와의 거래</t>
        </is>
      </c>
      <c r="L779" s="24" t="inlineStr">
        <is>
          <t>-</t>
        </is>
      </c>
      <c r="M779" s="24" t="inlineStr">
        <is>
          <t>제 26 기</t>
        </is>
      </c>
      <c r="N779" s="24" t="inlineStr">
        <is>
          <t>594143000.0</t>
        </is>
      </c>
      <c r="O779" s="24" t="inlineStr">
        <is>
          <t>해당 없음</t>
        </is>
      </c>
      <c r="P779" s="24" t="inlineStr">
        <is>
          <t>KRW</t>
        </is>
      </c>
      <c r="Q779" s="24" t="inlineStr">
        <is>
          <t>22</t>
        </is>
      </c>
    </row>
    <row r="780" ht="24" customHeight="1">
      <c r="A780" s="29" t="inlineStr">
        <is>
          <t>OpenDART_fnlttSinglAcntAll</t>
        </is>
      </c>
      <c r="B780" s="29" t="inlineStr">
        <is>
          <t>00366942</t>
        </is>
      </c>
      <c r="C780" s="29" t="inlineStr">
        <is>
          <t>미코</t>
        </is>
      </c>
      <c r="D780" s="29" t="inlineStr">
        <is>
          <t>mico</t>
        </is>
      </c>
      <c r="E780" s="29" t="inlineStr">
        <is>
          <t>059090</t>
        </is>
      </c>
      <c r="F780" s="29" t="inlineStr">
        <is>
          <t>2024</t>
        </is>
      </c>
      <c r="G780" s="29" t="inlineStr">
        <is>
          <t>CFS</t>
        </is>
      </c>
      <c r="H780" s="29" t="inlineStr">
        <is>
          <t>CF</t>
        </is>
      </c>
      <c r="I780" s="29" t="inlineStr">
        <is>
          <t>현금흐름표</t>
        </is>
      </c>
      <c r="J780" s="29" t="inlineStr">
        <is>
          <t>-표준계정코드 미사용-</t>
        </is>
      </c>
      <c r="K780" s="29" t="inlineStr">
        <is>
          <t>리스부채의 상환</t>
        </is>
      </c>
      <c r="L780" s="29" t="inlineStr">
        <is>
          <t>-</t>
        </is>
      </c>
      <c r="M780" s="29" t="inlineStr">
        <is>
          <t>제 26 기</t>
        </is>
      </c>
      <c r="N780" s="29" t="inlineStr">
        <is>
          <t>3208016147.0</t>
        </is>
      </c>
      <c r="O780" s="29" t="inlineStr">
        <is>
          <t>2804672128.0</t>
        </is>
      </c>
      <c r="P780" s="29" t="inlineStr">
        <is>
          <t>KRW</t>
        </is>
      </c>
      <c r="Q780" s="29" t="inlineStr">
        <is>
          <t>23</t>
        </is>
      </c>
    </row>
    <row r="781" ht="24" customHeight="1">
      <c r="A781" s="24" t="inlineStr">
        <is>
          <t>OpenDART_fnlttSinglAcntAll</t>
        </is>
      </c>
      <c r="B781" s="24" t="inlineStr">
        <is>
          <t>00366942</t>
        </is>
      </c>
      <c r="C781" s="24" t="inlineStr">
        <is>
          <t>미코</t>
        </is>
      </c>
      <c r="D781" s="24" t="inlineStr">
        <is>
          <t>mico</t>
        </is>
      </c>
      <c r="E781" s="24" t="inlineStr">
        <is>
          <t>059090</t>
        </is>
      </c>
      <c r="F781" s="24" t="inlineStr">
        <is>
          <t>2024</t>
        </is>
      </c>
      <c r="G781" s="24" t="inlineStr">
        <is>
          <t>CFS</t>
        </is>
      </c>
      <c r="H781" s="24" t="inlineStr">
        <is>
          <t>CF</t>
        </is>
      </c>
      <c r="I781" s="24" t="inlineStr">
        <is>
          <t>현금흐름표</t>
        </is>
      </c>
      <c r="J781" s="24" t="inlineStr">
        <is>
          <t>-표준계정코드 미사용-</t>
        </is>
      </c>
      <c r="K781" s="24" t="inlineStr">
        <is>
          <t>유동성장기차입금의 상환</t>
        </is>
      </c>
      <c r="L781" s="24" t="inlineStr">
        <is>
          <t>-</t>
        </is>
      </c>
      <c r="M781" s="24" t="inlineStr">
        <is>
          <t>제 26 기</t>
        </is>
      </c>
      <c r="N781" s="24" t="inlineStr">
        <is>
          <t>20376950000.0</t>
        </is>
      </c>
      <c r="O781" s="24" t="inlineStr">
        <is>
          <t>19421550387.0</t>
        </is>
      </c>
      <c r="P781" s="24" t="inlineStr">
        <is>
          <t>KRW</t>
        </is>
      </c>
      <c r="Q781" s="24" t="inlineStr">
        <is>
          <t>24</t>
        </is>
      </c>
    </row>
    <row r="782" ht="24" customHeight="1">
      <c r="A782" s="29" t="inlineStr">
        <is>
          <t>OpenDART_fnlttSinglAcntAll</t>
        </is>
      </c>
      <c r="B782" s="29" t="inlineStr">
        <is>
          <t>00366942</t>
        </is>
      </c>
      <c r="C782" s="29" t="inlineStr">
        <is>
          <t>미코</t>
        </is>
      </c>
      <c r="D782" s="29" t="inlineStr">
        <is>
          <t>mico</t>
        </is>
      </c>
      <c r="E782" s="29" t="inlineStr">
        <is>
          <t>059090</t>
        </is>
      </c>
      <c r="F782" s="29" t="inlineStr">
        <is>
          <t>2024</t>
        </is>
      </c>
      <c r="G782" s="29" t="inlineStr">
        <is>
          <t>CFS</t>
        </is>
      </c>
      <c r="H782" s="29" t="inlineStr">
        <is>
          <t>CF</t>
        </is>
      </c>
      <c r="I782" s="29" t="inlineStr">
        <is>
          <t>현금흐름표</t>
        </is>
      </c>
      <c r="J782" s="29" t="inlineStr">
        <is>
          <t>ifrs-full_DividendsPaidClassifiedAsFinancingActivities</t>
        </is>
      </c>
      <c r="K782" s="29" t="inlineStr">
        <is>
          <t>배당금지급</t>
        </is>
      </c>
      <c r="L782" s="29" t="inlineStr">
        <is>
          <t>-</t>
        </is>
      </c>
      <c r="M782" s="29" t="inlineStr">
        <is>
          <t>제 26 기</t>
        </is>
      </c>
      <c r="N782" s="29" t="inlineStr">
        <is>
          <t>4856729000.0</t>
        </is>
      </c>
      <c r="O782" s="29" t="inlineStr">
        <is>
          <t>7778375900.0</t>
        </is>
      </c>
      <c r="P782" s="29" t="inlineStr">
        <is>
          <t>KRW</t>
        </is>
      </c>
      <c r="Q782" s="29" t="inlineStr">
        <is>
          <t>25</t>
        </is>
      </c>
    </row>
    <row r="783" ht="24" customHeight="1">
      <c r="A783" s="24" t="inlineStr">
        <is>
          <t>OpenDART_fnlttSinglAcntAll</t>
        </is>
      </c>
      <c r="B783" s="24" t="inlineStr">
        <is>
          <t>00366942</t>
        </is>
      </c>
      <c r="C783" s="24" t="inlineStr">
        <is>
          <t>미코</t>
        </is>
      </c>
      <c r="D783" s="24" t="inlineStr">
        <is>
          <t>mico</t>
        </is>
      </c>
      <c r="E783" s="24" t="inlineStr">
        <is>
          <t>059090</t>
        </is>
      </c>
      <c r="F783" s="24" t="inlineStr">
        <is>
          <t>2024</t>
        </is>
      </c>
      <c r="G783" s="24" t="inlineStr">
        <is>
          <t>CFS</t>
        </is>
      </c>
      <c r="H783" s="24" t="inlineStr">
        <is>
          <t>CF</t>
        </is>
      </c>
      <c r="I783" s="24" t="inlineStr">
        <is>
          <t>현금흐름표</t>
        </is>
      </c>
      <c r="J783" s="24" t="inlineStr">
        <is>
          <t>ifrs-full_ProceedsFromGovernmentGrantsClassifiedAsFinancingActivities</t>
        </is>
      </c>
      <c r="K783" s="24" t="inlineStr">
        <is>
          <t>정부보조금의 수취</t>
        </is>
      </c>
      <c r="L783" s="24" t="inlineStr">
        <is>
          <t>-</t>
        </is>
      </c>
      <c r="M783" s="24" t="inlineStr">
        <is>
          <t>제 26 기</t>
        </is>
      </c>
      <c r="N783" s="24" t="inlineStr">
        <is>
          <t>해당 없음</t>
        </is>
      </c>
      <c r="O783" s="24" t="inlineStr">
        <is>
          <t>84141183.0</t>
        </is>
      </c>
      <c r="P783" s="24" t="inlineStr">
        <is>
          <t>KRW</t>
        </is>
      </c>
      <c r="Q783" s="24" t="inlineStr">
        <is>
          <t>26</t>
        </is>
      </c>
    </row>
    <row r="784" ht="24" customHeight="1">
      <c r="A784" s="29" t="inlineStr">
        <is>
          <t>OpenDART_fnlttSinglAcntAll</t>
        </is>
      </c>
      <c r="B784" s="29" t="inlineStr">
        <is>
          <t>00366942</t>
        </is>
      </c>
      <c r="C784" s="29" t="inlineStr">
        <is>
          <t>미코</t>
        </is>
      </c>
      <c r="D784" s="29" t="inlineStr">
        <is>
          <t>mico</t>
        </is>
      </c>
      <c r="E784" s="29" t="inlineStr">
        <is>
          <t>059090</t>
        </is>
      </c>
      <c r="F784" s="29" t="inlineStr">
        <is>
          <t>2024</t>
        </is>
      </c>
      <c r="G784" s="29" t="inlineStr">
        <is>
          <t>CFS</t>
        </is>
      </c>
      <c r="H784" s="29" t="inlineStr">
        <is>
          <t>CF</t>
        </is>
      </c>
      <c r="I784" s="29" t="inlineStr">
        <is>
          <t>현금흐름표</t>
        </is>
      </c>
      <c r="J784" s="29" t="inlineStr">
        <is>
          <t>ifrs-full_PurchaseOfTreasuryShares</t>
        </is>
      </c>
      <c r="K784" s="29" t="inlineStr">
        <is>
          <t>자기주식의 취득</t>
        </is>
      </c>
      <c r="L784" s="29" t="inlineStr">
        <is>
          <t>-</t>
        </is>
      </c>
      <c r="M784" s="29" t="inlineStr">
        <is>
          <t>제 26 기</t>
        </is>
      </c>
      <c r="N784" s="29" t="inlineStr">
        <is>
          <t>해당 없음</t>
        </is>
      </c>
      <c r="O784" s="29" t="inlineStr">
        <is>
          <t>해당 없음</t>
        </is>
      </c>
      <c r="P784" s="29" t="inlineStr">
        <is>
          <t>KRW</t>
        </is>
      </c>
      <c r="Q784" s="29" t="inlineStr">
        <is>
          <t>27</t>
        </is>
      </c>
    </row>
    <row r="785" ht="24" customHeight="1">
      <c r="A785" s="24" t="inlineStr">
        <is>
          <t>OpenDART_fnlttSinglAcntAll</t>
        </is>
      </c>
      <c r="B785" s="24" t="inlineStr">
        <is>
          <t>00366942</t>
        </is>
      </c>
      <c r="C785" s="24" t="inlineStr">
        <is>
          <t>미코</t>
        </is>
      </c>
      <c r="D785" s="24" t="inlineStr">
        <is>
          <t>mico</t>
        </is>
      </c>
      <c r="E785" s="24" t="inlineStr">
        <is>
          <t>059090</t>
        </is>
      </c>
      <c r="F785" s="24" t="inlineStr">
        <is>
          <t>2024</t>
        </is>
      </c>
      <c r="G785" s="24" t="inlineStr">
        <is>
          <t>CFS</t>
        </is>
      </c>
      <c r="H785" s="24" t="inlineStr">
        <is>
          <t>CF</t>
        </is>
      </c>
      <c r="I785" s="24" t="inlineStr">
        <is>
          <t>현금흐름표</t>
        </is>
      </c>
      <c r="J785" s="24" t="inlineStr">
        <is>
          <t>ifrs-full_CashFlowsFromUsedInInvestingActivities</t>
        </is>
      </c>
      <c r="K785" s="24" t="inlineStr">
        <is>
          <t>투자활동현금흐름</t>
        </is>
      </c>
      <c r="L785" s="24" t="inlineStr">
        <is>
          <t>-</t>
        </is>
      </c>
      <c r="M785" s="24" t="inlineStr">
        <is>
          <t>제 26 기</t>
        </is>
      </c>
      <c r="N785" s="24" t="inlineStr">
        <is>
          <t>-161288125431.0</t>
        </is>
      </c>
      <c r="O785" s="24" t="inlineStr">
        <is>
          <t>-87245250169.0</t>
        </is>
      </c>
      <c r="P785" s="24" t="inlineStr">
        <is>
          <t>KRW</t>
        </is>
      </c>
      <c r="Q785" s="24" t="inlineStr">
        <is>
          <t>28</t>
        </is>
      </c>
    </row>
    <row r="786" ht="24" customHeight="1">
      <c r="A786" s="29" t="inlineStr">
        <is>
          <t>OpenDART_fnlttSinglAcntAll</t>
        </is>
      </c>
      <c r="B786" s="29" t="inlineStr">
        <is>
          <t>00366942</t>
        </is>
      </c>
      <c r="C786" s="29" t="inlineStr">
        <is>
          <t>미코</t>
        </is>
      </c>
      <c r="D786" s="29" t="inlineStr">
        <is>
          <t>mico</t>
        </is>
      </c>
      <c r="E786" s="29" t="inlineStr">
        <is>
          <t>059090</t>
        </is>
      </c>
      <c r="F786" s="29" t="inlineStr">
        <is>
          <t>2024</t>
        </is>
      </c>
      <c r="G786" s="29" t="inlineStr">
        <is>
          <t>CFS</t>
        </is>
      </c>
      <c r="H786" s="29" t="inlineStr">
        <is>
          <t>CF</t>
        </is>
      </c>
      <c r="I786" s="29" t="inlineStr">
        <is>
          <t>현금흐름표</t>
        </is>
      </c>
      <c r="J786" s="29" t="inlineStr">
        <is>
          <t>dart_AdjustmentsForIncreaseDecreaseInDerivativeLiabilities</t>
        </is>
      </c>
      <c r="K786" s="29" t="inlineStr">
        <is>
          <t>파생상품부채의 감소</t>
        </is>
      </c>
      <c r="L786" s="29" t="inlineStr">
        <is>
          <t>-</t>
        </is>
      </c>
      <c r="M786" s="29" t="inlineStr">
        <is>
          <t>제 26 기</t>
        </is>
      </c>
      <c r="N786" s="29" t="inlineStr">
        <is>
          <t>1497008757.0</t>
        </is>
      </c>
      <c r="O786" s="29" t="inlineStr">
        <is>
          <t>해당 없음</t>
        </is>
      </c>
      <c r="P786" s="29" t="inlineStr">
        <is>
          <t>KRW</t>
        </is>
      </c>
      <c r="Q786" s="29" t="inlineStr">
        <is>
          <t>29</t>
        </is>
      </c>
    </row>
    <row r="787" ht="24" customHeight="1">
      <c r="A787" s="24" t="inlineStr">
        <is>
          <t>OpenDART_fnlttSinglAcntAll</t>
        </is>
      </c>
      <c r="B787" s="24" t="inlineStr">
        <is>
          <t>00366942</t>
        </is>
      </c>
      <c r="C787" s="24" t="inlineStr">
        <is>
          <t>미코</t>
        </is>
      </c>
      <c r="D787" s="24" t="inlineStr">
        <is>
          <t>mico</t>
        </is>
      </c>
      <c r="E787" s="24" t="inlineStr">
        <is>
          <t>059090</t>
        </is>
      </c>
      <c r="F787" s="24" t="inlineStr">
        <is>
          <t>2024</t>
        </is>
      </c>
      <c r="G787" s="24" t="inlineStr">
        <is>
          <t>CFS</t>
        </is>
      </c>
      <c r="H787" s="24" t="inlineStr">
        <is>
          <t>CF</t>
        </is>
      </c>
      <c r="I787" s="24" t="inlineStr">
        <is>
          <t>현금흐름표</t>
        </is>
      </c>
      <c r="J787" s="24" t="inlineStr">
        <is>
          <t>dart_DecreaseInGuaranteeDeposits</t>
        </is>
      </c>
      <c r="K787" s="24" t="inlineStr">
        <is>
          <t>보증금의 감소</t>
        </is>
      </c>
      <c r="L787" s="24" t="inlineStr">
        <is>
          <t>-</t>
        </is>
      </c>
      <c r="M787" s="24" t="inlineStr">
        <is>
          <t>제 26 기</t>
        </is>
      </c>
      <c r="N787" s="24" t="inlineStr">
        <is>
          <t>186834902.0</t>
        </is>
      </c>
      <c r="O787" s="24" t="inlineStr">
        <is>
          <t>331652446.0</t>
        </is>
      </c>
      <c r="P787" s="24" t="inlineStr">
        <is>
          <t>KRW</t>
        </is>
      </c>
      <c r="Q787" s="24" t="inlineStr">
        <is>
          <t>30</t>
        </is>
      </c>
    </row>
    <row r="788" ht="24" customHeight="1">
      <c r="A788" s="29" t="inlineStr">
        <is>
          <t>OpenDART_fnlttSinglAcntAll</t>
        </is>
      </c>
      <c r="B788" s="29" t="inlineStr">
        <is>
          <t>00366942</t>
        </is>
      </c>
      <c r="C788" s="29" t="inlineStr">
        <is>
          <t>미코</t>
        </is>
      </c>
      <c r="D788" s="29" t="inlineStr">
        <is>
          <t>mico</t>
        </is>
      </c>
      <c r="E788" s="29" t="inlineStr">
        <is>
          <t>059090</t>
        </is>
      </c>
      <c r="F788" s="29" t="inlineStr">
        <is>
          <t>2024</t>
        </is>
      </c>
      <c r="G788" s="29" t="inlineStr">
        <is>
          <t>CFS</t>
        </is>
      </c>
      <c r="H788" s="29" t="inlineStr">
        <is>
          <t>CF</t>
        </is>
      </c>
      <c r="I788" s="29" t="inlineStr">
        <is>
          <t>현금흐름표</t>
        </is>
      </c>
      <c r="J788" s="29" t="inlineStr">
        <is>
          <t>dart_DecreaseInLoans</t>
        </is>
      </c>
      <c r="K788" s="29" t="inlineStr">
        <is>
          <t>대여금의 감소</t>
        </is>
      </c>
      <c r="L788" s="29" t="inlineStr">
        <is>
          <t>-</t>
        </is>
      </c>
      <c r="M788" s="29" t="inlineStr">
        <is>
          <t>제 26 기</t>
        </is>
      </c>
      <c r="N788" s="29" t="inlineStr">
        <is>
          <t>5023380656.0</t>
        </is>
      </c>
      <c r="O788" s="29" t="inlineStr">
        <is>
          <t>9194108946.0</t>
        </is>
      </c>
      <c r="P788" s="29" t="inlineStr">
        <is>
          <t>KRW</t>
        </is>
      </c>
      <c r="Q788" s="29" t="inlineStr">
        <is>
          <t>31</t>
        </is>
      </c>
    </row>
    <row r="789" ht="24" customHeight="1">
      <c r="A789" s="24" t="inlineStr">
        <is>
          <t>OpenDART_fnlttSinglAcntAll</t>
        </is>
      </c>
      <c r="B789" s="24" t="inlineStr">
        <is>
          <t>00366942</t>
        </is>
      </c>
      <c r="C789" s="24" t="inlineStr">
        <is>
          <t>미코</t>
        </is>
      </c>
      <c r="D789" s="24" t="inlineStr">
        <is>
          <t>mico</t>
        </is>
      </c>
      <c r="E789" s="24" t="inlineStr">
        <is>
          <t>059090</t>
        </is>
      </c>
      <c r="F789" s="24" t="inlineStr">
        <is>
          <t>2024</t>
        </is>
      </c>
      <c r="G789" s="24" t="inlineStr">
        <is>
          <t>CFS</t>
        </is>
      </c>
      <c r="H789" s="24" t="inlineStr">
        <is>
          <t>CF</t>
        </is>
      </c>
      <c r="I789" s="24" t="inlineStr">
        <is>
          <t>현금흐름표</t>
        </is>
      </c>
      <c r="J789" s="24" t="inlineStr">
        <is>
          <t>dart_IncreaseInGuaranteeDeposits</t>
        </is>
      </c>
      <c r="K789" s="24" t="inlineStr">
        <is>
          <t>보증금의 증가</t>
        </is>
      </c>
      <c r="L789" s="24" t="inlineStr">
        <is>
          <t>-</t>
        </is>
      </c>
      <c r="M789" s="24" t="inlineStr">
        <is>
          <t>제 26 기</t>
        </is>
      </c>
      <c r="N789" s="24" t="inlineStr">
        <is>
          <t>1085937410.0</t>
        </is>
      </c>
      <c r="O789" s="24" t="inlineStr">
        <is>
          <t>777492924.0</t>
        </is>
      </c>
      <c r="P789" s="24" t="inlineStr">
        <is>
          <t>KRW</t>
        </is>
      </c>
      <c r="Q789" s="24" t="inlineStr">
        <is>
          <t>32</t>
        </is>
      </c>
    </row>
    <row r="790" ht="24" customHeight="1">
      <c r="A790" s="29" t="inlineStr">
        <is>
          <t>OpenDART_fnlttSinglAcntAll</t>
        </is>
      </c>
      <c r="B790" s="29" t="inlineStr">
        <is>
          <t>00366942</t>
        </is>
      </c>
      <c r="C790" s="29" t="inlineStr">
        <is>
          <t>미코</t>
        </is>
      </c>
      <c r="D790" s="29" t="inlineStr">
        <is>
          <t>mico</t>
        </is>
      </c>
      <c r="E790" s="29" t="inlineStr">
        <is>
          <t>059090</t>
        </is>
      </c>
      <c r="F790" s="29" t="inlineStr">
        <is>
          <t>2024</t>
        </is>
      </c>
      <c r="G790" s="29" t="inlineStr">
        <is>
          <t>CFS</t>
        </is>
      </c>
      <c r="H790" s="29" t="inlineStr">
        <is>
          <t>CF</t>
        </is>
      </c>
      <c r="I790" s="29" t="inlineStr">
        <is>
          <t>현금흐름표</t>
        </is>
      </c>
      <c r="J790" s="29" t="inlineStr">
        <is>
          <t>dart_IncreaseInLoans</t>
        </is>
      </c>
      <c r="K790" s="29" t="inlineStr">
        <is>
          <t>대여금의 증가</t>
        </is>
      </c>
      <c r="L790" s="29" t="inlineStr">
        <is>
          <t>-</t>
        </is>
      </c>
      <c r="M790" s="29" t="inlineStr">
        <is>
          <t>제 26 기</t>
        </is>
      </c>
      <c r="N790" s="29" t="inlineStr">
        <is>
          <t>17316777797.0</t>
        </is>
      </c>
      <c r="O790" s="29" t="inlineStr">
        <is>
          <t>59261581000.0</t>
        </is>
      </c>
      <c r="P790" s="29" t="inlineStr">
        <is>
          <t>KRW</t>
        </is>
      </c>
      <c r="Q790" s="29" t="inlineStr">
        <is>
          <t>33</t>
        </is>
      </c>
    </row>
    <row r="791" ht="24" customHeight="1">
      <c r="A791" s="24" t="inlineStr">
        <is>
          <t>OpenDART_fnlttSinglAcntAll</t>
        </is>
      </c>
      <c r="B791" s="24" t="inlineStr">
        <is>
          <t>00366942</t>
        </is>
      </c>
      <c r="C791" s="24" t="inlineStr">
        <is>
          <t>미코</t>
        </is>
      </c>
      <c r="D791" s="24" t="inlineStr">
        <is>
          <t>mico</t>
        </is>
      </c>
      <c r="E791" s="24" t="inlineStr">
        <is>
          <t>059090</t>
        </is>
      </c>
      <c r="F791" s="24" t="inlineStr">
        <is>
          <t>2024</t>
        </is>
      </c>
      <c r="G791" s="24" t="inlineStr">
        <is>
          <t>CFS</t>
        </is>
      </c>
      <c r="H791" s="24" t="inlineStr">
        <is>
          <t>CF</t>
        </is>
      </c>
      <c r="I791" s="24" t="inlineStr">
        <is>
          <t>현금흐름표</t>
        </is>
      </c>
      <c r="J791" s="24" t="inlineStr">
        <is>
          <t>dart_ProceedsFromSalesOfFinancialInstruments</t>
        </is>
      </c>
      <c r="K791" s="24" t="inlineStr">
        <is>
          <t>금융상품의 감소</t>
        </is>
      </c>
      <c r="L791" s="24" t="inlineStr">
        <is>
          <t>-</t>
        </is>
      </c>
      <c r="M791" s="24" t="inlineStr">
        <is>
          <t>제 26 기</t>
        </is>
      </c>
      <c r="N791" s="24" t="inlineStr">
        <is>
          <t>97128120000.0</t>
        </is>
      </c>
      <c r="O791" s="24" t="inlineStr">
        <is>
          <t>97677322981.0</t>
        </is>
      </c>
      <c r="P791" s="24" t="inlineStr">
        <is>
          <t>KRW</t>
        </is>
      </c>
      <c r="Q791" s="24" t="inlineStr">
        <is>
          <t>34</t>
        </is>
      </c>
    </row>
    <row r="792" ht="24" customHeight="1">
      <c r="A792" s="29" t="inlineStr">
        <is>
          <t>OpenDART_fnlttSinglAcntAll</t>
        </is>
      </c>
      <c r="B792" s="29" t="inlineStr">
        <is>
          <t>00366942</t>
        </is>
      </c>
      <c r="C792" s="29" t="inlineStr">
        <is>
          <t>미코</t>
        </is>
      </c>
      <c r="D792" s="29" t="inlineStr">
        <is>
          <t>mico</t>
        </is>
      </c>
      <c r="E792" s="29" t="inlineStr">
        <is>
          <t>059090</t>
        </is>
      </c>
      <c r="F792" s="29" t="inlineStr">
        <is>
          <t>2024</t>
        </is>
      </c>
      <c r="G792" s="29" t="inlineStr">
        <is>
          <t>CFS</t>
        </is>
      </c>
      <c r="H792" s="29" t="inlineStr">
        <is>
          <t>CF</t>
        </is>
      </c>
      <c r="I792" s="29" t="inlineStr">
        <is>
          <t>현금흐름표</t>
        </is>
      </c>
      <c r="J792" s="29" t="inlineStr">
        <is>
          <t>dart_PurchaseOfFinancialInstruments</t>
        </is>
      </c>
      <c r="K792" s="29" t="inlineStr">
        <is>
          <t>금융상품의 증가</t>
        </is>
      </c>
      <c r="L792" s="29" t="inlineStr">
        <is>
          <t>-</t>
        </is>
      </c>
      <c r="M792" s="29" t="inlineStr">
        <is>
          <t>제 26 기</t>
        </is>
      </c>
      <c r="N792" s="29" t="inlineStr">
        <is>
          <t>87495322850.0</t>
        </is>
      </c>
      <c r="O792" s="29" t="inlineStr">
        <is>
          <t>85309300000.0</t>
        </is>
      </c>
      <c r="P792" s="29" t="inlineStr">
        <is>
          <t>KRW</t>
        </is>
      </c>
      <c r="Q792" s="29" t="inlineStr">
        <is>
          <t>35</t>
        </is>
      </c>
    </row>
    <row r="793" ht="24" customHeight="1">
      <c r="A793" s="24" t="inlineStr">
        <is>
          <t>OpenDART_fnlttSinglAcntAll</t>
        </is>
      </c>
      <c r="B793" s="24" t="inlineStr">
        <is>
          <t>00366942</t>
        </is>
      </c>
      <c r="C793" s="24" t="inlineStr">
        <is>
          <t>미코</t>
        </is>
      </c>
      <c r="D793" s="24" t="inlineStr">
        <is>
          <t>mico</t>
        </is>
      </c>
      <c r="E793" s="24" t="inlineStr">
        <is>
          <t>059090</t>
        </is>
      </c>
      <c r="F793" s="24" t="inlineStr">
        <is>
          <t>2024</t>
        </is>
      </c>
      <c r="G793" s="24" t="inlineStr">
        <is>
          <t>CFS</t>
        </is>
      </c>
      <c r="H793" s="24" t="inlineStr">
        <is>
          <t>CF</t>
        </is>
      </c>
      <c r="I793" s="24" t="inlineStr">
        <is>
          <t>현금흐름표</t>
        </is>
      </c>
      <c r="J793" s="24" t="inlineStr">
        <is>
          <t>dart_RepaymentForGovernmentGrantsClassifiedAsFinancingActivities</t>
        </is>
      </c>
      <c r="K793" s="24" t="inlineStr">
        <is>
          <t>정부보조금의 감소</t>
        </is>
      </c>
      <c r="L793" s="24" t="inlineStr">
        <is>
          <t>-</t>
        </is>
      </c>
      <c r="M793" s="24" t="inlineStr">
        <is>
          <t>제 26 기</t>
        </is>
      </c>
      <c r="N793" s="24" t="inlineStr">
        <is>
          <t>해당 없음</t>
        </is>
      </c>
      <c r="O793" s="24" t="inlineStr">
        <is>
          <t>해당 없음</t>
        </is>
      </c>
      <c r="P793" s="24" t="inlineStr">
        <is>
          <t>KRW</t>
        </is>
      </c>
      <c r="Q793" s="24" t="inlineStr">
        <is>
          <t>36</t>
        </is>
      </c>
    </row>
    <row r="794" ht="24" customHeight="1">
      <c r="A794" s="29" t="inlineStr">
        <is>
          <t>OpenDART_fnlttSinglAcntAll</t>
        </is>
      </c>
      <c r="B794" s="29" t="inlineStr">
        <is>
          <t>00366942</t>
        </is>
      </c>
      <c r="C794" s="29" t="inlineStr">
        <is>
          <t>미코</t>
        </is>
      </c>
      <c r="D794" s="29" t="inlineStr">
        <is>
          <t>mico</t>
        </is>
      </c>
      <c r="E794" s="29" t="inlineStr">
        <is>
          <t>059090</t>
        </is>
      </c>
      <c r="F794" s="29" t="inlineStr">
        <is>
          <t>2024</t>
        </is>
      </c>
      <c r="G794" s="29" t="inlineStr">
        <is>
          <t>CFS</t>
        </is>
      </c>
      <c r="H794" s="29" t="inlineStr">
        <is>
          <t>CF</t>
        </is>
      </c>
      <c r="I794" s="29" t="inlineStr">
        <is>
          <t>현금흐름표</t>
        </is>
      </c>
      <c r="J794" s="29" t="inlineStr">
        <is>
          <t>-표준계정코드 미사용-</t>
        </is>
      </c>
      <c r="K794" s="29" t="inlineStr">
        <is>
          <t>관계기업투자주식 취득 선급금</t>
        </is>
      </c>
      <c r="L794" s="29" t="inlineStr">
        <is>
          <t>-</t>
        </is>
      </c>
      <c r="M794" s="29" t="inlineStr">
        <is>
          <t>제 26 기</t>
        </is>
      </c>
      <c r="N794" s="29" t="inlineStr">
        <is>
          <t>300000000.0</t>
        </is>
      </c>
      <c r="O794" s="29" t="inlineStr">
        <is>
          <t>해당 없음</t>
        </is>
      </c>
      <c r="P794" s="29" t="inlineStr">
        <is>
          <t>KRW</t>
        </is>
      </c>
      <c r="Q794" s="29" t="inlineStr">
        <is>
          <t>37</t>
        </is>
      </c>
    </row>
    <row r="795" ht="24" customHeight="1">
      <c r="A795" s="24" t="inlineStr">
        <is>
          <t>OpenDART_fnlttSinglAcntAll</t>
        </is>
      </c>
      <c r="B795" s="24" t="inlineStr">
        <is>
          <t>00366942</t>
        </is>
      </c>
      <c r="C795" s="24" t="inlineStr">
        <is>
          <t>미코</t>
        </is>
      </c>
      <c r="D795" s="24" t="inlineStr">
        <is>
          <t>mico</t>
        </is>
      </c>
      <c r="E795" s="24" t="inlineStr">
        <is>
          <t>059090</t>
        </is>
      </c>
      <c r="F795" s="24" t="inlineStr">
        <is>
          <t>2024</t>
        </is>
      </c>
      <c r="G795" s="24" t="inlineStr">
        <is>
          <t>CFS</t>
        </is>
      </c>
      <c r="H795" s="24" t="inlineStr">
        <is>
          <t>CF</t>
        </is>
      </c>
      <c r="I795" s="24" t="inlineStr">
        <is>
          <t>현금흐름표</t>
        </is>
      </c>
      <c r="J795" s="24" t="inlineStr">
        <is>
          <t>-표준계정코드 미사용-</t>
        </is>
      </c>
      <c r="K795" s="24" t="inlineStr">
        <is>
          <t>당기손익-공정가치측정 금융자산의 처분</t>
        </is>
      </c>
      <c r="L795" s="24" t="inlineStr">
        <is>
          <t>-</t>
        </is>
      </c>
      <c r="M795" s="24" t="inlineStr">
        <is>
          <t>제 26 기</t>
        </is>
      </c>
      <c r="N795" s="24" t="inlineStr">
        <is>
          <t>726673160.0</t>
        </is>
      </c>
      <c r="O795" s="24" t="inlineStr">
        <is>
          <t>1661271802.0</t>
        </is>
      </c>
      <c r="P795" s="24" t="inlineStr">
        <is>
          <t>KRW</t>
        </is>
      </c>
      <c r="Q795" s="24" t="inlineStr">
        <is>
          <t>38</t>
        </is>
      </c>
    </row>
    <row r="796" ht="24" customHeight="1">
      <c r="A796" s="29" t="inlineStr">
        <is>
          <t>OpenDART_fnlttSinglAcntAll</t>
        </is>
      </c>
      <c r="B796" s="29" t="inlineStr">
        <is>
          <t>00366942</t>
        </is>
      </c>
      <c r="C796" s="29" t="inlineStr">
        <is>
          <t>미코</t>
        </is>
      </c>
      <c r="D796" s="29" t="inlineStr">
        <is>
          <t>mico</t>
        </is>
      </c>
      <c r="E796" s="29" t="inlineStr">
        <is>
          <t>059090</t>
        </is>
      </c>
      <c r="F796" s="29" t="inlineStr">
        <is>
          <t>2024</t>
        </is>
      </c>
      <c r="G796" s="29" t="inlineStr">
        <is>
          <t>CFS</t>
        </is>
      </c>
      <c r="H796" s="29" t="inlineStr">
        <is>
          <t>CF</t>
        </is>
      </c>
      <c r="I796" s="29" t="inlineStr">
        <is>
          <t>현금흐름표</t>
        </is>
      </c>
      <c r="J796" s="29" t="inlineStr">
        <is>
          <t>-표준계정코드 미사용-</t>
        </is>
      </c>
      <c r="K796" s="29" t="inlineStr">
        <is>
          <t>매각예정자산에 대한 선수금의 수취</t>
        </is>
      </c>
      <c r="L796" s="29" t="inlineStr">
        <is>
          <t>-</t>
        </is>
      </c>
      <c r="M796" s="29" t="inlineStr">
        <is>
          <t>제 26 기</t>
        </is>
      </c>
      <c r="N796" s="29" t="inlineStr">
        <is>
          <t>3703580113.0</t>
        </is>
      </c>
      <c r="O796" s="29" t="inlineStr">
        <is>
          <t>1976000000.0</t>
        </is>
      </c>
      <c r="P796" s="29" t="inlineStr">
        <is>
          <t>KRW</t>
        </is>
      </c>
      <c r="Q796" s="29" t="inlineStr">
        <is>
          <t>39</t>
        </is>
      </c>
    </row>
    <row r="797" ht="24" customHeight="1">
      <c r="A797" s="24" t="inlineStr">
        <is>
          <t>OpenDART_fnlttSinglAcntAll</t>
        </is>
      </c>
      <c r="B797" s="24" t="inlineStr">
        <is>
          <t>00366942</t>
        </is>
      </c>
      <c r="C797" s="24" t="inlineStr">
        <is>
          <t>미코</t>
        </is>
      </c>
      <c r="D797" s="24" t="inlineStr">
        <is>
          <t>mico</t>
        </is>
      </c>
      <c r="E797" s="24" t="inlineStr">
        <is>
          <t>059090</t>
        </is>
      </c>
      <c r="F797" s="24" t="inlineStr">
        <is>
          <t>2024</t>
        </is>
      </c>
      <c r="G797" s="24" t="inlineStr">
        <is>
          <t>CFS</t>
        </is>
      </c>
      <c r="H797" s="24" t="inlineStr">
        <is>
          <t>CF</t>
        </is>
      </c>
      <c r="I797" s="24" t="inlineStr">
        <is>
          <t>현금흐름표</t>
        </is>
      </c>
      <c r="J797" s="24" t="inlineStr">
        <is>
          <t>-표준계정코드 미사용-</t>
        </is>
      </c>
      <c r="K797" s="24" t="inlineStr">
        <is>
          <t>당기손익-공정가치측정 금융자산의 취득</t>
        </is>
      </c>
      <c r="L797" s="24" t="inlineStr">
        <is>
          <t>-</t>
        </is>
      </c>
      <c r="M797" s="24" t="inlineStr">
        <is>
          <t>제 26 기</t>
        </is>
      </c>
      <c r="N797" s="24" t="inlineStr">
        <is>
          <t>1356010000.0</t>
        </is>
      </c>
      <c r="O797" s="24" t="inlineStr">
        <is>
          <t>10783371790.0</t>
        </is>
      </c>
      <c r="P797" s="24" t="inlineStr">
        <is>
          <t>KRW</t>
        </is>
      </c>
      <c r="Q797" s="24" t="inlineStr">
        <is>
          <t>40</t>
        </is>
      </c>
    </row>
    <row r="798" ht="24" customHeight="1">
      <c r="A798" s="29" t="inlineStr">
        <is>
          <t>OpenDART_fnlttSinglAcntAll</t>
        </is>
      </c>
      <c r="B798" s="29" t="inlineStr">
        <is>
          <t>00366942</t>
        </is>
      </c>
      <c r="C798" s="29" t="inlineStr">
        <is>
          <t>미코</t>
        </is>
      </c>
      <c r="D798" s="29" t="inlineStr">
        <is>
          <t>mico</t>
        </is>
      </c>
      <c r="E798" s="29" t="inlineStr">
        <is>
          <t>059090</t>
        </is>
      </c>
      <c r="F798" s="29" t="inlineStr">
        <is>
          <t>2024</t>
        </is>
      </c>
      <c r="G798" s="29" t="inlineStr">
        <is>
          <t>CFS</t>
        </is>
      </c>
      <c r="H798" s="29" t="inlineStr">
        <is>
          <t>CF</t>
        </is>
      </c>
      <c r="I798" s="29" t="inlineStr">
        <is>
          <t>현금흐름표</t>
        </is>
      </c>
      <c r="J798" s="29" t="inlineStr">
        <is>
          <t>-표준계정코드 미사용-</t>
        </is>
      </c>
      <c r="K798" s="29" t="inlineStr">
        <is>
          <t>기타포괄손익-공정가치측정 금융자산의 처분</t>
        </is>
      </c>
      <c r="L798" s="29" t="inlineStr">
        <is>
          <t>-</t>
        </is>
      </c>
      <c r="M798" s="29" t="inlineStr">
        <is>
          <t>제 26 기</t>
        </is>
      </c>
      <c r="N798" s="29" t="inlineStr">
        <is>
          <t>해당 없음</t>
        </is>
      </c>
      <c r="O798" s="29" t="inlineStr">
        <is>
          <t>1197000000.0</t>
        </is>
      </c>
      <c r="P798" s="29" t="inlineStr">
        <is>
          <t>KRW</t>
        </is>
      </c>
      <c r="Q798" s="29" t="inlineStr">
        <is>
          <t>41</t>
        </is>
      </c>
    </row>
    <row r="799" ht="24" customHeight="1">
      <c r="A799" s="24" t="inlineStr">
        <is>
          <t>OpenDART_fnlttSinglAcntAll</t>
        </is>
      </c>
      <c r="B799" s="24" t="inlineStr">
        <is>
          <t>00366942</t>
        </is>
      </c>
      <c r="C799" s="24" t="inlineStr">
        <is>
          <t>미코</t>
        </is>
      </c>
      <c r="D799" s="24" t="inlineStr">
        <is>
          <t>mico</t>
        </is>
      </c>
      <c r="E799" s="24" t="inlineStr">
        <is>
          <t>059090</t>
        </is>
      </c>
      <c r="F799" s="24" t="inlineStr">
        <is>
          <t>2024</t>
        </is>
      </c>
      <c r="G799" s="24" t="inlineStr">
        <is>
          <t>CFS</t>
        </is>
      </c>
      <c r="H799" s="24" t="inlineStr">
        <is>
          <t>CF</t>
        </is>
      </c>
      <c r="I799" s="24" t="inlineStr">
        <is>
          <t>현금흐름표</t>
        </is>
      </c>
      <c r="J799" s="24" t="inlineStr">
        <is>
          <t>-표준계정코드 미사용-</t>
        </is>
      </c>
      <c r="K799" s="24" t="inlineStr">
        <is>
          <t>파생상품의 증가</t>
        </is>
      </c>
      <c r="L799" s="24" t="inlineStr">
        <is>
          <t>-</t>
        </is>
      </c>
      <c r="M799" s="24" t="inlineStr">
        <is>
          <t>제 26 기</t>
        </is>
      </c>
      <c r="N799" s="24" t="inlineStr">
        <is>
          <t>9581198.0</t>
        </is>
      </c>
      <c r="O799" s="24" t="inlineStr">
        <is>
          <t>250000.0</t>
        </is>
      </c>
      <c r="P799" s="24" t="inlineStr">
        <is>
          <t>KRW</t>
        </is>
      </c>
      <c r="Q799" s="24" t="inlineStr">
        <is>
          <t>42</t>
        </is>
      </c>
    </row>
    <row r="800" ht="24" customHeight="1">
      <c r="A800" s="29" t="inlineStr">
        <is>
          <t>OpenDART_fnlttSinglAcntAll</t>
        </is>
      </c>
      <c r="B800" s="29" t="inlineStr">
        <is>
          <t>00366942</t>
        </is>
      </c>
      <c r="C800" s="29" t="inlineStr">
        <is>
          <t>미코</t>
        </is>
      </c>
      <c r="D800" s="29" t="inlineStr">
        <is>
          <t>mico</t>
        </is>
      </c>
      <c r="E800" s="29" t="inlineStr">
        <is>
          <t>059090</t>
        </is>
      </c>
      <c r="F800" s="29" t="inlineStr">
        <is>
          <t>2024</t>
        </is>
      </c>
      <c r="G800" s="29" t="inlineStr">
        <is>
          <t>CFS</t>
        </is>
      </c>
      <c r="H800" s="29" t="inlineStr">
        <is>
          <t>CF</t>
        </is>
      </c>
      <c r="I800" s="29" t="inlineStr">
        <is>
          <t>현금흐름표</t>
        </is>
      </c>
      <c r="J800" s="29" t="inlineStr">
        <is>
          <t>-표준계정코드 미사용-</t>
        </is>
      </c>
      <c r="K800" s="29" t="inlineStr">
        <is>
          <t>연결범위변동으로 인한 현금유출입</t>
        </is>
      </c>
      <c r="L800" s="29" t="inlineStr">
        <is>
          <t>-</t>
        </is>
      </c>
      <c r="M800" s="29" t="inlineStr">
        <is>
          <t>제 26 기</t>
        </is>
      </c>
      <c r="N800" s="29" t="inlineStr">
        <is>
          <t>23129821446.0</t>
        </is>
      </c>
      <c r="O800" s="29" t="inlineStr">
        <is>
          <t>13466516441.0</t>
        </is>
      </c>
      <c r="P800" s="29" t="inlineStr">
        <is>
          <t>KRW</t>
        </is>
      </c>
      <c r="Q800" s="29" t="inlineStr">
        <is>
          <t>43</t>
        </is>
      </c>
    </row>
    <row r="801" ht="24" customHeight="1">
      <c r="A801" s="24" t="inlineStr">
        <is>
          <t>OpenDART_fnlttSinglAcntAll</t>
        </is>
      </c>
      <c r="B801" s="24" t="inlineStr">
        <is>
          <t>00366942</t>
        </is>
      </c>
      <c r="C801" s="24" t="inlineStr">
        <is>
          <t>미코</t>
        </is>
      </c>
      <c r="D801" s="24" t="inlineStr">
        <is>
          <t>mico</t>
        </is>
      </c>
      <c r="E801" s="24" t="inlineStr">
        <is>
          <t>059090</t>
        </is>
      </c>
      <c r="F801" s="24" t="inlineStr">
        <is>
          <t>2024</t>
        </is>
      </c>
      <c r="G801" s="24" t="inlineStr">
        <is>
          <t>CFS</t>
        </is>
      </c>
      <c r="H801" s="24" t="inlineStr">
        <is>
          <t>CF</t>
        </is>
      </c>
      <c r="I801" s="24" t="inlineStr">
        <is>
          <t>현금흐름표</t>
        </is>
      </c>
      <c r="J801" s="24" t="inlineStr">
        <is>
          <t>ifrs-full_BorrowingCostsCapitalised</t>
        </is>
      </c>
      <c r="K801" s="24" t="inlineStr">
        <is>
          <t>자본화차입원가에 의한 유형자산의 취득</t>
        </is>
      </c>
      <c r="L801" s="24" t="inlineStr">
        <is>
          <t>-</t>
        </is>
      </c>
      <c r="M801" s="24" t="inlineStr">
        <is>
          <t>제 26 기</t>
        </is>
      </c>
      <c r="N801" s="24" t="inlineStr">
        <is>
          <t>1083193444.0</t>
        </is>
      </c>
      <c r="O801" s="24" t="inlineStr">
        <is>
          <t>해당 없음</t>
        </is>
      </c>
      <c r="P801" s="24" t="inlineStr">
        <is>
          <t>KRW</t>
        </is>
      </c>
      <c r="Q801" s="24" t="inlineStr">
        <is>
          <t>44</t>
        </is>
      </c>
    </row>
    <row r="802" ht="24" customHeight="1">
      <c r="A802" s="29" t="inlineStr">
        <is>
          <t>OpenDART_fnlttSinglAcntAll</t>
        </is>
      </c>
      <c r="B802" s="29" t="inlineStr">
        <is>
          <t>00366942</t>
        </is>
      </c>
      <c r="C802" s="29" t="inlineStr">
        <is>
          <t>미코</t>
        </is>
      </c>
      <c r="D802" s="29" t="inlineStr">
        <is>
          <t>mico</t>
        </is>
      </c>
      <c r="E802" s="29" t="inlineStr">
        <is>
          <t>059090</t>
        </is>
      </c>
      <c r="F802" s="29" t="inlineStr">
        <is>
          <t>2024</t>
        </is>
      </c>
      <c r="G802" s="29" t="inlineStr">
        <is>
          <t>CFS</t>
        </is>
      </c>
      <c r="H802" s="29" t="inlineStr">
        <is>
          <t>CF</t>
        </is>
      </c>
      <c r="I802" s="29" t="inlineStr">
        <is>
          <t>현금흐름표</t>
        </is>
      </c>
      <c r="J802" s="29" t="inlineStr">
        <is>
          <t>ifrs-full_DividendsReceivedClassifiedAsInvestingActivities</t>
        </is>
      </c>
      <c r="K802" s="29" t="inlineStr">
        <is>
          <t>배당금의 수취</t>
        </is>
      </c>
      <c r="L802" s="29" t="inlineStr">
        <is>
          <t>-</t>
        </is>
      </c>
      <c r="M802" s="29" t="inlineStr">
        <is>
          <t>제 26 기</t>
        </is>
      </c>
      <c r="N802" s="29" t="inlineStr">
        <is>
          <t>해당 없음</t>
        </is>
      </c>
      <c r="O802" s="29" t="inlineStr">
        <is>
          <t>29917809.0</t>
        </is>
      </c>
      <c r="P802" s="29" t="inlineStr">
        <is>
          <t>KRW</t>
        </is>
      </c>
      <c r="Q802" s="29" t="inlineStr">
        <is>
          <t>45</t>
        </is>
      </c>
    </row>
    <row r="803" ht="24" customHeight="1">
      <c r="A803" s="24" t="inlineStr">
        <is>
          <t>OpenDART_fnlttSinglAcntAll</t>
        </is>
      </c>
      <c r="B803" s="24" t="inlineStr">
        <is>
          <t>00366942</t>
        </is>
      </c>
      <c r="C803" s="24" t="inlineStr">
        <is>
          <t>미코</t>
        </is>
      </c>
      <c r="D803" s="24" t="inlineStr">
        <is>
          <t>mico</t>
        </is>
      </c>
      <c r="E803" s="24" t="inlineStr">
        <is>
          <t>059090</t>
        </is>
      </c>
      <c r="F803" s="24" t="inlineStr">
        <is>
          <t>2024</t>
        </is>
      </c>
      <c r="G803" s="24" t="inlineStr">
        <is>
          <t>CFS</t>
        </is>
      </c>
      <c r="H803" s="24" t="inlineStr">
        <is>
          <t>CF</t>
        </is>
      </c>
      <c r="I803" s="24" t="inlineStr">
        <is>
          <t>현금흐름표</t>
        </is>
      </c>
      <c r="J803" s="24" t="inlineStr">
        <is>
          <t>ifrs-full_ProceedsFromGovernmentGrantsClassifiedAsInvestingActivities</t>
        </is>
      </c>
      <c r="K803" s="24" t="inlineStr">
        <is>
          <t>정부보조금의 증가</t>
        </is>
      </c>
      <c r="L803" s="24" t="inlineStr">
        <is>
          <t>-</t>
        </is>
      </c>
      <c r="M803" s="24" t="inlineStr">
        <is>
          <t>제 26 기</t>
        </is>
      </c>
      <c r="N803" s="24" t="inlineStr">
        <is>
          <t>7576704115.0</t>
        </is>
      </c>
      <c r="O803" s="24" t="inlineStr">
        <is>
          <t>1594088766.0</t>
        </is>
      </c>
      <c r="P803" s="24" t="inlineStr">
        <is>
          <t>KRW</t>
        </is>
      </c>
      <c r="Q803" s="24" t="inlineStr">
        <is>
          <t>46</t>
        </is>
      </c>
    </row>
    <row r="804" ht="24" customHeight="1">
      <c r="A804" s="29" t="inlineStr">
        <is>
          <t>OpenDART_fnlttSinglAcntAll</t>
        </is>
      </c>
      <c r="B804" s="29" t="inlineStr">
        <is>
          <t>00366942</t>
        </is>
      </c>
      <c r="C804" s="29" t="inlineStr">
        <is>
          <t>미코</t>
        </is>
      </c>
      <c r="D804" s="29" t="inlineStr">
        <is>
          <t>mico</t>
        </is>
      </c>
      <c r="E804" s="29" t="inlineStr">
        <is>
          <t>059090</t>
        </is>
      </c>
      <c r="F804" s="29" t="inlineStr">
        <is>
          <t>2024</t>
        </is>
      </c>
      <c r="G804" s="29" t="inlineStr">
        <is>
          <t>CFS</t>
        </is>
      </c>
      <c r="H804" s="29" t="inlineStr">
        <is>
          <t>CF</t>
        </is>
      </c>
      <c r="I804" s="29" t="inlineStr">
        <is>
          <t>현금흐름표</t>
        </is>
      </c>
      <c r="J804" s="29" t="inlineStr">
        <is>
          <t>ifrs-full_ProceedsFromSalesOfIntangibleAssetsClassifiedAsInvestingActivities</t>
        </is>
      </c>
      <c r="K804" s="29" t="inlineStr">
        <is>
          <t>무형자산의 처분</t>
        </is>
      </c>
      <c r="L804" s="29" t="inlineStr">
        <is>
          <t>-</t>
        </is>
      </c>
      <c r="M804" s="29" t="inlineStr">
        <is>
          <t>제 26 기</t>
        </is>
      </c>
      <c r="N804" s="29" t="inlineStr">
        <is>
          <t>75000000.0</t>
        </is>
      </c>
      <c r="O804" s="29" t="inlineStr">
        <is>
          <t>281818182.0</t>
        </is>
      </c>
      <c r="P804" s="29" t="inlineStr">
        <is>
          <t>KRW</t>
        </is>
      </c>
      <c r="Q804" s="29" t="inlineStr">
        <is>
          <t>47</t>
        </is>
      </c>
    </row>
    <row r="805" ht="24" customHeight="1">
      <c r="A805" s="24" t="inlineStr">
        <is>
          <t>OpenDART_fnlttSinglAcntAll</t>
        </is>
      </c>
      <c r="B805" s="24" t="inlineStr">
        <is>
          <t>00366942</t>
        </is>
      </c>
      <c r="C805" s="24" t="inlineStr">
        <is>
          <t>미코</t>
        </is>
      </c>
      <c r="D805" s="24" t="inlineStr">
        <is>
          <t>mico</t>
        </is>
      </c>
      <c r="E805" s="24" t="inlineStr">
        <is>
          <t>059090</t>
        </is>
      </c>
      <c r="F805" s="24" t="inlineStr">
        <is>
          <t>2024</t>
        </is>
      </c>
      <c r="G805" s="24" t="inlineStr">
        <is>
          <t>CFS</t>
        </is>
      </c>
      <c r="H805" s="24" t="inlineStr">
        <is>
          <t>CF</t>
        </is>
      </c>
      <c r="I805" s="24" t="inlineStr">
        <is>
          <t>현금흐름표</t>
        </is>
      </c>
      <c r="J805" s="24" t="inlineStr">
        <is>
          <t>ifrs-full_ProceedsFromSalesOfInvestmentsAccountedForUsingEquityMethod</t>
        </is>
      </c>
      <c r="K805" s="24" t="inlineStr">
        <is>
          <t>관계기업투자주식의 처분</t>
        </is>
      </c>
      <c r="L805" s="24" t="inlineStr">
        <is>
          <t>-</t>
        </is>
      </c>
      <c r="M805" s="24" t="inlineStr">
        <is>
          <t>제 26 기</t>
        </is>
      </c>
      <c r="N805" s="24" t="inlineStr">
        <is>
          <t>33001298840.0</t>
        </is>
      </c>
      <c r="O805" s="24" t="inlineStr">
        <is>
          <t>596000000.0</t>
        </is>
      </c>
      <c r="P805" s="24" t="inlineStr">
        <is>
          <t>KRW</t>
        </is>
      </c>
      <c r="Q805" s="24" t="inlineStr">
        <is>
          <t>48</t>
        </is>
      </c>
    </row>
    <row r="806" ht="24" customHeight="1">
      <c r="A806" s="29" t="inlineStr">
        <is>
          <t>OpenDART_fnlttSinglAcntAll</t>
        </is>
      </c>
      <c r="B806" s="29" t="inlineStr">
        <is>
          <t>00366942</t>
        </is>
      </c>
      <c r="C806" s="29" t="inlineStr">
        <is>
          <t>미코</t>
        </is>
      </c>
      <c r="D806" s="29" t="inlineStr">
        <is>
          <t>mico</t>
        </is>
      </c>
      <c r="E806" s="29" t="inlineStr">
        <is>
          <t>059090</t>
        </is>
      </c>
      <c r="F806" s="29" t="inlineStr">
        <is>
          <t>2024</t>
        </is>
      </c>
      <c r="G806" s="29" t="inlineStr">
        <is>
          <t>CFS</t>
        </is>
      </c>
      <c r="H806" s="29" t="inlineStr">
        <is>
          <t>CF</t>
        </is>
      </c>
      <c r="I806" s="29" t="inlineStr">
        <is>
          <t>현금흐름표</t>
        </is>
      </c>
      <c r="J806" s="29" t="inlineStr">
        <is>
          <t>ifrs-full_ProceedsFromSalesOfPropertyPlantAndEquipmentClassifiedAsInvestingActivities</t>
        </is>
      </c>
      <c r="K806" s="29" t="inlineStr">
        <is>
          <t>유형자산의 처분</t>
        </is>
      </c>
      <c r="L806" s="29" t="inlineStr">
        <is>
          <t>-</t>
        </is>
      </c>
      <c r="M806" s="29" t="inlineStr">
        <is>
          <t>제 26 기</t>
        </is>
      </c>
      <c r="N806" s="29" t="inlineStr">
        <is>
          <t>573549778.0</t>
        </is>
      </c>
      <c r="O806" s="29" t="inlineStr">
        <is>
          <t>1362026478.0</t>
        </is>
      </c>
      <c r="P806" s="29" t="inlineStr">
        <is>
          <t>KRW</t>
        </is>
      </c>
      <c r="Q806" s="29" t="inlineStr">
        <is>
          <t>49</t>
        </is>
      </c>
    </row>
    <row r="807" ht="24" customHeight="1">
      <c r="A807" s="24" t="inlineStr">
        <is>
          <t>OpenDART_fnlttSinglAcntAll</t>
        </is>
      </c>
      <c r="B807" s="24" t="inlineStr">
        <is>
          <t>00366942</t>
        </is>
      </c>
      <c r="C807" s="24" t="inlineStr">
        <is>
          <t>미코</t>
        </is>
      </c>
      <c r="D807" s="24" t="inlineStr">
        <is>
          <t>mico</t>
        </is>
      </c>
      <c r="E807" s="24" t="inlineStr">
        <is>
          <t>059090</t>
        </is>
      </c>
      <c r="F807" s="24" t="inlineStr">
        <is>
          <t>2024</t>
        </is>
      </c>
      <c r="G807" s="24" t="inlineStr">
        <is>
          <t>CFS</t>
        </is>
      </c>
      <c r="H807" s="24" t="inlineStr">
        <is>
          <t>CF</t>
        </is>
      </c>
      <c r="I807" s="24" t="inlineStr">
        <is>
          <t>현금흐름표</t>
        </is>
      </c>
      <c r="J807" s="24" t="inlineStr">
        <is>
          <t>ifrs-full_PurchaseOfIntangibleAssetsClassifiedAsInvestingActivities</t>
        </is>
      </c>
      <c r="K807" s="24" t="inlineStr">
        <is>
          <t>무형자산의 취득</t>
        </is>
      </c>
      <c r="L807" s="24" t="inlineStr">
        <is>
          <t>-</t>
        </is>
      </c>
      <c r="M807" s="24" t="inlineStr">
        <is>
          <t>제 26 기</t>
        </is>
      </c>
      <c r="N807" s="24" t="inlineStr">
        <is>
          <t>6158798744.0</t>
        </is>
      </c>
      <c r="O807" s="24" t="inlineStr">
        <is>
          <t>1029100692.0</t>
        </is>
      </c>
      <c r="P807" s="24" t="inlineStr">
        <is>
          <t>KRW</t>
        </is>
      </c>
      <c r="Q807" s="24" t="inlineStr">
        <is>
          <t>50</t>
        </is>
      </c>
    </row>
    <row r="808" ht="24" customHeight="1">
      <c r="A808" s="29" t="inlineStr">
        <is>
          <t>OpenDART_fnlttSinglAcntAll</t>
        </is>
      </c>
      <c r="B808" s="29" t="inlineStr">
        <is>
          <t>00366942</t>
        </is>
      </c>
      <c r="C808" s="29" t="inlineStr">
        <is>
          <t>미코</t>
        </is>
      </c>
      <c r="D808" s="29" t="inlineStr">
        <is>
          <t>mico</t>
        </is>
      </c>
      <c r="E808" s="29" t="inlineStr">
        <is>
          <t>059090</t>
        </is>
      </c>
      <c r="F808" s="29" t="inlineStr">
        <is>
          <t>2024</t>
        </is>
      </c>
      <c r="G808" s="29" t="inlineStr">
        <is>
          <t>CFS</t>
        </is>
      </c>
      <c r="H808" s="29" t="inlineStr">
        <is>
          <t>CF</t>
        </is>
      </c>
      <c r="I808" s="29" t="inlineStr">
        <is>
          <t>현금흐름표</t>
        </is>
      </c>
      <c r="J808" s="29" t="inlineStr">
        <is>
          <t>ifrs-full_PurchaseOfInterestsInInvestmentsAccountedForUsingEquityMethod</t>
        </is>
      </c>
      <c r="K808" s="29" t="inlineStr">
        <is>
          <t>관계기업 투자주식의 취득</t>
        </is>
      </c>
      <c r="L808" s="29" t="inlineStr">
        <is>
          <t>-</t>
        </is>
      </c>
      <c r="M808" s="29" t="inlineStr">
        <is>
          <t>제 26 기</t>
        </is>
      </c>
      <c r="N808" s="29" t="inlineStr">
        <is>
          <t>13880493302.0</t>
        </is>
      </c>
      <c r="O808" s="29" t="inlineStr">
        <is>
          <t>11813624945.0</t>
        </is>
      </c>
      <c r="P808" s="29" t="inlineStr">
        <is>
          <t>KRW</t>
        </is>
      </c>
      <c r="Q808" s="29" t="inlineStr">
        <is>
          <t>51</t>
        </is>
      </c>
    </row>
    <row r="809" ht="24" customHeight="1">
      <c r="A809" s="24" t="inlineStr">
        <is>
          <t>OpenDART_fnlttSinglAcntAll</t>
        </is>
      </c>
      <c r="B809" s="24" t="inlineStr">
        <is>
          <t>00366942</t>
        </is>
      </c>
      <c r="C809" s="24" t="inlineStr">
        <is>
          <t>미코</t>
        </is>
      </c>
      <c r="D809" s="24" t="inlineStr">
        <is>
          <t>mico</t>
        </is>
      </c>
      <c r="E809" s="24" t="inlineStr">
        <is>
          <t>059090</t>
        </is>
      </c>
      <c r="F809" s="24" t="inlineStr">
        <is>
          <t>2024</t>
        </is>
      </c>
      <c r="G809" s="24" t="inlineStr">
        <is>
          <t>CFS</t>
        </is>
      </c>
      <c r="H809" s="24" t="inlineStr">
        <is>
          <t>CF</t>
        </is>
      </c>
      <c r="I809" s="24" t="inlineStr">
        <is>
          <t>현금흐름표</t>
        </is>
      </c>
      <c r="J809" s="24" t="inlineStr">
        <is>
          <t>ifrs-full_PurchaseOfPropertyPlantAndEquipmentClassifiedAsInvestingActivities</t>
        </is>
      </c>
      <c r="K809" s="24" t="inlineStr">
        <is>
          <t>유형자산의 취득</t>
        </is>
      </c>
      <c r="L809" s="24" t="inlineStr">
        <is>
          <t>-</t>
        </is>
      </c>
      <c r="M809" s="24" t="inlineStr">
        <is>
          <t>제 26 기</t>
        </is>
      </c>
      <c r="N809" s="24" t="inlineStr">
        <is>
          <t>202229964939.0</t>
        </is>
      </c>
      <c r="O809" s="24" t="inlineStr">
        <is>
          <t>47638252669.0</t>
        </is>
      </c>
      <c r="P809" s="24" t="inlineStr">
        <is>
          <t>KRW</t>
        </is>
      </c>
      <c r="Q809" s="24" t="inlineStr">
        <is>
          <t>52</t>
        </is>
      </c>
    </row>
    <row r="810" ht="24" customHeight="1">
      <c r="A810" s="29" t="inlineStr">
        <is>
          <t>OpenDART_fnlttSinglAcntAll</t>
        </is>
      </c>
      <c r="B810" s="29" t="inlineStr">
        <is>
          <t>00366942</t>
        </is>
      </c>
      <c r="C810" s="29" t="inlineStr">
        <is>
          <t>미코</t>
        </is>
      </c>
      <c r="D810" s="29" t="inlineStr">
        <is>
          <t>mico</t>
        </is>
      </c>
      <c r="E810" s="29" t="inlineStr">
        <is>
          <t>059090</t>
        </is>
      </c>
      <c r="F810" s="29" t="inlineStr">
        <is>
          <t>2024</t>
        </is>
      </c>
      <c r="G810" s="29" t="inlineStr">
        <is>
          <t>CFS</t>
        </is>
      </c>
      <c r="H810" s="29" t="inlineStr">
        <is>
          <t>CF</t>
        </is>
      </c>
      <c r="I810" s="29" t="inlineStr">
        <is>
          <t>현금흐름표</t>
        </is>
      </c>
      <c r="J810" s="29" t="inlineStr">
        <is>
          <t>ifrs-full_CashFlowsFromUsedInOperatingActivities</t>
        </is>
      </c>
      <c r="K810" s="29" t="inlineStr">
        <is>
          <t>영업활동현금흐름</t>
        </is>
      </c>
      <c r="L810" s="29" t="inlineStr">
        <is>
          <t>-</t>
        </is>
      </c>
      <c r="M810" s="29" t="inlineStr">
        <is>
          <t>제 26 기</t>
        </is>
      </c>
      <c r="N810" s="29" t="inlineStr">
        <is>
          <t>120460924494.0</t>
        </is>
      </c>
      <c r="O810" s="29" t="inlineStr">
        <is>
          <t>41646262032.0</t>
        </is>
      </c>
      <c r="P810" s="29" t="inlineStr">
        <is>
          <t>KRW</t>
        </is>
      </c>
      <c r="Q810" s="29" t="inlineStr">
        <is>
          <t>53</t>
        </is>
      </c>
    </row>
    <row r="811" ht="24" customHeight="1">
      <c r="A811" s="24" t="inlineStr">
        <is>
          <t>OpenDART_fnlttSinglAcntAll</t>
        </is>
      </c>
      <c r="B811" s="24" t="inlineStr">
        <is>
          <t>00366942</t>
        </is>
      </c>
      <c r="C811" s="24" t="inlineStr">
        <is>
          <t>미코</t>
        </is>
      </c>
      <c r="D811" s="24" t="inlineStr">
        <is>
          <t>mico</t>
        </is>
      </c>
      <c r="E811" s="24" t="inlineStr">
        <is>
          <t>059090</t>
        </is>
      </c>
      <c r="F811" s="24" t="inlineStr">
        <is>
          <t>2024</t>
        </is>
      </c>
      <c r="G811" s="24" t="inlineStr">
        <is>
          <t>CFS</t>
        </is>
      </c>
      <c r="H811" s="24" t="inlineStr">
        <is>
          <t>CF</t>
        </is>
      </c>
      <c r="I811" s="24" t="inlineStr">
        <is>
          <t>현금흐름표</t>
        </is>
      </c>
      <c r="J811" s="24" t="inlineStr">
        <is>
          <t>dart_NetCashflowsFromUsedInOperations</t>
        </is>
      </c>
      <c r="K811" s="24" t="inlineStr">
        <is>
          <t>영업에서 창출된 현금</t>
        </is>
      </c>
      <c r="L811" s="24" t="inlineStr">
        <is>
          <t>-</t>
        </is>
      </c>
      <c r="M811" s="24" t="inlineStr">
        <is>
          <t>제 26 기</t>
        </is>
      </c>
      <c r="N811" s="24" t="inlineStr">
        <is>
          <t>146646660193.0</t>
        </is>
      </c>
      <c r="O811" s="24" t="inlineStr">
        <is>
          <t>61037715152.0</t>
        </is>
      </c>
      <c r="P811" s="24" t="inlineStr">
        <is>
          <t>KRW</t>
        </is>
      </c>
      <c r="Q811" s="24" t="inlineStr">
        <is>
          <t>54</t>
        </is>
      </c>
    </row>
    <row r="812" ht="24" customHeight="1">
      <c r="A812" s="29" t="inlineStr">
        <is>
          <t>OpenDART_fnlttSinglAcntAll</t>
        </is>
      </c>
      <c r="B812" s="29" t="inlineStr">
        <is>
          <t>00366942</t>
        </is>
      </c>
      <c r="C812" s="29" t="inlineStr">
        <is>
          <t>미코</t>
        </is>
      </c>
      <c r="D812" s="29" t="inlineStr">
        <is>
          <t>mico</t>
        </is>
      </c>
      <c r="E812" s="29" t="inlineStr">
        <is>
          <t>059090</t>
        </is>
      </c>
      <c r="F812" s="29" t="inlineStr">
        <is>
          <t>2024</t>
        </is>
      </c>
      <c r="G812" s="29" t="inlineStr">
        <is>
          <t>CFS</t>
        </is>
      </c>
      <c r="H812" s="29" t="inlineStr">
        <is>
          <t>CF</t>
        </is>
      </c>
      <c r="I812" s="29" t="inlineStr">
        <is>
          <t>현금흐름표</t>
        </is>
      </c>
      <c r="J812" s="29" t="inlineStr">
        <is>
          <t>ifrs-full_IncomeTaxesPaidClassifiedAsOperatingActivities</t>
        </is>
      </c>
      <c r="K812" s="29" t="inlineStr">
        <is>
          <t>법인세 납부</t>
        </is>
      </c>
      <c r="L812" s="29" t="inlineStr">
        <is>
          <t>-</t>
        </is>
      </c>
      <c r="M812" s="29" t="inlineStr">
        <is>
          <t>제 26 기</t>
        </is>
      </c>
      <c r="N812" s="29" t="inlineStr">
        <is>
          <t>20257947419.0</t>
        </is>
      </c>
      <c r="O812" s="29" t="inlineStr">
        <is>
          <t>15341518654.0</t>
        </is>
      </c>
      <c r="P812" s="29" t="inlineStr">
        <is>
          <t>KRW</t>
        </is>
      </c>
      <c r="Q812" s="29" t="inlineStr">
        <is>
          <t>55</t>
        </is>
      </c>
    </row>
    <row r="813" ht="24" customHeight="1">
      <c r="A813" s="24" t="inlineStr">
        <is>
          <t>OpenDART_fnlttSinglAcntAll</t>
        </is>
      </c>
      <c r="B813" s="24" t="inlineStr">
        <is>
          <t>00366942</t>
        </is>
      </c>
      <c r="C813" s="24" t="inlineStr">
        <is>
          <t>미코</t>
        </is>
      </c>
      <c r="D813" s="24" t="inlineStr">
        <is>
          <t>mico</t>
        </is>
      </c>
      <c r="E813" s="24" t="inlineStr">
        <is>
          <t>059090</t>
        </is>
      </c>
      <c r="F813" s="24" t="inlineStr">
        <is>
          <t>2024</t>
        </is>
      </c>
      <c r="G813" s="24" t="inlineStr">
        <is>
          <t>CFS</t>
        </is>
      </c>
      <c r="H813" s="24" t="inlineStr">
        <is>
          <t>CF</t>
        </is>
      </c>
      <c r="I813" s="24" t="inlineStr">
        <is>
          <t>현금흐름표</t>
        </is>
      </c>
      <c r="J813" s="24" t="inlineStr">
        <is>
          <t>ifrs-full_InterestPaidClassifiedAsOperatingActivities</t>
        </is>
      </c>
      <c r="K813" s="24" t="inlineStr">
        <is>
          <t>이자지급</t>
        </is>
      </c>
      <c r="L813" s="24" t="inlineStr">
        <is>
          <t>-</t>
        </is>
      </c>
      <c r="M813" s="24" t="inlineStr">
        <is>
          <t>제 26 기</t>
        </is>
      </c>
      <c r="N813" s="24" t="inlineStr">
        <is>
          <t>12176551705.0</t>
        </is>
      </c>
      <c r="O813" s="24" t="inlineStr">
        <is>
          <t>11217931997.0</t>
        </is>
      </c>
      <c r="P813" s="24" t="inlineStr">
        <is>
          <t>KRW</t>
        </is>
      </c>
      <c r="Q813" s="24" t="inlineStr">
        <is>
          <t>56</t>
        </is>
      </c>
    </row>
    <row r="814" ht="24" customHeight="1">
      <c r="A814" s="29" t="inlineStr">
        <is>
          <t>OpenDART_fnlttSinglAcntAll</t>
        </is>
      </c>
      <c r="B814" s="29" t="inlineStr">
        <is>
          <t>00366942</t>
        </is>
      </c>
      <c r="C814" s="29" t="inlineStr">
        <is>
          <t>미코</t>
        </is>
      </c>
      <c r="D814" s="29" t="inlineStr">
        <is>
          <t>mico</t>
        </is>
      </c>
      <c r="E814" s="29" t="inlineStr">
        <is>
          <t>059090</t>
        </is>
      </c>
      <c r="F814" s="29" t="inlineStr">
        <is>
          <t>2024</t>
        </is>
      </c>
      <c r="G814" s="29" t="inlineStr">
        <is>
          <t>CFS</t>
        </is>
      </c>
      <c r="H814" s="29" t="inlineStr">
        <is>
          <t>CF</t>
        </is>
      </c>
      <c r="I814" s="29" t="inlineStr">
        <is>
          <t>현금흐름표</t>
        </is>
      </c>
      <c r="J814" s="29" t="inlineStr">
        <is>
          <t>ifrs-full_InterestReceivedClassifiedAsOperatingActivities</t>
        </is>
      </c>
      <c r="K814" s="29" t="inlineStr">
        <is>
          <t>이자수취</t>
        </is>
      </c>
      <c r="L814" s="29" t="inlineStr">
        <is>
          <t>-</t>
        </is>
      </c>
      <c r="M814" s="29" t="inlineStr">
        <is>
          <t>제 26 기</t>
        </is>
      </c>
      <c r="N814" s="29" t="inlineStr">
        <is>
          <t>6248763425.0</t>
        </is>
      </c>
      <c r="O814" s="29" t="inlineStr">
        <is>
          <t>7167997531.0</t>
        </is>
      </c>
      <c r="P814" s="29" t="inlineStr">
        <is>
          <t>KRW</t>
        </is>
      </c>
      <c r="Q814" s="29" t="inlineStr">
        <is>
          <t>57</t>
        </is>
      </c>
    </row>
    <row r="815" ht="24" customHeight="1">
      <c r="A815" s="24" t="inlineStr">
        <is>
          <t>OpenDART_fnlttSinglAcntAll</t>
        </is>
      </c>
      <c r="B815" s="24" t="inlineStr">
        <is>
          <t>00366942</t>
        </is>
      </c>
      <c r="C815" s="24" t="inlineStr">
        <is>
          <t>미코</t>
        </is>
      </c>
      <c r="D815" s="24" t="inlineStr">
        <is>
          <t>mico</t>
        </is>
      </c>
      <c r="E815" s="24" t="inlineStr">
        <is>
          <t>059090</t>
        </is>
      </c>
      <c r="F815" s="24" t="inlineStr">
        <is>
          <t>2024</t>
        </is>
      </c>
      <c r="G815" s="24" t="inlineStr">
        <is>
          <t>CFS</t>
        </is>
      </c>
      <c r="H815" s="24" t="inlineStr">
        <is>
          <t>CF</t>
        </is>
      </c>
      <c r="I815" s="24" t="inlineStr">
        <is>
          <t>현금흐름표</t>
        </is>
      </c>
      <c r="J815" s="24" t="inlineStr">
        <is>
          <t>ifrs-full_EffectOfExchangeRateChangesOnCashAndCashEquivalents</t>
        </is>
      </c>
      <c r="K815" s="24" t="inlineStr">
        <is>
          <t>현금및현금성자산에 대한 환율변동효과</t>
        </is>
      </c>
      <c r="L815" s="24" t="inlineStr">
        <is>
          <t>-</t>
        </is>
      </c>
      <c r="M815" s="24" t="inlineStr">
        <is>
          <t>제 26 기</t>
        </is>
      </c>
      <c r="N815" s="24" t="inlineStr">
        <is>
          <t>3785382025.0</t>
        </is>
      </c>
      <c r="O815" s="24" t="inlineStr">
        <is>
          <t>323339340.0</t>
        </is>
      </c>
      <c r="P815" s="24" t="inlineStr">
        <is>
          <t>KRW</t>
        </is>
      </c>
      <c r="Q815" s="24" t="inlineStr">
        <is>
          <t>58</t>
        </is>
      </c>
    </row>
    <row r="816" ht="24" customHeight="1">
      <c r="A816" s="29" t="inlineStr">
        <is>
          <t>OpenDART_fnlttSinglAcntAll</t>
        </is>
      </c>
      <c r="B816" s="29" t="inlineStr">
        <is>
          <t>00366942</t>
        </is>
      </c>
      <c r="C816" s="29" t="inlineStr">
        <is>
          <t>미코</t>
        </is>
      </c>
      <c r="D816" s="29" t="inlineStr">
        <is>
          <t>mico</t>
        </is>
      </c>
      <c r="E816" s="29" t="inlineStr">
        <is>
          <t>059090</t>
        </is>
      </c>
      <c r="F816" s="29" t="inlineStr">
        <is>
          <t>2024</t>
        </is>
      </c>
      <c r="G816" s="29" t="inlineStr">
        <is>
          <t>CFS</t>
        </is>
      </c>
      <c r="H816" s="29" t="inlineStr">
        <is>
          <t>CF</t>
        </is>
      </c>
      <c r="I816" s="29" t="inlineStr">
        <is>
          <t>현금흐름표</t>
        </is>
      </c>
      <c r="J816" s="29" t="inlineStr">
        <is>
          <t>ifrs-full_IncreaseDecreaseInCashAndCashEquivalents</t>
        </is>
      </c>
      <c r="K816" s="29" t="inlineStr">
        <is>
          <t>현금및현금성자산의순증가(감소)</t>
        </is>
      </c>
      <c r="L816" s="29" t="inlineStr">
        <is>
          <t>-</t>
        </is>
      </c>
      <c r="M816" s="29" t="inlineStr">
        <is>
          <t>제 26 기</t>
        </is>
      </c>
      <c r="N816" s="29" t="inlineStr">
        <is>
          <t>54361895141.0</t>
        </is>
      </c>
      <c r="O816" s="29" t="inlineStr">
        <is>
          <t>38571713660.0</t>
        </is>
      </c>
      <c r="P816" s="29" t="inlineStr">
        <is>
          <t>KRW</t>
        </is>
      </c>
      <c r="Q816" s="29" t="inlineStr">
        <is>
          <t>59</t>
        </is>
      </c>
    </row>
    <row r="817" ht="24" customHeight="1">
      <c r="A817" s="24" t="inlineStr">
        <is>
          <t>OpenDART_fnlttSinglAcntAll</t>
        </is>
      </c>
      <c r="B817" s="24" t="inlineStr">
        <is>
          <t>00366942</t>
        </is>
      </c>
      <c r="C817" s="24" t="inlineStr">
        <is>
          <t>미코</t>
        </is>
      </c>
      <c r="D817" s="24" t="inlineStr">
        <is>
          <t>mico</t>
        </is>
      </c>
      <c r="E817" s="24" t="inlineStr">
        <is>
          <t>059090</t>
        </is>
      </c>
      <c r="F817" s="24" t="inlineStr">
        <is>
          <t>2024</t>
        </is>
      </c>
      <c r="G817" s="24" t="inlineStr">
        <is>
          <t>CFS</t>
        </is>
      </c>
      <c r="H817" s="24" t="inlineStr">
        <is>
          <t>SCE</t>
        </is>
      </c>
      <c r="I817" s="24" t="inlineStr">
        <is>
          <t>자본변동표</t>
        </is>
      </c>
      <c r="J817" s="24" t="inlineStr">
        <is>
          <t>dart_ChangesInConsolidatedCompanies</t>
        </is>
      </c>
      <c r="K817" s="24" t="inlineStr">
        <is>
          <t>연결범위의 변동</t>
        </is>
      </c>
      <c r="L817" s="24" t="inlineStr">
        <is>
          <t>자본 [구성요소]|비지배지분 [구성요소]</t>
        </is>
      </c>
      <c r="M817" s="24" t="inlineStr">
        <is>
          <t>제 26 기</t>
        </is>
      </c>
      <c r="N817" s="24" t="inlineStr">
        <is>
          <t>82135093065.0</t>
        </is>
      </c>
      <c r="O817" s="24" t="inlineStr">
        <is>
          <t>-1134074613.0</t>
        </is>
      </c>
      <c r="P817" s="24" t="inlineStr">
        <is>
          <t>KRW</t>
        </is>
      </c>
      <c r="Q817" s="24" t="inlineStr">
        <is>
          <t>3</t>
        </is>
      </c>
    </row>
    <row r="818" ht="24" customHeight="1">
      <c r="A818" s="29" t="inlineStr">
        <is>
          <t>OpenDART_fnlttSinglAcntAll</t>
        </is>
      </c>
      <c r="B818" s="29" t="inlineStr">
        <is>
          <t>00366942</t>
        </is>
      </c>
      <c r="C818" s="29" t="inlineStr">
        <is>
          <t>미코</t>
        </is>
      </c>
      <c r="D818" s="29" t="inlineStr">
        <is>
          <t>mico</t>
        </is>
      </c>
      <c r="E818" s="29" t="inlineStr">
        <is>
          <t>059090</t>
        </is>
      </c>
      <c r="F818" s="29" t="inlineStr">
        <is>
          <t>2024</t>
        </is>
      </c>
      <c r="G818" s="29" t="inlineStr">
        <is>
          <t>CFS</t>
        </is>
      </c>
      <c r="H818" s="29" t="inlineStr">
        <is>
          <t>SCE</t>
        </is>
      </c>
      <c r="I818" s="29" t="inlineStr">
        <is>
          <t>자본변동표</t>
        </is>
      </c>
      <c r="J818" s="29" t="inlineStr">
        <is>
          <t>dart_ChangesInConsolidatedCompanies</t>
        </is>
      </c>
      <c r="K818" s="29" t="inlineStr">
        <is>
          <t>연결범위의 변동</t>
        </is>
      </c>
      <c r="L818" s="29" t="inlineStr">
        <is>
          <t>자본 [구성요소]|지배기업의 소유주에게 귀속되는 지분 [구성요소]</t>
        </is>
      </c>
      <c r="M818" s="29" t="inlineStr">
        <is>
          <t>제 26 기</t>
        </is>
      </c>
      <c r="N818" s="29" t="inlineStr">
        <is>
          <t>해당 없음</t>
        </is>
      </c>
      <c r="O818" s="29" t="inlineStr">
        <is>
          <t>해당 없음</t>
        </is>
      </c>
      <c r="P818" s="29" t="inlineStr">
        <is>
          <t>KRW</t>
        </is>
      </c>
      <c r="Q818" s="29" t="inlineStr">
        <is>
          <t>3</t>
        </is>
      </c>
    </row>
    <row r="819" ht="24" customHeight="1">
      <c r="A819" s="24" t="inlineStr">
        <is>
          <t>OpenDART_fnlttSinglAcntAll</t>
        </is>
      </c>
      <c r="B819" s="24" t="inlineStr">
        <is>
          <t>00366942</t>
        </is>
      </c>
      <c r="C819" s="24" t="inlineStr">
        <is>
          <t>미코</t>
        </is>
      </c>
      <c r="D819" s="24" t="inlineStr">
        <is>
          <t>mico</t>
        </is>
      </c>
      <c r="E819" s="24" t="inlineStr">
        <is>
          <t>059090</t>
        </is>
      </c>
      <c r="F819" s="24" t="inlineStr">
        <is>
          <t>2024</t>
        </is>
      </c>
      <c r="G819" s="24" t="inlineStr">
        <is>
          <t>CFS</t>
        </is>
      </c>
      <c r="H819" s="24" t="inlineStr">
        <is>
          <t>SCE</t>
        </is>
      </c>
      <c r="I819" s="24" t="inlineStr">
        <is>
          <t>자본변동표</t>
        </is>
      </c>
      <c r="J819" s="24" t="inlineStr">
        <is>
          <t>dart_ChangesInConsolidatedCompanies</t>
        </is>
      </c>
      <c r="K819" s="24" t="inlineStr">
        <is>
          <t>연결범위의 변동</t>
        </is>
      </c>
      <c r="L819" s="24" t="inlineStr">
        <is>
          <t>자본 [구성요소]|지배기업의 소유주에게 귀속되는 지분 [구성요소]|자본잉여금 [구성요소]</t>
        </is>
      </c>
      <c r="M819" s="24" t="inlineStr">
        <is>
          <t>제 26 기</t>
        </is>
      </c>
      <c r="N819" s="24" t="inlineStr">
        <is>
          <t>해당 없음</t>
        </is>
      </c>
      <c r="O819" s="24" t="inlineStr">
        <is>
          <t>해당 없음</t>
        </is>
      </c>
      <c r="P819" s="24" t="inlineStr">
        <is>
          <t>KRW</t>
        </is>
      </c>
      <c r="Q819" s="24" t="inlineStr">
        <is>
          <t>3</t>
        </is>
      </c>
    </row>
    <row r="820" ht="24" customHeight="1">
      <c r="A820" s="29" t="inlineStr">
        <is>
          <t>OpenDART_fnlttSinglAcntAll</t>
        </is>
      </c>
      <c r="B820" s="29" t="inlineStr">
        <is>
          <t>00366942</t>
        </is>
      </c>
      <c r="C820" s="29" t="inlineStr">
        <is>
          <t>미코</t>
        </is>
      </c>
      <c r="D820" s="29" t="inlineStr">
        <is>
          <t>mico</t>
        </is>
      </c>
      <c r="E820" s="29" t="inlineStr">
        <is>
          <t>059090</t>
        </is>
      </c>
      <c r="F820" s="29" t="inlineStr">
        <is>
          <t>2024</t>
        </is>
      </c>
      <c r="G820" s="29" t="inlineStr">
        <is>
          <t>CFS</t>
        </is>
      </c>
      <c r="H820" s="29" t="inlineStr">
        <is>
          <t>SCE</t>
        </is>
      </c>
      <c r="I820" s="29" t="inlineStr">
        <is>
          <t>자본변동표</t>
        </is>
      </c>
      <c r="J820" s="29" t="inlineStr">
        <is>
          <t>dart_ChangesInConsolidatedCompanies</t>
        </is>
      </c>
      <c r="K820" s="29" t="inlineStr">
        <is>
          <t>연결범위의 변동</t>
        </is>
      </c>
      <c r="L820" s="29" t="inlineStr">
        <is>
          <t>자본 [구성요소]|지배기업의 소유주에게 귀속되는 지분 [구성요소]|이익잉여금 [구성요소]</t>
        </is>
      </c>
      <c r="M820" s="29" t="inlineStr">
        <is>
          <t>제 26 기</t>
        </is>
      </c>
      <c r="N820" s="29" t="inlineStr">
        <is>
          <t>해당 없음</t>
        </is>
      </c>
      <c r="O820" s="29" t="inlineStr">
        <is>
          <t>해당 없음</t>
        </is>
      </c>
      <c r="P820" s="29" t="inlineStr">
        <is>
          <t>KRW</t>
        </is>
      </c>
      <c r="Q820" s="29" t="inlineStr">
        <is>
          <t>3</t>
        </is>
      </c>
    </row>
    <row r="821" ht="24" customHeight="1">
      <c r="A821" s="24" t="inlineStr">
        <is>
          <t>OpenDART_fnlttSinglAcntAll</t>
        </is>
      </c>
      <c r="B821" s="24" t="inlineStr">
        <is>
          <t>00366942</t>
        </is>
      </c>
      <c r="C821" s="24" t="inlineStr">
        <is>
          <t>미코</t>
        </is>
      </c>
      <c r="D821" s="24" t="inlineStr">
        <is>
          <t>mico</t>
        </is>
      </c>
      <c r="E821" s="24" t="inlineStr">
        <is>
          <t>059090</t>
        </is>
      </c>
      <c r="F821" s="24" t="inlineStr">
        <is>
          <t>2024</t>
        </is>
      </c>
      <c r="G821" s="24" t="inlineStr">
        <is>
          <t>CFS</t>
        </is>
      </c>
      <c r="H821" s="24" t="inlineStr">
        <is>
          <t>SCE</t>
        </is>
      </c>
      <c r="I821" s="24" t="inlineStr">
        <is>
          <t>자본변동표</t>
        </is>
      </c>
      <c r="J821" s="24" t="inlineStr">
        <is>
          <t>dart_ChangesInConsolidatedCompanies</t>
        </is>
      </c>
      <c r="K821" s="24" t="inlineStr">
        <is>
          <t>연결범위의 변동</t>
        </is>
      </c>
      <c r="L821" s="24" t="inlineStr">
        <is>
          <t>연결재무제표 [member]</t>
        </is>
      </c>
      <c r="M821" s="24" t="inlineStr">
        <is>
          <t>제 26 기</t>
        </is>
      </c>
      <c r="N821" s="24" t="inlineStr">
        <is>
          <t>82135093065.0</t>
        </is>
      </c>
      <c r="O821" s="24" t="inlineStr">
        <is>
          <t>-1134074613.0</t>
        </is>
      </c>
      <c r="P821" s="24" t="inlineStr">
        <is>
          <t>KRW</t>
        </is>
      </c>
      <c r="Q821" s="24" t="inlineStr">
        <is>
          <t>3</t>
        </is>
      </c>
    </row>
    <row r="822" ht="24" customHeight="1">
      <c r="A822" s="29" t="inlineStr">
        <is>
          <t>OpenDART_fnlttSinglAcntAll</t>
        </is>
      </c>
      <c r="B822" s="29" t="inlineStr">
        <is>
          <t>00366942</t>
        </is>
      </c>
      <c r="C822" s="29" t="inlineStr">
        <is>
          <t>미코</t>
        </is>
      </c>
      <c r="D822" s="29" t="inlineStr">
        <is>
          <t>mico</t>
        </is>
      </c>
      <c r="E822" s="29" t="inlineStr">
        <is>
          <t>059090</t>
        </is>
      </c>
      <c r="F822" s="29" t="inlineStr">
        <is>
          <t>2024</t>
        </is>
      </c>
      <c r="G822" s="29" t="inlineStr">
        <is>
          <t>CFS</t>
        </is>
      </c>
      <c r="H822" s="29" t="inlineStr">
        <is>
          <t>SCE</t>
        </is>
      </c>
      <c r="I822" s="29" t="inlineStr">
        <is>
          <t>자본변동표</t>
        </is>
      </c>
      <c r="J822" s="29" t="inlineStr">
        <is>
          <t>dart_EquityAtBeginningOfPeriod</t>
        </is>
      </c>
      <c r="K822" s="29" t="inlineStr">
        <is>
          <t>기초자본</t>
        </is>
      </c>
      <c r="L822" s="29" t="inlineStr">
        <is>
          <t>자본 [구성요소]|지배기업의 소유주에게 귀속되는 지분 [구성요소]|이익잉여금 [구성요소]</t>
        </is>
      </c>
      <c r="M822" s="29" t="inlineStr">
        <is>
          <t>제 26 기</t>
        </is>
      </c>
      <c r="N822" s="29" t="inlineStr">
        <is>
          <t>-64088444589.0</t>
        </is>
      </c>
      <c r="O822" s="29" t="inlineStr">
        <is>
          <t>-36931887394.0</t>
        </is>
      </c>
      <c r="P822" s="29" t="inlineStr">
        <is>
          <t>KRW</t>
        </is>
      </c>
      <c r="Q822" s="29" t="inlineStr">
        <is>
          <t>4</t>
        </is>
      </c>
    </row>
    <row r="823" ht="24" customHeight="1">
      <c r="A823" s="24" t="inlineStr">
        <is>
          <t>OpenDART_fnlttSinglAcntAll</t>
        </is>
      </c>
      <c r="B823" s="24" t="inlineStr">
        <is>
          <t>00366942</t>
        </is>
      </c>
      <c r="C823" s="24" t="inlineStr">
        <is>
          <t>미코</t>
        </is>
      </c>
      <c r="D823" s="24" t="inlineStr">
        <is>
          <t>mico</t>
        </is>
      </c>
      <c r="E823" s="24" t="inlineStr">
        <is>
          <t>059090</t>
        </is>
      </c>
      <c r="F823" s="24" t="inlineStr">
        <is>
          <t>2024</t>
        </is>
      </c>
      <c r="G823" s="24" t="inlineStr">
        <is>
          <t>CFS</t>
        </is>
      </c>
      <c r="H823" s="24" t="inlineStr">
        <is>
          <t>SCE</t>
        </is>
      </c>
      <c r="I823" s="24" t="inlineStr">
        <is>
          <t>자본변동표</t>
        </is>
      </c>
      <c r="J823" s="24" t="inlineStr">
        <is>
          <t>dart_EquityAtBeginningOfPeriod</t>
        </is>
      </c>
      <c r="K823" s="24" t="inlineStr">
        <is>
          <t>기초자본</t>
        </is>
      </c>
      <c r="L823" s="24" t="inlineStr">
        <is>
          <t>자본 [구성요소]|지배기업의 소유주에게 귀속되는 지분 [구성요소]|자본금 [구성요소]</t>
        </is>
      </c>
      <c r="M823" s="24" t="inlineStr">
        <is>
          <t>제 26 기</t>
        </is>
      </c>
      <c r="N823" s="24" t="inlineStr">
        <is>
          <t>16708389000.0</t>
        </is>
      </c>
      <c r="O823" s="24" t="inlineStr">
        <is>
          <t>16708389000.0</t>
        </is>
      </c>
      <c r="P823" s="24" t="inlineStr">
        <is>
          <t>KRW</t>
        </is>
      </c>
      <c r="Q823" s="24" t="inlineStr">
        <is>
          <t>4</t>
        </is>
      </c>
    </row>
    <row r="824" ht="24" customHeight="1">
      <c r="A824" s="29" t="inlineStr">
        <is>
          <t>OpenDART_fnlttSinglAcntAll</t>
        </is>
      </c>
      <c r="B824" s="29" t="inlineStr">
        <is>
          <t>00366942</t>
        </is>
      </c>
      <c r="C824" s="29" t="inlineStr">
        <is>
          <t>미코</t>
        </is>
      </c>
      <c r="D824" s="29" t="inlineStr">
        <is>
          <t>mico</t>
        </is>
      </c>
      <c r="E824" s="29" t="inlineStr">
        <is>
          <t>059090</t>
        </is>
      </c>
      <c r="F824" s="29" t="inlineStr">
        <is>
          <t>2024</t>
        </is>
      </c>
      <c r="G824" s="29" t="inlineStr">
        <is>
          <t>CFS</t>
        </is>
      </c>
      <c r="H824" s="29" t="inlineStr">
        <is>
          <t>SCE</t>
        </is>
      </c>
      <c r="I824" s="29" t="inlineStr">
        <is>
          <t>자본변동표</t>
        </is>
      </c>
      <c r="J824" s="29" t="inlineStr">
        <is>
          <t>dart_EquityAtBeginningOfPeriod</t>
        </is>
      </c>
      <c r="K824" s="29" t="inlineStr">
        <is>
          <t>기초자본</t>
        </is>
      </c>
      <c r="L824" s="29" t="inlineStr">
        <is>
          <t>자본 [구성요소]|지배기업의 소유주에게 귀속되는 지분 [구성요소]|기타포괄손익누계액 [구성요소]</t>
        </is>
      </c>
      <c r="M824" s="29" t="inlineStr">
        <is>
          <t>제 26 기</t>
        </is>
      </c>
      <c r="N824" s="29" t="inlineStr">
        <is>
          <t>-11390418.0</t>
        </is>
      </c>
      <c r="O824" s="29" t="inlineStr">
        <is>
          <t>2578387177.0</t>
        </is>
      </c>
      <c r="P824" s="29" t="inlineStr">
        <is>
          <t>KRW</t>
        </is>
      </c>
      <c r="Q824" s="29" t="inlineStr">
        <is>
          <t>4</t>
        </is>
      </c>
    </row>
    <row r="825" ht="24" customHeight="1">
      <c r="A825" s="24" t="inlineStr">
        <is>
          <t>OpenDART_fnlttSinglAcntAll</t>
        </is>
      </c>
      <c r="B825" s="24" t="inlineStr">
        <is>
          <t>00366942</t>
        </is>
      </c>
      <c r="C825" s="24" t="inlineStr">
        <is>
          <t>미코</t>
        </is>
      </c>
      <c r="D825" s="24" t="inlineStr">
        <is>
          <t>mico</t>
        </is>
      </c>
      <c r="E825" s="24" t="inlineStr">
        <is>
          <t>059090</t>
        </is>
      </c>
      <c r="F825" s="24" t="inlineStr">
        <is>
          <t>2024</t>
        </is>
      </c>
      <c r="G825" s="24" t="inlineStr">
        <is>
          <t>CFS</t>
        </is>
      </c>
      <c r="H825" s="24" t="inlineStr">
        <is>
          <t>SCE</t>
        </is>
      </c>
      <c r="I825" s="24" t="inlineStr">
        <is>
          <t>자본변동표</t>
        </is>
      </c>
      <c r="J825" s="24" t="inlineStr">
        <is>
          <t>dart_EquityAtBeginningOfPeriod</t>
        </is>
      </c>
      <c r="K825" s="24" t="inlineStr">
        <is>
          <t>기초자본</t>
        </is>
      </c>
      <c r="L825" s="24" t="inlineStr">
        <is>
          <t>자본 [구성요소]|지배기업의 소유주에게 귀속되는 지분 [구성요소]|기타자본구성요소 [구성요소]</t>
        </is>
      </c>
      <c r="M825" s="24" t="inlineStr">
        <is>
          <t>제 26 기</t>
        </is>
      </c>
      <c r="N825" s="24" t="inlineStr">
        <is>
          <t>-69525407495.0</t>
        </is>
      </c>
      <c r="O825" s="24" t="inlineStr">
        <is>
          <t>-38456895906.0</t>
        </is>
      </c>
      <c r="P825" s="24" t="inlineStr">
        <is>
          <t>KRW</t>
        </is>
      </c>
      <c r="Q825" s="24" t="inlineStr">
        <is>
          <t>4</t>
        </is>
      </c>
    </row>
    <row r="826" ht="24" customHeight="1">
      <c r="A826" s="29" t="inlineStr">
        <is>
          <t>OpenDART_fnlttSinglAcntAll</t>
        </is>
      </c>
      <c r="B826" s="29" t="inlineStr">
        <is>
          <t>00366942</t>
        </is>
      </c>
      <c r="C826" s="29" t="inlineStr">
        <is>
          <t>미코</t>
        </is>
      </c>
      <c r="D826" s="29" t="inlineStr">
        <is>
          <t>mico</t>
        </is>
      </c>
      <c r="E826" s="29" t="inlineStr">
        <is>
          <t>059090</t>
        </is>
      </c>
      <c r="F826" s="29" t="inlineStr">
        <is>
          <t>2024</t>
        </is>
      </c>
      <c r="G826" s="29" t="inlineStr">
        <is>
          <t>CFS</t>
        </is>
      </c>
      <c r="H826" s="29" t="inlineStr">
        <is>
          <t>SCE</t>
        </is>
      </c>
      <c r="I826" s="29" t="inlineStr">
        <is>
          <t>자본변동표</t>
        </is>
      </c>
      <c r="J826" s="29" t="inlineStr">
        <is>
          <t>dart_EquityAtBeginningOfPeriod</t>
        </is>
      </c>
      <c r="K826" s="29" t="inlineStr">
        <is>
          <t>기초자본</t>
        </is>
      </c>
      <c r="L826" s="29" t="inlineStr">
        <is>
          <t>자본 [구성요소]|지배기업의 소유주에게 귀속되는 지분 [구성요소]</t>
        </is>
      </c>
      <c r="M826" s="29" t="inlineStr">
        <is>
          <t>제 26 기</t>
        </is>
      </c>
      <c r="N826" s="29" t="inlineStr">
        <is>
          <t>75903907155.0</t>
        </is>
      </c>
      <c r="O826" s="29" t="inlineStr">
        <is>
          <t>141812122965.0</t>
        </is>
      </c>
      <c r="P826" s="29" t="inlineStr">
        <is>
          <t>KRW</t>
        </is>
      </c>
      <c r="Q826" s="29" t="inlineStr">
        <is>
          <t>4</t>
        </is>
      </c>
    </row>
    <row r="827" ht="24" customHeight="1">
      <c r="A827" s="24" t="inlineStr">
        <is>
          <t>OpenDART_fnlttSinglAcntAll</t>
        </is>
      </c>
      <c r="B827" s="24" t="inlineStr">
        <is>
          <t>00366942</t>
        </is>
      </c>
      <c r="C827" s="24" t="inlineStr">
        <is>
          <t>미코</t>
        </is>
      </c>
      <c r="D827" s="24" t="inlineStr">
        <is>
          <t>mico</t>
        </is>
      </c>
      <c r="E827" s="24" t="inlineStr">
        <is>
          <t>059090</t>
        </is>
      </c>
      <c r="F827" s="24" t="inlineStr">
        <is>
          <t>2024</t>
        </is>
      </c>
      <c r="G827" s="24" t="inlineStr">
        <is>
          <t>CFS</t>
        </is>
      </c>
      <c r="H827" s="24" t="inlineStr">
        <is>
          <t>SCE</t>
        </is>
      </c>
      <c r="I827" s="24" t="inlineStr">
        <is>
          <t>자본변동표</t>
        </is>
      </c>
      <c r="J827" s="24" t="inlineStr">
        <is>
          <t>dart_EquityAtBeginningOfPeriod</t>
        </is>
      </c>
      <c r="K827" s="24" t="inlineStr">
        <is>
          <t>기초자본</t>
        </is>
      </c>
      <c r="L827" s="24" t="inlineStr">
        <is>
          <t>자본 [구성요소]|지배기업의 소유주에게 귀속되는 지분 [구성요소]|자본잉여금 [구성요소]</t>
        </is>
      </c>
      <c r="M827" s="24" t="inlineStr">
        <is>
          <t>제 26 기</t>
        </is>
      </c>
      <c r="N827" s="24" t="inlineStr">
        <is>
          <t>192820760657.0</t>
        </is>
      </c>
      <c r="O827" s="24" t="inlineStr">
        <is>
          <t>197914130088.0</t>
        </is>
      </c>
      <c r="P827" s="24" t="inlineStr">
        <is>
          <t>KRW</t>
        </is>
      </c>
      <c r="Q827" s="24" t="inlineStr">
        <is>
          <t>4</t>
        </is>
      </c>
    </row>
    <row r="828" ht="24" customHeight="1">
      <c r="A828" s="29" t="inlineStr">
        <is>
          <t>OpenDART_fnlttSinglAcntAll</t>
        </is>
      </c>
      <c r="B828" s="29" t="inlineStr">
        <is>
          <t>00366942</t>
        </is>
      </c>
      <c r="C828" s="29" t="inlineStr">
        <is>
          <t>미코</t>
        </is>
      </c>
      <c r="D828" s="29" t="inlineStr">
        <is>
          <t>mico</t>
        </is>
      </c>
      <c r="E828" s="29" t="inlineStr">
        <is>
          <t>059090</t>
        </is>
      </c>
      <c r="F828" s="29" t="inlineStr">
        <is>
          <t>2024</t>
        </is>
      </c>
      <c r="G828" s="29" t="inlineStr">
        <is>
          <t>CFS</t>
        </is>
      </c>
      <c r="H828" s="29" t="inlineStr">
        <is>
          <t>SCE</t>
        </is>
      </c>
      <c r="I828" s="29" t="inlineStr">
        <is>
          <t>자본변동표</t>
        </is>
      </c>
      <c r="J828" s="29" t="inlineStr">
        <is>
          <t>dart_EquityAtBeginningOfPeriod</t>
        </is>
      </c>
      <c r="K828" s="29" t="inlineStr">
        <is>
          <t>기초자본</t>
        </is>
      </c>
      <c r="L828" s="29" t="inlineStr">
        <is>
          <t>연결재무제표 [member]</t>
        </is>
      </c>
      <c r="M828" s="29" t="inlineStr">
        <is>
          <t>제 26 기</t>
        </is>
      </c>
      <c r="N828" s="29" t="inlineStr">
        <is>
          <t>366083933670.0</t>
        </is>
      </c>
      <c r="O828" s="29" t="inlineStr">
        <is>
          <t>376300039996.0</t>
        </is>
      </c>
      <c r="P828" s="29" t="inlineStr">
        <is>
          <t>KRW</t>
        </is>
      </c>
      <c r="Q828" s="29" t="inlineStr">
        <is>
          <t>4</t>
        </is>
      </c>
    </row>
    <row r="829" ht="24" customHeight="1">
      <c r="A829" s="24" t="inlineStr">
        <is>
          <t>OpenDART_fnlttSinglAcntAll</t>
        </is>
      </c>
      <c r="B829" s="24" t="inlineStr">
        <is>
          <t>00366942</t>
        </is>
      </c>
      <c r="C829" s="24" t="inlineStr">
        <is>
          <t>미코</t>
        </is>
      </c>
      <c r="D829" s="24" t="inlineStr">
        <is>
          <t>mico</t>
        </is>
      </c>
      <c r="E829" s="24" t="inlineStr">
        <is>
          <t>059090</t>
        </is>
      </c>
      <c r="F829" s="24" t="inlineStr">
        <is>
          <t>2024</t>
        </is>
      </c>
      <c r="G829" s="24" t="inlineStr">
        <is>
          <t>CFS</t>
        </is>
      </c>
      <c r="H829" s="24" t="inlineStr">
        <is>
          <t>SCE</t>
        </is>
      </c>
      <c r="I829" s="24" t="inlineStr">
        <is>
          <t>자본변동표</t>
        </is>
      </c>
      <c r="J829" s="24" t="inlineStr">
        <is>
          <t>dart_EquityAtBeginningOfPeriod</t>
        </is>
      </c>
      <c r="K829" s="24" t="inlineStr">
        <is>
          <t>기초자본</t>
        </is>
      </c>
      <c r="L829" s="24" t="inlineStr">
        <is>
          <t>자본 [구성요소]|비지배지분 [구성요소]</t>
        </is>
      </c>
      <c r="M829" s="24" t="inlineStr">
        <is>
          <t>제 26 기</t>
        </is>
      </c>
      <c r="N829" s="24" t="inlineStr">
        <is>
          <t>290180026515.0</t>
        </is>
      </c>
      <c r="O829" s="24" t="inlineStr">
        <is>
          <t>234487917031.0</t>
        </is>
      </c>
      <c r="P829" s="24" t="inlineStr">
        <is>
          <t>KRW</t>
        </is>
      </c>
      <c r="Q829" s="24" t="inlineStr">
        <is>
          <t>4</t>
        </is>
      </c>
    </row>
    <row r="830" ht="24" customHeight="1">
      <c r="A830" s="29" t="inlineStr">
        <is>
          <t>OpenDART_fnlttSinglAcntAll</t>
        </is>
      </c>
      <c r="B830" s="29" t="inlineStr">
        <is>
          <t>00366942</t>
        </is>
      </c>
      <c r="C830" s="29" t="inlineStr">
        <is>
          <t>미코</t>
        </is>
      </c>
      <c r="D830" s="29" t="inlineStr">
        <is>
          <t>mico</t>
        </is>
      </c>
      <c r="E830" s="29" t="inlineStr">
        <is>
          <t>059090</t>
        </is>
      </c>
      <c r="F830" s="29" t="inlineStr">
        <is>
          <t>2024</t>
        </is>
      </c>
      <c r="G830" s="29" t="inlineStr">
        <is>
          <t>CFS</t>
        </is>
      </c>
      <c r="H830" s="29" t="inlineStr">
        <is>
          <t>SCE</t>
        </is>
      </c>
      <c r="I830" s="29" t="inlineStr">
        <is>
          <t>자본변동표</t>
        </is>
      </c>
      <c r="J830" s="29" t="inlineStr">
        <is>
          <t>dart_OtherComprehensiveIncomeNetOfTaxChangeInFairValueOfFinancialAssetsMeasuredAtFairValueThroughOtherComprehensiveIncome</t>
        </is>
      </c>
      <c r="K830" s="29" t="inlineStr">
        <is>
          <t>기타포괄손익-공정가치측정금융자산평가손익</t>
        </is>
      </c>
      <c r="L830" s="29" t="inlineStr">
        <is>
          <t>연결재무제표 [member]</t>
        </is>
      </c>
      <c r="M830" s="29" t="inlineStr">
        <is>
          <t>제 26 기</t>
        </is>
      </c>
      <c r="N830" s="29" t="inlineStr">
        <is>
          <t>65241846.0</t>
        </is>
      </c>
      <c r="O830" s="29" t="inlineStr">
        <is>
          <t>해당 없음</t>
        </is>
      </c>
      <c r="P830" s="29" t="inlineStr">
        <is>
          <t>KRW</t>
        </is>
      </c>
      <c r="Q830" s="29" t="inlineStr">
        <is>
          <t>5</t>
        </is>
      </c>
    </row>
    <row r="831" ht="24" customHeight="1">
      <c r="A831" s="24" t="inlineStr">
        <is>
          <t>OpenDART_fnlttSinglAcntAll</t>
        </is>
      </c>
      <c r="B831" s="24" t="inlineStr">
        <is>
          <t>00366942</t>
        </is>
      </c>
      <c r="C831" s="24" t="inlineStr">
        <is>
          <t>미코</t>
        </is>
      </c>
      <c r="D831" s="24" t="inlineStr">
        <is>
          <t>mico</t>
        </is>
      </c>
      <c r="E831" s="24" t="inlineStr">
        <is>
          <t>059090</t>
        </is>
      </c>
      <c r="F831" s="24" t="inlineStr">
        <is>
          <t>2024</t>
        </is>
      </c>
      <c r="G831" s="24" t="inlineStr">
        <is>
          <t>CFS</t>
        </is>
      </c>
      <c r="H831" s="24" t="inlineStr">
        <is>
          <t>SCE</t>
        </is>
      </c>
      <c r="I831" s="24" t="inlineStr">
        <is>
          <t>자본변동표</t>
        </is>
      </c>
      <c r="J831" s="24" t="inlineStr">
        <is>
          <t>dart_OtherComprehensiveIncomeNetOfTaxChangeInFairValueOfFinancialAssetsMeasuredAtFairValueThroughOtherComprehensiveIncome</t>
        </is>
      </c>
      <c r="K831" s="24" t="inlineStr">
        <is>
          <t>기타포괄손익-공정가치측정금융자산평가손익</t>
        </is>
      </c>
      <c r="L831" s="24" t="inlineStr">
        <is>
          <t>자본 [구성요소]|지배기업의 소유주에게 귀속되는 지분 [구성요소]|이익잉여금 [구성요소]</t>
        </is>
      </c>
      <c r="M831" s="24" t="inlineStr">
        <is>
          <t>제 26 기</t>
        </is>
      </c>
      <c r="N831" s="24" t="inlineStr">
        <is>
          <t>해당 없음</t>
        </is>
      </c>
      <c r="O831" s="24" t="inlineStr">
        <is>
          <t>99181218.0</t>
        </is>
      </c>
      <c r="P831" s="24" t="inlineStr">
        <is>
          <t>KRW</t>
        </is>
      </c>
      <c r="Q831" s="24" t="inlineStr">
        <is>
          <t>5</t>
        </is>
      </c>
    </row>
    <row r="832" ht="24" customHeight="1">
      <c r="A832" s="29" t="inlineStr">
        <is>
          <t>OpenDART_fnlttSinglAcntAll</t>
        </is>
      </c>
      <c r="B832" s="29" t="inlineStr">
        <is>
          <t>00366942</t>
        </is>
      </c>
      <c r="C832" s="29" t="inlineStr">
        <is>
          <t>미코</t>
        </is>
      </c>
      <c r="D832" s="29" t="inlineStr">
        <is>
          <t>mico</t>
        </is>
      </c>
      <c r="E832" s="29" t="inlineStr">
        <is>
          <t>059090</t>
        </is>
      </c>
      <c r="F832" s="29" t="inlineStr">
        <is>
          <t>2024</t>
        </is>
      </c>
      <c r="G832" s="29" t="inlineStr">
        <is>
          <t>CFS</t>
        </is>
      </c>
      <c r="H832" s="29" t="inlineStr">
        <is>
          <t>SCE</t>
        </is>
      </c>
      <c r="I832" s="29" t="inlineStr">
        <is>
          <t>자본변동표</t>
        </is>
      </c>
      <c r="J832" s="29" t="inlineStr">
        <is>
          <t>dart_OtherComprehensiveIncomeNetOfTaxChangeInFairValueOfFinancialAssetsMeasuredAtFairValueThroughOtherComprehensiveIncome</t>
        </is>
      </c>
      <c r="K832" s="29" t="inlineStr">
        <is>
          <t>기타포괄손익-공정가치측정금융자산평가손익</t>
        </is>
      </c>
      <c r="L832" s="29" t="inlineStr">
        <is>
          <t>자본 [구성요소]|지배기업의 소유주에게 귀속되는 지분 [구성요소]|기타포괄손익누계액 [구성요소]</t>
        </is>
      </c>
      <c r="M832" s="29" t="inlineStr">
        <is>
          <t>제 26 기</t>
        </is>
      </c>
      <c r="N832" s="29" t="inlineStr">
        <is>
          <t>65241846.0</t>
        </is>
      </c>
      <c r="O832" s="29" t="inlineStr">
        <is>
          <t>-99181218.0</t>
        </is>
      </c>
      <c r="P832" s="29" t="inlineStr">
        <is>
          <t>KRW</t>
        </is>
      </c>
      <c r="Q832" s="29" t="inlineStr">
        <is>
          <t>5</t>
        </is>
      </c>
    </row>
    <row r="833" ht="24" customHeight="1">
      <c r="A833" s="24" t="inlineStr">
        <is>
          <t>OpenDART_fnlttSinglAcntAll</t>
        </is>
      </c>
      <c r="B833" s="24" t="inlineStr">
        <is>
          <t>00366942</t>
        </is>
      </c>
      <c r="C833" s="24" t="inlineStr">
        <is>
          <t>미코</t>
        </is>
      </c>
      <c r="D833" s="24" t="inlineStr">
        <is>
          <t>mico</t>
        </is>
      </c>
      <c r="E833" s="24" t="inlineStr">
        <is>
          <t>059090</t>
        </is>
      </c>
      <c r="F833" s="24" t="inlineStr">
        <is>
          <t>2024</t>
        </is>
      </c>
      <c r="G833" s="24" t="inlineStr">
        <is>
          <t>CFS</t>
        </is>
      </c>
      <c r="H833" s="24" t="inlineStr">
        <is>
          <t>SCE</t>
        </is>
      </c>
      <c r="I833" s="24" t="inlineStr">
        <is>
          <t>자본변동표</t>
        </is>
      </c>
      <c r="J833" s="24" t="inlineStr">
        <is>
          <t>dart_OtherComprehensiveIncomeNetOfTaxChangeInFairValueOfFinancialAssetsMeasuredAtFairValueThroughOtherComprehensiveIncome</t>
        </is>
      </c>
      <c r="K833" s="24" t="inlineStr">
        <is>
          <t>기타포괄손익-공정가치측정금융자산평가손익</t>
        </is>
      </c>
      <c r="L833" s="24" t="inlineStr">
        <is>
          <t>자본 [구성요소]|지배기업의 소유주에게 귀속되는 지분 [구성요소]</t>
        </is>
      </c>
      <c r="M833" s="24" t="inlineStr">
        <is>
          <t>제 26 기</t>
        </is>
      </c>
      <c r="N833" s="24" t="inlineStr">
        <is>
          <t>65241846.0</t>
        </is>
      </c>
      <c r="O833" s="24" t="inlineStr">
        <is>
          <t>해당 없음</t>
        </is>
      </c>
      <c r="P833" s="24" t="inlineStr">
        <is>
          <t>KRW</t>
        </is>
      </c>
      <c r="Q833" s="24" t="inlineStr">
        <is>
          <t>5</t>
        </is>
      </c>
    </row>
    <row r="834" ht="24" customHeight="1">
      <c r="A834" s="29" t="inlineStr">
        <is>
          <t>OpenDART_fnlttSinglAcntAll</t>
        </is>
      </c>
      <c r="B834" s="29" t="inlineStr">
        <is>
          <t>00366942</t>
        </is>
      </c>
      <c r="C834" s="29" t="inlineStr">
        <is>
          <t>미코</t>
        </is>
      </c>
      <c r="D834" s="29" t="inlineStr">
        <is>
          <t>mico</t>
        </is>
      </c>
      <c r="E834" s="29" t="inlineStr">
        <is>
          <t>059090</t>
        </is>
      </c>
      <c r="F834" s="29" t="inlineStr">
        <is>
          <t>2024</t>
        </is>
      </c>
      <c r="G834" s="29" t="inlineStr">
        <is>
          <t>CFS</t>
        </is>
      </c>
      <c r="H834" s="29" t="inlineStr">
        <is>
          <t>SCE</t>
        </is>
      </c>
      <c r="I834" s="29" t="inlineStr">
        <is>
          <t>자본변동표</t>
        </is>
      </c>
      <c r="J834" s="29" t="inlineStr">
        <is>
          <t>dart_OtherComprehensiveIncomeNetOfTaxChangeInFairValueOfFinancialAssetsMeasuredAtFairValueThroughOtherComprehensiveIncome</t>
        </is>
      </c>
      <c r="K834" s="29" t="inlineStr">
        <is>
          <t>기타포괄손익-공정가치측정금융자산평가손익</t>
        </is>
      </c>
      <c r="L834" s="29" t="inlineStr">
        <is>
          <t>자본 [구성요소]|비지배지분 [구성요소]</t>
        </is>
      </c>
      <c r="M834" s="29" t="inlineStr">
        <is>
          <t>제 26 기</t>
        </is>
      </c>
      <c r="N834" s="29" t="inlineStr">
        <is>
          <t>해당 없음</t>
        </is>
      </c>
      <c r="O834" s="29" t="inlineStr">
        <is>
          <t>해당 없음</t>
        </is>
      </c>
      <c r="P834" s="29" t="inlineStr">
        <is>
          <t>KRW</t>
        </is>
      </c>
      <c r="Q834" s="29" t="inlineStr">
        <is>
          <t>5</t>
        </is>
      </c>
    </row>
    <row r="835" ht="24" customHeight="1">
      <c r="A835" s="24" t="inlineStr">
        <is>
          <t>OpenDART_fnlttSinglAcntAll</t>
        </is>
      </c>
      <c r="B835" s="24" t="inlineStr">
        <is>
          <t>00366942</t>
        </is>
      </c>
      <c r="C835" s="24" t="inlineStr">
        <is>
          <t>미코</t>
        </is>
      </c>
      <c r="D835" s="24" t="inlineStr">
        <is>
          <t>mico</t>
        </is>
      </c>
      <c r="E835" s="24" t="inlineStr">
        <is>
          <t>059090</t>
        </is>
      </c>
      <c r="F835" s="24" t="inlineStr">
        <is>
          <t>2024</t>
        </is>
      </c>
      <c r="G835" s="24" t="inlineStr">
        <is>
          <t>CFS</t>
        </is>
      </c>
      <c r="H835" s="24" t="inlineStr">
        <is>
          <t>SCE</t>
        </is>
      </c>
      <c r="I835" s="24" t="inlineStr">
        <is>
          <t>자본변동표</t>
        </is>
      </c>
      <c r="J835" s="24" t="inlineStr">
        <is>
          <t>-표준계정코드 미사용-</t>
        </is>
      </c>
      <c r="K835" s="24" t="inlineStr">
        <is>
          <t>전환권대가 및 교환권대가</t>
        </is>
      </c>
      <c r="L835" s="24" t="inlineStr">
        <is>
          <t>자본 [구성요소]|지배기업의 소유주에게 귀속되는 지분 [구성요소]</t>
        </is>
      </c>
      <c r="M835" s="24" t="inlineStr">
        <is>
          <t>제 26 기</t>
        </is>
      </c>
      <c r="N835" s="24" t="inlineStr">
        <is>
          <t>해당 없음</t>
        </is>
      </c>
      <c r="O835" s="24" t="inlineStr">
        <is>
          <t>해당 없음</t>
        </is>
      </c>
      <c r="P835" s="24" t="inlineStr">
        <is>
          <t>KRW</t>
        </is>
      </c>
      <c r="Q835" s="24" t="inlineStr">
        <is>
          <t>6</t>
        </is>
      </c>
    </row>
    <row r="836" ht="24" customHeight="1">
      <c r="A836" s="29" t="inlineStr">
        <is>
          <t>OpenDART_fnlttSinglAcntAll</t>
        </is>
      </c>
      <c r="B836" s="29" t="inlineStr">
        <is>
          <t>00366942</t>
        </is>
      </c>
      <c r="C836" s="29" t="inlineStr">
        <is>
          <t>미코</t>
        </is>
      </c>
      <c r="D836" s="29" t="inlineStr">
        <is>
          <t>mico</t>
        </is>
      </c>
      <c r="E836" s="29" t="inlineStr">
        <is>
          <t>059090</t>
        </is>
      </c>
      <c r="F836" s="29" t="inlineStr">
        <is>
          <t>2024</t>
        </is>
      </c>
      <c r="G836" s="29" t="inlineStr">
        <is>
          <t>CFS</t>
        </is>
      </c>
      <c r="H836" s="29" t="inlineStr">
        <is>
          <t>SCE</t>
        </is>
      </c>
      <c r="I836" s="29" t="inlineStr">
        <is>
          <t>자본변동표</t>
        </is>
      </c>
      <c r="J836" s="29" t="inlineStr">
        <is>
          <t>-표준계정코드 미사용-</t>
        </is>
      </c>
      <c r="K836" s="29" t="inlineStr">
        <is>
          <t>전환권대가 및 교환권대가</t>
        </is>
      </c>
      <c r="L836" s="29" t="inlineStr">
        <is>
          <t>자본 [구성요소]|지배기업의 소유주에게 귀속되는 지분 [구성요소]|자본잉여금 [구성요소]</t>
        </is>
      </c>
      <c r="M836" s="29" t="inlineStr">
        <is>
          <t>제 26 기</t>
        </is>
      </c>
      <c r="N836" s="29" t="inlineStr">
        <is>
          <t>해당 없음</t>
        </is>
      </c>
      <c r="O836" s="29" t="inlineStr">
        <is>
          <t>해당 없음</t>
        </is>
      </c>
      <c r="P836" s="29" t="inlineStr">
        <is>
          <t>KRW</t>
        </is>
      </c>
      <c r="Q836" s="29" t="inlineStr">
        <is>
          <t>6</t>
        </is>
      </c>
    </row>
    <row r="837" ht="24" customHeight="1">
      <c r="A837" s="24" t="inlineStr">
        <is>
          <t>OpenDART_fnlttSinglAcntAll</t>
        </is>
      </c>
      <c r="B837" s="24" t="inlineStr">
        <is>
          <t>00366942</t>
        </is>
      </c>
      <c r="C837" s="24" t="inlineStr">
        <is>
          <t>미코</t>
        </is>
      </c>
      <c r="D837" s="24" t="inlineStr">
        <is>
          <t>mico</t>
        </is>
      </c>
      <c r="E837" s="24" t="inlineStr">
        <is>
          <t>059090</t>
        </is>
      </c>
      <c r="F837" s="24" t="inlineStr">
        <is>
          <t>2024</t>
        </is>
      </c>
      <c r="G837" s="24" t="inlineStr">
        <is>
          <t>CFS</t>
        </is>
      </c>
      <c r="H837" s="24" t="inlineStr">
        <is>
          <t>SCE</t>
        </is>
      </c>
      <c r="I837" s="24" t="inlineStr">
        <is>
          <t>자본변동표</t>
        </is>
      </c>
      <c r="J837" s="24" t="inlineStr">
        <is>
          <t>-표준계정코드 미사용-</t>
        </is>
      </c>
      <c r="K837" s="24" t="inlineStr">
        <is>
          <t>전환권대가 및 교환권대가</t>
        </is>
      </c>
      <c r="L837" s="24" t="inlineStr">
        <is>
          <t>연결재무제표 [member]</t>
        </is>
      </c>
      <c r="M837" s="24" t="inlineStr">
        <is>
          <t>제 26 기</t>
        </is>
      </c>
      <c r="N837" s="24" t="inlineStr">
        <is>
          <t>해당 없음</t>
        </is>
      </c>
      <c r="O837" s="24" t="inlineStr">
        <is>
          <t>해당 없음</t>
        </is>
      </c>
      <c r="P837" s="24" t="inlineStr">
        <is>
          <t>KRW</t>
        </is>
      </c>
      <c r="Q837" s="24" t="inlineStr">
        <is>
          <t>6</t>
        </is>
      </c>
    </row>
    <row r="838" ht="24" customHeight="1">
      <c r="A838" s="29" t="inlineStr">
        <is>
          <t>OpenDART_fnlttSinglAcntAll</t>
        </is>
      </c>
      <c r="B838" s="29" t="inlineStr">
        <is>
          <t>00366942</t>
        </is>
      </c>
      <c r="C838" s="29" t="inlineStr">
        <is>
          <t>미코</t>
        </is>
      </c>
      <c r="D838" s="29" t="inlineStr">
        <is>
          <t>mico</t>
        </is>
      </c>
      <c r="E838" s="29" t="inlineStr">
        <is>
          <t>059090</t>
        </is>
      </c>
      <c r="F838" s="29" t="inlineStr">
        <is>
          <t>2024</t>
        </is>
      </c>
      <c r="G838" s="29" t="inlineStr">
        <is>
          <t>CFS</t>
        </is>
      </c>
      <c r="H838" s="29" t="inlineStr">
        <is>
          <t>SCE</t>
        </is>
      </c>
      <c r="I838" s="29" t="inlineStr">
        <is>
          <t>자본변동표</t>
        </is>
      </c>
      <c r="J838" s="29" t="inlineStr">
        <is>
          <t>-표준계정코드 미사용-</t>
        </is>
      </c>
      <c r="K838" s="29" t="inlineStr">
        <is>
          <t>전환권대가 및 교환권대가</t>
        </is>
      </c>
      <c r="L838" s="29" t="inlineStr">
        <is>
          <t>자본 [구성요소]|비지배지분 [구성요소]</t>
        </is>
      </c>
      <c r="M838" s="29" t="inlineStr">
        <is>
          <t>제 26 기</t>
        </is>
      </c>
      <c r="N838" s="29" t="inlineStr">
        <is>
          <t>해당 없음</t>
        </is>
      </c>
      <c r="O838" s="29" t="inlineStr">
        <is>
          <t>해당 없음</t>
        </is>
      </c>
      <c r="P838" s="29" t="inlineStr">
        <is>
          <t>KRW</t>
        </is>
      </c>
      <c r="Q838" s="29" t="inlineStr">
        <is>
          <t>6</t>
        </is>
      </c>
    </row>
    <row r="839" ht="24" customHeight="1">
      <c r="A839" s="24" t="inlineStr">
        <is>
          <t>OpenDART_fnlttSinglAcntAll</t>
        </is>
      </c>
      <c r="B839" s="24" t="inlineStr">
        <is>
          <t>00366942</t>
        </is>
      </c>
      <c r="C839" s="24" t="inlineStr">
        <is>
          <t>미코</t>
        </is>
      </c>
      <c r="D839" s="24" t="inlineStr">
        <is>
          <t>mico</t>
        </is>
      </c>
      <c r="E839" s="24" t="inlineStr">
        <is>
          <t>059090</t>
        </is>
      </c>
      <c r="F839" s="24" t="inlineStr">
        <is>
          <t>2024</t>
        </is>
      </c>
      <c r="G839" s="24" t="inlineStr">
        <is>
          <t>CFS</t>
        </is>
      </c>
      <c r="H839" s="24" t="inlineStr">
        <is>
          <t>SCE</t>
        </is>
      </c>
      <c r="I839" s="24" t="inlineStr">
        <is>
          <t>자본변동표</t>
        </is>
      </c>
      <c r="J839" s="24" t="inlineStr">
        <is>
          <t>-표준계정코드 미사용-</t>
        </is>
      </c>
      <c r="K839" s="24" t="inlineStr">
        <is>
          <t>지분법자본변동 이익잉여금 대체</t>
        </is>
      </c>
      <c r="L839" s="24" t="inlineStr">
        <is>
          <t>자본 [구성요소]|지배기업의 소유주에게 귀속되는 지분 [구성요소]|기타포괄손익누계액 [구성요소]</t>
        </is>
      </c>
      <c r="M839" s="24" t="inlineStr">
        <is>
          <t>제 26 기</t>
        </is>
      </c>
      <c r="N839" s="24" t="inlineStr">
        <is>
          <t>668203315.0</t>
        </is>
      </c>
      <c r="O839" s="24" t="inlineStr">
        <is>
          <t>해당 없음</t>
        </is>
      </c>
      <c r="P839" s="24" t="inlineStr">
        <is>
          <t>KRW</t>
        </is>
      </c>
      <c r="Q839" s="24" t="inlineStr">
        <is>
          <t>7</t>
        </is>
      </c>
    </row>
    <row r="840" ht="24" customHeight="1">
      <c r="A840" s="29" t="inlineStr">
        <is>
          <t>OpenDART_fnlttSinglAcntAll</t>
        </is>
      </c>
      <c r="B840" s="29" t="inlineStr">
        <is>
          <t>00366942</t>
        </is>
      </c>
      <c r="C840" s="29" t="inlineStr">
        <is>
          <t>미코</t>
        </is>
      </c>
      <c r="D840" s="29" t="inlineStr">
        <is>
          <t>mico</t>
        </is>
      </c>
      <c r="E840" s="29" t="inlineStr">
        <is>
          <t>059090</t>
        </is>
      </c>
      <c r="F840" s="29" t="inlineStr">
        <is>
          <t>2024</t>
        </is>
      </c>
      <c r="G840" s="29" t="inlineStr">
        <is>
          <t>CFS</t>
        </is>
      </c>
      <c r="H840" s="29" t="inlineStr">
        <is>
          <t>SCE</t>
        </is>
      </c>
      <c r="I840" s="29" t="inlineStr">
        <is>
          <t>자본변동표</t>
        </is>
      </c>
      <c r="J840" s="29" t="inlineStr">
        <is>
          <t>-표준계정코드 미사용-</t>
        </is>
      </c>
      <c r="K840" s="29" t="inlineStr">
        <is>
          <t>지분법자본변동 이익잉여금 대체</t>
        </is>
      </c>
      <c r="L840" s="29" t="inlineStr">
        <is>
          <t>자본 [구성요소]|지배기업의 소유주에게 귀속되는 지분 [구성요소]|이익잉여금 [구성요소]</t>
        </is>
      </c>
      <c r="M840" s="29" t="inlineStr">
        <is>
          <t>제 26 기</t>
        </is>
      </c>
      <c r="N840" s="29" t="inlineStr">
        <is>
          <t>-668203315.0</t>
        </is>
      </c>
      <c r="O840" s="29" t="inlineStr">
        <is>
          <t>해당 없음</t>
        </is>
      </c>
      <c r="P840" s="29" t="inlineStr">
        <is>
          <t>KRW</t>
        </is>
      </c>
      <c r="Q840" s="29" t="inlineStr">
        <is>
          <t>7</t>
        </is>
      </c>
    </row>
    <row r="841" ht="24" customHeight="1">
      <c r="A841" s="24" t="inlineStr">
        <is>
          <t>OpenDART_fnlttSinglAcntAll</t>
        </is>
      </c>
      <c r="B841" s="24" t="inlineStr">
        <is>
          <t>00366942</t>
        </is>
      </c>
      <c r="C841" s="24" t="inlineStr">
        <is>
          <t>미코</t>
        </is>
      </c>
      <c r="D841" s="24" t="inlineStr">
        <is>
          <t>mico</t>
        </is>
      </c>
      <c r="E841" s="24" t="inlineStr">
        <is>
          <t>059090</t>
        </is>
      </c>
      <c r="F841" s="24" t="inlineStr">
        <is>
          <t>2024</t>
        </is>
      </c>
      <c r="G841" s="24" t="inlineStr">
        <is>
          <t>CFS</t>
        </is>
      </c>
      <c r="H841" s="24" t="inlineStr">
        <is>
          <t>SCE</t>
        </is>
      </c>
      <c r="I841" s="24" t="inlineStr">
        <is>
          <t>자본변동표</t>
        </is>
      </c>
      <c r="J841" s="24" t="inlineStr">
        <is>
          <t>-표준계정코드 미사용-</t>
        </is>
      </c>
      <c r="K841" s="24" t="inlineStr">
        <is>
          <t>주식선택권 대체</t>
        </is>
      </c>
      <c r="L841" s="24" t="inlineStr">
        <is>
          <t>자본 [구성요소]|비지배지분 [구성요소]</t>
        </is>
      </c>
      <c r="M841" s="24" t="inlineStr">
        <is>
          <t>제 26 기</t>
        </is>
      </c>
      <c r="N841" s="24" t="inlineStr">
        <is>
          <t>-99924022.0</t>
        </is>
      </c>
      <c r="O841" s="24" t="inlineStr">
        <is>
          <t>해당 없음</t>
        </is>
      </c>
      <c r="P841" s="24" t="inlineStr">
        <is>
          <t>KRW</t>
        </is>
      </c>
      <c r="Q841" s="24" t="inlineStr">
        <is>
          <t>8</t>
        </is>
      </c>
    </row>
    <row r="842" ht="24" customHeight="1">
      <c r="A842" s="29" t="inlineStr">
        <is>
          <t>OpenDART_fnlttSinglAcntAll</t>
        </is>
      </c>
      <c r="B842" s="29" t="inlineStr">
        <is>
          <t>00366942</t>
        </is>
      </c>
      <c r="C842" s="29" t="inlineStr">
        <is>
          <t>미코</t>
        </is>
      </c>
      <c r="D842" s="29" t="inlineStr">
        <is>
          <t>mico</t>
        </is>
      </c>
      <c r="E842" s="29" t="inlineStr">
        <is>
          <t>059090</t>
        </is>
      </c>
      <c r="F842" s="29" t="inlineStr">
        <is>
          <t>2024</t>
        </is>
      </c>
      <c r="G842" s="29" t="inlineStr">
        <is>
          <t>CFS</t>
        </is>
      </c>
      <c r="H842" s="29" t="inlineStr">
        <is>
          <t>SCE</t>
        </is>
      </c>
      <c r="I842" s="29" t="inlineStr">
        <is>
          <t>자본변동표</t>
        </is>
      </c>
      <c r="J842" s="29" t="inlineStr">
        <is>
          <t>-표준계정코드 미사용-</t>
        </is>
      </c>
      <c r="K842" s="29" t="inlineStr">
        <is>
          <t>주식선택권 대체</t>
        </is>
      </c>
      <c r="L842" s="29" t="inlineStr">
        <is>
          <t>자본 [구성요소]|지배기업의 소유주에게 귀속되는 지분 [구성요소]|자본잉여금 [구성요소]</t>
        </is>
      </c>
      <c r="M842" s="29" t="inlineStr">
        <is>
          <t>제 26 기</t>
        </is>
      </c>
      <c r="N842" s="29" t="inlineStr">
        <is>
          <t>99924022.0</t>
        </is>
      </c>
      <c r="O842" s="29" t="inlineStr">
        <is>
          <t>해당 없음</t>
        </is>
      </c>
      <c r="P842" s="29" t="inlineStr">
        <is>
          <t>KRW</t>
        </is>
      </c>
      <c r="Q842" s="29" t="inlineStr">
        <is>
          <t>8</t>
        </is>
      </c>
    </row>
    <row r="843" ht="24" customHeight="1">
      <c r="A843" s="24" t="inlineStr">
        <is>
          <t>OpenDART_fnlttSinglAcntAll</t>
        </is>
      </c>
      <c r="B843" s="24" t="inlineStr">
        <is>
          <t>00366942</t>
        </is>
      </c>
      <c r="C843" s="24" t="inlineStr">
        <is>
          <t>미코</t>
        </is>
      </c>
      <c r="D843" s="24" t="inlineStr">
        <is>
          <t>mico</t>
        </is>
      </c>
      <c r="E843" s="24" t="inlineStr">
        <is>
          <t>059090</t>
        </is>
      </c>
      <c r="F843" s="24" t="inlineStr">
        <is>
          <t>2024</t>
        </is>
      </c>
      <c r="G843" s="24" t="inlineStr">
        <is>
          <t>CFS</t>
        </is>
      </c>
      <c r="H843" s="24" t="inlineStr">
        <is>
          <t>SCE</t>
        </is>
      </c>
      <c r="I843" s="24" t="inlineStr">
        <is>
          <t>자본변동표</t>
        </is>
      </c>
      <c r="J843" s="24" t="inlineStr">
        <is>
          <t>-표준계정코드 미사용-</t>
        </is>
      </c>
      <c r="K843" s="24" t="inlineStr">
        <is>
          <t>주식선택권 대체</t>
        </is>
      </c>
      <c r="L843" s="24" t="inlineStr">
        <is>
          <t>자본 [구성요소]|지배기업의 소유주에게 귀속되는 지분 [구성요소]</t>
        </is>
      </c>
      <c r="M843" s="24" t="inlineStr">
        <is>
          <t>제 26 기</t>
        </is>
      </c>
      <c r="N843" s="24" t="inlineStr">
        <is>
          <t>99924022.0</t>
        </is>
      </c>
      <c r="O843" s="24" t="inlineStr">
        <is>
          <t>해당 없음</t>
        </is>
      </c>
      <c r="P843" s="24" t="inlineStr">
        <is>
          <t>KRW</t>
        </is>
      </c>
      <c r="Q843" s="24" t="inlineStr">
        <is>
          <t>8</t>
        </is>
      </c>
    </row>
    <row r="844" ht="24" customHeight="1">
      <c r="A844" s="29" t="inlineStr">
        <is>
          <t>OpenDART_fnlttSinglAcntAll</t>
        </is>
      </c>
      <c r="B844" s="29" t="inlineStr">
        <is>
          <t>00366942</t>
        </is>
      </c>
      <c r="C844" s="29" t="inlineStr">
        <is>
          <t>미코</t>
        </is>
      </c>
      <c r="D844" s="29" t="inlineStr">
        <is>
          <t>mico</t>
        </is>
      </c>
      <c r="E844" s="29" t="inlineStr">
        <is>
          <t>059090</t>
        </is>
      </c>
      <c r="F844" s="29" t="inlineStr">
        <is>
          <t>2024</t>
        </is>
      </c>
      <c r="G844" s="29" t="inlineStr">
        <is>
          <t>CFS</t>
        </is>
      </c>
      <c r="H844" s="29" t="inlineStr">
        <is>
          <t>SCE</t>
        </is>
      </c>
      <c r="I844" s="29" t="inlineStr">
        <is>
          <t>자본변동표</t>
        </is>
      </c>
      <c r="J844" s="29" t="inlineStr">
        <is>
          <t>-표준계정코드 미사용-</t>
        </is>
      </c>
      <c r="K844" s="29" t="inlineStr">
        <is>
          <t>연결실체 내 자본거래</t>
        </is>
      </c>
      <c r="L844" s="29" t="inlineStr">
        <is>
          <t>자본 [구성요소]|지배기업의 소유주에게 귀속되는 지분 [구성요소]</t>
        </is>
      </c>
      <c r="M844" s="29" t="inlineStr">
        <is>
          <t>제 26 기</t>
        </is>
      </c>
      <c r="N844" s="29" t="inlineStr">
        <is>
          <t>5309188811.0</t>
        </is>
      </c>
      <c r="O844" s="29" t="inlineStr">
        <is>
          <t>-36161881020.0</t>
        </is>
      </c>
      <c r="P844" s="29" t="inlineStr">
        <is>
          <t>KRW</t>
        </is>
      </c>
      <c r="Q844" s="29" t="inlineStr">
        <is>
          <t>9</t>
        </is>
      </c>
    </row>
    <row r="845" ht="24" customHeight="1">
      <c r="A845" s="24" t="inlineStr">
        <is>
          <t>OpenDART_fnlttSinglAcntAll</t>
        </is>
      </c>
      <c r="B845" s="24" t="inlineStr">
        <is>
          <t>00366942</t>
        </is>
      </c>
      <c r="C845" s="24" t="inlineStr">
        <is>
          <t>미코</t>
        </is>
      </c>
      <c r="D845" s="24" t="inlineStr">
        <is>
          <t>mico</t>
        </is>
      </c>
      <c r="E845" s="24" t="inlineStr">
        <is>
          <t>059090</t>
        </is>
      </c>
      <c r="F845" s="24" t="inlineStr">
        <is>
          <t>2024</t>
        </is>
      </c>
      <c r="G845" s="24" t="inlineStr">
        <is>
          <t>CFS</t>
        </is>
      </c>
      <c r="H845" s="24" t="inlineStr">
        <is>
          <t>SCE</t>
        </is>
      </c>
      <c r="I845" s="24" t="inlineStr">
        <is>
          <t>자본변동표</t>
        </is>
      </c>
      <c r="J845" s="24" t="inlineStr">
        <is>
          <t>-표준계정코드 미사용-</t>
        </is>
      </c>
      <c r="K845" s="24" t="inlineStr">
        <is>
          <t>연결실체 내 자본거래</t>
        </is>
      </c>
      <c r="L845" s="24" t="inlineStr">
        <is>
          <t>자본 [구성요소]|비지배지분 [구성요소]</t>
        </is>
      </c>
      <c r="M845" s="24" t="inlineStr">
        <is>
          <t>제 26 기</t>
        </is>
      </c>
      <c r="N845" s="24" t="inlineStr">
        <is>
          <t>-6664571786.0</t>
        </is>
      </c>
      <c r="O845" s="24" t="inlineStr">
        <is>
          <t>35959576845.0</t>
        </is>
      </c>
      <c r="P845" s="24" t="inlineStr">
        <is>
          <t>KRW</t>
        </is>
      </c>
      <c r="Q845" s="24" t="inlineStr">
        <is>
          <t>9</t>
        </is>
      </c>
    </row>
    <row r="846" ht="24" customHeight="1">
      <c r="A846" s="29" t="inlineStr">
        <is>
          <t>OpenDART_fnlttSinglAcntAll</t>
        </is>
      </c>
      <c r="B846" s="29" t="inlineStr">
        <is>
          <t>00366942</t>
        </is>
      </c>
      <c r="C846" s="29" t="inlineStr">
        <is>
          <t>미코</t>
        </is>
      </c>
      <c r="D846" s="29" t="inlineStr">
        <is>
          <t>mico</t>
        </is>
      </c>
      <c r="E846" s="29" t="inlineStr">
        <is>
          <t>059090</t>
        </is>
      </c>
      <c r="F846" s="29" t="inlineStr">
        <is>
          <t>2024</t>
        </is>
      </c>
      <c r="G846" s="29" t="inlineStr">
        <is>
          <t>CFS</t>
        </is>
      </c>
      <c r="H846" s="29" t="inlineStr">
        <is>
          <t>SCE</t>
        </is>
      </c>
      <c r="I846" s="29" t="inlineStr">
        <is>
          <t>자본변동표</t>
        </is>
      </c>
      <c r="J846" s="29" t="inlineStr">
        <is>
          <t>-표준계정코드 미사용-</t>
        </is>
      </c>
      <c r="K846" s="29" t="inlineStr">
        <is>
          <t>연결실체 내 자본거래</t>
        </is>
      </c>
      <c r="L846" s="29" t="inlineStr">
        <is>
          <t>연결재무제표 [member]</t>
        </is>
      </c>
      <c r="M846" s="29" t="inlineStr">
        <is>
          <t>제 26 기</t>
        </is>
      </c>
      <c r="N846" s="29" t="inlineStr">
        <is>
          <t>-1355382975.0</t>
        </is>
      </c>
      <c r="O846" s="29" t="inlineStr">
        <is>
          <t>-202304175.0</t>
        </is>
      </c>
      <c r="P846" s="29" t="inlineStr">
        <is>
          <t>KRW</t>
        </is>
      </c>
      <c r="Q846" s="29" t="inlineStr">
        <is>
          <t>9</t>
        </is>
      </c>
    </row>
    <row r="847" ht="24" customHeight="1">
      <c r="A847" s="24" t="inlineStr">
        <is>
          <t>OpenDART_fnlttSinglAcntAll</t>
        </is>
      </c>
      <c r="B847" s="24" t="inlineStr">
        <is>
          <t>00366942</t>
        </is>
      </c>
      <c r="C847" s="24" t="inlineStr">
        <is>
          <t>미코</t>
        </is>
      </c>
      <c r="D847" s="24" t="inlineStr">
        <is>
          <t>mico</t>
        </is>
      </c>
      <c r="E847" s="24" t="inlineStr">
        <is>
          <t>059090</t>
        </is>
      </c>
      <c r="F847" s="24" t="inlineStr">
        <is>
          <t>2024</t>
        </is>
      </c>
      <c r="G847" s="24" t="inlineStr">
        <is>
          <t>CFS</t>
        </is>
      </c>
      <c r="H847" s="24" t="inlineStr">
        <is>
          <t>SCE</t>
        </is>
      </c>
      <c r="I847" s="24" t="inlineStr">
        <is>
          <t>자본변동표</t>
        </is>
      </c>
      <c r="J847" s="24" t="inlineStr">
        <is>
          <t>-표준계정코드 미사용-</t>
        </is>
      </c>
      <c r="K847" s="24" t="inlineStr">
        <is>
          <t>연결실체 내 자본거래</t>
        </is>
      </c>
      <c r="L847" s="24" t="inlineStr">
        <is>
          <t>자본 [구성요소]|지배기업의 소유주에게 귀속되는 지분 [구성요소]|기타자본구성요소 [구성요소]</t>
        </is>
      </c>
      <c r="M847" s="24" t="inlineStr">
        <is>
          <t>제 26 기</t>
        </is>
      </c>
      <c r="N847" s="24" t="inlineStr">
        <is>
          <t>-1502611311.0</t>
        </is>
      </c>
      <c r="O847" s="24" t="inlineStr">
        <is>
          <t>-31068511589.0</t>
        </is>
      </c>
      <c r="P847" s="24" t="inlineStr">
        <is>
          <t>KRW</t>
        </is>
      </c>
      <c r="Q847" s="24" t="inlineStr">
        <is>
          <t>9</t>
        </is>
      </c>
    </row>
    <row r="848" ht="24" customHeight="1">
      <c r="A848" s="29" t="inlineStr">
        <is>
          <t>OpenDART_fnlttSinglAcntAll</t>
        </is>
      </c>
      <c r="B848" s="29" t="inlineStr">
        <is>
          <t>00366942</t>
        </is>
      </c>
      <c r="C848" s="29" t="inlineStr">
        <is>
          <t>미코</t>
        </is>
      </c>
      <c r="D848" s="29" t="inlineStr">
        <is>
          <t>mico</t>
        </is>
      </c>
      <c r="E848" s="29" t="inlineStr">
        <is>
          <t>059090</t>
        </is>
      </c>
      <c r="F848" s="29" t="inlineStr">
        <is>
          <t>2024</t>
        </is>
      </c>
      <c r="G848" s="29" t="inlineStr">
        <is>
          <t>CFS</t>
        </is>
      </c>
      <c r="H848" s="29" t="inlineStr">
        <is>
          <t>SCE</t>
        </is>
      </c>
      <c r="I848" s="29" t="inlineStr">
        <is>
          <t>자본변동표</t>
        </is>
      </c>
      <c r="J848" s="29" t="inlineStr">
        <is>
          <t>-표준계정코드 미사용-</t>
        </is>
      </c>
      <c r="K848" s="29" t="inlineStr">
        <is>
          <t>연결실체 내 자본거래</t>
        </is>
      </c>
      <c r="L848" s="29" t="inlineStr">
        <is>
          <t>자본 [구성요소]|지배기업의 소유주에게 귀속되는 지분 [구성요소]|자본잉여금 [구성요소]</t>
        </is>
      </c>
      <c r="M848" s="29" t="inlineStr">
        <is>
          <t>제 26 기</t>
        </is>
      </c>
      <c r="N848" s="29" t="inlineStr">
        <is>
          <t>6811800122.0</t>
        </is>
      </c>
      <c r="O848" s="29" t="inlineStr">
        <is>
          <t>-5093369431.0</t>
        </is>
      </c>
      <c r="P848" s="29" t="inlineStr">
        <is>
          <t>KRW</t>
        </is>
      </c>
      <c r="Q848" s="29" t="inlineStr">
        <is>
          <t>9</t>
        </is>
      </c>
    </row>
    <row r="849" ht="24" customHeight="1">
      <c r="A849" s="24" t="inlineStr">
        <is>
          <t>OpenDART_fnlttSinglAcntAll</t>
        </is>
      </c>
      <c r="B849" s="24" t="inlineStr">
        <is>
          <t>00366942</t>
        </is>
      </c>
      <c r="C849" s="24" t="inlineStr">
        <is>
          <t>미코</t>
        </is>
      </c>
      <c r="D849" s="24" t="inlineStr">
        <is>
          <t>mico</t>
        </is>
      </c>
      <c r="E849" s="24" t="inlineStr">
        <is>
          <t>059090</t>
        </is>
      </c>
      <c r="F849" s="24" t="inlineStr">
        <is>
          <t>2024</t>
        </is>
      </c>
      <c r="G849" s="24" t="inlineStr">
        <is>
          <t>CFS</t>
        </is>
      </c>
      <c r="H849" s="24" t="inlineStr">
        <is>
          <t>SCE</t>
        </is>
      </c>
      <c r="I849" s="24" t="inlineStr">
        <is>
          <t>자본변동표</t>
        </is>
      </c>
      <c r="J849" s="24" t="inlineStr">
        <is>
          <t>-표준계정코드 미사용-</t>
        </is>
      </c>
      <c r="K849" s="24" t="inlineStr">
        <is>
          <t>보험수리적손익</t>
        </is>
      </c>
      <c r="L849" s="24" t="inlineStr">
        <is>
          <t>자본 [구성요소]|지배기업의 소유주에게 귀속되는 지분 [구성요소]|기타포괄손익누계액 [구성요소]</t>
        </is>
      </c>
      <c r="M849" s="24" t="inlineStr">
        <is>
          <t>제 26 기</t>
        </is>
      </c>
      <c r="N849" s="24" t="inlineStr">
        <is>
          <t>461869579.0</t>
        </is>
      </c>
      <c r="O849" s="24" t="inlineStr">
        <is>
          <t>-451952309.0</t>
        </is>
      </c>
      <c r="P849" s="24" t="inlineStr">
        <is>
          <t>KRW</t>
        </is>
      </c>
      <c r="Q849" s="24" t="inlineStr">
        <is>
          <t>10</t>
        </is>
      </c>
    </row>
    <row r="850" ht="24" customHeight="1">
      <c r="A850" s="29" t="inlineStr">
        <is>
          <t>OpenDART_fnlttSinglAcntAll</t>
        </is>
      </c>
      <c r="B850" s="29" t="inlineStr">
        <is>
          <t>00366942</t>
        </is>
      </c>
      <c r="C850" s="29" t="inlineStr">
        <is>
          <t>미코</t>
        </is>
      </c>
      <c r="D850" s="29" t="inlineStr">
        <is>
          <t>mico</t>
        </is>
      </c>
      <c r="E850" s="29" t="inlineStr">
        <is>
          <t>059090</t>
        </is>
      </c>
      <c r="F850" s="29" t="inlineStr">
        <is>
          <t>2024</t>
        </is>
      </c>
      <c r="G850" s="29" t="inlineStr">
        <is>
          <t>CFS</t>
        </is>
      </c>
      <c r="H850" s="29" t="inlineStr">
        <is>
          <t>SCE</t>
        </is>
      </c>
      <c r="I850" s="29" t="inlineStr">
        <is>
          <t>자본변동표</t>
        </is>
      </c>
      <c r="J850" s="29" t="inlineStr">
        <is>
          <t>-표준계정코드 미사용-</t>
        </is>
      </c>
      <c r="K850" s="29" t="inlineStr">
        <is>
          <t>보험수리적손익</t>
        </is>
      </c>
      <c r="L850" s="29" t="inlineStr">
        <is>
          <t>자본 [구성요소]|지배기업의 소유주에게 귀속되는 지분 [구성요소]</t>
        </is>
      </c>
      <c r="M850" s="29" t="inlineStr">
        <is>
          <t>제 26 기</t>
        </is>
      </c>
      <c r="N850" s="29" t="inlineStr">
        <is>
          <t>461869579.0</t>
        </is>
      </c>
      <c r="O850" s="29" t="inlineStr">
        <is>
          <t>-451952309.0</t>
        </is>
      </c>
      <c r="P850" s="29" t="inlineStr">
        <is>
          <t>KRW</t>
        </is>
      </c>
      <c r="Q850" s="29" t="inlineStr">
        <is>
          <t>10</t>
        </is>
      </c>
    </row>
    <row r="851" ht="24" customHeight="1">
      <c r="A851" s="24" t="inlineStr">
        <is>
          <t>OpenDART_fnlttSinglAcntAll</t>
        </is>
      </c>
      <c r="B851" s="24" t="inlineStr">
        <is>
          <t>00366942</t>
        </is>
      </c>
      <c r="C851" s="24" t="inlineStr">
        <is>
          <t>미코</t>
        </is>
      </c>
      <c r="D851" s="24" t="inlineStr">
        <is>
          <t>mico</t>
        </is>
      </c>
      <c r="E851" s="24" t="inlineStr">
        <is>
          <t>059090</t>
        </is>
      </c>
      <c r="F851" s="24" t="inlineStr">
        <is>
          <t>2024</t>
        </is>
      </c>
      <c r="G851" s="24" t="inlineStr">
        <is>
          <t>CFS</t>
        </is>
      </c>
      <c r="H851" s="24" t="inlineStr">
        <is>
          <t>SCE</t>
        </is>
      </c>
      <c r="I851" s="24" t="inlineStr">
        <is>
          <t>자본변동표</t>
        </is>
      </c>
      <c r="J851" s="24" t="inlineStr">
        <is>
          <t>-표준계정코드 미사용-</t>
        </is>
      </c>
      <c r="K851" s="24" t="inlineStr">
        <is>
          <t>보험수리적손익</t>
        </is>
      </c>
      <c r="L851" s="24" t="inlineStr">
        <is>
          <t>자본 [구성요소]|비지배지분 [구성요소]</t>
        </is>
      </c>
      <c r="M851" s="24" t="inlineStr">
        <is>
          <t>제 26 기</t>
        </is>
      </c>
      <c r="N851" s="24" t="inlineStr">
        <is>
          <t>224769633.0</t>
        </is>
      </c>
      <c r="O851" s="24" t="inlineStr">
        <is>
          <t>-321102278.0</t>
        </is>
      </c>
      <c r="P851" s="24" t="inlineStr">
        <is>
          <t>KRW</t>
        </is>
      </c>
      <c r="Q851" s="24" t="inlineStr">
        <is>
          <t>10</t>
        </is>
      </c>
    </row>
    <row r="852" ht="24" customHeight="1">
      <c r="A852" s="29" t="inlineStr">
        <is>
          <t>OpenDART_fnlttSinglAcntAll</t>
        </is>
      </c>
      <c r="B852" s="29" t="inlineStr">
        <is>
          <t>00366942</t>
        </is>
      </c>
      <c r="C852" s="29" t="inlineStr">
        <is>
          <t>미코</t>
        </is>
      </c>
      <c r="D852" s="29" t="inlineStr">
        <is>
          <t>mico</t>
        </is>
      </c>
      <c r="E852" s="29" t="inlineStr">
        <is>
          <t>059090</t>
        </is>
      </c>
      <c r="F852" s="29" t="inlineStr">
        <is>
          <t>2024</t>
        </is>
      </c>
      <c r="G852" s="29" t="inlineStr">
        <is>
          <t>CFS</t>
        </is>
      </c>
      <c r="H852" s="29" t="inlineStr">
        <is>
          <t>SCE</t>
        </is>
      </c>
      <c r="I852" s="29" t="inlineStr">
        <is>
          <t>자본변동표</t>
        </is>
      </c>
      <c r="J852" s="29" t="inlineStr">
        <is>
          <t>-표준계정코드 미사용-</t>
        </is>
      </c>
      <c r="K852" s="29" t="inlineStr">
        <is>
          <t>보험수리적손익</t>
        </is>
      </c>
      <c r="L852" s="29" t="inlineStr">
        <is>
          <t>연결재무제표 [member]</t>
        </is>
      </c>
      <c r="M852" s="29" t="inlineStr">
        <is>
          <t>제 26 기</t>
        </is>
      </c>
      <c r="N852" s="29" t="inlineStr">
        <is>
          <t>686639212.0</t>
        </is>
      </c>
      <c r="O852" s="29" t="inlineStr">
        <is>
          <t>-773054587.0</t>
        </is>
      </c>
      <c r="P852" s="29" t="inlineStr">
        <is>
          <t>KRW</t>
        </is>
      </c>
      <c r="Q852" s="29" t="inlineStr">
        <is>
          <t>10</t>
        </is>
      </c>
    </row>
    <row r="853" ht="24" customHeight="1">
      <c r="A853" s="24" t="inlineStr">
        <is>
          <t>OpenDART_fnlttSinglAcntAll</t>
        </is>
      </c>
      <c r="B853" s="24" t="inlineStr">
        <is>
          <t>00366942</t>
        </is>
      </c>
      <c r="C853" s="24" t="inlineStr">
        <is>
          <t>미코</t>
        </is>
      </c>
      <c r="D853" s="24" t="inlineStr">
        <is>
          <t>mico</t>
        </is>
      </c>
      <c r="E853" s="24" t="inlineStr">
        <is>
          <t>059090</t>
        </is>
      </c>
      <c r="F853" s="24" t="inlineStr">
        <is>
          <t>2024</t>
        </is>
      </c>
      <c r="G853" s="24" t="inlineStr">
        <is>
          <t>CFS</t>
        </is>
      </c>
      <c r="H853" s="24" t="inlineStr">
        <is>
          <t>SCE</t>
        </is>
      </c>
      <c r="I853" s="24" t="inlineStr">
        <is>
          <t>자본변동표</t>
        </is>
      </c>
      <c r="J853" s="24" t="inlineStr">
        <is>
          <t>ifrs-full_DividendsPaid</t>
        </is>
      </c>
      <c r="K853" s="24" t="inlineStr">
        <is>
          <t>배당금의 지급</t>
        </is>
      </c>
      <c r="L853" s="24" t="inlineStr">
        <is>
          <t>자본 [구성요소]|비지배지분 [구성요소]</t>
        </is>
      </c>
      <c r="M853" s="24" t="inlineStr">
        <is>
          <t>제 26 기</t>
        </is>
      </c>
      <c r="N853" s="24" t="inlineStr">
        <is>
          <t>4856729000.0</t>
        </is>
      </c>
      <c r="O853" s="24" t="inlineStr">
        <is>
          <t>7778375900.0</t>
        </is>
      </c>
      <c r="P853" s="24" t="inlineStr">
        <is>
          <t>KRW</t>
        </is>
      </c>
      <c r="Q853" s="24" t="inlineStr">
        <is>
          <t>11</t>
        </is>
      </c>
    </row>
    <row r="854" ht="24" customHeight="1">
      <c r="A854" s="29" t="inlineStr">
        <is>
          <t>OpenDART_fnlttSinglAcntAll</t>
        </is>
      </c>
      <c r="B854" s="29" t="inlineStr">
        <is>
          <t>00366942</t>
        </is>
      </c>
      <c r="C854" s="29" t="inlineStr">
        <is>
          <t>미코</t>
        </is>
      </c>
      <c r="D854" s="29" t="inlineStr">
        <is>
          <t>mico</t>
        </is>
      </c>
      <c r="E854" s="29" t="inlineStr">
        <is>
          <t>059090</t>
        </is>
      </c>
      <c r="F854" s="29" t="inlineStr">
        <is>
          <t>2024</t>
        </is>
      </c>
      <c r="G854" s="29" t="inlineStr">
        <is>
          <t>CFS</t>
        </is>
      </c>
      <c r="H854" s="29" t="inlineStr">
        <is>
          <t>SCE</t>
        </is>
      </c>
      <c r="I854" s="29" t="inlineStr">
        <is>
          <t>자본변동표</t>
        </is>
      </c>
      <c r="J854" s="29" t="inlineStr">
        <is>
          <t>ifrs-full_DividendsPaid</t>
        </is>
      </c>
      <c r="K854" s="29" t="inlineStr">
        <is>
          <t>배당금의 지급</t>
        </is>
      </c>
      <c r="L854" s="29" t="inlineStr">
        <is>
          <t>연결재무제표 [member]</t>
        </is>
      </c>
      <c r="M854" s="29" t="inlineStr">
        <is>
          <t>제 26 기</t>
        </is>
      </c>
      <c r="N854" s="29" t="inlineStr">
        <is>
          <t>4856729000.0</t>
        </is>
      </c>
      <c r="O854" s="29" t="inlineStr">
        <is>
          <t>7778375900.0</t>
        </is>
      </c>
      <c r="P854" s="29" t="inlineStr">
        <is>
          <t>KRW</t>
        </is>
      </c>
      <c r="Q854" s="29" t="inlineStr">
        <is>
          <t>11</t>
        </is>
      </c>
    </row>
    <row r="855" ht="24" customHeight="1">
      <c r="A855" s="24" t="inlineStr">
        <is>
          <t>OpenDART_fnlttSinglAcntAll</t>
        </is>
      </c>
      <c r="B855" s="24" t="inlineStr">
        <is>
          <t>00366942</t>
        </is>
      </c>
      <c r="C855" s="24" t="inlineStr">
        <is>
          <t>미코</t>
        </is>
      </c>
      <c r="D855" s="24" t="inlineStr">
        <is>
          <t>mico</t>
        </is>
      </c>
      <c r="E855" s="24" t="inlineStr">
        <is>
          <t>059090</t>
        </is>
      </c>
      <c r="F855" s="24" t="inlineStr">
        <is>
          <t>2024</t>
        </is>
      </c>
      <c r="G855" s="24" t="inlineStr">
        <is>
          <t>CFS</t>
        </is>
      </c>
      <c r="H855" s="24" t="inlineStr">
        <is>
          <t>SCE</t>
        </is>
      </c>
      <c r="I855" s="24" t="inlineStr">
        <is>
          <t>자본변동표</t>
        </is>
      </c>
      <c r="J855" s="24" t="inlineStr">
        <is>
          <t>ifrs-full_DividendsPaid</t>
        </is>
      </c>
      <c r="K855" s="24" t="inlineStr">
        <is>
          <t>배당금의 지급</t>
        </is>
      </c>
      <c r="L855" s="24" t="inlineStr">
        <is>
          <t>자본 [구성요소]|지배기업의 소유주에게 귀속되는 지분 [구성요소]</t>
        </is>
      </c>
      <c r="M855" s="24" t="inlineStr">
        <is>
          <t>제 26 기</t>
        </is>
      </c>
      <c r="N855" s="24" t="inlineStr">
        <is>
          <t>해당 없음</t>
        </is>
      </c>
      <c r="O855" s="24" t="inlineStr">
        <is>
          <t>해당 없음</t>
        </is>
      </c>
      <c r="P855" s="24" t="inlineStr">
        <is>
          <t>KRW</t>
        </is>
      </c>
      <c r="Q855" s="24" t="inlineStr">
        <is>
          <t>11</t>
        </is>
      </c>
    </row>
    <row r="856" ht="24" customHeight="1">
      <c r="A856" s="29" t="inlineStr">
        <is>
          <t>OpenDART_fnlttSinglAcntAll</t>
        </is>
      </c>
      <c r="B856" s="29" t="inlineStr">
        <is>
          <t>00366942</t>
        </is>
      </c>
      <c r="C856" s="29" t="inlineStr">
        <is>
          <t>미코</t>
        </is>
      </c>
      <c r="D856" s="29" t="inlineStr">
        <is>
          <t>mico</t>
        </is>
      </c>
      <c r="E856" s="29" t="inlineStr">
        <is>
          <t>059090</t>
        </is>
      </c>
      <c r="F856" s="29" t="inlineStr">
        <is>
          <t>2024</t>
        </is>
      </c>
      <c r="G856" s="29" t="inlineStr">
        <is>
          <t>CFS</t>
        </is>
      </c>
      <c r="H856" s="29" t="inlineStr">
        <is>
          <t>SCE</t>
        </is>
      </c>
      <c r="I856" s="29" t="inlineStr">
        <is>
          <t>자본변동표</t>
        </is>
      </c>
      <c r="J856" s="29" t="inlineStr">
        <is>
          <t>ifrs-full_DividendsPaid</t>
        </is>
      </c>
      <c r="K856" s="29" t="inlineStr">
        <is>
          <t>배당금의 지급</t>
        </is>
      </c>
      <c r="L856" s="29" t="inlineStr">
        <is>
          <t>자본 [구성요소]|지배기업의 소유주에게 귀속되는 지분 [구성요소]|이익잉여금 [구성요소]</t>
        </is>
      </c>
      <c r="M856" s="29" t="inlineStr">
        <is>
          <t>제 26 기</t>
        </is>
      </c>
      <c r="N856" s="29" t="inlineStr">
        <is>
          <t>해당 없음</t>
        </is>
      </c>
      <c r="O856" s="29" t="inlineStr">
        <is>
          <t>해당 없음</t>
        </is>
      </c>
      <c r="P856" s="29" t="inlineStr">
        <is>
          <t>KRW</t>
        </is>
      </c>
      <c r="Q856" s="29" t="inlineStr">
        <is>
          <t>11</t>
        </is>
      </c>
    </row>
    <row r="857" ht="24" customHeight="1">
      <c r="A857" s="24" t="inlineStr">
        <is>
          <t>OpenDART_fnlttSinglAcntAll</t>
        </is>
      </c>
      <c r="B857" s="24" t="inlineStr">
        <is>
          <t>00366942</t>
        </is>
      </c>
      <c r="C857" s="24" t="inlineStr">
        <is>
          <t>미코</t>
        </is>
      </c>
      <c r="D857" s="24" t="inlineStr">
        <is>
          <t>mico</t>
        </is>
      </c>
      <c r="E857" s="24" t="inlineStr">
        <is>
          <t>059090</t>
        </is>
      </c>
      <c r="F857" s="24" t="inlineStr">
        <is>
          <t>2024</t>
        </is>
      </c>
      <c r="G857" s="24" t="inlineStr">
        <is>
          <t>CFS</t>
        </is>
      </c>
      <c r="H857" s="24" t="inlineStr">
        <is>
          <t>SCE</t>
        </is>
      </c>
      <c r="I857" s="24" t="inlineStr">
        <is>
          <t>자본변동표</t>
        </is>
      </c>
      <c r="J857" s="24" t="inlineStr">
        <is>
          <t>ifrs-full_Equity</t>
        </is>
      </c>
      <c r="K857" s="24" t="inlineStr">
        <is>
          <t>자본총계</t>
        </is>
      </c>
      <c r="L857" s="24" t="inlineStr">
        <is>
          <t>자본 [구성요소]|지배기업의 소유주에게 귀속되는 지분 [구성요소]|이익잉여금 [구성요소]</t>
        </is>
      </c>
      <c r="M857" s="24" t="inlineStr">
        <is>
          <t>제 26 기</t>
        </is>
      </c>
      <c r="N857" s="24" t="inlineStr">
        <is>
          <t>-46640871762.0</t>
        </is>
      </c>
      <c r="O857" s="24" t="inlineStr">
        <is>
          <t>-64088444589.0</t>
        </is>
      </c>
      <c r="P857" s="24" t="inlineStr">
        <is>
          <t>KRW</t>
        </is>
      </c>
      <c r="Q857" s="24" t="inlineStr">
        <is>
          <t>12</t>
        </is>
      </c>
    </row>
    <row r="858" ht="24" customHeight="1">
      <c r="A858" s="29" t="inlineStr">
        <is>
          <t>OpenDART_fnlttSinglAcntAll</t>
        </is>
      </c>
      <c r="B858" s="29" t="inlineStr">
        <is>
          <t>00366942</t>
        </is>
      </c>
      <c r="C858" s="29" t="inlineStr">
        <is>
          <t>미코</t>
        </is>
      </c>
      <c r="D858" s="29" t="inlineStr">
        <is>
          <t>mico</t>
        </is>
      </c>
      <c r="E858" s="29" t="inlineStr">
        <is>
          <t>059090</t>
        </is>
      </c>
      <c r="F858" s="29" t="inlineStr">
        <is>
          <t>2024</t>
        </is>
      </c>
      <c r="G858" s="29" t="inlineStr">
        <is>
          <t>CFS</t>
        </is>
      </c>
      <c r="H858" s="29" t="inlineStr">
        <is>
          <t>SCE</t>
        </is>
      </c>
      <c r="I858" s="29" t="inlineStr">
        <is>
          <t>자본변동표</t>
        </is>
      </c>
      <c r="J858" s="29" t="inlineStr">
        <is>
          <t>ifrs-full_Equity</t>
        </is>
      </c>
      <c r="K858" s="29" t="inlineStr">
        <is>
          <t>자본총계</t>
        </is>
      </c>
      <c r="L858" s="29" t="inlineStr">
        <is>
          <t>자본 [구성요소]|지배기업의 소유주에게 귀속되는 지분 [구성요소]|기타포괄손익누계액 [구성요소]</t>
        </is>
      </c>
      <c r="M858" s="29" t="inlineStr">
        <is>
          <t>제 26 기</t>
        </is>
      </c>
      <c r="N858" s="29" t="inlineStr">
        <is>
          <t>2635493826.0</t>
        </is>
      </c>
      <c r="O858" s="29" t="inlineStr">
        <is>
          <t>-11390418.0</t>
        </is>
      </c>
      <c r="P858" s="29" t="inlineStr">
        <is>
          <t>KRW</t>
        </is>
      </c>
      <c r="Q858" s="29" t="inlineStr">
        <is>
          <t>12</t>
        </is>
      </c>
    </row>
    <row r="859" ht="24" customHeight="1">
      <c r="A859" s="24" t="inlineStr">
        <is>
          <t>OpenDART_fnlttSinglAcntAll</t>
        </is>
      </c>
      <c r="B859" s="24" t="inlineStr">
        <is>
          <t>00366942</t>
        </is>
      </c>
      <c r="C859" s="24" t="inlineStr">
        <is>
          <t>미코</t>
        </is>
      </c>
      <c r="D859" s="24" t="inlineStr">
        <is>
          <t>mico</t>
        </is>
      </c>
      <c r="E859" s="24" t="inlineStr">
        <is>
          <t>059090</t>
        </is>
      </c>
      <c r="F859" s="24" t="inlineStr">
        <is>
          <t>2024</t>
        </is>
      </c>
      <c r="G859" s="24" t="inlineStr">
        <is>
          <t>CFS</t>
        </is>
      </c>
      <c r="H859" s="24" t="inlineStr">
        <is>
          <t>SCE</t>
        </is>
      </c>
      <c r="I859" s="24" t="inlineStr">
        <is>
          <t>자본변동표</t>
        </is>
      </c>
      <c r="J859" s="24" t="inlineStr">
        <is>
          <t>ifrs-full_Equity</t>
        </is>
      </c>
      <c r="K859" s="24" t="inlineStr">
        <is>
          <t>자본총계</t>
        </is>
      </c>
      <c r="L859" s="24" t="inlineStr">
        <is>
          <t>자본 [구성요소]|지배기업의 소유주에게 귀속되는 지분 [구성요소]|기타자본구성요소 [구성요소]</t>
        </is>
      </c>
      <c r="M859" s="24" t="inlineStr">
        <is>
          <t>제 26 기</t>
        </is>
      </c>
      <c r="N859" s="24" t="inlineStr">
        <is>
          <t>-71028018806.0</t>
        </is>
      </c>
      <c r="O859" s="24" t="inlineStr">
        <is>
          <t>-69525407495.0</t>
        </is>
      </c>
      <c r="P859" s="24" t="inlineStr">
        <is>
          <t>KRW</t>
        </is>
      </c>
      <c r="Q859" s="24" t="inlineStr">
        <is>
          <t>12</t>
        </is>
      </c>
    </row>
    <row r="860" ht="24" customHeight="1">
      <c r="A860" s="29" t="inlineStr">
        <is>
          <t>OpenDART_fnlttSinglAcntAll</t>
        </is>
      </c>
      <c r="B860" s="29" t="inlineStr">
        <is>
          <t>00366942</t>
        </is>
      </c>
      <c r="C860" s="29" t="inlineStr">
        <is>
          <t>미코</t>
        </is>
      </c>
      <c r="D860" s="29" t="inlineStr">
        <is>
          <t>mico</t>
        </is>
      </c>
      <c r="E860" s="29" t="inlineStr">
        <is>
          <t>059090</t>
        </is>
      </c>
      <c r="F860" s="29" t="inlineStr">
        <is>
          <t>2024</t>
        </is>
      </c>
      <c r="G860" s="29" t="inlineStr">
        <is>
          <t>CFS</t>
        </is>
      </c>
      <c r="H860" s="29" t="inlineStr">
        <is>
          <t>SCE</t>
        </is>
      </c>
      <c r="I860" s="29" t="inlineStr">
        <is>
          <t>자본변동표</t>
        </is>
      </c>
      <c r="J860" s="29" t="inlineStr">
        <is>
          <t>ifrs-full_Equity</t>
        </is>
      </c>
      <c r="K860" s="29" t="inlineStr">
        <is>
          <t>자본총계</t>
        </is>
      </c>
      <c r="L860" s="29" t="inlineStr">
        <is>
          <t>자본 [구성요소]|지배기업의 소유주에게 귀속되는 지분 [구성요소]</t>
        </is>
      </c>
      <c r="M860" s="29" t="inlineStr">
        <is>
          <t>제 26 기</t>
        </is>
      </c>
      <c r="N860" s="29" t="inlineStr">
        <is>
          <t>101407477059.0</t>
        </is>
      </c>
      <c r="O860" s="29" t="inlineStr">
        <is>
          <t>75903907155.0</t>
        </is>
      </c>
      <c r="P860" s="29" t="inlineStr">
        <is>
          <t>KRW</t>
        </is>
      </c>
      <c r="Q860" s="29" t="inlineStr">
        <is>
          <t>12</t>
        </is>
      </c>
    </row>
    <row r="861" ht="24" customHeight="1">
      <c r="A861" s="24" t="inlineStr">
        <is>
          <t>OpenDART_fnlttSinglAcntAll</t>
        </is>
      </c>
      <c r="B861" s="24" t="inlineStr">
        <is>
          <t>00366942</t>
        </is>
      </c>
      <c r="C861" s="24" t="inlineStr">
        <is>
          <t>미코</t>
        </is>
      </c>
      <c r="D861" s="24" t="inlineStr">
        <is>
          <t>mico</t>
        </is>
      </c>
      <c r="E861" s="24" t="inlineStr">
        <is>
          <t>059090</t>
        </is>
      </c>
      <c r="F861" s="24" t="inlineStr">
        <is>
          <t>2024</t>
        </is>
      </c>
      <c r="G861" s="24" t="inlineStr">
        <is>
          <t>CFS</t>
        </is>
      </c>
      <c r="H861" s="24" t="inlineStr">
        <is>
          <t>SCE</t>
        </is>
      </c>
      <c r="I861" s="24" t="inlineStr">
        <is>
          <t>자본변동표</t>
        </is>
      </c>
      <c r="J861" s="24" t="inlineStr">
        <is>
          <t>ifrs-full_Equity</t>
        </is>
      </c>
      <c r="K861" s="24" t="inlineStr">
        <is>
          <t>자본총계</t>
        </is>
      </c>
      <c r="L861" s="24" t="inlineStr">
        <is>
          <t>자본 [구성요소]|비지배지분 [구성요소]</t>
        </is>
      </c>
      <c r="M861" s="24" t="inlineStr">
        <is>
          <t>제 26 기</t>
        </is>
      </c>
      <c r="N861" s="24" t="inlineStr">
        <is>
          <t>431440175475.0</t>
        </is>
      </c>
      <c r="O861" s="24" t="inlineStr">
        <is>
          <t>290180026515.0</t>
        </is>
      </c>
      <c r="P861" s="24" t="inlineStr">
        <is>
          <t>KRW</t>
        </is>
      </c>
      <c r="Q861" s="24" t="inlineStr">
        <is>
          <t>12</t>
        </is>
      </c>
    </row>
    <row r="862" ht="24" customHeight="1">
      <c r="A862" s="29" t="inlineStr">
        <is>
          <t>OpenDART_fnlttSinglAcntAll</t>
        </is>
      </c>
      <c r="B862" s="29" t="inlineStr">
        <is>
          <t>00366942</t>
        </is>
      </c>
      <c r="C862" s="29" t="inlineStr">
        <is>
          <t>미코</t>
        </is>
      </c>
      <c r="D862" s="29" t="inlineStr">
        <is>
          <t>mico</t>
        </is>
      </c>
      <c r="E862" s="29" t="inlineStr">
        <is>
          <t>059090</t>
        </is>
      </c>
      <c r="F862" s="29" t="inlineStr">
        <is>
          <t>2024</t>
        </is>
      </c>
      <c r="G862" s="29" t="inlineStr">
        <is>
          <t>CFS</t>
        </is>
      </c>
      <c r="H862" s="29" t="inlineStr">
        <is>
          <t>SCE</t>
        </is>
      </c>
      <c r="I862" s="29" t="inlineStr">
        <is>
          <t>자본변동표</t>
        </is>
      </c>
      <c r="J862" s="29" t="inlineStr">
        <is>
          <t>ifrs-full_Equity</t>
        </is>
      </c>
      <c r="K862" s="29" t="inlineStr">
        <is>
          <t>자본총계</t>
        </is>
      </c>
      <c r="L862" s="29" t="inlineStr">
        <is>
          <t>연결재무제표 [member]</t>
        </is>
      </c>
      <c r="M862" s="29" t="inlineStr">
        <is>
          <t>제 26 기</t>
        </is>
      </c>
      <c r="N862" s="29" t="inlineStr">
        <is>
          <t>532847652534.0</t>
        </is>
      </c>
      <c r="O862" s="29" t="inlineStr">
        <is>
          <t>366083933670.0</t>
        </is>
      </c>
      <c r="P862" s="29" t="inlineStr">
        <is>
          <t>KRW</t>
        </is>
      </c>
      <c r="Q862" s="29" t="inlineStr">
        <is>
          <t>12</t>
        </is>
      </c>
    </row>
    <row r="863" ht="24" customHeight="1">
      <c r="A863" s="24" t="inlineStr">
        <is>
          <t>OpenDART_fnlttSinglAcntAll</t>
        </is>
      </c>
      <c r="B863" s="24" t="inlineStr">
        <is>
          <t>00366942</t>
        </is>
      </c>
      <c r="C863" s="24" t="inlineStr">
        <is>
          <t>미코</t>
        </is>
      </c>
      <c r="D863" s="24" t="inlineStr">
        <is>
          <t>mico</t>
        </is>
      </c>
      <c r="E863" s="24" t="inlineStr">
        <is>
          <t>059090</t>
        </is>
      </c>
      <c r="F863" s="24" t="inlineStr">
        <is>
          <t>2024</t>
        </is>
      </c>
      <c r="G863" s="24" t="inlineStr">
        <is>
          <t>CFS</t>
        </is>
      </c>
      <c r="H863" s="24" t="inlineStr">
        <is>
          <t>SCE</t>
        </is>
      </c>
      <c r="I863" s="24" t="inlineStr">
        <is>
          <t>자본변동표</t>
        </is>
      </c>
      <c r="J863" s="24" t="inlineStr">
        <is>
          <t>ifrs-full_Equity</t>
        </is>
      </c>
      <c r="K863" s="24" t="inlineStr">
        <is>
          <t>자본총계</t>
        </is>
      </c>
      <c r="L863" s="24" t="inlineStr">
        <is>
          <t>자본 [구성요소]|지배기업의 소유주에게 귀속되는 지분 [구성요소]|자본금 [구성요소]</t>
        </is>
      </c>
      <c r="M863" s="24" t="inlineStr">
        <is>
          <t>제 26 기</t>
        </is>
      </c>
      <c r="N863" s="24" t="inlineStr">
        <is>
          <t>16708389000.0</t>
        </is>
      </c>
      <c r="O863" s="24" t="inlineStr">
        <is>
          <t>16708389000.0</t>
        </is>
      </c>
      <c r="P863" s="24" t="inlineStr">
        <is>
          <t>KRW</t>
        </is>
      </c>
      <c r="Q863" s="24" t="inlineStr">
        <is>
          <t>12</t>
        </is>
      </c>
    </row>
    <row r="864" ht="24" customHeight="1">
      <c r="A864" s="29" t="inlineStr">
        <is>
          <t>OpenDART_fnlttSinglAcntAll</t>
        </is>
      </c>
      <c r="B864" s="29" t="inlineStr">
        <is>
          <t>00366942</t>
        </is>
      </c>
      <c r="C864" s="29" t="inlineStr">
        <is>
          <t>미코</t>
        </is>
      </c>
      <c r="D864" s="29" t="inlineStr">
        <is>
          <t>mico</t>
        </is>
      </c>
      <c r="E864" s="29" t="inlineStr">
        <is>
          <t>059090</t>
        </is>
      </c>
      <c r="F864" s="29" t="inlineStr">
        <is>
          <t>2024</t>
        </is>
      </c>
      <c r="G864" s="29" t="inlineStr">
        <is>
          <t>CFS</t>
        </is>
      </c>
      <c r="H864" s="29" t="inlineStr">
        <is>
          <t>SCE</t>
        </is>
      </c>
      <c r="I864" s="29" t="inlineStr">
        <is>
          <t>자본변동표</t>
        </is>
      </c>
      <c r="J864" s="29" t="inlineStr">
        <is>
          <t>ifrs-full_Equity</t>
        </is>
      </c>
      <c r="K864" s="29" t="inlineStr">
        <is>
          <t>자본총계</t>
        </is>
      </c>
      <c r="L864" s="29" t="inlineStr">
        <is>
          <t>자본 [구성요소]|지배기업의 소유주에게 귀속되는 지분 [구성요소]|자본잉여금 [구성요소]</t>
        </is>
      </c>
      <c r="M864" s="29" t="inlineStr">
        <is>
          <t>제 26 기</t>
        </is>
      </c>
      <c r="N864" s="29" t="inlineStr">
        <is>
          <t>199732484801.0</t>
        </is>
      </c>
      <c r="O864" s="29" t="inlineStr">
        <is>
          <t>192820760657.0</t>
        </is>
      </c>
      <c r="P864" s="29" t="inlineStr">
        <is>
          <t>KRW</t>
        </is>
      </c>
      <c r="Q864" s="29" t="inlineStr">
        <is>
          <t>12</t>
        </is>
      </c>
    </row>
    <row r="865" ht="24" customHeight="1">
      <c r="A865" s="24" t="inlineStr">
        <is>
          <t>OpenDART_fnlttSinglAcntAll</t>
        </is>
      </c>
      <c r="B865" s="24" t="inlineStr">
        <is>
          <t>00366942</t>
        </is>
      </c>
      <c r="C865" s="24" t="inlineStr">
        <is>
          <t>미코</t>
        </is>
      </c>
      <c r="D865" s="24" t="inlineStr">
        <is>
          <t>mico</t>
        </is>
      </c>
      <c r="E865" s="24" t="inlineStr">
        <is>
          <t>059090</t>
        </is>
      </c>
      <c r="F865" s="24" t="inlineStr">
        <is>
          <t>2024</t>
        </is>
      </c>
      <c r="G865" s="24" t="inlineStr">
        <is>
          <t>CFS</t>
        </is>
      </c>
      <c r="H865" s="24" t="inlineStr">
        <is>
          <t>SCE</t>
        </is>
      </c>
      <c r="I865" s="24" t="inlineStr">
        <is>
          <t>자본변동표</t>
        </is>
      </c>
      <c r="J865" s="24" t="inlineStr">
        <is>
          <t>ifrs-full_ExpectedDividendShareOptionsGranted</t>
        </is>
      </c>
      <c r="K865" s="24" t="inlineStr">
        <is>
          <t>주식선택권 부여</t>
        </is>
      </c>
      <c r="L865" s="24" t="inlineStr">
        <is>
          <t>연결재무제표 [member]</t>
        </is>
      </c>
      <c r="M865" s="24" t="inlineStr">
        <is>
          <t>제 26 기</t>
        </is>
      </c>
      <c r="N865" s="24" t="inlineStr">
        <is>
          <t>2831700836.0</t>
        </is>
      </c>
      <c r="O865" s="24" t="inlineStr">
        <is>
          <t>3311569224.0</t>
        </is>
      </c>
      <c r="P865" s="24" t="inlineStr">
        <is>
          <t>KRW</t>
        </is>
      </c>
      <c r="Q865" s="24" t="inlineStr">
        <is>
          <t>13</t>
        </is>
      </c>
    </row>
    <row r="866" ht="24" customHeight="1">
      <c r="A866" s="29" t="inlineStr">
        <is>
          <t>OpenDART_fnlttSinglAcntAll</t>
        </is>
      </c>
      <c r="B866" s="29" t="inlineStr">
        <is>
          <t>00366942</t>
        </is>
      </c>
      <c r="C866" s="29" t="inlineStr">
        <is>
          <t>미코</t>
        </is>
      </c>
      <c r="D866" s="29" t="inlineStr">
        <is>
          <t>mico</t>
        </is>
      </c>
      <c r="E866" s="29" t="inlineStr">
        <is>
          <t>059090</t>
        </is>
      </c>
      <c r="F866" s="29" t="inlineStr">
        <is>
          <t>2024</t>
        </is>
      </c>
      <c r="G866" s="29" t="inlineStr">
        <is>
          <t>CFS</t>
        </is>
      </c>
      <c r="H866" s="29" t="inlineStr">
        <is>
          <t>SCE</t>
        </is>
      </c>
      <c r="I866" s="29" t="inlineStr">
        <is>
          <t>자본변동표</t>
        </is>
      </c>
      <c r="J866" s="29" t="inlineStr">
        <is>
          <t>ifrs-full_ExpectedDividendShareOptionsGranted</t>
        </is>
      </c>
      <c r="K866" s="29" t="inlineStr">
        <is>
          <t>주식선택권 부여</t>
        </is>
      </c>
      <c r="L866" s="29" t="inlineStr">
        <is>
          <t>자본 [구성요소]|비지배지분 [구성요소]</t>
        </is>
      </c>
      <c r="M866" s="29" t="inlineStr">
        <is>
          <t>제 26 기</t>
        </is>
      </c>
      <c r="N866" s="29" t="inlineStr">
        <is>
          <t>2831700836.0</t>
        </is>
      </c>
      <c r="O866" s="29" t="inlineStr">
        <is>
          <t>3311569224.0</t>
        </is>
      </c>
      <c r="P866" s="29" t="inlineStr">
        <is>
          <t>KRW</t>
        </is>
      </c>
      <c r="Q866" s="29" t="inlineStr">
        <is>
          <t>13</t>
        </is>
      </c>
    </row>
    <row r="867" ht="24" customHeight="1">
      <c r="A867" s="24" t="inlineStr">
        <is>
          <t>OpenDART_fnlttSinglAcntAll</t>
        </is>
      </c>
      <c r="B867" s="24" t="inlineStr">
        <is>
          <t>00366942</t>
        </is>
      </c>
      <c r="C867" s="24" t="inlineStr">
        <is>
          <t>미코</t>
        </is>
      </c>
      <c r="D867" s="24" t="inlineStr">
        <is>
          <t>mico</t>
        </is>
      </c>
      <c r="E867" s="24" t="inlineStr">
        <is>
          <t>059090</t>
        </is>
      </c>
      <c r="F867" s="24" t="inlineStr">
        <is>
          <t>2024</t>
        </is>
      </c>
      <c r="G867" s="24" t="inlineStr">
        <is>
          <t>CFS</t>
        </is>
      </c>
      <c r="H867" s="24" t="inlineStr">
        <is>
          <t>SCE</t>
        </is>
      </c>
      <c r="I867" s="24" t="inlineStr">
        <is>
          <t>자본변동표</t>
        </is>
      </c>
      <c r="J867" s="24" t="inlineStr">
        <is>
          <t>ifrs-full_OtherComprehensiveIncomeNetOfTaxExchangeDifferencesOnTranslation</t>
        </is>
      </c>
      <c r="K867" s="24" t="inlineStr">
        <is>
          <t>해외사업환산이익</t>
        </is>
      </c>
      <c r="L867" s="24" t="inlineStr">
        <is>
          <t>연결재무제표 [member]</t>
        </is>
      </c>
      <c r="M867" s="24" t="inlineStr">
        <is>
          <t>제 26 기</t>
        </is>
      </c>
      <c r="N867" s="24" t="inlineStr">
        <is>
          <t>13538422076.0</t>
        </is>
      </c>
      <c r="O867" s="24" t="inlineStr">
        <is>
          <t>-739500736.0</t>
        </is>
      </c>
      <c r="P867" s="24" t="inlineStr">
        <is>
          <t>KRW</t>
        </is>
      </c>
      <c r="Q867" s="24" t="inlineStr">
        <is>
          <t>14</t>
        </is>
      </c>
    </row>
    <row r="868" ht="24" customHeight="1">
      <c r="A868" s="29" t="inlineStr">
        <is>
          <t>OpenDART_fnlttSinglAcntAll</t>
        </is>
      </c>
      <c r="B868" s="29" t="inlineStr">
        <is>
          <t>00366942</t>
        </is>
      </c>
      <c r="C868" s="29" t="inlineStr">
        <is>
          <t>미코</t>
        </is>
      </c>
      <c r="D868" s="29" t="inlineStr">
        <is>
          <t>mico</t>
        </is>
      </c>
      <c r="E868" s="29" t="inlineStr">
        <is>
          <t>059090</t>
        </is>
      </c>
      <c r="F868" s="29" t="inlineStr">
        <is>
          <t>2024</t>
        </is>
      </c>
      <c r="G868" s="29" t="inlineStr">
        <is>
          <t>CFS</t>
        </is>
      </c>
      <c r="H868" s="29" t="inlineStr">
        <is>
          <t>SCE</t>
        </is>
      </c>
      <c r="I868" s="29" t="inlineStr">
        <is>
          <t>자본변동표</t>
        </is>
      </c>
      <c r="J868" s="29" t="inlineStr">
        <is>
          <t>ifrs-full_OtherComprehensiveIncomeNetOfTaxExchangeDifferencesOnTranslation</t>
        </is>
      </c>
      <c r="K868" s="29" t="inlineStr">
        <is>
          <t>해외사업환산이익</t>
        </is>
      </c>
      <c r="L868" s="29" t="inlineStr">
        <is>
          <t>자본 [구성요소]|비지배지분 [구성요소]</t>
        </is>
      </c>
      <c r="M868" s="29" t="inlineStr">
        <is>
          <t>제 26 기</t>
        </is>
      </c>
      <c r="N868" s="29" t="inlineStr">
        <is>
          <t>9107084985.0</t>
        </is>
      </c>
      <c r="O868" s="29" t="inlineStr">
        <is>
          <t>435499376.0</t>
        </is>
      </c>
      <c r="P868" s="29" t="inlineStr">
        <is>
          <t>KRW</t>
        </is>
      </c>
      <c r="Q868" s="29" t="inlineStr">
        <is>
          <t>14</t>
        </is>
      </c>
    </row>
    <row r="869" ht="24" customHeight="1">
      <c r="A869" s="24" t="inlineStr">
        <is>
          <t>OpenDART_fnlttSinglAcntAll</t>
        </is>
      </c>
      <c r="B869" s="24" t="inlineStr">
        <is>
          <t>00366942</t>
        </is>
      </c>
      <c r="C869" s="24" t="inlineStr">
        <is>
          <t>미코</t>
        </is>
      </c>
      <c r="D869" s="24" t="inlineStr">
        <is>
          <t>mico</t>
        </is>
      </c>
      <c r="E869" s="24" t="inlineStr">
        <is>
          <t>059090</t>
        </is>
      </c>
      <c r="F869" s="24" t="inlineStr">
        <is>
          <t>2024</t>
        </is>
      </c>
      <c r="G869" s="24" t="inlineStr">
        <is>
          <t>CFS</t>
        </is>
      </c>
      <c r="H869" s="24" t="inlineStr">
        <is>
          <t>SCE</t>
        </is>
      </c>
      <c r="I869" s="24" t="inlineStr">
        <is>
          <t>자본변동표</t>
        </is>
      </c>
      <c r="J869" s="24" t="inlineStr">
        <is>
          <t>ifrs-full_OtherComprehensiveIncomeNetOfTaxExchangeDifferencesOnTranslation</t>
        </is>
      </c>
      <c r="K869" s="24" t="inlineStr">
        <is>
          <t>해외사업환산이익</t>
        </is>
      </c>
      <c r="L869" s="24" t="inlineStr">
        <is>
          <t>자본 [구성요소]|지배기업의 소유주에게 귀속되는 지분 [구성요소]</t>
        </is>
      </c>
      <c r="M869" s="24" t="inlineStr">
        <is>
          <t>제 26 기</t>
        </is>
      </c>
      <c r="N869" s="24" t="inlineStr">
        <is>
          <t>4431337091.0</t>
        </is>
      </c>
      <c r="O869" s="24" t="inlineStr">
        <is>
          <t>-1175000112.0</t>
        </is>
      </c>
      <c r="P869" s="24" t="inlineStr">
        <is>
          <t>KRW</t>
        </is>
      </c>
      <c r="Q869" s="24" t="inlineStr">
        <is>
          <t>14</t>
        </is>
      </c>
    </row>
    <row r="870" ht="24" customHeight="1">
      <c r="A870" s="29" t="inlineStr">
        <is>
          <t>OpenDART_fnlttSinglAcntAll</t>
        </is>
      </c>
      <c r="B870" s="29" t="inlineStr">
        <is>
          <t>00366942</t>
        </is>
      </c>
      <c r="C870" s="29" t="inlineStr">
        <is>
          <t>미코</t>
        </is>
      </c>
      <c r="D870" s="29" t="inlineStr">
        <is>
          <t>mico</t>
        </is>
      </c>
      <c r="E870" s="29" t="inlineStr">
        <is>
          <t>059090</t>
        </is>
      </c>
      <c r="F870" s="29" t="inlineStr">
        <is>
          <t>2024</t>
        </is>
      </c>
      <c r="G870" s="29" t="inlineStr">
        <is>
          <t>CFS</t>
        </is>
      </c>
      <c r="H870" s="29" t="inlineStr">
        <is>
          <t>SCE</t>
        </is>
      </c>
      <c r="I870" s="29" t="inlineStr">
        <is>
          <t>자본변동표</t>
        </is>
      </c>
      <c r="J870" s="29" t="inlineStr">
        <is>
          <t>ifrs-full_OtherComprehensiveIncomeNetOfTaxExchangeDifferencesOnTranslation</t>
        </is>
      </c>
      <c r="K870" s="29" t="inlineStr">
        <is>
          <t>해외사업환산이익</t>
        </is>
      </c>
      <c r="L870" s="29" t="inlineStr">
        <is>
          <t>자본 [구성요소]|지배기업의 소유주에게 귀속되는 지분 [구성요소]|기타포괄손익누계액 [구성요소]</t>
        </is>
      </c>
      <c r="M870" s="29" t="inlineStr">
        <is>
          <t>제 26 기</t>
        </is>
      </c>
      <c r="N870" s="29" t="inlineStr">
        <is>
          <t>4431337091.0</t>
        </is>
      </c>
      <c r="O870" s="29" t="inlineStr">
        <is>
          <t>-1175000112.0</t>
        </is>
      </c>
      <c r="P870" s="29" t="inlineStr">
        <is>
          <t>KRW</t>
        </is>
      </c>
      <c r="Q870" s="29" t="inlineStr">
        <is>
          <t>14</t>
        </is>
      </c>
    </row>
    <row r="871" ht="24" customHeight="1">
      <c r="A871" s="24" t="inlineStr">
        <is>
          <t>OpenDART_fnlttSinglAcntAll</t>
        </is>
      </c>
      <c r="B871" s="24" t="inlineStr">
        <is>
          <t>00366942</t>
        </is>
      </c>
      <c r="C871" s="24" t="inlineStr">
        <is>
          <t>미코</t>
        </is>
      </c>
      <c r="D871" s="24" t="inlineStr">
        <is>
          <t>mico</t>
        </is>
      </c>
      <c r="E871" s="24" t="inlineStr">
        <is>
          <t>059090</t>
        </is>
      </c>
      <c r="F871" s="24" t="inlineStr">
        <is>
          <t>2024</t>
        </is>
      </c>
      <c r="G871" s="24" t="inlineStr">
        <is>
          <t>CFS</t>
        </is>
      </c>
      <c r="H871" s="24" t="inlineStr">
        <is>
          <t>SCE</t>
        </is>
      </c>
      <c r="I871" s="24" t="inlineStr">
        <is>
          <t>자본변동표</t>
        </is>
      </c>
      <c r="J871" s="24" t="inlineStr">
        <is>
          <t>ifrs-full_ProfitLoss</t>
        </is>
      </c>
      <c r="K871" s="24" t="inlineStr">
        <is>
          <t>당기순이익(손실)</t>
        </is>
      </c>
      <c r="L871" s="24" t="inlineStr">
        <is>
          <t>연결재무제표 [member]</t>
        </is>
      </c>
      <c r="M871" s="24" t="inlineStr">
        <is>
          <t>제 26 기</t>
        </is>
      </c>
      <c r="N871" s="24" t="inlineStr">
        <is>
          <t>76514280786.0</t>
        </is>
      </c>
      <c r="O871" s="24" t="inlineStr">
        <is>
          <t>-2036721583.0</t>
        </is>
      </c>
      <c r="P871" s="24" t="inlineStr">
        <is>
          <t>KRW</t>
        </is>
      </c>
      <c r="Q871" s="24" t="inlineStr">
        <is>
          <t>15</t>
        </is>
      </c>
    </row>
    <row r="872" ht="24" customHeight="1">
      <c r="A872" s="29" t="inlineStr">
        <is>
          <t>OpenDART_fnlttSinglAcntAll</t>
        </is>
      </c>
      <c r="B872" s="29" t="inlineStr">
        <is>
          <t>00366942</t>
        </is>
      </c>
      <c r="C872" s="29" t="inlineStr">
        <is>
          <t>미코</t>
        </is>
      </c>
      <c r="D872" s="29" t="inlineStr">
        <is>
          <t>mico</t>
        </is>
      </c>
      <c r="E872" s="29" t="inlineStr">
        <is>
          <t>059090</t>
        </is>
      </c>
      <c r="F872" s="29" t="inlineStr">
        <is>
          <t>2024</t>
        </is>
      </c>
      <c r="G872" s="29" t="inlineStr">
        <is>
          <t>CFS</t>
        </is>
      </c>
      <c r="H872" s="29" t="inlineStr">
        <is>
          <t>SCE</t>
        </is>
      </c>
      <c r="I872" s="29" t="inlineStr">
        <is>
          <t>자본변동표</t>
        </is>
      </c>
      <c r="J872" s="29" t="inlineStr">
        <is>
          <t>ifrs-full_ProfitLoss</t>
        </is>
      </c>
      <c r="K872" s="29" t="inlineStr">
        <is>
          <t>당기순이익(손실)</t>
        </is>
      </c>
      <c r="L872" s="29" t="inlineStr">
        <is>
          <t>자본 [구성요소]|지배기업의 소유주에게 귀속되는 지분 [구성요소]|이익잉여금 [구성요소]</t>
        </is>
      </c>
      <c r="M872" s="29" t="inlineStr">
        <is>
          <t>제 26 기</t>
        </is>
      </c>
      <c r="N872" s="29" t="inlineStr">
        <is>
          <t>18115776142.0</t>
        </is>
      </c>
      <c r="O872" s="29" t="inlineStr">
        <is>
          <t>-27255738413.0</t>
        </is>
      </c>
      <c r="P872" s="29" t="inlineStr">
        <is>
          <t>KRW</t>
        </is>
      </c>
      <c r="Q872" s="29" t="inlineStr">
        <is>
          <t>15</t>
        </is>
      </c>
    </row>
    <row r="873" ht="24" customHeight="1">
      <c r="A873" s="24" t="inlineStr">
        <is>
          <t>OpenDART_fnlttSinglAcntAll</t>
        </is>
      </c>
      <c r="B873" s="24" t="inlineStr">
        <is>
          <t>00366942</t>
        </is>
      </c>
      <c r="C873" s="24" t="inlineStr">
        <is>
          <t>미코</t>
        </is>
      </c>
      <c r="D873" s="24" t="inlineStr">
        <is>
          <t>mico</t>
        </is>
      </c>
      <c r="E873" s="24" t="inlineStr">
        <is>
          <t>059090</t>
        </is>
      </c>
      <c r="F873" s="24" t="inlineStr">
        <is>
          <t>2024</t>
        </is>
      </c>
      <c r="G873" s="24" t="inlineStr">
        <is>
          <t>CFS</t>
        </is>
      </c>
      <c r="H873" s="24" t="inlineStr">
        <is>
          <t>SCE</t>
        </is>
      </c>
      <c r="I873" s="24" t="inlineStr">
        <is>
          <t>자본변동표</t>
        </is>
      </c>
      <c r="J873" s="24" t="inlineStr">
        <is>
          <t>ifrs-full_ProfitLoss</t>
        </is>
      </c>
      <c r="K873" s="24" t="inlineStr">
        <is>
          <t>당기순이익(손실)</t>
        </is>
      </c>
      <c r="L873" s="24" t="inlineStr">
        <is>
          <t>자본 [구성요소]|지배기업의 소유주에게 귀속되는 지분 [구성요소]</t>
        </is>
      </c>
      <c r="M873" s="24" t="inlineStr">
        <is>
          <t>제 26 기</t>
        </is>
      </c>
      <c r="N873" s="24" t="inlineStr">
        <is>
          <t>18115776142.0</t>
        </is>
      </c>
      <c r="O873" s="24" t="inlineStr">
        <is>
          <t>-27255738413.0</t>
        </is>
      </c>
      <c r="P873" s="24" t="inlineStr">
        <is>
          <t>KRW</t>
        </is>
      </c>
      <c r="Q873" s="24" t="inlineStr">
        <is>
          <t>15</t>
        </is>
      </c>
    </row>
    <row r="874" ht="24" customHeight="1">
      <c r="A874" s="29" t="inlineStr">
        <is>
          <t>OpenDART_fnlttSinglAcntAll</t>
        </is>
      </c>
      <c r="B874" s="29" t="inlineStr">
        <is>
          <t>00366942</t>
        </is>
      </c>
      <c r="C874" s="29" t="inlineStr">
        <is>
          <t>미코</t>
        </is>
      </c>
      <c r="D874" s="29" t="inlineStr">
        <is>
          <t>mico</t>
        </is>
      </c>
      <c r="E874" s="29" t="inlineStr">
        <is>
          <t>059090</t>
        </is>
      </c>
      <c r="F874" s="29" t="inlineStr">
        <is>
          <t>2024</t>
        </is>
      </c>
      <c r="G874" s="29" t="inlineStr">
        <is>
          <t>CFS</t>
        </is>
      </c>
      <c r="H874" s="29" t="inlineStr">
        <is>
          <t>SCE</t>
        </is>
      </c>
      <c r="I874" s="29" t="inlineStr">
        <is>
          <t>자본변동표</t>
        </is>
      </c>
      <c r="J874" s="29" t="inlineStr">
        <is>
          <t>ifrs-full_ProfitLoss</t>
        </is>
      </c>
      <c r="K874" s="29" t="inlineStr">
        <is>
          <t>당기순이익(손실)</t>
        </is>
      </c>
      <c r="L874" s="29" t="inlineStr">
        <is>
          <t>자본 [구성요소]|비지배지분 [구성요소]</t>
        </is>
      </c>
      <c r="M874" s="29" t="inlineStr">
        <is>
          <t>제 26 기</t>
        </is>
      </c>
      <c r="N874" s="29" t="inlineStr">
        <is>
          <t>58398504644.0</t>
        </is>
      </c>
      <c r="O874" s="29" t="inlineStr">
        <is>
          <t>25219016830.0</t>
        </is>
      </c>
      <c r="P874" s="29" t="inlineStr">
        <is>
          <t>KRW</t>
        </is>
      </c>
      <c r="Q874" s="29" t="inlineStr">
        <is>
          <t>15</t>
        </is>
      </c>
    </row>
    <row r="875" ht="24" customHeight="1">
      <c r="A875" s="24" t="inlineStr">
        <is>
          <t>OpenDART_fnlttSinglAcntAll</t>
        </is>
      </c>
      <c r="B875" s="24" t="inlineStr">
        <is>
          <t>00366942</t>
        </is>
      </c>
      <c r="C875" s="24" t="inlineStr">
        <is>
          <t>미코</t>
        </is>
      </c>
      <c r="D875" s="24" t="inlineStr">
        <is>
          <t>mico</t>
        </is>
      </c>
      <c r="E875" s="24" t="inlineStr">
        <is>
          <t>059090</t>
        </is>
      </c>
      <c r="F875" s="24" t="inlineStr">
        <is>
          <t>2024</t>
        </is>
      </c>
      <c r="G875" s="24" t="inlineStr">
        <is>
          <t>CFS</t>
        </is>
      </c>
      <c r="H875" s="24" t="inlineStr">
        <is>
          <t>SCE</t>
        </is>
      </c>
      <c r="I875" s="24" t="inlineStr">
        <is>
          <t>자본변동표</t>
        </is>
      </c>
      <c r="J875" s="24" t="inlineStr">
        <is>
          <t>ifrs-full_PurchaseOfTreasuryShares</t>
        </is>
      </c>
      <c r="K875" s="24" t="inlineStr">
        <is>
          <t>자기주식의 취득</t>
        </is>
      </c>
      <c r="L875" s="24" t="inlineStr">
        <is>
          <t>연결재무제표 [member]</t>
        </is>
      </c>
      <c r="M875" s="24" t="inlineStr">
        <is>
          <t>제 26 기</t>
        </is>
      </c>
      <c r="N875" s="24" t="inlineStr">
        <is>
          <t>해당 없음</t>
        </is>
      </c>
      <c r="O875" s="24" t="inlineStr">
        <is>
          <t>해당 없음</t>
        </is>
      </c>
      <c r="P875" s="24" t="inlineStr">
        <is>
          <t>KRW</t>
        </is>
      </c>
      <c r="Q875" s="24" t="inlineStr">
        <is>
          <t>16</t>
        </is>
      </c>
    </row>
    <row r="876" ht="24" customHeight="1">
      <c r="A876" s="29" t="inlineStr">
        <is>
          <t>OpenDART_fnlttSinglAcntAll</t>
        </is>
      </c>
      <c r="B876" s="29" t="inlineStr">
        <is>
          <t>00366942</t>
        </is>
      </c>
      <c r="C876" s="29" t="inlineStr">
        <is>
          <t>미코</t>
        </is>
      </c>
      <c r="D876" s="29" t="inlineStr">
        <is>
          <t>mico</t>
        </is>
      </c>
      <c r="E876" s="29" t="inlineStr">
        <is>
          <t>059090</t>
        </is>
      </c>
      <c r="F876" s="29" t="inlineStr">
        <is>
          <t>2024</t>
        </is>
      </c>
      <c r="G876" s="29" t="inlineStr">
        <is>
          <t>CFS</t>
        </is>
      </c>
      <c r="H876" s="29" t="inlineStr">
        <is>
          <t>SCE</t>
        </is>
      </c>
      <c r="I876" s="29" t="inlineStr">
        <is>
          <t>자본변동표</t>
        </is>
      </c>
      <c r="J876" s="29" t="inlineStr">
        <is>
          <t>ifrs-full_PurchaseOfTreasuryShares</t>
        </is>
      </c>
      <c r="K876" s="29" t="inlineStr">
        <is>
          <t>자기주식의 취득</t>
        </is>
      </c>
      <c r="L876" s="29" t="inlineStr">
        <is>
          <t>자본 [구성요소]|지배기업의 소유주에게 귀속되는 지분 [구성요소]</t>
        </is>
      </c>
      <c r="M876" s="29" t="inlineStr">
        <is>
          <t>제 26 기</t>
        </is>
      </c>
      <c r="N876" s="29" t="inlineStr">
        <is>
          <t>해당 없음</t>
        </is>
      </c>
      <c r="O876" s="29" t="inlineStr">
        <is>
          <t>해당 없음</t>
        </is>
      </c>
      <c r="P876" s="29" t="inlineStr">
        <is>
          <t>KRW</t>
        </is>
      </c>
      <c r="Q876" s="29" t="inlineStr">
        <is>
          <t>16</t>
        </is>
      </c>
    </row>
    <row r="877" ht="24" customHeight="1">
      <c r="A877" s="24" t="inlineStr">
        <is>
          <t>OpenDART_fnlttSinglAcntAll</t>
        </is>
      </c>
      <c r="B877" s="24" t="inlineStr">
        <is>
          <t>00366942</t>
        </is>
      </c>
      <c r="C877" s="24" t="inlineStr">
        <is>
          <t>미코</t>
        </is>
      </c>
      <c r="D877" s="24" t="inlineStr">
        <is>
          <t>mico</t>
        </is>
      </c>
      <c r="E877" s="24" t="inlineStr">
        <is>
          <t>059090</t>
        </is>
      </c>
      <c r="F877" s="24" t="inlineStr">
        <is>
          <t>2024</t>
        </is>
      </c>
      <c r="G877" s="24" t="inlineStr">
        <is>
          <t>CFS</t>
        </is>
      </c>
      <c r="H877" s="24" t="inlineStr">
        <is>
          <t>SCE</t>
        </is>
      </c>
      <c r="I877" s="24" t="inlineStr">
        <is>
          <t>자본변동표</t>
        </is>
      </c>
      <c r="J877" s="24" t="inlineStr">
        <is>
          <t>ifrs-full_PurchaseOfTreasuryShares</t>
        </is>
      </c>
      <c r="K877" s="24" t="inlineStr">
        <is>
          <t>자기주식의 취득</t>
        </is>
      </c>
      <c r="L877" s="24" t="inlineStr">
        <is>
          <t>자본 [구성요소]|지배기업의 소유주에게 귀속되는 지분 [구성요소]|기타자본구성요소 [구성요소]</t>
        </is>
      </c>
      <c r="M877" s="24" t="inlineStr">
        <is>
          <t>제 26 기</t>
        </is>
      </c>
      <c r="N877" s="24" t="inlineStr">
        <is>
          <t>해당 없음</t>
        </is>
      </c>
      <c r="O877" s="24" t="inlineStr">
        <is>
          <t>해당 없음</t>
        </is>
      </c>
      <c r="P877" s="24" t="inlineStr">
        <is>
          <t>KRW</t>
        </is>
      </c>
      <c r="Q877" s="24" t="inlineStr">
        <is>
          <t>16</t>
        </is>
      </c>
    </row>
    <row r="878" ht="24" customHeight="1">
      <c r="A878" s="29" t="inlineStr">
        <is>
          <t>OpenDART_fnlttSinglAcntAll</t>
        </is>
      </c>
      <c r="B878" s="29" t="inlineStr">
        <is>
          <t>00366942</t>
        </is>
      </c>
      <c r="C878" s="29" t="inlineStr">
        <is>
          <t>미코</t>
        </is>
      </c>
      <c r="D878" s="29" t="inlineStr">
        <is>
          <t>mico</t>
        </is>
      </c>
      <c r="E878" s="29" t="inlineStr">
        <is>
          <t>059090</t>
        </is>
      </c>
      <c r="F878" s="29" t="inlineStr">
        <is>
          <t>2024</t>
        </is>
      </c>
      <c r="G878" s="29" t="inlineStr">
        <is>
          <t>CFS</t>
        </is>
      </c>
      <c r="H878" s="29" t="inlineStr">
        <is>
          <t>SCE</t>
        </is>
      </c>
      <c r="I878" s="29" t="inlineStr">
        <is>
          <t>자본변동표</t>
        </is>
      </c>
      <c r="J878" s="29" t="inlineStr">
        <is>
          <t>ifrs-full_ShareOfOtherComprehensiveIncomeOfAssociatesAndJointVenturesAccountedForUsingEquityMethod</t>
        </is>
      </c>
      <c r="K878" s="29" t="inlineStr">
        <is>
          <t>지분법자본변동</t>
        </is>
      </c>
      <c r="L878" s="29" t="inlineStr">
        <is>
          <t>자본 [구성요소]|지배기업의 소유주에게 귀속되는 지분 [구성요소]|기타포괄손익누계액 [구성요소]</t>
        </is>
      </c>
      <c r="M878" s="29" t="inlineStr">
        <is>
          <t>제 26 기</t>
        </is>
      </c>
      <c r="N878" s="29" t="inlineStr">
        <is>
          <t>-2979767587.0</t>
        </is>
      </c>
      <c r="O878" s="29" t="inlineStr">
        <is>
          <t>-863643956.0</t>
        </is>
      </c>
      <c r="P878" s="29" t="inlineStr">
        <is>
          <t>KRW</t>
        </is>
      </c>
      <c r="Q878" s="29" t="inlineStr">
        <is>
          <t>17</t>
        </is>
      </c>
    </row>
    <row r="879" ht="24" customHeight="1">
      <c r="A879" s="24" t="inlineStr">
        <is>
          <t>OpenDART_fnlttSinglAcntAll</t>
        </is>
      </c>
      <c r="B879" s="24" t="inlineStr">
        <is>
          <t>00366942</t>
        </is>
      </c>
      <c r="C879" s="24" t="inlineStr">
        <is>
          <t>미코</t>
        </is>
      </c>
      <c r="D879" s="24" t="inlineStr">
        <is>
          <t>mico</t>
        </is>
      </c>
      <c r="E879" s="24" t="inlineStr">
        <is>
          <t>059090</t>
        </is>
      </c>
      <c r="F879" s="24" t="inlineStr">
        <is>
          <t>2024</t>
        </is>
      </c>
      <c r="G879" s="24" t="inlineStr">
        <is>
          <t>CFS</t>
        </is>
      </c>
      <c r="H879" s="24" t="inlineStr">
        <is>
          <t>SCE</t>
        </is>
      </c>
      <c r="I879" s="24" t="inlineStr">
        <is>
          <t>자본변동표</t>
        </is>
      </c>
      <c r="J879" s="24" t="inlineStr">
        <is>
          <t>ifrs-full_ShareOfOtherComprehensiveIncomeOfAssociatesAndJointVenturesAccountedForUsingEquityMethod</t>
        </is>
      </c>
      <c r="K879" s="24" t="inlineStr">
        <is>
          <t>지분법자본변동</t>
        </is>
      </c>
      <c r="L879" s="24" t="inlineStr">
        <is>
          <t>자본 [구성요소]|지배기업의 소유주에게 귀속되는 지분 [구성요소]|이익잉여금 [구성요소]</t>
        </is>
      </c>
      <c r="M879" s="24" t="inlineStr">
        <is>
          <t>제 26 기</t>
        </is>
      </c>
      <c r="N879" s="24" t="inlineStr">
        <is>
          <t>해당 없음</t>
        </is>
      </c>
      <c r="O879" s="24" t="inlineStr">
        <is>
          <t>해당 없음</t>
        </is>
      </c>
      <c r="P879" s="24" t="inlineStr">
        <is>
          <t>KRW</t>
        </is>
      </c>
      <c r="Q879" s="24" t="inlineStr">
        <is>
          <t>17</t>
        </is>
      </c>
    </row>
    <row r="880" ht="24" customHeight="1">
      <c r="A880" s="29" t="inlineStr">
        <is>
          <t>OpenDART_fnlttSinglAcntAll</t>
        </is>
      </c>
      <c r="B880" s="29" t="inlineStr">
        <is>
          <t>00366942</t>
        </is>
      </c>
      <c r="C880" s="29" t="inlineStr">
        <is>
          <t>미코</t>
        </is>
      </c>
      <c r="D880" s="29" t="inlineStr">
        <is>
          <t>mico</t>
        </is>
      </c>
      <c r="E880" s="29" t="inlineStr">
        <is>
          <t>059090</t>
        </is>
      </c>
      <c r="F880" s="29" t="inlineStr">
        <is>
          <t>2024</t>
        </is>
      </c>
      <c r="G880" s="29" t="inlineStr">
        <is>
          <t>CFS</t>
        </is>
      </c>
      <c r="H880" s="29" t="inlineStr">
        <is>
          <t>SCE</t>
        </is>
      </c>
      <c r="I880" s="29" t="inlineStr">
        <is>
          <t>자본변동표</t>
        </is>
      </c>
      <c r="J880" s="29" t="inlineStr">
        <is>
          <t>ifrs-full_ShareOfOtherComprehensiveIncomeOfAssociatesAndJointVenturesAccountedForUsingEquityMethod</t>
        </is>
      </c>
      <c r="K880" s="29" t="inlineStr">
        <is>
          <t>지분법자본변동</t>
        </is>
      </c>
      <c r="L880" s="29" t="inlineStr">
        <is>
          <t>연결재무제표 [member]</t>
        </is>
      </c>
      <c r="M880" s="29" t="inlineStr">
        <is>
          <t>제 26 기</t>
        </is>
      </c>
      <c r="N880" s="29" t="inlineStr">
        <is>
          <t>-2795546982.0</t>
        </is>
      </c>
      <c r="O880" s="29" t="inlineStr">
        <is>
          <t>-863643956.0</t>
        </is>
      </c>
      <c r="P880" s="29" t="inlineStr">
        <is>
          <t>KRW</t>
        </is>
      </c>
      <c r="Q880" s="29" t="inlineStr">
        <is>
          <t>17</t>
        </is>
      </c>
    </row>
    <row r="881" ht="24" customHeight="1">
      <c r="A881" s="24" t="inlineStr">
        <is>
          <t>OpenDART_fnlttSinglAcntAll</t>
        </is>
      </c>
      <c r="B881" s="24" t="inlineStr">
        <is>
          <t>00366942</t>
        </is>
      </c>
      <c r="C881" s="24" t="inlineStr">
        <is>
          <t>미코</t>
        </is>
      </c>
      <c r="D881" s="24" t="inlineStr">
        <is>
          <t>mico</t>
        </is>
      </c>
      <c r="E881" s="24" t="inlineStr">
        <is>
          <t>059090</t>
        </is>
      </c>
      <c r="F881" s="24" t="inlineStr">
        <is>
          <t>2024</t>
        </is>
      </c>
      <c r="G881" s="24" t="inlineStr">
        <is>
          <t>CFS</t>
        </is>
      </c>
      <c r="H881" s="24" t="inlineStr">
        <is>
          <t>SCE</t>
        </is>
      </c>
      <c r="I881" s="24" t="inlineStr">
        <is>
          <t>자본변동표</t>
        </is>
      </c>
      <c r="J881" s="24" t="inlineStr">
        <is>
          <t>ifrs-full_ShareOfOtherComprehensiveIncomeOfAssociatesAndJointVenturesAccountedForUsingEquityMethod</t>
        </is>
      </c>
      <c r="K881" s="24" t="inlineStr">
        <is>
          <t>지분법자본변동</t>
        </is>
      </c>
      <c r="L881" s="24" t="inlineStr">
        <is>
          <t>자본 [구성요소]|비지배지분 [구성요소]</t>
        </is>
      </c>
      <c r="M881" s="24" t="inlineStr">
        <is>
          <t>제 26 기</t>
        </is>
      </c>
      <c r="N881" s="24" t="inlineStr">
        <is>
          <t>184220605.0</t>
        </is>
      </c>
      <c r="O881" s="24" t="inlineStr">
        <is>
          <t>해당 없음</t>
        </is>
      </c>
      <c r="P881" s="24" t="inlineStr">
        <is>
          <t>KRW</t>
        </is>
      </c>
      <c r="Q881" s="24" t="inlineStr">
        <is>
          <t>17</t>
        </is>
      </c>
    </row>
    <row r="882" ht="24" customHeight="1">
      <c r="A882" s="29" t="inlineStr">
        <is>
          <t>OpenDART_fnlttSinglAcntAll</t>
        </is>
      </c>
      <c r="B882" s="29" t="inlineStr">
        <is>
          <t>00366942</t>
        </is>
      </c>
      <c r="C882" s="29" t="inlineStr">
        <is>
          <t>미코</t>
        </is>
      </c>
      <c r="D882" s="29" t="inlineStr">
        <is>
          <t>mico</t>
        </is>
      </c>
      <c r="E882" s="29" t="inlineStr">
        <is>
          <t>059090</t>
        </is>
      </c>
      <c r="F882" s="29" t="inlineStr">
        <is>
          <t>2024</t>
        </is>
      </c>
      <c r="G882" s="29" t="inlineStr">
        <is>
          <t>CFS</t>
        </is>
      </c>
      <c r="H882" s="29" t="inlineStr">
        <is>
          <t>SCE</t>
        </is>
      </c>
      <c r="I882" s="29" t="inlineStr">
        <is>
          <t>자본변동표</t>
        </is>
      </c>
      <c r="J882" s="29" t="inlineStr">
        <is>
          <t>ifrs-full_ShareOfOtherComprehensiveIncomeOfAssociatesAndJointVenturesAccountedForUsingEquityMethod</t>
        </is>
      </c>
      <c r="K882" s="29" t="inlineStr">
        <is>
          <t>지분법자본변동</t>
        </is>
      </c>
      <c r="L882" s="29" t="inlineStr">
        <is>
          <t>자본 [구성요소]|지배기업의 소유주에게 귀속되는 지분 [구성요소]</t>
        </is>
      </c>
      <c r="M882" s="29" t="inlineStr">
        <is>
          <t>제 26 기</t>
        </is>
      </c>
      <c r="N882" s="29" t="inlineStr">
        <is>
          <t>-2979767587.0</t>
        </is>
      </c>
      <c r="O882" s="29" t="inlineStr">
        <is>
          <t>-863643956.0</t>
        </is>
      </c>
      <c r="P882" s="29" t="inlineStr">
        <is>
          <t>KRW</t>
        </is>
      </c>
      <c r="Q882" s="29" t="inlineStr">
        <is>
          <t>17</t>
        </is>
      </c>
    </row>
    <row r="883" ht="24" customHeight="1">
      <c r="A883" s="24" t="inlineStr">
        <is>
          <t>OpenDART_fnlttSinglAcntAll</t>
        </is>
      </c>
      <c r="B883" s="24" t="inlineStr">
        <is>
          <t>00366942</t>
        </is>
      </c>
      <c r="C883" s="24" t="inlineStr">
        <is>
          <t>미코</t>
        </is>
      </c>
      <c r="D883" s="24" t="inlineStr">
        <is>
          <t>mico</t>
        </is>
      </c>
      <c r="E883" s="24" t="inlineStr">
        <is>
          <t>059090</t>
        </is>
      </c>
      <c r="F883" s="24" t="inlineStr">
        <is>
          <t>2025</t>
        </is>
      </c>
      <c r="G883" s="24" t="inlineStr">
        <is>
          <t>CFS</t>
        </is>
      </c>
      <c r="H883" s="24" t="inlineStr">
        <is>
          <t>BS</t>
        </is>
      </c>
      <c r="I883" s="24" t="inlineStr">
        <is>
          <t>재무상태표</t>
        </is>
      </c>
      <c r="J883" s="24" t="inlineStr">
        <is>
          <t>ifrs-full_Assets</t>
        </is>
      </c>
      <c r="K883" s="24" t="inlineStr">
        <is>
          <t>자산총계</t>
        </is>
      </c>
      <c r="L883" s="24" t="inlineStr">
        <is>
          <t>-</t>
        </is>
      </c>
      <c r="M883" s="24" t="inlineStr">
        <is>
          <t>제 27 기</t>
        </is>
      </c>
      <c r="N883" s="24" t="inlineStr">
        <is>
          <t>2264573968886.0</t>
        </is>
      </c>
      <c r="O883" s="24" t="inlineStr">
        <is>
          <t>1392676089676.0</t>
        </is>
      </c>
      <c r="P883" s="24" t="inlineStr">
        <is>
          <t>KRW</t>
        </is>
      </c>
      <c r="Q883" s="24" t="inlineStr">
        <is>
          <t>7</t>
        </is>
      </c>
    </row>
    <row r="884" ht="24" customHeight="1">
      <c r="A884" s="29" t="inlineStr">
        <is>
          <t>OpenDART_fnlttSinglAcntAll</t>
        </is>
      </c>
      <c r="B884" s="29" t="inlineStr">
        <is>
          <t>00366942</t>
        </is>
      </c>
      <c r="C884" s="29" t="inlineStr">
        <is>
          <t>미코</t>
        </is>
      </c>
      <c r="D884" s="29" t="inlineStr">
        <is>
          <t>mico</t>
        </is>
      </c>
      <c r="E884" s="29" t="inlineStr">
        <is>
          <t>059090</t>
        </is>
      </c>
      <c r="F884" s="29" t="inlineStr">
        <is>
          <t>2025</t>
        </is>
      </c>
      <c r="G884" s="29" t="inlineStr">
        <is>
          <t>CFS</t>
        </is>
      </c>
      <c r="H884" s="29" t="inlineStr">
        <is>
          <t>BS</t>
        </is>
      </c>
      <c r="I884" s="29" t="inlineStr">
        <is>
          <t>재무상태표</t>
        </is>
      </c>
      <c r="J884" s="29" t="inlineStr">
        <is>
          <t>ifrs-full_CurrentAssets</t>
        </is>
      </c>
      <c r="K884" s="29" t="inlineStr">
        <is>
          <t>유동자산</t>
        </is>
      </c>
      <c r="L884" s="29" t="inlineStr">
        <is>
          <t>-</t>
        </is>
      </c>
      <c r="M884" s="29" t="inlineStr">
        <is>
          <t>제 27 기</t>
        </is>
      </c>
      <c r="N884" s="29" t="inlineStr">
        <is>
          <t>980946738280.0</t>
        </is>
      </c>
      <c r="O884" s="29" t="inlineStr">
        <is>
          <t>596219133792.0</t>
        </is>
      </c>
      <c r="P884" s="29" t="inlineStr">
        <is>
          <t>KRW</t>
        </is>
      </c>
      <c r="Q884" s="29" t="inlineStr">
        <is>
          <t>8</t>
        </is>
      </c>
    </row>
    <row r="885" ht="24" customHeight="1">
      <c r="A885" s="24" t="inlineStr">
        <is>
          <t>OpenDART_fnlttSinglAcntAll</t>
        </is>
      </c>
      <c r="B885" s="24" t="inlineStr">
        <is>
          <t>00366942</t>
        </is>
      </c>
      <c r="C885" s="24" t="inlineStr">
        <is>
          <t>미코</t>
        </is>
      </c>
      <c r="D885" s="24" t="inlineStr">
        <is>
          <t>mico</t>
        </is>
      </c>
      <c r="E885" s="24" t="inlineStr">
        <is>
          <t>059090</t>
        </is>
      </c>
      <c r="F885" s="24" t="inlineStr">
        <is>
          <t>2025</t>
        </is>
      </c>
      <c r="G885" s="24" t="inlineStr">
        <is>
          <t>CFS</t>
        </is>
      </c>
      <c r="H885" s="24" t="inlineStr">
        <is>
          <t>BS</t>
        </is>
      </c>
      <c r="I885" s="24" t="inlineStr">
        <is>
          <t>재무상태표</t>
        </is>
      </c>
      <c r="J885" s="24" t="inlineStr">
        <is>
          <t>ifrs-full_CashAndCashEquivalents</t>
        </is>
      </c>
      <c r="K885" s="24" t="inlineStr">
        <is>
          <t>현금및현금성자산</t>
        </is>
      </c>
      <c r="L885" s="24" t="inlineStr">
        <is>
          <t>-</t>
        </is>
      </c>
      <c r="M885" s="24" t="inlineStr">
        <is>
          <t>제 27 기</t>
        </is>
      </c>
      <c r="N885" s="24" t="inlineStr">
        <is>
          <t>308049235584.0</t>
        </is>
      </c>
      <c r="O885" s="24" t="inlineStr">
        <is>
          <t>224894256663.0</t>
        </is>
      </c>
      <c r="P885" s="24" t="inlineStr">
        <is>
          <t>KRW</t>
        </is>
      </c>
      <c r="Q885" s="24" t="inlineStr">
        <is>
          <t>9</t>
        </is>
      </c>
    </row>
    <row r="886" ht="24" customHeight="1">
      <c r="A886" s="29" t="inlineStr">
        <is>
          <t>OpenDART_fnlttSinglAcntAll</t>
        </is>
      </c>
      <c r="B886" s="29" t="inlineStr">
        <is>
          <t>00366942</t>
        </is>
      </c>
      <c r="C886" s="29" t="inlineStr">
        <is>
          <t>미코</t>
        </is>
      </c>
      <c r="D886" s="29" t="inlineStr">
        <is>
          <t>mico</t>
        </is>
      </c>
      <c r="E886" s="29" t="inlineStr">
        <is>
          <t>059090</t>
        </is>
      </c>
      <c r="F886" s="29" t="inlineStr">
        <is>
          <t>2025</t>
        </is>
      </c>
      <c r="G886" s="29" t="inlineStr">
        <is>
          <t>CFS</t>
        </is>
      </c>
      <c r="H886" s="29" t="inlineStr">
        <is>
          <t>BS</t>
        </is>
      </c>
      <c r="I886" s="29" t="inlineStr">
        <is>
          <t>재무상태표</t>
        </is>
      </c>
      <c r="J886" s="29" t="inlineStr">
        <is>
          <t>ifrs-full_CurrentContractAssets</t>
        </is>
      </c>
      <c r="K886" s="29" t="inlineStr">
        <is>
          <t>유동계약자산</t>
        </is>
      </c>
      <c r="L886" s="29" t="inlineStr">
        <is>
          <t>-</t>
        </is>
      </c>
      <c r="M886" s="29" t="inlineStr">
        <is>
          <t>제 27 기</t>
        </is>
      </c>
      <c r="N886" s="29" t="inlineStr">
        <is>
          <t>128470844674.0</t>
        </is>
      </c>
      <c r="O886" s="29" t="inlineStr">
        <is>
          <t>71874135065.0</t>
        </is>
      </c>
      <c r="P886" s="29" t="inlineStr">
        <is>
          <t>KRW</t>
        </is>
      </c>
      <c r="Q886" s="29" t="inlineStr">
        <is>
          <t>10</t>
        </is>
      </c>
    </row>
    <row r="887" ht="24" customHeight="1">
      <c r="A887" s="24" t="inlineStr">
        <is>
          <t>OpenDART_fnlttSinglAcntAll</t>
        </is>
      </c>
      <c r="B887" s="24" t="inlineStr">
        <is>
          <t>00366942</t>
        </is>
      </c>
      <c r="C887" s="24" t="inlineStr">
        <is>
          <t>미코</t>
        </is>
      </c>
      <c r="D887" s="24" t="inlineStr">
        <is>
          <t>mico</t>
        </is>
      </c>
      <c r="E887" s="24" t="inlineStr">
        <is>
          <t>059090</t>
        </is>
      </c>
      <c r="F887" s="24" t="inlineStr">
        <is>
          <t>2025</t>
        </is>
      </c>
      <c r="G887" s="24" t="inlineStr">
        <is>
          <t>CFS</t>
        </is>
      </c>
      <c r="H887" s="24" t="inlineStr">
        <is>
          <t>BS</t>
        </is>
      </c>
      <c r="I887" s="24" t="inlineStr">
        <is>
          <t>재무상태표</t>
        </is>
      </c>
      <c r="J887" s="24" t="inlineStr">
        <is>
          <t>ifrs-full_CurrentTaxAssets</t>
        </is>
      </c>
      <c r="K887" s="24" t="inlineStr">
        <is>
          <t>당기법인세자산</t>
        </is>
      </c>
      <c r="L887" s="24" t="inlineStr">
        <is>
          <t>-</t>
        </is>
      </c>
      <c r="M887" s="24" t="inlineStr">
        <is>
          <t>제 27 기</t>
        </is>
      </c>
      <c r="N887" s="24" t="inlineStr">
        <is>
          <t>849567547.0</t>
        </is>
      </c>
      <c r="O887" s="24" t="inlineStr">
        <is>
          <t>1107699905.0</t>
        </is>
      </c>
      <c r="P887" s="24" t="inlineStr">
        <is>
          <t>KRW</t>
        </is>
      </c>
      <c r="Q887" s="24" t="inlineStr">
        <is>
          <t>11</t>
        </is>
      </c>
    </row>
    <row r="888" ht="24" customHeight="1">
      <c r="A888" s="29" t="inlineStr">
        <is>
          <t>OpenDART_fnlttSinglAcntAll</t>
        </is>
      </c>
      <c r="B888" s="29" t="inlineStr">
        <is>
          <t>00366942</t>
        </is>
      </c>
      <c r="C888" s="29" t="inlineStr">
        <is>
          <t>미코</t>
        </is>
      </c>
      <c r="D888" s="29" t="inlineStr">
        <is>
          <t>mico</t>
        </is>
      </c>
      <c r="E888" s="29" t="inlineStr">
        <is>
          <t>059090</t>
        </is>
      </c>
      <c r="F888" s="29" t="inlineStr">
        <is>
          <t>2025</t>
        </is>
      </c>
      <c r="G888" s="29" t="inlineStr">
        <is>
          <t>CFS</t>
        </is>
      </c>
      <c r="H888" s="29" t="inlineStr">
        <is>
          <t>BS</t>
        </is>
      </c>
      <c r="I888" s="29" t="inlineStr">
        <is>
          <t>재무상태표</t>
        </is>
      </c>
      <c r="J888" s="29" t="inlineStr">
        <is>
          <t>ifrs-full_Inventories</t>
        </is>
      </c>
      <c r="K888" s="29" t="inlineStr">
        <is>
          <t>재고자산</t>
        </is>
      </c>
      <c r="L888" s="29" t="inlineStr">
        <is>
          <t>-</t>
        </is>
      </c>
      <c r="M888" s="29" t="inlineStr">
        <is>
          <t>제 27 기</t>
        </is>
      </c>
      <c r="N888" s="29" t="inlineStr">
        <is>
          <t>111390959766.0</t>
        </is>
      </c>
      <c r="O888" s="29" t="inlineStr">
        <is>
          <t>82788390255.0</t>
        </is>
      </c>
      <c r="P888" s="29" t="inlineStr">
        <is>
          <t>KRW</t>
        </is>
      </c>
      <c r="Q888" s="29" t="inlineStr">
        <is>
          <t>12</t>
        </is>
      </c>
    </row>
    <row r="889" ht="24" customHeight="1">
      <c r="A889" s="24" t="inlineStr">
        <is>
          <t>OpenDART_fnlttSinglAcntAll</t>
        </is>
      </c>
      <c r="B889" s="24" t="inlineStr">
        <is>
          <t>00366942</t>
        </is>
      </c>
      <c r="C889" s="24" t="inlineStr">
        <is>
          <t>미코</t>
        </is>
      </c>
      <c r="D889" s="24" t="inlineStr">
        <is>
          <t>mico</t>
        </is>
      </c>
      <c r="E889" s="24" t="inlineStr">
        <is>
          <t>059090</t>
        </is>
      </c>
      <c r="F889" s="24" t="inlineStr">
        <is>
          <t>2025</t>
        </is>
      </c>
      <c r="G889" s="24" t="inlineStr">
        <is>
          <t>CFS</t>
        </is>
      </c>
      <c r="H889" s="24" t="inlineStr">
        <is>
          <t>BS</t>
        </is>
      </c>
      <c r="I889" s="24" t="inlineStr">
        <is>
          <t>재무상태표</t>
        </is>
      </c>
      <c r="J889" s="24" t="inlineStr">
        <is>
          <t>ifrs-full_NoncurrentAssetsOrDisposalGroupsClassifiedAsHeldForSaleOrAsHeldForDistributionToOwners</t>
        </is>
      </c>
      <c r="K889" s="24" t="inlineStr">
        <is>
          <t>매각예정비유동자산</t>
        </is>
      </c>
      <c r="L889" s="24" t="inlineStr">
        <is>
          <t>-</t>
        </is>
      </c>
      <c r="M889" s="24" t="inlineStr">
        <is>
          <t>제 27 기</t>
        </is>
      </c>
      <c r="N889" s="24" t="inlineStr">
        <is>
          <t>0.0</t>
        </is>
      </c>
      <c r="O889" s="24" t="inlineStr">
        <is>
          <t>0.0</t>
        </is>
      </c>
      <c r="P889" s="24" t="inlineStr">
        <is>
          <t>KRW</t>
        </is>
      </c>
      <c r="Q889" s="24" t="inlineStr">
        <is>
          <t>13</t>
        </is>
      </c>
    </row>
    <row r="890" ht="24" customHeight="1">
      <c r="A890" s="29" t="inlineStr">
        <is>
          <t>OpenDART_fnlttSinglAcntAll</t>
        </is>
      </c>
      <c r="B890" s="29" t="inlineStr">
        <is>
          <t>00366942</t>
        </is>
      </c>
      <c r="C890" s="29" t="inlineStr">
        <is>
          <t>미코</t>
        </is>
      </c>
      <c r="D890" s="29" t="inlineStr">
        <is>
          <t>mico</t>
        </is>
      </c>
      <c r="E890" s="29" t="inlineStr">
        <is>
          <t>059090</t>
        </is>
      </c>
      <c r="F890" s="29" t="inlineStr">
        <is>
          <t>2025</t>
        </is>
      </c>
      <c r="G890" s="29" t="inlineStr">
        <is>
          <t>CFS</t>
        </is>
      </c>
      <c r="H890" s="29" t="inlineStr">
        <is>
          <t>BS</t>
        </is>
      </c>
      <c r="I890" s="29" t="inlineStr">
        <is>
          <t>재무상태표</t>
        </is>
      </c>
      <c r="J890" s="29" t="inlineStr">
        <is>
          <t>ifrs-full_OtherCurrentAssets</t>
        </is>
      </c>
      <c r="K890" s="29" t="inlineStr">
        <is>
          <t>기타유동자산</t>
        </is>
      </c>
      <c r="L890" s="29" t="inlineStr">
        <is>
          <t>-</t>
        </is>
      </c>
      <c r="M890" s="29" t="inlineStr">
        <is>
          <t>제 27 기</t>
        </is>
      </c>
      <c r="N890" s="29" t="inlineStr">
        <is>
          <t>100743015341.0</t>
        </is>
      </c>
      <c r="O890" s="29" t="inlineStr">
        <is>
          <t>51847163656.0</t>
        </is>
      </c>
      <c r="P890" s="29" t="inlineStr">
        <is>
          <t>KRW</t>
        </is>
      </c>
      <c r="Q890" s="29" t="inlineStr">
        <is>
          <t>14</t>
        </is>
      </c>
    </row>
    <row r="891" ht="24" customHeight="1">
      <c r="A891" s="24" t="inlineStr">
        <is>
          <t>OpenDART_fnlttSinglAcntAll</t>
        </is>
      </c>
      <c r="B891" s="24" t="inlineStr">
        <is>
          <t>00366942</t>
        </is>
      </c>
      <c r="C891" s="24" t="inlineStr">
        <is>
          <t>미코</t>
        </is>
      </c>
      <c r="D891" s="24" t="inlineStr">
        <is>
          <t>mico</t>
        </is>
      </c>
      <c r="E891" s="24" t="inlineStr">
        <is>
          <t>059090</t>
        </is>
      </c>
      <c r="F891" s="24" t="inlineStr">
        <is>
          <t>2025</t>
        </is>
      </c>
      <c r="G891" s="24" t="inlineStr">
        <is>
          <t>CFS</t>
        </is>
      </c>
      <c r="H891" s="24" t="inlineStr">
        <is>
          <t>BS</t>
        </is>
      </c>
      <c r="I891" s="24" t="inlineStr">
        <is>
          <t>재무상태표</t>
        </is>
      </c>
      <c r="J891" s="24" t="inlineStr">
        <is>
          <t>ifrs-full_OtherCurrentFinancialAssets</t>
        </is>
      </c>
      <c r="K891" s="24" t="inlineStr">
        <is>
          <t>기타유동금융자산</t>
        </is>
      </c>
      <c r="L891" s="24" t="inlineStr">
        <is>
          <t>-</t>
        </is>
      </c>
      <c r="M891" s="24" t="inlineStr">
        <is>
          <t>제 27 기</t>
        </is>
      </c>
      <c r="N891" s="24" t="inlineStr">
        <is>
          <t>150141976308.0</t>
        </is>
      </c>
      <c r="O891" s="24" t="inlineStr">
        <is>
          <t>26254403020.0</t>
        </is>
      </c>
      <c r="P891" s="24" t="inlineStr">
        <is>
          <t>KRW</t>
        </is>
      </c>
      <c r="Q891" s="24" t="inlineStr">
        <is>
          <t>15</t>
        </is>
      </c>
    </row>
    <row r="892" ht="24" customHeight="1">
      <c r="A892" s="29" t="inlineStr">
        <is>
          <t>OpenDART_fnlttSinglAcntAll</t>
        </is>
      </c>
      <c r="B892" s="29" t="inlineStr">
        <is>
          <t>00366942</t>
        </is>
      </c>
      <c r="C892" s="29" t="inlineStr">
        <is>
          <t>미코</t>
        </is>
      </c>
      <c r="D892" s="29" t="inlineStr">
        <is>
          <t>mico</t>
        </is>
      </c>
      <c r="E892" s="29" t="inlineStr">
        <is>
          <t>059090</t>
        </is>
      </c>
      <c r="F892" s="29" t="inlineStr">
        <is>
          <t>2025</t>
        </is>
      </c>
      <c r="G892" s="29" t="inlineStr">
        <is>
          <t>CFS</t>
        </is>
      </c>
      <c r="H892" s="29" t="inlineStr">
        <is>
          <t>BS</t>
        </is>
      </c>
      <c r="I892" s="29" t="inlineStr">
        <is>
          <t>재무상태표</t>
        </is>
      </c>
      <c r="J892" s="29" t="inlineStr">
        <is>
          <t>ifrs-full_TradeAndOtherCurrentReceivables</t>
        </is>
      </c>
      <c r="K892" s="29" t="inlineStr">
        <is>
          <t>매출채권및기타채권</t>
        </is>
      </c>
      <c r="L892" s="29" t="inlineStr">
        <is>
          <t>-</t>
        </is>
      </c>
      <c r="M892" s="29" t="inlineStr">
        <is>
          <t>제 27 기</t>
        </is>
      </c>
      <c r="N892" s="29" t="inlineStr">
        <is>
          <t>181301139060.0</t>
        </is>
      </c>
      <c r="O892" s="29" t="inlineStr">
        <is>
          <t>137453085228.0</t>
        </is>
      </c>
      <c r="P892" s="29" t="inlineStr">
        <is>
          <t>KRW</t>
        </is>
      </c>
      <c r="Q892" s="29" t="inlineStr">
        <is>
          <t>16</t>
        </is>
      </c>
    </row>
    <row r="893" ht="24" customHeight="1">
      <c r="A893" s="24" t="inlineStr">
        <is>
          <t>OpenDART_fnlttSinglAcntAll</t>
        </is>
      </c>
      <c r="B893" s="24" t="inlineStr">
        <is>
          <t>00366942</t>
        </is>
      </c>
      <c r="C893" s="24" t="inlineStr">
        <is>
          <t>미코</t>
        </is>
      </c>
      <c r="D893" s="24" t="inlineStr">
        <is>
          <t>mico</t>
        </is>
      </c>
      <c r="E893" s="24" t="inlineStr">
        <is>
          <t>059090</t>
        </is>
      </c>
      <c r="F893" s="24" t="inlineStr">
        <is>
          <t>2025</t>
        </is>
      </c>
      <c r="G893" s="24" t="inlineStr">
        <is>
          <t>CFS</t>
        </is>
      </c>
      <c r="H893" s="24" t="inlineStr">
        <is>
          <t>BS</t>
        </is>
      </c>
      <c r="I893" s="24" t="inlineStr">
        <is>
          <t>재무상태표</t>
        </is>
      </c>
      <c r="J893" s="24" t="inlineStr">
        <is>
          <t>ifrs-full_NoncurrentAssets</t>
        </is>
      </c>
      <c r="K893" s="24" t="inlineStr">
        <is>
          <t>비유동자산</t>
        </is>
      </c>
      <c r="L893" s="24" t="inlineStr">
        <is>
          <t>-</t>
        </is>
      </c>
      <c r="M893" s="24" t="inlineStr">
        <is>
          <t>제 27 기</t>
        </is>
      </c>
      <c r="N893" s="24" t="inlineStr">
        <is>
          <t>1283627230606.0</t>
        </is>
      </c>
      <c r="O893" s="24" t="inlineStr">
        <is>
          <t>796456955884.0</t>
        </is>
      </c>
      <c r="P893" s="24" t="inlineStr">
        <is>
          <t>KRW</t>
        </is>
      </c>
      <c r="Q893" s="24" t="inlineStr">
        <is>
          <t>17</t>
        </is>
      </c>
    </row>
    <row r="894" ht="24" customHeight="1">
      <c r="A894" s="29" t="inlineStr">
        <is>
          <t>OpenDART_fnlttSinglAcntAll</t>
        </is>
      </c>
      <c r="B894" s="29" t="inlineStr">
        <is>
          <t>00366942</t>
        </is>
      </c>
      <c r="C894" s="29" t="inlineStr">
        <is>
          <t>미코</t>
        </is>
      </c>
      <c r="D894" s="29" t="inlineStr">
        <is>
          <t>mico</t>
        </is>
      </c>
      <c r="E894" s="29" t="inlineStr">
        <is>
          <t>059090</t>
        </is>
      </c>
      <c r="F894" s="29" t="inlineStr">
        <is>
          <t>2025</t>
        </is>
      </c>
      <c r="G894" s="29" t="inlineStr">
        <is>
          <t>CFS</t>
        </is>
      </c>
      <c r="H894" s="29" t="inlineStr">
        <is>
          <t>BS</t>
        </is>
      </c>
      <c r="I894" s="29" t="inlineStr">
        <is>
          <t>재무상태표</t>
        </is>
      </c>
      <c r="J894" s="29" t="inlineStr">
        <is>
          <t>ifrs-full_DeferredTaxAssets</t>
        </is>
      </c>
      <c r="K894" s="29" t="inlineStr">
        <is>
          <t>이연법인세자산</t>
        </is>
      </c>
      <c r="L894" s="29" t="inlineStr">
        <is>
          <t>-</t>
        </is>
      </c>
      <c r="M894" s="29" t="inlineStr">
        <is>
          <t>제 27 기</t>
        </is>
      </c>
      <c r="N894" s="29" t="inlineStr">
        <is>
          <t>56295299532.0</t>
        </is>
      </c>
      <c r="O894" s="29" t="inlineStr">
        <is>
          <t>37806837892.0</t>
        </is>
      </c>
      <c r="P894" s="29" t="inlineStr">
        <is>
          <t>KRW</t>
        </is>
      </c>
      <c r="Q894" s="29" t="inlineStr">
        <is>
          <t>18</t>
        </is>
      </c>
    </row>
    <row r="895" ht="24" customHeight="1">
      <c r="A895" s="24" t="inlineStr">
        <is>
          <t>OpenDART_fnlttSinglAcntAll</t>
        </is>
      </c>
      <c r="B895" s="24" t="inlineStr">
        <is>
          <t>00366942</t>
        </is>
      </c>
      <c r="C895" s="24" t="inlineStr">
        <is>
          <t>미코</t>
        </is>
      </c>
      <c r="D895" s="24" t="inlineStr">
        <is>
          <t>mico</t>
        </is>
      </c>
      <c r="E895" s="24" t="inlineStr">
        <is>
          <t>059090</t>
        </is>
      </c>
      <c r="F895" s="24" t="inlineStr">
        <is>
          <t>2025</t>
        </is>
      </c>
      <c r="G895" s="24" t="inlineStr">
        <is>
          <t>CFS</t>
        </is>
      </c>
      <c r="H895" s="24" t="inlineStr">
        <is>
          <t>BS</t>
        </is>
      </c>
      <c r="I895" s="24" t="inlineStr">
        <is>
          <t>재무상태표</t>
        </is>
      </c>
      <c r="J895" s="24" t="inlineStr">
        <is>
          <t>ifrs-full_IntangibleAssetsAndGoodwill</t>
        </is>
      </c>
      <c r="K895" s="24" t="inlineStr">
        <is>
          <t>무형자산</t>
        </is>
      </c>
      <c r="L895" s="24" t="inlineStr">
        <is>
          <t>-</t>
        </is>
      </c>
      <c r="M895" s="24" t="inlineStr">
        <is>
          <t>제 27 기</t>
        </is>
      </c>
      <c r="N895" s="24" t="inlineStr">
        <is>
          <t>57448762791.0</t>
        </is>
      </c>
      <c r="O895" s="24" t="inlineStr">
        <is>
          <t>48967336125.0</t>
        </is>
      </c>
      <c r="P895" s="24" t="inlineStr">
        <is>
          <t>KRW</t>
        </is>
      </c>
      <c r="Q895" s="24" t="inlineStr">
        <is>
          <t>19</t>
        </is>
      </c>
    </row>
    <row r="896" ht="24" customHeight="1">
      <c r="A896" s="29" t="inlineStr">
        <is>
          <t>OpenDART_fnlttSinglAcntAll</t>
        </is>
      </c>
      <c r="B896" s="29" t="inlineStr">
        <is>
          <t>00366942</t>
        </is>
      </c>
      <c r="C896" s="29" t="inlineStr">
        <is>
          <t>미코</t>
        </is>
      </c>
      <c r="D896" s="29" t="inlineStr">
        <is>
          <t>mico</t>
        </is>
      </c>
      <c r="E896" s="29" t="inlineStr">
        <is>
          <t>059090</t>
        </is>
      </c>
      <c r="F896" s="29" t="inlineStr">
        <is>
          <t>2025</t>
        </is>
      </c>
      <c r="G896" s="29" t="inlineStr">
        <is>
          <t>CFS</t>
        </is>
      </c>
      <c r="H896" s="29" t="inlineStr">
        <is>
          <t>BS</t>
        </is>
      </c>
      <c r="I896" s="29" t="inlineStr">
        <is>
          <t>재무상태표</t>
        </is>
      </c>
      <c r="J896" s="29" t="inlineStr">
        <is>
          <t>ifrs-full_InvestmentAccountedForUsingEquityMethod</t>
        </is>
      </c>
      <c r="K896" s="29" t="inlineStr">
        <is>
          <t>관계기업및공동기업투자</t>
        </is>
      </c>
      <c r="L896" s="29" t="inlineStr">
        <is>
          <t>-</t>
        </is>
      </c>
      <c r="M896" s="29" t="inlineStr">
        <is>
          <t>제 27 기</t>
        </is>
      </c>
      <c r="N896" s="29" t="inlineStr">
        <is>
          <t>34610898754.0</t>
        </is>
      </c>
      <c r="O896" s="29" t="inlineStr">
        <is>
          <t>7375274173.0</t>
        </is>
      </c>
      <c r="P896" s="29" t="inlineStr">
        <is>
          <t>KRW</t>
        </is>
      </c>
      <c r="Q896" s="29" t="inlineStr">
        <is>
          <t>20</t>
        </is>
      </c>
    </row>
    <row r="897" ht="24" customHeight="1">
      <c r="A897" s="24" t="inlineStr">
        <is>
          <t>OpenDART_fnlttSinglAcntAll</t>
        </is>
      </c>
      <c r="B897" s="24" t="inlineStr">
        <is>
          <t>00366942</t>
        </is>
      </c>
      <c r="C897" s="24" t="inlineStr">
        <is>
          <t>미코</t>
        </is>
      </c>
      <c r="D897" s="24" t="inlineStr">
        <is>
          <t>mico</t>
        </is>
      </c>
      <c r="E897" s="24" t="inlineStr">
        <is>
          <t>059090</t>
        </is>
      </c>
      <c r="F897" s="24" t="inlineStr">
        <is>
          <t>2025</t>
        </is>
      </c>
      <c r="G897" s="24" t="inlineStr">
        <is>
          <t>CFS</t>
        </is>
      </c>
      <c r="H897" s="24" t="inlineStr">
        <is>
          <t>BS</t>
        </is>
      </c>
      <c r="I897" s="24" t="inlineStr">
        <is>
          <t>재무상태표</t>
        </is>
      </c>
      <c r="J897" s="24" t="inlineStr">
        <is>
          <t>ifrs-full_InvestmentProperty</t>
        </is>
      </c>
      <c r="K897" s="24" t="inlineStr">
        <is>
          <t>투자부동산</t>
        </is>
      </c>
      <c r="L897" s="24" t="inlineStr">
        <is>
          <t>-</t>
        </is>
      </c>
      <c r="M897" s="24" t="inlineStr">
        <is>
          <t>제 27 기</t>
        </is>
      </c>
      <c r="N897" s="24" t="inlineStr">
        <is>
          <t>12528802074.0</t>
        </is>
      </c>
      <c r="O897" s="24" t="inlineStr">
        <is>
          <t>5107299350.0</t>
        </is>
      </c>
      <c r="P897" s="24" t="inlineStr">
        <is>
          <t>KRW</t>
        </is>
      </c>
      <c r="Q897" s="24" t="inlineStr">
        <is>
          <t>21</t>
        </is>
      </c>
    </row>
    <row r="898" ht="24" customHeight="1">
      <c r="A898" s="29" t="inlineStr">
        <is>
          <t>OpenDART_fnlttSinglAcntAll</t>
        </is>
      </c>
      <c r="B898" s="29" t="inlineStr">
        <is>
          <t>00366942</t>
        </is>
      </c>
      <c r="C898" s="29" t="inlineStr">
        <is>
          <t>미코</t>
        </is>
      </c>
      <c r="D898" s="29" t="inlineStr">
        <is>
          <t>mico</t>
        </is>
      </c>
      <c r="E898" s="29" t="inlineStr">
        <is>
          <t>059090</t>
        </is>
      </c>
      <c r="F898" s="29" t="inlineStr">
        <is>
          <t>2025</t>
        </is>
      </c>
      <c r="G898" s="29" t="inlineStr">
        <is>
          <t>CFS</t>
        </is>
      </c>
      <c r="H898" s="29" t="inlineStr">
        <is>
          <t>BS</t>
        </is>
      </c>
      <c r="I898" s="29" t="inlineStr">
        <is>
          <t>재무상태표</t>
        </is>
      </c>
      <c r="J898" s="29" t="inlineStr">
        <is>
          <t>ifrs-full_NoncurrentReceivables</t>
        </is>
      </c>
      <c r="K898" s="29" t="inlineStr">
        <is>
          <t>장기매출채권및기타채권</t>
        </is>
      </c>
      <c r="L898" s="29" t="inlineStr">
        <is>
          <t>-</t>
        </is>
      </c>
      <c r="M898" s="29" t="inlineStr">
        <is>
          <t>제 27 기</t>
        </is>
      </c>
      <c r="N898" s="29" t="inlineStr">
        <is>
          <t>54022228633.0</t>
        </is>
      </c>
      <c r="O898" s="29" t="inlineStr">
        <is>
          <t>44424737925.0</t>
        </is>
      </c>
      <c r="P898" s="29" t="inlineStr">
        <is>
          <t>KRW</t>
        </is>
      </c>
      <c r="Q898" s="29" t="inlineStr">
        <is>
          <t>22</t>
        </is>
      </c>
    </row>
    <row r="899" ht="24" customHeight="1">
      <c r="A899" s="24" t="inlineStr">
        <is>
          <t>OpenDART_fnlttSinglAcntAll</t>
        </is>
      </c>
      <c r="B899" s="24" t="inlineStr">
        <is>
          <t>00366942</t>
        </is>
      </c>
      <c r="C899" s="24" t="inlineStr">
        <is>
          <t>미코</t>
        </is>
      </c>
      <c r="D899" s="24" t="inlineStr">
        <is>
          <t>mico</t>
        </is>
      </c>
      <c r="E899" s="24" t="inlineStr">
        <is>
          <t>059090</t>
        </is>
      </c>
      <c r="F899" s="24" t="inlineStr">
        <is>
          <t>2025</t>
        </is>
      </c>
      <c r="G899" s="24" t="inlineStr">
        <is>
          <t>CFS</t>
        </is>
      </c>
      <c r="H899" s="24" t="inlineStr">
        <is>
          <t>BS</t>
        </is>
      </c>
      <c r="I899" s="24" t="inlineStr">
        <is>
          <t>재무상태표</t>
        </is>
      </c>
      <c r="J899" s="24" t="inlineStr">
        <is>
          <t>ifrs-full_OtherNoncurrentAssets</t>
        </is>
      </c>
      <c r="K899" s="24" t="inlineStr">
        <is>
          <t>기타비유동자산</t>
        </is>
      </c>
      <c r="L899" s="24" t="inlineStr">
        <is>
          <t>-</t>
        </is>
      </c>
      <c r="M899" s="24" t="inlineStr">
        <is>
          <t>제 27 기</t>
        </is>
      </c>
      <c r="N899" s="24" t="inlineStr">
        <is>
          <t>28062363629.0</t>
        </is>
      </c>
      <c r="O899" s="24" t="inlineStr">
        <is>
          <t>6996538894.0</t>
        </is>
      </c>
      <c r="P899" s="24" t="inlineStr">
        <is>
          <t>KRW</t>
        </is>
      </c>
      <c r="Q899" s="24" t="inlineStr">
        <is>
          <t>23</t>
        </is>
      </c>
    </row>
    <row r="900" ht="24" customHeight="1">
      <c r="A900" s="29" t="inlineStr">
        <is>
          <t>OpenDART_fnlttSinglAcntAll</t>
        </is>
      </c>
      <c r="B900" s="29" t="inlineStr">
        <is>
          <t>00366942</t>
        </is>
      </c>
      <c r="C900" s="29" t="inlineStr">
        <is>
          <t>미코</t>
        </is>
      </c>
      <c r="D900" s="29" t="inlineStr">
        <is>
          <t>mico</t>
        </is>
      </c>
      <c r="E900" s="29" t="inlineStr">
        <is>
          <t>059090</t>
        </is>
      </c>
      <c r="F900" s="29" t="inlineStr">
        <is>
          <t>2025</t>
        </is>
      </c>
      <c r="G900" s="29" t="inlineStr">
        <is>
          <t>CFS</t>
        </is>
      </c>
      <c r="H900" s="29" t="inlineStr">
        <is>
          <t>BS</t>
        </is>
      </c>
      <c r="I900" s="29" t="inlineStr">
        <is>
          <t>재무상태표</t>
        </is>
      </c>
      <c r="J900" s="29" t="inlineStr">
        <is>
          <t>ifrs-full_OtherNoncurrentFinancialAssets</t>
        </is>
      </c>
      <c r="K900" s="29" t="inlineStr">
        <is>
          <t>기타비유동금융자산</t>
        </is>
      </c>
      <c r="L900" s="29" t="inlineStr">
        <is>
          <t>-</t>
        </is>
      </c>
      <c r="M900" s="29" t="inlineStr">
        <is>
          <t>제 27 기</t>
        </is>
      </c>
      <c r="N900" s="29" t="inlineStr">
        <is>
          <t>68837791728.0</t>
        </is>
      </c>
      <c r="O900" s="29" t="inlineStr">
        <is>
          <t>45332985709.0</t>
        </is>
      </c>
      <c r="P900" s="29" t="inlineStr">
        <is>
          <t>KRW</t>
        </is>
      </c>
      <c r="Q900" s="29" t="inlineStr">
        <is>
          <t>24</t>
        </is>
      </c>
    </row>
    <row r="901" ht="24" customHeight="1">
      <c r="A901" s="24" t="inlineStr">
        <is>
          <t>OpenDART_fnlttSinglAcntAll</t>
        </is>
      </c>
      <c r="B901" s="24" t="inlineStr">
        <is>
          <t>00366942</t>
        </is>
      </c>
      <c r="C901" s="24" t="inlineStr">
        <is>
          <t>미코</t>
        </is>
      </c>
      <c r="D901" s="24" t="inlineStr">
        <is>
          <t>mico</t>
        </is>
      </c>
      <c r="E901" s="24" t="inlineStr">
        <is>
          <t>059090</t>
        </is>
      </c>
      <c r="F901" s="24" t="inlineStr">
        <is>
          <t>2025</t>
        </is>
      </c>
      <c r="G901" s="24" t="inlineStr">
        <is>
          <t>CFS</t>
        </is>
      </c>
      <c r="H901" s="24" t="inlineStr">
        <is>
          <t>BS</t>
        </is>
      </c>
      <c r="I901" s="24" t="inlineStr">
        <is>
          <t>재무상태표</t>
        </is>
      </c>
      <c r="J901" s="24" t="inlineStr">
        <is>
          <t>ifrs-full_PropertyPlantAndEquipment</t>
        </is>
      </c>
      <c r="K901" s="24" t="inlineStr">
        <is>
          <t>유형자산</t>
        </is>
      </c>
      <c r="L901" s="24" t="inlineStr">
        <is>
          <t>-</t>
        </is>
      </c>
      <c r="M901" s="24" t="inlineStr">
        <is>
          <t>제 27 기</t>
        </is>
      </c>
      <c r="N901" s="24" t="inlineStr">
        <is>
          <t>921013985755.0</t>
        </is>
      </c>
      <c r="O901" s="24" t="inlineStr">
        <is>
          <t>574648645839.0</t>
        </is>
      </c>
      <c r="P901" s="24" t="inlineStr">
        <is>
          <t>KRW</t>
        </is>
      </c>
      <c r="Q901" s="24" t="inlineStr">
        <is>
          <t>25</t>
        </is>
      </c>
    </row>
    <row r="902" ht="24" customHeight="1">
      <c r="A902" s="29" t="inlineStr">
        <is>
          <t>OpenDART_fnlttSinglAcntAll</t>
        </is>
      </c>
      <c r="B902" s="29" t="inlineStr">
        <is>
          <t>00366942</t>
        </is>
      </c>
      <c r="C902" s="29" t="inlineStr">
        <is>
          <t>미코</t>
        </is>
      </c>
      <c r="D902" s="29" t="inlineStr">
        <is>
          <t>mico</t>
        </is>
      </c>
      <c r="E902" s="29" t="inlineStr">
        <is>
          <t>059090</t>
        </is>
      </c>
      <c r="F902" s="29" t="inlineStr">
        <is>
          <t>2025</t>
        </is>
      </c>
      <c r="G902" s="29" t="inlineStr">
        <is>
          <t>CFS</t>
        </is>
      </c>
      <c r="H902" s="29" t="inlineStr">
        <is>
          <t>BS</t>
        </is>
      </c>
      <c r="I902" s="29" t="inlineStr">
        <is>
          <t>재무상태표</t>
        </is>
      </c>
      <c r="J902" s="29" t="inlineStr">
        <is>
          <t>ifrs-full_RecognisedAssetsDefinedBenefitPlan</t>
        </is>
      </c>
      <c r="K902" s="29" t="inlineStr">
        <is>
          <t>확정급여자산</t>
        </is>
      </c>
      <c r="L902" s="29" t="inlineStr">
        <is>
          <t>-</t>
        </is>
      </c>
      <c r="M902" s="29" t="inlineStr">
        <is>
          <t>제 27 기</t>
        </is>
      </c>
      <c r="N902" s="29" t="inlineStr">
        <is>
          <t>7938572603.0</t>
        </is>
      </c>
      <c r="O902" s="29" t="inlineStr">
        <is>
          <t>178808511.0</t>
        </is>
      </c>
      <c r="P902" s="29" t="inlineStr">
        <is>
          <t>KRW</t>
        </is>
      </c>
      <c r="Q902" s="29" t="inlineStr">
        <is>
          <t>26</t>
        </is>
      </c>
    </row>
    <row r="903" ht="24" customHeight="1">
      <c r="A903" s="24" t="inlineStr">
        <is>
          <t>OpenDART_fnlttSinglAcntAll</t>
        </is>
      </c>
      <c r="B903" s="24" t="inlineStr">
        <is>
          <t>00366942</t>
        </is>
      </c>
      <c r="C903" s="24" t="inlineStr">
        <is>
          <t>미코</t>
        </is>
      </c>
      <c r="D903" s="24" t="inlineStr">
        <is>
          <t>mico</t>
        </is>
      </c>
      <c r="E903" s="24" t="inlineStr">
        <is>
          <t>059090</t>
        </is>
      </c>
      <c r="F903" s="24" t="inlineStr">
        <is>
          <t>2025</t>
        </is>
      </c>
      <c r="G903" s="24" t="inlineStr">
        <is>
          <t>CFS</t>
        </is>
      </c>
      <c r="H903" s="24" t="inlineStr">
        <is>
          <t>BS</t>
        </is>
      </c>
      <c r="I903" s="24" t="inlineStr">
        <is>
          <t>재무상태표</t>
        </is>
      </c>
      <c r="J903" s="24" t="inlineStr">
        <is>
          <t>ifrs-full_RightofuseAssets</t>
        </is>
      </c>
      <c r="K903" s="24" t="inlineStr">
        <is>
          <t>사용권자산</t>
        </is>
      </c>
      <c r="L903" s="24" t="inlineStr">
        <is>
          <t>-</t>
        </is>
      </c>
      <c r="M903" s="24" t="inlineStr">
        <is>
          <t>제 27 기</t>
        </is>
      </c>
      <c r="N903" s="24" t="inlineStr">
        <is>
          <t>42868525107.0</t>
        </is>
      </c>
      <c r="O903" s="24" t="inlineStr">
        <is>
          <t>25618491466.0</t>
        </is>
      </c>
      <c r="P903" s="24" t="inlineStr">
        <is>
          <t>KRW</t>
        </is>
      </c>
      <c r="Q903" s="24" t="inlineStr">
        <is>
          <t>27</t>
        </is>
      </c>
    </row>
    <row r="904" ht="24" customHeight="1">
      <c r="A904" s="29" t="inlineStr">
        <is>
          <t>OpenDART_fnlttSinglAcntAll</t>
        </is>
      </c>
      <c r="B904" s="29" t="inlineStr">
        <is>
          <t>00366942</t>
        </is>
      </c>
      <c r="C904" s="29" t="inlineStr">
        <is>
          <t>미코</t>
        </is>
      </c>
      <c r="D904" s="29" t="inlineStr">
        <is>
          <t>mico</t>
        </is>
      </c>
      <c r="E904" s="29" t="inlineStr">
        <is>
          <t>059090</t>
        </is>
      </c>
      <c r="F904" s="29" t="inlineStr">
        <is>
          <t>2025</t>
        </is>
      </c>
      <c r="G904" s="29" t="inlineStr">
        <is>
          <t>CFS</t>
        </is>
      </c>
      <c r="H904" s="29" t="inlineStr">
        <is>
          <t>BS</t>
        </is>
      </c>
      <c r="I904" s="29" t="inlineStr">
        <is>
          <t>재무상태표</t>
        </is>
      </c>
      <c r="J904" s="29" t="inlineStr">
        <is>
          <t>ifrs-full_Equity</t>
        </is>
      </c>
      <c r="K904" s="29" t="inlineStr">
        <is>
          <t>자본총계</t>
        </is>
      </c>
      <c r="L904" s="29" t="inlineStr">
        <is>
          <t>-</t>
        </is>
      </c>
      <c r="M904" s="29" t="inlineStr">
        <is>
          <t>제 27 기</t>
        </is>
      </c>
      <c r="N904" s="29" t="inlineStr">
        <is>
          <t>689099900666.0</t>
        </is>
      </c>
      <c r="O904" s="29" t="inlineStr">
        <is>
          <t>532847652534.0</t>
        </is>
      </c>
      <c r="P904" s="29" t="inlineStr">
        <is>
          <t>KRW</t>
        </is>
      </c>
      <c r="Q904" s="29" t="inlineStr">
        <is>
          <t>29</t>
        </is>
      </c>
    </row>
    <row r="905" ht="24" customHeight="1">
      <c r="A905" s="24" t="inlineStr">
        <is>
          <t>OpenDART_fnlttSinglAcntAll</t>
        </is>
      </c>
      <c r="B905" s="24" t="inlineStr">
        <is>
          <t>00366942</t>
        </is>
      </c>
      <c r="C905" s="24" t="inlineStr">
        <is>
          <t>미코</t>
        </is>
      </c>
      <c r="D905" s="24" t="inlineStr">
        <is>
          <t>mico</t>
        </is>
      </c>
      <c r="E905" s="24" t="inlineStr">
        <is>
          <t>059090</t>
        </is>
      </c>
      <c r="F905" s="24" t="inlineStr">
        <is>
          <t>2025</t>
        </is>
      </c>
      <c r="G905" s="24" t="inlineStr">
        <is>
          <t>CFS</t>
        </is>
      </c>
      <c r="H905" s="24" t="inlineStr">
        <is>
          <t>BS</t>
        </is>
      </c>
      <c r="I905" s="24" t="inlineStr">
        <is>
          <t>재무상태표</t>
        </is>
      </c>
      <c r="J905" s="24" t="inlineStr">
        <is>
          <t>ifrs-full_EquityAttributableToOwnersOfParent</t>
        </is>
      </c>
      <c r="K905" s="24" t="inlineStr">
        <is>
          <t>지배기업주주지분</t>
        </is>
      </c>
      <c r="L905" s="24" t="inlineStr">
        <is>
          <t>-</t>
        </is>
      </c>
      <c r="M905" s="24" t="inlineStr">
        <is>
          <t>제 27 기</t>
        </is>
      </c>
      <c r="N905" s="24" t="inlineStr">
        <is>
          <t>115214962514.0</t>
        </is>
      </c>
      <c r="O905" s="24" t="inlineStr">
        <is>
          <t>101407477059.0</t>
        </is>
      </c>
      <c r="P905" s="24" t="inlineStr">
        <is>
          <t>KRW</t>
        </is>
      </c>
      <c r="Q905" s="24" t="inlineStr">
        <is>
          <t>30</t>
        </is>
      </c>
    </row>
    <row r="906" ht="24" customHeight="1">
      <c r="A906" s="29" t="inlineStr">
        <is>
          <t>OpenDART_fnlttSinglAcntAll</t>
        </is>
      </c>
      <c r="B906" s="29" t="inlineStr">
        <is>
          <t>00366942</t>
        </is>
      </c>
      <c r="C906" s="29" t="inlineStr">
        <is>
          <t>미코</t>
        </is>
      </c>
      <c r="D906" s="29" t="inlineStr">
        <is>
          <t>mico</t>
        </is>
      </c>
      <c r="E906" s="29" t="inlineStr">
        <is>
          <t>059090</t>
        </is>
      </c>
      <c r="F906" s="29" t="inlineStr">
        <is>
          <t>2025</t>
        </is>
      </c>
      <c r="G906" s="29" t="inlineStr">
        <is>
          <t>CFS</t>
        </is>
      </c>
      <c r="H906" s="29" t="inlineStr">
        <is>
          <t>BS</t>
        </is>
      </c>
      <c r="I906" s="29" t="inlineStr">
        <is>
          <t>재무상태표</t>
        </is>
      </c>
      <c r="J906" s="29" t="inlineStr">
        <is>
          <t>dart_CapitalSurplus</t>
        </is>
      </c>
      <c r="K906" s="29" t="inlineStr">
        <is>
          <t>자본잉여금</t>
        </is>
      </c>
      <c r="L906" s="29" t="inlineStr">
        <is>
          <t>-</t>
        </is>
      </c>
      <c r="M906" s="29" t="inlineStr">
        <is>
          <t>제 27 기</t>
        </is>
      </c>
      <c r="N906" s="29" t="inlineStr">
        <is>
          <t>175909184247.0</t>
        </is>
      </c>
      <c r="O906" s="29" t="inlineStr">
        <is>
          <t>199732484801.0</t>
        </is>
      </c>
      <c r="P906" s="29" t="inlineStr">
        <is>
          <t>KRW</t>
        </is>
      </c>
      <c r="Q906" s="29" t="inlineStr">
        <is>
          <t>31</t>
        </is>
      </c>
    </row>
    <row r="907" ht="24" customHeight="1">
      <c r="A907" s="24" t="inlineStr">
        <is>
          <t>OpenDART_fnlttSinglAcntAll</t>
        </is>
      </c>
      <c r="B907" s="24" t="inlineStr">
        <is>
          <t>00366942</t>
        </is>
      </c>
      <c r="C907" s="24" t="inlineStr">
        <is>
          <t>미코</t>
        </is>
      </c>
      <c r="D907" s="24" t="inlineStr">
        <is>
          <t>mico</t>
        </is>
      </c>
      <c r="E907" s="24" t="inlineStr">
        <is>
          <t>059090</t>
        </is>
      </c>
      <c r="F907" s="24" t="inlineStr">
        <is>
          <t>2025</t>
        </is>
      </c>
      <c r="G907" s="24" t="inlineStr">
        <is>
          <t>CFS</t>
        </is>
      </c>
      <c r="H907" s="24" t="inlineStr">
        <is>
          <t>BS</t>
        </is>
      </c>
      <c r="I907" s="24" t="inlineStr">
        <is>
          <t>재무상태표</t>
        </is>
      </c>
      <c r="J907" s="24" t="inlineStr">
        <is>
          <t>dart_ElementsOfOtherStockholdersEquity</t>
        </is>
      </c>
      <c r="K907" s="24" t="inlineStr">
        <is>
          <t>기타자본구성요소</t>
        </is>
      </c>
      <c r="L907" s="24" t="inlineStr">
        <is>
          <t>-</t>
        </is>
      </c>
      <c r="M907" s="24" t="inlineStr">
        <is>
          <t>제 27 기</t>
        </is>
      </c>
      <c r="N907" s="24" t="inlineStr">
        <is>
          <t>-66818285356.0</t>
        </is>
      </c>
      <c r="O907" s="24" t="inlineStr">
        <is>
          <t>-71028018806.0</t>
        </is>
      </c>
      <c r="P907" s="24" t="inlineStr">
        <is>
          <t>KRW</t>
        </is>
      </c>
      <c r="Q907" s="24" t="inlineStr">
        <is>
          <t>32</t>
        </is>
      </c>
    </row>
    <row r="908" ht="24" customHeight="1">
      <c r="A908" s="29" t="inlineStr">
        <is>
          <t>OpenDART_fnlttSinglAcntAll</t>
        </is>
      </c>
      <c r="B908" s="29" t="inlineStr">
        <is>
          <t>00366942</t>
        </is>
      </c>
      <c r="C908" s="29" t="inlineStr">
        <is>
          <t>미코</t>
        </is>
      </c>
      <c r="D908" s="29" t="inlineStr">
        <is>
          <t>mico</t>
        </is>
      </c>
      <c r="E908" s="29" t="inlineStr">
        <is>
          <t>059090</t>
        </is>
      </c>
      <c r="F908" s="29" t="inlineStr">
        <is>
          <t>2025</t>
        </is>
      </c>
      <c r="G908" s="29" t="inlineStr">
        <is>
          <t>CFS</t>
        </is>
      </c>
      <c r="H908" s="29" t="inlineStr">
        <is>
          <t>BS</t>
        </is>
      </c>
      <c r="I908" s="29" t="inlineStr">
        <is>
          <t>재무상태표</t>
        </is>
      </c>
      <c r="J908" s="29" t="inlineStr">
        <is>
          <t>dart_OtherComprehensiveIncomeLossAccumulatedAmount</t>
        </is>
      </c>
      <c r="K908" s="29" t="inlineStr">
        <is>
          <t>기타포괄손익누계액</t>
        </is>
      </c>
      <c r="L908" s="29" t="inlineStr">
        <is>
          <t>-</t>
        </is>
      </c>
      <c r="M908" s="29" t="inlineStr">
        <is>
          <t>제 27 기</t>
        </is>
      </c>
      <c r="N908" s="29" t="inlineStr">
        <is>
          <t>6346545667.0</t>
        </is>
      </c>
      <c r="O908" s="29" t="inlineStr">
        <is>
          <t>2635493826.0</t>
        </is>
      </c>
      <c r="P908" s="29" t="inlineStr">
        <is>
          <t>KRW</t>
        </is>
      </c>
      <c r="Q908" s="29" t="inlineStr">
        <is>
          <t>33</t>
        </is>
      </c>
    </row>
    <row r="909" ht="24" customHeight="1">
      <c r="A909" s="24" t="inlineStr">
        <is>
          <t>OpenDART_fnlttSinglAcntAll</t>
        </is>
      </c>
      <c r="B909" s="24" t="inlineStr">
        <is>
          <t>00366942</t>
        </is>
      </c>
      <c r="C909" s="24" t="inlineStr">
        <is>
          <t>미코</t>
        </is>
      </c>
      <c r="D909" s="24" t="inlineStr">
        <is>
          <t>mico</t>
        </is>
      </c>
      <c r="E909" s="24" t="inlineStr">
        <is>
          <t>059090</t>
        </is>
      </c>
      <c r="F909" s="24" t="inlineStr">
        <is>
          <t>2025</t>
        </is>
      </c>
      <c r="G909" s="24" t="inlineStr">
        <is>
          <t>CFS</t>
        </is>
      </c>
      <c r="H909" s="24" t="inlineStr">
        <is>
          <t>BS</t>
        </is>
      </c>
      <c r="I909" s="24" t="inlineStr">
        <is>
          <t>재무상태표</t>
        </is>
      </c>
      <c r="J909" s="24" t="inlineStr">
        <is>
          <t>ifrs-full_IssuedCapital</t>
        </is>
      </c>
      <c r="K909" s="24" t="inlineStr">
        <is>
          <t>자본금</t>
        </is>
      </c>
      <c r="L909" s="24" t="inlineStr">
        <is>
          <t>-</t>
        </is>
      </c>
      <c r="M909" s="24" t="inlineStr">
        <is>
          <t>제 27 기</t>
        </is>
      </c>
      <c r="N909" s="24" t="inlineStr">
        <is>
          <t>16708389000.0</t>
        </is>
      </c>
      <c r="O909" s="24" t="inlineStr">
        <is>
          <t>16708389000.0</t>
        </is>
      </c>
      <c r="P909" s="24" t="inlineStr">
        <is>
          <t>KRW</t>
        </is>
      </c>
      <c r="Q909" s="24" t="inlineStr">
        <is>
          <t>34</t>
        </is>
      </c>
    </row>
    <row r="910" ht="24" customHeight="1">
      <c r="A910" s="29" t="inlineStr">
        <is>
          <t>OpenDART_fnlttSinglAcntAll</t>
        </is>
      </c>
      <c r="B910" s="29" t="inlineStr">
        <is>
          <t>00366942</t>
        </is>
      </c>
      <c r="C910" s="29" t="inlineStr">
        <is>
          <t>미코</t>
        </is>
      </c>
      <c r="D910" s="29" t="inlineStr">
        <is>
          <t>mico</t>
        </is>
      </c>
      <c r="E910" s="29" t="inlineStr">
        <is>
          <t>059090</t>
        </is>
      </c>
      <c r="F910" s="29" t="inlineStr">
        <is>
          <t>2025</t>
        </is>
      </c>
      <c r="G910" s="29" t="inlineStr">
        <is>
          <t>CFS</t>
        </is>
      </c>
      <c r="H910" s="29" t="inlineStr">
        <is>
          <t>BS</t>
        </is>
      </c>
      <c r="I910" s="29" t="inlineStr">
        <is>
          <t>재무상태표</t>
        </is>
      </c>
      <c r="J910" s="29" t="inlineStr">
        <is>
          <t>ifrs-full_RetainedEarnings</t>
        </is>
      </c>
      <c r="K910" s="29" t="inlineStr">
        <is>
          <t>미처리결손금</t>
        </is>
      </c>
      <c r="L910" s="29" t="inlineStr">
        <is>
          <t>-</t>
        </is>
      </c>
      <c r="M910" s="29" t="inlineStr">
        <is>
          <t>제 27 기</t>
        </is>
      </c>
      <c r="N910" s="29" t="inlineStr">
        <is>
          <t>-16930871044.0</t>
        </is>
      </c>
      <c r="O910" s="29" t="inlineStr">
        <is>
          <t>-46640871762.0</t>
        </is>
      </c>
      <c r="P910" s="29" t="inlineStr">
        <is>
          <t>KRW</t>
        </is>
      </c>
      <c r="Q910" s="29" t="inlineStr">
        <is>
          <t>35</t>
        </is>
      </c>
    </row>
    <row r="911" ht="24" customHeight="1">
      <c r="A911" s="24" t="inlineStr">
        <is>
          <t>OpenDART_fnlttSinglAcntAll</t>
        </is>
      </c>
      <c r="B911" s="24" t="inlineStr">
        <is>
          <t>00366942</t>
        </is>
      </c>
      <c r="C911" s="24" t="inlineStr">
        <is>
          <t>미코</t>
        </is>
      </c>
      <c r="D911" s="24" t="inlineStr">
        <is>
          <t>mico</t>
        </is>
      </c>
      <c r="E911" s="24" t="inlineStr">
        <is>
          <t>059090</t>
        </is>
      </c>
      <c r="F911" s="24" t="inlineStr">
        <is>
          <t>2025</t>
        </is>
      </c>
      <c r="G911" s="24" t="inlineStr">
        <is>
          <t>CFS</t>
        </is>
      </c>
      <c r="H911" s="24" t="inlineStr">
        <is>
          <t>BS</t>
        </is>
      </c>
      <c r="I911" s="24" t="inlineStr">
        <is>
          <t>재무상태표</t>
        </is>
      </c>
      <c r="J911" s="24" t="inlineStr">
        <is>
          <t>ifrs-full_NoncontrollingInterests</t>
        </is>
      </c>
      <c r="K911" s="24" t="inlineStr">
        <is>
          <t>비지배지분</t>
        </is>
      </c>
      <c r="L911" s="24" t="inlineStr">
        <is>
          <t>-</t>
        </is>
      </c>
      <c r="M911" s="24" t="inlineStr">
        <is>
          <t>제 27 기</t>
        </is>
      </c>
      <c r="N911" s="24" t="inlineStr">
        <is>
          <t>573884938152.0</t>
        </is>
      </c>
      <c r="O911" s="24" t="inlineStr">
        <is>
          <t>431440175475.0</t>
        </is>
      </c>
      <c r="P911" s="24" t="inlineStr">
        <is>
          <t>KRW</t>
        </is>
      </c>
      <c r="Q911" s="24" t="inlineStr">
        <is>
          <t>36</t>
        </is>
      </c>
    </row>
    <row r="912" ht="24" customHeight="1">
      <c r="A912" s="29" t="inlineStr">
        <is>
          <t>OpenDART_fnlttSinglAcntAll</t>
        </is>
      </c>
      <c r="B912" s="29" t="inlineStr">
        <is>
          <t>00366942</t>
        </is>
      </c>
      <c r="C912" s="29" t="inlineStr">
        <is>
          <t>미코</t>
        </is>
      </c>
      <c r="D912" s="29" t="inlineStr">
        <is>
          <t>mico</t>
        </is>
      </c>
      <c r="E912" s="29" t="inlineStr">
        <is>
          <t>059090</t>
        </is>
      </c>
      <c r="F912" s="29" t="inlineStr">
        <is>
          <t>2025</t>
        </is>
      </c>
      <c r="G912" s="29" t="inlineStr">
        <is>
          <t>CFS</t>
        </is>
      </c>
      <c r="H912" s="29" t="inlineStr">
        <is>
          <t>BS</t>
        </is>
      </c>
      <c r="I912" s="29" t="inlineStr">
        <is>
          <t>재무상태표</t>
        </is>
      </c>
      <c r="J912" s="29" t="inlineStr">
        <is>
          <t>ifrs-full_EquityAndLiabilities</t>
        </is>
      </c>
      <c r="K912" s="29" t="inlineStr">
        <is>
          <t>부채및자본총계</t>
        </is>
      </c>
      <c r="L912" s="29" t="inlineStr">
        <is>
          <t>-</t>
        </is>
      </c>
      <c r="M912" s="29" t="inlineStr">
        <is>
          <t>제 27 기</t>
        </is>
      </c>
      <c r="N912" s="29" t="inlineStr">
        <is>
          <t>2264573968886.0</t>
        </is>
      </c>
      <c r="O912" s="29" t="inlineStr">
        <is>
          <t>1392676089676.0</t>
        </is>
      </c>
      <c r="P912" s="29" t="inlineStr">
        <is>
          <t>KRW</t>
        </is>
      </c>
      <c r="Q912" s="29" t="inlineStr">
        <is>
          <t>37</t>
        </is>
      </c>
    </row>
    <row r="913" ht="24" customHeight="1">
      <c r="A913" s="24" t="inlineStr">
        <is>
          <t>OpenDART_fnlttSinglAcntAll</t>
        </is>
      </c>
      <c r="B913" s="24" t="inlineStr">
        <is>
          <t>00366942</t>
        </is>
      </c>
      <c r="C913" s="24" t="inlineStr">
        <is>
          <t>미코</t>
        </is>
      </c>
      <c r="D913" s="24" t="inlineStr">
        <is>
          <t>mico</t>
        </is>
      </c>
      <c r="E913" s="24" t="inlineStr">
        <is>
          <t>059090</t>
        </is>
      </c>
      <c r="F913" s="24" t="inlineStr">
        <is>
          <t>2025</t>
        </is>
      </c>
      <c r="G913" s="24" t="inlineStr">
        <is>
          <t>CFS</t>
        </is>
      </c>
      <c r="H913" s="24" t="inlineStr">
        <is>
          <t>BS</t>
        </is>
      </c>
      <c r="I913" s="24" t="inlineStr">
        <is>
          <t>재무상태표</t>
        </is>
      </c>
      <c r="J913" s="24" t="inlineStr">
        <is>
          <t>ifrs-full_CurrentLiabilities</t>
        </is>
      </c>
      <c r="K913" s="24" t="inlineStr">
        <is>
          <t>유동부채</t>
        </is>
      </c>
      <c r="L913" s="24" t="inlineStr">
        <is>
          <t>-</t>
        </is>
      </c>
      <c r="M913" s="24" t="inlineStr">
        <is>
          <t>제 27 기</t>
        </is>
      </c>
      <c r="N913" s="24" t="inlineStr">
        <is>
          <t>916247523512.0</t>
        </is>
      </c>
      <c r="O913" s="24" t="inlineStr">
        <is>
          <t>609493350413.0</t>
        </is>
      </c>
      <c r="P913" s="24" t="inlineStr">
        <is>
          <t>KRW</t>
        </is>
      </c>
      <c r="Q913" s="24" t="inlineStr">
        <is>
          <t>39</t>
        </is>
      </c>
    </row>
    <row r="914" ht="24" customHeight="1">
      <c r="A914" s="29" t="inlineStr">
        <is>
          <t>OpenDART_fnlttSinglAcntAll</t>
        </is>
      </c>
      <c r="B914" s="29" t="inlineStr">
        <is>
          <t>00366942</t>
        </is>
      </c>
      <c r="C914" s="29" t="inlineStr">
        <is>
          <t>미코</t>
        </is>
      </c>
      <c r="D914" s="29" t="inlineStr">
        <is>
          <t>mico</t>
        </is>
      </c>
      <c r="E914" s="29" t="inlineStr">
        <is>
          <t>059090</t>
        </is>
      </c>
      <c r="F914" s="29" t="inlineStr">
        <is>
          <t>2025</t>
        </is>
      </c>
      <c r="G914" s="29" t="inlineStr">
        <is>
          <t>CFS</t>
        </is>
      </c>
      <c r="H914" s="29" t="inlineStr">
        <is>
          <t>BS</t>
        </is>
      </c>
      <c r="I914" s="29" t="inlineStr">
        <is>
          <t>재무상태표</t>
        </is>
      </c>
      <c r="J914" s="29" t="inlineStr">
        <is>
          <t>dart_CurrentPortionOfBonds</t>
        </is>
      </c>
      <c r="K914" s="29" t="inlineStr">
        <is>
          <t>사채</t>
        </is>
      </c>
      <c r="L914" s="29" t="inlineStr">
        <is>
          <t>-</t>
        </is>
      </c>
      <c r="M914" s="29" t="inlineStr">
        <is>
          <t>제 27 기</t>
        </is>
      </c>
      <c r="N914" s="29" t="inlineStr">
        <is>
          <t>0.0</t>
        </is>
      </c>
      <c r="O914" s="29" t="inlineStr">
        <is>
          <t>19935126341.0</t>
        </is>
      </c>
      <c r="P914" s="29" t="inlineStr">
        <is>
          <t>KRW</t>
        </is>
      </c>
      <c r="Q914" s="29" t="inlineStr">
        <is>
          <t>40</t>
        </is>
      </c>
    </row>
    <row r="915" ht="24" customHeight="1">
      <c r="A915" s="24" t="inlineStr">
        <is>
          <t>OpenDART_fnlttSinglAcntAll</t>
        </is>
      </c>
      <c r="B915" s="24" t="inlineStr">
        <is>
          <t>00366942</t>
        </is>
      </c>
      <c r="C915" s="24" t="inlineStr">
        <is>
          <t>미코</t>
        </is>
      </c>
      <c r="D915" s="24" t="inlineStr">
        <is>
          <t>mico</t>
        </is>
      </c>
      <c r="E915" s="24" t="inlineStr">
        <is>
          <t>059090</t>
        </is>
      </c>
      <c r="F915" s="24" t="inlineStr">
        <is>
          <t>2025</t>
        </is>
      </c>
      <c r="G915" s="24" t="inlineStr">
        <is>
          <t>CFS</t>
        </is>
      </c>
      <c r="H915" s="24" t="inlineStr">
        <is>
          <t>BS</t>
        </is>
      </c>
      <c r="I915" s="24" t="inlineStr">
        <is>
          <t>재무상태표</t>
        </is>
      </c>
      <c r="J915" s="24" t="inlineStr">
        <is>
          <t>dart_CurrentPortionOfConvertibleBonds</t>
        </is>
      </c>
      <c r="K915" s="24" t="inlineStr">
        <is>
          <t>전환사채</t>
        </is>
      </c>
      <c r="L915" s="24" t="inlineStr">
        <is>
          <t>-</t>
        </is>
      </c>
      <c r="M915" s="24" t="inlineStr">
        <is>
          <t>제 27 기</t>
        </is>
      </c>
      <c r="N915" s="24" t="inlineStr">
        <is>
          <t>40353135683.0</t>
        </is>
      </c>
      <c r="O915" s="24" t="inlineStr">
        <is>
          <t>34776012096.0</t>
        </is>
      </c>
      <c r="P915" s="24" t="inlineStr">
        <is>
          <t>KRW</t>
        </is>
      </c>
      <c r="Q915" s="24" t="inlineStr">
        <is>
          <t>41</t>
        </is>
      </c>
    </row>
    <row r="916" ht="24" customHeight="1">
      <c r="A916" s="29" t="inlineStr">
        <is>
          <t>OpenDART_fnlttSinglAcntAll</t>
        </is>
      </c>
      <c r="B916" s="29" t="inlineStr">
        <is>
          <t>00366942</t>
        </is>
      </c>
      <c r="C916" s="29" t="inlineStr">
        <is>
          <t>미코</t>
        </is>
      </c>
      <c r="D916" s="29" t="inlineStr">
        <is>
          <t>mico</t>
        </is>
      </c>
      <c r="E916" s="29" t="inlineStr">
        <is>
          <t>059090</t>
        </is>
      </c>
      <c r="F916" s="29" t="inlineStr">
        <is>
          <t>2025</t>
        </is>
      </c>
      <c r="G916" s="29" t="inlineStr">
        <is>
          <t>CFS</t>
        </is>
      </c>
      <c r="H916" s="29" t="inlineStr">
        <is>
          <t>BS</t>
        </is>
      </c>
      <c r="I916" s="29" t="inlineStr">
        <is>
          <t>재무상태표</t>
        </is>
      </c>
      <c r="J916" s="29" t="inlineStr">
        <is>
          <t>dart_CurrentPortionOfExchangeableBond</t>
        </is>
      </c>
      <c r="K916" s="29" t="inlineStr">
        <is>
          <t>교환사채</t>
        </is>
      </c>
      <c r="L916" s="29" t="inlineStr">
        <is>
          <t>-</t>
        </is>
      </c>
      <c r="M916" s="29" t="inlineStr">
        <is>
          <t>제 27 기</t>
        </is>
      </c>
      <c r="N916" s="29" t="inlineStr">
        <is>
          <t>5257246012.0</t>
        </is>
      </c>
      <c r="O916" s="29" t="inlineStr">
        <is>
          <t>22241112111.0</t>
        </is>
      </c>
      <c r="P916" s="29" t="inlineStr">
        <is>
          <t>KRW</t>
        </is>
      </c>
      <c r="Q916" s="29" t="inlineStr">
        <is>
          <t>42</t>
        </is>
      </c>
    </row>
    <row r="917" ht="24" customHeight="1">
      <c r="A917" s="24" t="inlineStr">
        <is>
          <t>OpenDART_fnlttSinglAcntAll</t>
        </is>
      </c>
      <c r="B917" s="24" t="inlineStr">
        <is>
          <t>00366942</t>
        </is>
      </c>
      <c r="C917" s="24" t="inlineStr">
        <is>
          <t>미코</t>
        </is>
      </c>
      <c r="D917" s="24" t="inlineStr">
        <is>
          <t>mico</t>
        </is>
      </c>
      <c r="E917" s="24" t="inlineStr">
        <is>
          <t>059090</t>
        </is>
      </c>
      <c r="F917" s="24" t="inlineStr">
        <is>
          <t>2025</t>
        </is>
      </c>
      <c r="G917" s="24" t="inlineStr">
        <is>
          <t>CFS</t>
        </is>
      </c>
      <c r="H917" s="24" t="inlineStr">
        <is>
          <t>BS</t>
        </is>
      </c>
      <c r="I917" s="24" t="inlineStr">
        <is>
          <t>재무상태표</t>
        </is>
      </c>
      <c r="J917" s="24" t="inlineStr">
        <is>
          <t>-표준계정코드 미사용-</t>
        </is>
      </c>
      <c r="K917" s="24" t="inlineStr">
        <is>
          <t>단기차입금</t>
        </is>
      </c>
      <c r="L917" s="24" t="inlineStr">
        <is>
          <t>-</t>
        </is>
      </c>
      <c r="M917" s="24" t="inlineStr">
        <is>
          <t>제 27 기</t>
        </is>
      </c>
      <c r="N917" s="24" t="inlineStr">
        <is>
          <t>418677409064.0</t>
        </is>
      </c>
      <c r="O917" s="24" t="inlineStr">
        <is>
          <t>229434484926.0</t>
        </is>
      </c>
      <c r="P917" s="24" t="inlineStr">
        <is>
          <t>KRW</t>
        </is>
      </c>
      <c r="Q917" s="24" t="inlineStr">
        <is>
          <t>43</t>
        </is>
      </c>
    </row>
    <row r="918" ht="24" customHeight="1">
      <c r="A918" s="29" t="inlineStr">
        <is>
          <t>OpenDART_fnlttSinglAcntAll</t>
        </is>
      </c>
      <c r="B918" s="29" t="inlineStr">
        <is>
          <t>00366942</t>
        </is>
      </c>
      <c r="C918" s="29" t="inlineStr">
        <is>
          <t>미코</t>
        </is>
      </c>
      <c r="D918" s="29" t="inlineStr">
        <is>
          <t>mico</t>
        </is>
      </c>
      <c r="E918" s="29" t="inlineStr">
        <is>
          <t>059090</t>
        </is>
      </c>
      <c r="F918" s="29" t="inlineStr">
        <is>
          <t>2025</t>
        </is>
      </c>
      <c r="G918" s="29" t="inlineStr">
        <is>
          <t>CFS</t>
        </is>
      </c>
      <c r="H918" s="29" t="inlineStr">
        <is>
          <t>BS</t>
        </is>
      </c>
      <c r="I918" s="29" t="inlineStr">
        <is>
          <t>재무상태표</t>
        </is>
      </c>
      <c r="J918" s="29" t="inlineStr">
        <is>
          <t>-표준계정코드 미사용-</t>
        </is>
      </c>
      <c r="K918" s="29" t="inlineStr">
        <is>
          <t>유동성장기차입금</t>
        </is>
      </c>
      <c r="L918" s="29" t="inlineStr">
        <is>
          <t>-</t>
        </is>
      </c>
      <c r="M918" s="29" t="inlineStr">
        <is>
          <t>제 27 기</t>
        </is>
      </c>
      <c r="N918" s="29" t="inlineStr">
        <is>
          <t>76330406467.0</t>
        </is>
      </c>
      <c r="O918" s="29" t="inlineStr">
        <is>
          <t>38976000000.0</t>
        </is>
      </c>
      <c r="P918" s="29" t="inlineStr">
        <is>
          <t>KRW</t>
        </is>
      </c>
      <c r="Q918" s="29" t="inlineStr">
        <is>
          <t>44</t>
        </is>
      </c>
    </row>
    <row r="919" ht="24" customHeight="1">
      <c r="A919" s="24" t="inlineStr">
        <is>
          <t>OpenDART_fnlttSinglAcntAll</t>
        </is>
      </c>
      <c r="B919" s="24" t="inlineStr">
        <is>
          <t>00366942</t>
        </is>
      </c>
      <c r="C919" s="24" t="inlineStr">
        <is>
          <t>미코</t>
        </is>
      </c>
      <c r="D919" s="24" t="inlineStr">
        <is>
          <t>mico</t>
        </is>
      </c>
      <c r="E919" s="24" t="inlineStr">
        <is>
          <t>059090</t>
        </is>
      </c>
      <c r="F919" s="24" t="inlineStr">
        <is>
          <t>2025</t>
        </is>
      </c>
      <c r="G919" s="24" t="inlineStr">
        <is>
          <t>CFS</t>
        </is>
      </c>
      <c r="H919" s="24" t="inlineStr">
        <is>
          <t>BS</t>
        </is>
      </c>
      <c r="I919" s="24" t="inlineStr">
        <is>
          <t>재무상태표</t>
        </is>
      </c>
      <c r="J919" s="24" t="inlineStr">
        <is>
          <t>ifrs-full_CurrentContractLiabilities</t>
        </is>
      </c>
      <c r="K919" s="24" t="inlineStr">
        <is>
          <t>유동계약부채</t>
        </is>
      </c>
      <c r="L919" s="24" t="inlineStr">
        <is>
          <t>-</t>
        </is>
      </c>
      <c r="M919" s="24" t="inlineStr">
        <is>
          <t>제 27 기</t>
        </is>
      </c>
      <c r="N919" s="24" t="inlineStr">
        <is>
          <t>126068144058.0</t>
        </is>
      </c>
      <c r="O919" s="24" t="inlineStr">
        <is>
          <t>63785251008.0</t>
        </is>
      </c>
      <c r="P919" s="24" t="inlineStr">
        <is>
          <t>KRW</t>
        </is>
      </c>
      <c r="Q919" s="24" t="inlineStr">
        <is>
          <t>45</t>
        </is>
      </c>
    </row>
    <row r="920" ht="24" customHeight="1">
      <c r="A920" s="29" t="inlineStr">
        <is>
          <t>OpenDART_fnlttSinglAcntAll</t>
        </is>
      </c>
      <c r="B920" s="29" t="inlineStr">
        <is>
          <t>00366942</t>
        </is>
      </c>
      <c r="C920" s="29" t="inlineStr">
        <is>
          <t>미코</t>
        </is>
      </c>
      <c r="D920" s="29" t="inlineStr">
        <is>
          <t>mico</t>
        </is>
      </c>
      <c r="E920" s="29" t="inlineStr">
        <is>
          <t>059090</t>
        </is>
      </c>
      <c r="F920" s="29" t="inlineStr">
        <is>
          <t>2025</t>
        </is>
      </c>
      <c r="G920" s="29" t="inlineStr">
        <is>
          <t>CFS</t>
        </is>
      </c>
      <c r="H920" s="29" t="inlineStr">
        <is>
          <t>BS</t>
        </is>
      </c>
      <c r="I920" s="29" t="inlineStr">
        <is>
          <t>재무상태표</t>
        </is>
      </c>
      <c r="J920" s="29" t="inlineStr">
        <is>
          <t>ifrs-full_CurrentLeaseLiabilities</t>
        </is>
      </c>
      <c r="K920" s="29" t="inlineStr">
        <is>
          <t>리스부채</t>
        </is>
      </c>
      <c r="L920" s="29" t="inlineStr">
        <is>
          <t>-</t>
        </is>
      </c>
      <c r="M920" s="29" t="inlineStr">
        <is>
          <t>제 27 기</t>
        </is>
      </c>
      <c r="N920" s="29" t="inlineStr">
        <is>
          <t>6053302267.0</t>
        </is>
      </c>
      <c r="O920" s="29" t="inlineStr">
        <is>
          <t>4264342393.0</t>
        </is>
      </c>
      <c r="P920" s="29" t="inlineStr">
        <is>
          <t>KRW</t>
        </is>
      </c>
      <c r="Q920" s="29" t="inlineStr">
        <is>
          <t>46</t>
        </is>
      </c>
    </row>
    <row r="921" ht="24" customHeight="1">
      <c r="A921" s="24" t="inlineStr">
        <is>
          <t>OpenDART_fnlttSinglAcntAll</t>
        </is>
      </c>
      <c r="B921" s="24" t="inlineStr">
        <is>
          <t>00366942</t>
        </is>
      </c>
      <c r="C921" s="24" t="inlineStr">
        <is>
          <t>미코</t>
        </is>
      </c>
      <c r="D921" s="24" t="inlineStr">
        <is>
          <t>mico</t>
        </is>
      </c>
      <c r="E921" s="24" t="inlineStr">
        <is>
          <t>059090</t>
        </is>
      </c>
      <c r="F921" s="24" t="inlineStr">
        <is>
          <t>2025</t>
        </is>
      </c>
      <c r="G921" s="24" t="inlineStr">
        <is>
          <t>CFS</t>
        </is>
      </c>
      <c r="H921" s="24" t="inlineStr">
        <is>
          <t>BS</t>
        </is>
      </c>
      <c r="I921" s="24" t="inlineStr">
        <is>
          <t>재무상태표</t>
        </is>
      </c>
      <c r="J921" s="24" t="inlineStr">
        <is>
          <t>ifrs-full_CurrentTaxLiabilities</t>
        </is>
      </c>
      <c r="K921" s="24" t="inlineStr">
        <is>
          <t>당기법인세부채</t>
        </is>
      </c>
      <c r="L921" s="24" t="inlineStr">
        <is>
          <t>-</t>
        </is>
      </c>
      <c r="M921" s="24" t="inlineStr">
        <is>
          <t>제 27 기</t>
        </is>
      </c>
      <c r="N921" s="24" t="inlineStr">
        <is>
          <t>21216958262.0</t>
        </is>
      </c>
      <c r="O921" s="24" t="inlineStr">
        <is>
          <t>29321760841.0</t>
        </is>
      </c>
      <c r="P921" s="24" t="inlineStr">
        <is>
          <t>KRW</t>
        </is>
      </c>
      <c r="Q921" s="24" t="inlineStr">
        <is>
          <t>47</t>
        </is>
      </c>
    </row>
    <row r="922" ht="24" customHeight="1">
      <c r="A922" s="29" t="inlineStr">
        <is>
          <t>OpenDART_fnlttSinglAcntAll</t>
        </is>
      </c>
      <c r="B922" s="29" t="inlineStr">
        <is>
          <t>00366942</t>
        </is>
      </c>
      <c r="C922" s="29" t="inlineStr">
        <is>
          <t>미코</t>
        </is>
      </c>
      <c r="D922" s="29" t="inlineStr">
        <is>
          <t>mico</t>
        </is>
      </c>
      <c r="E922" s="29" t="inlineStr">
        <is>
          <t>059090</t>
        </is>
      </c>
      <c r="F922" s="29" t="inlineStr">
        <is>
          <t>2025</t>
        </is>
      </c>
      <c r="G922" s="29" t="inlineStr">
        <is>
          <t>CFS</t>
        </is>
      </c>
      <c r="H922" s="29" t="inlineStr">
        <is>
          <t>BS</t>
        </is>
      </c>
      <c r="I922" s="29" t="inlineStr">
        <is>
          <t>재무상태표</t>
        </is>
      </c>
      <c r="J922" s="29" t="inlineStr">
        <is>
          <t>ifrs-full_OtherCurrentFinancialLiabilities</t>
        </is>
      </c>
      <c r="K922" s="29" t="inlineStr">
        <is>
          <t>기타유동금융부채</t>
        </is>
      </c>
      <c r="L922" s="29" t="inlineStr">
        <is>
          <t>-</t>
        </is>
      </c>
      <c r="M922" s="29" t="inlineStr">
        <is>
          <t>제 27 기</t>
        </is>
      </c>
      <c r="N922" s="29" t="inlineStr">
        <is>
          <t>43696312360.0</t>
        </is>
      </c>
      <c r="O922" s="29" t="inlineStr">
        <is>
          <t>38337909263.0</t>
        </is>
      </c>
      <c r="P922" s="29" t="inlineStr">
        <is>
          <t>KRW</t>
        </is>
      </c>
      <c r="Q922" s="29" t="inlineStr">
        <is>
          <t>48</t>
        </is>
      </c>
    </row>
    <row r="923" ht="24" customHeight="1">
      <c r="A923" s="24" t="inlineStr">
        <is>
          <t>OpenDART_fnlttSinglAcntAll</t>
        </is>
      </c>
      <c r="B923" s="24" t="inlineStr">
        <is>
          <t>00366942</t>
        </is>
      </c>
      <c r="C923" s="24" t="inlineStr">
        <is>
          <t>미코</t>
        </is>
      </c>
      <c r="D923" s="24" t="inlineStr">
        <is>
          <t>mico</t>
        </is>
      </c>
      <c r="E923" s="24" t="inlineStr">
        <is>
          <t>059090</t>
        </is>
      </c>
      <c r="F923" s="24" t="inlineStr">
        <is>
          <t>2025</t>
        </is>
      </c>
      <c r="G923" s="24" t="inlineStr">
        <is>
          <t>CFS</t>
        </is>
      </c>
      <c r="H923" s="24" t="inlineStr">
        <is>
          <t>BS</t>
        </is>
      </c>
      <c r="I923" s="24" t="inlineStr">
        <is>
          <t>재무상태표</t>
        </is>
      </c>
      <c r="J923" s="24" t="inlineStr">
        <is>
          <t>ifrs-full_OtherCurrentLiabilities</t>
        </is>
      </c>
      <c r="K923" s="24" t="inlineStr">
        <is>
          <t>기타유동부채</t>
        </is>
      </c>
      <c r="L923" s="24" t="inlineStr">
        <is>
          <t>-</t>
        </is>
      </c>
      <c r="M923" s="24" t="inlineStr">
        <is>
          <t>제 27 기</t>
        </is>
      </c>
      <c r="N923" s="24" t="inlineStr">
        <is>
          <t>22645564656.0</t>
        </is>
      </c>
      <c r="O923" s="24" t="inlineStr">
        <is>
          <t>23458379441.0</t>
        </is>
      </c>
      <c r="P923" s="24" t="inlineStr">
        <is>
          <t>KRW</t>
        </is>
      </c>
      <c r="Q923" s="24" t="inlineStr">
        <is>
          <t>49</t>
        </is>
      </c>
    </row>
    <row r="924" ht="24" customHeight="1">
      <c r="A924" s="29" t="inlineStr">
        <is>
          <t>OpenDART_fnlttSinglAcntAll</t>
        </is>
      </c>
      <c r="B924" s="29" t="inlineStr">
        <is>
          <t>00366942</t>
        </is>
      </c>
      <c r="C924" s="29" t="inlineStr">
        <is>
          <t>미코</t>
        </is>
      </c>
      <c r="D924" s="29" t="inlineStr">
        <is>
          <t>mico</t>
        </is>
      </c>
      <c r="E924" s="29" t="inlineStr">
        <is>
          <t>059090</t>
        </is>
      </c>
      <c r="F924" s="29" t="inlineStr">
        <is>
          <t>2025</t>
        </is>
      </c>
      <c r="G924" s="29" t="inlineStr">
        <is>
          <t>CFS</t>
        </is>
      </c>
      <c r="H924" s="29" t="inlineStr">
        <is>
          <t>BS</t>
        </is>
      </c>
      <c r="I924" s="29" t="inlineStr">
        <is>
          <t>재무상태표</t>
        </is>
      </c>
      <c r="J924" s="29" t="inlineStr">
        <is>
          <t>ifrs-full_OtherShorttermProvisions</t>
        </is>
      </c>
      <c r="K924" s="29" t="inlineStr">
        <is>
          <t>유동충당부채</t>
        </is>
      </c>
      <c r="L924" s="29" t="inlineStr">
        <is>
          <t>-</t>
        </is>
      </c>
      <c r="M924" s="29" t="inlineStr">
        <is>
          <t>제 27 기</t>
        </is>
      </c>
      <c r="N924" s="29" t="inlineStr">
        <is>
          <t>16553462490.0</t>
        </is>
      </c>
      <c r="O924" s="29" t="inlineStr">
        <is>
          <t>16974611706.0</t>
        </is>
      </c>
      <c r="P924" s="29" t="inlineStr">
        <is>
          <t>KRW</t>
        </is>
      </c>
      <c r="Q924" s="29" t="inlineStr">
        <is>
          <t>50</t>
        </is>
      </c>
    </row>
    <row r="925" ht="24" customHeight="1">
      <c r="A925" s="24" t="inlineStr">
        <is>
          <t>OpenDART_fnlttSinglAcntAll</t>
        </is>
      </c>
      <c r="B925" s="24" t="inlineStr">
        <is>
          <t>00366942</t>
        </is>
      </c>
      <c r="C925" s="24" t="inlineStr">
        <is>
          <t>미코</t>
        </is>
      </c>
      <c r="D925" s="24" t="inlineStr">
        <is>
          <t>mico</t>
        </is>
      </c>
      <c r="E925" s="24" t="inlineStr">
        <is>
          <t>059090</t>
        </is>
      </c>
      <c r="F925" s="24" t="inlineStr">
        <is>
          <t>2025</t>
        </is>
      </c>
      <c r="G925" s="24" t="inlineStr">
        <is>
          <t>CFS</t>
        </is>
      </c>
      <c r="H925" s="24" t="inlineStr">
        <is>
          <t>BS</t>
        </is>
      </c>
      <c r="I925" s="24" t="inlineStr">
        <is>
          <t>재무상태표</t>
        </is>
      </c>
      <c r="J925" s="24" t="inlineStr">
        <is>
          <t>ifrs-full_TradeAndOtherCurrentPayables</t>
        </is>
      </c>
      <c r="K925" s="24" t="inlineStr">
        <is>
          <t>매입채무및기타채무</t>
        </is>
      </c>
      <c r="L925" s="24" t="inlineStr">
        <is>
          <t>-</t>
        </is>
      </c>
      <c r="M925" s="24" t="inlineStr">
        <is>
          <t>제 27 기</t>
        </is>
      </c>
      <c r="N925" s="24" t="inlineStr">
        <is>
          <t>139395582193.0</t>
        </is>
      </c>
      <c r="O925" s="24" t="inlineStr">
        <is>
          <t>87988360287.0</t>
        </is>
      </c>
      <c r="P925" s="24" t="inlineStr">
        <is>
          <t>KRW</t>
        </is>
      </c>
      <c r="Q925" s="24" t="inlineStr">
        <is>
          <t>51</t>
        </is>
      </c>
    </row>
    <row r="926" ht="24" customHeight="1">
      <c r="A926" s="29" t="inlineStr">
        <is>
          <t>OpenDART_fnlttSinglAcntAll</t>
        </is>
      </c>
      <c r="B926" s="29" t="inlineStr">
        <is>
          <t>00366942</t>
        </is>
      </c>
      <c r="C926" s="29" t="inlineStr">
        <is>
          <t>미코</t>
        </is>
      </c>
      <c r="D926" s="29" t="inlineStr">
        <is>
          <t>mico</t>
        </is>
      </c>
      <c r="E926" s="29" t="inlineStr">
        <is>
          <t>059090</t>
        </is>
      </c>
      <c r="F926" s="29" t="inlineStr">
        <is>
          <t>2025</t>
        </is>
      </c>
      <c r="G926" s="29" t="inlineStr">
        <is>
          <t>CFS</t>
        </is>
      </c>
      <c r="H926" s="29" t="inlineStr">
        <is>
          <t>BS</t>
        </is>
      </c>
      <c r="I926" s="29" t="inlineStr">
        <is>
          <t>재무상태표</t>
        </is>
      </c>
      <c r="J926" s="29" t="inlineStr">
        <is>
          <t>ifrs-full_Liabilities</t>
        </is>
      </c>
      <c r="K926" s="29" t="inlineStr">
        <is>
          <t>부채총계</t>
        </is>
      </c>
      <c r="L926" s="29" t="inlineStr">
        <is>
          <t>-</t>
        </is>
      </c>
      <c r="M926" s="29" t="inlineStr">
        <is>
          <t>제 27 기</t>
        </is>
      </c>
      <c r="N926" s="29" t="inlineStr">
        <is>
          <t>1575474068220.0</t>
        </is>
      </c>
      <c r="O926" s="29" t="inlineStr">
        <is>
          <t>859828437142.0</t>
        </is>
      </c>
      <c r="P926" s="29" t="inlineStr">
        <is>
          <t>KRW</t>
        </is>
      </c>
      <c r="Q926" s="29" t="inlineStr">
        <is>
          <t>52</t>
        </is>
      </c>
    </row>
    <row r="927" ht="24" customHeight="1">
      <c r="A927" s="24" t="inlineStr">
        <is>
          <t>OpenDART_fnlttSinglAcntAll</t>
        </is>
      </c>
      <c r="B927" s="24" t="inlineStr">
        <is>
          <t>00366942</t>
        </is>
      </c>
      <c r="C927" s="24" t="inlineStr">
        <is>
          <t>미코</t>
        </is>
      </c>
      <c r="D927" s="24" t="inlineStr">
        <is>
          <t>mico</t>
        </is>
      </c>
      <c r="E927" s="24" t="inlineStr">
        <is>
          <t>059090</t>
        </is>
      </c>
      <c r="F927" s="24" t="inlineStr">
        <is>
          <t>2025</t>
        </is>
      </c>
      <c r="G927" s="24" t="inlineStr">
        <is>
          <t>CFS</t>
        </is>
      </c>
      <c r="H927" s="24" t="inlineStr">
        <is>
          <t>BS</t>
        </is>
      </c>
      <c r="I927" s="24" t="inlineStr">
        <is>
          <t>재무상태표</t>
        </is>
      </c>
      <c r="J927" s="24" t="inlineStr">
        <is>
          <t>ifrs-full_NoncurrentLiabilities</t>
        </is>
      </c>
      <c r="K927" s="24" t="inlineStr">
        <is>
          <t>비유동부채</t>
        </is>
      </c>
      <c r="L927" s="24" t="inlineStr">
        <is>
          <t>-</t>
        </is>
      </c>
      <c r="M927" s="24" t="inlineStr">
        <is>
          <t>제 27 기</t>
        </is>
      </c>
      <c r="N927" s="24" t="inlineStr">
        <is>
          <t>659226544708.0</t>
        </is>
      </c>
      <c r="O927" s="24" t="inlineStr">
        <is>
          <t>250335086729.0</t>
        </is>
      </c>
      <c r="P927" s="24" t="inlineStr">
        <is>
          <t>KRW</t>
        </is>
      </c>
      <c r="Q927" s="24" t="inlineStr">
        <is>
          <t>53</t>
        </is>
      </c>
    </row>
    <row r="928" ht="24" customHeight="1">
      <c r="A928" s="29" t="inlineStr">
        <is>
          <t>OpenDART_fnlttSinglAcntAll</t>
        </is>
      </c>
      <c r="B928" s="29" t="inlineStr">
        <is>
          <t>00366942</t>
        </is>
      </c>
      <c r="C928" s="29" t="inlineStr">
        <is>
          <t>미코</t>
        </is>
      </c>
      <c r="D928" s="29" t="inlineStr">
        <is>
          <t>mico</t>
        </is>
      </c>
      <c r="E928" s="29" t="inlineStr">
        <is>
          <t>059090</t>
        </is>
      </c>
      <c r="F928" s="29" t="inlineStr">
        <is>
          <t>2025</t>
        </is>
      </c>
      <c r="G928" s="29" t="inlineStr">
        <is>
          <t>CFS</t>
        </is>
      </c>
      <c r="H928" s="29" t="inlineStr">
        <is>
          <t>BS</t>
        </is>
      </c>
      <c r="I928" s="29" t="inlineStr">
        <is>
          <t>재무상태표</t>
        </is>
      </c>
      <c r="J928" s="29" t="inlineStr">
        <is>
          <t>-표준계정코드 미사용-</t>
        </is>
      </c>
      <c r="K928" s="29" t="inlineStr">
        <is>
          <t>장기종업원급여</t>
        </is>
      </c>
      <c r="L928" s="29" t="inlineStr">
        <is>
          <t>-</t>
        </is>
      </c>
      <c r="M928" s="29" t="inlineStr">
        <is>
          <t>제 27 기</t>
        </is>
      </c>
      <c r="N928" s="29" t="inlineStr">
        <is>
          <t>5228473304.0</t>
        </is>
      </c>
      <c r="O928" s="29" t="inlineStr">
        <is>
          <t>3332244732.0</t>
        </is>
      </c>
      <c r="P928" s="29" t="inlineStr">
        <is>
          <t>KRW</t>
        </is>
      </c>
      <c r="Q928" s="29" t="inlineStr">
        <is>
          <t>54</t>
        </is>
      </c>
    </row>
    <row r="929" ht="24" customHeight="1">
      <c r="A929" s="24" t="inlineStr">
        <is>
          <t>OpenDART_fnlttSinglAcntAll</t>
        </is>
      </c>
      <c r="B929" s="24" t="inlineStr">
        <is>
          <t>00366942</t>
        </is>
      </c>
      <c r="C929" s="24" t="inlineStr">
        <is>
          <t>미코</t>
        </is>
      </c>
      <c r="D929" s="24" t="inlineStr">
        <is>
          <t>mico</t>
        </is>
      </c>
      <c r="E929" s="24" t="inlineStr">
        <is>
          <t>059090</t>
        </is>
      </c>
      <c r="F929" s="24" t="inlineStr">
        <is>
          <t>2025</t>
        </is>
      </c>
      <c r="G929" s="24" t="inlineStr">
        <is>
          <t>CFS</t>
        </is>
      </c>
      <c r="H929" s="24" t="inlineStr">
        <is>
          <t>BS</t>
        </is>
      </c>
      <c r="I929" s="24" t="inlineStr">
        <is>
          <t>재무상태표</t>
        </is>
      </c>
      <c r="J929" s="24" t="inlineStr">
        <is>
          <t>-표준계정코드 미사용-</t>
        </is>
      </c>
      <c r="K929" s="24" t="inlineStr">
        <is>
          <t>장기차입금</t>
        </is>
      </c>
      <c r="L929" s="24" t="inlineStr">
        <is>
          <t>-</t>
        </is>
      </c>
      <c r="M929" s="24" t="inlineStr">
        <is>
          <t>제 27 기</t>
        </is>
      </c>
      <c r="N929" s="24" t="inlineStr">
        <is>
          <t>561124313714.0</t>
        </is>
      </c>
      <c r="O929" s="24" t="inlineStr">
        <is>
          <t>161918430345.0</t>
        </is>
      </c>
      <c r="P929" s="24" t="inlineStr">
        <is>
          <t>KRW</t>
        </is>
      </c>
      <c r="Q929" s="24" t="inlineStr">
        <is>
          <t>55</t>
        </is>
      </c>
    </row>
    <row r="930" ht="24" customHeight="1">
      <c r="A930" s="29" t="inlineStr">
        <is>
          <t>OpenDART_fnlttSinglAcntAll</t>
        </is>
      </c>
      <c r="B930" s="29" t="inlineStr">
        <is>
          <t>00366942</t>
        </is>
      </c>
      <c r="C930" s="29" t="inlineStr">
        <is>
          <t>미코</t>
        </is>
      </c>
      <c r="D930" s="29" t="inlineStr">
        <is>
          <t>mico</t>
        </is>
      </c>
      <c r="E930" s="29" t="inlineStr">
        <is>
          <t>059090</t>
        </is>
      </c>
      <c r="F930" s="29" t="inlineStr">
        <is>
          <t>2025</t>
        </is>
      </c>
      <c r="G930" s="29" t="inlineStr">
        <is>
          <t>CFS</t>
        </is>
      </c>
      <c r="H930" s="29" t="inlineStr">
        <is>
          <t>BS</t>
        </is>
      </c>
      <c r="I930" s="29" t="inlineStr">
        <is>
          <t>재무상태표</t>
        </is>
      </c>
      <c r="J930" s="29" t="inlineStr">
        <is>
          <t>ifrs-full_DeferredTaxLiabilities</t>
        </is>
      </c>
      <c r="K930" s="29" t="inlineStr">
        <is>
          <t>이연법인세부채</t>
        </is>
      </c>
      <c r="L930" s="29" t="inlineStr">
        <is>
          <t>-</t>
        </is>
      </c>
      <c r="M930" s="29" t="inlineStr">
        <is>
          <t>제 27 기</t>
        </is>
      </c>
      <c r="N930" s="29" t="inlineStr">
        <is>
          <t>33272708270.0</t>
        </is>
      </c>
      <c r="O930" s="29" t="inlineStr">
        <is>
          <t>38594905624.0</t>
        </is>
      </c>
      <c r="P930" s="29" t="inlineStr">
        <is>
          <t>KRW</t>
        </is>
      </c>
      <c r="Q930" s="29" t="inlineStr">
        <is>
          <t>56</t>
        </is>
      </c>
    </row>
    <row r="931" ht="24" customHeight="1">
      <c r="A931" s="24" t="inlineStr">
        <is>
          <t>OpenDART_fnlttSinglAcntAll</t>
        </is>
      </c>
      <c r="B931" s="24" t="inlineStr">
        <is>
          <t>00366942</t>
        </is>
      </c>
      <c r="C931" s="24" t="inlineStr">
        <is>
          <t>미코</t>
        </is>
      </c>
      <c r="D931" s="24" t="inlineStr">
        <is>
          <t>mico</t>
        </is>
      </c>
      <c r="E931" s="24" t="inlineStr">
        <is>
          <t>059090</t>
        </is>
      </c>
      <c r="F931" s="24" t="inlineStr">
        <is>
          <t>2025</t>
        </is>
      </c>
      <c r="G931" s="24" t="inlineStr">
        <is>
          <t>CFS</t>
        </is>
      </c>
      <c r="H931" s="24" t="inlineStr">
        <is>
          <t>BS</t>
        </is>
      </c>
      <c r="I931" s="24" t="inlineStr">
        <is>
          <t>재무상태표</t>
        </is>
      </c>
      <c r="J931" s="24" t="inlineStr">
        <is>
          <t>ifrs-full_NoncurrentContractLiabilities</t>
        </is>
      </c>
      <c r="K931" s="24" t="inlineStr">
        <is>
          <t>비유동계약부채</t>
        </is>
      </c>
      <c r="L931" s="24" t="inlineStr">
        <is>
          <t>-</t>
        </is>
      </c>
      <c r="M931" s="24" t="inlineStr">
        <is>
          <t>제 27 기</t>
        </is>
      </c>
      <c r="N931" s="24" t="inlineStr">
        <is>
          <t>2180034000.0</t>
        </is>
      </c>
      <c r="O931" s="24" t="inlineStr">
        <is>
          <t>13719462900.0</t>
        </is>
      </c>
      <c r="P931" s="24" t="inlineStr">
        <is>
          <t>KRW</t>
        </is>
      </c>
      <c r="Q931" s="24" t="inlineStr">
        <is>
          <t>57</t>
        </is>
      </c>
    </row>
    <row r="932" ht="24" customHeight="1">
      <c r="A932" s="29" t="inlineStr">
        <is>
          <t>OpenDART_fnlttSinglAcntAll</t>
        </is>
      </c>
      <c r="B932" s="29" t="inlineStr">
        <is>
          <t>00366942</t>
        </is>
      </c>
      <c r="C932" s="29" t="inlineStr">
        <is>
          <t>미코</t>
        </is>
      </c>
      <c r="D932" s="29" t="inlineStr">
        <is>
          <t>mico</t>
        </is>
      </c>
      <c r="E932" s="29" t="inlineStr">
        <is>
          <t>059090</t>
        </is>
      </c>
      <c r="F932" s="29" t="inlineStr">
        <is>
          <t>2025</t>
        </is>
      </c>
      <c r="G932" s="29" t="inlineStr">
        <is>
          <t>CFS</t>
        </is>
      </c>
      <c r="H932" s="29" t="inlineStr">
        <is>
          <t>BS</t>
        </is>
      </c>
      <c r="I932" s="29" t="inlineStr">
        <is>
          <t>재무상태표</t>
        </is>
      </c>
      <c r="J932" s="29" t="inlineStr">
        <is>
          <t>ifrs-full_NoncurrentLeaseLiabilities</t>
        </is>
      </c>
      <c r="K932" s="29" t="inlineStr">
        <is>
          <t>리스부채</t>
        </is>
      </c>
      <c r="L932" s="29" t="inlineStr">
        <is>
          <t>-</t>
        </is>
      </c>
      <c r="M932" s="29" t="inlineStr">
        <is>
          <t>제 27 기</t>
        </is>
      </c>
      <c r="N932" s="29" t="inlineStr">
        <is>
          <t>13915748072.0</t>
        </is>
      </c>
      <c r="O932" s="29" t="inlineStr">
        <is>
          <t>8615887188.0</t>
        </is>
      </c>
      <c r="P932" s="29" t="inlineStr">
        <is>
          <t>KRW</t>
        </is>
      </c>
      <c r="Q932" s="29" t="inlineStr">
        <is>
          <t>58</t>
        </is>
      </c>
    </row>
    <row r="933" ht="24" customHeight="1">
      <c r="A933" s="24" t="inlineStr">
        <is>
          <t>OpenDART_fnlttSinglAcntAll</t>
        </is>
      </c>
      <c r="B933" s="24" t="inlineStr">
        <is>
          <t>00366942</t>
        </is>
      </c>
      <c r="C933" s="24" t="inlineStr">
        <is>
          <t>미코</t>
        </is>
      </c>
      <c r="D933" s="24" t="inlineStr">
        <is>
          <t>mico</t>
        </is>
      </c>
      <c r="E933" s="24" t="inlineStr">
        <is>
          <t>059090</t>
        </is>
      </c>
      <c r="F933" s="24" t="inlineStr">
        <is>
          <t>2025</t>
        </is>
      </c>
      <c r="G933" s="24" t="inlineStr">
        <is>
          <t>CFS</t>
        </is>
      </c>
      <c r="H933" s="24" t="inlineStr">
        <is>
          <t>BS</t>
        </is>
      </c>
      <c r="I933" s="24" t="inlineStr">
        <is>
          <t>재무상태표</t>
        </is>
      </c>
      <c r="J933" s="24" t="inlineStr">
        <is>
          <t>ifrs-full_NoncurrentPayables</t>
        </is>
      </c>
      <c r="K933" s="24" t="inlineStr">
        <is>
          <t>장기매입채무및기타채무</t>
        </is>
      </c>
      <c r="L933" s="24" t="inlineStr">
        <is>
          <t>-</t>
        </is>
      </c>
      <c r="M933" s="24" t="inlineStr">
        <is>
          <t>제 27 기</t>
        </is>
      </c>
      <c r="N933" s="24" t="inlineStr">
        <is>
          <t>534088926.0</t>
        </is>
      </c>
      <c r="O933" s="24" t="inlineStr">
        <is>
          <t>908753642.0</t>
        </is>
      </c>
      <c r="P933" s="24" t="inlineStr">
        <is>
          <t>KRW</t>
        </is>
      </c>
      <c r="Q933" s="24" t="inlineStr">
        <is>
          <t>59</t>
        </is>
      </c>
    </row>
    <row r="934" ht="24" customHeight="1">
      <c r="A934" s="29" t="inlineStr">
        <is>
          <t>OpenDART_fnlttSinglAcntAll</t>
        </is>
      </c>
      <c r="B934" s="29" t="inlineStr">
        <is>
          <t>00366942</t>
        </is>
      </c>
      <c r="C934" s="29" t="inlineStr">
        <is>
          <t>미코</t>
        </is>
      </c>
      <c r="D934" s="29" t="inlineStr">
        <is>
          <t>mico</t>
        </is>
      </c>
      <c r="E934" s="29" t="inlineStr">
        <is>
          <t>059090</t>
        </is>
      </c>
      <c r="F934" s="29" t="inlineStr">
        <is>
          <t>2025</t>
        </is>
      </c>
      <c r="G934" s="29" t="inlineStr">
        <is>
          <t>CFS</t>
        </is>
      </c>
      <c r="H934" s="29" t="inlineStr">
        <is>
          <t>BS</t>
        </is>
      </c>
      <c r="I934" s="29" t="inlineStr">
        <is>
          <t>재무상태표</t>
        </is>
      </c>
      <c r="J934" s="29" t="inlineStr">
        <is>
          <t>ifrs-full_OtherLongtermProvisions</t>
        </is>
      </c>
      <c r="K934" s="29" t="inlineStr">
        <is>
          <t>비유동충당부채</t>
        </is>
      </c>
      <c r="L934" s="29" t="inlineStr">
        <is>
          <t>-</t>
        </is>
      </c>
      <c r="M934" s="29" t="inlineStr">
        <is>
          <t>제 27 기</t>
        </is>
      </c>
      <c r="N934" s="29" t="inlineStr">
        <is>
          <t>6862088762.0</t>
        </is>
      </c>
      <c r="O934" s="29" t="inlineStr">
        <is>
          <t>3975800217.0</t>
        </is>
      </c>
      <c r="P934" s="29" t="inlineStr">
        <is>
          <t>KRW</t>
        </is>
      </c>
      <c r="Q934" s="29" t="inlineStr">
        <is>
          <t>60</t>
        </is>
      </c>
    </row>
    <row r="935" ht="24" customHeight="1">
      <c r="A935" s="24" t="inlineStr">
        <is>
          <t>OpenDART_fnlttSinglAcntAll</t>
        </is>
      </c>
      <c r="B935" s="24" t="inlineStr">
        <is>
          <t>00366942</t>
        </is>
      </c>
      <c r="C935" s="24" t="inlineStr">
        <is>
          <t>미코</t>
        </is>
      </c>
      <c r="D935" s="24" t="inlineStr">
        <is>
          <t>mico</t>
        </is>
      </c>
      <c r="E935" s="24" t="inlineStr">
        <is>
          <t>059090</t>
        </is>
      </c>
      <c r="F935" s="24" t="inlineStr">
        <is>
          <t>2025</t>
        </is>
      </c>
      <c r="G935" s="24" t="inlineStr">
        <is>
          <t>CFS</t>
        </is>
      </c>
      <c r="H935" s="24" t="inlineStr">
        <is>
          <t>BS</t>
        </is>
      </c>
      <c r="I935" s="24" t="inlineStr">
        <is>
          <t>재무상태표</t>
        </is>
      </c>
      <c r="J935" s="24" t="inlineStr">
        <is>
          <t>ifrs-full_OtherNoncurrentFinancialLiabilities</t>
        </is>
      </c>
      <c r="K935" s="24" t="inlineStr">
        <is>
          <t>기타비유동금융부채</t>
        </is>
      </c>
      <c r="L935" s="24" t="inlineStr">
        <is>
          <t>-</t>
        </is>
      </c>
      <c r="M935" s="24" t="inlineStr">
        <is>
          <t>제 27 기</t>
        </is>
      </c>
      <c r="N935" s="24" t="inlineStr">
        <is>
          <t>7148245464.0</t>
        </is>
      </c>
      <c r="O935" s="24" t="inlineStr">
        <is>
          <t>0.0</t>
        </is>
      </c>
      <c r="P935" s="24" t="inlineStr">
        <is>
          <t>KRW</t>
        </is>
      </c>
      <c r="Q935" s="24" t="inlineStr">
        <is>
          <t>61</t>
        </is>
      </c>
    </row>
    <row r="936" ht="24" customHeight="1">
      <c r="A936" s="29" t="inlineStr">
        <is>
          <t>OpenDART_fnlttSinglAcntAll</t>
        </is>
      </c>
      <c r="B936" s="29" t="inlineStr">
        <is>
          <t>00366942</t>
        </is>
      </c>
      <c r="C936" s="29" t="inlineStr">
        <is>
          <t>미코</t>
        </is>
      </c>
      <c r="D936" s="29" t="inlineStr">
        <is>
          <t>mico</t>
        </is>
      </c>
      <c r="E936" s="29" t="inlineStr">
        <is>
          <t>059090</t>
        </is>
      </c>
      <c r="F936" s="29" t="inlineStr">
        <is>
          <t>2025</t>
        </is>
      </c>
      <c r="G936" s="29" t="inlineStr">
        <is>
          <t>CFS</t>
        </is>
      </c>
      <c r="H936" s="29" t="inlineStr">
        <is>
          <t>BS</t>
        </is>
      </c>
      <c r="I936" s="29" t="inlineStr">
        <is>
          <t>재무상태표</t>
        </is>
      </c>
      <c r="J936" s="29" t="inlineStr">
        <is>
          <t>ifrs-full_OtherNoncurrentLiabilities</t>
        </is>
      </c>
      <c r="K936" s="29" t="inlineStr">
        <is>
          <t>기타비유동부채</t>
        </is>
      </c>
      <c r="L936" s="29" t="inlineStr">
        <is>
          <t>-</t>
        </is>
      </c>
      <c r="M936" s="29" t="inlineStr">
        <is>
          <t>제 27 기</t>
        </is>
      </c>
      <c r="N936" s="29" t="inlineStr">
        <is>
          <t>3117922203.0</t>
        </is>
      </c>
      <c r="O936" s="29" t="inlineStr">
        <is>
          <t>1632842558.0</t>
        </is>
      </c>
      <c r="P936" s="29" t="inlineStr">
        <is>
          <t>KRW</t>
        </is>
      </c>
      <c r="Q936" s="29" t="inlineStr">
        <is>
          <t>62</t>
        </is>
      </c>
    </row>
    <row r="937" ht="24" customHeight="1">
      <c r="A937" s="24" t="inlineStr">
        <is>
          <t>OpenDART_fnlttSinglAcntAll</t>
        </is>
      </c>
      <c r="B937" s="24" t="inlineStr">
        <is>
          <t>00366942</t>
        </is>
      </c>
      <c r="C937" s="24" t="inlineStr">
        <is>
          <t>미코</t>
        </is>
      </c>
      <c r="D937" s="24" t="inlineStr">
        <is>
          <t>mico</t>
        </is>
      </c>
      <c r="E937" s="24" t="inlineStr">
        <is>
          <t>059090</t>
        </is>
      </c>
      <c r="F937" s="24" t="inlineStr">
        <is>
          <t>2025</t>
        </is>
      </c>
      <c r="G937" s="24" t="inlineStr">
        <is>
          <t>CFS</t>
        </is>
      </c>
      <c r="H937" s="24" t="inlineStr">
        <is>
          <t>BS</t>
        </is>
      </c>
      <c r="I937" s="24" t="inlineStr">
        <is>
          <t>재무상태표</t>
        </is>
      </c>
      <c r="J937" s="24" t="inlineStr">
        <is>
          <t>ifrs-full_RecognisedLiabilitiesDefinedBenefitPlan</t>
        </is>
      </c>
      <c r="K937" s="24" t="inlineStr">
        <is>
          <t>순확정급여부채</t>
        </is>
      </c>
      <c r="L937" s="24" t="inlineStr">
        <is>
          <t>-</t>
        </is>
      </c>
      <c r="M937" s="24" t="inlineStr">
        <is>
          <t>제 27 기</t>
        </is>
      </c>
      <c r="N937" s="24" t="inlineStr">
        <is>
          <t>25842921993.0</t>
        </is>
      </c>
      <c r="O937" s="24" t="inlineStr">
        <is>
          <t>17636759523.0</t>
        </is>
      </c>
      <c r="P937" s="24" t="inlineStr">
        <is>
          <t>KRW</t>
        </is>
      </c>
      <c r="Q937" s="24" t="inlineStr">
        <is>
          <t>63</t>
        </is>
      </c>
    </row>
    <row r="938" ht="24" customHeight="1">
      <c r="A938" s="29" t="inlineStr">
        <is>
          <t>OpenDART_fnlttSinglAcntAll</t>
        </is>
      </c>
      <c r="B938" s="29" t="inlineStr">
        <is>
          <t>00366942</t>
        </is>
      </c>
      <c r="C938" s="29" t="inlineStr">
        <is>
          <t>미코</t>
        </is>
      </c>
      <c r="D938" s="29" t="inlineStr">
        <is>
          <t>mico</t>
        </is>
      </c>
      <c r="E938" s="29" t="inlineStr">
        <is>
          <t>059090</t>
        </is>
      </c>
      <c r="F938" s="29" t="inlineStr">
        <is>
          <t>2025</t>
        </is>
      </c>
      <c r="G938" s="29" t="inlineStr">
        <is>
          <t>CFS</t>
        </is>
      </c>
      <c r="H938" s="29" t="inlineStr">
        <is>
          <t>CIS</t>
        </is>
      </c>
      <c r="I938" s="29" t="inlineStr">
        <is>
          <t>포괄손익계산서</t>
        </is>
      </c>
      <c r="J938" s="29" t="inlineStr">
        <is>
          <t>dart_LossesOfAssociatesAndJointVenturesAccountedForUsingEquityMethod</t>
        </is>
      </c>
      <c r="K938" s="29" t="inlineStr">
        <is>
          <t>지분법손실</t>
        </is>
      </c>
      <c r="L938" s="29" t="inlineStr">
        <is>
          <t>-</t>
        </is>
      </c>
      <c r="M938" s="29" t="inlineStr">
        <is>
          <t>제 27 기</t>
        </is>
      </c>
      <c r="N938" s="29" t="inlineStr">
        <is>
          <t>4324066248.0</t>
        </is>
      </c>
      <c r="O938" s="29" t="inlineStr">
        <is>
          <t>368247669.0</t>
        </is>
      </c>
      <c r="P938" s="29" t="inlineStr">
        <is>
          <t>KRW</t>
        </is>
      </c>
      <c r="Q938" s="29" t="inlineStr">
        <is>
          <t>6</t>
        </is>
      </c>
    </row>
    <row r="939" ht="24" customHeight="1">
      <c r="A939" s="24" t="inlineStr">
        <is>
          <t>OpenDART_fnlttSinglAcntAll</t>
        </is>
      </c>
      <c r="B939" s="24" t="inlineStr">
        <is>
          <t>00366942</t>
        </is>
      </c>
      <c r="C939" s="24" t="inlineStr">
        <is>
          <t>미코</t>
        </is>
      </c>
      <c r="D939" s="24" t="inlineStr">
        <is>
          <t>mico</t>
        </is>
      </c>
      <c r="E939" s="24" t="inlineStr">
        <is>
          <t>059090</t>
        </is>
      </c>
      <c r="F939" s="24" t="inlineStr">
        <is>
          <t>2025</t>
        </is>
      </c>
      <c r="G939" s="24" t="inlineStr">
        <is>
          <t>CFS</t>
        </is>
      </c>
      <c r="H939" s="24" t="inlineStr">
        <is>
          <t>CIS</t>
        </is>
      </c>
      <c r="I939" s="24" t="inlineStr">
        <is>
          <t>포괄손익계산서</t>
        </is>
      </c>
      <c r="J939" s="24" t="inlineStr">
        <is>
          <t>dart_OperatingIncomeLoss</t>
        </is>
      </c>
      <c r="K939" s="24" t="inlineStr">
        <is>
          <t>영업이익</t>
        </is>
      </c>
      <c r="L939" s="24" t="inlineStr">
        <is>
          <t>-</t>
        </is>
      </c>
      <c r="M939" s="24" t="inlineStr">
        <is>
          <t>제 27 기</t>
        </is>
      </c>
      <c r="N939" s="24" t="inlineStr">
        <is>
          <t>101004245476.0</t>
        </is>
      </c>
      <c r="O939" s="24" t="inlineStr">
        <is>
          <t>94633945006.0</t>
        </is>
      </c>
      <c r="P939" s="24" t="inlineStr">
        <is>
          <t>KRW</t>
        </is>
      </c>
      <c r="Q939" s="24" t="inlineStr">
        <is>
          <t>7</t>
        </is>
      </c>
    </row>
    <row r="940" ht="24" customHeight="1">
      <c r="A940" s="29" t="inlineStr">
        <is>
          <t>OpenDART_fnlttSinglAcntAll</t>
        </is>
      </c>
      <c r="B940" s="29" t="inlineStr">
        <is>
          <t>00366942</t>
        </is>
      </c>
      <c r="C940" s="29" t="inlineStr">
        <is>
          <t>미코</t>
        </is>
      </c>
      <c r="D940" s="29" t="inlineStr">
        <is>
          <t>mico</t>
        </is>
      </c>
      <c r="E940" s="29" t="inlineStr">
        <is>
          <t>059090</t>
        </is>
      </c>
      <c r="F940" s="29" t="inlineStr">
        <is>
          <t>2025</t>
        </is>
      </c>
      <c r="G940" s="29" t="inlineStr">
        <is>
          <t>CFS</t>
        </is>
      </c>
      <c r="H940" s="29" t="inlineStr">
        <is>
          <t>CIS</t>
        </is>
      </c>
      <c r="I940" s="29" t="inlineStr">
        <is>
          <t>포괄손익계산서</t>
        </is>
      </c>
      <c r="J940" s="29" t="inlineStr">
        <is>
          <t>dart_OtherGains</t>
        </is>
      </c>
      <c r="K940" s="29" t="inlineStr">
        <is>
          <t>기타수익</t>
        </is>
      </c>
      <c r="L940" s="29" t="inlineStr">
        <is>
          <t>-</t>
        </is>
      </c>
      <c r="M940" s="29" t="inlineStr">
        <is>
          <t>제 27 기</t>
        </is>
      </c>
      <c r="N940" s="29" t="inlineStr">
        <is>
          <t>38598697032.0</t>
        </is>
      </c>
      <c r="O940" s="29" t="inlineStr">
        <is>
          <t>5848628120.0</t>
        </is>
      </c>
      <c r="P940" s="29" t="inlineStr">
        <is>
          <t>KRW</t>
        </is>
      </c>
      <c r="Q940" s="29" t="inlineStr">
        <is>
          <t>8</t>
        </is>
      </c>
    </row>
    <row r="941" ht="24" customHeight="1">
      <c r="A941" s="24" t="inlineStr">
        <is>
          <t>OpenDART_fnlttSinglAcntAll</t>
        </is>
      </c>
      <c r="B941" s="24" t="inlineStr">
        <is>
          <t>00366942</t>
        </is>
      </c>
      <c r="C941" s="24" t="inlineStr">
        <is>
          <t>미코</t>
        </is>
      </c>
      <c r="D941" s="24" t="inlineStr">
        <is>
          <t>mico</t>
        </is>
      </c>
      <c r="E941" s="24" t="inlineStr">
        <is>
          <t>059090</t>
        </is>
      </c>
      <c r="F941" s="24" t="inlineStr">
        <is>
          <t>2025</t>
        </is>
      </c>
      <c r="G941" s="24" t="inlineStr">
        <is>
          <t>CFS</t>
        </is>
      </c>
      <c r="H941" s="24" t="inlineStr">
        <is>
          <t>CIS</t>
        </is>
      </c>
      <c r="I941" s="24" t="inlineStr">
        <is>
          <t>포괄손익계산서</t>
        </is>
      </c>
      <c r="J941" s="24" t="inlineStr">
        <is>
          <t>dart_OtherLosses</t>
        </is>
      </c>
      <c r="K941" s="24" t="inlineStr">
        <is>
          <t>기타비용</t>
        </is>
      </c>
      <c r="L941" s="24" t="inlineStr">
        <is>
          <t>-</t>
        </is>
      </c>
      <c r="M941" s="24" t="inlineStr">
        <is>
          <t>제 27 기</t>
        </is>
      </c>
      <c r="N941" s="24" t="inlineStr">
        <is>
          <t>12676659377.0</t>
        </is>
      </c>
      <c r="O941" s="24" t="inlineStr">
        <is>
          <t>6950690776.0</t>
        </is>
      </c>
      <c r="P941" s="24" t="inlineStr">
        <is>
          <t>KRW</t>
        </is>
      </c>
      <c r="Q941" s="24" t="inlineStr">
        <is>
          <t>9</t>
        </is>
      </c>
    </row>
    <row r="942" ht="24" customHeight="1">
      <c r="A942" s="29" t="inlineStr">
        <is>
          <t>OpenDART_fnlttSinglAcntAll</t>
        </is>
      </c>
      <c r="B942" s="29" t="inlineStr">
        <is>
          <t>00366942</t>
        </is>
      </c>
      <c r="C942" s="29" t="inlineStr">
        <is>
          <t>미코</t>
        </is>
      </c>
      <c r="D942" s="29" t="inlineStr">
        <is>
          <t>mico</t>
        </is>
      </c>
      <c r="E942" s="29" t="inlineStr">
        <is>
          <t>059090</t>
        </is>
      </c>
      <c r="F942" s="29" t="inlineStr">
        <is>
          <t>2025</t>
        </is>
      </c>
      <c r="G942" s="29" t="inlineStr">
        <is>
          <t>CFS</t>
        </is>
      </c>
      <c r="H942" s="29" t="inlineStr">
        <is>
          <t>CIS</t>
        </is>
      </c>
      <c r="I942" s="29" t="inlineStr">
        <is>
          <t>포괄손익계산서</t>
        </is>
      </c>
      <c r="J942" s="29" t="inlineStr">
        <is>
          <t>dart_ProfitsOfAssociatesAndJointVenturesAccountedForUsingEquityMethod</t>
        </is>
      </c>
      <c r="K942" s="29" t="inlineStr">
        <is>
          <t>지분법이익</t>
        </is>
      </c>
      <c r="L942" s="29" t="inlineStr">
        <is>
          <t>-</t>
        </is>
      </c>
      <c r="M942" s="29" t="inlineStr">
        <is>
          <t>제 27 기</t>
        </is>
      </c>
      <c r="N942" s="29" t="inlineStr">
        <is>
          <t>0.0</t>
        </is>
      </c>
      <c r="O942" s="29" t="inlineStr">
        <is>
          <t>0.0</t>
        </is>
      </c>
      <c r="P942" s="29" t="inlineStr">
        <is>
          <t>KRW</t>
        </is>
      </c>
      <c r="Q942" s="29" t="inlineStr">
        <is>
          <t>10</t>
        </is>
      </c>
    </row>
    <row r="943" ht="24" customHeight="1">
      <c r="A943" s="24" t="inlineStr">
        <is>
          <t>OpenDART_fnlttSinglAcntAll</t>
        </is>
      </c>
      <c r="B943" s="24" t="inlineStr">
        <is>
          <t>00366942</t>
        </is>
      </c>
      <c r="C943" s="24" t="inlineStr">
        <is>
          <t>미코</t>
        </is>
      </c>
      <c r="D943" s="24" t="inlineStr">
        <is>
          <t>mico</t>
        </is>
      </c>
      <c r="E943" s="24" t="inlineStr">
        <is>
          <t>059090</t>
        </is>
      </c>
      <c r="F943" s="24" t="inlineStr">
        <is>
          <t>2025</t>
        </is>
      </c>
      <c r="G943" s="24" t="inlineStr">
        <is>
          <t>CFS</t>
        </is>
      </c>
      <c r="H943" s="24" t="inlineStr">
        <is>
          <t>CIS</t>
        </is>
      </c>
      <c r="I943" s="24" t="inlineStr">
        <is>
          <t>포괄손익계산서</t>
        </is>
      </c>
      <c r="J943" s="24" t="inlineStr">
        <is>
          <t>dart_TotalSellingGeneralAdministrativeExpenses</t>
        </is>
      </c>
      <c r="K943" s="24" t="inlineStr">
        <is>
          <t>판매비와관리비</t>
        </is>
      </c>
      <c r="L943" s="24" t="inlineStr">
        <is>
          <t>-</t>
        </is>
      </c>
      <c r="M943" s="24" t="inlineStr">
        <is>
          <t>제 27 기</t>
        </is>
      </c>
      <c r="N943" s="24" t="inlineStr">
        <is>
          <t>228239597833.0</t>
        </is>
      </c>
      <c r="O943" s="24" t="inlineStr">
        <is>
          <t>162703122755.0</t>
        </is>
      </c>
      <c r="P943" s="24" t="inlineStr">
        <is>
          <t>KRW</t>
        </is>
      </c>
      <c r="Q943" s="24" t="inlineStr">
        <is>
          <t>11</t>
        </is>
      </c>
    </row>
    <row r="944" ht="24" customHeight="1">
      <c r="A944" s="29" t="inlineStr">
        <is>
          <t>OpenDART_fnlttSinglAcntAll</t>
        </is>
      </c>
      <c r="B944" s="29" t="inlineStr">
        <is>
          <t>00366942</t>
        </is>
      </c>
      <c r="C944" s="29" t="inlineStr">
        <is>
          <t>미코</t>
        </is>
      </c>
      <c r="D944" s="29" t="inlineStr">
        <is>
          <t>mico</t>
        </is>
      </c>
      <c r="E944" s="29" t="inlineStr">
        <is>
          <t>059090</t>
        </is>
      </c>
      <c r="F944" s="29" t="inlineStr">
        <is>
          <t>2025</t>
        </is>
      </c>
      <c r="G944" s="29" t="inlineStr">
        <is>
          <t>CFS</t>
        </is>
      </c>
      <c r="H944" s="29" t="inlineStr">
        <is>
          <t>CIS</t>
        </is>
      </c>
      <c r="I944" s="29" t="inlineStr">
        <is>
          <t>포괄손익계산서</t>
        </is>
      </c>
      <c r="J944" s="29" t="inlineStr">
        <is>
          <t>ifrs-full_ComprehensiveIncome</t>
        </is>
      </c>
      <c r="K944" s="29" t="inlineStr">
        <is>
          <t>총포괄이익</t>
        </is>
      </c>
      <c r="L944" s="29" t="inlineStr">
        <is>
          <t>-</t>
        </is>
      </c>
      <c r="M944" s="29" t="inlineStr">
        <is>
          <t>제 27 기</t>
        </is>
      </c>
      <c r="N944" s="29" t="inlineStr">
        <is>
          <t>78200725278.0</t>
        </is>
      </c>
      <c r="O944" s="29" t="inlineStr">
        <is>
          <t>88009036938.0</t>
        </is>
      </c>
      <c r="P944" s="29" t="inlineStr">
        <is>
          <t>KRW</t>
        </is>
      </c>
      <c r="Q944" s="29" t="inlineStr">
        <is>
          <t>12</t>
        </is>
      </c>
    </row>
    <row r="945" ht="24" customHeight="1">
      <c r="A945" s="24" t="inlineStr">
        <is>
          <t>OpenDART_fnlttSinglAcntAll</t>
        </is>
      </c>
      <c r="B945" s="24" t="inlineStr">
        <is>
          <t>00366942</t>
        </is>
      </c>
      <c r="C945" s="24" t="inlineStr">
        <is>
          <t>미코</t>
        </is>
      </c>
      <c r="D945" s="24" t="inlineStr">
        <is>
          <t>mico</t>
        </is>
      </c>
      <c r="E945" s="24" t="inlineStr">
        <is>
          <t>059090</t>
        </is>
      </c>
      <c r="F945" s="24" t="inlineStr">
        <is>
          <t>2025</t>
        </is>
      </c>
      <c r="G945" s="24" t="inlineStr">
        <is>
          <t>CFS</t>
        </is>
      </c>
      <c r="H945" s="24" t="inlineStr">
        <is>
          <t>CIS</t>
        </is>
      </c>
      <c r="I945" s="24" t="inlineStr">
        <is>
          <t>포괄손익계산서</t>
        </is>
      </c>
      <c r="J945" s="24" t="inlineStr">
        <is>
          <t>ifrs-full_ComprehensiveIncomeAttributableToNoncontrollingInterests</t>
        </is>
      </c>
      <c r="K945" s="24" t="inlineStr">
        <is>
          <t>비지배지분</t>
        </is>
      </c>
      <c r="L945" s="24" t="inlineStr">
        <is>
          <t>-</t>
        </is>
      </c>
      <c r="M945" s="24" t="inlineStr">
        <is>
          <t>제 27 기</t>
        </is>
      </c>
      <c r="N945" s="24" t="inlineStr">
        <is>
          <t>46725147324.0</t>
        </is>
      </c>
      <c r="O945" s="24" t="inlineStr">
        <is>
          <t>67914579867.0</t>
        </is>
      </c>
      <c r="P945" s="24" t="inlineStr">
        <is>
          <t>KRW</t>
        </is>
      </c>
      <c r="Q945" s="24" t="inlineStr">
        <is>
          <t>13</t>
        </is>
      </c>
    </row>
    <row r="946" ht="24" customHeight="1">
      <c r="A946" s="29" t="inlineStr">
        <is>
          <t>OpenDART_fnlttSinglAcntAll</t>
        </is>
      </c>
      <c r="B946" s="29" t="inlineStr">
        <is>
          <t>00366942</t>
        </is>
      </c>
      <c r="C946" s="29" t="inlineStr">
        <is>
          <t>미코</t>
        </is>
      </c>
      <c r="D946" s="29" t="inlineStr">
        <is>
          <t>mico</t>
        </is>
      </c>
      <c r="E946" s="29" t="inlineStr">
        <is>
          <t>059090</t>
        </is>
      </c>
      <c r="F946" s="29" t="inlineStr">
        <is>
          <t>2025</t>
        </is>
      </c>
      <c r="G946" s="29" t="inlineStr">
        <is>
          <t>CFS</t>
        </is>
      </c>
      <c r="H946" s="29" t="inlineStr">
        <is>
          <t>CIS</t>
        </is>
      </c>
      <c r="I946" s="29" t="inlineStr">
        <is>
          <t>포괄손익계산서</t>
        </is>
      </c>
      <c r="J946" s="29" t="inlineStr">
        <is>
          <t>ifrs-full_ComprehensiveIncomeAttributableToOwnersOfParent</t>
        </is>
      </c>
      <c r="K946" s="29" t="inlineStr">
        <is>
          <t>지배기업소유지분</t>
        </is>
      </c>
      <c r="L946" s="29" t="inlineStr">
        <is>
          <t>-</t>
        </is>
      </c>
      <c r="M946" s="29" t="inlineStr">
        <is>
          <t>제 27 기</t>
        </is>
      </c>
      <c r="N946" s="29" t="inlineStr">
        <is>
          <t>31475577954.0</t>
        </is>
      </c>
      <c r="O946" s="29" t="inlineStr">
        <is>
          <t>20094457071.0</t>
        </is>
      </c>
      <c r="P946" s="29" t="inlineStr">
        <is>
          <t>KRW</t>
        </is>
      </c>
      <c r="Q946" s="29" t="inlineStr">
        <is>
          <t>14</t>
        </is>
      </c>
    </row>
    <row r="947" ht="24" customHeight="1">
      <c r="A947" s="24" t="inlineStr">
        <is>
          <t>OpenDART_fnlttSinglAcntAll</t>
        </is>
      </c>
      <c r="B947" s="24" t="inlineStr">
        <is>
          <t>00366942</t>
        </is>
      </c>
      <c r="C947" s="24" t="inlineStr">
        <is>
          <t>미코</t>
        </is>
      </c>
      <c r="D947" s="24" t="inlineStr">
        <is>
          <t>mico</t>
        </is>
      </c>
      <c r="E947" s="24" t="inlineStr">
        <is>
          <t>059090</t>
        </is>
      </c>
      <c r="F947" s="24" t="inlineStr">
        <is>
          <t>2025</t>
        </is>
      </c>
      <c r="G947" s="24" t="inlineStr">
        <is>
          <t>CFS</t>
        </is>
      </c>
      <c r="H947" s="24" t="inlineStr">
        <is>
          <t>CIS</t>
        </is>
      </c>
      <c r="I947" s="24" t="inlineStr">
        <is>
          <t>포괄손익계산서</t>
        </is>
      </c>
      <c r="J947" s="24" t="inlineStr">
        <is>
          <t>ifrs-full_CostOfSales</t>
        </is>
      </c>
      <c r="K947" s="24" t="inlineStr">
        <is>
          <t>매출원가</t>
        </is>
      </c>
      <c r="L947" s="24" t="inlineStr">
        <is>
          <t>-</t>
        </is>
      </c>
      <c r="M947" s="24" t="inlineStr">
        <is>
          <t>제 27 기</t>
        </is>
      </c>
      <c r="N947" s="24" t="inlineStr">
        <is>
          <t>647792950352.0</t>
        </is>
      </c>
      <c r="O947" s="24" t="inlineStr">
        <is>
          <t>283167576143.0</t>
        </is>
      </c>
      <c r="P947" s="24" t="inlineStr">
        <is>
          <t>KRW</t>
        </is>
      </c>
      <c r="Q947" s="24" t="inlineStr">
        <is>
          <t>15</t>
        </is>
      </c>
    </row>
    <row r="948" ht="24" customHeight="1">
      <c r="A948" s="29" t="inlineStr">
        <is>
          <t>OpenDART_fnlttSinglAcntAll</t>
        </is>
      </c>
      <c r="B948" s="29" t="inlineStr">
        <is>
          <t>00366942</t>
        </is>
      </c>
      <c r="C948" s="29" t="inlineStr">
        <is>
          <t>미코</t>
        </is>
      </c>
      <c r="D948" s="29" t="inlineStr">
        <is>
          <t>mico</t>
        </is>
      </c>
      <c r="E948" s="29" t="inlineStr">
        <is>
          <t>059090</t>
        </is>
      </c>
      <c r="F948" s="29" t="inlineStr">
        <is>
          <t>2025</t>
        </is>
      </c>
      <c r="G948" s="29" t="inlineStr">
        <is>
          <t>CFS</t>
        </is>
      </c>
      <c r="H948" s="29" t="inlineStr">
        <is>
          <t>CIS</t>
        </is>
      </c>
      <c r="I948" s="29" t="inlineStr">
        <is>
          <t>포괄손익계산서</t>
        </is>
      </c>
      <c r="J948" s="29" t="inlineStr">
        <is>
          <t>ifrs-full_BasicEarningsLossPerShareFromContinuingOperations</t>
        </is>
      </c>
      <c r="K948" s="29" t="inlineStr">
        <is>
          <t>계속영업기본주당순이익</t>
        </is>
      </c>
      <c r="L948" s="29" t="inlineStr">
        <is>
          <t>-</t>
        </is>
      </c>
      <c r="M948" s="29" t="inlineStr">
        <is>
          <t>제 27 기</t>
        </is>
      </c>
      <c r="N948" s="29" t="inlineStr">
        <is>
          <t>937.0</t>
        </is>
      </c>
      <c r="O948" s="29" t="inlineStr">
        <is>
          <t>372.0</t>
        </is>
      </c>
      <c r="P948" s="29" t="inlineStr">
        <is>
          <t>KRW</t>
        </is>
      </c>
      <c r="Q948" s="29" t="inlineStr">
        <is>
          <t>17</t>
        </is>
      </c>
    </row>
    <row r="949" ht="24" customHeight="1">
      <c r="A949" s="24" t="inlineStr">
        <is>
          <t>OpenDART_fnlttSinglAcntAll</t>
        </is>
      </c>
      <c r="B949" s="24" t="inlineStr">
        <is>
          <t>00366942</t>
        </is>
      </c>
      <c r="C949" s="24" t="inlineStr">
        <is>
          <t>미코</t>
        </is>
      </c>
      <c r="D949" s="24" t="inlineStr">
        <is>
          <t>mico</t>
        </is>
      </c>
      <c r="E949" s="24" t="inlineStr">
        <is>
          <t>059090</t>
        </is>
      </c>
      <c r="F949" s="24" t="inlineStr">
        <is>
          <t>2025</t>
        </is>
      </c>
      <c r="G949" s="24" t="inlineStr">
        <is>
          <t>CFS</t>
        </is>
      </c>
      <c r="H949" s="24" t="inlineStr">
        <is>
          <t>CIS</t>
        </is>
      </c>
      <c r="I949" s="24" t="inlineStr">
        <is>
          <t>포괄손익계산서</t>
        </is>
      </c>
      <c r="J949" s="24" t="inlineStr">
        <is>
          <t>ifrs-full_BasicEarningsLossPerShareFromDiscontinuedOperations</t>
        </is>
      </c>
      <c r="K949" s="24" t="inlineStr">
        <is>
          <t>중단영업기본주당순이익(손실)</t>
        </is>
      </c>
      <c r="L949" s="24" t="inlineStr">
        <is>
          <t>-</t>
        </is>
      </c>
      <c r="M949" s="24" t="inlineStr">
        <is>
          <t>제 27 기</t>
        </is>
      </c>
      <c r="N949" s="24" t="inlineStr">
        <is>
          <t>0.0</t>
        </is>
      </c>
      <c r="O949" s="24" t="inlineStr">
        <is>
          <t>203.0</t>
        </is>
      </c>
      <c r="P949" s="24" t="inlineStr">
        <is>
          <t>KRW</t>
        </is>
      </c>
      <c r="Q949" s="24" t="inlineStr">
        <is>
          <t>18</t>
        </is>
      </c>
    </row>
    <row r="950" ht="24" customHeight="1">
      <c r="A950" s="29" t="inlineStr">
        <is>
          <t>OpenDART_fnlttSinglAcntAll</t>
        </is>
      </c>
      <c r="B950" s="29" t="inlineStr">
        <is>
          <t>00366942</t>
        </is>
      </c>
      <c r="C950" s="29" t="inlineStr">
        <is>
          <t>미코</t>
        </is>
      </c>
      <c r="D950" s="29" t="inlineStr">
        <is>
          <t>mico</t>
        </is>
      </c>
      <c r="E950" s="29" t="inlineStr">
        <is>
          <t>059090</t>
        </is>
      </c>
      <c r="F950" s="29" t="inlineStr">
        <is>
          <t>2025</t>
        </is>
      </c>
      <c r="G950" s="29" t="inlineStr">
        <is>
          <t>CFS</t>
        </is>
      </c>
      <c r="H950" s="29" t="inlineStr">
        <is>
          <t>CIS</t>
        </is>
      </c>
      <c r="I950" s="29" t="inlineStr">
        <is>
          <t>포괄손익계산서</t>
        </is>
      </c>
      <c r="J950" s="29" t="inlineStr">
        <is>
          <t>ifrs-full_DilutedEarningsLossPerShareFromContinuingOperations</t>
        </is>
      </c>
      <c r="K950" s="29" t="inlineStr">
        <is>
          <t>계속영업희석주당순이익</t>
        </is>
      </c>
      <c r="L950" s="29" t="inlineStr">
        <is>
          <t>-</t>
        </is>
      </c>
      <c r="M950" s="29" t="inlineStr">
        <is>
          <t>제 27 기</t>
        </is>
      </c>
      <c r="N950" s="29" t="inlineStr">
        <is>
          <t>937.0</t>
        </is>
      </c>
      <c r="O950" s="29" t="inlineStr">
        <is>
          <t>372.0</t>
        </is>
      </c>
      <c r="P950" s="29" t="inlineStr">
        <is>
          <t>KRW</t>
        </is>
      </c>
      <c r="Q950" s="29" t="inlineStr">
        <is>
          <t>19</t>
        </is>
      </c>
    </row>
    <row r="951" ht="24" customHeight="1">
      <c r="A951" s="24" t="inlineStr">
        <is>
          <t>OpenDART_fnlttSinglAcntAll</t>
        </is>
      </c>
      <c r="B951" s="24" t="inlineStr">
        <is>
          <t>00366942</t>
        </is>
      </c>
      <c r="C951" s="24" t="inlineStr">
        <is>
          <t>미코</t>
        </is>
      </c>
      <c r="D951" s="24" t="inlineStr">
        <is>
          <t>mico</t>
        </is>
      </c>
      <c r="E951" s="24" t="inlineStr">
        <is>
          <t>059090</t>
        </is>
      </c>
      <c r="F951" s="24" t="inlineStr">
        <is>
          <t>2025</t>
        </is>
      </c>
      <c r="G951" s="24" t="inlineStr">
        <is>
          <t>CFS</t>
        </is>
      </c>
      <c r="H951" s="24" t="inlineStr">
        <is>
          <t>CIS</t>
        </is>
      </c>
      <c r="I951" s="24" t="inlineStr">
        <is>
          <t>포괄손익계산서</t>
        </is>
      </c>
      <c r="J951" s="24" t="inlineStr">
        <is>
          <t>ifrs-full_DilutedEarningsLossPerShareFromDiscontinuedOperations</t>
        </is>
      </c>
      <c r="K951" s="24" t="inlineStr">
        <is>
          <t>중단영업희석주당순이익(손실)</t>
        </is>
      </c>
      <c r="L951" s="24" t="inlineStr">
        <is>
          <t>-</t>
        </is>
      </c>
      <c r="M951" s="24" t="inlineStr">
        <is>
          <t>제 27 기</t>
        </is>
      </c>
      <c r="N951" s="24" t="inlineStr">
        <is>
          <t>0.0</t>
        </is>
      </c>
      <c r="O951" s="24" t="inlineStr">
        <is>
          <t>203.0</t>
        </is>
      </c>
      <c r="P951" s="24" t="inlineStr">
        <is>
          <t>KRW</t>
        </is>
      </c>
      <c r="Q951" s="24" t="inlineStr">
        <is>
          <t>20</t>
        </is>
      </c>
    </row>
    <row r="952" ht="24" customHeight="1">
      <c r="A952" s="29" t="inlineStr">
        <is>
          <t>OpenDART_fnlttSinglAcntAll</t>
        </is>
      </c>
      <c r="B952" s="29" t="inlineStr">
        <is>
          <t>00366942</t>
        </is>
      </c>
      <c r="C952" s="29" t="inlineStr">
        <is>
          <t>미코</t>
        </is>
      </c>
      <c r="D952" s="29" t="inlineStr">
        <is>
          <t>mico</t>
        </is>
      </c>
      <c r="E952" s="29" t="inlineStr">
        <is>
          <t>059090</t>
        </is>
      </c>
      <c r="F952" s="29" t="inlineStr">
        <is>
          <t>2025</t>
        </is>
      </c>
      <c r="G952" s="29" t="inlineStr">
        <is>
          <t>CFS</t>
        </is>
      </c>
      <c r="H952" s="29" t="inlineStr">
        <is>
          <t>CIS</t>
        </is>
      </c>
      <c r="I952" s="29" t="inlineStr">
        <is>
          <t>포괄손익계산서</t>
        </is>
      </c>
      <c r="J952" s="29" t="inlineStr">
        <is>
          <t>ifrs-full_FinanceCosts</t>
        </is>
      </c>
      <c r="K952" s="29" t="inlineStr">
        <is>
          <t>금융비용</t>
        </is>
      </c>
      <c r="L952" s="29" t="inlineStr">
        <is>
          <t>-</t>
        </is>
      </c>
      <c r="M952" s="29" t="inlineStr">
        <is>
          <t>제 27 기</t>
        </is>
      </c>
      <c r="N952" s="29" t="inlineStr">
        <is>
          <t>73860662284.0</t>
        </is>
      </c>
      <c r="O952" s="29" t="inlineStr">
        <is>
          <t>31795266941.0</t>
        </is>
      </c>
      <c r="P952" s="29" t="inlineStr">
        <is>
          <t>KRW</t>
        </is>
      </c>
      <c r="Q952" s="29" t="inlineStr">
        <is>
          <t>21</t>
        </is>
      </c>
    </row>
    <row r="953" ht="24" customHeight="1">
      <c r="A953" s="24" t="inlineStr">
        <is>
          <t>OpenDART_fnlttSinglAcntAll</t>
        </is>
      </c>
      <c r="B953" s="24" t="inlineStr">
        <is>
          <t>00366942</t>
        </is>
      </c>
      <c r="C953" s="24" t="inlineStr">
        <is>
          <t>미코</t>
        </is>
      </c>
      <c r="D953" s="24" t="inlineStr">
        <is>
          <t>mico</t>
        </is>
      </c>
      <c r="E953" s="24" t="inlineStr">
        <is>
          <t>059090</t>
        </is>
      </c>
      <c r="F953" s="24" t="inlineStr">
        <is>
          <t>2025</t>
        </is>
      </c>
      <c r="G953" s="24" t="inlineStr">
        <is>
          <t>CFS</t>
        </is>
      </c>
      <c r="H953" s="24" t="inlineStr">
        <is>
          <t>CIS</t>
        </is>
      </c>
      <c r="I953" s="24" t="inlineStr">
        <is>
          <t>포괄손익계산서</t>
        </is>
      </c>
      <c r="J953" s="24" t="inlineStr">
        <is>
          <t>ifrs-full_FinanceIncome</t>
        </is>
      </c>
      <c r="K953" s="24" t="inlineStr">
        <is>
          <t>금융수익</t>
        </is>
      </c>
      <c r="L953" s="24" t="inlineStr">
        <is>
          <t>-</t>
        </is>
      </c>
      <c r="M953" s="24" t="inlineStr">
        <is>
          <t>제 27 기</t>
        </is>
      </c>
      <c r="N953" s="24" t="inlineStr">
        <is>
          <t>45198046206.0</t>
        </is>
      </c>
      <c r="O953" s="24" t="inlineStr">
        <is>
          <t>21959631018.0</t>
        </is>
      </c>
      <c r="P953" s="24" t="inlineStr">
        <is>
          <t>KRW</t>
        </is>
      </c>
      <c r="Q953" s="24" t="inlineStr">
        <is>
          <t>22</t>
        </is>
      </c>
    </row>
    <row r="954" ht="24" customHeight="1">
      <c r="A954" s="29" t="inlineStr">
        <is>
          <t>OpenDART_fnlttSinglAcntAll</t>
        </is>
      </c>
      <c r="B954" s="29" t="inlineStr">
        <is>
          <t>00366942</t>
        </is>
      </c>
      <c r="C954" s="29" t="inlineStr">
        <is>
          <t>미코</t>
        </is>
      </c>
      <c r="D954" s="29" t="inlineStr">
        <is>
          <t>mico</t>
        </is>
      </c>
      <c r="E954" s="29" t="inlineStr">
        <is>
          <t>059090</t>
        </is>
      </c>
      <c r="F954" s="29" t="inlineStr">
        <is>
          <t>2025</t>
        </is>
      </c>
      <c r="G954" s="29" t="inlineStr">
        <is>
          <t>CFS</t>
        </is>
      </c>
      <c r="H954" s="29" t="inlineStr">
        <is>
          <t>CIS</t>
        </is>
      </c>
      <c r="I954" s="29" t="inlineStr">
        <is>
          <t>포괄손익계산서</t>
        </is>
      </c>
      <c r="J954" s="29" t="inlineStr">
        <is>
          <t>ifrs-full_GrossProfit</t>
        </is>
      </c>
      <c r="K954" s="29" t="inlineStr">
        <is>
          <t>매출총이익</t>
        </is>
      </c>
      <c r="L954" s="29" t="inlineStr">
        <is>
          <t>-</t>
        </is>
      </c>
      <c r="M954" s="29" t="inlineStr">
        <is>
          <t>제 27 기</t>
        </is>
      </c>
      <c r="N954" s="29" t="inlineStr">
        <is>
          <t>329243843309.0</t>
        </is>
      </c>
      <c r="O954" s="29" t="inlineStr">
        <is>
          <t>257337067761.0</t>
        </is>
      </c>
      <c r="P954" s="29" t="inlineStr">
        <is>
          <t>KRW</t>
        </is>
      </c>
      <c r="Q954" s="29" t="inlineStr">
        <is>
          <t>23</t>
        </is>
      </c>
    </row>
    <row r="955" ht="24" customHeight="1">
      <c r="A955" s="24" t="inlineStr">
        <is>
          <t>OpenDART_fnlttSinglAcntAll</t>
        </is>
      </c>
      <c r="B955" s="24" t="inlineStr">
        <is>
          <t>00366942</t>
        </is>
      </c>
      <c r="C955" s="24" t="inlineStr">
        <is>
          <t>미코</t>
        </is>
      </c>
      <c r="D955" s="24" t="inlineStr">
        <is>
          <t>mico</t>
        </is>
      </c>
      <c r="E955" s="24" t="inlineStr">
        <is>
          <t>059090</t>
        </is>
      </c>
      <c r="F955" s="24" t="inlineStr">
        <is>
          <t>2025</t>
        </is>
      </c>
      <c r="G955" s="24" t="inlineStr">
        <is>
          <t>CFS</t>
        </is>
      </c>
      <c r="H955" s="24" t="inlineStr">
        <is>
          <t>CIS</t>
        </is>
      </c>
      <c r="I955" s="24" t="inlineStr">
        <is>
          <t>포괄손익계산서</t>
        </is>
      </c>
      <c r="J955" s="24" t="inlineStr">
        <is>
          <t>ifrs-full_IncomeTaxExpenseContinuingOperations</t>
        </is>
      </c>
      <c r="K955" s="24" t="inlineStr">
        <is>
          <t>법인세비용</t>
        </is>
      </c>
      <c r="L955" s="24" t="inlineStr">
        <is>
          <t>-</t>
        </is>
      </c>
      <c r="M955" s="24" t="inlineStr">
        <is>
          <t>제 27 기</t>
        </is>
      </c>
      <c r="N955" s="24" t="inlineStr">
        <is>
          <t>18990334433.0</t>
        </is>
      </c>
      <c r="O955" s="24" t="inlineStr">
        <is>
          <t>13221226158.0</t>
        </is>
      </c>
      <c r="P955" s="24" t="inlineStr">
        <is>
          <t>KRW</t>
        </is>
      </c>
      <c r="Q955" s="24" t="inlineStr">
        <is>
          <t>24</t>
        </is>
      </c>
    </row>
    <row r="956" ht="24" customHeight="1">
      <c r="A956" s="29" t="inlineStr">
        <is>
          <t>OpenDART_fnlttSinglAcntAll</t>
        </is>
      </c>
      <c r="B956" s="29" t="inlineStr">
        <is>
          <t>00366942</t>
        </is>
      </c>
      <c r="C956" s="29" t="inlineStr">
        <is>
          <t>미코</t>
        </is>
      </c>
      <c r="D956" s="29" t="inlineStr">
        <is>
          <t>mico</t>
        </is>
      </c>
      <c r="E956" s="29" t="inlineStr">
        <is>
          <t>059090</t>
        </is>
      </c>
      <c r="F956" s="29" t="inlineStr">
        <is>
          <t>2025</t>
        </is>
      </c>
      <c r="G956" s="29" t="inlineStr">
        <is>
          <t>CFS</t>
        </is>
      </c>
      <c r="H956" s="29" t="inlineStr">
        <is>
          <t>CIS</t>
        </is>
      </c>
      <c r="I956" s="29" t="inlineStr">
        <is>
          <t>포괄손익계산서</t>
        </is>
      </c>
      <c r="J956" s="29" t="inlineStr">
        <is>
          <t>ifrs-full_OtherComprehensiveIncome</t>
        </is>
      </c>
      <c r="K956" s="29" t="inlineStr">
        <is>
          <t>법인세비용차감후기타포괄이익</t>
        </is>
      </c>
      <c r="L956" s="29" t="inlineStr">
        <is>
          <t>-</t>
        </is>
      </c>
      <c r="M956" s="29" t="inlineStr">
        <is>
          <t>제 27 기</t>
        </is>
      </c>
      <c r="N956" s="29" t="inlineStr">
        <is>
          <t>3251458906.0</t>
        </is>
      </c>
      <c r="O956" s="29" t="inlineStr">
        <is>
          <t>11494756152.0</t>
        </is>
      </c>
      <c r="P956" s="29" t="inlineStr">
        <is>
          <t>KRW</t>
        </is>
      </c>
      <c r="Q956" s="29" t="inlineStr">
        <is>
          <t>25</t>
        </is>
      </c>
    </row>
    <row r="957" ht="24" customHeight="1">
      <c r="A957" s="24" t="inlineStr">
        <is>
          <t>OpenDART_fnlttSinglAcntAll</t>
        </is>
      </c>
      <c r="B957" s="24" t="inlineStr">
        <is>
          <t>00366942</t>
        </is>
      </c>
      <c r="C957" s="24" t="inlineStr">
        <is>
          <t>미코</t>
        </is>
      </c>
      <c r="D957" s="24" t="inlineStr">
        <is>
          <t>mico</t>
        </is>
      </c>
      <c r="E957" s="24" t="inlineStr">
        <is>
          <t>059090</t>
        </is>
      </c>
      <c r="F957" s="24" t="inlineStr">
        <is>
          <t>2025</t>
        </is>
      </c>
      <c r="G957" s="24" t="inlineStr">
        <is>
          <t>CFS</t>
        </is>
      </c>
      <c r="H957" s="24" t="inlineStr">
        <is>
          <t>CIS</t>
        </is>
      </c>
      <c r="I957" s="24" t="inlineStr">
        <is>
          <t>포괄손익계산서</t>
        </is>
      </c>
      <c r="J957" s="24" t="inlineStr">
        <is>
          <t>ifrs-full_OtherComprehensiveIncomeThatWillBeReclassifiedToProfitOrLossNetOfTax</t>
        </is>
      </c>
      <c r="K957" s="24" t="inlineStr">
        <is>
          <t>후속적으로 당기손익으로 재분류되는 포괄손익</t>
        </is>
      </c>
      <c r="L957" s="24" t="inlineStr">
        <is>
          <t>-</t>
        </is>
      </c>
      <c r="M957" s="24" t="inlineStr">
        <is>
          <t>제 27 기</t>
        </is>
      </c>
      <c r="N957" s="24" t="inlineStr">
        <is>
          <t>4300703311.0</t>
        </is>
      </c>
      <c r="O957" s="24" t="inlineStr">
        <is>
          <t>13791036293.0</t>
        </is>
      </c>
      <c r="P957" s="24" t="inlineStr">
        <is>
          <t>KRW</t>
        </is>
      </c>
      <c r="Q957" s="24" t="inlineStr">
        <is>
          <t>26</t>
        </is>
      </c>
    </row>
    <row r="958" ht="24" customHeight="1">
      <c r="A958" s="29" t="inlineStr">
        <is>
          <t>OpenDART_fnlttSinglAcntAll</t>
        </is>
      </c>
      <c r="B958" s="29" t="inlineStr">
        <is>
          <t>00366942</t>
        </is>
      </c>
      <c r="C958" s="29" t="inlineStr">
        <is>
          <t>미코</t>
        </is>
      </c>
      <c r="D958" s="29" t="inlineStr">
        <is>
          <t>mico</t>
        </is>
      </c>
      <c r="E958" s="29" t="inlineStr">
        <is>
          <t>059090</t>
        </is>
      </c>
      <c r="F958" s="29" t="inlineStr">
        <is>
          <t>2025</t>
        </is>
      </c>
      <c r="G958" s="29" t="inlineStr">
        <is>
          <t>CFS</t>
        </is>
      </c>
      <c r="H958" s="29" t="inlineStr">
        <is>
          <t>CIS</t>
        </is>
      </c>
      <c r="I958" s="29" t="inlineStr">
        <is>
          <t>포괄손익계산서</t>
        </is>
      </c>
      <c r="J958" s="29" t="inlineStr">
        <is>
          <t>ifrs-full_GainsLossesOnExchangeDifferencesOnTranslationNetOfTax</t>
        </is>
      </c>
      <c r="K958" s="29" t="inlineStr">
        <is>
          <t>해외사업환산이익</t>
        </is>
      </c>
      <c r="L958" s="29" t="inlineStr">
        <is>
          <t>-</t>
        </is>
      </c>
      <c r="M958" s="29" t="inlineStr">
        <is>
          <t>제 27 기</t>
        </is>
      </c>
      <c r="N958" s="29" t="inlineStr">
        <is>
          <t>3200551033.0</t>
        </is>
      </c>
      <c r="O958" s="29" t="inlineStr">
        <is>
          <t>13538422076.0</t>
        </is>
      </c>
      <c r="P958" s="29" t="inlineStr">
        <is>
          <t>KRW</t>
        </is>
      </c>
      <c r="Q958" s="29" t="inlineStr">
        <is>
          <t>27</t>
        </is>
      </c>
    </row>
    <row r="959" ht="24" customHeight="1">
      <c r="A959" s="24" t="inlineStr">
        <is>
          <t>OpenDART_fnlttSinglAcntAll</t>
        </is>
      </c>
      <c r="B959" s="24" t="inlineStr">
        <is>
          <t>00366942</t>
        </is>
      </c>
      <c r="C959" s="24" t="inlineStr">
        <is>
          <t>미코</t>
        </is>
      </c>
      <c r="D959" s="24" t="inlineStr">
        <is>
          <t>mico</t>
        </is>
      </c>
      <c r="E959" s="24" t="inlineStr">
        <is>
          <t>059090</t>
        </is>
      </c>
      <c r="F959" s="24" t="inlineStr">
        <is>
          <t>2025</t>
        </is>
      </c>
      <c r="G959" s="24" t="inlineStr">
        <is>
          <t>CFS</t>
        </is>
      </c>
      <c r="H959" s="24" t="inlineStr">
        <is>
          <t>CIS</t>
        </is>
      </c>
      <c r="I959" s="24" t="inlineStr">
        <is>
          <t>포괄손익계산서</t>
        </is>
      </c>
      <c r="J959" s="24" t="inlineStr">
        <is>
          <t>ifrs-full_ShareOfOtherComprehensiveIncomeOfAssociatesAndJointVenturesAccountedForUsingEquityMethodThatWillBeReclassifiedToProfitOrLossNetOfTax</t>
        </is>
      </c>
      <c r="K959" s="24" t="inlineStr">
        <is>
          <t>지분법자본변동</t>
        </is>
      </c>
      <c r="L959" s="24" t="inlineStr">
        <is>
          <t>-</t>
        </is>
      </c>
      <c r="M959" s="24" t="inlineStr">
        <is>
          <t>제 27 기</t>
        </is>
      </c>
      <c r="N959" s="24" t="inlineStr">
        <is>
          <t>1100152278.0</t>
        </is>
      </c>
      <c r="O959" s="24" t="inlineStr">
        <is>
          <t>252614217.0</t>
        </is>
      </c>
      <c r="P959" s="24" t="inlineStr">
        <is>
          <t>KRW</t>
        </is>
      </c>
      <c r="Q959" s="24" t="inlineStr">
        <is>
          <t>28</t>
        </is>
      </c>
    </row>
    <row r="960" ht="24" customHeight="1">
      <c r="A960" s="29" t="inlineStr">
        <is>
          <t>OpenDART_fnlttSinglAcntAll</t>
        </is>
      </c>
      <c r="B960" s="29" t="inlineStr">
        <is>
          <t>00366942</t>
        </is>
      </c>
      <c r="C960" s="29" t="inlineStr">
        <is>
          <t>미코</t>
        </is>
      </c>
      <c r="D960" s="29" t="inlineStr">
        <is>
          <t>mico</t>
        </is>
      </c>
      <c r="E960" s="29" t="inlineStr">
        <is>
          <t>059090</t>
        </is>
      </c>
      <c r="F960" s="29" t="inlineStr">
        <is>
          <t>2025</t>
        </is>
      </c>
      <c r="G960" s="29" t="inlineStr">
        <is>
          <t>CFS</t>
        </is>
      </c>
      <c r="H960" s="29" t="inlineStr">
        <is>
          <t>CIS</t>
        </is>
      </c>
      <c r="I960" s="29" t="inlineStr">
        <is>
          <t>포괄손익계산서</t>
        </is>
      </c>
      <c r="J960" s="29" t="inlineStr">
        <is>
          <t>ifrs-full_OtherComprehensiveIncomeThatWillNotBeReclassifiedToProfitOrLossNetOfTax</t>
        </is>
      </c>
      <c r="K960" s="29" t="inlineStr">
        <is>
          <t>후속적으로 당기손익으로 재분류되지 않는 포괄손익</t>
        </is>
      </c>
      <c r="L960" s="29" t="inlineStr">
        <is>
          <t>-</t>
        </is>
      </c>
      <c r="M960" s="29" t="inlineStr">
        <is>
          <t>제 27 기</t>
        </is>
      </c>
      <c r="N960" s="29" t="inlineStr">
        <is>
          <t>-1049244405.0</t>
        </is>
      </c>
      <c r="O960" s="29" t="inlineStr">
        <is>
          <t>-2296280141.0</t>
        </is>
      </c>
      <c r="P960" s="29" t="inlineStr">
        <is>
          <t>KRW</t>
        </is>
      </c>
      <c r="Q960" s="29" t="inlineStr">
        <is>
          <t>29</t>
        </is>
      </c>
    </row>
    <row r="961" ht="24" customHeight="1">
      <c r="A961" s="24" t="inlineStr">
        <is>
          <t>OpenDART_fnlttSinglAcntAll</t>
        </is>
      </c>
      <c r="B961" s="24" t="inlineStr">
        <is>
          <t>00366942</t>
        </is>
      </c>
      <c r="C961" s="24" t="inlineStr">
        <is>
          <t>미코</t>
        </is>
      </c>
      <c r="D961" s="24" t="inlineStr">
        <is>
          <t>mico</t>
        </is>
      </c>
      <c r="E961" s="24" t="inlineStr">
        <is>
          <t>059090</t>
        </is>
      </c>
      <c r="F961" s="24" t="inlineStr">
        <is>
          <t>2025</t>
        </is>
      </c>
      <c r="G961" s="24" t="inlineStr">
        <is>
          <t>CFS</t>
        </is>
      </c>
      <c r="H961" s="24" t="inlineStr">
        <is>
          <t>CIS</t>
        </is>
      </c>
      <c r="I961" s="24" t="inlineStr">
        <is>
          <t>포괄손익계산서</t>
        </is>
      </c>
      <c r="J961" s="24" t="inlineStr">
        <is>
          <t>ifrs-full_OtherComprehensiveIncomeNetOfTaxGainsLossesFromInvestmentsInEquityInstruments</t>
        </is>
      </c>
      <c r="K961" s="24" t="inlineStr">
        <is>
          <t>기타포괄손익-공정가치측정금융자산평가손익</t>
        </is>
      </c>
      <c r="L961" s="24" t="inlineStr">
        <is>
          <t>-</t>
        </is>
      </c>
      <c r="M961" s="24" t="inlineStr">
        <is>
          <t>제 27 기</t>
        </is>
      </c>
      <c r="N961" s="24" t="inlineStr">
        <is>
          <t>68675627.0</t>
        </is>
      </c>
      <c r="O961" s="24" t="inlineStr">
        <is>
          <t>65241846.0</t>
        </is>
      </c>
      <c r="P961" s="24" t="inlineStr">
        <is>
          <t>KRW</t>
        </is>
      </c>
      <c r="Q961" s="24" t="inlineStr">
        <is>
          <t>30</t>
        </is>
      </c>
    </row>
    <row r="962" ht="24" customHeight="1">
      <c r="A962" s="29" t="inlineStr">
        <is>
          <t>OpenDART_fnlttSinglAcntAll</t>
        </is>
      </c>
      <c r="B962" s="29" t="inlineStr">
        <is>
          <t>00366942</t>
        </is>
      </c>
      <c r="C962" s="29" t="inlineStr">
        <is>
          <t>미코</t>
        </is>
      </c>
      <c r="D962" s="29" t="inlineStr">
        <is>
          <t>mico</t>
        </is>
      </c>
      <c r="E962" s="29" t="inlineStr">
        <is>
          <t>059090</t>
        </is>
      </c>
      <c r="F962" s="29" t="inlineStr">
        <is>
          <t>2025</t>
        </is>
      </c>
      <c r="G962" s="29" t="inlineStr">
        <is>
          <t>CFS</t>
        </is>
      </c>
      <c r="H962" s="29" t="inlineStr">
        <is>
          <t>CIS</t>
        </is>
      </c>
      <c r="I962" s="29" t="inlineStr">
        <is>
          <t>포괄손익계산서</t>
        </is>
      </c>
      <c r="J962" s="29" t="inlineStr">
        <is>
          <t>ifrs-full_OtherComprehensiveIncomeNetOfTaxGainsLossesOnRemeasurementsOfDefinedBenefitPlans</t>
        </is>
      </c>
      <c r="K962" s="29" t="inlineStr">
        <is>
          <t>확정급여제도의 재측정요소</t>
        </is>
      </c>
      <c r="L962" s="29" t="inlineStr">
        <is>
          <t>-</t>
        </is>
      </c>
      <c r="M962" s="29" t="inlineStr">
        <is>
          <t>제 27 기</t>
        </is>
      </c>
      <c r="N962" s="29" t="inlineStr">
        <is>
          <t>-780356852.0</t>
        </is>
      </c>
      <c r="O962" s="29" t="inlineStr">
        <is>
          <t>686639212.0</t>
        </is>
      </c>
      <c r="P962" s="29" t="inlineStr">
        <is>
          <t>KRW</t>
        </is>
      </c>
      <c r="Q962" s="29" t="inlineStr">
        <is>
          <t>31</t>
        </is>
      </c>
    </row>
    <row r="963" ht="24" customHeight="1">
      <c r="A963" s="24" t="inlineStr">
        <is>
          <t>OpenDART_fnlttSinglAcntAll</t>
        </is>
      </c>
      <c r="B963" s="24" t="inlineStr">
        <is>
          <t>00366942</t>
        </is>
      </c>
      <c r="C963" s="24" t="inlineStr">
        <is>
          <t>미코</t>
        </is>
      </c>
      <c r="D963" s="24" t="inlineStr">
        <is>
          <t>mico</t>
        </is>
      </c>
      <c r="E963" s="24" t="inlineStr">
        <is>
          <t>059090</t>
        </is>
      </c>
      <c r="F963" s="24" t="inlineStr">
        <is>
          <t>2025</t>
        </is>
      </c>
      <c r="G963" s="24" t="inlineStr">
        <is>
          <t>CFS</t>
        </is>
      </c>
      <c r="H963" s="24" t="inlineStr">
        <is>
          <t>CIS</t>
        </is>
      </c>
      <c r="I963" s="24" t="inlineStr">
        <is>
          <t>포괄손익계산서</t>
        </is>
      </c>
      <c r="J963" s="24" t="inlineStr">
        <is>
          <t>ifrs-full_ShareOfOtherComprehensiveIncomeOfAssociatesAndJointVenturesAccountedForUsingEquityMethodThatWillNotBeReclassifiedToProfitOrLossNetOfTax</t>
        </is>
      </c>
      <c r="K963" s="24" t="inlineStr">
        <is>
          <t>지분법자본변동</t>
        </is>
      </c>
      <c r="L963" s="24" t="inlineStr">
        <is>
          <t>-</t>
        </is>
      </c>
      <c r="M963" s="24" t="inlineStr">
        <is>
          <t>제 27 기</t>
        </is>
      </c>
      <c r="N963" s="24" t="inlineStr">
        <is>
          <t>-337563180.0</t>
        </is>
      </c>
      <c r="O963" s="24" t="inlineStr">
        <is>
          <t>-3048161199.0</t>
        </is>
      </c>
      <c r="P963" s="24" t="inlineStr">
        <is>
          <t>KRW</t>
        </is>
      </c>
      <c r="Q963" s="24" t="inlineStr">
        <is>
          <t>32</t>
        </is>
      </c>
    </row>
    <row r="964" ht="24" customHeight="1">
      <c r="A964" s="29" t="inlineStr">
        <is>
          <t>OpenDART_fnlttSinglAcntAll</t>
        </is>
      </c>
      <c r="B964" s="29" t="inlineStr">
        <is>
          <t>00366942</t>
        </is>
      </c>
      <c r="C964" s="29" t="inlineStr">
        <is>
          <t>미코</t>
        </is>
      </c>
      <c r="D964" s="29" t="inlineStr">
        <is>
          <t>mico</t>
        </is>
      </c>
      <c r="E964" s="29" t="inlineStr">
        <is>
          <t>059090</t>
        </is>
      </c>
      <c r="F964" s="29" t="inlineStr">
        <is>
          <t>2025</t>
        </is>
      </c>
      <c r="G964" s="29" t="inlineStr">
        <is>
          <t>CFS</t>
        </is>
      </c>
      <c r="H964" s="29" t="inlineStr">
        <is>
          <t>CIS</t>
        </is>
      </c>
      <c r="I964" s="29" t="inlineStr">
        <is>
          <t>포괄손익계산서</t>
        </is>
      </c>
      <c r="J964" s="29" t="inlineStr">
        <is>
          <t>ifrs-full_ProfitLoss</t>
        </is>
      </c>
      <c r="K964" s="29" t="inlineStr">
        <is>
          <t>당기순이익</t>
        </is>
      </c>
      <c r="L964" s="29" t="inlineStr">
        <is>
          <t>-</t>
        </is>
      </c>
      <c r="M964" s="29" t="inlineStr">
        <is>
          <t>제 27 기</t>
        </is>
      </c>
      <c r="N964" s="29" t="inlineStr">
        <is>
          <t>74949266372.0</t>
        </is>
      </c>
      <c r="O964" s="29" t="inlineStr">
        <is>
          <t>76514280786.0</t>
        </is>
      </c>
      <c r="P964" s="29" t="inlineStr">
        <is>
          <t>KRW</t>
        </is>
      </c>
      <c r="Q964" s="29" t="inlineStr">
        <is>
          <t>33</t>
        </is>
      </c>
    </row>
    <row r="965" ht="24" customHeight="1">
      <c r="A965" s="24" t="inlineStr">
        <is>
          <t>OpenDART_fnlttSinglAcntAll</t>
        </is>
      </c>
      <c r="B965" s="24" t="inlineStr">
        <is>
          <t>00366942</t>
        </is>
      </c>
      <c r="C965" s="24" t="inlineStr">
        <is>
          <t>미코</t>
        </is>
      </c>
      <c r="D965" s="24" t="inlineStr">
        <is>
          <t>mico</t>
        </is>
      </c>
      <c r="E965" s="24" t="inlineStr">
        <is>
          <t>059090</t>
        </is>
      </c>
      <c r="F965" s="24" t="inlineStr">
        <is>
          <t>2025</t>
        </is>
      </c>
      <c r="G965" s="24" t="inlineStr">
        <is>
          <t>CFS</t>
        </is>
      </c>
      <c r="H965" s="24" t="inlineStr">
        <is>
          <t>CIS</t>
        </is>
      </c>
      <c r="I965" s="24" t="inlineStr">
        <is>
          <t>포괄손익계산서</t>
        </is>
      </c>
      <c r="J965" s="24" t="inlineStr">
        <is>
          <t>ifrs-full_ProfitLossAttributableToNoncontrollingInterests</t>
        </is>
      </c>
      <c r="K965" s="24" t="inlineStr">
        <is>
          <t>비지배지분</t>
        </is>
      </c>
      <c r="L965" s="24" t="inlineStr">
        <is>
          <t>-</t>
        </is>
      </c>
      <c r="M965" s="24" t="inlineStr">
        <is>
          <t>제 27 기</t>
        </is>
      </c>
      <c r="N965" s="24" t="inlineStr">
        <is>
          <t>45451129931.0</t>
        </is>
      </c>
      <c r="O965" s="24" t="inlineStr">
        <is>
          <t>58398504644.0</t>
        </is>
      </c>
      <c r="P965" s="24" t="inlineStr">
        <is>
          <t>KRW</t>
        </is>
      </c>
      <c r="Q965" s="24" t="inlineStr">
        <is>
          <t>34</t>
        </is>
      </c>
    </row>
    <row r="966" ht="24" customHeight="1">
      <c r="A966" s="29" t="inlineStr">
        <is>
          <t>OpenDART_fnlttSinglAcntAll</t>
        </is>
      </c>
      <c r="B966" s="29" t="inlineStr">
        <is>
          <t>00366942</t>
        </is>
      </c>
      <c r="C966" s="29" t="inlineStr">
        <is>
          <t>미코</t>
        </is>
      </c>
      <c r="D966" s="29" t="inlineStr">
        <is>
          <t>mico</t>
        </is>
      </c>
      <c r="E966" s="29" t="inlineStr">
        <is>
          <t>059090</t>
        </is>
      </c>
      <c r="F966" s="29" t="inlineStr">
        <is>
          <t>2025</t>
        </is>
      </c>
      <c r="G966" s="29" t="inlineStr">
        <is>
          <t>CFS</t>
        </is>
      </c>
      <c r="H966" s="29" t="inlineStr">
        <is>
          <t>CIS</t>
        </is>
      </c>
      <c r="I966" s="29" t="inlineStr">
        <is>
          <t>포괄손익계산서</t>
        </is>
      </c>
      <c r="J966" s="29" t="inlineStr">
        <is>
          <t>ifrs-full_ProfitLossAttributableToOwnersOfParent</t>
        </is>
      </c>
      <c r="K966" s="29" t="inlineStr">
        <is>
          <t>지배기업소유지분</t>
        </is>
      </c>
      <c r="L966" s="29" t="inlineStr">
        <is>
          <t>-</t>
        </is>
      </c>
      <c r="M966" s="29" t="inlineStr">
        <is>
          <t>제 27 기</t>
        </is>
      </c>
      <c r="N966" s="29" t="inlineStr">
        <is>
          <t>29498136441.0</t>
        </is>
      </c>
      <c r="O966" s="29" t="inlineStr">
        <is>
          <t>18115776142.0</t>
        </is>
      </c>
      <c r="P966" s="29" t="inlineStr">
        <is>
          <t>KRW</t>
        </is>
      </c>
      <c r="Q966" s="29" t="inlineStr">
        <is>
          <t>35</t>
        </is>
      </c>
    </row>
    <row r="967" ht="24" customHeight="1">
      <c r="A967" s="24" t="inlineStr">
        <is>
          <t>OpenDART_fnlttSinglAcntAll</t>
        </is>
      </c>
      <c r="B967" s="24" t="inlineStr">
        <is>
          <t>00366942</t>
        </is>
      </c>
      <c r="C967" s="24" t="inlineStr">
        <is>
          <t>미코</t>
        </is>
      </c>
      <c r="D967" s="24" t="inlineStr">
        <is>
          <t>mico</t>
        </is>
      </c>
      <c r="E967" s="24" t="inlineStr">
        <is>
          <t>059090</t>
        </is>
      </c>
      <c r="F967" s="24" t="inlineStr">
        <is>
          <t>2025</t>
        </is>
      </c>
      <c r="G967" s="24" t="inlineStr">
        <is>
          <t>CFS</t>
        </is>
      </c>
      <c r="H967" s="24" t="inlineStr">
        <is>
          <t>CIS</t>
        </is>
      </c>
      <c r="I967" s="24" t="inlineStr">
        <is>
          <t>포괄손익계산서</t>
        </is>
      </c>
      <c r="J967" s="24" t="inlineStr">
        <is>
          <t>ifrs-full_ProfitLossBeforeTax</t>
        </is>
      </c>
      <c r="K967" s="24" t="inlineStr">
        <is>
          <t>법인세비용차감전이익</t>
        </is>
      </c>
      <c r="L967" s="24" t="inlineStr">
        <is>
          <t>-</t>
        </is>
      </c>
      <c r="M967" s="24" t="inlineStr">
        <is>
          <t>제 27 기</t>
        </is>
      </c>
      <c r="N967" s="24" t="inlineStr">
        <is>
          <t>93939600805.0</t>
        </is>
      </c>
      <c r="O967" s="24" t="inlineStr">
        <is>
          <t>83327998758.0</t>
        </is>
      </c>
      <c r="P967" s="24" t="inlineStr">
        <is>
          <t>KRW</t>
        </is>
      </c>
      <c r="Q967" s="24" t="inlineStr">
        <is>
          <t>36</t>
        </is>
      </c>
    </row>
    <row r="968" ht="24" customHeight="1">
      <c r="A968" s="29" t="inlineStr">
        <is>
          <t>OpenDART_fnlttSinglAcntAll</t>
        </is>
      </c>
      <c r="B968" s="29" t="inlineStr">
        <is>
          <t>00366942</t>
        </is>
      </c>
      <c r="C968" s="29" t="inlineStr">
        <is>
          <t>미코</t>
        </is>
      </c>
      <c r="D968" s="29" t="inlineStr">
        <is>
          <t>mico</t>
        </is>
      </c>
      <c r="E968" s="29" t="inlineStr">
        <is>
          <t>059090</t>
        </is>
      </c>
      <c r="F968" s="29" t="inlineStr">
        <is>
          <t>2025</t>
        </is>
      </c>
      <c r="G968" s="29" t="inlineStr">
        <is>
          <t>CFS</t>
        </is>
      </c>
      <c r="H968" s="29" t="inlineStr">
        <is>
          <t>CIS</t>
        </is>
      </c>
      <c r="I968" s="29" t="inlineStr">
        <is>
          <t>포괄손익계산서</t>
        </is>
      </c>
      <c r="J968" s="29" t="inlineStr">
        <is>
          <t>ifrs-full_ProfitLossFromContinuingOperations</t>
        </is>
      </c>
      <c r="K968" s="29" t="inlineStr">
        <is>
          <t>계속영업당기순이익</t>
        </is>
      </c>
      <c r="L968" s="29" t="inlineStr">
        <is>
          <t>-</t>
        </is>
      </c>
      <c r="M968" s="29" t="inlineStr">
        <is>
          <t>제 27 기</t>
        </is>
      </c>
      <c r="N968" s="29" t="inlineStr">
        <is>
          <t>74949266372.0</t>
        </is>
      </c>
      <c r="O968" s="29" t="inlineStr">
        <is>
          <t>70106772600.0</t>
        </is>
      </c>
      <c r="P968" s="29" t="inlineStr">
        <is>
          <t>KRW</t>
        </is>
      </c>
      <c r="Q968" s="29" t="inlineStr">
        <is>
          <t>37</t>
        </is>
      </c>
    </row>
    <row r="969" ht="24" customHeight="1">
      <c r="A969" s="24" t="inlineStr">
        <is>
          <t>OpenDART_fnlttSinglAcntAll</t>
        </is>
      </c>
      <c r="B969" s="24" t="inlineStr">
        <is>
          <t>00366942</t>
        </is>
      </c>
      <c r="C969" s="24" t="inlineStr">
        <is>
          <t>미코</t>
        </is>
      </c>
      <c r="D969" s="24" t="inlineStr">
        <is>
          <t>mico</t>
        </is>
      </c>
      <c r="E969" s="24" t="inlineStr">
        <is>
          <t>059090</t>
        </is>
      </c>
      <c r="F969" s="24" t="inlineStr">
        <is>
          <t>2025</t>
        </is>
      </c>
      <c r="G969" s="24" t="inlineStr">
        <is>
          <t>CFS</t>
        </is>
      </c>
      <c r="H969" s="24" t="inlineStr">
        <is>
          <t>CIS</t>
        </is>
      </c>
      <c r="I969" s="24" t="inlineStr">
        <is>
          <t>포괄손익계산서</t>
        </is>
      </c>
      <c r="J969" s="24" t="inlineStr">
        <is>
          <t>ifrs-full_ProfitLossFromDiscontinuedOperations</t>
        </is>
      </c>
      <c r="K969" s="24" t="inlineStr">
        <is>
          <t>중단영업당기순이익</t>
        </is>
      </c>
      <c r="L969" s="24" t="inlineStr">
        <is>
          <t>-</t>
        </is>
      </c>
      <c r="M969" s="24" t="inlineStr">
        <is>
          <t>제 27 기</t>
        </is>
      </c>
      <c r="N969" s="24" t="inlineStr">
        <is>
          <t>0.0</t>
        </is>
      </c>
      <c r="O969" s="24" t="inlineStr">
        <is>
          <t>6407508186.0</t>
        </is>
      </c>
      <c r="P969" s="24" t="inlineStr">
        <is>
          <t>KRW</t>
        </is>
      </c>
      <c r="Q969" s="24" t="inlineStr">
        <is>
          <t>38</t>
        </is>
      </c>
    </row>
    <row r="970" ht="24" customHeight="1">
      <c r="A970" s="29" t="inlineStr">
        <is>
          <t>OpenDART_fnlttSinglAcntAll</t>
        </is>
      </c>
      <c r="B970" s="29" t="inlineStr">
        <is>
          <t>00366942</t>
        </is>
      </c>
      <c r="C970" s="29" t="inlineStr">
        <is>
          <t>미코</t>
        </is>
      </c>
      <c r="D970" s="29" t="inlineStr">
        <is>
          <t>mico</t>
        </is>
      </c>
      <c r="E970" s="29" t="inlineStr">
        <is>
          <t>059090</t>
        </is>
      </c>
      <c r="F970" s="29" t="inlineStr">
        <is>
          <t>2025</t>
        </is>
      </c>
      <c r="G970" s="29" t="inlineStr">
        <is>
          <t>CFS</t>
        </is>
      </c>
      <c r="H970" s="29" t="inlineStr">
        <is>
          <t>CIS</t>
        </is>
      </c>
      <c r="I970" s="29" t="inlineStr">
        <is>
          <t>포괄손익계산서</t>
        </is>
      </c>
      <c r="J970" s="29" t="inlineStr">
        <is>
          <t>ifrs-full_Revenue</t>
        </is>
      </c>
      <c r="K970" s="29" t="inlineStr">
        <is>
          <t>매출액</t>
        </is>
      </c>
      <c r="L970" s="29" t="inlineStr">
        <is>
          <t>-</t>
        </is>
      </c>
      <c r="M970" s="29" t="inlineStr">
        <is>
          <t>제 27 기</t>
        </is>
      </c>
      <c r="N970" s="29" t="inlineStr">
        <is>
          <t>977036793661.0</t>
        </is>
      </c>
      <c r="O970" s="29" t="inlineStr">
        <is>
          <t>540504643904.0</t>
        </is>
      </c>
      <c r="P970" s="29" t="inlineStr">
        <is>
          <t>KRW</t>
        </is>
      </c>
      <c r="Q970" s="29" t="inlineStr">
        <is>
          <t>39</t>
        </is>
      </c>
    </row>
    <row r="971" ht="24" customHeight="1">
      <c r="A971" s="24" t="inlineStr">
        <is>
          <t>OpenDART_fnlttSinglAcntAll</t>
        </is>
      </c>
      <c r="B971" s="24" t="inlineStr">
        <is>
          <t>00366942</t>
        </is>
      </c>
      <c r="C971" s="24" t="inlineStr">
        <is>
          <t>미코</t>
        </is>
      </c>
      <c r="D971" s="24" t="inlineStr">
        <is>
          <t>mico</t>
        </is>
      </c>
      <c r="E971" s="24" t="inlineStr">
        <is>
          <t>059090</t>
        </is>
      </c>
      <c r="F971" s="24" t="inlineStr">
        <is>
          <t>2025</t>
        </is>
      </c>
      <c r="G971" s="24" t="inlineStr">
        <is>
          <t>CFS</t>
        </is>
      </c>
      <c r="H971" s="24" t="inlineStr">
        <is>
          <t>CF</t>
        </is>
      </c>
      <c r="I971" s="24" t="inlineStr">
        <is>
          <t>현금흐름표</t>
        </is>
      </c>
      <c r="J971" s="24" t="inlineStr">
        <is>
          <t>dart_CashAndCashEquivalentsAtBeginningOfPeriodCf</t>
        </is>
      </c>
      <c r="K971" s="24" t="inlineStr">
        <is>
          <t>기초 현금및현금성자산</t>
        </is>
      </c>
      <c r="L971" s="24" t="inlineStr">
        <is>
          <t>-</t>
        </is>
      </c>
      <c r="M971" s="24" t="inlineStr">
        <is>
          <t>제 27 기</t>
        </is>
      </c>
      <c r="N971" s="24" t="inlineStr">
        <is>
          <t>224894256663.0</t>
        </is>
      </c>
      <c r="O971" s="24" t="inlineStr">
        <is>
          <t>170532361522.0</t>
        </is>
      </c>
      <c r="P971" s="24" t="inlineStr">
        <is>
          <t>KRW</t>
        </is>
      </c>
      <c r="Q971" s="24" t="inlineStr">
        <is>
          <t>2</t>
        </is>
      </c>
    </row>
    <row r="972" ht="24" customHeight="1">
      <c r="A972" s="29" t="inlineStr">
        <is>
          <t>OpenDART_fnlttSinglAcntAll</t>
        </is>
      </c>
      <c r="B972" s="29" t="inlineStr">
        <is>
          <t>00366942</t>
        </is>
      </c>
      <c r="C972" s="29" t="inlineStr">
        <is>
          <t>미코</t>
        </is>
      </c>
      <c r="D972" s="29" t="inlineStr">
        <is>
          <t>mico</t>
        </is>
      </c>
      <c r="E972" s="29" t="inlineStr">
        <is>
          <t>059090</t>
        </is>
      </c>
      <c r="F972" s="29" t="inlineStr">
        <is>
          <t>2025</t>
        </is>
      </c>
      <c r="G972" s="29" t="inlineStr">
        <is>
          <t>CFS</t>
        </is>
      </c>
      <c r="H972" s="29" t="inlineStr">
        <is>
          <t>CF</t>
        </is>
      </c>
      <c r="I972" s="29" t="inlineStr">
        <is>
          <t>현금흐름표</t>
        </is>
      </c>
      <c r="J972" s="29" t="inlineStr">
        <is>
          <t>dart_CashAndCashEquivalentsAtEndOfPeriodCf</t>
        </is>
      </c>
      <c r="K972" s="29" t="inlineStr">
        <is>
          <t>기말 현금및현금성자산</t>
        </is>
      </c>
      <c r="L972" s="29" t="inlineStr">
        <is>
          <t>-</t>
        </is>
      </c>
      <c r="M972" s="29" t="inlineStr">
        <is>
          <t>제 27 기</t>
        </is>
      </c>
      <c r="N972" s="29" t="inlineStr">
        <is>
          <t>308049235584.0</t>
        </is>
      </c>
      <c r="O972" s="29" t="inlineStr">
        <is>
          <t>224894256663.0</t>
        </is>
      </c>
      <c r="P972" s="29" t="inlineStr">
        <is>
          <t>KRW</t>
        </is>
      </c>
      <c r="Q972" s="29" t="inlineStr">
        <is>
          <t>3</t>
        </is>
      </c>
    </row>
    <row r="973" ht="24" customHeight="1">
      <c r="A973" s="24" t="inlineStr">
        <is>
          <t>OpenDART_fnlttSinglAcntAll</t>
        </is>
      </c>
      <c r="B973" s="24" t="inlineStr">
        <is>
          <t>00366942</t>
        </is>
      </c>
      <c r="C973" s="24" t="inlineStr">
        <is>
          <t>미코</t>
        </is>
      </c>
      <c r="D973" s="24" t="inlineStr">
        <is>
          <t>mico</t>
        </is>
      </c>
      <c r="E973" s="24" t="inlineStr">
        <is>
          <t>059090</t>
        </is>
      </c>
      <c r="F973" s="24" t="inlineStr">
        <is>
          <t>2025</t>
        </is>
      </c>
      <c r="G973" s="24" t="inlineStr">
        <is>
          <t>CFS</t>
        </is>
      </c>
      <c r="H973" s="24" t="inlineStr">
        <is>
          <t>CF</t>
        </is>
      </c>
      <c r="I973" s="24" t="inlineStr">
        <is>
          <t>현금흐름표</t>
        </is>
      </c>
      <c r="J973" s="24" t="inlineStr">
        <is>
          <t>ifrs-full_CashFlowsFromUsedInFinancingActivities</t>
        </is>
      </c>
      <c r="K973" s="24" t="inlineStr">
        <is>
          <t>재무활동 현금흐름</t>
        </is>
      </c>
      <c r="L973" s="24" t="inlineStr">
        <is>
          <t>-</t>
        </is>
      </c>
      <c r="M973" s="24" t="inlineStr">
        <is>
          <t>제 27 기</t>
        </is>
      </c>
      <c r="N973" s="24" t="inlineStr">
        <is>
          <t>623677743624.0</t>
        </is>
      </c>
      <c r="O973" s="24" t="inlineStr">
        <is>
          <t>91403714053.0</t>
        </is>
      </c>
      <c r="P973" s="24" t="inlineStr">
        <is>
          <t>KRW</t>
        </is>
      </c>
      <c r="Q973" s="24" t="inlineStr">
        <is>
          <t>8</t>
        </is>
      </c>
    </row>
    <row r="974" ht="24" customHeight="1">
      <c r="A974" s="29" t="inlineStr">
        <is>
          <t>OpenDART_fnlttSinglAcntAll</t>
        </is>
      </c>
      <c r="B974" s="29" t="inlineStr">
        <is>
          <t>00366942</t>
        </is>
      </c>
      <c r="C974" s="29" t="inlineStr">
        <is>
          <t>미코</t>
        </is>
      </c>
      <c r="D974" s="29" t="inlineStr">
        <is>
          <t>mico</t>
        </is>
      </c>
      <c r="E974" s="29" t="inlineStr">
        <is>
          <t>059090</t>
        </is>
      </c>
      <c r="F974" s="29" t="inlineStr">
        <is>
          <t>2025</t>
        </is>
      </c>
      <c r="G974" s="29" t="inlineStr">
        <is>
          <t>CFS</t>
        </is>
      </c>
      <c r="H974" s="29" t="inlineStr">
        <is>
          <t>CF</t>
        </is>
      </c>
      <c r="I974" s="29" t="inlineStr">
        <is>
          <t>현금흐름표</t>
        </is>
      </c>
      <c r="J974" s="29" t="inlineStr">
        <is>
          <t>dart_DecreaseInGuaranteeDepositsAsFinancialActivities</t>
        </is>
      </c>
      <c r="K974" s="29" t="inlineStr">
        <is>
          <t>임대보증금의 감소</t>
        </is>
      </c>
      <c r="L974" s="29" t="inlineStr">
        <is>
          <t>-</t>
        </is>
      </c>
      <c r="M974" s="29" t="inlineStr">
        <is>
          <t>제 27 기</t>
        </is>
      </c>
      <c r="N974" s="29" t="inlineStr">
        <is>
          <t>22130000.0</t>
        </is>
      </c>
      <c r="O974" s="29" t="inlineStr">
        <is>
          <t>352263000.0</t>
        </is>
      </c>
      <c r="P974" s="29" t="inlineStr">
        <is>
          <t>KRW</t>
        </is>
      </c>
      <c r="Q974" s="29" t="inlineStr">
        <is>
          <t>9</t>
        </is>
      </c>
    </row>
    <row r="975" ht="24" customHeight="1">
      <c r="A975" s="24" t="inlineStr">
        <is>
          <t>OpenDART_fnlttSinglAcntAll</t>
        </is>
      </c>
      <c r="B975" s="24" t="inlineStr">
        <is>
          <t>00366942</t>
        </is>
      </c>
      <c r="C975" s="24" t="inlineStr">
        <is>
          <t>미코</t>
        </is>
      </c>
      <c r="D975" s="24" t="inlineStr">
        <is>
          <t>mico</t>
        </is>
      </c>
      <c r="E975" s="24" t="inlineStr">
        <is>
          <t>059090</t>
        </is>
      </c>
      <c r="F975" s="24" t="inlineStr">
        <is>
          <t>2025</t>
        </is>
      </c>
      <c r="G975" s="24" t="inlineStr">
        <is>
          <t>CFS</t>
        </is>
      </c>
      <c r="H975" s="24" t="inlineStr">
        <is>
          <t>CF</t>
        </is>
      </c>
      <c r="I975" s="24" t="inlineStr">
        <is>
          <t>현금흐름표</t>
        </is>
      </c>
      <c r="J975" s="24" t="inlineStr">
        <is>
          <t>dart_DecreaseInNoncontrollingInterests</t>
        </is>
      </c>
      <c r="K975" s="24" t="inlineStr">
        <is>
          <t>비지배지분 변동으로 인한 현금유출</t>
        </is>
      </c>
      <c r="L975" s="24" t="inlineStr">
        <is>
          <t>-</t>
        </is>
      </c>
      <c r="M975" s="24" t="inlineStr">
        <is>
          <t>제 27 기</t>
        </is>
      </c>
      <c r="N975" s="24" t="inlineStr">
        <is>
          <t>35021610796.0</t>
        </is>
      </c>
      <c r="O975" s="24" t="inlineStr">
        <is>
          <t>594143000.0</t>
        </is>
      </c>
      <c r="P975" s="24" t="inlineStr">
        <is>
          <t>KRW</t>
        </is>
      </c>
      <c r="Q975" s="24" t="inlineStr">
        <is>
          <t>10</t>
        </is>
      </c>
    </row>
    <row r="976" ht="24" customHeight="1">
      <c r="A976" s="29" t="inlineStr">
        <is>
          <t>OpenDART_fnlttSinglAcntAll</t>
        </is>
      </c>
      <c r="B976" s="29" t="inlineStr">
        <is>
          <t>00366942</t>
        </is>
      </c>
      <c r="C976" s="29" t="inlineStr">
        <is>
          <t>미코</t>
        </is>
      </c>
      <c r="D976" s="29" t="inlineStr">
        <is>
          <t>mico</t>
        </is>
      </c>
      <c r="E976" s="29" t="inlineStr">
        <is>
          <t>059090</t>
        </is>
      </c>
      <c r="F976" s="29" t="inlineStr">
        <is>
          <t>2025</t>
        </is>
      </c>
      <c r="G976" s="29" t="inlineStr">
        <is>
          <t>CFS</t>
        </is>
      </c>
      <c r="H976" s="29" t="inlineStr">
        <is>
          <t>CF</t>
        </is>
      </c>
      <c r="I976" s="29" t="inlineStr">
        <is>
          <t>현금흐름표</t>
        </is>
      </c>
      <c r="J976" s="29" t="inlineStr">
        <is>
          <t>dart_IncreaseInGuaranteeDepositsAsFinancialActivities</t>
        </is>
      </c>
      <c r="K976" s="29" t="inlineStr">
        <is>
          <t>임대보증금의 증가</t>
        </is>
      </c>
      <c r="L976" s="29" t="inlineStr">
        <is>
          <t>-</t>
        </is>
      </c>
      <c r="M976" s="29" t="inlineStr">
        <is>
          <t>제 27 기</t>
        </is>
      </c>
      <c r="N976" s="29" t="inlineStr">
        <is>
          <t>54560000.0</t>
        </is>
      </c>
      <c r="O976" s="29" t="inlineStr">
        <is>
          <t>233738000.0</t>
        </is>
      </c>
      <c r="P976" s="29" t="inlineStr">
        <is>
          <t>KRW</t>
        </is>
      </c>
      <c r="Q976" s="29" t="inlineStr">
        <is>
          <t>11</t>
        </is>
      </c>
    </row>
    <row r="977" ht="24" customHeight="1">
      <c r="A977" s="24" t="inlineStr">
        <is>
          <t>OpenDART_fnlttSinglAcntAll</t>
        </is>
      </c>
      <c r="B977" s="24" t="inlineStr">
        <is>
          <t>00366942</t>
        </is>
      </c>
      <c r="C977" s="24" t="inlineStr">
        <is>
          <t>미코</t>
        </is>
      </c>
      <c r="D977" s="24" t="inlineStr">
        <is>
          <t>mico</t>
        </is>
      </c>
      <c r="E977" s="24" t="inlineStr">
        <is>
          <t>059090</t>
        </is>
      </c>
      <c r="F977" s="24" t="inlineStr">
        <is>
          <t>2025</t>
        </is>
      </c>
      <c r="G977" s="24" t="inlineStr">
        <is>
          <t>CFS</t>
        </is>
      </c>
      <c r="H977" s="24" t="inlineStr">
        <is>
          <t>CF</t>
        </is>
      </c>
      <c r="I977" s="24" t="inlineStr">
        <is>
          <t>현금흐름표</t>
        </is>
      </c>
      <c r="J977" s="24" t="inlineStr">
        <is>
          <t>dart_IncreaseInNoncontrollingInterests</t>
        </is>
      </c>
      <c r="K977" s="24" t="inlineStr">
        <is>
          <t>비지배지분 변동으로 인한 현금유입</t>
        </is>
      </c>
      <c r="L977" s="24" t="inlineStr">
        <is>
          <t>-</t>
        </is>
      </c>
      <c r="M977" s="24" t="inlineStr">
        <is>
          <t>제 27 기</t>
        </is>
      </c>
      <c r="N977" s="24" t="inlineStr">
        <is>
          <t>31000028778.0</t>
        </is>
      </c>
      <c r="O977" s="24" t="inlineStr">
        <is>
          <t>0.0</t>
        </is>
      </c>
      <c r="P977" s="24" t="inlineStr">
        <is>
          <t>KRW</t>
        </is>
      </c>
      <c r="Q977" s="24" t="inlineStr">
        <is>
          <t>12</t>
        </is>
      </c>
    </row>
    <row r="978" ht="24" customHeight="1">
      <c r="A978" s="29" t="inlineStr">
        <is>
          <t>OpenDART_fnlttSinglAcntAll</t>
        </is>
      </c>
      <c r="B978" s="29" t="inlineStr">
        <is>
          <t>00366942</t>
        </is>
      </c>
      <c r="C978" s="29" t="inlineStr">
        <is>
          <t>미코</t>
        </is>
      </c>
      <c r="D978" s="29" t="inlineStr">
        <is>
          <t>mico</t>
        </is>
      </c>
      <c r="E978" s="29" t="inlineStr">
        <is>
          <t>059090</t>
        </is>
      </c>
      <c r="F978" s="29" t="inlineStr">
        <is>
          <t>2025</t>
        </is>
      </c>
      <c r="G978" s="29" t="inlineStr">
        <is>
          <t>CFS</t>
        </is>
      </c>
      <c r="H978" s="29" t="inlineStr">
        <is>
          <t>CF</t>
        </is>
      </c>
      <c r="I978" s="29" t="inlineStr">
        <is>
          <t>현금흐름표</t>
        </is>
      </c>
      <c r="J978" s="29" t="inlineStr">
        <is>
          <t>dart_ProceedsFromBonds</t>
        </is>
      </c>
      <c r="K978" s="29" t="inlineStr">
        <is>
          <t>사채의 발행</t>
        </is>
      </c>
      <c r="L978" s="29" t="inlineStr">
        <is>
          <t>-</t>
        </is>
      </c>
      <c r="M978" s="29" t="inlineStr">
        <is>
          <t>제 27 기</t>
        </is>
      </c>
      <c r="N978" s="29" t="inlineStr">
        <is>
          <t>0.0</t>
        </is>
      </c>
      <c r="O978" s="29" t="inlineStr">
        <is>
          <t>29531250000.0</t>
        </is>
      </c>
      <c r="P978" s="29" t="inlineStr">
        <is>
          <t>KRW</t>
        </is>
      </c>
      <c r="Q978" s="29" t="inlineStr">
        <is>
          <t>13</t>
        </is>
      </c>
    </row>
    <row r="979" ht="24" customHeight="1">
      <c r="A979" s="24" t="inlineStr">
        <is>
          <t>OpenDART_fnlttSinglAcntAll</t>
        </is>
      </c>
      <c r="B979" s="24" t="inlineStr">
        <is>
          <t>00366942</t>
        </is>
      </c>
      <c r="C979" s="24" t="inlineStr">
        <is>
          <t>미코</t>
        </is>
      </c>
      <c r="D979" s="24" t="inlineStr">
        <is>
          <t>mico</t>
        </is>
      </c>
      <c r="E979" s="24" t="inlineStr">
        <is>
          <t>059090</t>
        </is>
      </c>
      <c r="F979" s="24" t="inlineStr">
        <is>
          <t>2025</t>
        </is>
      </c>
      <c r="G979" s="24" t="inlineStr">
        <is>
          <t>CFS</t>
        </is>
      </c>
      <c r="H979" s="24" t="inlineStr">
        <is>
          <t>CF</t>
        </is>
      </c>
      <c r="I979" s="24" t="inlineStr">
        <is>
          <t>현금흐름표</t>
        </is>
      </c>
      <c r="J979" s="24" t="inlineStr">
        <is>
          <t>dart_ProceedsFromConvertibleBonds</t>
        </is>
      </c>
      <c r="K979" s="24" t="inlineStr">
        <is>
          <t>전환사채의 발행</t>
        </is>
      </c>
      <c r="L979" s="24" t="inlineStr">
        <is>
          <t>-</t>
        </is>
      </c>
      <c r="M979" s="24" t="inlineStr">
        <is>
          <t>제 27 기</t>
        </is>
      </c>
      <c r="N979" s="24" t="inlineStr">
        <is>
          <t>10000000000.0</t>
        </is>
      </c>
      <c r="O979" s="24" t="inlineStr">
        <is>
          <t>30000000000.0</t>
        </is>
      </c>
      <c r="P979" s="24" t="inlineStr">
        <is>
          <t>KRW</t>
        </is>
      </c>
      <c r="Q979" s="24" t="inlineStr">
        <is>
          <t>14</t>
        </is>
      </c>
    </row>
    <row r="980" ht="24" customHeight="1">
      <c r="A980" s="29" t="inlineStr">
        <is>
          <t>OpenDART_fnlttSinglAcntAll</t>
        </is>
      </c>
      <c r="B980" s="29" t="inlineStr">
        <is>
          <t>00366942</t>
        </is>
      </c>
      <c r="C980" s="29" t="inlineStr">
        <is>
          <t>미코</t>
        </is>
      </c>
      <c r="D980" s="29" t="inlineStr">
        <is>
          <t>mico</t>
        </is>
      </c>
      <c r="E980" s="29" t="inlineStr">
        <is>
          <t>059090</t>
        </is>
      </c>
      <c r="F980" s="29" t="inlineStr">
        <is>
          <t>2025</t>
        </is>
      </c>
      <c r="G980" s="29" t="inlineStr">
        <is>
          <t>CFS</t>
        </is>
      </c>
      <c r="H980" s="29" t="inlineStr">
        <is>
          <t>CF</t>
        </is>
      </c>
      <c r="I980" s="29" t="inlineStr">
        <is>
          <t>현금흐름표</t>
        </is>
      </c>
      <c r="J980" s="29" t="inlineStr">
        <is>
          <t>dart_ProceedsFromLongTermBorrowings</t>
        </is>
      </c>
      <c r="K980" s="29" t="inlineStr">
        <is>
          <t>장기차입금의 증가</t>
        </is>
      </c>
      <c r="L980" s="29" t="inlineStr">
        <is>
          <t>-</t>
        </is>
      </c>
      <c r="M980" s="29" t="inlineStr">
        <is>
          <t>제 27 기</t>
        </is>
      </c>
      <c r="N980" s="29" t="inlineStr">
        <is>
          <t>459670043419.0</t>
        </is>
      </c>
      <c r="O980" s="29" t="inlineStr">
        <is>
          <t>86810592000.0</t>
        </is>
      </c>
      <c r="P980" s="29" t="inlineStr">
        <is>
          <t>KRW</t>
        </is>
      </c>
      <c r="Q980" s="29" t="inlineStr">
        <is>
          <t>15</t>
        </is>
      </c>
    </row>
    <row r="981" ht="24" customHeight="1">
      <c r="A981" s="24" t="inlineStr">
        <is>
          <t>OpenDART_fnlttSinglAcntAll</t>
        </is>
      </c>
      <c r="B981" s="24" t="inlineStr">
        <is>
          <t>00366942</t>
        </is>
      </c>
      <c r="C981" s="24" t="inlineStr">
        <is>
          <t>미코</t>
        </is>
      </c>
      <c r="D981" s="24" t="inlineStr">
        <is>
          <t>mico</t>
        </is>
      </c>
      <c r="E981" s="24" t="inlineStr">
        <is>
          <t>059090</t>
        </is>
      </c>
      <c r="F981" s="24" t="inlineStr">
        <is>
          <t>2025</t>
        </is>
      </c>
      <c r="G981" s="24" t="inlineStr">
        <is>
          <t>CFS</t>
        </is>
      </c>
      <c r="H981" s="24" t="inlineStr">
        <is>
          <t>CF</t>
        </is>
      </c>
      <c r="I981" s="24" t="inlineStr">
        <is>
          <t>현금흐름표</t>
        </is>
      </c>
      <c r="J981" s="24" t="inlineStr">
        <is>
          <t>dart_ProceedsFromShortTermBorrowings</t>
        </is>
      </c>
      <c r="K981" s="24" t="inlineStr">
        <is>
          <t>단기차입금의 증가</t>
        </is>
      </c>
      <c r="L981" s="24" t="inlineStr">
        <is>
          <t>-</t>
        </is>
      </c>
      <c r="M981" s="24" t="inlineStr">
        <is>
          <t>제 27 기</t>
        </is>
      </c>
      <c r="N981" s="24" t="inlineStr">
        <is>
          <t>427919198302.0</t>
        </is>
      </c>
      <c r="O981" s="24" t="inlineStr">
        <is>
          <t>188444285200.0</t>
        </is>
      </c>
      <c r="P981" s="24" t="inlineStr">
        <is>
          <t>KRW</t>
        </is>
      </c>
      <c r="Q981" s="24" t="inlineStr">
        <is>
          <t>16</t>
        </is>
      </c>
    </row>
    <row r="982" ht="24" customHeight="1">
      <c r="A982" s="29" t="inlineStr">
        <is>
          <t>OpenDART_fnlttSinglAcntAll</t>
        </is>
      </c>
      <c r="B982" s="29" t="inlineStr">
        <is>
          <t>00366942</t>
        </is>
      </c>
      <c r="C982" s="29" t="inlineStr">
        <is>
          <t>미코</t>
        </is>
      </c>
      <c r="D982" s="29" t="inlineStr">
        <is>
          <t>mico</t>
        </is>
      </c>
      <c r="E982" s="29" t="inlineStr">
        <is>
          <t>059090</t>
        </is>
      </c>
      <c r="F982" s="29" t="inlineStr">
        <is>
          <t>2025</t>
        </is>
      </c>
      <c r="G982" s="29" t="inlineStr">
        <is>
          <t>CFS</t>
        </is>
      </c>
      <c r="H982" s="29" t="inlineStr">
        <is>
          <t>CF</t>
        </is>
      </c>
      <c r="I982" s="29" t="inlineStr">
        <is>
          <t>현금흐름표</t>
        </is>
      </c>
      <c r="J982" s="29" t="inlineStr">
        <is>
          <t>dart_RepaymentsOfExchangeableBond</t>
        </is>
      </c>
      <c r="K982" s="29" t="inlineStr">
        <is>
          <t>교환사채의 상환</t>
        </is>
      </c>
      <c r="L982" s="29" t="inlineStr">
        <is>
          <t>-</t>
        </is>
      </c>
      <c r="M982" s="29" t="inlineStr">
        <is>
          <t>제 27 기</t>
        </is>
      </c>
      <c r="N982" s="29" t="inlineStr">
        <is>
          <t>23674692190.0</t>
        </is>
      </c>
      <c r="O982" s="29" t="inlineStr">
        <is>
          <t>0.0</t>
        </is>
      </c>
      <c r="P982" s="29" t="inlineStr">
        <is>
          <t>KRW</t>
        </is>
      </c>
      <c r="Q982" s="29" t="inlineStr">
        <is>
          <t>17</t>
        </is>
      </c>
    </row>
    <row r="983" ht="24" customHeight="1">
      <c r="A983" s="24" t="inlineStr">
        <is>
          <t>OpenDART_fnlttSinglAcntAll</t>
        </is>
      </c>
      <c r="B983" s="24" t="inlineStr">
        <is>
          <t>00366942</t>
        </is>
      </c>
      <c r="C983" s="24" t="inlineStr">
        <is>
          <t>미코</t>
        </is>
      </c>
      <c r="D983" s="24" t="inlineStr">
        <is>
          <t>mico</t>
        </is>
      </c>
      <c r="E983" s="24" t="inlineStr">
        <is>
          <t>059090</t>
        </is>
      </c>
      <c r="F983" s="24" t="inlineStr">
        <is>
          <t>2025</t>
        </is>
      </c>
      <c r="G983" s="24" t="inlineStr">
        <is>
          <t>CFS</t>
        </is>
      </c>
      <c r="H983" s="24" t="inlineStr">
        <is>
          <t>CF</t>
        </is>
      </c>
      <c r="I983" s="24" t="inlineStr">
        <is>
          <t>현금흐름표</t>
        </is>
      </c>
      <c r="J983" s="24" t="inlineStr">
        <is>
          <t>dart_RepaymentsOfLongTermBorrowings</t>
        </is>
      </c>
      <c r="K983" s="24" t="inlineStr">
        <is>
          <t>장기차입금의 상환</t>
        </is>
      </c>
      <c r="L983" s="24" t="inlineStr">
        <is>
          <t>-</t>
        </is>
      </c>
      <c r="M983" s="24" t="inlineStr">
        <is>
          <t>제 27 기</t>
        </is>
      </c>
      <c r="N983" s="24" t="inlineStr">
        <is>
          <t>6510000000.0</t>
        </is>
      </c>
      <c r="O983" s="24" t="inlineStr">
        <is>
          <t>80593150000.0</t>
        </is>
      </c>
      <c r="P983" s="24" t="inlineStr">
        <is>
          <t>KRW</t>
        </is>
      </c>
      <c r="Q983" s="24" t="inlineStr">
        <is>
          <t>18</t>
        </is>
      </c>
    </row>
    <row r="984" ht="24" customHeight="1">
      <c r="A984" s="29" t="inlineStr">
        <is>
          <t>OpenDART_fnlttSinglAcntAll</t>
        </is>
      </c>
      <c r="B984" s="29" t="inlineStr">
        <is>
          <t>00366942</t>
        </is>
      </c>
      <c r="C984" s="29" t="inlineStr">
        <is>
          <t>미코</t>
        </is>
      </c>
      <c r="D984" s="29" t="inlineStr">
        <is>
          <t>mico</t>
        </is>
      </c>
      <c r="E984" s="29" t="inlineStr">
        <is>
          <t>059090</t>
        </is>
      </c>
      <c r="F984" s="29" t="inlineStr">
        <is>
          <t>2025</t>
        </is>
      </c>
      <c r="G984" s="29" t="inlineStr">
        <is>
          <t>CFS</t>
        </is>
      </c>
      <c r="H984" s="29" t="inlineStr">
        <is>
          <t>CF</t>
        </is>
      </c>
      <c r="I984" s="29" t="inlineStr">
        <is>
          <t>현금흐름표</t>
        </is>
      </c>
      <c r="J984" s="29" t="inlineStr">
        <is>
          <t>dart_RepaymentsOfShortTermBorrowings</t>
        </is>
      </c>
      <c r="K984" s="29" t="inlineStr">
        <is>
          <t>단기차입금의 상환</t>
        </is>
      </c>
      <c r="L984" s="29" t="inlineStr">
        <is>
          <t>-</t>
        </is>
      </c>
      <c r="M984" s="29" t="inlineStr">
        <is>
          <t>제 27 기</t>
        </is>
      </c>
      <c r="N984" s="29" t="inlineStr">
        <is>
          <t>244842762612.0</t>
        </is>
      </c>
      <c r="O984" s="29" t="inlineStr">
        <is>
          <t>133634900000.0</t>
        </is>
      </c>
      <c r="P984" s="29" t="inlineStr">
        <is>
          <t>KRW</t>
        </is>
      </c>
      <c r="Q984" s="29" t="inlineStr">
        <is>
          <t>19</t>
        </is>
      </c>
    </row>
    <row r="985" ht="24" customHeight="1">
      <c r="A985" s="24" t="inlineStr">
        <is>
          <t>OpenDART_fnlttSinglAcntAll</t>
        </is>
      </c>
      <c r="B985" s="24" t="inlineStr">
        <is>
          <t>00366942</t>
        </is>
      </c>
      <c r="C985" s="24" t="inlineStr">
        <is>
          <t>미코</t>
        </is>
      </c>
      <c r="D985" s="24" t="inlineStr">
        <is>
          <t>mico</t>
        </is>
      </c>
      <c r="E985" s="24" t="inlineStr">
        <is>
          <t>059090</t>
        </is>
      </c>
      <c r="F985" s="24" t="inlineStr">
        <is>
          <t>2025</t>
        </is>
      </c>
      <c r="G985" s="24" t="inlineStr">
        <is>
          <t>CFS</t>
        </is>
      </c>
      <c r="H985" s="24" t="inlineStr">
        <is>
          <t>CF</t>
        </is>
      </c>
      <c r="I985" s="24" t="inlineStr">
        <is>
          <t>현금흐름표</t>
        </is>
      </c>
      <c r="J985" s="24" t="inlineStr">
        <is>
          <t>-표준계정코드 미사용-</t>
        </is>
      </c>
      <c r="K985" s="24" t="inlineStr">
        <is>
          <t>장기예수금의 감소</t>
        </is>
      </c>
      <c r="L985" s="24" t="inlineStr">
        <is>
          <t>-</t>
        </is>
      </c>
      <c r="M985" s="24" t="inlineStr">
        <is>
          <t>제 27 기</t>
        </is>
      </c>
      <c r="N985" s="24" t="inlineStr">
        <is>
          <t>0.0</t>
        </is>
      </c>
      <c r="O985" s="24" t="inlineStr">
        <is>
          <t>0.0</t>
        </is>
      </c>
      <c r="P985" s="24" t="inlineStr">
        <is>
          <t>KRW</t>
        </is>
      </c>
      <c r="Q985" s="24" t="inlineStr">
        <is>
          <t>20</t>
        </is>
      </c>
    </row>
    <row r="986" ht="24" customHeight="1">
      <c r="A986" s="29" t="inlineStr">
        <is>
          <t>OpenDART_fnlttSinglAcntAll</t>
        </is>
      </c>
      <c r="B986" s="29" t="inlineStr">
        <is>
          <t>00366942</t>
        </is>
      </c>
      <c r="C986" s="29" t="inlineStr">
        <is>
          <t>미코</t>
        </is>
      </c>
      <c r="D986" s="29" t="inlineStr">
        <is>
          <t>mico</t>
        </is>
      </c>
      <c r="E986" s="29" t="inlineStr">
        <is>
          <t>059090</t>
        </is>
      </c>
      <c r="F986" s="29" t="inlineStr">
        <is>
          <t>2025</t>
        </is>
      </c>
      <c r="G986" s="29" t="inlineStr">
        <is>
          <t>CFS</t>
        </is>
      </c>
      <c r="H986" s="29" t="inlineStr">
        <is>
          <t>CF</t>
        </is>
      </c>
      <c r="I986" s="29" t="inlineStr">
        <is>
          <t>현금흐름표</t>
        </is>
      </c>
      <c r="J986" s="29" t="inlineStr">
        <is>
          <t>-표준계정코드 미사용-</t>
        </is>
      </c>
      <c r="K986" s="29" t="inlineStr">
        <is>
          <t>유동성장기차입금의 상환</t>
        </is>
      </c>
      <c r="L986" s="29" t="inlineStr">
        <is>
          <t>-</t>
        </is>
      </c>
      <c r="M986" s="29" t="inlineStr">
        <is>
          <t>제 27 기</t>
        </is>
      </c>
      <c r="N986" s="29" t="inlineStr">
        <is>
          <t>38891994000.0</t>
        </is>
      </c>
      <c r="O986" s="29" t="inlineStr">
        <is>
          <t>20376950000.0</t>
        </is>
      </c>
      <c r="P986" s="29" t="inlineStr">
        <is>
          <t>KRW</t>
        </is>
      </c>
      <c r="Q986" s="29" t="inlineStr">
        <is>
          <t>21</t>
        </is>
      </c>
    </row>
    <row r="987" ht="24" customHeight="1">
      <c r="A987" s="24" t="inlineStr">
        <is>
          <t>OpenDART_fnlttSinglAcntAll</t>
        </is>
      </c>
      <c r="B987" s="24" t="inlineStr">
        <is>
          <t>00366942</t>
        </is>
      </c>
      <c r="C987" s="24" t="inlineStr">
        <is>
          <t>미코</t>
        </is>
      </c>
      <c r="D987" s="24" t="inlineStr">
        <is>
          <t>mico</t>
        </is>
      </c>
      <c r="E987" s="24" t="inlineStr">
        <is>
          <t>059090</t>
        </is>
      </c>
      <c r="F987" s="24" t="inlineStr">
        <is>
          <t>2025</t>
        </is>
      </c>
      <c r="G987" s="24" t="inlineStr">
        <is>
          <t>CFS</t>
        </is>
      </c>
      <c r="H987" s="24" t="inlineStr">
        <is>
          <t>CF</t>
        </is>
      </c>
      <c r="I987" s="24" t="inlineStr">
        <is>
          <t>현금흐름표</t>
        </is>
      </c>
      <c r="J987" s="24" t="inlineStr">
        <is>
          <t>ifrs-full_DividendsPaidClassifiedAsFinancingActivities</t>
        </is>
      </c>
      <c r="K987" s="24" t="inlineStr">
        <is>
          <t>배당금의 지급</t>
        </is>
      </c>
      <c r="L987" s="24" t="inlineStr">
        <is>
          <t>-</t>
        </is>
      </c>
      <c r="M987" s="24" t="inlineStr">
        <is>
          <t>제 27 기</t>
        </is>
      </c>
      <c r="N987" s="24" t="inlineStr">
        <is>
          <t>10720304000.0</t>
        </is>
      </c>
      <c r="O987" s="24" t="inlineStr">
        <is>
          <t>4856729000.0</t>
        </is>
      </c>
      <c r="P987" s="24" t="inlineStr">
        <is>
          <t>KRW</t>
        </is>
      </c>
      <c r="Q987" s="24" t="inlineStr">
        <is>
          <t>22</t>
        </is>
      </c>
    </row>
    <row r="988" ht="24" customHeight="1">
      <c r="A988" s="29" t="inlineStr">
        <is>
          <t>OpenDART_fnlttSinglAcntAll</t>
        </is>
      </c>
      <c r="B988" s="29" t="inlineStr">
        <is>
          <t>00366942</t>
        </is>
      </c>
      <c r="C988" s="29" t="inlineStr">
        <is>
          <t>미코</t>
        </is>
      </c>
      <c r="D988" s="29" t="inlineStr">
        <is>
          <t>mico</t>
        </is>
      </c>
      <c r="E988" s="29" t="inlineStr">
        <is>
          <t>059090</t>
        </is>
      </c>
      <c r="F988" s="29" t="inlineStr">
        <is>
          <t>2025</t>
        </is>
      </c>
      <c r="G988" s="29" t="inlineStr">
        <is>
          <t>CFS</t>
        </is>
      </c>
      <c r="H988" s="29" t="inlineStr">
        <is>
          <t>CF</t>
        </is>
      </c>
      <c r="I988" s="29" t="inlineStr">
        <is>
          <t>현금흐름표</t>
        </is>
      </c>
      <c r="J988" s="29" t="inlineStr">
        <is>
          <t>ifrs-full_PaymentsOfLeaseLiabilitiesClassifiedAsFinancingActivities</t>
        </is>
      </c>
      <c r="K988" s="29" t="inlineStr">
        <is>
          <t>리스부채의 상환</t>
        </is>
      </c>
      <c r="L988" s="29" t="inlineStr">
        <is>
          <t>-</t>
        </is>
      </c>
      <c r="M988" s="29" t="inlineStr">
        <is>
          <t>제 27 기</t>
        </is>
      </c>
      <c r="N988" s="29" t="inlineStr">
        <is>
          <t>5248816301.0</t>
        </is>
      </c>
      <c r="O988" s="29" t="inlineStr">
        <is>
          <t>3208016147.0</t>
        </is>
      </c>
      <c r="P988" s="29" t="inlineStr">
        <is>
          <t>KRW</t>
        </is>
      </c>
      <c r="Q988" s="29" t="inlineStr">
        <is>
          <t>23</t>
        </is>
      </c>
    </row>
    <row r="989" ht="24" customHeight="1">
      <c r="A989" s="24" t="inlineStr">
        <is>
          <t>OpenDART_fnlttSinglAcntAll</t>
        </is>
      </c>
      <c r="B989" s="24" t="inlineStr">
        <is>
          <t>00366942</t>
        </is>
      </c>
      <c r="C989" s="24" t="inlineStr">
        <is>
          <t>미코</t>
        </is>
      </c>
      <c r="D989" s="24" t="inlineStr">
        <is>
          <t>mico</t>
        </is>
      </c>
      <c r="E989" s="24" t="inlineStr">
        <is>
          <t>059090</t>
        </is>
      </c>
      <c r="F989" s="24" t="inlineStr">
        <is>
          <t>2025</t>
        </is>
      </c>
      <c r="G989" s="24" t="inlineStr">
        <is>
          <t>CFS</t>
        </is>
      </c>
      <c r="H989" s="24" t="inlineStr">
        <is>
          <t>CF</t>
        </is>
      </c>
      <c r="I989" s="24" t="inlineStr">
        <is>
          <t>현금흐름표</t>
        </is>
      </c>
      <c r="J989" s="24" t="inlineStr">
        <is>
          <t>ifrs-full_ProceedsFromChangesInOwnershipInterestsInSubsidiaries</t>
        </is>
      </c>
      <c r="K989" s="24" t="inlineStr">
        <is>
          <t>종속기업의 유상증자</t>
        </is>
      </c>
      <c r="L989" s="24" t="inlineStr">
        <is>
          <t>-</t>
        </is>
      </c>
      <c r="M989" s="24" t="inlineStr">
        <is>
          <t>제 27 기</t>
        </is>
      </c>
      <c r="N989" s="24" t="inlineStr">
        <is>
          <t>59966223024.0</t>
        </is>
      </c>
      <c r="O989" s="24" t="inlineStr">
        <is>
          <t>0.0</t>
        </is>
      </c>
      <c r="P989" s="24" t="inlineStr">
        <is>
          <t>KRW</t>
        </is>
      </c>
      <c r="Q989" s="24" t="inlineStr">
        <is>
          <t>24</t>
        </is>
      </c>
    </row>
    <row r="990" ht="24" customHeight="1">
      <c r="A990" s="29" t="inlineStr">
        <is>
          <t>OpenDART_fnlttSinglAcntAll</t>
        </is>
      </c>
      <c r="B990" s="29" t="inlineStr">
        <is>
          <t>00366942</t>
        </is>
      </c>
      <c r="C990" s="29" t="inlineStr">
        <is>
          <t>미코</t>
        </is>
      </c>
      <c r="D990" s="29" t="inlineStr">
        <is>
          <t>mico</t>
        </is>
      </c>
      <c r="E990" s="29" t="inlineStr">
        <is>
          <t>059090</t>
        </is>
      </c>
      <c r="F990" s="29" t="inlineStr">
        <is>
          <t>2025</t>
        </is>
      </c>
      <c r="G990" s="29" t="inlineStr">
        <is>
          <t>CFS</t>
        </is>
      </c>
      <c r="H990" s="29" t="inlineStr">
        <is>
          <t>CF</t>
        </is>
      </c>
      <c r="I990" s="29" t="inlineStr">
        <is>
          <t>현금흐름표</t>
        </is>
      </c>
      <c r="J990" s="29" t="inlineStr">
        <is>
          <t>ifrs-full_ProceedsFromGovernmentGrantsClassifiedAsFinancingActivities</t>
        </is>
      </c>
      <c r="K990" s="29" t="inlineStr">
        <is>
          <t>정부보조금의 수취</t>
        </is>
      </c>
      <c r="L990" s="29" t="inlineStr">
        <is>
          <t>-</t>
        </is>
      </c>
      <c r="M990" s="29" t="inlineStr">
        <is>
          <t>제 27 기</t>
        </is>
      </c>
      <c r="N990" s="29" t="inlineStr">
        <is>
          <t>0.0</t>
        </is>
      </c>
      <c r="O990" s="29" t="inlineStr">
        <is>
          <t>0.0</t>
        </is>
      </c>
      <c r="P990" s="29" t="inlineStr">
        <is>
          <t>KRW</t>
        </is>
      </c>
      <c r="Q990" s="29" t="inlineStr">
        <is>
          <t>25</t>
        </is>
      </c>
    </row>
    <row r="991" ht="24" customHeight="1">
      <c r="A991" s="24" t="inlineStr">
        <is>
          <t>OpenDART_fnlttSinglAcntAll</t>
        </is>
      </c>
      <c r="B991" s="24" t="inlineStr">
        <is>
          <t>00366942</t>
        </is>
      </c>
      <c r="C991" s="24" t="inlineStr">
        <is>
          <t>미코</t>
        </is>
      </c>
      <c r="D991" s="24" t="inlineStr">
        <is>
          <t>mico</t>
        </is>
      </c>
      <c r="E991" s="24" t="inlineStr">
        <is>
          <t>059090</t>
        </is>
      </c>
      <c r="F991" s="24" t="inlineStr">
        <is>
          <t>2025</t>
        </is>
      </c>
      <c r="G991" s="24" t="inlineStr">
        <is>
          <t>CFS</t>
        </is>
      </c>
      <c r="H991" s="24" t="inlineStr">
        <is>
          <t>CF</t>
        </is>
      </c>
      <c r="I991" s="24" t="inlineStr">
        <is>
          <t>현금흐름표</t>
        </is>
      </c>
      <c r="J991" s="24" t="inlineStr">
        <is>
          <t>ifrs-full_CashFlowsFromUsedInInvestingActivities</t>
        </is>
      </c>
      <c r="K991" s="24" t="inlineStr">
        <is>
          <t>투자활동 현금흐름</t>
        </is>
      </c>
      <c r="L991" s="24" t="inlineStr">
        <is>
          <t>-</t>
        </is>
      </c>
      <c r="M991" s="24" t="inlineStr">
        <is>
          <t>제 27 기</t>
        </is>
      </c>
      <c r="N991" s="24" t="inlineStr">
        <is>
          <t>-566350071888.0</t>
        </is>
      </c>
      <c r="O991" s="24" t="inlineStr">
        <is>
          <t>-161288125431.0</t>
        </is>
      </c>
      <c r="P991" s="24" t="inlineStr">
        <is>
          <t>KRW</t>
        </is>
      </c>
      <c r="Q991" s="24" t="inlineStr">
        <is>
          <t>26</t>
        </is>
      </c>
    </row>
    <row r="992" ht="24" customHeight="1">
      <c r="A992" s="29" t="inlineStr">
        <is>
          <t>OpenDART_fnlttSinglAcntAll</t>
        </is>
      </c>
      <c r="B992" s="29" t="inlineStr">
        <is>
          <t>00366942</t>
        </is>
      </c>
      <c r="C992" s="29" t="inlineStr">
        <is>
          <t>미코</t>
        </is>
      </c>
      <c r="D992" s="29" t="inlineStr">
        <is>
          <t>mico</t>
        </is>
      </c>
      <c r="E992" s="29" t="inlineStr">
        <is>
          <t>059090</t>
        </is>
      </c>
      <c r="F992" s="29" t="inlineStr">
        <is>
          <t>2025</t>
        </is>
      </c>
      <c r="G992" s="29" t="inlineStr">
        <is>
          <t>CFS</t>
        </is>
      </c>
      <c r="H992" s="29" t="inlineStr">
        <is>
          <t>CF</t>
        </is>
      </c>
      <c r="I992" s="29" t="inlineStr">
        <is>
          <t>현금흐름표</t>
        </is>
      </c>
      <c r="J992" s="29" t="inlineStr">
        <is>
          <t>dart_DecreaseInGuaranteeDeposits</t>
        </is>
      </c>
      <c r="K992" s="29" t="inlineStr">
        <is>
          <t>보증금의 회수</t>
        </is>
      </c>
      <c r="L992" s="29" t="inlineStr">
        <is>
          <t>-</t>
        </is>
      </c>
      <c r="M992" s="29" t="inlineStr">
        <is>
          <t>제 27 기</t>
        </is>
      </c>
      <c r="N992" s="29" t="inlineStr">
        <is>
          <t>8252496009.0</t>
        </is>
      </c>
      <c r="O992" s="29" t="inlineStr">
        <is>
          <t>186834902.0</t>
        </is>
      </c>
      <c r="P992" s="29" t="inlineStr">
        <is>
          <t>KRW</t>
        </is>
      </c>
      <c r="Q992" s="29" t="inlineStr">
        <is>
          <t>27</t>
        </is>
      </c>
    </row>
    <row r="993" ht="24" customHeight="1">
      <c r="A993" s="24" t="inlineStr">
        <is>
          <t>OpenDART_fnlttSinglAcntAll</t>
        </is>
      </c>
      <c r="B993" s="24" t="inlineStr">
        <is>
          <t>00366942</t>
        </is>
      </c>
      <c r="C993" s="24" t="inlineStr">
        <is>
          <t>미코</t>
        </is>
      </c>
      <c r="D993" s="24" t="inlineStr">
        <is>
          <t>mico</t>
        </is>
      </c>
      <c r="E993" s="24" t="inlineStr">
        <is>
          <t>059090</t>
        </is>
      </c>
      <c r="F993" s="24" t="inlineStr">
        <is>
          <t>2025</t>
        </is>
      </c>
      <c r="G993" s="24" t="inlineStr">
        <is>
          <t>CFS</t>
        </is>
      </c>
      <c r="H993" s="24" t="inlineStr">
        <is>
          <t>CF</t>
        </is>
      </c>
      <c r="I993" s="24" t="inlineStr">
        <is>
          <t>현금흐름표</t>
        </is>
      </c>
      <c r="J993" s="24" t="inlineStr">
        <is>
          <t>dart_DecreaseInLoans</t>
        </is>
      </c>
      <c r="K993" s="24" t="inlineStr">
        <is>
          <t>대여금의 감소</t>
        </is>
      </c>
      <c r="L993" s="24" t="inlineStr">
        <is>
          <t>-</t>
        </is>
      </c>
      <c r="M993" s="24" t="inlineStr">
        <is>
          <t>제 27 기</t>
        </is>
      </c>
      <c r="N993" s="24" t="inlineStr">
        <is>
          <t>18426709970.0</t>
        </is>
      </c>
      <c r="O993" s="24" t="inlineStr">
        <is>
          <t>5023380656.0</t>
        </is>
      </c>
      <c r="P993" s="24" t="inlineStr">
        <is>
          <t>KRW</t>
        </is>
      </c>
      <c r="Q993" s="24" t="inlineStr">
        <is>
          <t>28</t>
        </is>
      </c>
    </row>
    <row r="994" ht="24" customHeight="1">
      <c r="A994" s="29" t="inlineStr">
        <is>
          <t>OpenDART_fnlttSinglAcntAll</t>
        </is>
      </c>
      <c r="B994" s="29" t="inlineStr">
        <is>
          <t>00366942</t>
        </is>
      </c>
      <c r="C994" s="29" t="inlineStr">
        <is>
          <t>미코</t>
        </is>
      </c>
      <c r="D994" s="29" t="inlineStr">
        <is>
          <t>mico</t>
        </is>
      </c>
      <c r="E994" s="29" t="inlineStr">
        <is>
          <t>059090</t>
        </is>
      </c>
      <c r="F994" s="29" t="inlineStr">
        <is>
          <t>2025</t>
        </is>
      </c>
      <c r="G994" s="29" t="inlineStr">
        <is>
          <t>CFS</t>
        </is>
      </c>
      <c r="H994" s="29" t="inlineStr">
        <is>
          <t>CF</t>
        </is>
      </c>
      <c r="I994" s="29" t="inlineStr">
        <is>
          <t>현금흐름표</t>
        </is>
      </c>
      <c r="J994" s="29" t="inlineStr">
        <is>
          <t>dart_IncreaseInGuaranteeDeposits</t>
        </is>
      </c>
      <c r="K994" s="29" t="inlineStr">
        <is>
          <t>보증금의 증가</t>
        </is>
      </c>
      <c r="L994" s="29" t="inlineStr">
        <is>
          <t>-</t>
        </is>
      </c>
      <c r="M994" s="29" t="inlineStr">
        <is>
          <t>제 27 기</t>
        </is>
      </c>
      <c r="N994" s="29" t="inlineStr">
        <is>
          <t>9115068067.0</t>
        </is>
      </c>
      <c r="O994" s="29" t="inlineStr">
        <is>
          <t>1085937410.0</t>
        </is>
      </c>
      <c r="P994" s="29" t="inlineStr">
        <is>
          <t>KRW</t>
        </is>
      </c>
      <c r="Q994" s="29" t="inlineStr">
        <is>
          <t>29</t>
        </is>
      </c>
    </row>
    <row r="995" ht="24" customHeight="1">
      <c r="A995" s="24" t="inlineStr">
        <is>
          <t>OpenDART_fnlttSinglAcntAll</t>
        </is>
      </c>
      <c r="B995" s="24" t="inlineStr">
        <is>
          <t>00366942</t>
        </is>
      </c>
      <c r="C995" s="24" t="inlineStr">
        <is>
          <t>미코</t>
        </is>
      </c>
      <c r="D995" s="24" t="inlineStr">
        <is>
          <t>mico</t>
        </is>
      </c>
      <c r="E995" s="24" t="inlineStr">
        <is>
          <t>059090</t>
        </is>
      </c>
      <c r="F995" s="24" t="inlineStr">
        <is>
          <t>2025</t>
        </is>
      </c>
      <c r="G995" s="24" t="inlineStr">
        <is>
          <t>CFS</t>
        </is>
      </c>
      <c r="H995" s="24" t="inlineStr">
        <is>
          <t>CF</t>
        </is>
      </c>
      <c r="I995" s="24" t="inlineStr">
        <is>
          <t>현금흐름표</t>
        </is>
      </c>
      <c r="J995" s="24" t="inlineStr">
        <is>
          <t>dart_IncreaseInLoans</t>
        </is>
      </c>
      <c r="K995" s="24" t="inlineStr">
        <is>
          <t>대여금의 증가</t>
        </is>
      </c>
      <c r="L995" s="24" t="inlineStr">
        <is>
          <t>-</t>
        </is>
      </c>
      <c r="M995" s="24" t="inlineStr">
        <is>
          <t>제 27 기</t>
        </is>
      </c>
      <c r="N995" s="24" t="inlineStr">
        <is>
          <t>23865446931.0</t>
        </is>
      </c>
      <c r="O995" s="24" t="inlineStr">
        <is>
          <t>17316777797.0</t>
        </is>
      </c>
      <c r="P995" s="24" t="inlineStr">
        <is>
          <t>KRW</t>
        </is>
      </c>
      <c r="Q995" s="24" t="inlineStr">
        <is>
          <t>30</t>
        </is>
      </c>
    </row>
    <row r="996" ht="24" customHeight="1">
      <c r="A996" s="29" t="inlineStr">
        <is>
          <t>OpenDART_fnlttSinglAcntAll</t>
        </is>
      </c>
      <c r="B996" s="29" t="inlineStr">
        <is>
          <t>00366942</t>
        </is>
      </c>
      <c r="C996" s="29" t="inlineStr">
        <is>
          <t>미코</t>
        </is>
      </c>
      <c r="D996" s="29" t="inlineStr">
        <is>
          <t>mico</t>
        </is>
      </c>
      <c r="E996" s="29" t="inlineStr">
        <is>
          <t>059090</t>
        </is>
      </c>
      <c r="F996" s="29" t="inlineStr">
        <is>
          <t>2025</t>
        </is>
      </c>
      <c r="G996" s="29" t="inlineStr">
        <is>
          <t>CFS</t>
        </is>
      </c>
      <c r="H996" s="29" t="inlineStr">
        <is>
          <t>CF</t>
        </is>
      </c>
      <c r="I996" s="29" t="inlineStr">
        <is>
          <t>현금흐름표</t>
        </is>
      </c>
      <c r="J996" s="29" t="inlineStr">
        <is>
          <t>dart_PaymentForConsolidatedCapitalTransactions</t>
        </is>
      </c>
      <c r="K996" s="29" t="inlineStr">
        <is>
          <t>연결범위변동으로 인한 현금유출입</t>
        </is>
      </c>
      <c r="L996" s="29" t="inlineStr">
        <is>
          <t>-</t>
        </is>
      </c>
      <c r="M996" s="29" t="inlineStr">
        <is>
          <t>제 27 기</t>
        </is>
      </c>
      <c r="N996" s="29" t="inlineStr">
        <is>
          <t>154385713104.0</t>
        </is>
      </c>
      <c r="O996" s="29" t="inlineStr">
        <is>
          <t>-23129821446.0</t>
        </is>
      </c>
      <c r="P996" s="29" t="inlineStr">
        <is>
          <t>KRW</t>
        </is>
      </c>
      <c r="Q996" s="29" t="inlineStr">
        <is>
          <t>31</t>
        </is>
      </c>
    </row>
    <row r="997" ht="24" customHeight="1">
      <c r="A997" s="24" t="inlineStr">
        <is>
          <t>OpenDART_fnlttSinglAcntAll</t>
        </is>
      </c>
      <c r="B997" s="24" t="inlineStr">
        <is>
          <t>00366942</t>
        </is>
      </c>
      <c r="C997" s="24" t="inlineStr">
        <is>
          <t>미코</t>
        </is>
      </c>
      <c r="D997" s="24" t="inlineStr">
        <is>
          <t>mico</t>
        </is>
      </c>
      <c r="E997" s="24" t="inlineStr">
        <is>
          <t>059090</t>
        </is>
      </c>
      <c r="F997" s="24" t="inlineStr">
        <is>
          <t>2025</t>
        </is>
      </c>
      <c r="G997" s="24" t="inlineStr">
        <is>
          <t>CFS</t>
        </is>
      </c>
      <c r="H997" s="24" t="inlineStr">
        <is>
          <t>CF</t>
        </is>
      </c>
      <c r="I997" s="24" t="inlineStr">
        <is>
          <t>현금흐름표</t>
        </is>
      </c>
      <c r="J997" s="24" t="inlineStr">
        <is>
          <t>dart_ProceedsFromSalesOfFairValueFinancialAsset</t>
        </is>
      </c>
      <c r="K997" s="24" t="inlineStr">
        <is>
          <t>당기손익-공정가치측정 금융자산의 처분</t>
        </is>
      </c>
      <c r="L997" s="24" t="inlineStr">
        <is>
          <t>-</t>
        </is>
      </c>
      <c r="M997" s="24" t="inlineStr">
        <is>
          <t>제 27 기</t>
        </is>
      </c>
      <c r="N997" s="24" t="inlineStr">
        <is>
          <t>18548395238.0</t>
        </is>
      </c>
      <c r="O997" s="24" t="inlineStr">
        <is>
          <t>726673160.0</t>
        </is>
      </c>
      <c r="P997" s="24" t="inlineStr">
        <is>
          <t>KRW</t>
        </is>
      </c>
      <c r="Q997" s="24" t="inlineStr">
        <is>
          <t>32</t>
        </is>
      </c>
    </row>
    <row r="998" ht="24" customHeight="1">
      <c r="A998" s="29" t="inlineStr">
        <is>
          <t>OpenDART_fnlttSinglAcntAll</t>
        </is>
      </c>
      <c r="B998" s="29" t="inlineStr">
        <is>
          <t>00366942</t>
        </is>
      </c>
      <c r="C998" s="29" t="inlineStr">
        <is>
          <t>미코</t>
        </is>
      </c>
      <c r="D998" s="29" t="inlineStr">
        <is>
          <t>mico</t>
        </is>
      </c>
      <c r="E998" s="29" t="inlineStr">
        <is>
          <t>059090</t>
        </is>
      </c>
      <c r="F998" s="29" t="inlineStr">
        <is>
          <t>2025</t>
        </is>
      </c>
      <c r="G998" s="29" t="inlineStr">
        <is>
          <t>CFS</t>
        </is>
      </c>
      <c r="H998" s="29" t="inlineStr">
        <is>
          <t>CF</t>
        </is>
      </c>
      <c r="I998" s="29" t="inlineStr">
        <is>
          <t>현금흐름표</t>
        </is>
      </c>
      <c r="J998" s="29" t="inlineStr">
        <is>
          <t>dart_ProceedsFromSalesOfFinancialAssetsAtFairValueThroughOtherComprehensiveIncome</t>
        </is>
      </c>
      <c r="K998" s="29" t="inlineStr">
        <is>
          <t>기타포괄손익-공정가치측정금융자산의처분</t>
        </is>
      </c>
      <c r="L998" s="29" t="inlineStr">
        <is>
          <t>-</t>
        </is>
      </c>
      <c r="M998" s="29" t="inlineStr">
        <is>
          <t>제 27 기</t>
        </is>
      </c>
      <c r="N998" s="29" t="inlineStr">
        <is>
          <t>0.0</t>
        </is>
      </c>
      <c r="O998" s="29" t="inlineStr">
        <is>
          <t>0.0</t>
        </is>
      </c>
      <c r="P998" s="29" t="inlineStr">
        <is>
          <t>KRW</t>
        </is>
      </c>
      <c r="Q998" s="29" t="inlineStr">
        <is>
          <t>33</t>
        </is>
      </c>
    </row>
    <row r="999" ht="24" customHeight="1">
      <c r="A999" s="24" t="inlineStr">
        <is>
          <t>OpenDART_fnlttSinglAcntAll</t>
        </is>
      </c>
      <c r="B999" s="24" t="inlineStr">
        <is>
          <t>00366942</t>
        </is>
      </c>
      <c r="C999" s="24" t="inlineStr">
        <is>
          <t>미코</t>
        </is>
      </c>
      <c r="D999" s="24" t="inlineStr">
        <is>
          <t>mico</t>
        </is>
      </c>
      <c r="E999" s="24" t="inlineStr">
        <is>
          <t>059090</t>
        </is>
      </c>
      <c r="F999" s="24" t="inlineStr">
        <is>
          <t>2025</t>
        </is>
      </c>
      <c r="G999" s="24" t="inlineStr">
        <is>
          <t>CFS</t>
        </is>
      </c>
      <c r="H999" s="24" t="inlineStr">
        <is>
          <t>CF</t>
        </is>
      </c>
      <c r="I999" s="24" t="inlineStr">
        <is>
          <t>현금흐름표</t>
        </is>
      </c>
      <c r="J999" s="24" t="inlineStr">
        <is>
          <t>dart_ProceedsFromSalesOfFinancialInstruments</t>
        </is>
      </c>
      <c r="K999" s="24" t="inlineStr">
        <is>
          <t>금융상품의 감소</t>
        </is>
      </c>
      <c r="L999" s="24" t="inlineStr">
        <is>
          <t>-</t>
        </is>
      </c>
      <c r="M999" s="24" t="inlineStr">
        <is>
          <t>제 27 기</t>
        </is>
      </c>
      <c r="N999" s="24" t="inlineStr">
        <is>
          <t>50975167820.0</t>
        </is>
      </c>
      <c r="O999" s="24" t="inlineStr">
        <is>
          <t>97128120000.0</t>
        </is>
      </c>
      <c r="P999" s="24" t="inlineStr">
        <is>
          <t>KRW</t>
        </is>
      </c>
      <c r="Q999" s="24" t="inlineStr">
        <is>
          <t>34</t>
        </is>
      </c>
    </row>
    <row r="1000" ht="24" customHeight="1">
      <c r="A1000" s="29" t="inlineStr">
        <is>
          <t>OpenDART_fnlttSinglAcntAll</t>
        </is>
      </c>
      <c r="B1000" s="29" t="inlineStr">
        <is>
          <t>00366942</t>
        </is>
      </c>
      <c r="C1000" s="29" t="inlineStr">
        <is>
          <t>미코</t>
        </is>
      </c>
      <c r="D1000" s="29" t="inlineStr">
        <is>
          <t>mico</t>
        </is>
      </c>
      <c r="E1000" s="29" t="inlineStr">
        <is>
          <t>059090</t>
        </is>
      </c>
      <c r="F1000" s="29" t="inlineStr">
        <is>
          <t>2025</t>
        </is>
      </c>
      <c r="G1000" s="29" t="inlineStr">
        <is>
          <t>CFS</t>
        </is>
      </c>
      <c r="H1000" s="29" t="inlineStr">
        <is>
          <t>CF</t>
        </is>
      </c>
      <c r="I1000" s="29" t="inlineStr">
        <is>
          <t>현금흐름표</t>
        </is>
      </c>
      <c r="J1000" s="29" t="inlineStr">
        <is>
          <t>dart_PurchaseOfFinancialAssetsAtFairValueThroughProfitOrLossClassifiedAsInvestingActivities</t>
        </is>
      </c>
      <c r="K1000" s="29" t="inlineStr">
        <is>
          <t>당기손익-공정가치측정 금융자산의 취득</t>
        </is>
      </c>
      <c r="L1000" s="29" t="inlineStr">
        <is>
          <t>-</t>
        </is>
      </c>
      <c r="M1000" s="29" t="inlineStr">
        <is>
          <t>제 27 기</t>
        </is>
      </c>
      <c r="N1000" s="29" t="inlineStr">
        <is>
          <t>71865230024.0</t>
        </is>
      </c>
      <c r="O1000" s="29" t="inlineStr">
        <is>
          <t>1356010000.0</t>
        </is>
      </c>
      <c r="P1000" s="29" t="inlineStr">
        <is>
          <t>KRW</t>
        </is>
      </c>
      <c r="Q1000" s="29" t="inlineStr">
        <is>
          <t>35</t>
        </is>
      </c>
    </row>
    <row r="1001" ht="24" customHeight="1">
      <c r="A1001" s="24" t="inlineStr">
        <is>
          <t>OpenDART_fnlttSinglAcntAll</t>
        </is>
      </c>
      <c r="B1001" s="24" t="inlineStr">
        <is>
          <t>00366942</t>
        </is>
      </c>
      <c r="C1001" s="24" t="inlineStr">
        <is>
          <t>미코</t>
        </is>
      </c>
      <c r="D1001" s="24" t="inlineStr">
        <is>
          <t>mico</t>
        </is>
      </c>
      <c r="E1001" s="24" t="inlineStr">
        <is>
          <t>059090</t>
        </is>
      </c>
      <c r="F1001" s="24" t="inlineStr">
        <is>
          <t>2025</t>
        </is>
      </c>
      <c r="G1001" s="24" t="inlineStr">
        <is>
          <t>CFS</t>
        </is>
      </c>
      <c r="H1001" s="24" t="inlineStr">
        <is>
          <t>CF</t>
        </is>
      </c>
      <c r="I1001" s="24" t="inlineStr">
        <is>
          <t>현금흐름표</t>
        </is>
      </c>
      <c r="J1001" s="24" t="inlineStr">
        <is>
          <t>dart_PurchaseOfFinancialInstruments</t>
        </is>
      </c>
      <c r="K1001" s="24" t="inlineStr">
        <is>
          <t>금융상품의 증가</t>
        </is>
      </c>
      <c r="L1001" s="24" t="inlineStr">
        <is>
          <t>-</t>
        </is>
      </c>
      <c r="M1001" s="24" t="inlineStr">
        <is>
          <t>제 27 기</t>
        </is>
      </c>
      <c r="N1001" s="24" t="inlineStr">
        <is>
          <t>35455820021.0</t>
        </is>
      </c>
      <c r="O1001" s="24" t="inlineStr">
        <is>
          <t>87495322850.0</t>
        </is>
      </c>
      <c r="P1001" s="24" t="inlineStr">
        <is>
          <t>KRW</t>
        </is>
      </c>
      <c r="Q1001" s="24" t="inlineStr">
        <is>
          <t>36</t>
        </is>
      </c>
    </row>
    <row r="1002" ht="24" customHeight="1">
      <c r="A1002" s="29" t="inlineStr">
        <is>
          <t>OpenDART_fnlttSinglAcntAll</t>
        </is>
      </c>
      <c r="B1002" s="29" t="inlineStr">
        <is>
          <t>00366942</t>
        </is>
      </c>
      <c r="C1002" s="29" t="inlineStr">
        <is>
          <t>미코</t>
        </is>
      </c>
      <c r="D1002" s="29" t="inlineStr">
        <is>
          <t>mico</t>
        </is>
      </c>
      <c r="E1002" s="29" t="inlineStr">
        <is>
          <t>059090</t>
        </is>
      </c>
      <c r="F1002" s="29" t="inlineStr">
        <is>
          <t>2025</t>
        </is>
      </c>
      <c r="G1002" s="29" t="inlineStr">
        <is>
          <t>CFS</t>
        </is>
      </c>
      <c r="H1002" s="29" t="inlineStr">
        <is>
          <t>CF</t>
        </is>
      </c>
      <c r="I1002" s="29" t="inlineStr">
        <is>
          <t>현금흐름표</t>
        </is>
      </c>
      <c r="J1002" s="29" t="inlineStr">
        <is>
          <t>dart_PurchaseOfLiabilitiesIncludedInDisposalGroupsClassifiedAsHeldForSale</t>
        </is>
      </c>
      <c r="K1002" s="29" t="inlineStr">
        <is>
          <t>매각예정자산에 대한 선수금의 수취</t>
        </is>
      </c>
      <c r="L1002" s="29" t="inlineStr">
        <is>
          <t>-</t>
        </is>
      </c>
      <c r="M1002" s="29" t="inlineStr">
        <is>
          <t>제 27 기</t>
        </is>
      </c>
      <c r="N1002" s="29" t="inlineStr">
        <is>
          <t>0.0</t>
        </is>
      </c>
      <c r="O1002" s="29" t="inlineStr">
        <is>
          <t>-3703580113.0</t>
        </is>
      </c>
      <c r="P1002" s="29" t="inlineStr">
        <is>
          <t>KRW</t>
        </is>
      </c>
      <c r="Q1002" s="29" t="inlineStr">
        <is>
          <t>37</t>
        </is>
      </c>
    </row>
    <row r="1003" ht="24" customHeight="1">
      <c r="A1003" s="24" t="inlineStr">
        <is>
          <t>OpenDART_fnlttSinglAcntAll</t>
        </is>
      </c>
      <c r="B1003" s="24" t="inlineStr">
        <is>
          <t>00366942</t>
        </is>
      </c>
      <c r="C1003" s="24" t="inlineStr">
        <is>
          <t>미코</t>
        </is>
      </c>
      <c r="D1003" s="24" t="inlineStr">
        <is>
          <t>mico</t>
        </is>
      </c>
      <c r="E1003" s="24" t="inlineStr">
        <is>
          <t>059090</t>
        </is>
      </c>
      <c r="F1003" s="24" t="inlineStr">
        <is>
          <t>2025</t>
        </is>
      </c>
      <c r="G1003" s="24" t="inlineStr">
        <is>
          <t>CFS</t>
        </is>
      </c>
      <c r="H1003" s="24" t="inlineStr">
        <is>
          <t>CF</t>
        </is>
      </c>
      <c r="I1003" s="24" t="inlineStr">
        <is>
          <t>현금흐름표</t>
        </is>
      </c>
      <c r="J1003" s="24" t="inlineStr">
        <is>
          <t>-표준계정코드 미사용-</t>
        </is>
      </c>
      <c r="K1003" s="24" t="inlineStr">
        <is>
          <t>파생상품부채의 감소</t>
        </is>
      </c>
      <c r="L1003" s="24" t="inlineStr">
        <is>
          <t>-</t>
        </is>
      </c>
      <c r="M1003" s="24" t="inlineStr">
        <is>
          <t>제 27 기</t>
        </is>
      </c>
      <c r="N1003" s="24" t="inlineStr">
        <is>
          <t>11282869863.0</t>
        </is>
      </c>
      <c r="O1003" s="24" t="inlineStr">
        <is>
          <t>1497008757.0</t>
        </is>
      </c>
      <c r="P1003" s="24" t="inlineStr">
        <is>
          <t>KRW</t>
        </is>
      </c>
      <c r="Q1003" s="24" t="inlineStr">
        <is>
          <t>38</t>
        </is>
      </c>
    </row>
    <row r="1004" ht="24" customHeight="1">
      <c r="A1004" s="29" t="inlineStr">
        <is>
          <t>OpenDART_fnlttSinglAcntAll</t>
        </is>
      </c>
      <c r="B1004" s="29" t="inlineStr">
        <is>
          <t>00366942</t>
        </is>
      </c>
      <c r="C1004" s="29" t="inlineStr">
        <is>
          <t>미코</t>
        </is>
      </c>
      <c r="D1004" s="29" t="inlineStr">
        <is>
          <t>mico</t>
        </is>
      </c>
      <c r="E1004" s="29" t="inlineStr">
        <is>
          <t>059090</t>
        </is>
      </c>
      <c r="F1004" s="29" t="inlineStr">
        <is>
          <t>2025</t>
        </is>
      </c>
      <c r="G1004" s="29" t="inlineStr">
        <is>
          <t>CFS</t>
        </is>
      </c>
      <c r="H1004" s="29" t="inlineStr">
        <is>
          <t>CF</t>
        </is>
      </c>
      <c r="I1004" s="29" t="inlineStr">
        <is>
          <t>현금흐름표</t>
        </is>
      </c>
      <c r="J1004" s="29" t="inlineStr">
        <is>
          <t>-표준계정코드 미사용-</t>
        </is>
      </c>
      <c r="K1004" s="29" t="inlineStr">
        <is>
          <t>관계기업투자주식 취득 선급금</t>
        </is>
      </c>
      <c r="L1004" s="29" t="inlineStr">
        <is>
          <t>-</t>
        </is>
      </c>
      <c r="M1004" s="29" t="inlineStr">
        <is>
          <t>제 27 기</t>
        </is>
      </c>
      <c r="N1004" s="29" t="inlineStr">
        <is>
          <t>0.0</t>
        </is>
      </c>
      <c r="O1004" s="29" t="inlineStr">
        <is>
          <t>300000000.0</t>
        </is>
      </c>
      <c r="P1004" s="29" t="inlineStr">
        <is>
          <t>KRW</t>
        </is>
      </c>
      <c r="Q1004" s="29" t="inlineStr">
        <is>
          <t>39</t>
        </is>
      </c>
    </row>
    <row r="1005" ht="24" customHeight="1">
      <c r="A1005" s="24" t="inlineStr">
        <is>
          <t>OpenDART_fnlttSinglAcntAll</t>
        </is>
      </c>
      <c r="B1005" s="24" t="inlineStr">
        <is>
          <t>00366942</t>
        </is>
      </c>
      <c r="C1005" s="24" t="inlineStr">
        <is>
          <t>미코</t>
        </is>
      </c>
      <c r="D1005" s="24" t="inlineStr">
        <is>
          <t>mico</t>
        </is>
      </c>
      <c r="E1005" s="24" t="inlineStr">
        <is>
          <t>059090</t>
        </is>
      </c>
      <c r="F1005" s="24" t="inlineStr">
        <is>
          <t>2025</t>
        </is>
      </c>
      <c r="G1005" s="24" t="inlineStr">
        <is>
          <t>CFS</t>
        </is>
      </c>
      <c r="H1005" s="24" t="inlineStr">
        <is>
          <t>CF</t>
        </is>
      </c>
      <c r="I1005" s="24" t="inlineStr">
        <is>
          <t>현금흐름표</t>
        </is>
      </c>
      <c r="J1005" s="24" t="inlineStr">
        <is>
          <t>-표준계정코드 미사용-</t>
        </is>
      </c>
      <c r="K1005" s="24" t="inlineStr">
        <is>
          <t>자본화차입원가에 의한 유형자산의 취득</t>
        </is>
      </c>
      <c r="L1005" s="24" t="inlineStr">
        <is>
          <t>-</t>
        </is>
      </c>
      <c r="M1005" s="24" t="inlineStr">
        <is>
          <t>제 27 기</t>
        </is>
      </c>
      <c r="N1005" s="24" t="inlineStr">
        <is>
          <t>6355214625.0</t>
        </is>
      </c>
      <c r="O1005" s="24" t="inlineStr">
        <is>
          <t>1083193444.0</t>
        </is>
      </c>
      <c r="P1005" s="24" t="inlineStr">
        <is>
          <t>KRW</t>
        </is>
      </c>
      <c r="Q1005" s="24" t="inlineStr">
        <is>
          <t>40</t>
        </is>
      </c>
    </row>
    <row r="1006" ht="24" customHeight="1">
      <c r="A1006" s="29" t="inlineStr">
        <is>
          <t>OpenDART_fnlttSinglAcntAll</t>
        </is>
      </c>
      <c r="B1006" s="29" t="inlineStr">
        <is>
          <t>00366942</t>
        </is>
      </c>
      <c r="C1006" s="29" t="inlineStr">
        <is>
          <t>미코</t>
        </is>
      </c>
      <c r="D1006" s="29" t="inlineStr">
        <is>
          <t>mico</t>
        </is>
      </c>
      <c r="E1006" s="29" t="inlineStr">
        <is>
          <t>059090</t>
        </is>
      </c>
      <c r="F1006" s="29" t="inlineStr">
        <is>
          <t>2025</t>
        </is>
      </c>
      <c r="G1006" s="29" t="inlineStr">
        <is>
          <t>CFS</t>
        </is>
      </c>
      <c r="H1006" s="29" t="inlineStr">
        <is>
          <t>CF</t>
        </is>
      </c>
      <c r="I1006" s="29" t="inlineStr">
        <is>
          <t>현금흐름표</t>
        </is>
      </c>
      <c r="J1006" s="29" t="inlineStr">
        <is>
          <t>ifrs-full_CashPaymentsForFutureContractsForwardContractsOptionContractsAndSwapContractsClassifiedAsInvestingActivities</t>
        </is>
      </c>
      <c r="K1006" s="29" t="inlineStr">
        <is>
          <t>파생상품의 증가</t>
        </is>
      </c>
      <c r="L1006" s="29" t="inlineStr">
        <is>
          <t>-</t>
        </is>
      </c>
      <c r="M1006" s="29" t="inlineStr">
        <is>
          <t>제 27 기</t>
        </is>
      </c>
      <c r="N1006" s="29" t="inlineStr">
        <is>
          <t>0.0</t>
        </is>
      </c>
      <c r="O1006" s="29" t="inlineStr">
        <is>
          <t>9581198.0</t>
        </is>
      </c>
      <c r="P1006" s="29" t="inlineStr">
        <is>
          <t>KRW</t>
        </is>
      </c>
      <c r="Q1006" s="29" t="inlineStr">
        <is>
          <t>41</t>
        </is>
      </c>
    </row>
    <row r="1007" ht="24" customHeight="1">
      <c r="A1007" s="24" t="inlineStr">
        <is>
          <t>OpenDART_fnlttSinglAcntAll</t>
        </is>
      </c>
      <c r="B1007" s="24" t="inlineStr">
        <is>
          <t>00366942</t>
        </is>
      </c>
      <c r="C1007" s="24" t="inlineStr">
        <is>
          <t>미코</t>
        </is>
      </c>
      <c r="D1007" s="24" t="inlineStr">
        <is>
          <t>mico</t>
        </is>
      </c>
      <c r="E1007" s="24" t="inlineStr">
        <is>
          <t>059090</t>
        </is>
      </c>
      <c r="F1007" s="24" t="inlineStr">
        <is>
          <t>2025</t>
        </is>
      </c>
      <c r="G1007" s="24" t="inlineStr">
        <is>
          <t>CFS</t>
        </is>
      </c>
      <c r="H1007" s="24" t="inlineStr">
        <is>
          <t>CF</t>
        </is>
      </c>
      <c r="I1007" s="24" t="inlineStr">
        <is>
          <t>현금흐름표</t>
        </is>
      </c>
      <c r="J1007" s="24" t="inlineStr">
        <is>
          <t>ifrs-full_DividendsReceivedClassifiedAsInvestingActivities</t>
        </is>
      </c>
      <c r="K1007" s="24" t="inlineStr">
        <is>
          <t>배당금의 수취</t>
        </is>
      </c>
      <c r="L1007" s="24" t="inlineStr">
        <is>
          <t>-</t>
        </is>
      </c>
      <c r="M1007" s="24" t="inlineStr">
        <is>
          <t>제 27 기</t>
        </is>
      </c>
      <c r="N1007" s="24" t="inlineStr">
        <is>
          <t>176478351.0</t>
        </is>
      </c>
      <c r="O1007" s="24" t="inlineStr">
        <is>
          <t>0.0</t>
        </is>
      </c>
      <c r="P1007" s="24" t="inlineStr">
        <is>
          <t>KRW</t>
        </is>
      </c>
      <c r="Q1007" s="24" t="inlineStr">
        <is>
          <t>42</t>
        </is>
      </c>
    </row>
    <row r="1008" ht="24" customHeight="1">
      <c r="A1008" s="29" t="inlineStr">
        <is>
          <t>OpenDART_fnlttSinglAcntAll</t>
        </is>
      </c>
      <c r="B1008" s="29" t="inlineStr">
        <is>
          <t>00366942</t>
        </is>
      </c>
      <c r="C1008" s="29" t="inlineStr">
        <is>
          <t>미코</t>
        </is>
      </c>
      <c r="D1008" s="29" t="inlineStr">
        <is>
          <t>mico</t>
        </is>
      </c>
      <c r="E1008" s="29" t="inlineStr">
        <is>
          <t>059090</t>
        </is>
      </c>
      <c r="F1008" s="29" t="inlineStr">
        <is>
          <t>2025</t>
        </is>
      </c>
      <c r="G1008" s="29" t="inlineStr">
        <is>
          <t>CFS</t>
        </is>
      </c>
      <c r="H1008" s="29" t="inlineStr">
        <is>
          <t>CF</t>
        </is>
      </c>
      <c r="I1008" s="29" t="inlineStr">
        <is>
          <t>현금흐름표</t>
        </is>
      </c>
      <c r="J1008" s="29" t="inlineStr">
        <is>
          <t>ifrs-full_ProceedsFromGovernmentGrantsClassifiedAsInvestingActivities</t>
        </is>
      </c>
      <c r="K1008" s="29" t="inlineStr">
        <is>
          <t>정부보조금의 증가</t>
        </is>
      </c>
      <c r="L1008" s="29" t="inlineStr">
        <is>
          <t>-</t>
        </is>
      </c>
      <c r="M1008" s="29" t="inlineStr">
        <is>
          <t>제 27 기</t>
        </is>
      </c>
      <c r="N1008" s="29" t="inlineStr">
        <is>
          <t>941324219.0</t>
        </is>
      </c>
      <c r="O1008" s="29" t="inlineStr">
        <is>
          <t>7576704115.0</t>
        </is>
      </c>
      <c r="P1008" s="29" t="inlineStr">
        <is>
          <t>KRW</t>
        </is>
      </c>
      <c r="Q1008" s="29" t="inlineStr">
        <is>
          <t>43</t>
        </is>
      </c>
    </row>
    <row r="1009" ht="24" customHeight="1">
      <c r="A1009" s="24" t="inlineStr">
        <is>
          <t>OpenDART_fnlttSinglAcntAll</t>
        </is>
      </c>
      <c r="B1009" s="24" t="inlineStr">
        <is>
          <t>00366942</t>
        </is>
      </c>
      <c r="C1009" s="24" t="inlineStr">
        <is>
          <t>미코</t>
        </is>
      </c>
      <c r="D1009" s="24" t="inlineStr">
        <is>
          <t>mico</t>
        </is>
      </c>
      <c r="E1009" s="24" t="inlineStr">
        <is>
          <t>059090</t>
        </is>
      </c>
      <c r="F1009" s="24" t="inlineStr">
        <is>
          <t>2025</t>
        </is>
      </c>
      <c r="G1009" s="24" t="inlineStr">
        <is>
          <t>CFS</t>
        </is>
      </c>
      <c r="H1009" s="24" t="inlineStr">
        <is>
          <t>CF</t>
        </is>
      </c>
      <c r="I1009" s="24" t="inlineStr">
        <is>
          <t>현금흐름표</t>
        </is>
      </c>
      <c r="J1009" s="24" t="inlineStr">
        <is>
          <t>ifrs-full_ProceedsFromSalesOfIntangibleAssetsClassifiedAsInvestingActivities</t>
        </is>
      </c>
      <c r="K1009" s="24" t="inlineStr">
        <is>
          <t>무형자산의 처분</t>
        </is>
      </c>
      <c r="L1009" s="24" t="inlineStr">
        <is>
          <t>-</t>
        </is>
      </c>
      <c r="M1009" s="24" t="inlineStr">
        <is>
          <t>제 27 기</t>
        </is>
      </c>
      <c r="N1009" s="24" t="inlineStr">
        <is>
          <t>0.0</t>
        </is>
      </c>
      <c r="O1009" s="24" t="inlineStr">
        <is>
          <t>75000000.0</t>
        </is>
      </c>
      <c r="P1009" s="24" t="inlineStr">
        <is>
          <t>KRW</t>
        </is>
      </c>
      <c r="Q1009" s="24" t="inlineStr">
        <is>
          <t>44</t>
        </is>
      </c>
    </row>
    <row r="1010" ht="24" customHeight="1">
      <c r="A1010" s="29" t="inlineStr">
        <is>
          <t>OpenDART_fnlttSinglAcntAll</t>
        </is>
      </c>
      <c r="B1010" s="29" t="inlineStr">
        <is>
          <t>00366942</t>
        </is>
      </c>
      <c r="C1010" s="29" t="inlineStr">
        <is>
          <t>미코</t>
        </is>
      </c>
      <c r="D1010" s="29" t="inlineStr">
        <is>
          <t>mico</t>
        </is>
      </c>
      <c r="E1010" s="29" t="inlineStr">
        <is>
          <t>059090</t>
        </is>
      </c>
      <c r="F1010" s="29" t="inlineStr">
        <is>
          <t>2025</t>
        </is>
      </c>
      <c r="G1010" s="29" t="inlineStr">
        <is>
          <t>CFS</t>
        </is>
      </c>
      <c r="H1010" s="29" t="inlineStr">
        <is>
          <t>CF</t>
        </is>
      </c>
      <c r="I1010" s="29" t="inlineStr">
        <is>
          <t>현금흐름표</t>
        </is>
      </c>
      <c r="J1010" s="29" t="inlineStr">
        <is>
          <t>ifrs-full_ProceedsFromSalesOfInvestmentsAccountedForUsingEquityMethod</t>
        </is>
      </c>
      <c r="K1010" s="29" t="inlineStr">
        <is>
          <t>관계기업투자주식의 처분</t>
        </is>
      </c>
      <c r="L1010" s="29" t="inlineStr">
        <is>
          <t>-</t>
        </is>
      </c>
      <c r="M1010" s="29" t="inlineStr">
        <is>
          <t>제 27 기</t>
        </is>
      </c>
      <c r="N1010" s="29" t="inlineStr">
        <is>
          <t>0.0</t>
        </is>
      </c>
      <c r="O1010" s="29" t="inlineStr">
        <is>
          <t>33001298840.0</t>
        </is>
      </c>
      <c r="P1010" s="29" t="inlineStr">
        <is>
          <t>KRW</t>
        </is>
      </c>
      <c r="Q1010" s="29" t="inlineStr">
        <is>
          <t>45</t>
        </is>
      </c>
    </row>
    <row r="1011" ht="24" customHeight="1">
      <c r="A1011" s="24" t="inlineStr">
        <is>
          <t>OpenDART_fnlttSinglAcntAll</t>
        </is>
      </c>
      <c r="B1011" s="24" t="inlineStr">
        <is>
          <t>00366942</t>
        </is>
      </c>
      <c r="C1011" s="24" t="inlineStr">
        <is>
          <t>미코</t>
        </is>
      </c>
      <c r="D1011" s="24" t="inlineStr">
        <is>
          <t>mico</t>
        </is>
      </c>
      <c r="E1011" s="24" t="inlineStr">
        <is>
          <t>059090</t>
        </is>
      </c>
      <c r="F1011" s="24" t="inlineStr">
        <is>
          <t>2025</t>
        </is>
      </c>
      <c r="G1011" s="24" t="inlineStr">
        <is>
          <t>CFS</t>
        </is>
      </c>
      <c r="H1011" s="24" t="inlineStr">
        <is>
          <t>CF</t>
        </is>
      </c>
      <c r="I1011" s="24" t="inlineStr">
        <is>
          <t>현금흐름표</t>
        </is>
      </c>
      <c r="J1011" s="24" t="inlineStr">
        <is>
          <t>ifrs-full_ProceedsFromSalesOfPropertyPlantAndEquipmentClassifiedAsInvestingActivities</t>
        </is>
      </c>
      <c r="K1011" s="24" t="inlineStr">
        <is>
          <t>유형자산의 처분</t>
        </is>
      </c>
      <c r="L1011" s="24" t="inlineStr">
        <is>
          <t>-</t>
        </is>
      </c>
      <c r="M1011" s="24" t="inlineStr">
        <is>
          <t>제 27 기</t>
        </is>
      </c>
      <c r="N1011" s="24" t="inlineStr">
        <is>
          <t>499524123.0</t>
        </is>
      </c>
      <c r="O1011" s="24" t="inlineStr">
        <is>
          <t>573549778.0</t>
        </is>
      </c>
      <c r="P1011" s="24" t="inlineStr">
        <is>
          <t>KRW</t>
        </is>
      </c>
      <c r="Q1011" s="24" t="inlineStr">
        <is>
          <t>46</t>
        </is>
      </c>
    </row>
    <row r="1012" ht="24" customHeight="1">
      <c r="A1012" s="29" t="inlineStr">
        <is>
          <t>OpenDART_fnlttSinglAcntAll</t>
        </is>
      </c>
      <c r="B1012" s="29" t="inlineStr">
        <is>
          <t>00366942</t>
        </is>
      </c>
      <c r="C1012" s="29" t="inlineStr">
        <is>
          <t>미코</t>
        </is>
      </c>
      <c r="D1012" s="29" t="inlineStr">
        <is>
          <t>mico</t>
        </is>
      </c>
      <c r="E1012" s="29" t="inlineStr">
        <is>
          <t>059090</t>
        </is>
      </c>
      <c r="F1012" s="29" t="inlineStr">
        <is>
          <t>2025</t>
        </is>
      </c>
      <c r="G1012" s="29" t="inlineStr">
        <is>
          <t>CFS</t>
        </is>
      </c>
      <c r="H1012" s="29" t="inlineStr">
        <is>
          <t>CF</t>
        </is>
      </c>
      <c r="I1012" s="29" t="inlineStr">
        <is>
          <t>현금흐름표</t>
        </is>
      </c>
      <c r="J1012" s="29" t="inlineStr">
        <is>
          <t>ifrs-full_PurchaseOfIntangibleAssetsClassifiedAsInvestingActivities</t>
        </is>
      </c>
      <c r="K1012" s="29" t="inlineStr">
        <is>
          <t>무형자산의 취득</t>
        </is>
      </c>
      <c r="L1012" s="29" t="inlineStr">
        <is>
          <t>-</t>
        </is>
      </c>
      <c r="M1012" s="29" t="inlineStr">
        <is>
          <t>제 27 기</t>
        </is>
      </c>
      <c r="N1012" s="29" t="inlineStr">
        <is>
          <t>3272619796.0</t>
        </is>
      </c>
      <c r="O1012" s="29" t="inlineStr">
        <is>
          <t>6158798744.0</t>
        </is>
      </c>
      <c r="P1012" s="29" t="inlineStr">
        <is>
          <t>KRW</t>
        </is>
      </c>
      <c r="Q1012" s="29" t="inlineStr">
        <is>
          <t>47</t>
        </is>
      </c>
    </row>
    <row r="1013" ht="24" customHeight="1">
      <c r="A1013" s="24" t="inlineStr">
        <is>
          <t>OpenDART_fnlttSinglAcntAll</t>
        </is>
      </c>
      <c r="B1013" s="24" t="inlineStr">
        <is>
          <t>00366942</t>
        </is>
      </c>
      <c r="C1013" s="24" t="inlineStr">
        <is>
          <t>미코</t>
        </is>
      </c>
      <c r="D1013" s="24" t="inlineStr">
        <is>
          <t>mico</t>
        </is>
      </c>
      <c r="E1013" s="24" t="inlineStr">
        <is>
          <t>059090</t>
        </is>
      </c>
      <c r="F1013" s="24" t="inlineStr">
        <is>
          <t>2025</t>
        </is>
      </c>
      <c r="G1013" s="24" t="inlineStr">
        <is>
          <t>CFS</t>
        </is>
      </c>
      <c r="H1013" s="24" t="inlineStr">
        <is>
          <t>CF</t>
        </is>
      </c>
      <c r="I1013" s="24" t="inlineStr">
        <is>
          <t>현금흐름표</t>
        </is>
      </c>
      <c r="J1013" s="24" t="inlineStr">
        <is>
          <t>ifrs-full_PurchaseOfInterestsInInvestmentsAccountedForUsingEquityMethod</t>
        </is>
      </c>
      <c r="K1013" s="24" t="inlineStr">
        <is>
          <t>관계기업및공동기업투자주식의 취득</t>
        </is>
      </c>
      <c r="L1013" s="24" t="inlineStr">
        <is>
          <t>-</t>
        </is>
      </c>
      <c r="M1013" s="24" t="inlineStr">
        <is>
          <t>제 27 기</t>
        </is>
      </c>
      <c r="N1013" s="24" t="inlineStr">
        <is>
          <t>32990000000.0</t>
        </is>
      </c>
      <c r="O1013" s="24" t="inlineStr">
        <is>
          <t>13880493302.0</t>
        </is>
      </c>
      <c r="P1013" s="24" t="inlineStr">
        <is>
          <t>KRW</t>
        </is>
      </c>
      <c r="Q1013" s="24" t="inlineStr">
        <is>
          <t>48</t>
        </is>
      </c>
    </row>
    <row r="1014" ht="24" customHeight="1">
      <c r="A1014" s="29" t="inlineStr">
        <is>
          <t>OpenDART_fnlttSinglAcntAll</t>
        </is>
      </c>
      <c r="B1014" s="29" t="inlineStr">
        <is>
          <t>00366942</t>
        </is>
      </c>
      <c r="C1014" s="29" t="inlineStr">
        <is>
          <t>미코</t>
        </is>
      </c>
      <c r="D1014" s="29" t="inlineStr">
        <is>
          <t>mico</t>
        </is>
      </c>
      <c r="E1014" s="29" t="inlineStr">
        <is>
          <t>059090</t>
        </is>
      </c>
      <c r="F1014" s="29" t="inlineStr">
        <is>
          <t>2025</t>
        </is>
      </c>
      <c r="G1014" s="29" t="inlineStr">
        <is>
          <t>CFS</t>
        </is>
      </c>
      <c r="H1014" s="29" t="inlineStr">
        <is>
          <t>CF</t>
        </is>
      </c>
      <c r="I1014" s="29" t="inlineStr">
        <is>
          <t>현금흐름표</t>
        </is>
      </c>
      <c r="J1014" s="29" t="inlineStr">
        <is>
          <t>ifrs-full_PurchaseOfPropertyPlantAndEquipmentClassifiedAsInvestingActivities</t>
        </is>
      </c>
      <c r="K1014" s="29" t="inlineStr">
        <is>
          <t>유형자산의 취득</t>
        </is>
      </c>
      <c r="L1014" s="29" t="inlineStr">
        <is>
          <t>-</t>
        </is>
      </c>
      <c r="M1014" s="29" t="inlineStr">
        <is>
          <t>제 27 기</t>
        </is>
      </c>
      <c r="N1014" s="29" t="inlineStr">
        <is>
          <t>315582185187.0</t>
        </is>
      </c>
      <c r="O1014" s="29" t="inlineStr">
        <is>
          <t>202229964939.0</t>
        </is>
      </c>
      <c r="P1014" s="29" t="inlineStr">
        <is>
          <t>KRW</t>
        </is>
      </c>
      <c r="Q1014" s="29" t="inlineStr">
        <is>
          <t>49</t>
        </is>
      </c>
    </row>
    <row r="1015" ht="24" customHeight="1">
      <c r="A1015" s="24" t="inlineStr">
        <is>
          <t>OpenDART_fnlttSinglAcntAll</t>
        </is>
      </c>
      <c r="B1015" s="24" t="inlineStr">
        <is>
          <t>00366942</t>
        </is>
      </c>
      <c r="C1015" s="24" t="inlineStr">
        <is>
          <t>미코</t>
        </is>
      </c>
      <c r="D1015" s="24" t="inlineStr">
        <is>
          <t>mico</t>
        </is>
      </c>
      <c r="E1015" s="24" t="inlineStr">
        <is>
          <t>059090</t>
        </is>
      </c>
      <c r="F1015" s="24" t="inlineStr">
        <is>
          <t>2025</t>
        </is>
      </c>
      <c r="G1015" s="24" t="inlineStr">
        <is>
          <t>CFS</t>
        </is>
      </c>
      <c r="H1015" s="24" t="inlineStr">
        <is>
          <t>CF</t>
        </is>
      </c>
      <c r="I1015" s="24" t="inlineStr">
        <is>
          <t>현금흐름표</t>
        </is>
      </c>
      <c r="J1015" s="24" t="inlineStr">
        <is>
          <t>ifrs-full_CashFlowsFromUsedInOperatingActivities</t>
        </is>
      </c>
      <c r="K1015" s="24" t="inlineStr">
        <is>
          <t>영업활동 현금흐름</t>
        </is>
      </c>
      <c r="L1015" s="24" t="inlineStr">
        <is>
          <t>-</t>
        </is>
      </c>
      <c r="M1015" s="24" t="inlineStr">
        <is>
          <t>제 27 기</t>
        </is>
      </c>
      <c r="N1015" s="24" t="inlineStr">
        <is>
          <t>24830688331.0</t>
        </is>
      </c>
      <c r="O1015" s="24" t="inlineStr">
        <is>
          <t>120460924494.0</t>
        </is>
      </c>
      <c r="P1015" s="24" t="inlineStr">
        <is>
          <t>KRW</t>
        </is>
      </c>
      <c r="Q1015" s="24" t="inlineStr">
        <is>
          <t>50</t>
        </is>
      </c>
    </row>
    <row r="1016" ht="24" customHeight="1">
      <c r="A1016" s="29" t="inlineStr">
        <is>
          <t>OpenDART_fnlttSinglAcntAll</t>
        </is>
      </c>
      <c r="B1016" s="29" t="inlineStr">
        <is>
          <t>00366942</t>
        </is>
      </c>
      <c r="C1016" s="29" t="inlineStr">
        <is>
          <t>미코</t>
        </is>
      </c>
      <c r="D1016" s="29" t="inlineStr">
        <is>
          <t>mico</t>
        </is>
      </c>
      <c r="E1016" s="29" t="inlineStr">
        <is>
          <t>059090</t>
        </is>
      </c>
      <c r="F1016" s="29" t="inlineStr">
        <is>
          <t>2025</t>
        </is>
      </c>
      <c r="G1016" s="29" t="inlineStr">
        <is>
          <t>CFS</t>
        </is>
      </c>
      <c r="H1016" s="29" t="inlineStr">
        <is>
          <t>CF</t>
        </is>
      </c>
      <c r="I1016" s="29" t="inlineStr">
        <is>
          <t>현금흐름표</t>
        </is>
      </c>
      <c r="J1016" s="29" t="inlineStr">
        <is>
          <t>ifrs-full_CashFlowsFromUsedInOperations</t>
        </is>
      </c>
      <c r="K1016" s="29" t="inlineStr">
        <is>
          <t>영업에서 창출된 현금흐름</t>
        </is>
      </c>
      <c r="L1016" s="29" t="inlineStr">
        <is>
          <t>-</t>
        </is>
      </c>
      <c r="M1016" s="29" t="inlineStr">
        <is>
          <t>제 27 기</t>
        </is>
      </c>
      <c r="N1016" s="29" t="inlineStr">
        <is>
          <t>85922563629.0</t>
        </is>
      </c>
      <c r="O1016" s="29" t="inlineStr">
        <is>
          <t>146646660193.0</t>
        </is>
      </c>
      <c r="P1016" s="29" t="inlineStr">
        <is>
          <t>KRW</t>
        </is>
      </c>
      <c r="Q1016" s="29" t="inlineStr">
        <is>
          <t>51</t>
        </is>
      </c>
    </row>
    <row r="1017" ht="24" customHeight="1">
      <c r="A1017" s="24" t="inlineStr">
        <is>
          <t>OpenDART_fnlttSinglAcntAll</t>
        </is>
      </c>
      <c r="B1017" s="24" t="inlineStr">
        <is>
          <t>00366942</t>
        </is>
      </c>
      <c r="C1017" s="24" t="inlineStr">
        <is>
          <t>미코</t>
        </is>
      </c>
      <c r="D1017" s="24" t="inlineStr">
        <is>
          <t>mico</t>
        </is>
      </c>
      <c r="E1017" s="24" t="inlineStr">
        <is>
          <t>059090</t>
        </is>
      </c>
      <c r="F1017" s="24" t="inlineStr">
        <is>
          <t>2025</t>
        </is>
      </c>
      <c r="G1017" s="24" t="inlineStr">
        <is>
          <t>CFS</t>
        </is>
      </c>
      <c r="H1017" s="24" t="inlineStr">
        <is>
          <t>CF</t>
        </is>
      </c>
      <c r="I1017" s="24" t="inlineStr">
        <is>
          <t>현금흐름표</t>
        </is>
      </c>
      <c r="J1017" s="24" t="inlineStr">
        <is>
          <t>ifrs-full_IncomeTaxesPaidRefundClassifiedAsOperatingActivities</t>
        </is>
      </c>
      <c r="K1017" s="24" t="inlineStr">
        <is>
          <t>법인세납부</t>
        </is>
      </c>
      <c r="L1017" s="24" t="inlineStr">
        <is>
          <t>-</t>
        </is>
      </c>
      <c r="M1017" s="24" t="inlineStr">
        <is>
          <t>제 27 기</t>
        </is>
      </c>
      <c r="N1017" s="24" t="inlineStr">
        <is>
          <t>41296772187.0</t>
        </is>
      </c>
      <c r="O1017" s="24" t="inlineStr">
        <is>
          <t>20257947419.0</t>
        </is>
      </c>
      <c r="P1017" s="24" t="inlineStr">
        <is>
          <t>KRW</t>
        </is>
      </c>
      <c r="Q1017" s="24" t="inlineStr">
        <is>
          <t>52</t>
        </is>
      </c>
    </row>
    <row r="1018" ht="24" customHeight="1">
      <c r="A1018" s="29" t="inlineStr">
        <is>
          <t>OpenDART_fnlttSinglAcntAll</t>
        </is>
      </c>
      <c r="B1018" s="29" t="inlineStr">
        <is>
          <t>00366942</t>
        </is>
      </c>
      <c r="C1018" s="29" t="inlineStr">
        <is>
          <t>미코</t>
        </is>
      </c>
      <c r="D1018" s="29" t="inlineStr">
        <is>
          <t>mico</t>
        </is>
      </c>
      <c r="E1018" s="29" t="inlineStr">
        <is>
          <t>059090</t>
        </is>
      </c>
      <c r="F1018" s="29" t="inlineStr">
        <is>
          <t>2025</t>
        </is>
      </c>
      <c r="G1018" s="29" t="inlineStr">
        <is>
          <t>CFS</t>
        </is>
      </c>
      <c r="H1018" s="29" t="inlineStr">
        <is>
          <t>CF</t>
        </is>
      </c>
      <c r="I1018" s="29" t="inlineStr">
        <is>
          <t>현금흐름표</t>
        </is>
      </c>
      <c r="J1018" s="29" t="inlineStr">
        <is>
          <t>ifrs-full_InterestPaidClassifiedAsOperatingActivities</t>
        </is>
      </c>
      <c r="K1018" s="29" t="inlineStr">
        <is>
          <t>이자지급</t>
        </is>
      </c>
      <c r="L1018" s="29" t="inlineStr">
        <is>
          <t>-</t>
        </is>
      </c>
      <c r="M1018" s="29" t="inlineStr">
        <is>
          <t>제 27 기</t>
        </is>
      </c>
      <c r="N1018" s="29" t="inlineStr">
        <is>
          <t>25373150389.0</t>
        </is>
      </c>
      <c r="O1018" s="29" t="inlineStr">
        <is>
          <t>12176551705.0</t>
        </is>
      </c>
      <c r="P1018" s="29" t="inlineStr">
        <is>
          <t>KRW</t>
        </is>
      </c>
      <c r="Q1018" s="29" t="inlineStr">
        <is>
          <t>53</t>
        </is>
      </c>
    </row>
    <row r="1019" ht="24" customHeight="1">
      <c r="A1019" s="24" t="inlineStr">
        <is>
          <t>OpenDART_fnlttSinglAcntAll</t>
        </is>
      </c>
      <c r="B1019" s="24" t="inlineStr">
        <is>
          <t>00366942</t>
        </is>
      </c>
      <c r="C1019" s="24" t="inlineStr">
        <is>
          <t>미코</t>
        </is>
      </c>
      <c r="D1019" s="24" t="inlineStr">
        <is>
          <t>mico</t>
        </is>
      </c>
      <c r="E1019" s="24" t="inlineStr">
        <is>
          <t>059090</t>
        </is>
      </c>
      <c r="F1019" s="24" t="inlineStr">
        <is>
          <t>2025</t>
        </is>
      </c>
      <c r="G1019" s="24" t="inlineStr">
        <is>
          <t>CFS</t>
        </is>
      </c>
      <c r="H1019" s="24" t="inlineStr">
        <is>
          <t>CF</t>
        </is>
      </c>
      <c r="I1019" s="24" t="inlineStr">
        <is>
          <t>현금흐름표</t>
        </is>
      </c>
      <c r="J1019" s="24" t="inlineStr">
        <is>
          <t>ifrs-full_InterestReceivedClassifiedAsOperatingActivities</t>
        </is>
      </c>
      <c r="K1019" s="24" t="inlineStr">
        <is>
          <t>이자수취</t>
        </is>
      </c>
      <c r="L1019" s="24" t="inlineStr">
        <is>
          <t>-</t>
        </is>
      </c>
      <c r="M1019" s="24" t="inlineStr">
        <is>
          <t>제 27 기</t>
        </is>
      </c>
      <c r="N1019" s="24" t="inlineStr">
        <is>
          <t>5578047278.0</t>
        </is>
      </c>
      <c r="O1019" s="24" t="inlineStr">
        <is>
          <t>6248763425.0</t>
        </is>
      </c>
      <c r="P1019" s="24" t="inlineStr">
        <is>
          <t>KRW</t>
        </is>
      </c>
      <c r="Q1019" s="24" t="inlineStr">
        <is>
          <t>54</t>
        </is>
      </c>
    </row>
    <row r="1020" ht="24" customHeight="1">
      <c r="A1020" s="29" t="inlineStr">
        <is>
          <t>OpenDART_fnlttSinglAcntAll</t>
        </is>
      </c>
      <c r="B1020" s="29" t="inlineStr">
        <is>
          <t>00366942</t>
        </is>
      </c>
      <c r="C1020" s="29" t="inlineStr">
        <is>
          <t>미코</t>
        </is>
      </c>
      <c r="D1020" s="29" t="inlineStr">
        <is>
          <t>mico</t>
        </is>
      </c>
      <c r="E1020" s="29" t="inlineStr">
        <is>
          <t>059090</t>
        </is>
      </c>
      <c r="F1020" s="29" t="inlineStr">
        <is>
          <t>2025</t>
        </is>
      </c>
      <c r="G1020" s="29" t="inlineStr">
        <is>
          <t>CFS</t>
        </is>
      </c>
      <c r="H1020" s="29" t="inlineStr">
        <is>
          <t>CF</t>
        </is>
      </c>
      <c r="I1020" s="29" t="inlineStr">
        <is>
          <t>현금흐름표</t>
        </is>
      </c>
      <c r="J1020" s="29" t="inlineStr">
        <is>
          <t>ifrs-full_EffectOfExchangeRateChangesOnCashAndCashEquivalents</t>
        </is>
      </c>
      <c r="K1020" s="29" t="inlineStr">
        <is>
          <t>현금및현금성자산의 환율변동효과</t>
        </is>
      </c>
      <c r="L1020" s="29" t="inlineStr">
        <is>
          <t>-</t>
        </is>
      </c>
      <c r="M1020" s="29" t="inlineStr">
        <is>
          <t>제 27 기</t>
        </is>
      </c>
      <c r="N1020" s="29" t="inlineStr">
        <is>
          <t>996618854.0</t>
        </is>
      </c>
      <c r="O1020" s="29" t="inlineStr">
        <is>
          <t>3785382025.0</t>
        </is>
      </c>
      <c r="P1020" s="29" t="inlineStr">
        <is>
          <t>KRW</t>
        </is>
      </c>
      <c r="Q1020" s="29" t="inlineStr">
        <is>
          <t>55</t>
        </is>
      </c>
    </row>
    <row r="1021" ht="24" customHeight="1">
      <c r="A1021" s="24" t="inlineStr">
        <is>
          <t>OpenDART_fnlttSinglAcntAll</t>
        </is>
      </c>
      <c r="B1021" s="24" t="inlineStr">
        <is>
          <t>00366942</t>
        </is>
      </c>
      <c r="C1021" s="24" t="inlineStr">
        <is>
          <t>미코</t>
        </is>
      </c>
      <c r="D1021" s="24" t="inlineStr">
        <is>
          <t>mico</t>
        </is>
      </c>
      <c r="E1021" s="24" t="inlineStr">
        <is>
          <t>059090</t>
        </is>
      </c>
      <c r="F1021" s="24" t="inlineStr">
        <is>
          <t>2025</t>
        </is>
      </c>
      <c r="G1021" s="24" t="inlineStr">
        <is>
          <t>CFS</t>
        </is>
      </c>
      <c r="H1021" s="24" t="inlineStr">
        <is>
          <t>CF</t>
        </is>
      </c>
      <c r="I1021" s="24" t="inlineStr">
        <is>
          <t>현금흐름표</t>
        </is>
      </c>
      <c r="J1021" s="24" t="inlineStr">
        <is>
          <t>ifrs-full_IncreaseDecreaseInCashAndCashEquivalentsBeforeEffectOfExchangeRateChanges</t>
        </is>
      </c>
      <c r="K1021" s="24" t="inlineStr">
        <is>
          <t>현금및현금성자산의 순증가</t>
        </is>
      </c>
      <c r="L1021" s="24" t="inlineStr">
        <is>
          <t>-</t>
        </is>
      </c>
      <c r="M1021" s="24" t="inlineStr">
        <is>
          <t>제 27 기</t>
        </is>
      </c>
      <c r="N1021" s="24" t="inlineStr">
        <is>
          <t>82158360067.0</t>
        </is>
      </c>
      <c r="O1021" s="24" t="inlineStr">
        <is>
          <t>50576513116.0</t>
        </is>
      </c>
      <c r="P1021" s="24" t="inlineStr">
        <is>
          <t>KRW</t>
        </is>
      </c>
      <c r="Q1021" s="24" t="inlineStr">
        <is>
          <t>56</t>
        </is>
      </c>
    </row>
    <row r="1022" ht="24" customHeight="1">
      <c r="A1022" s="29" t="inlineStr">
        <is>
          <t>OpenDART_fnlttSinglAcntAll</t>
        </is>
      </c>
      <c r="B1022" s="29" t="inlineStr">
        <is>
          <t>00366942</t>
        </is>
      </c>
      <c r="C1022" s="29" t="inlineStr">
        <is>
          <t>미코</t>
        </is>
      </c>
      <c r="D1022" s="29" t="inlineStr">
        <is>
          <t>mico</t>
        </is>
      </c>
      <c r="E1022" s="29" t="inlineStr">
        <is>
          <t>059090</t>
        </is>
      </c>
      <c r="F1022" s="29" t="inlineStr">
        <is>
          <t>2025</t>
        </is>
      </c>
      <c r="G1022" s="29" t="inlineStr">
        <is>
          <t>CFS</t>
        </is>
      </c>
      <c r="H1022" s="29" t="inlineStr">
        <is>
          <t>SCE</t>
        </is>
      </c>
      <c r="I1022" s="29" t="inlineStr">
        <is>
          <t>자본변동표</t>
        </is>
      </c>
      <c r="J1022" s="29" t="inlineStr">
        <is>
          <t>dart_ChangesInConsolidatedCompanies</t>
        </is>
      </c>
      <c r="K1022" s="29" t="inlineStr">
        <is>
          <t>연결범위의 변동</t>
        </is>
      </c>
      <c r="L1022" s="29" t="inlineStr">
        <is>
          <t>연결재무제표 [member]</t>
        </is>
      </c>
      <c r="M1022" s="29" t="inlineStr">
        <is>
          <t>제 27 기</t>
        </is>
      </c>
      <c r="N1022" s="29" t="inlineStr">
        <is>
          <t>71837672843.0</t>
        </is>
      </c>
      <c r="O1022" s="29" t="inlineStr">
        <is>
          <t>82135093065.0</t>
        </is>
      </c>
      <c r="P1022" s="29" t="inlineStr">
        <is>
          <t>KRW</t>
        </is>
      </c>
      <c r="Q1022" s="29" t="inlineStr">
        <is>
          <t>3</t>
        </is>
      </c>
    </row>
    <row r="1023" ht="24" customHeight="1">
      <c r="A1023" s="24" t="inlineStr">
        <is>
          <t>OpenDART_fnlttSinglAcntAll</t>
        </is>
      </c>
      <c r="B1023" s="24" t="inlineStr">
        <is>
          <t>00366942</t>
        </is>
      </c>
      <c r="C1023" s="24" t="inlineStr">
        <is>
          <t>미코</t>
        </is>
      </c>
      <c r="D1023" s="24" t="inlineStr">
        <is>
          <t>mico</t>
        </is>
      </c>
      <c r="E1023" s="24" t="inlineStr">
        <is>
          <t>059090</t>
        </is>
      </c>
      <c r="F1023" s="24" t="inlineStr">
        <is>
          <t>2025</t>
        </is>
      </c>
      <c r="G1023" s="24" t="inlineStr">
        <is>
          <t>CFS</t>
        </is>
      </c>
      <c r="H1023" s="24" t="inlineStr">
        <is>
          <t>SCE</t>
        </is>
      </c>
      <c r="I1023" s="24" t="inlineStr">
        <is>
          <t>자본변동표</t>
        </is>
      </c>
      <c r="J1023" s="24" t="inlineStr">
        <is>
          <t>dart_ChangesInConsolidatedCompanies</t>
        </is>
      </c>
      <c r="K1023" s="24" t="inlineStr">
        <is>
          <t>연결범위의 변동</t>
        </is>
      </c>
      <c r="L1023" s="24" t="inlineStr">
        <is>
          <t>자본 [구성요소]|비지배지분 [구성요소]</t>
        </is>
      </c>
      <c r="M1023" s="24" t="inlineStr">
        <is>
          <t>제 27 기</t>
        </is>
      </c>
      <c r="N1023" s="24" t="inlineStr">
        <is>
          <t>71837672843.0</t>
        </is>
      </c>
      <c r="O1023" s="24" t="inlineStr">
        <is>
          <t>82135093065.0</t>
        </is>
      </c>
      <c r="P1023" s="24" t="inlineStr">
        <is>
          <t>KRW</t>
        </is>
      </c>
      <c r="Q1023" s="24" t="inlineStr">
        <is>
          <t>3</t>
        </is>
      </c>
    </row>
    <row r="1024" ht="24" customHeight="1">
      <c r="A1024" s="29" t="inlineStr">
        <is>
          <t>OpenDART_fnlttSinglAcntAll</t>
        </is>
      </c>
      <c r="B1024" s="29" t="inlineStr">
        <is>
          <t>00366942</t>
        </is>
      </c>
      <c r="C1024" s="29" t="inlineStr">
        <is>
          <t>미코</t>
        </is>
      </c>
      <c r="D1024" s="29" t="inlineStr">
        <is>
          <t>mico</t>
        </is>
      </c>
      <c r="E1024" s="29" t="inlineStr">
        <is>
          <t>059090</t>
        </is>
      </c>
      <c r="F1024" s="29" t="inlineStr">
        <is>
          <t>2025</t>
        </is>
      </c>
      <c r="G1024" s="29" t="inlineStr">
        <is>
          <t>CFS</t>
        </is>
      </c>
      <c r="H1024" s="29" t="inlineStr">
        <is>
          <t>SCE</t>
        </is>
      </c>
      <c r="I1024" s="29" t="inlineStr">
        <is>
          <t>자본변동표</t>
        </is>
      </c>
      <c r="J1024" s="29" t="inlineStr">
        <is>
          <t>dart_ChangesInConsolidatedCompanies</t>
        </is>
      </c>
      <c r="K1024" s="29" t="inlineStr">
        <is>
          <t>연결범위의 변동</t>
        </is>
      </c>
      <c r="L1024" s="29" t="inlineStr">
        <is>
          <t>자본 [구성요소]|지배기업의 소유주에게 귀속되는 지분 [구성요소]</t>
        </is>
      </c>
      <c r="M1024" s="29" t="inlineStr">
        <is>
          <t>제 27 기</t>
        </is>
      </c>
      <c r="N1024" s="29" t="inlineStr">
        <is>
          <t>0.0</t>
        </is>
      </c>
      <c r="O1024" s="29" t="inlineStr">
        <is>
          <t>0.0</t>
        </is>
      </c>
      <c r="P1024" s="29" t="inlineStr">
        <is>
          <t>KRW</t>
        </is>
      </c>
      <c r="Q1024" s="29" t="inlineStr">
        <is>
          <t>3</t>
        </is>
      </c>
    </row>
    <row r="1025" ht="24" customHeight="1">
      <c r="A1025" s="24" t="inlineStr">
        <is>
          <t>OpenDART_fnlttSinglAcntAll</t>
        </is>
      </c>
      <c r="B1025" s="24" t="inlineStr">
        <is>
          <t>00366942</t>
        </is>
      </c>
      <c r="C1025" s="24" t="inlineStr">
        <is>
          <t>미코</t>
        </is>
      </c>
      <c r="D1025" s="24" t="inlineStr">
        <is>
          <t>mico</t>
        </is>
      </c>
      <c r="E1025" s="24" t="inlineStr">
        <is>
          <t>059090</t>
        </is>
      </c>
      <c r="F1025" s="24" t="inlineStr">
        <is>
          <t>2025</t>
        </is>
      </c>
      <c r="G1025" s="24" t="inlineStr">
        <is>
          <t>CFS</t>
        </is>
      </c>
      <c r="H1025" s="24" t="inlineStr">
        <is>
          <t>SCE</t>
        </is>
      </c>
      <c r="I1025" s="24" t="inlineStr">
        <is>
          <t>자본변동표</t>
        </is>
      </c>
      <c r="J1025" s="24" t="inlineStr">
        <is>
          <t>dart_ChangesInConsolidatedCompanies</t>
        </is>
      </c>
      <c r="K1025" s="24" t="inlineStr">
        <is>
          <t>연결범위의 변동</t>
        </is>
      </c>
      <c r="L1025" s="24" t="inlineStr">
        <is>
          <t>자본 [구성요소]|지배기업의 소유주에게 귀속되는 지분 [구성요소]|기타자본구성요소 [구성요소]</t>
        </is>
      </c>
      <c r="M1025" s="24" t="inlineStr">
        <is>
          <t>제 27 기</t>
        </is>
      </c>
      <c r="N1025" s="24" t="inlineStr">
        <is>
          <t>0.0</t>
        </is>
      </c>
      <c r="O1025" s="24" t="inlineStr">
        <is>
          <t>0.0</t>
        </is>
      </c>
      <c r="P1025" s="24" t="inlineStr">
        <is>
          <t>KRW</t>
        </is>
      </c>
      <c r="Q1025" s="24" t="inlineStr">
        <is>
          <t>3</t>
        </is>
      </c>
    </row>
    <row r="1026" ht="24" customHeight="1">
      <c r="A1026" s="29" t="inlineStr">
        <is>
          <t>OpenDART_fnlttSinglAcntAll</t>
        </is>
      </c>
      <c r="B1026" s="29" t="inlineStr">
        <is>
          <t>00366942</t>
        </is>
      </c>
      <c r="C1026" s="29" t="inlineStr">
        <is>
          <t>미코</t>
        </is>
      </c>
      <c r="D1026" s="29" t="inlineStr">
        <is>
          <t>mico</t>
        </is>
      </c>
      <c r="E1026" s="29" t="inlineStr">
        <is>
          <t>059090</t>
        </is>
      </c>
      <c r="F1026" s="29" t="inlineStr">
        <is>
          <t>2025</t>
        </is>
      </c>
      <c r="G1026" s="29" t="inlineStr">
        <is>
          <t>CFS</t>
        </is>
      </c>
      <c r="H1026" s="29" t="inlineStr">
        <is>
          <t>SCE</t>
        </is>
      </c>
      <c r="I1026" s="29" t="inlineStr">
        <is>
          <t>자본변동표</t>
        </is>
      </c>
      <c r="J1026" s="29" t="inlineStr">
        <is>
          <t>dart_ChangesInConsolidatedCompanies</t>
        </is>
      </c>
      <c r="K1026" s="29" t="inlineStr">
        <is>
          <t>연결범위의 변동</t>
        </is>
      </c>
      <c r="L1026" s="29" t="inlineStr">
        <is>
          <t>자본 [구성요소]|지배기업의 소유주에게 귀속되는 지분 [구성요소]|기타포괄손익누계액 [구성요소]</t>
        </is>
      </c>
      <c r="M1026" s="29" t="inlineStr">
        <is>
          <t>제 27 기</t>
        </is>
      </c>
      <c r="N1026" s="29" t="inlineStr">
        <is>
          <t>0.0</t>
        </is>
      </c>
      <c r="O1026" s="29" t="inlineStr">
        <is>
          <t>0.0</t>
        </is>
      </c>
      <c r="P1026" s="29" t="inlineStr">
        <is>
          <t>KRW</t>
        </is>
      </c>
      <c r="Q1026" s="29" t="inlineStr">
        <is>
          <t>3</t>
        </is>
      </c>
    </row>
    <row r="1027" ht="24" customHeight="1">
      <c r="A1027" s="24" t="inlineStr">
        <is>
          <t>OpenDART_fnlttSinglAcntAll</t>
        </is>
      </c>
      <c r="B1027" s="24" t="inlineStr">
        <is>
          <t>00366942</t>
        </is>
      </c>
      <c r="C1027" s="24" t="inlineStr">
        <is>
          <t>미코</t>
        </is>
      </c>
      <c r="D1027" s="24" t="inlineStr">
        <is>
          <t>mico</t>
        </is>
      </c>
      <c r="E1027" s="24" t="inlineStr">
        <is>
          <t>059090</t>
        </is>
      </c>
      <c r="F1027" s="24" t="inlineStr">
        <is>
          <t>2025</t>
        </is>
      </c>
      <c r="G1027" s="24" t="inlineStr">
        <is>
          <t>CFS</t>
        </is>
      </c>
      <c r="H1027" s="24" t="inlineStr">
        <is>
          <t>SCE</t>
        </is>
      </c>
      <c r="I1027" s="24" t="inlineStr">
        <is>
          <t>자본변동표</t>
        </is>
      </c>
      <c r="J1027" s="24" t="inlineStr">
        <is>
          <t>dart_ChangesInConsolidatedCompanies</t>
        </is>
      </c>
      <c r="K1027" s="24" t="inlineStr">
        <is>
          <t>연결범위의 변동</t>
        </is>
      </c>
      <c r="L1027" s="24" t="inlineStr">
        <is>
          <t>자본 [구성요소]|지배기업의 소유주에게 귀속되는 지분 [구성요소]|이익잉여금 [구성요소]</t>
        </is>
      </c>
      <c r="M1027" s="24" t="inlineStr">
        <is>
          <t>제 27 기</t>
        </is>
      </c>
      <c r="N1027" s="24" t="inlineStr">
        <is>
          <t>0.0</t>
        </is>
      </c>
      <c r="O1027" s="24" t="inlineStr">
        <is>
          <t>0.0</t>
        </is>
      </c>
      <c r="P1027" s="24" t="inlineStr">
        <is>
          <t>KRW</t>
        </is>
      </c>
      <c r="Q1027" s="24" t="inlineStr">
        <is>
          <t>3</t>
        </is>
      </c>
    </row>
    <row r="1028" ht="24" customHeight="1">
      <c r="A1028" s="29" t="inlineStr">
        <is>
          <t>OpenDART_fnlttSinglAcntAll</t>
        </is>
      </c>
      <c r="B1028" s="29" t="inlineStr">
        <is>
          <t>00366942</t>
        </is>
      </c>
      <c r="C1028" s="29" t="inlineStr">
        <is>
          <t>미코</t>
        </is>
      </c>
      <c r="D1028" s="29" t="inlineStr">
        <is>
          <t>mico</t>
        </is>
      </c>
      <c r="E1028" s="29" t="inlineStr">
        <is>
          <t>059090</t>
        </is>
      </c>
      <c r="F1028" s="29" t="inlineStr">
        <is>
          <t>2025</t>
        </is>
      </c>
      <c r="G1028" s="29" t="inlineStr">
        <is>
          <t>CFS</t>
        </is>
      </c>
      <c r="H1028" s="29" t="inlineStr">
        <is>
          <t>SCE</t>
        </is>
      </c>
      <c r="I1028" s="29" t="inlineStr">
        <is>
          <t>자본변동표</t>
        </is>
      </c>
      <c r="J1028" s="29" t="inlineStr">
        <is>
          <t>dart_ChangesInConsolidatedCompanies</t>
        </is>
      </c>
      <c r="K1028" s="29" t="inlineStr">
        <is>
          <t>연결범위의 변동</t>
        </is>
      </c>
      <c r="L1028" s="29" t="inlineStr">
        <is>
          <t>자본 [구성요소]|지배기업의 소유주에게 귀속되는 지분 [구성요소]|자본금 [구성요소]</t>
        </is>
      </c>
      <c r="M1028" s="29" t="inlineStr">
        <is>
          <t>제 27 기</t>
        </is>
      </c>
      <c r="N1028" s="29" t="inlineStr">
        <is>
          <t>0.0</t>
        </is>
      </c>
      <c r="O1028" s="29" t="inlineStr">
        <is>
          <t>0.0</t>
        </is>
      </c>
      <c r="P1028" s="29" t="inlineStr">
        <is>
          <t>KRW</t>
        </is>
      </c>
      <c r="Q1028" s="29" t="inlineStr">
        <is>
          <t>3</t>
        </is>
      </c>
    </row>
    <row r="1029" ht="24" customHeight="1">
      <c r="A1029" s="24" t="inlineStr">
        <is>
          <t>OpenDART_fnlttSinglAcntAll</t>
        </is>
      </c>
      <c r="B1029" s="24" t="inlineStr">
        <is>
          <t>00366942</t>
        </is>
      </c>
      <c r="C1029" s="24" t="inlineStr">
        <is>
          <t>미코</t>
        </is>
      </c>
      <c r="D1029" s="24" t="inlineStr">
        <is>
          <t>mico</t>
        </is>
      </c>
      <c r="E1029" s="24" t="inlineStr">
        <is>
          <t>059090</t>
        </is>
      </c>
      <c r="F1029" s="24" t="inlineStr">
        <is>
          <t>2025</t>
        </is>
      </c>
      <c r="G1029" s="24" t="inlineStr">
        <is>
          <t>CFS</t>
        </is>
      </c>
      <c r="H1029" s="24" t="inlineStr">
        <is>
          <t>SCE</t>
        </is>
      </c>
      <c r="I1029" s="24" t="inlineStr">
        <is>
          <t>자본변동표</t>
        </is>
      </c>
      <c r="J1029" s="24" t="inlineStr">
        <is>
          <t>dart_ChangesInConsolidatedCompanies</t>
        </is>
      </c>
      <c r="K1029" s="24" t="inlineStr">
        <is>
          <t>연결범위의 변동</t>
        </is>
      </c>
      <c r="L1029" s="24" t="inlineStr">
        <is>
          <t>자본 [구성요소]|지배기업의 소유주에게 귀속되는 지분 [구성요소]|자본잉여금 [구성요소]</t>
        </is>
      </c>
      <c r="M1029" s="24" t="inlineStr">
        <is>
          <t>제 27 기</t>
        </is>
      </c>
      <c r="N1029" s="24" t="inlineStr">
        <is>
          <t>0.0</t>
        </is>
      </c>
      <c r="O1029" s="24" t="inlineStr">
        <is>
          <t>0.0</t>
        </is>
      </c>
      <c r="P1029" s="24" t="inlineStr">
        <is>
          <t>KRW</t>
        </is>
      </c>
      <c r="Q1029" s="24" t="inlineStr">
        <is>
          <t>3</t>
        </is>
      </c>
    </row>
    <row r="1030" ht="24" customHeight="1">
      <c r="A1030" s="29" t="inlineStr">
        <is>
          <t>OpenDART_fnlttSinglAcntAll</t>
        </is>
      </c>
      <c r="B1030" s="29" t="inlineStr">
        <is>
          <t>00366942</t>
        </is>
      </c>
      <c r="C1030" s="29" t="inlineStr">
        <is>
          <t>미코</t>
        </is>
      </c>
      <c r="D1030" s="29" t="inlineStr">
        <is>
          <t>mico</t>
        </is>
      </c>
      <c r="E1030" s="29" t="inlineStr">
        <is>
          <t>059090</t>
        </is>
      </c>
      <c r="F1030" s="29" t="inlineStr">
        <is>
          <t>2025</t>
        </is>
      </c>
      <c r="G1030" s="29" t="inlineStr">
        <is>
          <t>CFS</t>
        </is>
      </c>
      <c r="H1030" s="29" t="inlineStr">
        <is>
          <t>SCE</t>
        </is>
      </c>
      <c r="I1030" s="29" t="inlineStr">
        <is>
          <t>자본변동표</t>
        </is>
      </c>
      <c r="J1030" s="29" t="inlineStr">
        <is>
          <t>dart_EquityAtBeginningOfPeriod</t>
        </is>
      </c>
      <c r="K1030" s="29" t="inlineStr">
        <is>
          <t>기초자본</t>
        </is>
      </c>
      <c r="L1030" s="29" t="inlineStr">
        <is>
          <t>자본 [구성요소]|지배기업의 소유주에게 귀속되는 지분 [구성요소]</t>
        </is>
      </c>
      <c r="M1030" s="29" t="inlineStr">
        <is>
          <t>제 27 기</t>
        </is>
      </c>
      <c r="N1030" s="29" t="inlineStr">
        <is>
          <t>101407477059.0</t>
        </is>
      </c>
      <c r="O1030" s="29" t="inlineStr">
        <is>
          <t>75903907155.0</t>
        </is>
      </c>
      <c r="P1030" s="29" t="inlineStr">
        <is>
          <t>KRW</t>
        </is>
      </c>
      <c r="Q1030" s="29" t="inlineStr">
        <is>
          <t>4</t>
        </is>
      </c>
    </row>
    <row r="1031" ht="24" customHeight="1">
      <c r="A1031" s="24" t="inlineStr">
        <is>
          <t>OpenDART_fnlttSinglAcntAll</t>
        </is>
      </c>
      <c r="B1031" s="24" t="inlineStr">
        <is>
          <t>00366942</t>
        </is>
      </c>
      <c r="C1031" s="24" t="inlineStr">
        <is>
          <t>미코</t>
        </is>
      </c>
      <c r="D1031" s="24" t="inlineStr">
        <is>
          <t>mico</t>
        </is>
      </c>
      <c r="E1031" s="24" t="inlineStr">
        <is>
          <t>059090</t>
        </is>
      </c>
      <c r="F1031" s="24" t="inlineStr">
        <is>
          <t>2025</t>
        </is>
      </c>
      <c r="G1031" s="24" t="inlineStr">
        <is>
          <t>CFS</t>
        </is>
      </c>
      <c r="H1031" s="24" t="inlineStr">
        <is>
          <t>SCE</t>
        </is>
      </c>
      <c r="I1031" s="24" t="inlineStr">
        <is>
          <t>자본변동표</t>
        </is>
      </c>
      <c r="J1031" s="24" t="inlineStr">
        <is>
          <t>dart_EquityAtBeginningOfPeriod</t>
        </is>
      </c>
      <c r="K1031" s="24" t="inlineStr">
        <is>
          <t>기초자본</t>
        </is>
      </c>
      <c r="L1031" s="24" t="inlineStr">
        <is>
          <t>자본 [구성요소]|비지배지분 [구성요소]</t>
        </is>
      </c>
      <c r="M1031" s="24" t="inlineStr">
        <is>
          <t>제 27 기</t>
        </is>
      </c>
      <c r="N1031" s="24" t="inlineStr">
        <is>
          <t>431440175475.0</t>
        </is>
      </c>
      <c r="O1031" s="24" t="inlineStr">
        <is>
          <t>290180026515.0</t>
        </is>
      </c>
      <c r="P1031" s="24" t="inlineStr">
        <is>
          <t>KRW</t>
        </is>
      </c>
      <c r="Q1031" s="24" t="inlineStr">
        <is>
          <t>4</t>
        </is>
      </c>
    </row>
    <row r="1032" ht="24" customHeight="1">
      <c r="A1032" s="29" t="inlineStr">
        <is>
          <t>OpenDART_fnlttSinglAcntAll</t>
        </is>
      </c>
      <c r="B1032" s="29" t="inlineStr">
        <is>
          <t>00366942</t>
        </is>
      </c>
      <c r="C1032" s="29" t="inlineStr">
        <is>
          <t>미코</t>
        </is>
      </c>
      <c r="D1032" s="29" t="inlineStr">
        <is>
          <t>mico</t>
        </is>
      </c>
      <c r="E1032" s="29" t="inlineStr">
        <is>
          <t>059090</t>
        </is>
      </c>
      <c r="F1032" s="29" t="inlineStr">
        <is>
          <t>2025</t>
        </is>
      </c>
      <c r="G1032" s="29" t="inlineStr">
        <is>
          <t>CFS</t>
        </is>
      </c>
      <c r="H1032" s="29" t="inlineStr">
        <is>
          <t>SCE</t>
        </is>
      </c>
      <c r="I1032" s="29" t="inlineStr">
        <is>
          <t>자본변동표</t>
        </is>
      </c>
      <c r="J1032" s="29" t="inlineStr">
        <is>
          <t>dart_EquityAtBeginningOfPeriod</t>
        </is>
      </c>
      <c r="K1032" s="29" t="inlineStr">
        <is>
          <t>기초자본</t>
        </is>
      </c>
      <c r="L1032" s="29" t="inlineStr">
        <is>
          <t>연결재무제표 [member]</t>
        </is>
      </c>
      <c r="M1032" s="29" t="inlineStr">
        <is>
          <t>제 27 기</t>
        </is>
      </c>
      <c r="N1032" s="29" t="inlineStr">
        <is>
          <t>532847652534.0</t>
        </is>
      </c>
      <c r="O1032" s="29" t="inlineStr">
        <is>
          <t>366083933670.0</t>
        </is>
      </c>
      <c r="P1032" s="29" t="inlineStr">
        <is>
          <t>KRW</t>
        </is>
      </c>
      <c r="Q1032" s="29" t="inlineStr">
        <is>
          <t>4</t>
        </is>
      </c>
    </row>
    <row r="1033" ht="24" customHeight="1">
      <c r="A1033" s="24" t="inlineStr">
        <is>
          <t>OpenDART_fnlttSinglAcntAll</t>
        </is>
      </c>
      <c r="B1033" s="24" t="inlineStr">
        <is>
          <t>00366942</t>
        </is>
      </c>
      <c r="C1033" s="24" t="inlineStr">
        <is>
          <t>미코</t>
        </is>
      </c>
      <c r="D1033" s="24" t="inlineStr">
        <is>
          <t>mico</t>
        </is>
      </c>
      <c r="E1033" s="24" t="inlineStr">
        <is>
          <t>059090</t>
        </is>
      </c>
      <c r="F1033" s="24" t="inlineStr">
        <is>
          <t>2025</t>
        </is>
      </c>
      <c r="G1033" s="24" t="inlineStr">
        <is>
          <t>CFS</t>
        </is>
      </c>
      <c r="H1033" s="24" t="inlineStr">
        <is>
          <t>SCE</t>
        </is>
      </c>
      <c r="I1033" s="24" t="inlineStr">
        <is>
          <t>자본변동표</t>
        </is>
      </c>
      <c r="J1033" s="24" t="inlineStr">
        <is>
          <t>dart_EquityAtBeginningOfPeriod</t>
        </is>
      </c>
      <c r="K1033" s="24" t="inlineStr">
        <is>
          <t>기초자본</t>
        </is>
      </c>
      <c r="L1033" s="24" t="inlineStr">
        <is>
          <t>자본 [구성요소]|지배기업의 소유주에게 귀속되는 지분 [구성요소]|기타자본구성요소 [구성요소]</t>
        </is>
      </c>
      <c r="M1033" s="24" t="inlineStr">
        <is>
          <t>제 27 기</t>
        </is>
      </c>
      <c r="N1033" s="24" t="inlineStr">
        <is>
          <t>-71028018806.0</t>
        </is>
      </c>
      <c r="O1033" s="24" t="inlineStr">
        <is>
          <t>-69525407495.0</t>
        </is>
      </c>
      <c r="P1033" s="24" t="inlineStr">
        <is>
          <t>KRW</t>
        </is>
      </c>
      <c r="Q1033" s="24" t="inlineStr">
        <is>
          <t>4</t>
        </is>
      </c>
    </row>
    <row r="1034" ht="24" customHeight="1">
      <c r="A1034" s="29" t="inlineStr">
        <is>
          <t>OpenDART_fnlttSinglAcntAll</t>
        </is>
      </c>
      <c r="B1034" s="29" t="inlineStr">
        <is>
          <t>00366942</t>
        </is>
      </c>
      <c r="C1034" s="29" t="inlineStr">
        <is>
          <t>미코</t>
        </is>
      </c>
      <c r="D1034" s="29" t="inlineStr">
        <is>
          <t>mico</t>
        </is>
      </c>
      <c r="E1034" s="29" t="inlineStr">
        <is>
          <t>059090</t>
        </is>
      </c>
      <c r="F1034" s="29" t="inlineStr">
        <is>
          <t>2025</t>
        </is>
      </c>
      <c r="G1034" s="29" t="inlineStr">
        <is>
          <t>CFS</t>
        </is>
      </c>
      <c r="H1034" s="29" t="inlineStr">
        <is>
          <t>SCE</t>
        </is>
      </c>
      <c r="I1034" s="29" t="inlineStr">
        <is>
          <t>자본변동표</t>
        </is>
      </c>
      <c r="J1034" s="29" t="inlineStr">
        <is>
          <t>dart_EquityAtBeginningOfPeriod</t>
        </is>
      </c>
      <c r="K1034" s="29" t="inlineStr">
        <is>
          <t>기초자본</t>
        </is>
      </c>
      <c r="L1034" s="29" t="inlineStr">
        <is>
          <t>자본 [구성요소]|지배기업의 소유주에게 귀속되는 지분 [구성요소]|자본잉여금 [구성요소]</t>
        </is>
      </c>
      <c r="M1034" s="29" t="inlineStr">
        <is>
          <t>제 27 기</t>
        </is>
      </c>
      <c r="N1034" s="29" t="inlineStr">
        <is>
          <t>199732484801.0</t>
        </is>
      </c>
      <c r="O1034" s="29" t="inlineStr">
        <is>
          <t>192820760657.0</t>
        </is>
      </c>
      <c r="P1034" s="29" t="inlineStr">
        <is>
          <t>KRW</t>
        </is>
      </c>
      <c r="Q1034" s="29" t="inlineStr">
        <is>
          <t>4</t>
        </is>
      </c>
    </row>
    <row r="1035" ht="24" customHeight="1">
      <c r="A1035" s="24" t="inlineStr">
        <is>
          <t>OpenDART_fnlttSinglAcntAll</t>
        </is>
      </c>
      <c r="B1035" s="24" t="inlineStr">
        <is>
          <t>00366942</t>
        </is>
      </c>
      <c r="C1035" s="24" t="inlineStr">
        <is>
          <t>미코</t>
        </is>
      </c>
      <c r="D1035" s="24" t="inlineStr">
        <is>
          <t>mico</t>
        </is>
      </c>
      <c r="E1035" s="24" t="inlineStr">
        <is>
          <t>059090</t>
        </is>
      </c>
      <c r="F1035" s="24" t="inlineStr">
        <is>
          <t>2025</t>
        </is>
      </c>
      <c r="G1035" s="24" t="inlineStr">
        <is>
          <t>CFS</t>
        </is>
      </c>
      <c r="H1035" s="24" t="inlineStr">
        <is>
          <t>SCE</t>
        </is>
      </c>
      <c r="I1035" s="24" t="inlineStr">
        <is>
          <t>자본변동표</t>
        </is>
      </c>
      <c r="J1035" s="24" t="inlineStr">
        <is>
          <t>dart_EquityAtBeginningOfPeriod</t>
        </is>
      </c>
      <c r="K1035" s="24" t="inlineStr">
        <is>
          <t>기초자본</t>
        </is>
      </c>
      <c r="L1035" s="24" t="inlineStr">
        <is>
          <t>자본 [구성요소]|지배기업의 소유주에게 귀속되는 지분 [구성요소]|자본금 [구성요소]</t>
        </is>
      </c>
      <c r="M1035" s="24" t="inlineStr">
        <is>
          <t>제 27 기</t>
        </is>
      </c>
      <c r="N1035" s="24" t="inlineStr">
        <is>
          <t>16708389000.0</t>
        </is>
      </c>
      <c r="O1035" s="24" t="inlineStr">
        <is>
          <t>16708389000.0</t>
        </is>
      </c>
      <c r="P1035" s="24" t="inlineStr">
        <is>
          <t>KRW</t>
        </is>
      </c>
      <c r="Q1035" s="24" t="inlineStr">
        <is>
          <t>4</t>
        </is>
      </c>
    </row>
    <row r="1036" ht="24" customHeight="1">
      <c r="A1036" s="29" t="inlineStr">
        <is>
          <t>OpenDART_fnlttSinglAcntAll</t>
        </is>
      </c>
      <c r="B1036" s="29" t="inlineStr">
        <is>
          <t>00366942</t>
        </is>
      </c>
      <c r="C1036" s="29" t="inlineStr">
        <is>
          <t>미코</t>
        </is>
      </c>
      <c r="D1036" s="29" t="inlineStr">
        <is>
          <t>mico</t>
        </is>
      </c>
      <c r="E1036" s="29" t="inlineStr">
        <is>
          <t>059090</t>
        </is>
      </c>
      <c r="F1036" s="29" t="inlineStr">
        <is>
          <t>2025</t>
        </is>
      </c>
      <c r="G1036" s="29" t="inlineStr">
        <is>
          <t>CFS</t>
        </is>
      </c>
      <c r="H1036" s="29" t="inlineStr">
        <is>
          <t>SCE</t>
        </is>
      </c>
      <c r="I1036" s="29" t="inlineStr">
        <is>
          <t>자본변동표</t>
        </is>
      </c>
      <c r="J1036" s="29" t="inlineStr">
        <is>
          <t>dart_EquityAtBeginningOfPeriod</t>
        </is>
      </c>
      <c r="K1036" s="29" t="inlineStr">
        <is>
          <t>기초자본</t>
        </is>
      </c>
      <c r="L1036" s="29" t="inlineStr">
        <is>
          <t>자본 [구성요소]|지배기업의 소유주에게 귀속되는 지분 [구성요소]|이익잉여금 [구성요소]</t>
        </is>
      </c>
      <c r="M1036" s="29" t="inlineStr">
        <is>
          <t>제 27 기</t>
        </is>
      </c>
      <c r="N1036" s="29" t="inlineStr">
        <is>
          <t>-46640871762.0</t>
        </is>
      </c>
      <c r="O1036" s="29" t="inlineStr">
        <is>
          <t>-64088444589.0</t>
        </is>
      </c>
      <c r="P1036" s="29" t="inlineStr">
        <is>
          <t>KRW</t>
        </is>
      </c>
      <c r="Q1036" s="29" t="inlineStr">
        <is>
          <t>4</t>
        </is>
      </c>
    </row>
    <row r="1037" ht="24" customHeight="1">
      <c r="A1037" s="24" t="inlineStr">
        <is>
          <t>OpenDART_fnlttSinglAcntAll</t>
        </is>
      </c>
      <c r="B1037" s="24" t="inlineStr">
        <is>
          <t>00366942</t>
        </is>
      </c>
      <c r="C1037" s="24" t="inlineStr">
        <is>
          <t>미코</t>
        </is>
      </c>
      <c r="D1037" s="24" t="inlineStr">
        <is>
          <t>mico</t>
        </is>
      </c>
      <c r="E1037" s="24" t="inlineStr">
        <is>
          <t>059090</t>
        </is>
      </c>
      <c r="F1037" s="24" t="inlineStr">
        <is>
          <t>2025</t>
        </is>
      </c>
      <c r="G1037" s="24" t="inlineStr">
        <is>
          <t>CFS</t>
        </is>
      </c>
      <c r="H1037" s="24" t="inlineStr">
        <is>
          <t>SCE</t>
        </is>
      </c>
      <c r="I1037" s="24" t="inlineStr">
        <is>
          <t>자본변동표</t>
        </is>
      </c>
      <c r="J1037" s="24" t="inlineStr">
        <is>
          <t>dart_EquityAtBeginningOfPeriod</t>
        </is>
      </c>
      <c r="K1037" s="24" t="inlineStr">
        <is>
          <t>기초자본</t>
        </is>
      </c>
      <c r="L1037" s="24" t="inlineStr">
        <is>
          <t>자본 [구성요소]|지배기업의 소유주에게 귀속되는 지분 [구성요소]|기타포괄손익누계액 [구성요소]</t>
        </is>
      </c>
      <c r="M1037" s="24" t="inlineStr">
        <is>
          <t>제 27 기</t>
        </is>
      </c>
      <c r="N1037" s="24" t="inlineStr">
        <is>
          <t>2635493826.0</t>
        </is>
      </c>
      <c r="O1037" s="24" t="inlineStr">
        <is>
          <t>-11390418.0</t>
        </is>
      </c>
      <c r="P1037" s="24" t="inlineStr">
        <is>
          <t>KRW</t>
        </is>
      </c>
      <c r="Q1037" s="24" t="inlineStr">
        <is>
          <t>4</t>
        </is>
      </c>
    </row>
    <row r="1038" ht="24" customHeight="1">
      <c r="A1038" s="29" t="inlineStr">
        <is>
          <t>OpenDART_fnlttSinglAcntAll</t>
        </is>
      </c>
      <c r="B1038" s="29" t="inlineStr">
        <is>
          <t>00366942</t>
        </is>
      </c>
      <c r="C1038" s="29" t="inlineStr">
        <is>
          <t>미코</t>
        </is>
      </c>
      <c r="D1038" s="29" t="inlineStr">
        <is>
          <t>mico</t>
        </is>
      </c>
      <c r="E1038" s="29" t="inlineStr">
        <is>
          <t>059090</t>
        </is>
      </c>
      <c r="F1038" s="29" t="inlineStr">
        <is>
          <t>2025</t>
        </is>
      </c>
      <c r="G1038" s="29" t="inlineStr">
        <is>
          <t>CFS</t>
        </is>
      </c>
      <c r="H1038" s="29" t="inlineStr">
        <is>
          <t>SCE</t>
        </is>
      </c>
      <c r="I1038" s="29" t="inlineStr">
        <is>
          <t>자본변동표</t>
        </is>
      </c>
      <c r="J1038" s="29" t="inlineStr">
        <is>
          <t>-표준계정코드 미사용-</t>
        </is>
      </c>
      <c r="K1038" s="29" t="inlineStr">
        <is>
          <t>주식선택권 대체</t>
        </is>
      </c>
      <c r="L1038" s="29" t="inlineStr">
        <is>
          <t>연결재무제표 [member]</t>
        </is>
      </c>
      <c r="M1038" s="29" t="inlineStr">
        <is>
          <t>제 27 기</t>
        </is>
      </c>
      <c r="N1038" s="29" t="inlineStr">
        <is>
          <t>0.0</t>
        </is>
      </c>
      <c r="O1038" s="29" t="inlineStr">
        <is>
          <t>0.0</t>
        </is>
      </c>
      <c r="P1038" s="29" t="inlineStr">
        <is>
          <t>KRW</t>
        </is>
      </c>
      <c r="Q1038" s="29" t="inlineStr">
        <is>
          <t>5</t>
        </is>
      </c>
    </row>
    <row r="1039" ht="24" customHeight="1">
      <c r="A1039" s="24" t="inlineStr">
        <is>
          <t>OpenDART_fnlttSinglAcntAll</t>
        </is>
      </c>
      <c r="B1039" s="24" t="inlineStr">
        <is>
          <t>00366942</t>
        </is>
      </c>
      <c r="C1039" s="24" t="inlineStr">
        <is>
          <t>미코</t>
        </is>
      </c>
      <c r="D1039" s="24" t="inlineStr">
        <is>
          <t>mico</t>
        </is>
      </c>
      <c r="E1039" s="24" t="inlineStr">
        <is>
          <t>059090</t>
        </is>
      </c>
      <c r="F1039" s="24" t="inlineStr">
        <is>
          <t>2025</t>
        </is>
      </c>
      <c r="G1039" s="24" t="inlineStr">
        <is>
          <t>CFS</t>
        </is>
      </c>
      <c r="H1039" s="24" t="inlineStr">
        <is>
          <t>SCE</t>
        </is>
      </c>
      <c r="I1039" s="24" t="inlineStr">
        <is>
          <t>자본변동표</t>
        </is>
      </c>
      <c r="J1039" s="24" t="inlineStr">
        <is>
          <t>-표준계정코드 미사용-</t>
        </is>
      </c>
      <c r="K1039" s="24" t="inlineStr">
        <is>
          <t>주식선택권 대체</t>
        </is>
      </c>
      <c r="L1039" s="24" t="inlineStr">
        <is>
          <t>자본 [구성요소]|비지배지분 [구성요소]</t>
        </is>
      </c>
      <c r="M1039" s="24" t="inlineStr">
        <is>
          <t>제 27 기</t>
        </is>
      </c>
      <c r="N1039" s="24" t="inlineStr">
        <is>
          <t>-173219148.0</t>
        </is>
      </c>
      <c r="O1039" s="24" t="inlineStr">
        <is>
          <t>-99924022.0</t>
        </is>
      </c>
      <c r="P1039" s="24" t="inlineStr">
        <is>
          <t>KRW</t>
        </is>
      </c>
      <c r="Q1039" s="24" t="inlineStr">
        <is>
          <t>5</t>
        </is>
      </c>
    </row>
    <row r="1040" ht="24" customHeight="1">
      <c r="A1040" s="29" t="inlineStr">
        <is>
          <t>OpenDART_fnlttSinglAcntAll</t>
        </is>
      </c>
      <c r="B1040" s="29" t="inlineStr">
        <is>
          <t>00366942</t>
        </is>
      </c>
      <c r="C1040" s="29" t="inlineStr">
        <is>
          <t>미코</t>
        </is>
      </c>
      <c r="D1040" s="29" t="inlineStr">
        <is>
          <t>mico</t>
        </is>
      </c>
      <c r="E1040" s="29" t="inlineStr">
        <is>
          <t>059090</t>
        </is>
      </c>
      <c r="F1040" s="29" t="inlineStr">
        <is>
          <t>2025</t>
        </is>
      </c>
      <c r="G1040" s="29" t="inlineStr">
        <is>
          <t>CFS</t>
        </is>
      </c>
      <c r="H1040" s="29" t="inlineStr">
        <is>
          <t>SCE</t>
        </is>
      </c>
      <c r="I1040" s="29" t="inlineStr">
        <is>
          <t>자본변동표</t>
        </is>
      </c>
      <c r="J1040" s="29" t="inlineStr">
        <is>
          <t>-표준계정코드 미사용-</t>
        </is>
      </c>
      <c r="K1040" s="29" t="inlineStr">
        <is>
          <t>주식선택권 대체</t>
        </is>
      </c>
      <c r="L1040" s="29" t="inlineStr">
        <is>
          <t>자본 [구성요소]|지배기업의 소유주에게 귀속되는 지분 [구성요소]</t>
        </is>
      </c>
      <c r="M1040" s="29" t="inlineStr">
        <is>
          <t>제 27 기</t>
        </is>
      </c>
      <c r="N1040" s="29" t="inlineStr">
        <is>
          <t>173219148.0</t>
        </is>
      </c>
      <c r="O1040" s="29" t="inlineStr">
        <is>
          <t>99924022.0</t>
        </is>
      </c>
      <c r="P1040" s="29" t="inlineStr">
        <is>
          <t>KRW</t>
        </is>
      </c>
      <c r="Q1040" s="29" t="inlineStr">
        <is>
          <t>5</t>
        </is>
      </c>
    </row>
    <row r="1041" ht="24" customHeight="1">
      <c r="A1041" s="24" t="inlineStr">
        <is>
          <t>OpenDART_fnlttSinglAcntAll</t>
        </is>
      </c>
      <c r="B1041" s="24" t="inlineStr">
        <is>
          <t>00366942</t>
        </is>
      </c>
      <c r="C1041" s="24" t="inlineStr">
        <is>
          <t>미코</t>
        </is>
      </c>
      <c r="D1041" s="24" t="inlineStr">
        <is>
          <t>mico</t>
        </is>
      </c>
      <c r="E1041" s="24" t="inlineStr">
        <is>
          <t>059090</t>
        </is>
      </c>
      <c r="F1041" s="24" t="inlineStr">
        <is>
          <t>2025</t>
        </is>
      </c>
      <c r="G1041" s="24" t="inlineStr">
        <is>
          <t>CFS</t>
        </is>
      </c>
      <c r="H1041" s="24" t="inlineStr">
        <is>
          <t>SCE</t>
        </is>
      </c>
      <c r="I1041" s="24" t="inlineStr">
        <is>
          <t>자본변동표</t>
        </is>
      </c>
      <c r="J1041" s="24" t="inlineStr">
        <is>
          <t>-표준계정코드 미사용-</t>
        </is>
      </c>
      <c r="K1041" s="24" t="inlineStr">
        <is>
          <t>주식선택권 대체</t>
        </is>
      </c>
      <c r="L1041" s="24" t="inlineStr">
        <is>
          <t>자본 [구성요소]|지배기업의 소유주에게 귀속되는 지분 [구성요소]|자본금 [구성요소]</t>
        </is>
      </c>
      <c r="M1041" s="24" t="inlineStr">
        <is>
          <t>제 27 기</t>
        </is>
      </c>
      <c r="N1041" s="24" t="inlineStr">
        <is>
          <t>0.0</t>
        </is>
      </c>
      <c r="O1041" s="24" t="inlineStr">
        <is>
          <t>0.0</t>
        </is>
      </c>
      <c r="P1041" s="24" t="inlineStr">
        <is>
          <t>KRW</t>
        </is>
      </c>
      <c r="Q1041" s="24" t="inlineStr">
        <is>
          <t>5</t>
        </is>
      </c>
    </row>
    <row r="1042" ht="24" customHeight="1">
      <c r="A1042" s="29" t="inlineStr">
        <is>
          <t>OpenDART_fnlttSinglAcntAll</t>
        </is>
      </c>
      <c r="B1042" s="29" t="inlineStr">
        <is>
          <t>00366942</t>
        </is>
      </c>
      <c r="C1042" s="29" t="inlineStr">
        <is>
          <t>미코</t>
        </is>
      </c>
      <c r="D1042" s="29" t="inlineStr">
        <is>
          <t>mico</t>
        </is>
      </c>
      <c r="E1042" s="29" t="inlineStr">
        <is>
          <t>059090</t>
        </is>
      </c>
      <c r="F1042" s="29" t="inlineStr">
        <is>
          <t>2025</t>
        </is>
      </c>
      <c r="G1042" s="29" t="inlineStr">
        <is>
          <t>CFS</t>
        </is>
      </c>
      <c r="H1042" s="29" t="inlineStr">
        <is>
          <t>SCE</t>
        </is>
      </c>
      <c r="I1042" s="29" t="inlineStr">
        <is>
          <t>자본변동표</t>
        </is>
      </c>
      <c r="J1042" s="29" t="inlineStr">
        <is>
          <t>-표준계정코드 미사용-</t>
        </is>
      </c>
      <c r="K1042" s="29" t="inlineStr">
        <is>
          <t>주식선택권 대체</t>
        </is>
      </c>
      <c r="L1042" s="29" t="inlineStr">
        <is>
          <t>자본 [구성요소]|지배기업의 소유주에게 귀속되는 지분 [구성요소]|이익잉여금 [구성요소]</t>
        </is>
      </c>
      <c r="M1042" s="29" t="inlineStr">
        <is>
          <t>제 27 기</t>
        </is>
      </c>
      <c r="N1042" s="29" t="inlineStr">
        <is>
          <t>0.0</t>
        </is>
      </c>
      <c r="O1042" s="29" t="inlineStr">
        <is>
          <t>0.0</t>
        </is>
      </c>
      <c r="P1042" s="29" t="inlineStr">
        <is>
          <t>KRW</t>
        </is>
      </c>
      <c r="Q1042" s="29" t="inlineStr">
        <is>
          <t>5</t>
        </is>
      </c>
    </row>
    <row r="1043" ht="24" customHeight="1">
      <c r="A1043" s="24" t="inlineStr">
        <is>
          <t>OpenDART_fnlttSinglAcntAll</t>
        </is>
      </c>
      <c r="B1043" s="24" t="inlineStr">
        <is>
          <t>00366942</t>
        </is>
      </c>
      <c r="C1043" s="24" t="inlineStr">
        <is>
          <t>미코</t>
        </is>
      </c>
      <c r="D1043" s="24" t="inlineStr">
        <is>
          <t>mico</t>
        </is>
      </c>
      <c r="E1043" s="24" t="inlineStr">
        <is>
          <t>059090</t>
        </is>
      </c>
      <c r="F1043" s="24" t="inlineStr">
        <is>
          <t>2025</t>
        </is>
      </c>
      <c r="G1043" s="24" t="inlineStr">
        <is>
          <t>CFS</t>
        </is>
      </c>
      <c r="H1043" s="24" t="inlineStr">
        <is>
          <t>SCE</t>
        </is>
      </c>
      <c r="I1043" s="24" t="inlineStr">
        <is>
          <t>자본변동표</t>
        </is>
      </c>
      <c r="J1043" s="24" t="inlineStr">
        <is>
          <t>-표준계정코드 미사용-</t>
        </is>
      </c>
      <c r="K1043" s="24" t="inlineStr">
        <is>
          <t>주식선택권 대체</t>
        </is>
      </c>
      <c r="L1043" s="24" t="inlineStr">
        <is>
          <t>자본 [구성요소]|지배기업의 소유주에게 귀속되는 지분 [구성요소]|기타포괄손익누계액 [구성요소]</t>
        </is>
      </c>
      <c r="M1043" s="24" t="inlineStr">
        <is>
          <t>제 27 기</t>
        </is>
      </c>
      <c r="N1043" s="24" t="inlineStr">
        <is>
          <t>0.0</t>
        </is>
      </c>
      <c r="O1043" s="24" t="inlineStr">
        <is>
          <t>0.0</t>
        </is>
      </c>
      <c r="P1043" s="24" t="inlineStr">
        <is>
          <t>KRW</t>
        </is>
      </c>
      <c r="Q1043" s="24" t="inlineStr">
        <is>
          <t>5</t>
        </is>
      </c>
    </row>
    <row r="1044" ht="24" customHeight="1">
      <c r="A1044" s="29" t="inlineStr">
        <is>
          <t>OpenDART_fnlttSinglAcntAll</t>
        </is>
      </c>
      <c r="B1044" s="29" t="inlineStr">
        <is>
          <t>00366942</t>
        </is>
      </c>
      <c r="C1044" s="29" t="inlineStr">
        <is>
          <t>미코</t>
        </is>
      </c>
      <c r="D1044" s="29" t="inlineStr">
        <is>
          <t>mico</t>
        </is>
      </c>
      <c r="E1044" s="29" t="inlineStr">
        <is>
          <t>059090</t>
        </is>
      </c>
      <c r="F1044" s="29" t="inlineStr">
        <is>
          <t>2025</t>
        </is>
      </c>
      <c r="G1044" s="29" t="inlineStr">
        <is>
          <t>CFS</t>
        </is>
      </c>
      <c r="H1044" s="29" t="inlineStr">
        <is>
          <t>SCE</t>
        </is>
      </c>
      <c r="I1044" s="29" t="inlineStr">
        <is>
          <t>자본변동표</t>
        </is>
      </c>
      <c r="J1044" s="29" t="inlineStr">
        <is>
          <t>-표준계정코드 미사용-</t>
        </is>
      </c>
      <c r="K1044" s="29" t="inlineStr">
        <is>
          <t>주식선택권 대체</t>
        </is>
      </c>
      <c r="L1044" s="29" t="inlineStr">
        <is>
          <t>자본 [구성요소]|지배기업의 소유주에게 귀속되는 지분 [구성요소]|기타자본구성요소 [구성요소]</t>
        </is>
      </c>
      <c r="M1044" s="29" t="inlineStr">
        <is>
          <t>제 27 기</t>
        </is>
      </c>
      <c r="N1044" s="29" t="inlineStr">
        <is>
          <t>0.0</t>
        </is>
      </c>
      <c r="O1044" s="29" t="inlineStr">
        <is>
          <t>0.0</t>
        </is>
      </c>
      <c r="P1044" s="29" t="inlineStr">
        <is>
          <t>KRW</t>
        </is>
      </c>
      <c r="Q1044" s="29" t="inlineStr">
        <is>
          <t>5</t>
        </is>
      </c>
    </row>
    <row r="1045" ht="24" customHeight="1">
      <c r="A1045" s="24" t="inlineStr">
        <is>
          <t>OpenDART_fnlttSinglAcntAll</t>
        </is>
      </c>
      <c r="B1045" s="24" t="inlineStr">
        <is>
          <t>00366942</t>
        </is>
      </c>
      <c r="C1045" s="24" t="inlineStr">
        <is>
          <t>미코</t>
        </is>
      </c>
      <c r="D1045" s="24" t="inlineStr">
        <is>
          <t>mico</t>
        </is>
      </c>
      <c r="E1045" s="24" t="inlineStr">
        <is>
          <t>059090</t>
        </is>
      </c>
      <c r="F1045" s="24" t="inlineStr">
        <is>
          <t>2025</t>
        </is>
      </c>
      <c r="G1045" s="24" t="inlineStr">
        <is>
          <t>CFS</t>
        </is>
      </c>
      <c r="H1045" s="24" t="inlineStr">
        <is>
          <t>SCE</t>
        </is>
      </c>
      <c r="I1045" s="24" t="inlineStr">
        <is>
          <t>자본변동표</t>
        </is>
      </c>
      <c r="J1045" s="24" t="inlineStr">
        <is>
          <t>-표준계정코드 미사용-</t>
        </is>
      </c>
      <c r="K1045" s="24" t="inlineStr">
        <is>
          <t>주식선택권 대체</t>
        </is>
      </c>
      <c r="L1045" s="24" t="inlineStr">
        <is>
          <t>자본 [구성요소]|지배기업의 소유주에게 귀속되는 지분 [구성요소]|자본잉여금 [구성요소]</t>
        </is>
      </c>
      <c r="M1045" s="24" t="inlineStr">
        <is>
          <t>제 27 기</t>
        </is>
      </c>
      <c r="N1045" s="24" t="inlineStr">
        <is>
          <t>173219148.0</t>
        </is>
      </c>
      <c r="O1045" s="24" t="inlineStr">
        <is>
          <t>99924022.0</t>
        </is>
      </c>
      <c r="P1045" s="24" t="inlineStr">
        <is>
          <t>KRW</t>
        </is>
      </c>
      <c r="Q1045" s="24" t="inlineStr">
        <is>
          <t>5</t>
        </is>
      </c>
    </row>
    <row r="1046" ht="24" customHeight="1">
      <c r="A1046" s="29" t="inlineStr">
        <is>
          <t>OpenDART_fnlttSinglAcntAll</t>
        </is>
      </c>
      <c r="B1046" s="29" t="inlineStr">
        <is>
          <t>00366942</t>
        </is>
      </c>
      <c r="C1046" s="29" t="inlineStr">
        <is>
          <t>미코</t>
        </is>
      </c>
      <c r="D1046" s="29" t="inlineStr">
        <is>
          <t>mico</t>
        </is>
      </c>
      <c r="E1046" s="29" t="inlineStr">
        <is>
          <t>059090</t>
        </is>
      </c>
      <c r="F1046" s="29" t="inlineStr">
        <is>
          <t>2025</t>
        </is>
      </c>
      <c r="G1046" s="29" t="inlineStr">
        <is>
          <t>CFS</t>
        </is>
      </c>
      <c r="H1046" s="29" t="inlineStr">
        <is>
          <t>SCE</t>
        </is>
      </c>
      <c r="I1046" s="29" t="inlineStr">
        <is>
          <t>자본변동표</t>
        </is>
      </c>
      <c r="J1046" s="29" t="inlineStr">
        <is>
          <t>-표준계정코드 미사용-</t>
        </is>
      </c>
      <c r="K1046" s="29" t="inlineStr">
        <is>
          <t>지분법자본변동 이익잉여금 대체</t>
        </is>
      </c>
      <c r="L1046" s="29" t="inlineStr">
        <is>
          <t>자본 [구성요소]|지배기업의 소유주에게 귀속되는 지분 [구성요소]</t>
        </is>
      </c>
      <c r="M1046" s="29" t="inlineStr">
        <is>
          <t>제 27 기</t>
        </is>
      </c>
      <c r="N1046" s="29" t="inlineStr">
        <is>
          <t>0.0</t>
        </is>
      </c>
      <c r="O1046" s="29" t="inlineStr">
        <is>
          <t>0.0</t>
        </is>
      </c>
      <c r="P1046" s="29" t="inlineStr">
        <is>
          <t>KRW</t>
        </is>
      </c>
      <c r="Q1046" s="29" t="inlineStr">
        <is>
          <t>6</t>
        </is>
      </c>
    </row>
    <row r="1047" ht="24" customHeight="1">
      <c r="A1047" s="24" t="inlineStr">
        <is>
          <t>OpenDART_fnlttSinglAcntAll</t>
        </is>
      </c>
      <c r="B1047" s="24" t="inlineStr">
        <is>
          <t>00366942</t>
        </is>
      </c>
      <c r="C1047" s="24" t="inlineStr">
        <is>
          <t>미코</t>
        </is>
      </c>
      <c r="D1047" s="24" t="inlineStr">
        <is>
          <t>mico</t>
        </is>
      </c>
      <c r="E1047" s="24" t="inlineStr">
        <is>
          <t>059090</t>
        </is>
      </c>
      <c r="F1047" s="24" t="inlineStr">
        <is>
          <t>2025</t>
        </is>
      </c>
      <c r="G1047" s="24" t="inlineStr">
        <is>
          <t>CFS</t>
        </is>
      </c>
      <c r="H1047" s="24" t="inlineStr">
        <is>
          <t>SCE</t>
        </is>
      </c>
      <c r="I1047" s="24" t="inlineStr">
        <is>
          <t>자본변동표</t>
        </is>
      </c>
      <c r="J1047" s="24" t="inlineStr">
        <is>
          <t>-표준계정코드 미사용-</t>
        </is>
      </c>
      <c r="K1047" s="24" t="inlineStr">
        <is>
          <t>지분법자본변동 이익잉여금 대체</t>
        </is>
      </c>
      <c r="L1047" s="24" t="inlineStr">
        <is>
          <t>자본 [구성요소]|비지배지분 [구성요소]</t>
        </is>
      </c>
      <c r="M1047" s="24" t="inlineStr">
        <is>
          <t>제 27 기</t>
        </is>
      </c>
      <c r="N1047" s="24" t="inlineStr">
        <is>
          <t>0.0</t>
        </is>
      </c>
      <c r="O1047" s="24" t="inlineStr">
        <is>
          <t>0.0</t>
        </is>
      </c>
      <c r="P1047" s="24" t="inlineStr">
        <is>
          <t>KRW</t>
        </is>
      </c>
      <c r="Q1047" s="24" t="inlineStr">
        <is>
          <t>6</t>
        </is>
      </c>
    </row>
    <row r="1048" ht="24" customHeight="1">
      <c r="A1048" s="29" t="inlineStr">
        <is>
          <t>OpenDART_fnlttSinglAcntAll</t>
        </is>
      </c>
      <c r="B1048" s="29" t="inlineStr">
        <is>
          <t>00366942</t>
        </is>
      </c>
      <c r="C1048" s="29" t="inlineStr">
        <is>
          <t>미코</t>
        </is>
      </c>
      <c r="D1048" s="29" t="inlineStr">
        <is>
          <t>mico</t>
        </is>
      </c>
      <c r="E1048" s="29" t="inlineStr">
        <is>
          <t>059090</t>
        </is>
      </c>
      <c r="F1048" s="29" t="inlineStr">
        <is>
          <t>2025</t>
        </is>
      </c>
      <c r="G1048" s="29" t="inlineStr">
        <is>
          <t>CFS</t>
        </is>
      </c>
      <c r="H1048" s="29" t="inlineStr">
        <is>
          <t>SCE</t>
        </is>
      </c>
      <c r="I1048" s="29" t="inlineStr">
        <is>
          <t>자본변동표</t>
        </is>
      </c>
      <c r="J1048" s="29" t="inlineStr">
        <is>
          <t>-표준계정코드 미사용-</t>
        </is>
      </c>
      <c r="K1048" s="29" t="inlineStr">
        <is>
          <t>지분법자본변동 이익잉여금 대체</t>
        </is>
      </c>
      <c r="L1048" s="29" t="inlineStr">
        <is>
          <t>연결재무제표 [member]</t>
        </is>
      </c>
      <c r="M1048" s="29" t="inlineStr">
        <is>
          <t>제 27 기</t>
        </is>
      </c>
      <c r="N1048" s="29" t="inlineStr">
        <is>
          <t>0.0</t>
        </is>
      </c>
      <c r="O1048" s="29" t="inlineStr">
        <is>
          <t>0.0</t>
        </is>
      </c>
      <c r="P1048" s="29" t="inlineStr">
        <is>
          <t>KRW</t>
        </is>
      </c>
      <c r="Q1048" s="29" t="inlineStr">
        <is>
          <t>6</t>
        </is>
      </c>
    </row>
    <row r="1049" ht="24" customHeight="1">
      <c r="A1049" s="24" t="inlineStr">
        <is>
          <t>OpenDART_fnlttSinglAcntAll</t>
        </is>
      </c>
      <c r="B1049" s="24" t="inlineStr">
        <is>
          <t>00366942</t>
        </is>
      </c>
      <c r="C1049" s="24" t="inlineStr">
        <is>
          <t>미코</t>
        </is>
      </c>
      <c r="D1049" s="24" t="inlineStr">
        <is>
          <t>mico</t>
        </is>
      </c>
      <c r="E1049" s="24" t="inlineStr">
        <is>
          <t>059090</t>
        </is>
      </c>
      <c r="F1049" s="24" t="inlineStr">
        <is>
          <t>2025</t>
        </is>
      </c>
      <c r="G1049" s="24" t="inlineStr">
        <is>
          <t>CFS</t>
        </is>
      </c>
      <c r="H1049" s="24" t="inlineStr">
        <is>
          <t>SCE</t>
        </is>
      </c>
      <c r="I1049" s="24" t="inlineStr">
        <is>
          <t>자본변동표</t>
        </is>
      </c>
      <c r="J1049" s="24" t="inlineStr">
        <is>
          <t>-표준계정코드 미사용-</t>
        </is>
      </c>
      <c r="K1049" s="24" t="inlineStr">
        <is>
          <t>지분법자본변동 이익잉여금 대체</t>
        </is>
      </c>
      <c r="L1049" s="24" t="inlineStr">
        <is>
          <t>자본 [구성요소]|지배기업의 소유주에게 귀속되는 지분 [구성요소]|기타자본구성요소 [구성요소]</t>
        </is>
      </c>
      <c r="M1049" s="24" t="inlineStr">
        <is>
          <t>제 27 기</t>
        </is>
      </c>
      <c r="N1049" s="24" t="inlineStr">
        <is>
          <t>0.0</t>
        </is>
      </c>
      <c r="O1049" s="24" t="inlineStr">
        <is>
          <t>0.0</t>
        </is>
      </c>
      <c r="P1049" s="24" t="inlineStr">
        <is>
          <t>KRW</t>
        </is>
      </c>
      <c r="Q1049" s="24" t="inlineStr">
        <is>
          <t>6</t>
        </is>
      </c>
    </row>
    <row r="1050" ht="24" customHeight="1">
      <c r="A1050" s="29" t="inlineStr">
        <is>
          <t>OpenDART_fnlttSinglAcntAll</t>
        </is>
      </c>
      <c r="B1050" s="29" t="inlineStr">
        <is>
          <t>00366942</t>
        </is>
      </c>
      <c r="C1050" s="29" t="inlineStr">
        <is>
          <t>미코</t>
        </is>
      </c>
      <c r="D1050" s="29" t="inlineStr">
        <is>
          <t>mico</t>
        </is>
      </c>
      <c r="E1050" s="29" t="inlineStr">
        <is>
          <t>059090</t>
        </is>
      </c>
      <c r="F1050" s="29" t="inlineStr">
        <is>
          <t>2025</t>
        </is>
      </c>
      <c r="G1050" s="29" t="inlineStr">
        <is>
          <t>CFS</t>
        </is>
      </c>
      <c r="H1050" s="29" t="inlineStr">
        <is>
          <t>SCE</t>
        </is>
      </c>
      <c r="I1050" s="29" t="inlineStr">
        <is>
          <t>자본변동표</t>
        </is>
      </c>
      <c r="J1050" s="29" t="inlineStr">
        <is>
          <t>-표준계정코드 미사용-</t>
        </is>
      </c>
      <c r="K1050" s="29" t="inlineStr">
        <is>
          <t>지분법자본변동 이익잉여금 대체</t>
        </is>
      </c>
      <c r="L1050" s="29" t="inlineStr">
        <is>
          <t>자본 [구성요소]|지배기업의 소유주에게 귀속되는 지분 [구성요소]|자본잉여금 [구성요소]</t>
        </is>
      </c>
      <c r="M1050" s="29" t="inlineStr">
        <is>
          <t>제 27 기</t>
        </is>
      </c>
      <c r="N1050" s="29" t="inlineStr">
        <is>
          <t>0.0</t>
        </is>
      </c>
      <c r="O1050" s="29" t="inlineStr">
        <is>
          <t>0.0</t>
        </is>
      </c>
      <c r="P1050" s="29" t="inlineStr">
        <is>
          <t>KRW</t>
        </is>
      </c>
      <c r="Q1050" s="29" t="inlineStr">
        <is>
          <t>6</t>
        </is>
      </c>
    </row>
    <row r="1051" ht="24" customHeight="1">
      <c r="A1051" s="24" t="inlineStr">
        <is>
          <t>OpenDART_fnlttSinglAcntAll</t>
        </is>
      </c>
      <c r="B1051" s="24" t="inlineStr">
        <is>
          <t>00366942</t>
        </is>
      </c>
      <c r="C1051" s="24" t="inlineStr">
        <is>
          <t>미코</t>
        </is>
      </c>
      <c r="D1051" s="24" t="inlineStr">
        <is>
          <t>mico</t>
        </is>
      </c>
      <c r="E1051" s="24" t="inlineStr">
        <is>
          <t>059090</t>
        </is>
      </c>
      <c r="F1051" s="24" t="inlineStr">
        <is>
          <t>2025</t>
        </is>
      </c>
      <c r="G1051" s="24" t="inlineStr">
        <is>
          <t>CFS</t>
        </is>
      </c>
      <c r="H1051" s="24" t="inlineStr">
        <is>
          <t>SCE</t>
        </is>
      </c>
      <c r="I1051" s="24" t="inlineStr">
        <is>
          <t>자본변동표</t>
        </is>
      </c>
      <c r="J1051" s="24" t="inlineStr">
        <is>
          <t>-표준계정코드 미사용-</t>
        </is>
      </c>
      <c r="K1051" s="24" t="inlineStr">
        <is>
          <t>지분법자본변동 이익잉여금 대체</t>
        </is>
      </c>
      <c r="L1051" s="24" t="inlineStr">
        <is>
          <t>자본 [구성요소]|지배기업의 소유주에게 귀속되는 지분 [구성요소]|자본금 [구성요소]</t>
        </is>
      </c>
      <c r="M1051" s="24" t="inlineStr">
        <is>
          <t>제 27 기</t>
        </is>
      </c>
      <c r="N1051" s="24" t="inlineStr">
        <is>
          <t>0.0</t>
        </is>
      </c>
      <c r="O1051" s="24" t="inlineStr">
        <is>
          <t>0.0</t>
        </is>
      </c>
      <c r="P1051" s="24" t="inlineStr">
        <is>
          <t>KRW</t>
        </is>
      </c>
      <c r="Q1051" s="24" t="inlineStr">
        <is>
          <t>6</t>
        </is>
      </c>
    </row>
    <row r="1052" ht="24" customHeight="1">
      <c r="A1052" s="29" t="inlineStr">
        <is>
          <t>OpenDART_fnlttSinglAcntAll</t>
        </is>
      </c>
      <c r="B1052" s="29" t="inlineStr">
        <is>
          <t>00366942</t>
        </is>
      </c>
      <c r="C1052" s="29" t="inlineStr">
        <is>
          <t>미코</t>
        </is>
      </c>
      <c r="D1052" s="29" t="inlineStr">
        <is>
          <t>mico</t>
        </is>
      </c>
      <c r="E1052" s="29" t="inlineStr">
        <is>
          <t>059090</t>
        </is>
      </c>
      <c r="F1052" s="29" t="inlineStr">
        <is>
          <t>2025</t>
        </is>
      </c>
      <c r="G1052" s="29" t="inlineStr">
        <is>
          <t>CFS</t>
        </is>
      </c>
      <c r="H1052" s="29" t="inlineStr">
        <is>
          <t>SCE</t>
        </is>
      </c>
      <c r="I1052" s="29" t="inlineStr">
        <is>
          <t>자본변동표</t>
        </is>
      </c>
      <c r="J1052" s="29" t="inlineStr">
        <is>
          <t>-표준계정코드 미사용-</t>
        </is>
      </c>
      <c r="K1052" s="29" t="inlineStr">
        <is>
          <t>지분법자본변동 이익잉여금 대체</t>
        </is>
      </c>
      <c r="L1052" s="29" t="inlineStr">
        <is>
          <t>자본 [구성요소]|지배기업의 소유주에게 귀속되는 지분 [구성요소]|이익잉여금 [구성요소]</t>
        </is>
      </c>
      <c r="M1052" s="29" t="inlineStr">
        <is>
          <t>제 27 기</t>
        </is>
      </c>
      <c r="N1052" s="29" t="inlineStr">
        <is>
          <t>0.0</t>
        </is>
      </c>
      <c r="O1052" s="29" t="inlineStr">
        <is>
          <t>-668203315.0</t>
        </is>
      </c>
      <c r="P1052" s="29" t="inlineStr">
        <is>
          <t>KRW</t>
        </is>
      </c>
      <c r="Q1052" s="29" t="inlineStr">
        <is>
          <t>6</t>
        </is>
      </c>
    </row>
    <row r="1053" ht="24" customHeight="1">
      <c r="A1053" s="24" t="inlineStr">
        <is>
          <t>OpenDART_fnlttSinglAcntAll</t>
        </is>
      </c>
      <c r="B1053" s="24" t="inlineStr">
        <is>
          <t>00366942</t>
        </is>
      </c>
      <c r="C1053" s="24" t="inlineStr">
        <is>
          <t>미코</t>
        </is>
      </c>
      <c r="D1053" s="24" t="inlineStr">
        <is>
          <t>mico</t>
        </is>
      </c>
      <c r="E1053" s="24" t="inlineStr">
        <is>
          <t>059090</t>
        </is>
      </c>
      <c r="F1053" s="24" t="inlineStr">
        <is>
          <t>2025</t>
        </is>
      </c>
      <c r="G1053" s="24" t="inlineStr">
        <is>
          <t>CFS</t>
        </is>
      </c>
      <c r="H1053" s="24" t="inlineStr">
        <is>
          <t>SCE</t>
        </is>
      </c>
      <c r="I1053" s="24" t="inlineStr">
        <is>
          <t>자본변동표</t>
        </is>
      </c>
      <c r="J1053" s="24" t="inlineStr">
        <is>
          <t>-표준계정코드 미사용-</t>
        </is>
      </c>
      <c r="K1053" s="24" t="inlineStr">
        <is>
          <t>지분법자본변동 이익잉여금 대체</t>
        </is>
      </c>
      <c r="L1053" s="24" t="inlineStr">
        <is>
          <t>자본 [구성요소]|지배기업의 소유주에게 귀속되는 지분 [구성요소]|기타포괄손익누계액 [구성요소]</t>
        </is>
      </c>
      <c r="M1053" s="24" t="inlineStr">
        <is>
          <t>제 27 기</t>
        </is>
      </c>
      <c r="N1053" s="24" t="inlineStr">
        <is>
          <t>0.0</t>
        </is>
      </c>
      <c r="O1053" s="24" t="inlineStr">
        <is>
          <t>668203315.0</t>
        </is>
      </c>
      <c r="P1053" s="24" t="inlineStr">
        <is>
          <t>KRW</t>
        </is>
      </c>
      <c r="Q1053" s="24" t="inlineStr">
        <is>
          <t>6</t>
        </is>
      </c>
    </row>
    <row r="1054" ht="24" customHeight="1">
      <c r="A1054" s="29" t="inlineStr">
        <is>
          <t>OpenDART_fnlttSinglAcntAll</t>
        </is>
      </c>
      <c r="B1054" s="29" t="inlineStr">
        <is>
          <t>00366942</t>
        </is>
      </c>
      <c r="C1054" s="29" t="inlineStr">
        <is>
          <t>미코</t>
        </is>
      </c>
      <c r="D1054" s="29" t="inlineStr">
        <is>
          <t>mico</t>
        </is>
      </c>
      <c r="E1054" s="29" t="inlineStr">
        <is>
          <t>059090</t>
        </is>
      </c>
      <c r="F1054" s="29" t="inlineStr">
        <is>
          <t>2025</t>
        </is>
      </c>
      <c r="G1054" s="29" t="inlineStr">
        <is>
          <t>CFS</t>
        </is>
      </c>
      <c r="H1054" s="29" t="inlineStr">
        <is>
          <t>SCE</t>
        </is>
      </c>
      <c r="I1054" s="29" t="inlineStr">
        <is>
          <t>자본변동표</t>
        </is>
      </c>
      <c r="J1054" s="29" t="inlineStr">
        <is>
          <t>ifrs-full_ComprehensiveIncome</t>
        </is>
      </c>
      <c r="K1054" s="29" t="inlineStr">
        <is>
          <t>총포괄이익</t>
        </is>
      </c>
      <c r="L1054" s="29" t="inlineStr">
        <is>
          <t>자본 [구성요소]|지배기업의 소유주에게 귀속되는 지분 [구성요소]</t>
        </is>
      </c>
      <c r="M1054" s="29" t="inlineStr">
        <is>
          <t>제 27 기</t>
        </is>
      </c>
      <c r="N1054" s="29" t="inlineStr">
        <is>
          <t>31475577954.0</t>
        </is>
      </c>
      <c r="O1054" s="29" t="inlineStr">
        <is>
          <t>20094457071.0</t>
        </is>
      </c>
      <c r="P1054" s="29" t="inlineStr">
        <is>
          <t>KRW</t>
        </is>
      </c>
      <c r="Q1054" s="29" t="inlineStr">
        <is>
          <t>7</t>
        </is>
      </c>
    </row>
    <row r="1055" ht="24" customHeight="1">
      <c r="A1055" s="24" t="inlineStr">
        <is>
          <t>OpenDART_fnlttSinglAcntAll</t>
        </is>
      </c>
      <c r="B1055" s="24" t="inlineStr">
        <is>
          <t>00366942</t>
        </is>
      </c>
      <c r="C1055" s="24" t="inlineStr">
        <is>
          <t>미코</t>
        </is>
      </c>
      <c r="D1055" s="24" t="inlineStr">
        <is>
          <t>mico</t>
        </is>
      </c>
      <c r="E1055" s="24" t="inlineStr">
        <is>
          <t>059090</t>
        </is>
      </c>
      <c r="F1055" s="24" t="inlineStr">
        <is>
          <t>2025</t>
        </is>
      </c>
      <c r="G1055" s="24" t="inlineStr">
        <is>
          <t>CFS</t>
        </is>
      </c>
      <c r="H1055" s="24" t="inlineStr">
        <is>
          <t>SCE</t>
        </is>
      </c>
      <c r="I1055" s="24" t="inlineStr">
        <is>
          <t>자본변동표</t>
        </is>
      </c>
      <c r="J1055" s="24" t="inlineStr">
        <is>
          <t>ifrs-full_ComprehensiveIncome</t>
        </is>
      </c>
      <c r="K1055" s="24" t="inlineStr">
        <is>
          <t>총포괄이익</t>
        </is>
      </c>
      <c r="L1055" s="24" t="inlineStr">
        <is>
          <t>자본 [구성요소]|비지배지분 [구성요소]</t>
        </is>
      </c>
      <c r="M1055" s="24" t="inlineStr">
        <is>
          <t>제 27 기</t>
        </is>
      </c>
      <c r="N1055" s="24" t="inlineStr">
        <is>
          <t>46725147324.0</t>
        </is>
      </c>
      <c r="O1055" s="24" t="inlineStr">
        <is>
          <t>67914579867.0</t>
        </is>
      </c>
      <c r="P1055" s="24" t="inlineStr">
        <is>
          <t>KRW</t>
        </is>
      </c>
      <c r="Q1055" s="24" t="inlineStr">
        <is>
          <t>7</t>
        </is>
      </c>
    </row>
    <row r="1056" ht="24" customHeight="1">
      <c r="A1056" s="29" t="inlineStr">
        <is>
          <t>OpenDART_fnlttSinglAcntAll</t>
        </is>
      </c>
      <c r="B1056" s="29" t="inlineStr">
        <is>
          <t>00366942</t>
        </is>
      </c>
      <c r="C1056" s="29" t="inlineStr">
        <is>
          <t>미코</t>
        </is>
      </c>
      <c r="D1056" s="29" t="inlineStr">
        <is>
          <t>mico</t>
        </is>
      </c>
      <c r="E1056" s="29" t="inlineStr">
        <is>
          <t>059090</t>
        </is>
      </c>
      <c r="F1056" s="29" t="inlineStr">
        <is>
          <t>2025</t>
        </is>
      </c>
      <c r="G1056" s="29" t="inlineStr">
        <is>
          <t>CFS</t>
        </is>
      </c>
      <c r="H1056" s="29" t="inlineStr">
        <is>
          <t>SCE</t>
        </is>
      </c>
      <c r="I1056" s="29" t="inlineStr">
        <is>
          <t>자본변동표</t>
        </is>
      </c>
      <c r="J1056" s="29" t="inlineStr">
        <is>
          <t>ifrs-full_ComprehensiveIncome</t>
        </is>
      </c>
      <c r="K1056" s="29" t="inlineStr">
        <is>
          <t>총포괄이익</t>
        </is>
      </c>
      <c r="L1056" s="29" t="inlineStr">
        <is>
          <t>연결재무제표 [member]</t>
        </is>
      </c>
      <c r="M1056" s="29" t="inlineStr">
        <is>
          <t>제 27 기</t>
        </is>
      </c>
      <c r="N1056" s="29" t="inlineStr">
        <is>
          <t>78200725278.0</t>
        </is>
      </c>
      <c r="O1056" s="29" t="inlineStr">
        <is>
          <t>88009036938.0</t>
        </is>
      </c>
      <c r="P1056" s="29" t="inlineStr">
        <is>
          <t>KRW</t>
        </is>
      </c>
      <c r="Q1056" s="29" t="inlineStr">
        <is>
          <t>7</t>
        </is>
      </c>
    </row>
    <row r="1057" ht="24" customHeight="1">
      <c r="A1057" s="24" t="inlineStr">
        <is>
          <t>OpenDART_fnlttSinglAcntAll</t>
        </is>
      </c>
      <c r="B1057" s="24" t="inlineStr">
        <is>
          <t>00366942</t>
        </is>
      </c>
      <c r="C1057" s="24" t="inlineStr">
        <is>
          <t>미코</t>
        </is>
      </c>
      <c r="D1057" s="24" t="inlineStr">
        <is>
          <t>mico</t>
        </is>
      </c>
      <c r="E1057" s="24" t="inlineStr">
        <is>
          <t>059090</t>
        </is>
      </c>
      <c r="F1057" s="24" t="inlineStr">
        <is>
          <t>2025</t>
        </is>
      </c>
      <c r="G1057" s="24" t="inlineStr">
        <is>
          <t>CFS</t>
        </is>
      </c>
      <c r="H1057" s="24" t="inlineStr">
        <is>
          <t>SCE</t>
        </is>
      </c>
      <c r="I1057" s="24" t="inlineStr">
        <is>
          <t>자본변동표</t>
        </is>
      </c>
      <c r="J1057" s="24" t="inlineStr">
        <is>
          <t>ifrs-full_ComprehensiveIncome</t>
        </is>
      </c>
      <c r="K1057" s="24" t="inlineStr">
        <is>
          <t>총포괄이익</t>
        </is>
      </c>
      <c r="L1057" s="24" t="inlineStr">
        <is>
          <t>자본 [구성요소]|지배기업의 소유주에게 귀속되는 지분 [구성요소]|기타자본구성요소 [구성요소]</t>
        </is>
      </c>
      <c r="M1057" s="24" t="inlineStr">
        <is>
          <t>제 27 기</t>
        </is>
      </c>
      <c r="N1057" s="24" t="inlineStr">
        <is>
          <t>0.0</t>
        </is>
      </c>
      <c r="O1057" s="24" t="inlineStr">
        <is>
          <t>0.0</t>
        </is>
      </c>
      <c r="P1057" s="24" t="inlineStr">
        <is>
          <t>KRW</t>
        </is>
      </c>
      <c r="Q1057" s="24" t="inlineStr">
        <is>
          <t>7</t>
        </is>
      </c>
    </row>
    <row r="1058" ht="24" customHeight="1">
      <c r="A1058" s="29" t="inlineStr">
        <is>
          <t>OpenDART_fnlttSinglAcntAll</t>
        </is>
      </c>
      <c r="B1058" s="29" t="inlineStr">
        <is>
          <t>00366942</t>
        </is>
      </c>
      <c r="C1058" s="29" t="inlineStr">
        <is>
          <t>미코</t>
        </is>
      </c>
      <c r="D1058" s="29" t="inlineStr">
        <is>
          <t>mico</t>
        </is>
      </c>
      <c r="E1058" s="29" t="inlineStr">
        <is>
          <t>059090</t>
        </is>
      </c>
      <c r="F1058" s="29" t="inlineStr">
        <is>
          <t>2025</t>
        </is>
      </c>
      <c r="G1058" s="29" t="inlineStr">
        <is>
          <t>CFS</t>
        </is>
      </c>
      <c r="H1058" s="29" t="inlineStr">
        <is>
          <t>SCE</t>
        </is>
      </c>
      <c r="I1058" s="29" t="inlineStr">
        <is>
          <t>자본변동표</t>
        </is>
      </c>
      <c r="J1058" s="29" t="inlineStr">
        <is>
          <t>ifrs-full_ComprehensiveIncome</t>
        </is>
      </c>
      <c r="K1058" s="29" t="inlineStr">
        <is>
          <t>총포괄이익</t>
        </is>
      </c>
      <c r="L1058" s="29" t="inlineStr">
        <is>
          <t>자본 [구성요소]|지배기업의 소유주에게 귀속되는 지분 [구성요소]|기타포괄손익누계액 [구성요소]</t>
        </is>
      </c>
      <c r="M1058" s="29" t="inlineStr">
        <is>
          <t>제 27 기</t>
        </is>
      </c>
      <c r="N1058" s="29" t="inlineStr">
        <is>
          <t>1977441513.0</t>
        </is>
      </c>
      <c r="O1058" s="29" t="inlineStr">
        <is>
          <t>2646884244.0</t>
        </is>
      </c>
      <c r="P1058" s="29" t="inlineStr">
        <is>
          <t>KRW</t>
        </is>
      </c>
      <c r="Q1058" s="29" t="inlineStr">
        <is>
          <t>7</t>
        </is>
      </c>
    </row>
    <row r="1059" ht="24" customHeight="1">
      <c r="A1059" s="24" t="inlineStr">
        <is>
          <t>OpenDART_fnlttSinglAcntAll</t>
        </is>
      </c>
      <c r="B1059" s="24" t="inlineStr">
        <is>
          <t>00366942</t>
        </is>
      </c>
      <c r="C1059" s="24" t="inlineStr">
        <is>
          <t>미코</t>
        </is>
      </c>
      <c r="D1059" s="24" t="inlineStr">
        <is>
          <t>mico</t>
        </is>
      </c>
      <c r="E1059" s="24" t="inlineStr">
        <is>
          <t>059090</t>
        </is>
      </c>
      <c r="F1059" s="24" t="inlineStr">
        <is>
          <t>2025</t>
        </is>
      </c>
      <c r="G1059" s="24" t="inlineStr">
        <is>
          <t>CFS</t>
        </is>
      </c>
      <c r="H1059" s="24" t="inlineStr">
        <is>
          <t>SCE</t>
        </is>
      </c>
      <c r="I1059" s="24" t="inlineStr">
        <is>
          <t>자본변동표</t>
        </is>
      </c>
      <c r="J1059" s="24" t="inlineStr">
        <is>
          <t>ifrs-full_ComprehensiveIncome</t>
        </is>
      </c>
      <c r="K1059" s="24" t="inlineStr">
        <is>
          <t>총포괄이익</t>
        </is>
      </c>
      <c r="L1059" s="24" t="inlineStr">
        <is>
          <t>자본 [구성요소]|지배기업의 소유주에게 귀속되는 지분 [구성요소]|이익잉여금 [구성요소]</t>
        </is>
      </c>
      <c r="M1059" s="24" t="inlineStr">
        <is>
          <t>제 27 기</t>
        </is>
      </c>
      <c r="N1059" s="24" t="inlineStr">
        <is>
          <t>29498136441.0</t>
        </is>
      </c>
      <c r="O1059" s="24" t="inlineStr">
        <is>
          <t>17447572827.0</t>
        </is>
      </c>
      <c r="P1059" s="24" t="inlineStr">
        <is>
          <t>KRW</t>
        </is>
      </c>
      <c r="Q1059" s="24" t="inlineStr">
        <is>
          <t>7</t>
        </is>
      </c>
    </row>
    <row r="1060" ht="24" customHeight="1">
      <c r="A1060" s="29" t="inlineStr">
        <is>
          <t>OpenDART_fnlttSinglAcntAll</t>
        </is>
      </c>
      <c r="B1060" s="29" t="inlineStr">
        <is>
          <t>00366942</t>
        </is>
      </c>
      <c r="C1060" s="29" t="inlineStr">
        <is>
          <t>미코</t>
        </is>
      </c>
      <c r="D1060" s="29" t="inlineStr">
        <is>
          <t>mico</t>
        </is>
      </c>
      <c r="E1060" s="29" t="inlineStr">
        <is>
          <t>059090</t>
        </is>
      </c>
      <c r="F1060" s="29" t="inlineStr">
        <is>
          <t>2025</t>
        </is>
      </c>
      <c r="G1060" s="29" t="inlineStr">
        <is>
          <t>CFS</t>
        </is>
      </c>
      <c r="H1060" s="29" t="inlineStr">
        <is>
          <t>SCE</t>
        </is>
      </c>
      <c r="I1060" s="29" t="inlineStr">
        <is>
          <t>자본변동표</t>
        </is>
      </c>
      <c r="J1060" s="29" t="inlineStr">
        <is>
          <t>ifrs-full_ComprehensiveIncome</t>
        </is>
      </c>
      <c r="K1060" s="29" t="inlineStr">
        <is>
          <t>총포괄이익</t>
        </is>
      </c>
      <c r="L1060" s="29" t="inlineStr">
        <is>
          <t>자본 [구성요소]|지배기업의 소유주에게 귀속되는 지분 [구성요소]|자본금 [구성요소]</t>
        </is>
      </c>
      <c r="M1060" s="29" t="inlineStr">
        <is>
          <t>제 27 기</t>
        </is>
      </c>
      <c r="N1060" s="29" t="inlineStr">
        <is>
          <t>0.0</t>
        </is>
      </c>
      <c r="O1060" s="29" t="inlineStr">
        <is>
          <t>0.0</t>
        </is>
      </c>
      <c r="P1060" s="29" t="inlineStr">
        <is>
          <t>KRW</t>
        </is>
      </c>
      <c r="Q1060" s="29" t="inlineStr">
        <is>
          <t>7</t>
        </is>
      </c>
    </row>
    <row r="1061" ht="24" customHeight="1">
      <c r="A1061" s="24" t="inlineStr">
        <is>
          <t>OpenDART_fnlttSinglAcntAll</t>
        </is>
      </c>
      <c r="B1061" s="24" t="inlineStr">
        <is>
          <t>00366942</t>
        </is>
      </c>
      <c r="C1061" s="24" t="inlineStr">
        <is>
          <t>미코</t>
        </is>
      </c>
      <c r="D1061" s="24" t="inlineStr">
        <is>
          <t>mico</t>
        </is>
      </c>
      <c r="E1061" s="24" t="inlineStr">
        <is>
          <t>059090</t>
        </is>
      </c>
      <c r="F1061" s="24" t="inlineStr">
        <is>
          <t>2025</t>
        </is>
      </c>
      <c r="G1061" s="24" t="inlineStr">
        <is>
          <t>CFS</t>
        </is>
      </c>
      <c r="H1061" s="24" t="inlineStr">
        <is>
          <t>SCE</t>
        </is>
      </c>
      <c r="I1061" s="24" t="inlineStr">
        <is>
          <t>자본변동표</t>
        </is>
      </c>
      <c r="J1061" s="24" t="inlineStr">
        <is>
          <t>ifrs-full_ComprehensiveIncome</t>
        </is>
      </c>
      <c r="K1061" s="24" t="inlineStr">
        <is>
          <t>총포괄이익</t>
        </is>
      </c>
      <c r="L1061" s="24" t="inlineStr">
        <is>
          <t>자본 [구성요소]|지배기업의 소유주에게 귀속되는 지분 [구성요소]|자본잉여금 [구성요소]</t>
        </is>
      </c>
      <c r="M1061" s="24" t="inlineStr">
        <is>
          <t>제 27 기</t>
        </is>
      </c>
      <c r="N1061" s="24" t="inlineStr">
        <is>
          <t>0.0</t>
        </is>
      </c>
      <c r="O1061" s="24" t="inlineStr">
        <is>
          <t>0.0</t>
        </is>
      </c>
      <c r="P1061" s="24" t="inlineStr">
        <is>
          <t>KRW</t>
        </is>
      </c>
      <c r="Q1061" s="24" t="inlineStr">
        <is>
          <t>7</t>
        </is>
      </c>
    </row>
    <row r="1062" ht="24" customHeight="1">
      <c r="A1062" s="29" t="inlineStr">
        <is>
          <t>OpenDART_fnlttSinglAcntAll</t>
        </is>
      </c>
      <c r="B1062" s="29" t="inlineStr">
        <is>
          <t>00366942</t>
        </is>
      </c>
      <c r="C1062" s="29" t="inlineStr">
        <is>
          <t>미코</t>
        </is>
      </c>
      <c r="D1062" s="29" t="inlineStr">
        <is>
          <t>mico</t>
        </is>
      </c>
      <c r="E1062" s="29" t="inlineStr">
        <is>
          <t>059090</t>
        </is>
      </c>
      <c r="F1062" s="29" t="inlineStr">
        <is>
          <t>2025</t>
        </is>
      </c>
      <c r="G1062" s="29" t="inlineStr">
        <is>
          <t>CFS</t>
        </is>
      </c>
      <c r="H1062" s="29" t="inlineStr">
        <is>
          <t>SCE</t>
        </is>
      </c>
      <c r="I1062" s="29" t="inlineStr">
        <is>
          <t>자본변동표</t>
        </is>
      </c>
      <c r="J1062" s="29" t="inlineStr">
        <is>
          <t>ifrs-full_DividendsPaid</t>
        </is>
      </c>
      <c r="K1062" s="29" t="inlineStr">
        <is>
          <t>배당금의 지급</t>
        </is>
      </c>
      <c r="L1062" s="29" t="inlineStr">
        <is>
          <t>자본 [구성요소]|지배기업의 소유주에게 귀속되는 지분 [구성요소]</t>
        </is>
      </c>
      <c r="M1062" s="29" t="inlineStr">
        <is>
          <t>제 27 기</t>
        </is>
      </c>
      <c r="N1062" s="29" t="inlineStr">
        <is>
          <t>0.0</t>
        </is>
      </c>
      <c r="O1062" s="29" t="inlineStr">
        <is>
          <t>0.0</t>
        </is>
      </c>
      <c r="P1062" s="29" t="inlineStr">
        <is>
          <t>KRW</t>
        </is>
      </c>
      <c r="Q1062" s="29" t="inlineStr">
        <is>
          <t>8</t>
        </is>
      </c>
    </row>
    <row r="1063" ht="24" customHeight="1">
      <c r="A1063" s="24" t="inlineStr">
        <is>
          <t>OpenDART_fnlttSinglAcntAll</t>
        </is>
      </c>
      <c r="B1063" s="24" t="inlineStr">
        <is>
          <t>00366942</t>
        </is>
      </c>
      <c r="C1063" s="24" t="inlineStr">
        <is>
          <t>미코</t>
        </is>
      </c>
      <c r="D1063" s="24" t="inlineStr">
        <is>
          <t>mico</t>
        </is>
      </c>
      <c r="E1063" s="24" t="inlineStr">
        <is>
          <t>059090</t>
        </is>
      </c>
      <c r="F1063" s="24" t="inlineStr">
        <is>
          <t>2025</t>
        </is>
      </c>
      <c r="G1063" s="24" t="inlineStr">
        <is>
          <t>CFS</t>
        </is>
      </c>
      <c r="H1063" s="24" t="inlineStr">
        <is>
          <t>SCE</t>
        </is>
      </c>
      <c r="I1063" s="24" t="inlineStr">
        <is>
          <t>자본변동표</t>
        </is>
      </c>
      <c r="J1063" s="24" t="inlineStr">
        <is>
          <t>ifrs-full_DividendsPaid</t>
        </is>
      </c>
      <c r="K1063" s="24" t="inlineStr">
        <is>
          <t>배당금의 지급</t>
        </is>
      </c>
      <c r="L1063" s="24" t="inlineStr">
        <is>
          <t>자본 [구성요소]|비지배지분 [구성요소]</t>
        </is>
      </c>
      <c r="M1063" s="24" t="inlineStr">
        <is>
          <t>제 27 기</t>
        </is>
      </c>
      <c r="N1063" s="24" t="inlineStr">
        <is>
          <t>10720304000.0</t>
        </is>
      </c>
      <c r="O1063" s="24" t="inlineStr">
        <is>
          <t>4856729000.0</t>
        </is>
      </c>
      <c r="P1063" s="24" t="inlineStr">
        <is>
          <t>KRW</t>
        </is>
      </c>
      <c r="Q1063" s="24" t="inlineStr">
        <is>
          <t>8</t>
        </is>
      </c>
    </row>
    <row r="1064" ht="24" customHeight="1">
      <c r="A1064" s="29" t="inlineStr">
        <is>
          <t>OpenDART_fnlttSinglAcntAll</t>
        </is>
      </c>
      <c r="B1064" s="29" t="inlineStr">
        <is>
          <t>00366942</t>
        </is>
      </c>
      <c r="C1064" s="29" t="inlineStr">
        <is>
          <t>미코</t>
        </is>
      </c>
      <c r="D1064" s="29" t="inlineStr">
        <is>
          <t>mico</t>
        </is>
      </c>
      <c r="E1064" s="29" t="inlineStr">
        <is>
          <t>059090</t>
        </is>
      </c>
      <c r="F1064" s="29" t="inlineStr">
        <is>
          <t>2025</t>
        </is>
      </c>
      <c r="G1064" s="29" t="inlineStr">
        <is>
          <t>CFS</t>
        </is>
      </c>
      <c r="H1064" s="29" t="inlineStr">
        <is>
          <t>SCE</t>
        </is>
      </c>
      <c r="I1064" s="29" t="inlineStr">
        <is>
          <t>자본변동표</t>
        </is>
      </c>
      <c r="J1064" s="29" t="inlineStr">
        <is>
          <t>ifrs-full_DividendsPaid</t>
        </is>
      </c>
      <c r="K1064" s="29" t="inlineStr">
        <is>
          <t>배당금의 지급</t>
        </is>
      </c>
      <c r="L1064" s="29" t="inlineStr">
        <is>
          <t>연결재무제표 [member]</t>
        </is>
      </c>
      <c r="M1064" s="29" t="inlineStr">
        <is>
          <t>제 27 기</t>
        </is>
      </c>
      <c r="N1064" s="29" t="inlineStr">
        <is>
          <t>10720304000.0</t>
        </is>
      </c>
      <c r="O1064" s="29" t="inlineStr">
        <is>
          <t>4856729000.0</t>
        </is>
      </c>
      <c r="P1064" s="29" t="inlineStr">
        <is>
          <t>KRW</t>
        </is>
      </c>
      <c r="Q1064" s="29" t="inlineStr">
        <is>
          <t>8</t>
        </is>
      </c>
    </row>
    <row r="1065" ht="24" customHeight="1">
      <c r="A1065" s="24" t="inlineStr">
        <is>
          <t>OpenDART_fnlttSinglAcntAll</t>
        </is>
      </c>
      <c r="B1065" s="24" t="inlineStr">
        <is>
          <t>00366942</t>
        </is>
      </c>
      <c r="C1065" s="24" t="inlineStr">
        <is>
          <t>미코</t>
        </is>
      </c>
      <c r="D1065" s="24" t="inlineStr">
        <is>
          <t>mico</t>
        </is>
      </c>
      <c r="E1065" s="24" t="inlineStr">
        <is>
          <t>059090</t>
        </is>
      </c>
      <c r="F1065" s="24" t="inlineStr">
        <is>
          <t>2025</t>
        </is>
      </c>
      <c r="G1065" s="24" t="inlineStr">
        <is>
          <t>CFS</t>
        </is>
      </c>
      <c r="H1065" s="24" t="inlineStr">
        <is>
          <t>SCE</t>
        </is>
      </c>
      <c r="I1065" s="24" t="inlineStr">
        <is>
          <t>자본변동표</t>
        </is>
      </c>
      <c r="J1065" s="24" t="inlineStr">
        <is>
          <t>ifrs-full_DividendsPaid</t>
        </is>
      </c>
      <c r="K1065" s="24" t="inlineStr">
        <is>
          <t>배당금의 지급</t>
        </is>
      </c>
      <c r="L1065" s="24" t="inlineStr">
        <is>
          <t>자본 [구성요소]|지배기업의 소유주에게 귀속되는 지분 [구성요소]|기타자본구성요소 [구성요소]</t>
        </is>
      </c>
      <c r="M1065" s="24" t="inlineStr">
        <is>
          <t>제 27 기</t>
        </is>
      </c>
      <c r="N1065" s="24" t="inlineStr">
        <is>
          <t>0.0</t>
        </is>
      </c>
      <c r="O1065" s="24" t="inlineStr">
        <is>
          <t>0.0</t>
        </is>
      </c>
      <c r="P1065" s="24" t="inlineStr">
        <is>
          <t>KRW</t>
        </is>
      </c>
      <c r="Q1065" s="24" t="inlineStr">
        <is>
          <t>8</t>
        </is>
      </c>
    </row>
    <row r="1066" ht="24" customHeight="1">
      <c r="A1066" s="29" t="inlineStr">
        <is>
          <t>OpenDART_fnlttSinglAcntAll</t>
        </is>
      </c>
      <c r="B1066" s="29" t="inlineStr">
        <is>
          <t>00366942</t>
        </is>
      </c>
      <c r="C1066" s="29" t="inlineStr">
        <is>
          <t>미코</t>
        </is>
      </c>
      <c r="D1066" s="29" t="inlineStr">
        <is>
          <t>mico</t>
        </is>
      </c>
      <c r="E1066" s="29" t="inlineStr">
        <is>
          <t>059090</t>
        </is>
      </c>
      <c r="F1066" s="29" t="inlineStr">
        <is>
          <t>2025</t>
        </is>
      </c>
      <c r="G1066" s="29" t="inlineStr">
        <is>
          <t>CFS</t>
        </is>
      </c>
      <c r="H1066" s="29" t="inlineStr">
        <is>
          <t>SCE</t>
        </is>
      </c>
      <c r="I1066" s="29" t="inlineStr">
        <is>
          <t>자본변동표</t>
        </is>
      </c>
      <c r="J1066" s="29" t="inlineStr">
        <is>
          <t>ifrs-full_DividendsPaid</t>
        </is>
      </c>
      <c r="K1066" s="29" t="inlineStr">
        <is>
          <t>배당금의 지급</t>
        </is>
      </c>
      <c r="L1066" s="29" t="inlineStr">
        <is>
          <t>자본 [구성요소]|지배기업의 소유주에게 귀속되는 지분 [구성요소]|자본잉여금 [구성요소]</t>
        </is>
      </c>
      <c r="M1066" s="29" t="inlineStr">
        <is>
          <t>제 27 기</t>
        </is>
      </c>
      <c r="N1066" s="29" t="inlineStr">
        <is>
          <t>0.0</t>
        </is>
      </c>
      <c r="O1066" s="29" t="inlineStr">
        <is>
          <t>0.0</t>
        </is>
      </c>
      <c r="P1066" s="29" t="inlineStr">
        <is>
          <t>KRW</t>
        </is>
      </c>
      <c r="Q1066" s="29" t="inlineStr">
        <is>
          <t>8</t>
        </is>
      </c>
    </row>
    <row r="1067" ht="24" customHeight="1">
      <c r="A1067" s="24" t="inlineStr">
        <is>
          <t>OpenDART_fnlttSinglAcntAll</t>
        </is>
      </c>
      <c r="B1067" s="24" t="inlineStr">
        <is>
          <t>00366942</t>
        </is>
      </c>
      <c r="C1067" s="24" t="inlineStr">
        <is>
          <t>미코</t>
        </is>
      </c>
      <c r="D1067" s="24" t="inlineStr">
        <is>
          <t>mico</t>
        </is>
      </c>
      <c r="E1067" s="24" t="inlineStr">
        <is>
          <t>059090</t>
        </is>
      </c>
      <c r="F1067" s="24" t="inlineStr">
        <is>
          <t>2025</t>
        </is>
      </c>
      <c r="G1067" s="24" t="inlineStr">
        <is>
          <t>CFS</t>
        </is>
      </c>
      <c r="H1067" s="24" t="inlineStr">
        <is>
          <t>SCE</t>
        </is>
      </c>
      <c r="I1067" s="24" t="inlineStr">
        <is>
          <t>자본변동표</t>
        </is>
      </c>
      <c r="J1067" s="24" t="inlineStr">
        <is>
          <t>ifrs-full_DividendsPaid</t>
        </is>
      </c>
      <c r="K1067" s="24" t="inlineStr">
        <is>
          <t>배당금의 지급</t>
        </is>
      </c>
      <c r="L1067" s="24" t="inlineStr">
        <is>
          <t>자본 [구성요소]|지배기업의 소유주에게 귀속되는 지분 [구성요소]|자본금 [구성요소]</t>
        </is>
      </c>
      <c r="M1067" s="24" t="inlineStr">
        <is>
          <t>제 27 기</t>
        </is>
      </c>
      <c r="N1067" s="24" t="inlineStr">
        <is>
          <t>0.0</t>
        </is>
      </c>
      <c r="O1067" s="24" t="inlineStr">
        <is>
          <t>0.0</t>
        </is>
      </c>
      <c r="P1067" s="24" t="inlineStr">
        <is>
          <t>KRW</t>
        </is>
      </c>
      <c r="Q1067" s="24" t="inlineStr">
        <is>
          <t>8</t>
        </is>
      </c>
    </row>
    <row r="1068" ht="24" customHeight="1">
      <c r="A1068" s="29" t="inlineStr">
        <is>
          <t>OpenDART_fnlttSinglAcntAll</t>
        </is>
      </c>
      <c r="B1068" s="29" t="inlineStr">
        <is>
          <t>00366942</t>
        </is>
      </c>
      <c r="C1068" s="29" t="inlineStr">
        <is>
          <t>미코</t>
        </is>
      </c>
      <c r="D1068" s="29" t="inlineStr">
        <is>
          <t>mico</t>
        </is>
      </c>
      <c r="E1068" s="29" t="inlineStr">
        <is>
          <t>059090</t>
        </is>
      </c>
      <c r="F1068" s="29" t="inlineStr">
        <is>
          <t>2025</t>
        </is>
      </c>
      <c r="G1068" s="29" t="inlineStr">
        <is>
          <t>CFS</t>
        </is>
      </c>
      <c r="H1068" s="29" t="inlineStr">
        <is>
          <t>SCE</t>
        </is>
      </c>
      <c r="I1068" s="29" t="inlineStr">
        <is>
          <t>자본변동표</t>
        </is>
      </c>
      <c r="J1068" s="29" t="inlineStr">
        <is>
          <t>ifrs-full_DividendsPaid</t>
        </is>
      </c>
      <c r="K1068" s="29" t="inlineStr">
        <is>
          <t>배당금의 지급</t>
        </is>
      </c>
      <c r="L1068" s="29" t="inlineStr">
        <is>
          <t>자본 [구성요소]|지배기업의 소유주에게 귀속되는 지분 [구성요소]|이익잉여금 [구성요소]</t>
        </is>
      </c>
      <c r="M1068" s="29" t="inlineStr">
        <is>
          <t>제 27 기</t>
        </is>
      </c>
      <c r="N1068" s="29" t="inlineStr">
        <is>
          <t>0.0</t>
        </is>
      </c>
      <c r="O1068" s="29" t="inlineStr">
        <is>
          <t>0.0</t>
        </is>
      </c>
      <c r="P1068" s="29" t="inlineStr">
        <is>
          <t>KRW</t>
        </is>
      </c>
      <c r="Q1068" s="29" t="inlineStr">
        <is>
          <t>8</t>
        </is>
      </c>
    </row>
    <row r="1069" ht="24" customHeight="1">
      <c r="A1069" s="24" t="inlineStr">
        <is>
          <t>OpenDART_fnlttSinglAcntAll</t>
        </is>
      </c>
      <c r="B1069" s="24" t="inlineStr">
        <is>
          <t>00366942</t>
        </is>
      </c>
      <c r="C1069" s="24" t="inlineStr">
        <is>
          <t>미코</t>
        </is>
      </c>
      <c r="D1069" s="24" t="inlineStr">
        <is>
          <t>mico</t>
        </is>
      </c>
      <c r="E1069" s="24" t="inlineStr">
        <is>
          <t>059090</t>
        </is>
      </c>
      <c r="F1069" s="24" t="inlineStr">
        <is>
          <t>2025</t>
        </is>
      </c>
      <c r="G1069" s="24" t="inlineStr">
        <is>
          <t>CFS</t>
        </is>
      </c>
      <c r="H1069" s="24" t="inlineStr">
        <is>
          <t>SCE</t>
        </is>
      </c>
      <c r="I1069" s="24" t="inlineStr">
        <is>
          <t>자본변동표</t>
        </is>
      </c>
      <c r="J1069" s="24" t="inlineStr">
        <is>
          <t>ifrs-full_DividendsPaid</t>
        </is>
      </c>
      <c r="K1069" s="24" t="inlineStr">
        <is>
          <t>배당금의 지급</t>
        </is>
      </c>
      <c r="L1069" s="24" t="inlineStr">
        <is>
          <t>자본 [구성요소]|지배기업의 소유주에게 귀속되는 지분 [구성요소]|기타포괄손익누계액 [구성요소]</t>
        </is>
      </c>
      <c r="M1069" s="24" t="inlineStr">
        <is>
          <t>제 27 기</t>
        </is>
      </c>
      <c r="N1069" s="24" t="inlineStr">
        <is>
          <t>0.0</t>
        </is>
      </c>
      <c r="O1069" s="24" t="inlineStr">
        <is>
          <t>0.0</t>
        </is>
      </c>
      <c r="P1069" s="24" t="inlineStr">
        <is>
          <t>KRW</t>
        </is>
      </c>
      <c r="Q1069" s="24" t="inlineStr">
        <is>
          <t>8</t>
        </is>
      </c>
    </row>
    <row r="1070" ht="24" customHeight="1">
      <c r="A1070" s="29" t="inlineStr">
        <is>
          <t>OpenDART_fnlttSinglAcntAll</t>
        </is>
      </c>
      <c r="B1070" s="29" t="inlineStr">
        <is>
          <t>00366942</t>
        </is>
      </c>
      <c r="C1070" s="29" t="inlineStr">
        <is>
          <t>미코</t>
        </is>
      </c>
      <c r="D1070" s="29" t="inlineStr">
        <is>
          <t>mico</t>
        </is>
      </c>
      <c r="E1070" s="29" t="inlineStr">
        <is>
          <t>059090</t>
        </is>
      </c>
      <c r="F1070" s="29" t="inlineStr">
        <is>
          <t>2025</t>
        </is>
      </c>
      <c r="G1070" s="29" t="inlineStr">
        <is>
          <t>CFS</t>
        </is>
      </c>
      <c r="H1070" s="29" t="inlineStr">
        <is>
          <t>SCE</t>
        </is>
      </c>
      <c r="I1070" s="29" t="inlineStr">
        <is>
          <t>자본변동표</t>
        </is>
      </c>
      <c r="J1070" s="29" t="inlineStr">
        <is>
          <t>ifrs-full_Equity</t>
        </is>
      </c>
      <c r="K1070" s="29" t="inlineStr">
        <is>
          <t>자본총계</t>
        </is>
      </c>
      <c r="L1070" s="29" t="inlineStr">
        <is>
          <t>연결재무제표 [member]</t>
        </is>
      </c>
      <c r="M1070" s="29" t="inlineStr">
        <is>
          <t>제 27 기</t>
        </is>
      </c>
      <c r="N1070" s="29" t="inlineStr">
        <is>
          <t>689099900666.0</t>
        </is>
      </c>
      <c r="O1070" s="29" t="inlineStr">
        <is>
          <t>532847652534.0</t>
        </is>
      </c>
      <c r="P1070" s="29" t="inlineStr">
        <is>
          <t>KRW</t>
        </is>
      </c>
      <c r="Q1070" s="29" t="inlineStr">
        <is>
          <t>9</t>
        </is>
      </c>
    </row>
    <row r="1071" ht="24" customHeight="1">
      <c r="A1071" s="24" t="inlineStr">
        <is>
          <t>OpenDART_fnlttSinglAcntAll</t>
        </is>
      </c>
      <c r="B1071" s="24" t="inlineStr">
        <is>
          <t>00366942</t>
        </is>
      </c>
      <c r="C1071" s="24" t="inlineStr">
        <is>
          <t>미코</t>
        </is>
      </c>
      <c r="D1071" s="24" t="inlineStr">
        <is>
          <t>mico</t>
        </is>
      </c>
      <c r="E1071" s="24" t="inlineStr">
        <is>
          <t>059090</t>
        </is>
      </c>
      <c r="F1071" s="24" t="inlineStr">
        <is>
          <t>2025</t>
        </is>
      </c>
      <c r="G1071" s="24" t="inlineStr">
        <is>
          <t>CFS</t>
        </is>
      </c>
      <c r="H1071" s="24" t="inlineStr">
        <is>
          <t>SCE</t>
        </is>
      </c>
      <c r="I1071" s="24" t="inlineStr">
        <is>
          <t>자본변동표</t>
        </is>
      </c>
      <c r="J1071" s="24" t="inlineStr">
        <is>
          <t>ifrs-full_Equity</t>
        </is>
      </c>
      <c r="K1071" s="24" t="inlineStr">
        <is>
          <t>자본총계</t>
        </is>
      </c>
      <c r="L1071" s="24" t="inlineStr">
        <is>
          <t>자본 [구성요소]|비지배지분 [구성요소]</t>
        </is>
      </c>
      <c r="M1071" s="24" t="inlineStr">
        <is>
          <t>제 27 기</t>
        </is>
      </c>
      <c r="N1071" s="24" t="inlineStr">
        <is>
          <t>573884938152.0</t>
        </is>
      </c>
      <c r="O1071" s="24" t="inlineStr">
        <is>
          <t>431440175475.0</t>
        </is>
      </c>
      <c r="P1071" s="24" t="inlineStr">
        <is>
          <t>KRW</t>
        </is>
      </c>
      <c r="Q1071" s="24" t="inlineStr">
        <is>
          <t>9</t>
        </is>
      </c>
    </row>
    <row r="1072" ht="24" customHeight="1">
      <c r="A1072" s="29" t="inlineStr">
        <is>
          <t>OpenDART_fnlttSinglAcntAll</t>
        </is>
      </c>
      <c r="B1072" s="29" t="inlineStr">
        <is>
          <t>00366942</t>
        </is>
      </c>
      <c r="C1072" s="29" t="inlineStr">
        <is>
          <t>미코</t>
        </is>
      </c>
      <c r="D1072" s="29" t="inlineStr">
        <is>
          <t>mico</t>
        </is>
      </c>
      <c r="E1072" s="29" t="inlineStr">
        <is>
          <t>059090</t>
        </is>
      </c>
      <c r="F1072" s="29" t="inlineStr">
        <is>
          <t>2025</t>
        </is>
      </c>
      <c r="G1072" s="29" t="inlineStr">
        <is>
          <t>CFS</t>
        </is>
      </c>
      <c r="H1072" s="29" t="inlineStr">
        <is>
          <t>SCE</t>
        </is>
      </c>
      <c r="I1072" s="29" t="inlineStr">
        <is>
          <t>자본변동표</t>
        </is>
      </c>
      <c r="J1072" s="29" t="inlineStr">
        <is>
          <t>ifrs-full_Equity</t>
        </is>
      </c>
      <c r="K1072" s="29" t="inlineStr">
        <is>
          <t>자본총계</t>
        </is>
      </c>
      <c r="L1072" s="29" t="inlineStr">
        <is>
          <t>자본 [구성요소]|지배기업의 소유주에게 귀속되는 지분 [구성요소]</t>
        </is>
      </c>
      <c r="M1072" s="29" t="inlineStr">
        <is>
          <t>제 27 기</t>
        </is>
      </c>
      <c r="N1072" s="29" t="inlineStr">
        <is>
          <t>115214962514.0</t>
        </is>
      </c>
      <c r="O1072" s="29" t="inlineStr">
        <is>
          <t>101407477059.0</t>
        </is>
      </c>
      <c r="P1072" s="29" t="inlineStr">
        <is>
          <t>KRW</t>
        </is>
      </c>
      <c r="Q1072" s="29" t="inlineStr">
        <is>
          <t>9</t>
        </is>
      </c>
    </row>
    <row r="1073" ht="24" customHeight="1">
      <c r="A1073" s="24" t="inlineStr">
        <is>
          <t>OpenDART_fnlttSinglAcntAll</t>
        </is>
      </c>
      <c r="B1073" s="24" t="inlineStr">
        <is>
          <t>00366942</t>
        </is>
      </c>
      <c r="C1073" s="24" t="inlineStr">
        <is>
          <t>미코</t>
        </is>
      </c>
      <c r="D1073" s="24" t="inlineStr">
        <is>
          <t>mico</t>
        </is>
      </c>
      <c r="E1073" s="24" t="inlineStr">
        <is>
          <t>059090</t>
        </is>
      </c>
      <c r="F1073" s="24" t="inlineStr">
        <is>
          <t>2025</t>
        </is>
      </c>
      <c r="G1073" s="24" t="inlineStr">
        <is>
          <t>CFS</t>
        </is>
      </c>
      <c r="H1073" s="24" t="inlineStr">
        <is>
          <t>SCE</t>
        </is>
      </c>
      <c r="I1073" s="24" t="inlineStr">
        <is>
          <t>자본변동표</t>
        </is>
      </c>
      <c r="J1073" s="24" t="inlineStr">
        <is>
          <t>ifrs-full_Equity</t>
        </is>
      </c>
      <c r="K1073" s="24" t="inlineStr">
        <is>
          <t>자본총계</t>
        </is>
      </c>
      <c r="L1073" s="24" t="inlineStr">
        <is>
          <t>자본 [구성요소]|지배기업의 소유주에게 귀속되는 지분 [구성요소]|기타자본구성요소 [구성요소]</t>
        </is>
      </c>
      <c r="M1073" s="24" t="inlineStr">
        <is>
          <t>제 27 기</t>
        </is>
      </c>
      <c r="N1073" s="24" t="inlineStr">
        <is>
          <t>-66818285356.0</t>
        </is>
      </c>
      <c r="O1073" s="24" t="inlineStr">
        <is>
          <t>-71028018806.0</t>
        </is>
      </c>
      <c r="P1073" s="24" t="inlineStr">
        <is>
          <t>KRW</t>
        </is>
      </c>
      <c r="Q1073" s="24" t="inlineStr">
        <is>
          <t>9</t>
        </is>
      </c>
    </row>
    <row r="1074" ht="24" customHeight="1">
      <c r="A1074" s="29" t="inlineStr">
        <is>
          <t>OpenDART_fnlttSinglAcntAll</t>
        </is>
      </c>
      <c r="B1074" s="29" t="inlineStr">
        <is>
          <t>00366942</t>
        </is>
      </c>
      <c r="C1074" s="29" t="inlineStr">
        <is>
          <t>미코</t>
        </is>
      </c>
      <c r="D1074" s="29" t="inlineStr">
        <is>
          <t>mico</t>
        </is>
      </c>
      <c r="E1074" s="29" t="inlineStr">
        <is>
          <t>059090</t>
        </is>
      </c>
      <c r="F1074" s="29" t="inlineStr">
        <is>
          <t>2025</t>
        </is>
      </c>
      <c r="G1074" s="29" t="inlineStr">
        <is>
          <t>CFS</t>
        </is>
      </c>
      <c r="H1074" s="29" t="inlineStr">
        <is>
          <t>SCE</t>
        </is>
      </c>
      <c r="I1074" s="29" t="inlineStr">
        <is>
          <t>자본변동표</t>
        </is>
      </c>
      <c r="J1074" s="29" t="inlineStr">
        <is>
          <t>ifrs-full_Equity</t>
        </is>
      </c>
      <c r="K1074" s="29" t="inlineStr">
        <is>
          <t>자본총계</t>
        </is>
      </c>
      <c r="L1074" s="29" t="inlineStr">
        <is>
          <t>자본 [구성요소]|지배기업의 소유주에게 귀속되는 지분 [구성요소]|기타포괄손익누계액 [구성요소]</t>
        </is>
      </c>
      <c r="M1074" s="29" t="inlineStr">
        <is>
          <t>제 27 기</t>
        </is>
      </c>
      <c r="N1074" s="29" t="inlineStr">
        <is>
          <t>6346545667.0</t>
        </is>
      </c>
      <c r="O1074" s="29" t="inlineStr">
        <is>
          <t>2635493826.0</t>
        </is>
      </c>
      <c r="P1074" s="29" t="inlineStr">
        <is>
          <t>KRW</t>
        </is>
      </c>
      <c r="Q1074" s="29" t="inlineStr">
        <is>
          <t>9</t>
        </is>
      </c>
    </row>
    <row r="1075" ht="24" customHeight="1">
      <c r="A1075" s="24" t="inlineStr">
        <is>
          <t>OpenDART_fnlttSinglAcntAll</t>
        </is>
      </c>
      <c r="B1075" s="24" t="inlineStr">
        <is>
          <t>00366942</t>
        </is>
      </c>
      <c r="C1075" s="24" t="inlineStr">
        <is>
          <t>미코</t>
        </is>
      </c>
      <c r="D1075" s="24" t="inlineStr">
        <is>
          <t>mico</t>
        </is>
      </c>
      <c r="E1075" s="24" t="inlineStr">
        <is>
          <t>059090</t>
        </is>
      </c>
      <c r="F1075" s="24" t="inlineStr">
        <is>
          <t>2025</t>
        </is>
      </c>
      <c r="G1075" s="24" t="inlineStr">
        <is>
          <t>CFS</t>
        </is>
      </c>
      <c r="H1075" s="24" t="inlineStr">
        <is>
          <t>SCE</t>
        </is>
      </c>
      <c r="I1075" s="24" t="inlineStr">
        <is>
          <t>자본변동표</t>
        </is>
      </c>
      <c r="J1075" s="24" t="inlineStr">
        <is>
          <t>ifrs-full_Equity</t>
        </is>
      </c>
      <c r="K1075" s="24" t="inlineStr">
        <is>
          <t>자본총계</t>
        </is>
      </c>
      <c r="L1075" s="24" t="inlineStr">
        <is>
          <t>자본 [구성요소]|지배기업의 소유주에게 귀속되는 지분 [구성요소]|이익잉여금 [구성요소]</t>
        </is>
      </c>
      <c r="M1075" s="24" t="inlineStr">
        <is>
          <t>제 27 기</t>
        </is>
      </c>
      <c r="N1075" s="24" t="inlineStr">
        <is>
          <t>-16930871044.0</t>
        </is>
      </c>
      <c r="O1075" s="24" t="inlineStr">
        <is>
          <t>-46640871762.0</t>
        </is>
      </c>
      <c r="P1075" s="24" t="inlineStr">
        <is>
          <t>KRW</t>
        </is>
      </c>
      <c r="Q1075" s="24" t="inlineStr">
        <is>
          <t>9</t>
        </is>
      </c>
    </row>
    <row r="1076" ht="24" customHeight="1">
      <c r="A1076" s="29" t="inlineStr">
        <is>
          <t>OpenDART_fnlttSinglAcntAll</t>
        </is>
      </c>
      <c r="B1076" s="29" t="inlineStr">
        <is>
          <t>00366942</t>
        </is>
      </c>
      <c r="C1076" s="29" t="inlineStr">
        <is>
          <t>미코</t>
        </is>
      </c>
      <c r="D1076" s="29" t="inlineStr">
        <is>
          <t>mico</t>
        </is>
      </c>
      <c r="E1076" s="29" t="inlineStr">
        <is>
          <t>059090</t>
        </is>
      </c>
      <c r="F1076" s="29" t="inlineStr">
        <is>
          <t>2025</t>
        </is>
      </c>
      <c r="G1076" s="29" t="inlineStr">
        <is>
          <t>CFS</t>
        </is>
      </c>
      <c r="H1076" s="29" t="inlineStr">
        <is>
          <t>SCE</t>
        </is>
      </c>
      <c r="I1076" s="29" t="inlineStr">
        <is>
          <t>자본변동표</t>
        </is>
      </c>
      <c r="J1076" s="29" t="inlineStr">
        <is>
          <t>ifrs-full_Equity</t>
        </is>
      </c>
      <c r="K1076" s="29" t="inlineStr">
        <is>
          <t>자본총계</t>
        </is>
      </c>
      <c r="L1076" s="29" t="inlineStr">
        <is>
          <t>자본 [구성요소]|지배기업의 소유주에게 귀속되는 지분 [구성요소]|자본금 [구성요소]</t>
        </is>
      </c>
      <c r="M1076" s="29" t="inlineStr">
        <is>
          <t>제 27 기</t>
        </is>
      </c>
      <c r="N1076" s="29" t="inlineStr">
        <is>
          <t>16708389000.0</t>
        </is>
      </c>
      <c r="O1076" s="29" t="inlineStr">
        <is>
          <t>16708389000.0</t>
        </is>
      </c>
      <c r="P1076" s="29" t="inlineStr">
        <is>
          <t>KRW</t>
        </is>
      </c>
      <c r="Q1076" s="29" t="inlineStr">
        <is>
          <t>9</t>
        </is>
      </c>
    </row>
    <row r="1077" ht="24" customHeight="1">
      <c r="A1077" s="24" t="inlineStr">
        <is>
          <t>OpenDART_fnlttSinglAcntAll</t>
        </is>
      </c>
      <c r="B1077" s="24" t="inlineStr">
        <is>
          <t>00366942</t>
        </is>
      </c>
      <c r="C1077" s="24" t="inlineStr">
        <is>
          <t>미코</t>
        </is>
      </c>
      <c r="D1077" s="24" t="inlineStr">
        <is>
          <t>mico</t>
        </is>
      </c>
      <c r="E1077" s="24" t="inlineStr">
        <is>
          <t>059090</t>
        </is>
      </c>
      <c r="F1077" s="24" t="inlineStr">
        <is>
          <t>2025</t>
        </is>
      </c>
      <c r="G1077" s="24" t="inlineStr">
        <is>
          <t>CFS</t>
        </is>
      </c>
      <c r="H1077" s="24" t="inlineStr">
        <is>
          <t>SCE</t>
        </is>
      </c>
      <c r="I1077" s="24" t="inlineStr">
        <is>
          <t>자본변동표</t>
        </is>
      </c>
      <c r="J1077" s="24" t="inlineStr">
        <is>
          <t>ifrs-full_Equity</t>
        </is>
      </c>
      <c r="K1077" s="24" t="inlineStr">
        <is>
          <t>자본총계</t>
        </is>
      </c>
      <c r="L1077" s="24" t="inlineStr">
        <is>
          <t>자본 [구성요소]|지배기업의 소유주에게 귀속되는 지분 [구성요소]|자본잉여금 [구성요소]</t>
        </is>
      </c>
      <c r="M1077" s="24" t="inlineStr">
        <is>
          <t>제 27 기</t>
        </is>
      </c>
      <c r="N1077" s="24" t="inlineStr">
        <is>
          <t>175909184247.0</t>
        </is>
      </c>
      <c r="O1077" s="24" t="inlineStr">
        <is>
          <t>199732484801.0</t>
        </is>
      </c>
      <c r="P1077" s="24" t="inlineStr">
        <is>
          <t>KRW</t>
        </is>
      </c>
      <c r="Q1077" s="24" t="inlineStr">
        <is>
          <t>9</t>
        </is>
      </c>
    </row>
    <row r="1078" ht="24" customHeight="1">
      <c r="A1078" s="29" t="inlineStr">
        <is>
          <t>OpenDART_fnlttSinglAcntAll</t>
        </is>
      </c>
      <c r="B1078" s="29" t="inlineStr">
        <is>
          <t>00366942</t>
        </is>
      </c>
      <c r="C1078" s="29" t="inlineStr">
        <is>
          <t>미코</t>
        </is>
      </c>
      <c r="D1078" s="29" t="inlineStr">
        <is>
          <t>mico</t>
        </is>
      </c>
      <c r="E1078" s="29" t="inlineStr">
        <is>
          <t>059090</t>
        </is>
      </c>
      <c r="F1078" s="29" t="inlineStr">
        <is>
          <t>2025</t>
        </is>
      </c>
      <c r="G1078" s="29" t="inlineStr">
        <is>
          <t>CFS</t>
        </is>
      </c>
      <c r="H1078" s="29" t="inlineStr">
        <is>
          <t>SCE</t>
        </is>
      </c>
      <c r="I1078" s="29" t="inlineStr">
        <is>
          <t>자본변동표</t>
        </is>
      </c>
      <c r="J1078" s="29" t="inlineStr">
        <is>
          <t>ifrs-full_GainsLossesOnExchangeDifferencesOnTranslationNetOfTax</t>
        </is>
      </c>
      <c r="K1078" s="29" t="inlineStr">
        <is>
          <t>해외사업환산이익</t>
        </is>
      </c>
      <c r="L1078" s="29" t="inlineStr">
        <is>
          <t>연결재무제표 [member]</t>
        </is>
      </c>
      <c r="M1078" s="29" t="inlineStr">
        <is>
          <t>제 27 기</t>
        </is>
      </c>
      <c r="N1078" s="29" t="inlineStr">
        <is>
          <t>3200551033.0</t>
        </is>
      </c>
      <c r="O1078" s="29" t="inlineStr">
        <is>
          <t>13538422076.0</t>
        </is>
      </c>
      <c r="P1078" s="29" t="inlineStr">
        <is>
          <t>KRW</t>
        </is>
      </c>
      <c r="Q1078" s="29" t="inlineStr">
        <is>
          <t>10</t>
        </is>
      </c>
    </row>
    <row r="1079" ht="24" customHeight="1">
      <c r="A1079" s="24" t="inlineStr">
        <is>
          <t>OpenDART_fnlttSinglAcntAll</t>
        </is>
      </c>
      <c r="B1079" s="24" t="inlineStr">
        <is>
          <t>00366942</t>
        </is>
      </c>
      <c r="C1079" s="24" t="inlineStr">
        <is>
          <t>미코</t>
        </is>
      </c>
      <c r="D1079" s="24" t="inlineStr">
        <is>
          <t>mico</t>
        </is>
      </c>
      <c r="E1079" s="24" t="inlineStr">
        <is>
          <t>059090</t>
        </is>
      </c>
      <c r="F1079" s="24" t="inlineStr">
        <is>
          <t>2025</t>
        </is>
      </c>
      <c r="G1079" s="24" t="inlineStr">
        <is>
          <t>CFS</t>
        </is>
      </c>
      <c r="H1079" s="24" t="inlineStr">
        <is>
          <t>SCE</t>
        </is>
      </c>
      <c r="I1079" s="24" t="inlineStr">
        <is>
          <t>자본변동표</t>
        </is>
      </c>
      <c r="J1079" s="24" t="inlineStr">
        <is>
          <t>ifrs-full_GainsLossesOnExchangeDifferencesOnTranslationNetOfTax</t>
        </is>
      </c>
      <c r="K1079" s="24" t="inlineStr">
        <is>
          <t>해외사업환산이익</t>
        </is>
      </c>
      <c r="L1079" s="24" t="inlineStr">
        <is>
          <t>자본 [구성요소]|비지배지분 [구성요소]</t>
        </is>
      </c>
      <c r="M1079" s="24" t="inlineStr">
        <is>
          <t>제 27 기</t>
        </is>
      </c>
      <c r="N1079" s="24" t="inlineStr">
        <is>
          <t>1180477464.0</t>
        </is>
      </c>
      <c r="O1079" s="24" t="inlineStr">
        <is>
          <t>9107084985.0</t>
        </is>
      </c>
      <c r="P1079" s="24" t="inlineStr">
        <is>
          <t>KRW</t>
        </is>
      </c>
      <c r="Q1079" s="24" t="inlineStr">
        <is>
          <t>10</t>
        </is>
      </c>
    </row>
    <row r="1080" ht="24" customHeight="1">
      <c r="A1080" s="29" t="inlineStr">
        <is>
          <t>OpenDART_fnlttSinglAcntAll</t>
        </is>
      </c>
      <c r="B1080" s="29" t="inlineStr">
        <is>
          <t>00366942</t>
        </is>
      </c>
      <c r="C1080" s="29" t="inlineStr">
        <is>
          <t>미코</t>
        </is>
      </c>
      <c r="D1080" s="29" t="inlineStr">
        <is>
          <t>mico</t>
        </is>
      </c>
      <c r="E1080" s="29" t="inlineStr">
        <is>
          <t>059090</t>
        </is>
      </c>
      <c r="F1080" s="29" t="inlineStr">
        <is>
          <t>2025</t>
        </is>
      </c>
      <c r="G1080" s="29" t="inlineStr">
        <is>
          <t>CFS</t>
        </is>
      </c>
      <c r="H1080" s="29" t="inlineStr">
        <is>
          <t>SCE</t>
        </is>
      </c>
      <c r="I1080" s="29" t="inlineStr">
        <is>
          <t>자본변동표</t>
        </is>
      </c>
      <c r="J1080" s="29" t="inlineStr">
        <is>
          <t>ifrs-full_GainsLossesOnExchangeDifferencesOnTranslationNetOfTax</t>
        </is>
      </c>
      <c r="K1080" s="29" t="inlineStr">
        <is>
          <t>해외사업환산이익</t>
        </is>
      </c>
      <c r="L1080" s="29" t="inlineStr">
        <is>
          <t>자본 [구성요소]|지배기업의 소유주에게 귀속되는 지분 [구성요소]</t>
        </is>
      </c>
      <c r="M1080" s="29" t="inlineStr">
        <is>
          <t>제 27 기</t>
        </is>
      </c>
      <c r="N1080" s="29" t="inlineStr">
        <is>
          <t>2020073569.0</t>
        </is>
      </c>
      <c r="O1080" s="29" t="inlineStr">
        <is>
          <t>4431337091.0</t>
        </is>
      </c>
      <c r="P1080" s="29" t="inlineStr">
        <is>
          <t>KRW</t>
        </is>
      </c>
      <c r="Q1080" s="29" t="inlineStr">
        <is>
          <t>10</t>
        </is>
      </c>
    </row>
    <row r="1081" ht="24" customHeight="1">
      <c r="A1081" s="24" t="inlineStr">
        <is>
          <t>OpenDART_fnlttSinglAcntAll</t>
        </is>
      </c>
      <c r="B1081" s="24" t="inlineStr">
        <is>
          <t>00366942</t>
        </is>
      </c>
      <c r="C1081" s="24" t="inlineStr">
        <is>
          <t>미코</t>
        </is>
      </c>
      <c r="D1081" s="24" t="inlineStr">
        <is>
          <t>mico</t>
        </is>
      </c>
      <c r="E1081" s="24" t="inlineStr">
        <is>
          <t>059090</t>
        </is>
      </c>
      <c r="F1081" s="24" t="inlineStr">
        <is>
          <t>2025</t>
        </is>
      </c>
      <c r="G1081" s="24" t="inlineStr">
        <is>
          <t>CFS</t>
        </is>
      </c>
      <c r="H1081" s="24" t="inlineStr">
        <is>
          <t>SCE</t>
        </is>
      </c>
      <c r="I1081" s="24" t="inlineStr">
        <is>
          <t>자본변동표</t>
        </is>
      </c>
      <c r="J1081" s="24" t="inlineStr">
        <is>
          <t>ifrs-full_GainsLossesOnExchangeDifferencesOnTranslationNetOfTax</t>
        </is>
      </c>
      <c r="K1081" s="24" t="inlineStr">
        <is>
          <t>해외사업환산이익</t>
        </is>
      </c>
      <c r="L1081" s="24" t="inlineStr">
        <is>
          <t>자본 [구성요소]|지배기업의 소유주에게 귀속되는 지분 [구성요소]|기타자본구성요소 [구성요소]</t>
        </is>
      </c>
      <c r="M1081" s="24" t="inlineStr">
        <is>
          <t>제 27 기</t>
        </is>
      </c>
      <c r="N1081" s="24" t="inlineStr">
        <is>
          <t>0.0</t>
        </is>
      </c>
      <c r="O1081" s="24" t="inlineStr">
        <is>
          <t>0.0</t>
        </is>
      </c>
      <c r="P1081" s="24" t="inlineStr">
        <is>
          <t>KRW</t>
        </is>
      </c>
      <c r="Q1081" s="24" t="inlineStr">
        <is>
          <t>10</t>
        </is>
      </c>
    </row>
    <row r="1082" ht="24" customHeight="1">
      <c r="A1082" s="29" t="inlineStr">
        <is>
          <t>OpenDART_fnlttSinglAcntAll</t>
        </is>
      </c>
      <c r="B1082" s="29" t="inlineStr">
        <is>
          <t>00366942</t>
        </is>
      </c>
      <c r="C1082" s="29" t="inlineStr">
        <is>
          <t>미코</t>
        </is>
      </c>
      <c r="D1082" s="29" t="inlineStr">
        <is>
          <t>mico</t>
        </is>
      </c>
      <c r="E1082" s="29" t="inlineStr">
        <is>
          <t>059090</t>
        </is>
      </c>
      <c r="F1082" s="29" t="inlineStr">
        <is>
          <t>2025</t>
        </is>
      </c>
      <c r="G1082" s="29" t="inlineStr">
        <is>
          <t>CFS</t>
        </is>
      </c>
      <c r="H1082" s="29" t="inlineStr">
        <is>
          <t>SCE</t>
        </is>
      </c>
      <c r="I1082" s="29" t="inlineStr">
        <is>
          <t>자본변동표</t>
        </is>
      </c>
      <c r="J1082" s="29" t="inlineStr">
        <is>
          <t>ifrs-full_GainsLossesOnExchangeDifferencesOnTranslationNetOfTax</t>
        </is>
      </c>
      <c r="K1082" s="29" t="inlineStr">
        <is>
          <t>해외사업환산이익</t>
        </is>
      </c>
      <c r="L1082" s="29" t="inlineStr">
        <is>
          <t>자본 [구성요소]|지배기업의 소유주에게 귀속되는 지분 [구성요소]|기타포괄손익누계액 [구성요소]</t>
        </is>
      </c>
      <c r="M1082" s="29" t="inlineStr">
        <is>
          <t>제 27 기</t>
        </is>
      </c>
      <c r="N1082" s="29" t="inlineStr">
        <is>
          <t>2020073569.0</t>
        </is>
      </c>
      <c r="O1082" s="29" t="inlineStr">
        <is>
          <t>4431337091.0</t>
        </is>
      </c>
      <c r="P1082" s="29" t="inlineStr">
        <is>
          <t>KRW</t>
        </is>
      </c>
      <c r="Q1082" s="29" t="inlineStr">
        <is>
          <t>10</t>
        </is>
      </c>
    </row>
    <row r="1083" ht="24" customHeight="1">
      <c r="A1083" s="24" t="inlineStr">
        <is>
          <t>OpenDART_fnlttSinglAcntAll</t>
        </is>
      </c>
      <c r="B1083" s="24" t="inlineStr">
        <is>
          <t>00366942</t>
        </is>
      </c>
      <c r="C1083" s="24" t="inlineStr">
        <is>
          <t>미코</t>
        </is>
      </c>
      <c r="D1083" s="24" t="inlineStr">
        <is>
          <t>mico</t>
        </is>
      </c>
      <c r="E1083" s="24" t="inlineStr">
        <is>
          <t>059090</t>
        </is>
      </c>
      <c r="F1083" s="24" t="inlineStr">
        <is>
          <t>2025</t>
        </is>
      </c>
      <c r="G1083" s="24" t="inlineStr">
        <is>
          <t>CFS</t>
        </is>
      </c>
      <c r="H1083" s="24" t="inlineStr">
        <is>
          <t>SCE</t>
        </is>
      </c>
      <c r="I1083" s="24" t="inlineStr">
        <is>
          <t>자본변동표</t>
        </is>
      </c>
      <c r="J1083" s="24" t="inlineStr">
        <is>
          <t>ifrs-full_GainsLossesOnExchangeDifferencesOnTranslationNetOfTax</t>
        </is>
      </c>
      <c r="K1083" s="24" t="inlineStr">
        <is>
          <t>해외사업환산이익</t>
        </is>
      </c>
      <c r="L1083" s="24" t="inlineStr">
        <is>
          <t>자본 [구성요소]|지배기업의 소유주에게 귀속되는 지분 [구성요소]|이익잉여금 [구성요소]</t>
        </is>
      </c>
      <c r="M1083" s="24" t="inlineStr">
        <is>
          <t>제 27 기</t>
        </is>
      </c>
      <c r="N1083" s="24" t="inlineStr">
        <is>
          <t>0.0</t>
        </is>
      </c>
      <c r="O1083" s="24" t="inlineStr">
        <is>
          <t>0.0</t>
        </is>
      </c>
      <c r="P1083" s="24" t="inlineStr">
        <is>
          <t>KRW</t>
        </is>
      </c>
      <c r="Q1083" s="24" t="inlineStr">
        <is>
          <t>10</t>
        </is>
      </c>
    </row>
    <row r="1084" ht="24" customHeight="1">
      <c r="A1084" s="29" t="inlineStr">
        <is>
          <t>OpenDART_fnlttSinglAcntAll</t>
        </is>
      </c>
      <c r="B1084" s="29" t="inlineStr">
        <is>
          <t>00366942</t>
        </is>
      </c>
      <c r="C1084" s="29" t="inlineStr">
        <is>
          <t>미코</t>
        </is>
      </c>
      <c r="D1084" s="29" t="inlineStr">
        <is>
          <t>mico</t>
        </is>
      </c>
      <c r="E1084" s="29" t="inlineStr">
        <is>
          <t>059090</t>
        </is>
      </c>
      <c r="F1084" s="29" t="inlineStr">
        <is>
          <t>2025</t>
        </is>
      </c>
      <c r="G1084" s="29" t="inlineStr">
        <is>
          <t>CFS</t>
        </is>
      </c>
      <c r="H1084" s="29" t="inlineStr">
        <is>
          <t>SCE</t>
        </is>
      </c>
      <c r="I1084" s="29" t="inlineStr">
        <is>
          <t>자본변동표</t>
        </is>
      </c>
      <c r="J1084" s="29" t="inlineStr">
        <is>
          <t>ifrs-full_GainsLossesOnExchangeDifferencesOnTranslationNetOfTax</t>
        </is>
      </c>
      <c r="K1084" s="29" t="inlineStr">
        <is>
          <t>해외사업환산이익</t>
        </is>
      </c>
      <c r="L1084" s="29" t="inlineStr">
        <is>
          <t>자본 [구성요소]|지배기업의 소유주에게 귀속되는 지분 [구성요소]|자본금 [구성요소]</t>
        </is>
      </c>
      <c r="M1084" s="29" t="inlineStr">
        <is>
          <t>제 27 기</t>
        </is>
      </c>
      <c r="N1084" s="29" t="inlineStr">
        <is>
          <t>0.0</t>
        </is>
      </c>
      <c r="O1084" s="29" t="inlineStr">
        <is>
          <t>0.0</t>
        </is>
      </c>
      <c r="P1084" s="29" t="inlineStr">
        <is>
          <t>KRW</t>
        </is>
      </c>
      <c r="Q1084" s="29" t="inlineStr">
        <is>
          <t>10</t>
        </is>
      </c>
    </row>
    <row r="1085" ht="24" customHeight="1">
      <c r="A1085" s="24" t="inlineStr">
        <is>
          <t>OpenDART_fnlttSinglAcntAll</t>
        </is>
      </c>
      <c r="B1085" s="24" t="inlineStr">
        <is>
          <t>00366942</t>
        </is>
      </c>
      <c r="C1085" s="24" t="inlineStr">
        <is>
          <t>미코</t>
        </is>
      </c>
      <c r="D1085" s="24" t="inlineStr">
        <is>
          <t>mico</t>
        </is>
      </c>
      <c r="E1085" s="24" t="inlineStr">
        <is>
          <t>059090</t>
        </is>
      </c>
      <c r="F1085" s="24" t="inlineStr">
        <is>
          <t>2025</t>
        </is>
      </c>
      <c r="G1085" s="24" t="inlineStr">
        <is>
          <t>CFS</t>
        </is>
      </c>
      <c r="H1085" s="24" t="inlineStr">
        <is>
          <t>SCE</t>
        </is>
      </c>
      <c r="I1085" s="24" t="inlineStr">
        <is>
          <t>자본변동표</t>
        </is>
      </c>
      <c r="J1085" s="24" t="inlineStr">
        <is>
          <t>ifrs-full_GainsLossesOnExchangeDifferencesOnTranslationNetOfTax</t>
        </is>
      </c>
      <c r="K1085" s="24" t="inlineStr">
        <is>
          <t>해외사업환산이익</t>
        </is>
      </c>
      <c r="L1085" s="24" t="inlineStr">
        <is>
          <t>자본 [구성요소]|지배기업의 소유주에게 귀속되는 지분 [구성요소]|자본잉여금 [구성요소]</t>
        </is>
      </c>
      <c r="M1085" s="24" t="inlineStr">
        <is>
          <t>제 27 기</t>
        </is>
      </c>
      <c r="N1085" s="24" t="inlineStr">
        <is>
          <t>0.0</t>
        </is>
      </c>
      <c r="O1085" s="24" t="inlineStr">
        <is>
          <t>0.0</t>
        </is>
      </c>
      <c r="P1085" s="24" t="inlineStr">
        <is>
          <t>KRW</t>
        </is>
      </c>
      <c r="Q1085" s="24" t="inlineStr">
        <is>
          <t>10</t>
        </is>
      </c>
    </row>
    <row r="1086" ht="24" customHeight="1">
      <c r="A1086" s="29" t="inlineStr">
        <is>
          <t>OpenDART_fnlttSinglAcntAll</t>
        </is>
      </c>
      <c r="B1086" s="29" t="inlineStr">
        <is>
          <t>00366942</t>
        </is>
      </c>
      <c r="C1086" s="29" t="inlineStr">
        <is>
          <t>미코</t>
        </is>
      </c>
      <c r="D1086" s="29" t="inlineStr">
        <is>
          <t>mico</t>
        </is>
      </c>
      <c r="E1086" s="29" t="inlineStr">
        <is>
          <t>059090</t>
        </is>
      </c>
      <c r="F1086" s="29" t="inlineStr">
        <is>
          <t>2025</t>
        </is>
      </c>
      <c r="G1086" s="29" t="inlineStr">
        <is>
          <t>CFS</t>
        </is>
      </c>
      <c r="H1086" s="29" t="inlineStr">
        <is>
          <t>SCE</t>
        </is>
      </c>
      <c r="I1086" s="29" t="inlineStr">
        <is>
          <t>자본변동표</t>
        </is>
      </c>
      <c r="J1086" s="29" t="inlineStr">
        <is>
          <t>ifrs-full_IncreaseDecreaseThroughChangesInOwnershipInterestsInSubsidiariesThatDoNotResultInLossOfControl</t>
        </is>
      </c>
      <c r="K1086" s="29" t="inlineStr">
        <is>
          <t>연결기업 내 자본거래</t>
        </is>
      </c>
      <c r="L1086" s="29" t="inlineStr">
        <is>
          <t>연결재무제표 [member]</t>
        </is>
      </c>
      <c r="M1086" s="29" t="inlineStr">
        <is>
          <t>제 27 기</t>
        </is>
      </c>
      <c r="N1086" s="29" t="inlineStr">
        <is>
          <t>10029101011.0</t>
        </is>
      </c>
      <c r="O1086" s="29" t="inlineStr">
        <is>
          <t>-1355382975.0</t>
        </is>
      </c>
      <c r="P1086" s="29" t="inlineStr">
        <is>
          <t>KRW</t>
        </is>
      </c>
      <c r="Q1086" s="29" t="inlineStr">
        <is>
          <t>11</t>
        </is>
      </c>
    </row>
    <row r="1087" ht="24" customHeight="1">
      <c r="A1087" s="24" t="inlineStr">
        <is>
          <t>OpenDART_fnlttSinglAcntAll</t>
        </is>
      </c>
      <c r="B1087" s="24" t="inlineStr">
        <is>
          <t>00366942</t>
        </is>
      </c>
      <c r="C1087" s="24" t="inlineStr">
        <is>
          <t>미코</t>
        </is>
      </c>
      <c r="D1087" s="24" t="inlineStr">
        <is>
          <t>mico</t>
        </is>
      </c>
      <c r="E1087" s="24" t="inlineStr">
        <is>
          <t>059090</t>
        </is>
      </c>
      <c r="F1087" s="24" t="inlineStr">
        <is>
          <t>2025</t>
        </is>
      </c>
      <c r="G1087" s="24" t="inlineStr">
        <is>
          <t>CFS</t>
        </is>
      </c>
      <c r="H1087" s="24" t="inlineStr">
        <is>
          <t>SCE</t>
        </is>
      </c>
      <c r="I1087" s="24" t="inlineStr">
        <is>
          <t>자본변동표</t>
        </is>
      </c>
      <c r="J1087" s="24" t="inlineStr">
        <is>
          <t>ifrs-full_IncreaseDecreaseThroughChangesInOwnershipInterestsInSubsidiariesThatDoNotResultInLossOfControl</t>
        </is>
      </c>
      <c r="K1087" s="24" t="inlineStr">
        <is>
          <t>연결기업 내 자본거래</t>
        </is>
      </c>
      <c r="L1087" s="24" t="inlineStr">
        <is>
          <t>자본 [구성요소]|비지배지분 [구성요소]</t>
        </is>
      </c>
      <c r="M1087" s="24" t="inlineStr">
        <is>
          <t>제 27 기</t>
        </is>
      </c>
      <c r="N1087" s="24" t="inlineStr">
        <is>
          <t>29055086820.0</t>
        </is>
      </c>
      <c r="O1087" s="24" t="inlineStr">
        <is>
          <t>-6664571786.0</t>
        </is>
      </c>
      <c r="P1087" s="24" t="inlineStr">
        <is>
          <t>KRW</t>
        </is>
      </c>
      <c r="Q1087" s="24" t="inlineStr">
        <is>
          <t>11</t>
        </is>
      </c>
    </row>
    <row r="1088" ht="24" customHeight="1">
      <c r="A1088" s="29" t="inlineStr">
        <is>
          <t>OpenDART_fnlttSinglAcntAll</t>
        </is>
      </c>
      <c r="B1088" s="29" t="inlineStr">
        <is>
          <t>00366942</t>
        </is>
      </c>
      <c r="C1088" s="29" t="inlineStr">
        <is>
          <t>미코</t>
        </is>
      </c>
      <c r="D1088" s="29" t="inlineStr">
        <is>
          <t>mico</t>
        </is>
      </c>
      <c r="E1088" s="29" t="inlineStr">
        <is>
          <t>059090</t>
        </is>
      </c>
      <c r="F1088" s="29" t="inlineStr">
        <is>
          <t>2025</t>
        </is>
      </c>
      <c r="G1088" s="29" t="inlineStr">
        <is>
          <t>CFS</t>
        </is>
      </c>
      <c r="H1088" s="29" t="inlineStr">
        <is>
          <t>SCE</t>
        </is>
      </c>
      <c r="I1088" s="29" t="inlineStr">
        <is>
          <t>자본변동표</t>
        </is>
      </c>
      <c r="J1088" s="29" t="inlineStr">
        <is>
          <t>ifrs-full_IncreaseDecreaseThroughChangesInOwnershipInterestsInSubsidiariesThatDoNotResultInLossOfControl</t>
        </is>
      </c>
      <c r="K1088" s="29" t="inlineStr">
        <is>
          <t>연결기업 내 자본거래</t>
        </is>
      </c>
      <c r="L1088" s="29" t="inlineStr">
        <is>
          <t>자본 [구성요소]|지배기업의 소유주에게 귀속되는 지분 [구성요소]</t>
        </is>
      </c>
      <c r="M1088" s="29" t="inlineStr">
        <is>
          <t>제 27 기</t>
        </is>
      </c>
      <c r="N1088" s="29" t="inlineStr">
        <is>
          <t>-19025985809.0</t>
        </is>
      </c>
      <c r="O1088" s="29" t="inlineStr">
        <is>
          <t>5309188811.0</t>
        </is>
      </c>
      <c r="P1088" s="29" t="inlineStr">
        <is>
          <t>KRW</t>
        </is>
      </c>
      <c r="Q1088" s="29" t="inlineStr">
        <is>
          <t>11</t>
        </is>
      </c>
    </row>
    <row r="1089" ht="24" customHeight="1">
      <c r="A1089" s="24" t="inlineStr">
        <is>
          <t>OpenDART_fnlttSinglAcntAll</t>
        </is>
      </c>
      <c r="B1089" s="24" t="inlineStr">
        <is>
          <t>00366942</t>
        </is>
      </c>
      <c r="C1089" s="24" t="inlineStr">
        <is>
          <t>미코</t>
        </is>
      </c>
      <c r="D1089" s="24" t="inlineStr">
        <is>
          <t>mico</t>
        </is>
      </c>
      <c r="E1089" s="24" t="inlineStr">
        <is>
          <t>059090</t>
        </is>
      </c>
      <c r="F1089" s="24" t="inlineStr">
        <is>
          <t>2025</t>
        </is>
      </c>
      <c r="G1089" s="24" t="inlineStr">
        <is>
          <t>CFS</t>
        </is>
      </c>
      <c r="H1089" s="24" t="inlineStr">
        <is>
          <t>SCE</t>
        </is>
      </c>
      <c r="I1089" s="24" t="inlineStr">
        <is>
          <t>자본변동표</t>
        </is>
      </c>
      <c r="J1089" s="24" t="inlineStr">
        <is>
          <t>ifrs-full_IncreaseDecreaseThroughChangesInOwnershipInterestsInSubsidiariesThatDoNotResultInLossOfControl</t>
        </is>
      </c>
      <c r="K1089" s="24" t="inlineStr">
        <is>
          <t>연결기업 내 자본거래</t>
        </is>
      </c>
      <c r="L1089" s="24" t="inlineStr">
        <is>
          <t>자본 [구성요소]|지배기업의 소유주에게 귀속되는 지분 [구성요소]|기타자본구성요소 [구성요소]</t>
        </is>
      </c>
      <c r="M1089" s="24" t="inlineStr">
        <is>
          <t>제 27 기</t>
        </is>
      </c>
      <c r="N1089" s="24" t="inlineStr">
        <is>
          <t>3025059288.0</t>
        </is>
      </c>
      <c r="O1089" s="24" t="inlineStr">
        <is>
          <t>-1502611311.0</t>
        </is>
      </c>
      <c r="P1089" s="24" t="inlineStr">
        <is>
          <t>KRW</t>
        </is>
      </c>
      <c r="Q1089" s="24" t="inlineStr">
        <is>
          <t>11</t>
        </is>
      </c>
    </row>
    <row r="1090" ht="24" customHeight="1">
      <c r="A1090" s="29" t="inlineStr">
        <is>
          <t>OpenDART_fnlttSinglAcntAll</t>
        </is>
      </c>
      <c r="B1090" s="29" t="inlineStr">
        <is>
          <t>00366942</t>
        </is>
      </c>
      <c r="C1090" s="29" t="inlineStr">
        <is>
          <t>미코</t>
        </is>
      </c>
      <c r="D1090" s="29" t="inlineStr">
        <is>
          <t>mico</t>
        </is>
      </c>
      <c r="E1090" s="29" t="inlineStr">
        <is>
          <t>059090</t>
        </is>
      </c>
      <c r="F1090" s="29" t="inlineStr">
        <is>
          <t>2025</t>
        </is>
      </c>
      <c r="G1090" s="29" t="inlineStr">
        <is>
          <t>CFS</t>
        </is>
      </c>
      <c r="H1090" s="29" t="inlineStr">
        <is>
          <t>SCE</t>
        </is>
      </c>
      <c r="I1090" s="29" t="inlineStr">
        <is>
          <t>자본변동표</t>
        </is>
      </c>
      <c r="J1090" s="29" t="inlineStr">
        <is>
          <t>ifrs-full_IncreaseDecreaseThroughChangesInOwnershipInterestsInSubsidiariesThatDoNotResultInLossOfControl</t>
        </is>
      </c>
      <c r="K1090" s="29" t="inlineStr">
        <is>
          <t>연결기업 내 자본거래</t>
        </is>
      </c>
      <c r="L1090" s="29" t="inlineStr">
        <is>
          <t>자본 [구성요소]|지배기업의 소유주에게 귀속되는 지분 [구성요소]|기타포괄손익누계액 [구성요소]</t>
        </is>
      </c>
      <c r="M1090" s="29" t="inlineStr">
        <is>
          <t>제 27 기</t>
        </is>
      </c>
      <c r="N1090" s="29" t="inlineStr">
        <is>
          <t>1733610328.0</t>
        </is>
      </c>
      <c r="O1090" s="29" t="inlineStr">
        <is>
          <t>0.0</t>
        </is>
      </c>
      <c r="P1090" s="29" t="inlineStr">
        <is>
          <t>KRW</t>
        </is>
      </c>
      <c r="Q1090" s="29" t="inlineStr">
        <is>
          <t>11</t>
        </is>
      </c>
    </row>
    <row r="1091" ht="24" customHeight="1">
      <c r="A1091" s="24" t="inlineStr">
        <is>
          <t>OpenDART_fnlttSinglAcntAll</t>
        </is>
      </c>
      <c r="B1091" s="24" t="inlineStr">
        <is>
          <t>00366942</t>
        </is>
      </c>
      <c r="C1091" s="24" t="inlineStr">
        <is>
          <t>미코</t>
        </is>
      </c>
      <c r="D1091" s="24" t="inlineStr">
        <is>
          <t>mico</t>
        </is>
      </c>
      <c r="E1091" s="24" t="inlineStr">
        <is>
          <t>059090</t>
        </is>
      </c>
      <c r="F1091" s="24" t="inlineStr">
        <is>
          <t>2025</t>
        </is>
      </c>
      <c r="G1091" s="24" t="inlineStr">
        <is>
          <t>CFS</t>
        </is>
      </c>
      <c r="H1091" s="24" t="inlineStr">
        <is>
          <t>SCE</t>
        </is>
      </c>
      <c r="I1091" s="24" t="inlineStr">
        <is>
          <t>자본변동표</t>
        </is>
      </c>
      <c r="J1091" s="24" t="inlineStr">
        <is>
          <t>ifrs-full_IncreaseDecreaseThroughChangesInOwnershipInterestsInSubsidiariesThatDoNotResultInLossOfControl</t>
        </is>
      </c>
      <c r="K1091" s="24" t="inlineStr">
        <is>
          <t>연결기업 내 자본거래</t>
        </is>
      </c>
      <c r="L1091" s="24" t="inlineStr">
        <is>
          <t>자본 [구성요소]|지배기업의 소유주에게 귀속되는 지분 [구성요소]|이익잉여금 [구성요소]</t>
        </is>
      </c>
      <c r="M1091" s="24" t="inlineStr">
        <is>
          <t>제 27 기</t>
        </is>
      </c>
      <c r="N1091" s="24" t="inlineStr">
        <is>
          <t>211864277.0</t>
        </is>
      </c>
      <c r="O1091" s="24" t="inlineStr">
        <is>
          <t>0.0</t>
        </is>
      </c>
      <c r="P1091" s="24" t="inlineStr">
        <is>
          <t>KRW</t>
        </is>
      </c>
      <c r="Q1091" s="24" t="inlineStr">
        <is>
          <t>11</t>
        </is>
      </c>
    </row>
    <row r="1092" ht="24" customHeight="1">
      <c r="A1092" s="29" t="inlineStr">
        <is>
          <t>OpenDART_fnlttSinglAcntAll</t>
        </is>
      </c>
      <c r="B1092" s="29" t="inlineStr">
        <is>
          <t>00366942</t>
        </is>
      </c>
      <c r="C1092" s="29" t="inlineStr">
        <is>
          <t>미코</t>
        </is>
      </c>
      <c r="D1092" s="29" t="inlineStr">
        <is>
          <t>mico</t>
        </is>
      </c>
      <c r="E1092" s="29" t="inlineStr">
        <is>
          <t>059090</t>
        </is>
      </c>
      <c r="F1092" s="29" t="inlineStr">
        <is>
          <t>2025</t>
        </is>
      </c>
      <c r="G1092" s="29" t="inlineStr">
        <is>
          <t>CFS</t>
        </is>
      </c>
      <c r="H1092" s="29" t="inlineStr">
        <is>
          <t>SCE</t>
        </is>
      </c>
      <c r="I1092" s="29" t="inlineStr">
        <is>
          <t>자본변동표</t>
        </is>
      </c>
      <c r="J1092" s="29" t="inlineStr">
        <is>
          <t>ifrs-full_IncreaseDecreaseThroughChangesInOwnershipInterestsInSubsidiariesThatDoNotResultInLossOfControl</t>
        </is>
      </c>
      <c r="K1092" s="29" t="inlineStr">
        <is>
          <t>연결기업 내 자본거래</t>
        </is>
      </c>
      <c r="L1092" s="29" t="inlineStr">
        <is>
          <t>자본 [구성요소]|지배기업의 소유주에게 귀속되는 지분 [구성요소]|자본금 [구성요소]</t>
        </is>
      </c>
      <c r="M1092" s="29" t="inlineStr">
        <is>
          <t>제 27 기</t>
        </is>
      </c>
      <c r="N1092" s="29" t="inlineStr">
        <is>
          <t>0.0</t>
        </is>
      </c>
      <c r="O1092" s="29" t="inlineStr">
        <is>
          <t>0.0</t>
        </is>
      </c>
      <c r="P1092" s="29" t="inlineStr">
        <is>
          <t>KRW</t>
        </is>
      </c>
      <c r="Q1092" s="29" t="inlineStr">
        <is>
          <t>11</t>
        </is>
      </c>
    </row>
    <row r="1093" ht="24" customHeight="1">
      <c r="A1093" s="24" t="inlineStr">
        <is>
          <t>OpenDART_fnlttSinglAcntAll</t>
        </is>
      </c>
      <c r="B1093" s="24" t="inlineStr">
        <is>
          <t>00366942</t>
        </is>
      </c>
      <c r="C1093" s="24" t="inlineStr">
        <is>
          <t>미코</t>
        </is>
      </c>
      <c r="D1093" s="24" t="inlineStr">
        <is>
          <t>mico</t>
        </is>
      </c>
      <c r="E1093" s="24" t="inlineStr">
        <is>
          <t>059090</t>
        </is>
      </c>
      <c r="F1093" s="24" t="inlineStr">
        <is>
          <t>2025</t>
        </is>
      </c>
      <c r="G1093" s="24" t="inlineStr">
        <is>
          <t>CFS</t>
        </is>
      </c>
      <c r="H1093" s="24" t="inlineStr">
        <is>
          <t>SCE</t>
        </is>
      </c>
      <c r="I1093" s="24" t="inlineStr">
        <is>
          <t>자본변동표</t>
        </is>
      </c>
      <c r="J1093" s="24" t="inlineStr">
        <is>
          <t>ifrs-full_IncreaseDecreaseThroughChangesInOwnershipInterestsInSubsidiariesThatDoNotResultInLossOfControl</t>
        </is>
      </c>
      <c r="K1093" s="24" t="inlineStr">
        <is>
          <t>연결기업 내 자본거래</t>
        </is>
      </c>
      <c r="L1093" s="24" t="inlineStr">
        <is>
          <t>자본 [구성요소]|지배기업의 소유주에게 귀속되는 지분 [구성요소]|자본잉여금 [구성요소]</t>
        </is>
      </c>
      <c r="M1093" s="24" t="inlineStr">
        <is>
          <t>제 27 기</t>
        </is>
      </c>
      <c r="N1093" s="24" t="inlineStr">
        <is>
          <t>-23996519702.0</t>
        </is>
      </c>
      <c r="O1093" s="24" t="inlineStr">
        <is>
          <t>6811800122.0</t>
        </is>
      </c>
      <c r="P1093" s="24" t="inlineStr">
        <is>
          <t>KRW</t>
        </is>
      </c>
      <c r="Q1093" s="24" t="inlineStr">
        <is>
          <t>11</t>
        </is>
      </c>
    </row>
    <row r="1094" ht="24" customHeight="1">
      <c r="A1094" s="29" t="inlineStr">
        <is>
          <t>OpenDART_fnlttSinglAcntAll</t>
        </is>
      </c>
      <c r="B1094" s="29" t="inlineStr">
        <is>
          <t>00366942</t>
        </is>
      </c>
      <c r="C1094" s="29" t="inlineStr">
        <is>
          <t>미코</t>
        </is>
      </c>
      <c r="D1094" s="29" t="inlineStr">
        <is>
          <t>mico</t>
        </is>
      </c>
      <c r="E1094" s="29" t="inlineStr">
        <is>
          <t>059090</t>
        </is>
      </c>
      <c r="F1094" s="29" t="inlineStr">
        <is>
          <t>2025</t>
        </is>
      </c>
      <c r="G1094" s="29" t="inlineStr">
        <is>
          <t>CFS</t>
        </is>
      </c>
      <c r="H1094" s="29" t="inlineStr">
        <is>
          <t>SCE</t>
        </is>
      </c>
      <c r="I1094" s="29" t="inlineStr">
        <is>
          <t>자본변동표</t>
        </is>
      </c>
      <c r="J1094" s="29" t="inlineStr">
        <is>
          <t>ifrs-full_IncreaseDecreaseThroughSharebasedPaymentTransactions</t>
        </is>
      </c>
      <c r="K1094" s="29" t="inlineStr">
        <is>
          <t>주식선택권 부여</t>
        </is>
      </c>
      <c r="L1094" s="29" t="inlineStr">
        <is>
          <t>자본 [구성요소]|지배기업의 소유주에게 귀속되는 지분 [구성요소]</t>
        </is>
      </c>
      <c r="M1094" s="29" t="inlineStr">
        <is>
          <t>제 27 기</t>
        </is>
      </c>
      <c r="N1094" s="29" t="inlineStr">
        <is>
          <t>1184674162.0</t>
        </is>
      </c>
      <c r="O1094" s="29" t="inlineStr">
        <is>
          <t>0.0</t>
        </is>
      </c>
      <c r="P1094" s="29" t="inlineStr">
        <is>
          <t>KRW</t>
        </is>
      </c>
      <c r="Q1094" s="29" t="inlineStr">
        <is>
          <t>12</t>
        </is>
      </c>
    </row>
    <row r="1095" ht="24" customHeight="1">
      <c r="A1095" s="24" t="inlineStr">
        <is>
          <t>OpenDART_fnlttSinglAcntAll</t>
        </is>
      </c>
      <c r="B1095" s="24" t="inlineStr">
        <is>
          <t>00366942</t>
        </is>
      </c>
      <c r="C1095" s="24" t="inlineStr">
        <is>
          <t>미코</t>
        </is>
      </c>
      <c r="D1095" s="24" t="inlineStr">
        <is>
          <t>mico</t>
        </is>
      </c>
      <c r="E1095" s="24" t="inlineStr">
        <is>
          <t>059090</t>
        </is>
      </c>
      <c r="F1095" s="24" t="inlineStr">
        <is>
          <t>2025</t>
        </is>
      </c>
      <c r="G1095" s="24" t="inlineStr">
        <is>
          <t>CFS</t>
        </is>
      </c>
      <c r="H1095" s="24" t="inlineStr">
        <is>
          <t>SCE</t>
        </is>
      </c>
      <c r="I1095" s="24" t="inlineStr">
        <is>
          <t>자본변동표</t>
        </is>
      </c>
      <c r="J1095" s="24" t="inlineStr">
        <is>
          <t>ifrs-full_IncreaseDecreaseThroughSharebasedPaymentTransactions</t>
        </is>
      </c>
      <c r="K1095" s="24" t="inlineStr">
        <is>
          <t>주식선택권 부여</t>
        </is>
      </c>
      <c r="L1095" s="24" t="inlineStr">
        <is>
          <t>자본 [구성요소]|비지배지분 [구성요소]</t>
        </is>
      </c>
      <c r="M1095" s="24" t="inlineStr">
        <is>
          <t>제 27 기</t>
        </is>
      </c>
      <c r="N1095" s="24" t="inlineStr">
        <is>
          <t>5720378838.0</t>
        </is>
      </c>
      <c r="O1095" s="24" t="inlineStr">
        <is>
          <t>2831700836.0</t>
        </is>
      </c>
      <c r="P1095" s="24" t="inlineStr">
        <is>
          <t>KRW</t>
        </is>
      </c>
      <c r="Q1095" s="24" t="inlineStr">
        <is>
          <t>12</t>
        </is>
      </c>
    </row>
    <row r="1096" ht="24" customHeight="1">
      <c r="A1096" s="29" t="inlineStr">
        <is>
          <t>OpenDART_fnlttSinglAcntAll</t>
        </is>
      </c>
      <c r="B1096" s="29" t="inlineStr">
        <is>
          <t>00366942</t>
        </is>
      </c>
      <c r="C1096" s="29" t="inlineStr">
        <is>
          <t>미코</t>
        </is>
      </c>
      <c r="D1096" s="29" t="inlineStr">
        <is>
          <t>mico</t>
        </is>
      </c>
      <c r="E1096" s="29" t="inlineStr">
        <is>
          <t>059090</t>
        </is>
      </c>
      <c r="F1096" s="29" t="inlineStr">
        <is>
          <t>2025</t>
        </is>
      </c>
      <c r="G1096" s="29" t="inlineStr">
        <is>
          <t>CFS</t>
        </is>
      </c>
      <c r="H1096" s="29" t="inlineStr">
        <is>
          <t>SCE</t>
        </is>
      </c>
      <c r="I1096" s="29" t="inlineStr">
        <is>
          <t>자본변동표</t>
        </is>
      </c>
      <c r="J1096" s="29" t="inlineStr">
        <is>
          <t>ifrs-full_IncreaseDecreaseThroughSharebasedPaymentTransactions</t>
        </is>
      </c>
      <c r="K1096" s="29" t="inlineStr">
        <is>
          <t>주식선택권 부여</t>
        </is>
      </c>
      <c r="L1096" s="29" t="inlineStr">
        <is>
          <t>연결재무제표 [member]</t>
        </is>
      </c>
      <c r="M1096" s="29" t="inlineStr">
        <is>
          <t>제 27 기</t>
        </is>
      </c>
      <c r="N1096" s="29" t="inlineStr">
        <is>
          <t>6905053000.0</t>
        </is>
      </c>
      <c r="O1096" s="29" t="inlineStr">
        <is>
          <t>2831700836.0</t>
        </is>
      </c>
      <c r="P1096" s="29" t="inlineStr">
        <is>
          <t>KRW</t>
        </is>
      </c>
      <c r="Q1096" s="29" t="inlineStr">
        <is>
          <t>12</t>
        </is>
      </c>
    </row>
    <row r="1097" ht="24" customHeight="1">
      <c r="A1097" s="24" t="inlineStr">
        <is>
          <t>OpenDART_fnlttSinglAcntAll</t>
        </is>
      </c>
      <c r="B1097" s="24" t="inlineStr">
        <is>
          <t>00366942</t>
        </is>
      </c>
      <c r="C1097" s="24" t="inlineStr">
        <is>
          <t>미코</t>
        </is>
      </c>
      <c r="D1097" s="24" t="inlineStr">
        <is>
          <t>mico</t>
        </is>
      </c>
      <c r="E1097" s="24" t="inlineStr">
        <is>
          <t>059090</t>
        </is>
      </c>
      <c r="F1097" s="24" t="inlineStr">
        <is>
          <t>2025</t>
        </is>
      </c>
      <c r="G1097" s="24" t="inlineStr">
        <is>
          <t>CFS</t>
        </is>
      </c>
      <c r="H1097" s="24" t="inlineStr">
        <is>
          <t>SCE</t>
        </is>
      </c>
      <c r="I1097" s="24" t="inlineStr">
        <is>
          <t>자본변동표</t>
        </is>
      </c>
      <c r="J1097" s="24" t="inlineStr">
        <is>
          <t>ifrs-full_IncreaseDecreaseThroughSharebasedPaymentTransactions</t>
        </is>
      </c>
      <c r="K1097" s="24" t="inlineStr">
        <is>
          <t>주식선택권 부여</t>
        </is>
      </c>
      <c r="L1097" s="24" t="inlineStr">
        <is>
          <t>자본 [구성요소]|지배기업의 소유주에게 귀속되는 지분 [구성요소]|기타자본구성요소 [구성요소]</t>
        </is>
      </c>
      <c r="M1097" s="24" t="inlineStr">
        <is>
          <t>제 27 기</t>
        </is>
      </c>
      <c r="N1097" s="24" t="inlineStr">
        <is>
          <t>1184674162.0</t>
        </is>
      </c>
      <c r="O1097" s="24" t="inlineStr">
        <is>
          <t>0.0</t>
        </is>
      </c>
      <c r="P1097" s="24" t="inlineStr">
        <is>
          <t>KRW</t>
        </is>
      </c>
      <c r="Q1097" s="24" t="inlineStr">
        <is>
          <t>12</t>
        </is>
      </c>
    </row>
    <row r="1098" ht="24" customHeight="1">
      <c r="A1098" s="29" t="inlineStr">
        <is>
          <t>OpenDART_fnlttSinglAcntAll</t>
        </is>
      </c>
      <c r="B1098" s="29" t="inlineStr">
        <is>
          <t>00366942</t>
        </is>
      </c>
      <c r="C1098" s="29" t="inlineStr">
        <is>
          <t>미코</t>
        </is>
      </c>
      <c r="D1098" s="29" t="inlineStr">
        <is>
          <t>mico</t>
        </is>
      </c>
      <c r="E1098" s="29" t="inlineStr">
        <is>
          <t>059090</t>
        </is>
      </c>
      <c r="F1098" s="29" t="inlineStr">
        <is>
          <t>2025</t>
        </is>
      </c>
      <c r="G1098" s="29" t="inlineStr">
        <is>
          <t>CFS</t>
        </is>
      </c>
      <c r="H1098" s="29" t="inlineStr">
        <is>
          <t>SCE</t>
        </is>
      </c>
      <c r="I1098" s="29" t="inlineStr">
        <is>
          <t>자본변동표</t>
        </is>
      </c>
      <c r="J1098" s="29" t="inlineStr">
        <is>
          <t>ifrs-full_IncreaseDecreaseThroughSharebasedPaymentTransactions</t>
        </is>
      </c>
      <c r="K1098" s="29" t="inlineStr">
        <is>
          <t>주식선택권 부여</t>
        </is>
      </c>
      <c r="L1098" s="29" t="inlineStr">
        <is>
          <t>자본 [구성요소]|지배기업의 소유주에게 귀속되는 지분 [구성요소]|자본잉여금 [구성요소]</t>
        </is>
      </c>
      <c r="M1098" s="29" t="inlineStr">
        <is>
          <t>제 27 기</t>
        </is>
      </c>
      <c r="N1098" s="29" t="inlineStr">
        <is>
          <t>0.0</t>
        </is>
      </c>
      <c r="O1098" s="29" t="inlineStr">
        <is>
          <t>0.0</t>
        </is>
      </c>
      <c r="P1098" s="29" t="inlineStr">
        <is>
          <t>KRW</t>
        </is>
      </c>
      <c r="Q1098" s="29" t="inlineStr">
        <is>
          <t>12</t>
        </is>
      </c>
    </row>
    <row r="1099" ht="24" customHeight="1">
      <c r="A1099" s="24" t="inlineStr">
        <is>
          <t>OpenDART_fnlttSinglAcntAll</t>
        </is>
      </c>
      <c r="B1099" s="24" t="inlineStr">
        <is>
          <t>00366942</t>
        </is>
      </c>
      <c r="C1099" s="24" t="inlineStr">
        <is>
          <t>미코</t>
        </is>
      </c>
      <c r="D1099" s="24" t="inlineStr">
        <is>
          <t>mico</t>
        </is>
      </c>
      <c r="E1099" s="24" t="inlineStr">
        <is>
          <t>059090</t>
        </is>
      </c>
      <c r="F1099" s="24" t="inlineStr">
        <is>
          <t>2025</t>
        </is>
      </c>
      <c r="G1099" s="24" t="inlineStr">
        <is>
          <t>CFS</t>
        </is>
      </c>
      <c r="H1099" s="24" t="inlineStr">
        <is>
          <t>SCE</t>
        </is>
      </c>
      <c r="I1099" s="24" t="inlineStr">
        <is>
          <t>자본변동표</t>
        </is>
      </c>
      <c r="J1099" s="24" t="inlineStr">
        <is>
          <t>ifrs-full_IncreaseDecreaseThroughSharebasedPaymentTransactions</t>
        </is>
      </c>
      <c r="K1099" s="24" t="inlineStr">
        <is>
          <t>주식선택권 부여</t>
        </is>
      </c>
      <c r="L1099" s="24" t="inlineStr">
        <is>
          <t>자본 [구성요소]|지배기업의 소유주에게 귀속되는 지분 [구성요소]|자본금 [구성요소]</t>
        </is>
      </c>
      <c r="M1099" s="24" t="inlineStr">
        <is>
          <t>제 27 기</t>
        </is>
      </c>
      <c r="N1099" s="24" t="inlineStr">
        <is>
          <t>0.0</t>
        </is>
      </c>
      <c r="O1099" s="24" t="inlineStr">
        <is>
          <t>0.0</t>
        </is>
      </c>
      <c r="P1099" s="24" t="inlineStr">
        <is>
          <t>KRW</t>
        </is>
      </c>
      <c r="Q1099" s="24" t="inlineStr">
        <is>
          <t>12</t>
        </is>
      </c>
    </row>
    <row r="1100" ht="24" customHeight="1">
      <c r="A1100" s="29" t="inlineStr">
        <is>
          <t>OpenDART_fnlttSinglAcntAll</t>
        </is>
      </c>
      <c r="B1100" s="29" t="inlineStr">
        <is>
          <t>00366942</t>
        </is>
      </c>
      <c r="C1100" s="29" t="inlineStr">
        <is>
          <t>미코</t>
        </is>
      </c>
      <c r="D1100" s="29" t="inlineStr">
        <is>
          <t>mico</t>
        </is>
      </c>
      <c r="E1100" s="29" t="inlineStr">
        <is>
          <t>059090</t>
        </is>
      </c>
      <c r="F1100" s="29" t="inlineStr">
        <is>
          <t>2025</t>
        </is>
      </c>
      <c r="G1100" s="29" t="inlineStr">
        <is>
          <t>CFS</t>
        </is>
      </c>
      <c r="H1100" s="29" t="inlineStr">
        <is>
          <t>SCE</t>
        </is>
      </c>
      <c r="I1100" s="29" t="inlineStr">
        <is>
          <t>자본변동표</t>
        </is>
      </c>
      <c r="J1100" s="29" t="inlineStr">
        <is>
          <t>ifrs-full_IncreaseDecreaseThroughSharebasedPaymentTransactions</t>
        </is>
      </c>
      <c r="K1100" s="29" t="inlineStr">
        <is>
          <t>주식선택권 부여</t>
        </is>
      </c>
      <c r="L1100" s="29" t="inlineStr">
        <is>
          <t>자본 [구성요소]|지배기업의 소유주에게 귀속되는 지분 [구성요소]|이익잉여금 [구성요소]</t>
        </is>
      </c>
      <c r="M1100" s="29" t="inlineStr">
        <is>
          <t>제 27 기</t>
        </is>
      </c>
      <c r="N1100" s="29" t="inlineStr">
        <is>
          <t>0.0</t>
        </is>
      </c>
      <c r="O1100" s="29" t="inlineStr">
        <is>
          <t>0.0</t>
        </is>
      </c>
      <c r="P1100" s="29" t="inlineStr">
        <is>
          <t>KRW</t>
        </is>
      </c>
      <c r="Q1100" s="29" t="inlineStr">
        <is>
          <t>12</t>
        </is>
      </c>
    </row>
    <row r="1101" ht="24" customHeight="1">
      <c r="A1101" s="24" t="inlineStr">
        <is>
          <t>OpenDART_fnlttSinglAcntAll</t>
        </is>
      </c>
      <c r="B1101" s="24" t="inlineStr">
        <is>
          <t>00366942</t>
        </is>
      </c>
      <c r="C1101" s="24" t="inlineStr">
        <is>
          <t>미코</t>
        </is>
      </c>
      <c r="D1101" s="24" t="inlineStr">
        <is>
          <t>mico</t>
        </is>
      </c>
      <c r="E1101" s="24" t="inlineStr">
        <is>
          <t>059090</t>
        </is>
      </c>
      <c r="F1101" s="24" t="inlineStr">
        <is>
          <t>2025</t>
        </is>
      </c>
      <c r="G1101" s="24" t="inlineStr">
        <is>
          <t>CFS</t>
        </is>
      </c>
      <c r="H1101" s="24" t="inlineStr">
        <is>
          <t>SCE</t>
        </is>
      </c>
      <c r="I1101" s="24" t="inlineStr">
        <is>
          <t>자본변동표</t>
        </is>
      </c>
      <c r="J1101" s="24" t="inlineStr">
        <is>
          <t>ifrs-full_IncreaseDecreaseThroughSharebasedPaymentTransactions</t>
        </is>
      </c>
      <c r="K1101" s="24" t="inlineStr">
        <is>
          <t>주식선택권 부여</t>
        </is>
      </c>
      <c r="L1101" s="24" t="inlineStr">
        <is>
          <t>자본 [구성요소]|지배기업의 소유주에게 귀속되는 지분 [구성요소]|기타포괄손익누계액 [구성요소]</t>
        </is>
      </c>
      <c r="M1101" s="24" t="inlineStr">
        <is>
          <t>제 27 기</t>
        </is>
      </c>
      <c r="N1101" s="24" t="inlineStr">
        <is>
          <t>0.0</t>
        </is>
      </c>
      <c r="O1101" s="24" t="inlineStr">
        <is>
          <t>0.0</t>
        </is>
      </c>
      <c r="P1101" s="24" t="inlineStr">
        <is>
          <t>KRW</t>
        </is>
      </c>
      <c r="Q1101" s="24" t="inlineStr">
        <is>
          <t>12</t>
        </is>
      </c>
    </row>
    <row r="1102" ht="24" customHeight="1">
      <c r="A1102" s="29" t="inlineStr">
        <is>
          <t>OpenDART_fnlttSinglAcntAll</t>
        </is>
      </c>
      <c r="B1102" s="29" t="inlineStr">
        <is>
          <t>00366942</t>
        </is>
      </c>
      <c r="C1102" s="29" t="inlineStr">
        <is>
          <t>미코</t>
        </is>
      </c>
      <c r="D1102" s="29" t="inlineStr">
        <is>
          <t>mico</t>
        </is>
      </c>
      <c r="E1102" s="29" t="inlineStr">
        <is>
          <t>059090</t>
        </is>
      </c>
      <c r="F1102" s="29" t="inlineStr">
        <is>
          <t>2025</t>
        </is>
      </c>
      <c r="G1102" s="29" t="inlineStr">
        <is>
          <t>CFS</t>
        </is>
      </c>
      <c r="H1102" s="29" t="inlineStr">
        <is>
          <t>SCE</t>
        </is>
      </c>
      <c r="I1102" s="29" t="inlineStr">
        <is>
          <t>자본변동표</t>
        </is>
      </c>
      <c r="J1102" s="29" t="inlineStr">
        <is>
          <t>ifrs-full_IncreaseDecreaseThroughTransactionsWithOwners</t>
        </is>
      </c>
      <c r="K1102" s="29" t="inlineStr">
        <is>
          <t>소유주와의 거래 합계</t>
        </is>
      </c>
      <c r="L1102" s="29" t="inlineStr">
        <is>
          <t>연결재무제표 [member]</t>
        </is>
      </c>
      <c r="M1102" s="29" t="inlineStr">
        <is>
          <t>제 27 기</t>
        </is>
      </c>
      <c r="N1102" s="29" t="inlineStr">
        <is>
          <t>78051522854.0</t>
        </is>
      </c>
      <c r="O1102" s="29" t="inlineStr">
        <is>
          <t>78754681926.0</t>
        </is>
      </c>
      <c r="P1102" s="29" t="inlineStr">
        <is>
          <t>KRW</t>
        </is>
      </c>
      <c r="Q1102" s="29" t="inlineStr">
        <is>
          <t>13</t>
        </is>
      </c>
    </row>
    <row r="1103" ht="24" customHeight="1">
      <c r="A1103" s="24" t="inlineStr">
        <is>
          <t>OpenDART_fnlttSinglAcntAll</t>
        </is>
      </c>
      <c r="B1103" s="24" t="inlineStr">
        <is>
          <t>00366942</t>
        </is>
      </c>
      <c r="C1103" s="24" t="inlineStr">
        <is>
          <t>미코</t>
        </is>
      </c>
      <c r="D1103" s="24" t="inlineStr">
        <is>
          <t>mico</t>
        </is>
      </c>
      <c r="E1103" s="24" t="inlineStr">
        <is>
          <t>059090</t>
        </is>
      </c>
      <c r="F1103" s="24" t="inlineStr">
        <is>
          <t>2025</t>
        </is>
      </c>
      <c r="G1103" s="24" t="inlineStr">
        <is>
          <t>CFS</t>
        </is>
      </c>
      <c r="H1103" s="24" t="inlineStr">
        <is>
          <t>SCE</t>
        </is>
      </c>
      <c r="I1103" s="24" t="inlineStr">
        <is>
          <t>자본변동표</t>
        </is>
      </c>
      <c r="J1103" s="24" t="inlineStr">
        <is>
          <t>ifrs-full_IncreaseDecreaseThroughTransactionsWithOwners</t>
        </is>
      </c>
      <c r="K1103" s="24" t="inlineStr">
        <is>
          <t>소유주와의 거래 합계</t>
        </is>
      </c>
      <c r="L1103" s="24" t="inlineStr">
        <is>
          <t>자본 [구성요소]|비지배지분 [구성요소]</t>
        </is>
      </c>
      <c r="M1103" s="24" t="inlineStr">
        <is>
          <t>제 27 기</t>
        </is>
      </c>
      <c r="N1103" s="24" t="inlineStr">
        <is>
          <t>95719615353.0</t>
        </is>
      </c>
      <c r="O1103" s="24" t="inlineStr">
        <is>
          <t>73345569093.0</t>
        </is>
      </c>
      <c r="P1103" s="24" t="inlineStr">
        <is>
          <t>KRW</t>
        </is>
      </c>
      <c r="Q1103" s="24" t="inlineStr">
        <is>
          <t>13</t>
        </is>
      </c>
    </row>
    <row r="1104" ht="24" customHeight="1">
      <c r="A1104" s="29" t="inlineStr">
        <is>
          <t>OpenDART_fnlttSinglAcntAll</t>
        </is>
      </c>
      <c r="B1104" s="29" t="inlineStr">
        <is>
          <t>00366942</t>
        </is>
      </c>
      <c r="C1104" s="29" t="inlineStr">
        <is>
          <t>미코</t>
        </is>
      </c>
      <c r="D1104" s="29" t="inlineStr">
        <is>
          <t>mico</t>
        </is>
      </c>
      <c r="E1104" s="29" t="inlineStr">
        <is>
          <t>059090</t>
        </is>
      </c>
      <c r="F1104" s="29" t="inlineStr">
        <is>
          <t>2025</t>
        </is>
      </c>
      <c r="G1104" s="29" t="inlineStr">
        <is>
          <t>CFS</t>
        </is>
      </c>
      <c r="H1104" s="29" t="inlineStr">
        <is>
          <t>SCE</t>
        </is>
      </c>
      <c r="I1104" s="29" t="inlineStr">
        <is>
          <t>자본변동표</t>
        </is>
      </c>
      <c r="J1104" s="29" t="inlineStr">
        <is>
          <t>ifrs-full_IncreaseDecreaseThroughTransactionsWithOwners</t>
        </is>
      </c>
      <c r="K1104" s="29" t="inlineStr">
        <is>
          <t>소유주와의 거래 합계</t>
        </is>
      </c>
      <c r="L1104" s="29" t="inlineStr">
        <is>
          <t>자본 [구성요소]|지배기업의 소유주에게 귀속되는 지분 [구성요소]</t>
        </is>
      </c>
      <c r="M1104" s="29" t="inlineStr">
        <is>
          <t>제 27 기</t>
        </is>
      </c>
      <c r="N1104" s="29" t="inlineStr">
        <is>
          <t>-17668092499.0</t>
        </is>
      </c>
      <c r="O1104" s="29" t="inlineStr">
        <is>
          <t>5409112833.0</t>
        </is>
      </c>
      <c r="P1104" s="29" t="inlineStr">
        <is>
          <t>KRW</t>
        </is>
      </c>
      <c r="Q1104" s="29" t="inlineStr">
        <is>
          <t>13</t>
        </is>
      </c>
    </row>
    <row r="1105" ht="24" customHeight="1">
      <c r="A1105" s="24" t="inlineStr">
        <is>
          <t>OpenDART_fnlttSinglAcntAll</t>
        </is>
      </c>
      <c r="B1105" s="24" t="inlineStr">
        <is>
          <t>00366942</t>
        </is>
      </c>
      <c r="C1105" s="24" t="inlineStr">
        <is>
          <t>미코</t>
        </is>
      </c>
      <c r="D1105" s="24" t="inlineStr">
        <is>
          <t>mico</t>
        </is>
      </c>
      <c r="E1105" s="24" t="inlineStr">
        <is>
          <t>059090</t>
        </is>
      </c>
      <c r="F1105" s="24" t="inlineStr">
        <is>
          <t>2025</t>
        </is>
      </c>
      <c r="G1105" s="24" t="inlineStr">
        <is>
          <t>CFS</t>
        </is>
      </c>
      <c r="H1105" s="24" t="inlineStr">
        <is>
          <t>SCE</t>
        </is>
      </c>
      <c r="I1105" s="24" t="inlineStr">
        <is>
          <t>자본변동표</t>
        </is>
      </c>
      <c r="J1105" s="24" t="inlineStr">
        <is>
          <t>ifrs-full_IncreaseDecreaseThroughTransactionsWithOwners</t>
        </is>
      </c>
      <c r="K1105" s="24" t="inlineStr">
        <is>
          <t>소유주와의 거래 합계</t>
        </is>
      </c>
      <c r="L1105" s="24" t="inlineStr">
        <is>
          <t>자본 [구성요소]|지배기업의 소유주에게 귀속되는 지분 [구성요소]|자본금 [구성요소]</t>
        </is>
      </c>
      <c r="M1105" s="24" t="inlineStr">
        <is>
          <t>제 27 기</t>
        </is>
      </c>
      <c r="N1105" s="24" t="inlineStr">
        <is>
          <t>0.0</t>
        </is>
      </c>
      <c r="O1105" s="24" t="inlineStr">
        <is>
          <t>0.0</t>
        </is>
      </c>
      <c r="P1105" s="24" t="inlineStr">
        <is>
          <t>KRW</t>
        </is>
      </c>
      <c r="Q1105" s="24" t="inlineStr">
        <is>
          <t>13</t>
        </is>
      </c>
    </row>
    <row r="1106" ht="24" customHeight="1">
      <c r="A1106" s="29" t="inlineStr">
        <is>
          <t>OpenDART_fnlttSinglAcntAll</t>
        </is>
      </c>
      <c r="B1106" s="29" t="inlineStr">
        <is>
          <t>00366942</t>
        </is>
      </c>
      <c r="C1106" s="29" t="inlineStr">
        <is>
          <t>미코</t>
        </is>
      </c>
      <c r="D1106" s="29" t="inlineStr">
        <is>
          <t>mico</t>
        </is>
      </c>
      <c r="E1106" s="29" t="inlineStr">
        <is>
          <t>059090</t>
        </is>
      </c>
      <c r="F1106" s="29" t="inlineStr">
        <is>
          <t>2025</t>
        </is>
      </c>
      <c r="G1106" s="29" t="inlineStr">
        <is>
          <t>CFS</t>
        </is>
      </c>
      <c r="H1106" s="29" t="inlineStr">
        <is>
          <t>SCE</t>
        </is>
      </c>
      <c r="I1106" s="29" t="inlineStr">
        <is>
          <t>자본변동표</t>
        </is>
      </c>
      <c r="J1106" s="29" t="inlineStr">
        <is>
          <t>ifrs-full_IncreaseDecreaseThroughTransactionsWithOwners</t>
        </is>
      </c>
      <c r="K1106" s="29" t="inlineStr">
        <is>
          <t>소유주와의 거래 합계</t>
        </is>
      </c>
      <c r="L1106" s="29" t="inlineStr">
        <is>
          <t>자본 [구성요소]|지배기업의 소유주에게 귀속되는 지분 [구성요소]|이익잉여금 [구성요소]</t>
        </is>
      </c>
      <c r="M1106" s="29" t="inlineStr">
        <is>
          <t>제 27 기</t>
        </is>
      </c>
      <c r="N1106" s="29" t="inlineStr">
        <is>
          <t>211864277.0</t>
        </is>
      </c>
      <c r="O1106" s="29" t="inlineStr">
        <is>
          <t>0.0</t>
        </is>
      </c>
      <c r="P1106" s="29" t="inlineStr">
        <is>
          <t>KRW</t>
        </is>
      </c>
      <c r="Q1106" s="29" t="inlineStr">
        <is>
          <t>13</t>
        </is>
      </c>
    </row>
    <row r="1107" ht="24" customHeight="1">
      <c r="A1107" s="24" t="inlineStr">
        <is>
          <t>OpenDART_fnlttSinglAcntAll</t>
        </is>
      </c>
      <c r="B1107" s="24" t="inlineStr">
        <is>
          <t>00366942</t>
        </is>
      </c>
      <c r="C1107" s="24" t="inlineStr">
        <is>
          <t>미코</t>
        </is>
      </c>
      <c r="D1107" s="24" t="inlineStr">
        <is>
          <t>mico</t>
        </is>
      </c>
      <c r="E1107" s="24" t="inlineStr">
        <is>
          <t>059090</t>
        </is>
      </c>
      <c r="F1107" s="24" t="inlineStr">
        <is>
          <t>2025</t>
        </is>
      </c>
      <c r="G1107" s="24" t="inlineStr">
        <is>
          <t>CFS</t>
        </is>
      </c>
      <c r="H1107" s="24" t="inlineStr">
        <is>
          <t>SCE</t>
        </is>
      </c>
      <c r="I1107" s="24" t="inlineStr">
        <is>
          <t>자본변동표</t>
        </is>
      </c>
      <c r="J1107" s="24" t="inlineStr">
        <is>
          <t>ifrs-full_IncreaseDecreaseThroughTransactionsWithOwners</t>
        </is>
      </c>
      <c r="K1107" s="24" t="inlineStr">
        <is>
          <t>소유주와의 거래 합계</t>
        </is>
      </c>
      <c r="L1107" s="24" t="inlineStr">
        <is>
          <t>자본 [구성요소]|지배기업의 소유주에게 귀속되는 지분 [구성요소]|기타포괄손익누계액 [구성요소]</t>
        </is>
      </c>
      <c r="M1107" s="24" t="inlineStr">
        <is>
          <t>제 27 기</t>
        </is>
      </c>
      <c r="N1107" s="24" t="inlineStr">
        <is>
          <t>1733610328.0</t>
        </is>
      </c>
      <c r="O1107" s="24" t="inlineStr">
        <is>
          <t>0.0</t>
        </is>
      </c>
      <c r="P1107" s="24" t="inlineStr">
        <is>
          <t>KRW</t>
        </is>
      </c>
      <c r="Q1107" s="24" t="inlineStr">
        <is>
          <t>13</t>
        </is>
      </c>
    </row>
    <row r="1108" ht="24" customHeight="1">
      <c r="A1108" s="29" t="inlineStr">
        <is>
          <t>OpenDART_fnlttSinglAcntAll</t>
        </is>
      </c>
      <c r="B1108" s="29" t="inlineStr">
        <is>
          <t>00366942</t>
        </is>
      </c>
      <c r="C1108" s="29" t="inlineStr">
        <is>
          <t>미코</t>
        </is>
      </c>
      <c r="D1108" s="29" t="inlineStr">
        <is>
          <t>mico</t>
        </is>
      </c>
      <c r="E1108" s="29" t="inlineStr">
        <is>
          <t>059090</t>
        </is>
      </c>
      <c r="F1108" s="29" t="inlineStr">
        <is>
          <t>2025</t>
        </is>
      </c>
      <c r="G1108" s="29" t="inlineStr">
        <is>
          <t>CFS</t>
        </is>
      </c>
      <c r="H1108" s="29" t="inlineStr">
        <is>
          <t>SCE</t>
        </is>
      </c>
      <c r="I1108" s="29" t="inlineStr">
        <is>
          <t>자본변동표</t>
        </is>
      </c>
      <c r="J1108" s="29" t="inlineStr">
        <is>
          <t>ifrs-full_IncreaseDecreaseThroughTransactionsWithOwners</t>
        </is>
      </c>
      <c r="K1108" s="29" t="inlineStr">
        <is>
          <t>소유주와의 거래 합계</t>
        </is>
      </c>
      <c r="L1108" s="29" t="inlineStr">
        <is>
          <t>자본 [구성요소]|지배기업의 소유주에게 귀속되는 지분 [구성요소]|기타자본구성요소 [구성요소]</t>
        </is>
      </c>
      <c r="M1108" s="29" t="inlineStr">
        <is>
          <t>제 27 기</t>
        </is>
      </c>
      <c r="N1108" s="29" t="inlineStr">
        <is>
          <t>4209733450.0</t>
        </is>
      </c>
      <c r="O1108" s="29" t="inlineStr">
        <is>
          <t>-1502611311.0</t>
        </is>
      </c>
      <c r="P1108" s="29" t="inlineStr">
        <is>
          <t>KRW</t>
        </is>
      </c>
      <c r="Q1108" s="29" t="inlineStr">
        <is>
          <t>13</t>
        </is>
      </c>
    </row>
    <row r="1109" ht="24" customHeight="1">
      <c r="A1109" s="24" t="inlineStr">
        <is>
          <t>OpenDART_fnlttSinglAcntAll</t>
        </is>
      </c>
      <c r="B1109" s="24" t="inlineStr">
        <is>
          <t>00366942</t>
        </is>
      </c>
      <c r="C1109" s="24" t="inlineStr">
        <is>
          <t>미코</t>
        </is>
      </c>
      <c r="D1109" s="24" t="inlineStr">
        <is>
          <t>mico</t>
        </is>
      </c>
      <c r="E1109" s="24" t="inlineStr">
        <is>
          <t>059090</t>
        </is>
      </c>
      <c r="F1109" s="24" t="inlineStr">
        <is>
          <t>2025</t>
        </is>
      </c>
      <c r="G1109" s="24" t="inlineStr">
        <is>
          <t>CFS</t>
        </is>
      </c>
      <c r="H1109" s="24" t="inlineStr">
        <is>
          <t>SCE</t>
        </is>
      </c>
      <c r="I1109" s="24" t="inlineStr">
        <is>
          <t>자본변동표</t>
        </is>
      </c>
      <c r="J1109" s="24" t="inlineStr">
        <is>
          <t>ifrs-full_IncreaseDecreaseThroughTransactionsWithOwners</t>
        </is>
      </c>
      <c r="K1109" s="24" t="inlineStr">
        <is>
          <t>소유주와의 거래 합계</t>
        </is>
      </c>
      <c r="L1109" s="24" t="inlineStr">
        <is>
          <t>자본 [구성요소]|지배기업의 소유주에게 귀속되는 지분 [구성요소]|자본잉여금 [구성요소]</t>
        </is>
      </c>
      <c r="M1109" s="24" t="inlineStr">
        <is>
          <t>제 27 기</t>
        </is>
      </c>
      <c r="N1109" s="24" t="inlineStr">
        <is>
          <t>-23823300554.0</t>
        </is>
      </c>
      <c r="O1109" s="24" t="inlineStr">
        <is>
          <t>6911724144.0</t>
        </is>
      </c>
      <c r="P1109" s="24" t="inlineStr">
        <is>
          <t>KRW</t>
        </is>
      </c>
      <c r="Q1109" s="24" t="inlineStr">
        <is>
          <t>13</t>
        </is>
      </c>
    </row>
    <row r="1110" ht="24" customHeight="1">
      <c r="A1110" s="29" t="inlineStr">
        <is>
          <t>OpenDART_fnlttSinglAcntAll</t>
        </is>
      </c>
      <c r="B1110" s="29" t="inlineStr">
        <is>
          <t>00366942</t>
        </is>
      </c>
      <c r="C1110" s="29" t="inlineStr">
        <is>
          <t>미코</t>
        </is>
      </c>
      <c r="D1110" s="29" t="inlineStr">
        <is>
          <t>mico</t>
        </is>
      </c>
      <c r="E1110" s="29" t="inlineStr">
        <is>
          <t>059090</t>
        </is>
      </c>
      <c r="F1110" s="29" t="inlineStr">
        <is>
          <t>2025</t>
        </is>
      </c>
      <c r="G1110" s="29" t="inlineStr">
        <is>
          <t>CFS</t>
        </is>
      </c>
      <c r="H1110" s="29" t="inlineStr">
        <is>
          <t>SCE</t>
        </is>
      </c>
      <c r="I1110" s="29" t="inlineStr">
        <is>
          <t>자본변동표</t>
        </is>
      </c>
      <c r="J1110" s="29" t="inlineStr">
        <is>
          <t>ifrs-full_OtherComprehensiveIncomeNetOfTaxGainsLossesFromInvestmentsInEquityInstruments</t>
        </is>
      </c>
      <c r="K1110" s="29" t="inlineStr">
        <is>
          <t>기타포괄손익-공정가치측정금융자산평가손익</t>
        </is>
      </c>
      <c r="L1110" s="29" t="inlineStr">
        <is>
          <t>자본 [구성요소]|지배기업의 소유주에게 귀속되는 지분 [구성요소]</t>
        </is>
      </c>
      <c r="M1110" s="29" t="inlineStr">
        <is>
          <t>제 27 기</t>
        </is>
      </c>
      <c r="N1110" s="29" t="inlineStr">
        <is>
          <t>68675627.0</t>
        </is>
      </c>
      <c r="O1110" s="29" t="inlineStr">
        <is>
          <t>65241846.0</t>
        </is>
      </c>
      <c r="P1110" s="29" t="inlineStr">
        <is>
          <t>KRW</t>
        </is>
      </c>
      <c r="Q1110" s="29" t="inlineStr">
        <is>
          <t>14</t>
        </is>
      </c>
    </row>
    <row r="1111" ht="24" customHeight="1">
      <c r="A1111" s="24" t="inlineStr">
        <is>
          <t>OpenDART_fnlttSinglAcntAll</t>
        </is>
      </c>
      <c r="B1111" s="24" t="inlineStr">
        <is>
          <t>00366942</t>
        </is>
      </c>
      <c r="C1111" s="24" t="inlineStr">
        <is>
          <t>미코</t>
        </is>
      </c>
      <c r="D1111" s="24" t="inlineStr">
        <is>
          <t>mico</t>
        </is>
      </c>
      <c r="E1111" s="24" t="inlineStr">
        <is>
          <t>059090</t>
        </is>
      </c>
      <c r="F1111" s="24" t="inlineStr">
        <is>
          <t>2025</t>
        </is>
      </c>
      <c r="G1111" s="24" t="inlineStr">
        <is>
          <t>CFS</t>
        </is>
      </c>
      <c r="H1111" s="24" t="inlineStr">
        <is>
          <t>SCE</t>
        </is>
      </c>
      <c r="I1111" s="24" t="inlineStr">
        <is>
          <t>자본변동표</t>
        </is>
      </c>
      <c r="J1111" s="24" t="inlineStr">
        <is>
          <t>ifrs-full_OtherComprehensiveIncomeNetOfTaxGainsLossesFromInvestmentsInEquityInstruments</t>
        </is>
      </c>
      <c r="K1111" s="24" t="inlineStr">
        <is>
          <t>기타포괄손익-공정가치측정금융자산평가손익</t>
        </is>
      </c>
      <c r="L1111" s="24" t="inlineStr">
        <is>
          <t>자본 [구성요소]|비지배지분 [구성요소]</t>
        </is>
      </c>
      <c r="M1111" s="24" t="inlineStr">
        <is>
          <t>제 27 기</t>
        </is>
      </c>
      <c r="N1111" s="24" t="inlineStr">
        <is>
          <t>0.0</t>
        </is>
      </c>
      <c r="O1111" s="24" t="inlineStr">
        <is>
          <t>0.0</t>
        </is>
      </c>
      <c r="P1111" s="24" t="inlineStr">
        <is>
          <t>KRW</t>
        </is>
      </c>
      <c r="Q1111" s="24" t="inlineStr">
        <is>
          <t>14</t>
        </is>
      </c>
    </row>
    <row r="1112" ht="24" customHeight="1">
      <c r="A1112" s="29" t="inlineStr">
        <is>
          <t>OpenDART_fnlttSinglAcntAll</t>
        </is>
      </c>
      <c r="B1112" s="29" t="inlineStr">
        <is>
          <t>00366942</t>
        </is>
      </c>
      <c r="C1112" s="29" t="inlineStr">
        <is>
          <t>미코</t>
        </is>
      </c>
      <c r="D1112" s="29" t="inlineStr">
        <is>
          <t>mico</t>
        </is>
      </c>
      <c r="E1112" s="29" t="inlineStr">
        <is>
          <t>059090</t>
        </is>
      </c>
      <c r="F1112" s="29" t="inlineStr">
        <is>
          <t>2025</t>
        </is>
      </c>
      <c r="G1112" s="29" t="inlineStr">
        <is>
          <t>CFS</t>
        </is>
      </c>
      <c r="H1112" s="29" t="inlineStr">
        <is>
          <t>SCE</t>
        </is>
      </c>
      <c r="I1112" s="29" t="inlineStr">
        <is>
          <t>자본변동표</t>
        </is>
      </c>
      <c r="J1112" s="29" t="inlineStr">
        <is>
          <t>ifrs-full_OtherComprehensiveIncomeNetOfTaxGainsLossesFromInvestmentsInEquityInstruments</t>
        </is>
      </c>
      <c r="K1112" s="29" t="inlineStr">
        <is>
          <t>기타포괄손익-공정가치측정금융자산평가손익</t>
        </is>
      </c>
      <c r="L1112" s="29" t="inlineStr">
        <is>
          <t>연결재무제표 [member]</t>
        </is>
      </c>
      <c r="M1112" s="29" t="inlineStr">
        <is>
          <t>제 27 기</t>
        </is>
      </c>
      <c r="N1112" s="29" t="inlineStr">
        <is>
          <t>68675627.0</t>
        </is>
      </c>
      <c r="O1112" s="29" t="inlineStr">
        <is>
          <t>65241846.0</t>
        </is>
      </c>
      <c r="P1112" s="29" t="inlineStr">
        <is>
          <t>KRW</t>
        </is>
      </c>
      <c r="Q1112" s="29" t="inlineStr">
        <is>
          <t>14</t>
        </is>
      </c>
    </row>
    <row r="1113" ht="24" customHeight="1">
      <c r="A1113" s="24" t="inlineStr">
        <is>
          <t>OpenDART_fnlttSinglAcntAll</t>
        </is>
      </c>
      <c r="B1113" s="24" t="inlineStr">
        <is>
          <t>00366942</t>
        </is>
      </c>
      <c r="C1113" s="24" t="inlineStr">
        <is>
          <t>미코</t>
        </is>
      </c>
      <c r="D1113" s="24" t="inlineStr">
        <is>
          <t>mico</t>
        </is>
      </c>
      <c r="E1113" s="24" t="inlineStr">
        <is>
          <t>059090</t>
        </is>
      </c>
      <c r="F1113" s="24" t="inlineStr">
        <is>
          <t>2025</t>
        </is>
      </c>
      <c r="G1113" s="24" t="inlineStr">
        <is>
          <t>CFS</t>
        </is>
      </c>
      <c r="H1113" s="24" t="inlineStr">
        <is>
          <t>SCE</t>
        </is>
      </c>
      <c r="I1113" s="24" t="inlineStr">
        <is>
          <t>자본변동표</t>
        </is>
      </c>
      <c r="J1113" s="24" t="inlineStr">
        <is>
          <t>ifrs-full_OtherComprehensiveIncomeNetOfTaxGainsLossesFromInvestmentsInEquityInstruments</t>
        </is>
      </c>
      <c r="K1113" s="24" t="inlineStr">
        <is>
          <t>기타포괄손익-공정가치측정금융자산평가손익</t>
        </is>
      </c>
      <c r="L1113" s="24" t="inlineStr">
        <is>
          <t>자본 [구성요소]|지배기업의 소유주에게 귀속되는 지분 [구성요소]|기타자본구성요소 [구성요소]</t>
        </is>
      </c>
      <c r="M1113" s="24" t="inlineStr">
        <is>
          <t>제 27 기</t>
        </is>
      </c>
      <c r="N1113" s="24" t="inlineStr">
        <is>
          <t>0.0</t>
        </is>
      </c>
      <c r="O1113" s="24" t="inlineStr">
        <is>
          <t>0.0</t>
        </is>
      </c>
      <c r="P1113" s="24" t="inlineStr">
        <is>
          <t>KRW</t>
        </is>
      </c>
      <c r="Q1113" s="24" t="inlineStr">
        <is>
          <t>14</t>
        </is>
      </c>
    </row>
    <row r="1114" ht="24" customHeight="1">
      <c r="A1114" s="29" t="inlineStr">
        <is>
          <t>OpenDART_fnlttSinglAcntAll</t>
        </is>
      </c>
      <c r="B1114" s="29" t="inlineStr">
        <is>
          <t>00366942</t>
        </is>
      </c>
      <c r="C1114" s="29" t="inlineStr">
        <is>
          <t>미코</t>
        </is>
      </c>
      <c r="D1114" s="29" t="inlineStr">
        <is>
          <t>mico</t>
        </is>
      </c>
      <c r="E1114" s="29" t="inlineStr">
        <is>
          <t>059090</t>
        </is>
      </c>
      <c r="F1114" s="29" t="inlineStr">
        <is>
          <t>2025</t>
        </is>
      </c>
      <c r="G1114" s="29" t="inlineStr">
        <is>
          <t>CFS</t>
        </is>
      </c>
      <c r="H1114" s="29" t="inlineStr">
        <is>
          <t>SCE</t>
        </is>
      </c>
      <c r="I1114" s="29" t="inlineStr">
        <is>
          <t>자본변동표</t>
        </is>
      </c>
      <c r="J1114" s="29" t="inlineStr">
        <is>
          <t>ifrs-full_OtherComprehensiveIncomeNetOfTaxGainsLossesFromInvestmentsInEquityInstruments</t>
        </is>
      </c>
      <c r="K1114" s="29" t="inlineStr">
        <is>
          <t>기타포괄손익-공정가치측정금융자산평가손익</t>
        </is>
      </c>
      <c r="L1114" s="29" t="inlineStr">
        <is>
          <t>자본 [구성요소]|지배기업의 소유주에게 귀속되는 지분 [구성요소]|자본잉여금 [구성요소]</t>
        </is>
      </c>
      <c r="M1114" s="29" t="inlineStr">
        <is>
          <t>제 27 기</t>
        </is>
      </c>
      <c r="N1114" s="29" t="inlineStr">
        <is>
          <t>0.0</t>
        </is>
      </c>
      <c r="O1114" s="29" t="inlineStr">
        <is>
          <t>0.0</t>
        </is>
      </c>
      <c r="P1114" s="29" t="inlineStr">
        <is>
          <t>KRW</t>
        </is>
      </c>
      <c r="Q1114" s="29" t="inlineStr">
        <is>
          <t>14</t>
        </is>
      </c>
    </row>
    <row r="1115" ht="24" customHeight="1">
      <c r="A1115" s="24" t="inlineStr">
        <is>
          <t>OpenDART_fnlttSinglAcntAll</t>
        </is>
      </c>
      <c r="B1115" s="24" t="inlineStr">
        <is>
          <t>00366942</t>
        </is>
      </c>
      <c r="C1115" s="24" t="inlineStr">
        <is>
          <t>미코</t>
        </is>
      </c>
      <c r="D1115" s="24" t="inlineStr">
        <is>
          <t>mico</t>
        </is>
      </c>
      <c r="E1115" s="24" t="inlineStr">
        <is>
          <t>059090</t>
        </is>
      </c>
      <c r="F1115" s="24" t="inlineStr">
        <is>
          <t>2025</t>
        </is>
      </c>
      <c r="G1115" s="24" t="inlineStr">
        <is>
          <t>CFS</t>
        </is>
      </c>
      <c r="H1115" s="24" t="inlineStr">
        <is>
          <t>SCE</t>
        </is>
      </c>
      <c r="I1115" s="24" t="inlineStr">
        <is>
          <t>자본변동표</t>
        </is>
      </c>
      <c r="J1115" s="24" t="inlineStr">
        <is>
          <t>ifrs-full_OtherComprehensiveIncomeNetOfTaxGainsLossesFromInvestmentsInEquityInstruments</t>
        </is>
      </c>
      <c r="K1115" s="24" t="inlineStr">
        <is>
          <t>기타포괄손익-공정가치측정금융자산평가손익</t>
        </is>
      </c>
      <c r="L1115" s="24" t="inlineStr">
        <is>
          <t>자본 [구성요소]|지배기업의 소유주에게 귀속되는 지분 [구성요소]|자본금 [구성요소]</t>
        </is>
      </c>
      <c r="M1115" s="24" t="inlineStr">
        <is>
          <t>제 27 기</t>
        </is>
      </c>
      <c r="N1115" s="24" t="inlineStr">
        <is>
          <t>0.0</t>
        </is>
      </c>
      <c r="O1115" s="24" t="inlineStr">
        <is>
          <t>0.0</t>
        </is>
      </c>
      <c r="P1115" s="24" t="inlineStr">
        <is>
          <t>KRW</t>
        </is>
      </c>
      <c r="Q1115" s="24" t="inlineStr">
        <is>
          <t>14</t>
        </is>
      </c>
    </row>
    <row r="1116" ht="24" customHeight="1">
      <c r="A1116" s="29" t="inlineStr">
        <is>
          <t>OpenDART_fnlttSinglAcntAll</t>
        </is>
      </c>
      <c r="B1116" s="29" t="inlineStr">
        <is>
          <t>00366942</t>
        </is>
      </c>
      <c r="C1116" s="29" t="inlineStr">
        <is>
          <t>미코</t>
        </is>
      </c>
      <c r="D1116" s="29" t="inlineStr">
        <is>
          <t>mico</t>
        </is>
      </c>
      <c r="E1116" s="29" t="inlineStr">
        <is>
          <t>059090</t>
        </is>
      </c>
      <c r="F1116" s="29" t="inlineStr">
        <is>
          <t>2025</t>
        </is>
      </c>
      <c r="G1116" s="29" t="inlineStr">
        <is>
          <t>CFS</t>
        </is>
      </c>
      <c r="H1116" s="29" t="inlineStr">
        <is>
          <t>SCE</t>
        </is>
      </c>
      <c r="I1116" s="29" t="inlineStr">
        <is>
          <t>자본변동표</t>
        </is>
      </c>
      <c r="J1116" s="29" t="inlineStr">
        <is>
          <t>ifrs-full_OtherComprehensiveIncomeNetOfTaxGainsLossesFromInvestmentsInEquityInstruments</t>
        </is>
      </c>
      <c r="K1116" s="29" t="inlineStr">
        <is>
          <t>기타포괄손익-공정가치측정금융자산평가손익</t>
        </is>
      </c>
      <c r="L1116" s="29" t="inlineStr">
        <is>
          <t>자본 [구성요소]|지배기업의 소유주에게 귀속되는 지분 [구성요소]|이익잉여금 [구성요소]</t>
        </is>
      </c>
      <c r="M1116" s="29" t="inlineStr">
        <is>
          <t>제 27 기</t>
        </is>
      </c>
      <c r="N1116" s="29" t="inlineStr">
        <is>
          <t>0.0</t>
        </is>
      </c>
      <c r="O1116" s="29" t="inlineStr">
        <is>
          <t>0.0</t>
        </is>
      </c>
      <c r="P1116" s="29" t="inlineStr">
        <is>
          <t>KRW</t>
        </is>
      </c>
      <c r="Q1116" s="29" t="inlineStr">
        <is>
          <t>14</t>
        </is>
      </c>
    </row>
    <row r="1117" ht="24" customHeight="1">
      <c r="A1117" s="24" t="inlineStr">
        <is>
          <t>OpenDART_fnlttSinglAcntAll</t>
        </is>
      </c>
      <c r="B1117" s="24" t="inlineStr">
        <is>
          <t>00366942</t>
        </is>
      </c>
      <c r="C1117" s="24" t="inlineStr">
        <is>
          <t>미코</t>
        </is>
      </c>
      <c r="D1117" s="24" t="inlineStr">
        <is>
          <t>mico</t>
        </is>
      </c>
      <c r="E1117" s="24" t="inlineStr">
        <is>
          <t>059090</t>
        </is>
      </c>
      <c r="F1117" s="24" t="inlineStr">
        <is>
          <t>2025</t>
        </is>
      </c>
      <c r="G1117" s="24" t="inlineStr">
        <is>
          <t>CFS</t>
        </is>
      </c>
      <c r="H1117" s="24" t="inlineStr">
        <is>
          <t>SCE</t>
        </is>
      </c>
      <c r="I1117" s="24" t="inlineStr">
        <is>
          <t>자본변동표</t>
        </is>
      </c>
      <c r="J1117" s="24" t="inlineStr">
        <is>
          <t>ifrs-full_OtherComprehensiveIncomeNetOfTaxGainsLossesFromInvestmentsInEquityInstruments</t>
        </is>
      </c>
      <c r="K1117" s="24" t="inlineStr">
        <is>
          <t>기타포괄손익-공정가치측정금융자산평가손익</t>
        </is>
      </c>
      <c r="L1117" s="24" t="inlineStr">
        <is>
          <t>자본 [구성요소]|지배기업의 소유주에게 귀속되는 지분 [구성요소]|기타포괄손익누계액 [구성요소]</t>
        </is>
      </c>
      <c r="M1117" s="24" t="inlineStr">
        <is>
          <t>제 27 기</t>
        </is>
      </c>
      <c r="N1117" s="24" t="inlineStr">
        <is>
          <t>68675627.0</t>
        </is>
      </c>
      <c r="O1117" s="24" t="inlineStr">
        <is>
          <t>65241846.0</t>
        </is>
      </c>
      <c r="P1117" s="24" t="inlineStr">
        <is>
          <t>KRW</t>
        </is>
      </c>
      <c r="Q1117" s="24" t="inlineStr">
        <is>
          <t>14</t>
        </is>
      </c>
    </row>
    <row r="1118" ht="24" customHeight="1">
      <c r="A1118" s="29" t="inlineStr">
        <is>
          <t>OpenDART_fnlttSinglAcntAll</t>
        </is>
      </c>
      <c r="B1118" s="29" t="inlineStr">
        <is>
          <t>00366942</t>
        </is>
      </c>
      <c r="C1118" s="29" t="inlineStr">
        <is>
          <t>미코</t>
        </is>
      </c>
      <c r="D1118" s="29" t="inlineStr">
        <is>
          <t>mico</t>
        </is>
      </c>
      <c r="E1118" s="29" t="inlineStr">
        <is>
          <t>059090</t>
        </is>
      </c>
      <c r="F1118" s="29" t="inlineStr">
        <is>
          <t>2025</t>
        </is>
      </c>
      <c r="G1118" s="29" t="inlineStr">
        <is>
          <t>CFS</t>
        </is>
      </c>
      <c r="H1118" s="29" t="inlineStr">
        <is>
          <t>SCE</t>
        </is>
      </c>
      <c r="I1118" s="29" t="inlineStr">
        <is>
          <t>자본변동표</t>
        </is>
      </c>
      <c r="J1118" s="29" t="inlineStr">
        <is>
          <t>ifrs-full_OtherComprehensiveIncomeNetOfTaxGainsLossesOnRemeasurementsOfDefinedBenefitPlans</t>
        </is>
      </c>
      <c r="K1118" s="29" t="inlineStr">
        <is>
          <t>확정급여제도의 재측정요소</t>
        </is>
      </c>
      <c r="L1118" s="29" t="inlineStr">
        <is>
          <t>자본 [구성요소]|지배기업의 소유주에게 귀속되는 지분 [구성요소]</t>
        </is>
      </c>
      <c r="M1118" s="29" t="inlineStr">
        <is>
          <t>제 27 기</t>
        </is>
      </c>
      <c r="N1118" s="29" t="inlineStr">
        <is>
          <t>-451886318.0</t>
        </is>
      </c>
      <c r="O1118" s="29" t="inlineStr">
        <is>
          <t>461869579.0</t>
        </is>
      </c>
      <c r="P1118" s="29" t="inlineStr">
        <is>
          <t>KRW</t>
        </is>
      </c>
      <c r="Q1118" s="29" t="inlineStr">
        <is>
          <t>15</t>
        </is>
      </c>
    </row>
    <row r="1119" ht="24" customHeight="1">
      <c r="A1119" s="24" t="inlineStr">
        <is>
          <t>OpenDART_fnlttSinglAcntAll</t>
        </is>
      </c>
      <c r="B1119" s="24" t="inlineStr">
        <is>
          <t>00366942</t>
        </is>
      </c>
      <c r="C1119" s="24" t="inlineStr">
        <is>
          <t>미코</t>
        </is>
      </c>
      <c r="D1119" s="24" t="inlineStr">
        <is>
          <t>mico</t>
        </is>
      </c>
      <c r="E1119" s="24" t="inlineStr">
        <is>
          <t>059090</t>
        </is>
      </c>
      <c r="F1119" s="24" t="inlineStr">
        <is>
          <t>2025</t>
        </is>
      </c>
      <c r="G1119" s="24" t="inlineStr">
        <is>
          <t>CFS</t>
        </is>
      </c>
      <c r="H1119" s="24" t="inlineStr">
        <is>
          <t>SCE</t>
        </is>
      </c>
      <c r="I1119" s="24" t="inlineStr">
        <is>
          <t>자본변동표</t>
        </is>
      </c>
      <c r="J1119" s="24" t="inlineStr">
        <is>
          <t>ifrs-full_OtherComprehensiveIncomeNetOfTaxGainsLossesOnRemeasurementsOfDefinedBenefitPlans</t>
        </is>
      </c>
      <c r="K1119" s="24" t="inlineStr">
        <is>
          <t>확정급여제도의 재측정요소</t>
        </is>
      </c>
      <c r="L1119" s="24" t="inlineStr">
        <is>
          <t>자본 [구성요소]|비지배지분 [구성요소]</t>
        </is>
      </c>
      <c r="M1119" s="24" t="inlineStr">
        <is>
          <t>제 27 기</t>
        </is>
      </c>
      <c r="N1119" s="24" t="inlineStr">
        <is>
          <t>-328470534.0</t>
        </is>
      </c>
      <c r="O1119" s="24" t="inlineStr">
        <is>
          <t>224769633.0</t>
        </is>
      </c>
      <c r="P1119" s="24" t="inlineStr">
        <is>
          <t>KRW</t>
        </is>
      </c>
      <c r="Q1119" s="24" t="inlineStr">
        <is>
          <t>15</t>
        </is>
      </c>
    </row>
    <row r="1120" ht="24" customHeight="1">
      <c r="A1120" s="29" t="inlineStr">
        <is>
          <t>OpenDART_fnlttSinglAcntAll</t>
        </is>
      </c>
      <c r="B1120" s="29" t="inlineStr">
        <is>
          <t>00366942</t>
        </is>
      </c>
      <c r="C1120" s="29" t="inlineStr">
        <is>
          <t>미코</t>
        </is>
      </c>
      <c r="D1120" s="29" t="inlineStr">
        <is>
          <t>mico</t>
        </is>
      </c>
      <c r="E1120" s="29" t="inlineStr">
        <is>
          <t>059090</t>
        </is>
      </c>
      <c r="F1120" s="29" t="inlineStr">
        <is>
          <t>2025</t>
        </is>
      </c>
      <c r="G1120" s="29" t="inlineStr">
        <is>
          <t>CFS</t>
        </is>
      </c>
      <c r="H1120" s="29" t="inlineStr">
        <is>
          <t>SCE</t>
        </is>
      </c>
      <c r="I1120" s="29" t="inlineStr">
        <is>
          <t>자본변동표</t>
        </is>
      </c>
      <c r="J1120" s="29" t="inlineStr">
        <is>
          <t>ifrs-full_OtherComprehensiveIncomeNetOfTaxGainsLossesOnRemeasurementsOfDefinedBenefitPlans</t>
        </is>
      </c>
      <c r="K1120" s="29" t="inlineStr">
        <is>
          <t>확정급여제도의 재측정요소</t>
        </is>
      </c>
      <c r="L1120" s="29" t="inlineStr">
        <is>
          <t>연결재무제표 [member]</t>
        </is>
      </c>
      <c r="M1120" s="29" t="inlineStr">
        <is>
          <t>제 27 기</t>
        </is>
      </c>
      <c r="N1120" s="29" t="inlineStr">
        <is>
          <t>-780356852.0</t>
        </is>
      </c>
      <c r="O1120" s="29" t="inlineStr">
        <is>
          <t>686639212.0</t>
        </is>
      </c>
      <c r="P1120" s="29" t="inlineStr">
        <is>
          <t>KRW</t>
        </is>
      </c>
      <c r="Q1120" s="29" t="inlineStr">
        <is>
          <t>15</t>
        </is>
      </c>
    </row>
    <row r="1121" ht="24" customHeight="1">
      <c r="A1121" s="24" t="inlineStr">
        <is>
          <t>OpenDART_fnlttSinglAcntAll</t>
        </is>
      </c>
      <c r="B1121" s="24" t="inlineStr">
        <is>
          <t>00366942</t>
        </is>
      </c>
      <c r="C1121" s="24" t="inlineStr">
        <is>
          <t>미코</t>
        </is>
      </c>
      <c r="D1121" s="24" t="inlineStr">
        <is>
          <t>mico</t>
        </is>
      </c>
      <c r="E1121" s="24" t="inlineStr">
        <is>
          <t>059090</t>
        </is>
      </c>
      <c r="F1121" s="24" t="inlineStr">
        <is>
          <t>2025</t>
        </is>
      </c>
      <c r="G1121" s="24" t="inlineStr">
        <is>
          <t>CFS</t>
        </is>
      </c>
      <c r="H1121" s="24" t="inlineStr">
        <is>
          <t>SCE</t>
        </is>
      </c>
      <c r="I1121" s="24" t="inlineStr">
        <is>
          <t>자본변동표</t>
        </is>
      </c>
      <c r="J1121" s="24" t="inlineStr">
        <is>
          <t>ifrs-full_OtherComprehensiveIncomeNetOfTaxGainsLossesOnRemeasurementsOfDefinedBenefitPlans</t>
        </is>
      </c>
      <c r="K1121" s="24" t="inlineStr">
        <is>
          <t>확정급여제도의 재측정요소</t>
        </is>
      </c>
      <c r="L1121" s="24" t="inlineStr">
        <is>
          <t>자본 [구성요소]|지배기업의 소유주에게 귀속되는 지분 [구성요소]|기타자본구성요소 [구성요소]</t>
        </is>
      </c>
      <c r="M1121" s="24" t="inlineStr">
        <is>
          <t>제 27 기</t>
        </is>
      </c>
      <c r="N1121" s="24" t="inlineStr">
        <is>
          <t>0.0</t>
        </is>
      </c>
      <c r="O1121" s="24" t="inlineStr">
        <is>
          <t>0.0</t>
        </is>
      </c>
      <c r="P1121" s="24" t="inlineStr">
        <is>
          <t>KRW</t>
        </is>
      </c>
      <c r="Q1121" s="24" t="inlineStr">
        <is>
          <t>15</t>
        </is>
      </c>
    </row>
    <row r="1122" ht="24" customHeight="1">
      <c r="A1122" s="29" t="inlineStr">
        <is>
          <t>OpenDART_fnlttSinglAcntAll</t>
        </is>
      </c>
      <c r="B1122" s="29" t="inlineStr">
        <is>
          <t>00366942</t>
        </is>
      </c>
      <c r="C1122" s="29" t="inlineStr">
        <is>
          <t>미코</t>
        </is>
      </c>
      <c r="D1122" s="29" t="inlineStr">
        <is>
          <t>mico</t>
        </is>
      </c>
      <c r="E1122" s="29" t="inlineStr">
        <is>
          <t>059090</t>
        </is>
      </c>
      <c r="F1122" s="29" t="inlineStr">
        <is>
          <t>2025</t>
        </is>
      </c>
      <c r="G1122" s="29" t="inlineStr">
        <is>
          <t>CFS</t>
        </is>
      </c>
      <c r="H1122" s="29" t="inlineStr">
        <is>
          <t>SCE</t>
        </is>
      </c>
      <c r="I1122" s="29" t="inlineStr">
        <is>
          <t>자본변동표</t>
        </is>
      </c>
      <c r="J1122" s="29" t="inlineStr">
        <is>
          <t>ifrs-full_OtherComprehensiveIncomeNetOfTaxGainsLossesOnRemeasurementsOfDefinedBenefitPlans</t>
        </is>
      </c>
      <c r="K1122" s="29" t="inlineStr">
        <is>
          <t>확정급여제도의 재측정요소</t>
        </is>
      </c>
      <c r="L1122" s="29" t="inlineStr">
        <is>
          <t>자본 [구성요소]|지배기업의 소유주에게 귀속되는 지분 [구성요소]|기타포괄손익누계액 [구성요소]</t>
        </is>
      </c>
      <c r="M1122" s="29" t="inlineStr">
        <is>
          <t>제 27 기</t>
        </is>
      </c>
      <c r="N1122" s="29" t="inlineStr">
        <is>
          <t>-451886318.0</t>
        </is>
      </c>
      <c r="O1122" s="29" t="inlineStr">
        <is>
          <t>461869579.0</t>
        </is>
      </c>
      <c r="P1122" s="29" t="inlineStr">
        <is>
          <t>KRW</t>
        </is>
      </c>
      <c r="Q1122" s="29" t="inlineStr">
        <is>
          <t>15</t>
        </is>
      </c>
    </row>
    <row r="1123" ht="24" customHeight="1">
      <c r="A1123" s="24" t="inlineStr">
        <is>
          <t>OpenDART_fnlttSinglAcntAll</t>
        </is>
      </c>
      <c r="B1123" s="24" t="inlineStr">
        <is>
          <t>00366942</t>
        </is>
      </c>
      <c r="C1123" s="24" t="inlineStr">
        <is>
          <t>미코</t>
        </is>
      </c>
      <c r="D1123" s="24" t="inlineStr">
        <is>
          <t>mico</t>
        </is>
      </c>
      <c r="E1123" s="24" t="inlineStr">
        <is>
          <t>059090</t>
        </is>
      </c>
      <c r="F1123" s="24" t="inlineStr">
        <is>
          <t>2025</t>
        </is>
      </c>
      <c r="G1123" s="24" t="inlineStr">
        <is>
          <t>CFS</t>
        </is>
      </c>
      <c r="H1123" s="24" t="inlineStr">
        <is>
          <t>SCE</t>
        </is>
      </c>
      <c r="I1123" s="24" t="inlineStr">
        <is>
          <t>자본변동표</t>
        </is>
      </c>
      <c r="J1123" s="24" t="inlineStr">
        <is>
          <t>ifrs-full_OtherComprehensiveIncomeNetOfTaxGainsLossesOnRemeasurementsOfDefinedBenefitPlans</t>
        </is>
      </c>
      <c r="K1123" s="24" t="inlineStr">
        <is>
          <t>확정급여제도의 재측정요소</t>
        </is>
      </c>
      <c r="L1123" s="24" t="inlineStr">
        <is>
          <t>자본 [구성요소]|지배기업의 소유주에게 귀속되는 지분 [구성요소]|이익잉여금 [구성요소]</t>
        </is>
      </c>
      <c r="M1123" s="24" t="inlineStr">
        <is>
          <t>제 27 기</t>
        </is>
      </c>
      <c r="N1123" s="24" t="inlineStr">
        <is>
          <t>0.0</t>
        </is>
      </c>
      <c r="O1123" s="24" t="inlineStr">
        <is>
          <t>0.0</t>
        </is>
      </c>
      <c r="P1123" s="24" t="inlineStr">
        <is>
          <t>KRW</t>
        </is>
      </c>
      <c r="Q1123" s="24" t="inlineStr">
        <is>
          <t>15</t>
        </is>
      </c>
    </row>
    <row r="1124" ht="24" customHeight="1">
      <c r="A1124" s="29" t="inlineStr">
        <is>
          <t>OpenDART_fnlttSinglAcntAll</t>
        </is>
      </c>
      <c r="B1124" s="29" t="inlineStr">
        <is>
          <t>00366942</t>
        </is>
      </c>
      <c r="C1124" s="29" t="inlineStr">
        <is>
          <t>미코</t>
        </is>
      </c>
      <c r="D1124" s="29" t="inlineStr">
        <is>
          <t>mico</t>
        </is>
      </c>
      <c r="E1124" s="29" t="inlineStr">
        <is>
          <t>059090</t>
        </is>
      </c>
      <c r="F1124" s="29" t="inlineStr">
        <is>
          <t>2025</t>
        </is>
      </c>
      <c r="G1124" s="29" t="inlineStr">
        <is>
          <t>CFS</t>
        </is>
      </c>
      <c r="H1124" s="29" t="inlineStr">
        <is>
          <t>SCE</t>
        </is>
      </c>
      <c r="I1124" s="29" t="inlineStr">
        <is>
          <t>자본변동표</t>
        </is>
      </c>
      <c r="J1124" s="29" t="inlineStr">
        <is>
          <t>ifrs-full_OtherComprehensiveIncomeNetOfTaxGainsLossesOnRemeasurementsOfDefinedBenefitPlans</t>
        </is>
      </c>
      <c r="K1124" s="29" t="inlineStr">
        <is>
          <t>확정급여제도의 재측정요소</t>
        </is>
      </c>
      <c r="L1124" s="29" t="inlineStr">
        <is>
          <t>자본 [구성요소]|지배기업의 소유주에게 귀속되는 지분 [구성요소]|자본금 [구성요소]</t>
        </is>
      </c>
      <c r="M1124" s="29" t="inlineStr">
        <is>
          <t>제 27 기</t>
        </is>
      </c>
      <c r="N1124" s="29" t="inlineStr">
        <is>
          <t>0.0</t>
        </is>
      </c>
      <c r="O1124" s="29" t="inlineStr">
        <is>
          <t>0.0</t>
        </is>
      </c>
      <c r="P1124" s="29" t="inlineStr">
        <is>
          <t>KRW</t>
        </is>
      </c>
      <c r="Q1124" s="29" t="inlineStr">
        <is>
          <t>15</t>
        </is>
      </c>
    </row>
    <row r="1125" ht="24" customHeight="1">
      <c r="A1125" s="24" t="inlineStr">
        <is>
          <t>OpenDART_fnlttSinglAcntAll</t>
        </is>
      </c>
      <c r="B1125" s="24" t="inlineStr">
        <is>
          <t>00366942</t>
        </is>
      </c>
      <c r="C1125" s="24" t="inlineStr">
        <is>
          <t>미코</t>
        </is>
      </c>
      <c r="D1125" s="24" t="inlineStr">
        <is>
          <t>mico</t>
        </is>
      </c>
      <c r="E1125" s="24" t="inlineStr">
        <is>
          <t>059090</t>
        </is>
      </c>
      <c r="F1125" s="24" t="inlineStr">
        <is>
          <t>2025</t>
        </is>
      </c>
      <c r="G1125" s="24" t="inlineStr">
        <is>
          <t>CFS</t>
        </is>
      </c>
      <c r="H1125" s="24" t="inlineStr">
        <is>
          <t>SCE</t>
        </is>
      </c>
      <c r="I1125" s="24" t="inlineStr">
        <is>
          <t>자본변동표</t>
        </is>
      </c>
      <c r="J1125" s="24" t="inlineStr">
        <is>
          <t>ifrs-full_OtherComprehensiveIncomeNetOfTaxGainsLossesOnRemeasurementsOfDefinedBenefitPlans</t>
        </is>
      </c>
      <c r="K1125" s="24" t="inlineStr">
        <is>
          <t>확정급여제도의 재측정요소</t>
        </is>
      </c>
      <c r="L1125" s="24" t="inlineStr">
        <is>
          <t>자본 [구성요소]|지배기업의 소유주에게 귀속되는 지분 [구성요소]|자본잉여금 [구성요소]</t>
        </is>
      </c>
      <c r="M1125" s="24" t="inlineStr">
        <is>
          <t>제 27 기</t>
        </is>
      </c>
      <c r="N1125" s="24" t="inlineStr">
        <is>
          <t>0.0</t>
        </is>
      </c>
      <c r="O1125" s="24" t="inlineStr">
        <is>
          <t>0.0</t>
        </is>
      </c>
      <c r="P1125" s="24" t="inlineStr">
        <is>
          <t>KRW</t>
        </is>
      </c>
      <c r="Q1125" s="24" t="inlineStr">
        <is>
          <t>15</t>
        </is>
      </c>
    </row>
    <row r="1126" ht="24" customHeight="1">
      <c r="A1126" s="29" t="inlineStr">
        <is>
          <t>OpenDART_fnlttSinglAcntAll</t>
        </is>
      </c>
      <c r="B1126" s="29" t="inlineStr">
        <is>
          <t>00366942</t>
        </is>
      </c>
      <c r="C1126" s="29" t="inlineStr">
        <is>
          <t>미코</t>
        </is>
      </c>
      <c r="D1126" s="29" t="inlineStr">
        <is>
          <t>mico</t>
        </is>
      </c>
      <c r="E1126" s="29" t="inlineStr">
        <is>
          <t>059090</t>
        </is>
      </c>
      <c r="F1126" s="29" t="inlineStr">
        <is>
          <t>2025</t>
        </is>
      </c>
      <c r="G1126" s="29" t="inlineStr">
        <is>
          <t>CFS</t>
        </is>
      </c>
      <c r="H1126" s="29" t="inlineStr">
        <is>
          <t>SCE</t>
        </is>
      </c>
      <c r="I1126" s="29" t="inlineStr">
        <is>
          <t>자본변동표</t>
        </is>
      </c>
      <c r="J1126" s="29" t="inlineStr">
        <is>
          <t>ifrs-full_ProfitLoss</t>
        </is>
      </c>
      <c r="K1126" s="29" t="inlineStr">
        <is>
          <t>당기순이익</t>
        </is>
      </c>
      <c r="L1126" s="29" t="inlineStr">
        <is>
          <t>자본 [구성요소]|지배기업의 소유주에게 귀속되는 지분 [구성요소]</t>
        </is>
      </c>
      <c r="M1126" s="29" t="inlineStr">
        <is>
          <t>제 27 기</t>
        </is>
      </c>
      <c r="N1126" s="29" t="inlineStr">
        <is>
          <t>29498136441.0</t>
        </is>
      </c>
      <c r="O1126" s="29" t="inlineStr">
        <is>
          <t>18115776142.0</t>
        </is>
      </c>
      <c r="P1126" s="29" t="inlineStr">
        <is>
          <t>KRW</t>
        </is>
      </c>
      <c r="Q1126" s="29" t="inlineStr">
        <is>
          <t>16</t>
        </is>
      </c>
    </row>
    <row r="1127" ht="24" customHeight="1">
      <c r="A1127" s="24" t="inlineStr">
        <is>
          <t>OpenDART_fnlttSinglAcntAll</t>
        </is>
      </c>
      <c r="B1127" s="24" t="inlineStr">
        <is>
          <t>00366942</t>
        </is>
      </c>
      <c r="C1127" s="24" t="inlineStr">
        <is>
          <t>미코</t>
        </is>
      </c>
      <c r="D1127" s="24" t="inlineStr">
        <is>
          <t>mico</t>
        </is>
      </c>
      <c r="E1127" s="24" t="inlineStr">
        <is>
          <t>059090</t>
        </is>
      </c>
      <c r="F1127" s="24" t="inlineStr">
        <is>
          <t>2025</t>
        </is>
      </c>
      <c r="G1127" s="24" t="inlineStr">
        <is>
          <t>CFS</t>
        </is>
      </c>
      <c r="H1127" s="24" t="inlineStr">
        <is>
          <t>SCE</t>
        </is>
      </c>
      <c r="I1127" s="24" t="inlineStr">
        <is>
          <t>자본변동표</t>
        </is>
      </c>
      <c r="J1127" s="24" t="inlineStr">
        <is>
          <t>ifrs-full_ProfitLoss</t>
        </is>
      </c>
      <c r="K1127" s="24" t="inlineStr">
        <is>
          <t>당기순이익</t>
        </is>
      </c>
      <c r="L1127" s="24" t="inlineStr">
        <is>
          <t>자본 [구성요소]|비지배지분 [구성요소]</t>
        </is>
      </c>
      <c r="M1127" s="24" t="inlineStr">
        <is>
          <t>제 27 기</t>
        </is>
      </c>
      <c r="N1127" s="24" t="inlineStr">
        <is>
          <t>45451129931.0</t>
        </is>
      </c>
      <c r="O1127" s="24" t="inlineStr">
        <is>
          <t>58398504644.0</t>
        </is>
      </c>
      <c r="P1127" s="24" t="inlineStr">
        <is>
          <t>KRW</t>
        </is>
      </c>
      <c r="Q1127" s="24" t="inlineStr">
        <is>
          <t>16</t>
        </is>
      </c>
    </row>
    <row r="1128" ht="24" customHeight="1">
      <c r="A1128" s="29" t="inlineStr">
        <is>
          <t>OpenDART_fnlttSinglAcntAll</t>
        </is>
      </c>
      <c r="B1128" s="29" t="inlineStr">
        <is>
          <t>00366942</t>
        </is>
      </c>
      <c r="C1128" s="29" t="inlineStr">
        <is>
          <t>미코</t>
        </is>
      </c>
      <c r="D1128" s="29" t="inlineStr">
        <is>
          <t>mico</t>
        </is>
      </c>
      <c r="E1128" s="29" t="inlineStr">
        <is>
          <t>059090</t>
        </is>
      </c>
      <c r="F1128" s="29" t="inlineStr">
        <is>
          <t>2025</t>
        </is>
      </c>
      <c r="G1128" s="29" t="inlineStr">
        <is>
          <t>CFS</t>
        </is>
      </c>
      <c r="H1128" s="29" t="inlineStr">
        <is>
          <t>SCE</t>
        </is>
      </c>
      <c r="I1128" s="29" t="inlineStr">
        <is>
          <t>자본변동표</t>
        </is>
      </c>
      <c r="J1128" s="29" t="inlineStr">
        <is>
          <t>ifrs-full_ProfitLoss</t>
        </is>
      </c>
      <c r="K1128" s="29" t="inlineStr">
        <is>
          <t>당기순이익</t>
        </is>
      </c>
      <c r="L1128" s="29" t="inlineStr">
        <is>
          <t>연결재무제표 [member]</t>
        </is>
      </c>
      <c r="M1128" s="29" t="inlineStr">
        <is>
          <t>제 27 기</t>
        </is>
      </c>
      <c r="N1128" s="29" t="inlineStr">
        <is>
          <t>74949266372.0</t>
        </is>
      </c>
      <c r="O1128" s="29" t="inlineStr">
        <is>
          <t>76514280786.0</t>
        </is>
      </c>
      <c r="P1128" s="29" t="inlineStr">
        <is>
          <t>KRW</t>
        </is>
      </c>
      <c r="Q1128" s="29" t="inlineStr">
        <is>
          <t>16</t>
        </is>
      </c>
    </row>
    <row r="1129" ht="24" customHeight="1">
      <c r="A1129" s="24" t="inlineStr">
        <is>
          <t>OpenDART_fnlttSinglAcntAll</t>
        </is>
      </c>
      <c r="B1129" s="24" t="inlineStr">
        <is>
          <t>00366942</t>
        </is>
      </c>
      <c r="C1129" s="24" t="inlineStr">
        <is>
          <t>미코</t>
        </is>
      </c>
      <c r="D1129" s="24" t="inlineStr">
        <is>
          <t>mico</t>
        </is>
      </c>
      <c r="E1129" s="24" t="inlineStr">
        <is>
          <t>059090</t>
        </is>
      </c>
      <c r="F1129" s="24" t="inlineStr">
        <is>
          <t>2025</t>
        </is>
      </c>
      <c r="G1129" s="24" t="inlineStr">
        <is>
          <t>CFS</t>
        </is>
      </c>
      <c r="H1129" s="24" t="inlineStr">
        <is>
          <t>SCE</t>
        </is>
      </c>
      <c r="I1129" s="24" t="inlineStr">
        <is>
          <t>자본변동표</t>
        </is>
      </c>
      <c r="J1129" s="24" t="inlineStr">
        <is>
          <t>ifrs-full_ProfitLoss</t>
        </is>
      </c>
      <c r="K1129" s="24" t="inlineStr">
        <is>
          <t>당기순이익</t>
        </is>
      </c>
      <c r="L1129" s="24" t="inlineStr">
        <is>
          <t>자본 [구성요소]|지배기업의 소유주에게 귀속되는 지분 [구성요소]|기타자본구성요소 [구성요소]</t>
        </is>
      </c>
      <c r="M1129" s="24" t="inlineStr">
        <is>
          <t>제 27 기</t>
        </is>
      </c>
      <c r="N1129" s="24" t="inlineStr">
        <is>
          <t>0.0</t>
        </is>
      </c>
      <c r="O1129" s="24" t="inlineStr">
        <is>
          <t>0.0</t>
        </is>
      </c>
      <c r="P1129" s="24" t="inlineStr">
        <is>
          <t>KRW</t>
        </is>
      </c>
      <c r="Q1129" s="24" t="inlineStr">
        <is>
          <t>16</t>
        </is>
      </c>
    </row>
    <row r="1130" ht="24" customHeight="1">
      <c r="A1130" s="29" t="inlineStr">
        <is>
          <t>OpenDART_fnlttSinglAcntAll</t>
        </is>
      </c>
      <c r="B1130" s="29" t="inlineStr">
        <is>
          <t>00366942</t>
        </is>
      </c>
      <c r="C1130" s="29" t="inlineStr">
        <is>
          <t>미코</t>
        </is>
      </c>
      <c r="D1130" s="29" t="inlineStr">
        <is>
          <t>mico</t>
        </is>
      </c>
      <c r="E1130" s="29" t="inlineStr">
        <is>
          <t>059090</t>
        </is>
      </c>
      <c r="F1130" s="29" t="inlineStr">
        <is>
          <t>2025</t>
        </is>
      </c>
      <c r="G1130" s="29" t="inlineStr">
        <is>
          <t>CFS</t>
        </is>
      </c>
      <c r="H1130" s="29" t="inlineStr">
        <is>
          <t>SCE</t>
        </is>
      </c>
      <c r="I1130" s="29" t="inlineStr">
        <is>
          <t>자본변동표</t>
        </is>
      </c>
      <c r="J1130" s="29" t="inlineStr">
        <is>
          <t>ifrs-full_ProfitLoss</t>
        </is>
      </c>
      <c r="K1130" s="29" t="inlineStr">
        <is>
          <t>당기순이익</t>
        </is>
      </c>
      <c r="L1130" s="29" t="inlineStr">
        <is>
          <t>자본 [구성요소]|지배기업의 소유주에게 귀속되는 지분 [구성요소]|자본잉여금 [구성요소]</t>
        </is>
      </c>
      <c r="M1130" s="29" t="inlineStr">
        <is>
          <t>제 27 기</t>
        </is>
      </c>
      <c r="N1130" s="29" t="inlineStr">
        <is>
          <t>0.0</t>
        </is>
      </c>
      <c r="O1130" s="29" t="inlineStr">
        <is>
          <t>0.0</t>
        </is>
      </c>
      <c r="P1130" s="29" t="inlineStr">
        <is>
          <t>KRW</t>
        </is>
      </c>
      <c r="Q1130" s="29" t="inlineStr">
        <is>
          <t>16</t>
        </is>
      </c>
    </row>
    <row r="1131" ht="24" customHeight="1">
      <c r="A1131" s="24" t="inlineStr">
        <is>
          <t>OpenDART_fnlttSinglAcntAll</t>
        </is>
      </c>
      <c r="B1131" s="24" t="inlineStr">
        <is>
          <t>00366942</t>
        </is>
      </c>
      <c r="C1131" s="24" t="inlineStr">
        <is>
          <t>미코</t>
        </is>
      </c>
      <c r="D1131" s="24" t="inlineStr">
        <is>
          <t>mico</t>
        </is>
      </c>
      <c r="E1131" s="24" t="inlineStr">
        <is>
          <t>059090</t>
        </is>
      </c>
      <c r="F1131" s="24" t="inlineStr">
        <is>
          <t>2025</t>
        </is>
      </c>
      <c r="G1131" s="24" t="inlineStr">
        <is>
          <t>CFS</t>
        </is>
      </c>
      <c r="H1131" s="24" t="inlineStr">
        <is>
          <t>SCE</t>
        </is>
      </c>
      <c r="I1131" s="24" t="inlineStr">
        <is>
          <t>자본변동표</t>
        </is>
      </c>
      <c r="J1131" s="24" t="inlineStr">
        <is>
          <t>ifrs-full_ProfitLoss</t>
        </is>
      </c>
      <c r="K1131" s="24" t="inlineStr">
        <is>
          <t>당기순이익</t>
        </is>
      </c>
      <c r="L1131" s="24" t="inlineStr">
        <is>
          <t>자본 [구성요소]|지배기업의 소유주에게 귀속되는 지분 [구성요소]|자본금 [구성요소]</t>
        </is>
      </c>
      <c r="M1131" s="24" t="inlineStr">
        <is>
          <t>제 27 기</t>
        </is>
      </c>
      <c r="N1131" s="24" t="inlineStr">
        <is>
          <t>0.0</t>
        </is>
      </c>
      <c r="O1131" s="24" t="inlineStr">
        <is>
          <t>0.0</t>
        </is>
      </c>
      <c r="P1131" s="24" t="inlineStr">
        <is>
          <t>KRW</t>
        </is>
      </c>
      <c r="Q1131" s="24" t="inlineStr">
        <is>
          <t>16</t>
        </is>
      </c>
    </row>
    <row r="1132" ht="24" customHeight="1">
      <c r="A1132" s="29" t="inlineStr">
        <is>
          <t>OpenDART_fnlttSinglAcntAll</t>
        </is>
      </c>
      <c r="B1132" s="29" t="inlineStr">
        <is>
          <t>00366942</t>
        </is>
      </c>
      <c r="C1132" s="29" t="inlineStr">
        <is>
          <t>미코</t>
        </is>
      </c>
      <c r="D1132" s="29" t="inlineStr">
        <is>
          <t>mico</t>
        </is>
      </c>
      <c r="E1132" s="29" t="inlineStr">
        <is>
          <t>059090</t>
        </is>
      </c>
      <c r="F1132" s="29" t="inlineStr">
        <is>
          <t>2025</t>
        </is>
      </c>
      <c r="G1132" s="29" t="inlineStr">
        <is>
          <t>CFS</t>
        </is>
      </c>
      <c r="H1132" s="29" t="inlineStr">
        <is>
          <t>SCE</t>
        </is>
      </c>
      <c r="I1132" s="29" t="inlineStr">
        <is>
          <t>자본변동표</t>
        </is>
      </c>
      <c r="J1132" s="29" t="inlineStr">
        <is>
          <t>ifrs-full_ProfitLoss</t>
        </is>
      </c>
      <c r="K1132" s="29" t="inlineStr">
        <is>
          <t>당기순이익</t>
        </is>
      </c>
      <c r="L1132" s="29" t="inlineStr">
        <is>
          <t>자본 [구성요소]|지배기업의 소유주에게 귀속되는 지분 [구성요소]|이익잉여금 [구성요소]</t>
        </is>
      </c>
      <c r="M1132" s="29" t="inlineStr">
        <is>
          <t>제 27 기</t>
        </is>
      </c>
      <c r="N1132" s="29" t="inlineStr">
        <is>
          <t>29498136441.0</t>
        </is>
      </c>
      <c r="O1132" s="29" t="inlineStr">
        <is>
          <t>18115776142.0</t>
        </is>
      </c>
      <c r="P1132" s="29" t="inlineStr">
        <is>
          <t>KRW</t>
        </is>
      </c>
      <c r="Q1132" s="29" t="inlineStr">
        <is>
          <t>16</t>
        </is>
      </c>
    </row>
    <row r="1133" ht="24" customHeight="1">
      <c r="A1133" s="24" t="inlineStr">
        <is>
          <t>OpenDART_fnlttSinglAcntAll</t>
        </is>
      </c>
      <c r="B1133" s="24" t="inlineStr">
        <is>
          <t>00366942</t>
        </is>
      </c>
      <c r="C1133" s="24" t="inlineStr">
        <is>
          <t>미코</t>
        </is>
      </c>
      <c r="D1133" s="24" t="inlineStr">
        <is>
          <t>mico</t>
        </is>
      </c>
      <c r="E1133" s="24" t="inlineStr">
        <is>
          <t>059090</t>
        </is>
      </c>
      <c r="F1133" s="24" t="inlineStr">
        <is>
          <t>2025</t>
        </is>
      </c>
      <c r="G1133" s="24" t="inlineStr">
        <is>
          <t>CFS</t>
        </is>
      </c>
      <c r="H1133" s="24" t="inlineStr">
        <is>
          <t>SCE</t>
        </is>
      </c>
      <c r="I1133" s="24" t="inlineStr">
        <is>
          <t>자본변동표</t>
        </is>
      </c>
      <c r="J1133" s="24" t="inlineStr">
        <is>
          <t>ifrs-full_ProfitLoss</t>
        </is>
      </c>
      <c r="K1133" s="24" t="inlineStr">
        <is>
          <t>당기순이익</t>
        </is>
      </c>
      <c r="L1133" s="24" t="inlineStr">
        <is>
          <t>자본 [구성요소]|지배기업의 소유주에게 귀속되는 지분 [구성요소]|기타포괄손익누계액 [구성요소]</t>
        </is>
      </c>
      <c r="M1133" s="24" t="inlineStr">
        <is>
          <t>제 27 기</t>
        </is>
      </c>
      <c r="N1133" s="24" t="inlineStr">
        <is>
          <t>0.0</t>
        </is>
      </c>
      <c r="O1133" s="24" t="inlineStr">
        <is>
          <t>0.0</t>
        </is>
      </c>
      <c r="P1133" s="24" t="inlineStr">
        <is>
          <t>KRW</t>
        </is>
      </c>
      <c r="Q1133" s="24" t="inlineStr">
        <is>
          <t>16</t>
        </is>
      </c>
    </row>
    <row r="1134" ht="24" customHeight="1">
      <c r="A1134" s="29" t="inlineStr">
        <is>
          <t>OpenDART_fnlttSinglAcntAll</t>
        </is>
      </c>
      <c r="B1134" s="29" t="inlineStr">
        <is>
          <t>00366942</t>
        </is>
      </c>
      <c r="C1134" s="29" t="inlineStr">
        <is>
          <t>미코</t>
        </is>
      </c>
      <c r="D1134" s="29" t="inlineStr">
        <is>
          <t>mico</t>
        </is>
      </c>
      <c r="E1134" s="29" t="inlineStr">
        <is>
          <t>059090</t>
        </is>
      </c>
      <c r="F1134" s="29" t="inlineStr">
        <is>
          <t>2025</t>
        </is>
      </c>
      <c r="G1134" s="29" t="inlineStr">
        <is>
          <t>CFS</t>
        </is>
      </c>
      <c r="H1134" s="29" t="inlineStr">
        <is>
          <t>SCE</t>
        </is>
      </c>
      <c r="I1134" s="29" t="inlineStr">
        <is>
          <t>자본변동표</t>
        </is>
      </c>
      <c r="J1134" s="29" t="inlineStr">
        <is>
          <t>ifrs-full_ShareOfOtherComprehensiveIncomeOfAssociatesAndJointVenturesAccountedForUsingEquityMethod</t>
        </is>
      </c>
      <c r="K1134" s="29" t="inlineStr">
        <is>
          <t>지분법자본변동</t>
        </is>
      </c>
      <c r="L1134" s="29" t="inlineStr">
        <is>
          <t>연결재무제표 [member]</t>
        </is>
      </c>
      <c r="M1134" s="29" t="inlineStr">
        <is>
          <t>제 27 기</t>
        </is>
      </c>
      <c r="N1134" s="29" t="inlineStr">
        <is>
          <t>762589098.0</t>
        </is>
      </c>
      <c r="O1134" s="29" t="inlineStr">
        <is>
          <t>-2795546982.0</t>
        </is>
      </c>
      <c r="P1134" s="29" t="inlineStr">
        <is>
          <t>KRW</t>
        </is>
      </c>
      <c r="Q1134" s="29" t="inlineStr">
        <is>
          <t>17</t>
        </is>
      </c>
    </row>
    <row r="1135" ht="24" customHeight="1">
      <c r="A1135" s="24" t="inlineStr">
        <is>
          <t>OpenDART_fnlttSinglAcntAll</t>
        </is>
      </c>
      <c r="B1135" s="24" t="inlineStr">
        <is>
          <t>00366942</t>
        </is>
      </c>
      <c r="C1135" s="24" t="inlineStr">
        <is>
          <t>미코</t>
        </is>
      </c>
      <c r="D1135" s="24" t="inlineStr">
        <is>
          <t>mico</t>
        </is>
      </c>
      <c r="E1135" s="24" t="inlineStr">
        <is>
          <t>059090</t>
        </is>
      </c>
      <c r="F1135" s="24" t="inlineStr">
        <is>
          <t>2025</t>
        </is>
      </c>
      <c r="G1135" s="24" t="inlineStr">
        <is>
          <t>CFS</t>
        </is>
      </c>
      <c r="H1135" s="24" t="inlineStr">
        <is>
          <t>SCE</t>
        </is>
      </c>
      <c r="I1135" s="24" t="inlineStr">
        <is>
          <t>자본변동표</t>
        </is>
      </c>
      <c r="J1135" s="24" t="inlineStr">
        <is>
          <t>ifrs-full_ShareOfOtherComprehensiveIncomeOfAssociatesAndJointVenturesAccountedForUsingEquityMethod</t>
        </is>
      </c>
      <c r="K1135" s="24" t="inlineStr">
        <is>
          <t>지분법자본변동</t>
        </is>
      </c>
      <c r="L1135" s="24" t="inlineStr">
        <is>
          <t>자본 [구성요소]|비지배지분 [구성요소]</t>
        </is>
      </c>
      <c r="M1135" s="24" t="inlineStr">
        <is>
          <t>제 27 기</t>
        </is>
      </c>
      <c r="N1135" s="24" t="inlineStr">
        <is>
          <t>422010463.0</t>
        </is>
      </c>
      <c r="O1135" s="24" t="inlineStr">
        <is>
          <t>184220605.0</t>
        </is>
      </c>
      <c r="P1135" s="24" t="inlineStr">
        <is>
          <t>KRW</t>
        </is>
      </c>
      <c r="Q1135" s="24" t="inlineStr">
        <is>
          <t>17</t>
        </is>
      </c>
    </row>
    <row r="1136" ht="24" customHeight="1">
      <c r="A1136" s="29" t="inlineStr">
        <is>
          <t>OpenDART_fnlttSinglAcntAll</t>
        </is>
      </c>
      <c r="B1136" s="29" t="inlineStr">
        <is>
          <t>00366942</t>
        </is>
      </c>
      <c r="C1136" s="29" t="inlineStr">
        <is>
          <t>미코</t>
        </is>
      </c>
      <c r="D1136" s="29" t="inlineStr">
        <is>
          <t>mico</t>
        </is>
      </c>
      <c r="E1136" s="29" t="inlineStr">
        <is>
          <t>059090</t>
        </is>
      </c>
      <c r="F1136" s="29" t="inlineStr">
        <is>
          <t>2025</t>
        </is>
      </c>
      <c r="G1136" s="29" t="inlineStr">
        <is>
          <t>CFS</t>
        </is>
      </c>
      <c r="H1136" s="29" t="inlineStr">
        <is>
          <t>SCE</t>
        </is>
      </c>
      <c r="I1136" s="29" t="inlineStr">
        <is>
          <t>자본변동표</t>
        </is>
      </c>
      <c r="J1136" s="29" t="inlineStr">
        <is>
          <t>ifrs-full_ShareOfOtherComprehensiveIncomeOfAssociatesAndJointVenturesAccountedForUsingEquityMethod</t>
        </is>
      </c>
      <c r="K1136" s="29" t="inlineStr">
        <is>
          <t>지분법자본변동</t>
        </is>
      </c>
      <c r="L1136" s="29" t="inlineStr">
        <is>
          <t>자본 [구성요소]|지배기업의 소유주에게 귀속되는 지분 [구성요소]</t>
        </is>
      </c>
      <c r="M1136" s="29" t="inlineStr">
        <is>
          <t>제 27 기</t>
        </is>
      </c>
      <c r="N1136" s="29" t="inlineStr">
        <is>
          <t>340578635.0</t>
        </is>
      </c>
      <c r="O1136" s="29" t="inlineStr">
        <is>
          <t>-2979767587.0</t>
        </is>
      </c>
      <c r="P1136" s="29" t="inlineStr">
        <is>
          <t>KRW</t>
        </is>
      </c>
      <c r="Q1136" s="29" t="inlineStr">
        <is>
          <t>17</t>
        </is>
      </c>
    </row>
    <row r="1137" ht="24" customHeight="1">
      <c r="A1137" s="24" t="inlineStr">
        <is>
          <t>OpenDART_fnlttSinglAcntAll</t>
        </is>
      </c>
      <c r="B1137" s="24" t="inlineStr">
        <is>
          <t>00366942</t>
        </is>
      </c>
      <c r="C1137" s="24" t="inlineStr">
        <is>
          <t>미코</t>
        </is>
      </c>
      <c r="D1137" s="24" t="inlineStr">
        <is>
          <t>mico</t>
        </is>
      </c>
      <c r="E1137" s="24" t="inlineStr">
        <is>
          <t>059090</t>
        </is>
      </c>
      <c r="F1137" s="24" t="inlineStr">
        <is>
          <t>2025</t>
        </is>
      </c>
      <c r="G1137" s="24" t="inlineStr">
        <is>
          <t>CFS</t>
        </is>
      </c>
      <c r="H1137" s="24" t="inlineStr">
        <is>
          <t>SCE</t>
        </is>
      </c>
      <c r="I1137" s="24" t="inlineStr">
        <is>
          <t>자본변동표</t>
        </is>
      </c>
      <c r="J1137" s="24" t="inlineStr">
        <is>
          <t>ifrs-full_ShareOfOtherComprehensiveIncomeOfAssociatesAndJointVenturesAccountedForUsingEquityMethod</t>
        </is>
      </c>
      <c r="K1137" s="24" t="inlineStr">
        <is>
          <t>지분법자본변동</t>
        </is>
      </c>
      <c r="L1137" s="24" t="inlineStr">
        <is>
          <t>자본 [구성요소]|지배기업의 소유주에게 귀속되는 지분 [구성요소]|기타자본구성요소 [구성요소]</t>
        </is>
      </c>
      <c r="M1137" s="24" t="inlineStr">
        <is>
          <t>제 27 기</t>
        </is>
      </c>
      <c r="N1137" s="24" t="inlineStr">
        <is>
          <t>0.0</t>
        </is>
      </c>
      <c r="O1137" s="24" t="inlineStr">
        <is>
          <t>0.0</t>
        </is>
      </c>
      <c r="P1137" s="24" t="inlineStr">
        <is>
          <t>KRW</t>
        </is>
      </c>
      <c r="Q1137" s="24" t="inlineStr">
        <is>
          <t>17</t>
        </is>
      </c>
    </row>
    <row r="1138" ht="24" customHeight="1">
      <c r="A1138" s="29" t="inlineStr">
        <is>
          <t>OpenDART_fnlttSinglAcntAll</t>
        </is>
      </c>
      <c r="B1138" s="29" t="inlineStr">
        <is>
          <t>00366942</t>
        </is>
      </c>
      <c r="C1138" s="29" t="inlineStr">
        <is>
          <t>미코</t>
        </is>
      </c>
      <c r="D1138" s="29" t="inlineStr">
        <is>
          <t>mico</t>
        </is>
      </c>
      <c r="E1138" s="29" t="inlineStr">
        <is>
          <t>059090</t>
        </is>
      </c>
      <c r="F1138" s="29" t="inlineStr">
        <is>
          <t>2025</t>
        </is>
      </c>
      <c r="G1138" s="29" t="inlineStr">
        <is>
          <t>CFS</t>
        </is>
      </c>
      <c r="H1138" s="29" t="inlineStr">
        <is>
          <t>SCE</t>
        </is>
      </c>
      <c r="I1138" s="29" t="inlineStr">
        <is>
          <t>자본변동표</t>
        </is>
      </c>
      <c r="J1138" s="29" t="inlineStr">
        <is>
          <t>ifrs-full_ShareOfOtherComprehensiveIncomeOfAssociatesAndJointVenturesAccountedForUsingEquityMethod</t>
        </is>
      </c>
      <c r="K1138" s="29" t="inlineStr">
        <is>
          <t>지분법자본변동</t>
        </is>
      </c>
      <c r="L1138" s="29" t="inlineStr">
        <is>
          <t>자본 [구성요소]|지배기업의 소유주에게 귀속되는 지분 [구성요소]|기타포괄손익누계액 [구성요소]</t>
        </is>
      </c>
      <c r="M1138" s="29" t="inlineStr">
        <is>
          <t>제 27 기</t>
        </is>
      </c>
      <c r="N1138" s="29" t="inlineStr">
        <is>
          <t>340578635.0</t>
        </is>
      </c>
      <c r="O1138" s="29" t="inlineStr">
        <is>
          <t>-2979767587.0</t>
        </is>
      </c>
      <c r="P1138" s="29" t="inlineStr">
        <is>
          <t>KRW</t>
        </is>
      </c>
      <c r="Q1138" s="29" t="inlineStr">
        <is>
          <t>17</t>
        </is>
      </c>
    </row>
    <row r="1139" ht="24" customHeight="1">
      <c r="A1139" s="24" t="inlineStr">
        <is>
          <t>OpenDART_fnlttSinglAcntAll</t>
        </is>
      </c>
      <c r="B1139" s="24" t="inlineStr">
        <is>
          <t>00366942</t>
        </is>
      </c>
      <c r="C1139" s="24" t="inlineStr">
        <is>
          <t>미코</t>
        </is>
      </c>
      <c r="D1139" s="24" t="inlineStr">
        <is>
          <t>mico</t>
        </is>
      </c>
      <c r="E1139" s="24" t="inlineStr">
        <is>
          <t>059090</t>
        </is>
      </c>
      <c r="F1139" s="24" t="inlineStr">
        <is>
          <t>2025</t>
        </is>
      </c>
      <c r="G1139" s="24" t="inlineStr">
        <is>
          <t>CFS</t>
        </is>
      </c>
      <c r="H1139" s="24" t="inlineStr">
        <is>
          <t>SCE</t>
        </is>
      </c>
      <c r="I1139" s="24" t="inlineStr">
        <is>
          <t>자본변동표</t>
        </is>
      </c>
      <c r="J1139" s="24" t="inlineStr">
        <is>
          <t>ifrs-full_ShareOfOtherComprehensiveIncomeOfAssociatesAndJointVenturesAccountedForUsingEquityMethod</t>
        </is>
      </c>
      <c r="K1139" s="24" t="inlineStr">
        <is>
          <t>지분법자본변동</t>
        </is>
      </c>
      <c r="L1139" s="24" t="inlineStr">
        <is>
          <t>자본 [구성요소]|지배기업의 소유주에게 귀속되는 지분 [구성요소]|이익잉여금 [구성요소]</t>
        </is>
      </c>
      <c r="M1139" s="24" t="inlineStr">
        <is>
          <t>제 27 기</t>
        </is>
      </c>
      <c r="N1139" s="24" t="inlineStr">
        <is>
          <t>0.0</t>
        </is>
      </c>
      <c r="O1139" s="24" t="inlineStr">
        <is>
          <t>0.0</t>
        </is>
      </c>
      <c r="P1139" s="24" t="inlineStr">
        <is>
          <t>KRW</t>
        </is>
      </c>
      <c r="Q1139" s="24" t="inlineStr">
        <is>
          <t>17</t>
        </is>
      </c>
    </row>
    <row r="1140" ht="24" customHeight="1">
      <c r="A1140" s="29" t="inlineStr">
        <is>
          <t>OpenDART_fnlttSinglAcntAll</t>
        </is>
      </c>
      <c r="B1140" s="29" t="inlineStr">
        <is>
          <t>00366942</t>
        </is>
      </c>
      <c r="C1140" s="29" t="inlineStr">
        <is>
          <t>미코</t>
        </is>
      </c>
      <c r="D1140" s="29" t="inlineStr">
        <is>
          <t>mico</t>
        </is>
      </c>
      <c r="E1140" s="29" t="inlineStr">
        <is>
          <t>059090</t>
        </is>
      </c>
      <c r="F1140" s="29" t="inlineStr">
        <is>
          <t>2025</t>
        </is>
      </c>
      <c r="G1140" s="29" t="inlineStr">
        <is>
          <t>CFS</t>
        </is>
      </c>
      <c r="H1140" s="29" t="inlineStr">
        <is>
          <t>SCE</t>
        </is>
      </c>
      <c r="I1140" s="29" t="inlineStr">
        <is>
          <t>자본변동표</t>
        </is>
      </c>
      <c r="J1140" s="29" t="inlineStr">
        <is>
          <t>ifrs-full_ShareOfOtherComprehensiveIncomeOfAssociatesAndJointVenturesAccountedForUsingEquityMethod</t>
        </is>
      </c>
      <c r="K1140" s="29" t="inlineStr">
        <is>
          <t>지분법자본변동</t>
        </is>
      </c>
      <c r="L1140" s="29" t="inlineStr">
        <is>
          <t>자본 [구성요소]|지배기업의 소유주에게 귀속되는 지분 [구성요소]|자본금 [구성요소]</t>
        </is>
      </c>
      <c r="M1140" s="29" t="inlineStr">
        <is>
          <t>제 27 기</t>
        </is>
      </c>
      <c r="N1140" s="29" t="inlineStr">
        <is>
          <t>0.0</t>
        </is>
      </c>
      <c r="O1140" s="29" t="inlineStr">
        <is>
          <t>0.0</t>
        </is>
      </c>
      <c r="P1140" s="29" t="inlineStr">
        <is>
          <t>KRW</t>
        </is>
      </c>
      <c r="Q1140" s="29" t="inlineStr">
        <is>
          <t>17</t>
        </is>
      </c>
    </row>
    <row r="1141" ht="24" customHeight="1">
      <c r="A1141" s="24" t="inlineStr">
        <is>
          <t>OpenDART_fnlttSinglAcntAll</t>
        </is>
      </c>
      <c r="B1141" s="24" t="inlineStr">
        <is>
          <t>00366942</t>
        </is>
      </c>
      <c r="C1141" s="24" t="inlineStr">
        <is>
          <t>미코</t>
        </is>
      </c>
      <c r="D1141" s="24" t="inlineStr">
        <is>
          <t>mico</t>
        </is>
      </c>
      <c r="E1141" s="24" t="inlineStr">
        <is>
          <t>059090</t>
        </is>
      </c>
      <c r="F1141" s="24" t="inlineStr">
        <is>
          <t>2025</t>
        </is>
      </c>
      <c r="G1141" s="24" t="inlineStr">
        <is>
          <t>CFS</t>
        </is>
      </c>
      <c r="H1141" s="24" t="inlineStr">
        <is>
          <t>SCE</t>
        </is>
      </c>
      <c r="I1141" s="24" t="inlineStr">
        <is>
          <t>자본변동표</t>
        </is>
      </c>
      <c r="J1141" s="24" t="inlineStr">
        <is>
          <t>ifrs-full_ShareOfOtherComprehensiveIncomeOfAssociatesAndJointVenturesAccountedForUsingEquityMethod</t>
        </is>
      </c>
      <c r="K1141" s="24" t="inlineStr">
        <is>
          <t>지분법자본변동</t>
        </is>
      </c>
      <c r="L1141" s="24" t="inlineStr">
        <is>
          <t>자본 [구성요소]|지배기업의 소유주에게 귀속되는 지분 [구성요소]|자본잉여금 [구성요소]</t>
        </is>
      </c>
      <c r="M1141" s="24" t="inlineStr">
        <is>
          <t>제 27 기</t>
        </is>
      </c>
      <c r="N1141" s="24" t="inlineStr">
        <is>
          <t>0.0</t>
        </is>
      </c>
      <c r="O1141" s="24" t="inlineStr">
        <is>
          <t>0.0</t>
        </is>
      </c>
      <c r="P1141" s="24" t="inlineStr">
        <is>
          <t>KRW</t>
        </is>
      </c>
      <c r="Q1141" s="24" t="inlineStr">
        <is>
          <t>17</t>
        </is>
      </c>
    </row>
  </sheetData>
  <autoFilter ref="A2:Q1141"/>
  <mergeCells count="1">
    <mergeCell ref="A1:F1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E7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3" customWidth="1" min="31" max="31"/>
  </cols>
  <sheetData>
    <row r="1" ht="30" customHeight="1">
      <c r="A1" s="16" t="inlineStr">
        <is>
          <t>주가 데이터·기술적 지표</t>
        </is>
      </c>
    </row>
    <row r="2" ht="28" customHeight="1">
      <c r="A2" s="17" t="inlineStr">
        <is>
          <t>Valuation Agent 전용 주가 intake: 종가·이동평균·수익률·MDD·롤링 변동성</t>
        </is>
      </c>
    </row>
    <row r="3" ht="24" customHeight="1"/>
    <row r="4" ht="24" customHeight="1">
      <c r="A4" s="22" t="inlineStr">
        <is>
          <t>주가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데이터 행 수</t>
        </is>
      </c>
      <c r="B6" s="30" t="n">
        <v>1221</v>
      </c>
      <c r="C6" s="24" t="inlineStr">
        <is>
          <t>valuation_price_history.csv 기준</t>
        </is>
      </c>
    </row>
    <row r="7" ht="24" customHeight="1">
      <c r="A7" s="29" t="inlineStr">
        <is>
          <t>수집 시작일</t>
        </is>
      </c>
      <c r="B7" s="29" t="inlineStr">
        <is>
          <t>2021-05-20</t>
        </is>
      </c>
      <c r="C7" s="29" t="inlineStr">
        <is>
          <t>가격 데이터 시작</t>
        </is>
      </c>
    </row>
    <row r="8" ht="24" customHeight="1">
      <c r="A8" s="24" t="inlineStr">
        <is>
          <t>수집 종료일</t>
        </is>
      </c>
      <c r="B8" s="24" t="inlineStr">
        <is>
          <t>2026-05-20</t>
        </is>
      </c>
      <c r="C8" s="24" t="inlineStr">
        <is>
          <t>가격 데이터 종료</t>
        </is>
      </c>
    </row>
    <row r="9" ht="24" customHeight="1">
      <c r="A9" s="29" t="inlineStr">
        <is>
          <t>현재가</t>
        </is>
      </c>
      <c r="B9" s="31" t="n">
        <v>19230</v>
      </c>
      <c r="C9" s="29" t="inlineStr">
        <is>
          <t>최근 종가</t>
        </is>
      </c>
    </row>
    <row r="10" ht="24" customHeight="1">
      <c r="A10" s="24" t="inlineStr">
        <is>
          <t>1년 수익률</t>
        </is>
      </c>
      <c r="B10" s="30" t="n">
        <v>0.7108540925266904</v>
      </c>
      <c r="C10" s="24" t="inlineStr">
        <is>
          <t>최근 약 1년</t>
        </is>
      </c>
    </row>
    <row r="11" ht="24" customHeight="1">
      <c r="A11" s="29" t="inlineStr">
        <is>
          <t>연환산 변동성</t>
        </is>
      </c>
      <c r="B11" s="31" t="n">
        <v>0.6307297501610765</v>
      </c>
      <c r="C11" s="29" t="inlineStr">
        <is>
          <t>일수익률 × √252</t>
        </is>
      </c>
    </row>
    <row r="12" ht="24" customHeight="1">
      <c r="A12" s="24" t="inlineStr">
        <is>
          <t>MDD</t>
        </is>
      </c>
      <c r="B12" s="30" t="n">
        <v>-0.6273062730627306</v>
      </c>
      <c r="C12" s="24" t="inlineStr">
        <is>
          <t>기간 중 최대 낙폭</t>
        </is>
      </c>
    </row>
    <row r="13" ht="24" customHeight="1">
      <c r="A13" s="29" t="inlineStr">
        <is>
          <t>52주 고가</t>
        </is>
      </c>
      <c r="B13" s="31" t="n">
        <v>27900</v>
      </c>
      <c r="C13" s="29" t="inlineStr">
        <is>
          <t>최근 252거래일</t>
        </is>
      </c>
    </row>
    <row r="14" ht="24" customHeight="1">
      <c r="A14" s="24" t="inlineStr">
        <is>
          <t>52주 저가</t>
        </is>
      </c>
      <c r="B14" s="30" t="n">
        <v>10950</v>
      </c>
      <c r="C14" s="24" t="inlineStr">
        <is>
          <t>최근 252거래일</t>
        </is>
      </c>
    </row>
    <row r="15" ht="24" customHeight="1">
      <c r="A15" s="29" t="inlineStr">
        <is>
          <t>발행주식 수</t>
        </is>
      </c>
      <c r="B15" s="31" t="n">
        <v>33416778</v>
      </c>
      <c r="C15" s="29" t="inlineStr">
        <is>
          <t>DART stockTotqySttus</t>
        </is>
      </c>
    </row>
    <row r="16" ht="24" customHeight="1">
      <c r="A16" s="24" t="inlineStr">
        <is>
          <t>시가총액</t>
        </is>
      </c>
      <c r="B16" s="30" t="n">
        <v>642604640940</v>
      </c>
      <c r="C16" s="24" t="inlineStr">
        <is>
          <t>현재가 × 발행주식 수</t>
        </is>
      </c>
    </row>
    <row r="17" ht="24" customHeight="1">
      <c r="A17" s="22" t="inlineStr">
        <is>
          <t>최근 주가 원천 데이터</t>
        </is>
      </c>
      <c r="B17" s="32" t="n"/>
      <c r="C17" s="32" t="n"/>
      <c r="D17" s="32" t="n"/>
      <c r="E17" s="32" t="n"/>
      <c r="F17" s="33" t="n"/>
    </row>
    <row r="18" ht="24" customHeight="1">
      <c r="A18" s="25" t="inlineStr">
        <is>
          <t>일자</t>
        </is>
      </c>
      <c r="B18" s="34" t="inlineStr">
        <is>
          <t>시가</t>
        </is>
      </c>
      <c r="C18" s="25" t="inlineStr">
        <is>
          <t>고가</t>
        </is>
      </c>
      <c r="D18" s="25" t="inlineStr">
        <is>
          <t>저가</t>
        </is>
      </c>
      <c r="E18" s="25" t="inlineStr">
        <is>
          <t>종가</t>
        </is>
      </c>
      <c r="F18" s="25" t="inlineStr">
        <is>
          <t>수정종가</t>
        </is>
      </c>
      <c r="G18" s="25" t="inlineStr">
        <is>
          <t>거래량</t>
        </is>
      </c>
      <c r="H18" s="25" t="inlineStr">
        <is>
          <t>일수익률</t>
        </is>
      </c>
      <c r="I18" s="25" t="inlineStr">
        <is>
          <t>드로다운</t>
        </is>
      </c>
      <c r="J18" s="25" t="inlineStr">
        <is>
          <t>20일선</t>
        </is>
      </c>
      <c r="K18" s="25" t="inlineStr">
        <is>
          <t>60일선</t>
        </is>
      </c>
      <c r="L18" s="25" t="inlineStr">
        <is>
          <t>120일선</t>
        </is>
      </c>
      <c r="M18" s="25" t="inlineStr">
        <is>
          <t>20일 변동성</t>
        </is>
      </c>
      <c r="N18" s="25" t="inlineStr">
        <is>
          <t>60일 변동성</t>
        </is>
      </c>
      <c r="O18" s="25" t="inlineStr">
        <is>
          <t>20일 수익률</t>
        </is>
      </c>
      <c r="P18" s="25" t="inlineStr">
        <is>
          <t>60일 수익률</t>
        </is>
      </c>
      <c r="Q18" s="25" t="inlineStr">
        <is>
          <t>120일 수익률</t>
        </is>
      </c>
      <c r="R18" s="25" t="inlineStr">
        <is>
          <t>20일선 괴리</t>
        </is>
      </c>
      <c r="S18" s="25" t="inlineStr">
        <is>
          <t>60일선 괴리</t>
        </is>
      </c>
      <c r="T18" s="25" t="inlineStr">
        <is>
          <t>120일선 괴리</t>
        </is>
      </c>
      <c r="U18" s="25" t="inlineStr">
        <is>
          <t>52주 고가</t>
        </is>
      </c>
      <c r="V18" s="25" t="inlineStr">
        <is>
          <t>52주 저가</t>
        </is>
      </c>
      <c r="W18" s="25" t="inlineStr">
        <is>
          <t>52주 고가 대비</t>
        </is>
      </c>
      <c r="X18" s="25" t="inlineStr">
        <is>
          <t>52주 저가 대비</t>
        </is>
      </c>
      <c r="Y18" s="25" t="inlineStr">
        <is>
          <t>발행주식 수</t>
        </is>
      </c>
      <c r="Z18" s="25" t="inlineStr">
        <is>
          <t>시가총액</t>
        </is>
      </c>
      <c r="AA18" s="25" t="inlineStr">
        <is>
          <t>거래대금</t>
        </is>
      </c>
      <c r="AB18" s="25" t="inlineStr">
        <is>
          <t>20일 평균 거래대금</t>
        </is>
      </c>
      <c r="AC18" s="25" t="inlineStr">
        <is>
          <t>거래회전율</t>
        </is>
      </c>
      <c r="AD18" s="25" t="inlineStr">
        <is>
          <t>출처</t>
        </is>
      </c>
      <c r="AE18" s="25" t="inlineStr">
        <is>
          <t>티커</t>
        </is>
      </c>
    </row>
    <row r="19" ht="24" customHeight="1">
      <c r="A19" s="24" t="inlineStr">
        <is>
          <t>2023-07-03</t>
        </is>
      </c>
      <c r="B19" s="30" t="n">
        <v>10500</v>
      </c>
      <c r="C19" s="30" t="n">
        <v>11100</v>
      </c>
      <c r="D19" s="30" t="n">
        <v>10400</v>
      </c>
      <c r="E19" s="30" t="n">
        <v>10890</v>
      </c>
      <c r="F19" s="30" t="n">
        <v>10890</v>
      </c>
      <c r="G19" s="30" t="n">
        <v>1396295</v>
      </c>
      <c r="H19" s="35" t="n">
        <v>0.05728155339805818</v>
      </c>
      <c r="I19" s="35" t="n">
        <v>-0.3063694267515924</v>
      </c>
      <c r="J19" s="30" t="n">
        <v>9033</v>
      </c>
      <c r="K19" s="30" t="n">
        <v>9041.333333333334</v>
      </c>
      <c r="L19" s="30" t="n">
        <v>9414.75</v>
      </c>
      <c r="M19" s="35" t="n">
        <v>0.5951706228702093</v>
      </c>
      <c r="N19" s="35" t="n">
        <v>0.491573696444855</v>
      </c>
      <c r="O19" s="35" t="n">
        <v>0.2181208053691275</v>
      </c>
      <c r="P19" s="35" t="n">
        <v>0.05728155339805818</v>
      </c>
      <c r="Q19" s="35" t="n">
        <v>0.4124513618677044</v>
      </c>
      <c r="R19" s="35" t="n">
        <v>0.2055795416805049</v>
      </c>
      <c r="S19" s="35" t="n">
        <v>0.2044683674974193</v>
      </c>
      <c r="T19" s="35" t="n">
        <v>0.1566956106110093</v>
      </c>
      <c r="U19" s="30" t="n">
        <v>13500</v>
      </c>
      <c r="V19" s="30" t="n">
        <v>6070</v>
      </c>
      <c r="W19" s="35" t="n">
        <v>-0.1933333333333334</v>
      </c>
      <c r="X19" s="35" t="n">
        <v>0.7940691927512356</v>
      </c>
      <c r="Y19" s="30" t="n">
        <v>33416778</v>
      </c>
      <c r="Z19" s="30" t="n">
        <v>363908712420</v>
      </c>
      <c r="AA19" s="30" t="n">
        <v>15205652550</v>
      </c>
      <c r="AB19" s="30" t="n">
        <v>5070440653.5</v>
      </c>
      <c r="AC19" s="35" t="n">
        <v>0.04178424981606545</v>
      </c>
      <c r="AD19" s="24" t="inlineStr">
        <is>
          <t>yfinance_download</t>
        </is>
      </c>
      <c r="AE19" s="24" t="inlineStr">
        <is>
          <t>059090.KQ</t>
        </is>
      </c>
    </row>
    <row r="20" ht="24" customHeight="1">
      <c r="A20" s="29" t="inlineStr">
        <is>
          <t>2023-07-04</t>
        </is>
      </c>
      <c r="B20" s="31" t="n">
        <v>10710</v>
      </c>
      <c r="C20" s="31" t="n">
        <v>11610</v>
      </c>
      <c r="D20" s="31" t="n">
        <v>10700</v>
      </c>
      <c r="E20" s="31" t="n">
        <v>11360</v>
      </c>
      <c r="F20" s="31" t="n">
        <v>11360</v>
      </c>
      <c r="G20" s="31" t="n">
        <v>1254232</v>
      </c>
      <c r="H20" s="36" t="n">
        <v>0.04315886134067948</v>
      </c>
      <c r="I20" s="36" t="n">
        <v>-0.2764331210191083</v>
      </c>
      <c r="J20" s="31" t="n">
        <v>9153.5</v>
      </c>
      <c r="K20" s="31" t="n">
        <v>9059.666666666666</v>
      </c>
      <c r="L20" s="31" t="n">
        <v>9444</v>
      </c>
      <c r="M20" s="36" t="n">
        <v>0.6049590371235625</v>
      </c>
      <c r="N20" s="36" t="n">
        <v>0.4988181633601705</v>
      </c>
      <c r="O20" s="36" t="n">
        <v>0.2692737430167598</v>
      </c>
      <c r="P20" s="36" t="n">
        <v>0.1072124756335282</v>
      </c>
      <c r="Q20" s="36" t="n">
        <v>0.4471337579617833</v>
      </c>
      <c r="R20" s="36" t="n">
        <v>0.2410553340252362</v>
      </c>
      <c r="S20" s="36" t="n">
        <v>0.2539092681849959</v>
      </c>
      <c r="T20" s="36" t="n">
        <v>0.2028801355357899</v>
      </c>
      <c r="U20" s="31" t="n">
        <v>13500</v>
      </c>
      <c r="V20" s="31" t="n">
        <v>6070</v>
      </c>
      <c r="W20" s="36" t="n">
        <v>-0.1585185185185185</v>
      </c>
      <c r="X20" s="36" t="n">
        <v>0.871499176276771</v>
      </c>
      <c r="Y20" s="31" t="n">
        <v>33416778</v>
      </c>
      <c r="Z20" s="31" t="n">
        <v>379614598080</v>
      </c>
      <c r="AA20" s="31" t="n">
        <v>14248075520</v>
      </c>
      <c r="AB20" s="31" t="n">
        <v>5714713897</v>
      </c>
      <c r="AC20" s="36" t="n">
        <v>0.03753300213443678</v>
      </c>
      <c r="AD20" s="29" t="inlineStr">
        <is>
          <t>yfinance_download</t>
        </is>
      </c>
      <c r="AE20" s="29" t="inlineStr">
        <is>
          <t>059090.KQ</t>
        </is>
      </c>
    </row>
    <row r="21" ht="24" customHeight="1">
      <c r="A21" s="24" t="inlineStr">
        <is>
          <t>2023-07-05</t>
        </is>
      </c>
      <c r="B21" s="30" t="n">
        <v>11700</v>
      </c>
      <c r="C21" s="30" t="n">
        <v>12100</v>
      </c>
      <c r="D21" s="30" t="n">
        <v>11360</v>
      </c>
      <c r="E21" s="30" t="n">
        <v>11490</v>
      </c>
      <c r="F21" s="30" t="n">
        <v>11490</v>
      </c>
      <c r="G21" s="30" t="n">
        <v>1406225</v>
      </c>
      <c r="H21" s="35" t="n">
        <v>0.011443661971831</v>
      </c>
      <c r="I21" s="35" t="n">
        <v>-0.2681528662420383</v>
      </c>
      <c r="J21" s="30" t="n">
        <v>9288</v>
      </c>
      <c r="K21" s="30" t="n">
        <v>9084.833333333334</v>
      </c>
      <c r="L21" s="30" t="n">
        <v>9473.166666666666</v>
      </c>
      <c r="M21" s="35" t="n">
        <v>0.594971656338343</v>
      </c>
      <c r="N21" s="35" t="n">
        <v>0.4953496712649406</v>
      </c>
      <c r="O21" s="35" t="n">
        <v>0.3056818181818182</v>
      </c>
      <c r="P21" s="35" t="n">
        <v>0.1513026052104209</v>
      </c>
      <c r="Q21" s="35" t="n">
        <v>0.4380475594493116</v>
      </c>
      <c r="R21" s="35" t="n">
        <v>0.2370801033591732</v>
      </c>
      <c r="S21" s="35" t="n">
        <v>0.2647452714230676</v>
      </c>
      <c r="T21" s="35" t="n">
        <v>0.2128995935889091</v>
      </c>
      <c r="U21" s="30" t="n">
        <v>13500</v>
      </c>
      <c r="V21" s="30" t="n">
        <v>6070</v>
      </c>
      <c r="W21" s="35" t="n">
        <v>-0.1488888888888888</v>
      </c>
      <c r="X21" s="35" t="n">
        <v>0.8929159802306426</v>
      </c>
      <c r="Y21" s="30" t="n">
        <v>33416778</v>
      </c>
      <c r="Z21" s="30" t="n">
        <v>383958779220</v>
      </c>
      <c r="AA21" s="30" t="n">
        <v>16157525250</v>
      </c>
      <c r="AB21" s="30" t="n">
        <v>6419907799.5</v>
      </c>
      <c r="AC21" s="35" t="n">
        <v>0.042081405933271</v>
      </c>
      <c r="AD21" s="24" t="inlineStr">
        <is>
          <t>yfinance_download</t>
        </is>
      </c>
      <c r="AE21" s="24" t="inlineStr">
        <is>
          <t>059090.KQ</t>
        </is>
      </c>
    </row>
    <row r="22" ht="24" customHeight="1">
      <c r="A22" s="29" t="inlineStr">
        <is>
          <t>2023-07-06</t>
        </is>
      </c>
      <c r="B22" s="31" t="n">
        <v>11860</v>
      </c>
      <c r="C22" s="31" t="n">
        <v>12270</v>
      </c>
      <c r="D22" s="31" t="n">
        <v>10860</v>
      </c>
      <c r="E22" s="31" t="n">
        <v>11060</v>
      </c>
      <c r="F22" s="31" t="n">
        <v>11060</v>
      </c>
      <c r="G22" s="31" t="n">
        <v>1783881</v>
      </c>
      <c r="H22" s="36" t="n">
        <v>-0.03742384682332467</v>
      </c>
      <c r="I22" s="36" t="n">
        <v>-0.2955414012738854</v>
      </c>
      <c r="J22" s="31" t="n">
        <v>9405</v>
      </c>
      <c r="K22" s="31" t="n">
        <v>9094.5</v>
      </c>
      <c r="L22" s="31" t="n">
        <v>9498.75</v>
      </c>
      <c r="M22" s="36" t="n">
        <v>0.6176648197993696</v>
      </c>
      <c r="N22" s="36" t="n">
        <v>0.4921343281155154</v>
      </c>
      <c r="O22" s="36" t="n">
        <v>0.2683486238532109</v>
      </c>
      <c r="P22" s="36" t="n">
        <v>0.05534351145038174</v>
      </c>
      <c r="Q22" s="36" t="n">
        <v>0.3842302878598247</v>
      </c>
      <c r="R22" s="36" t="n">
        <v>0.1759702286018074</v>
      </c>
      <c r="S22" s="36" t="n">
        <v>0.2161196327450656</v>
      </c>
      <c r="T22" s="36" t="n">
        <v>0.1643637320700093</v>
      </c>
      <c r="U22" s="31" t="n">
        <v>13500</v>
      </c>
      <c r="V22" s="31" t="n">
        <v>6070</v>
      </c>
      <c r="W22" s="36" t="n">
        <v>-0.1807407407407408</v>
      </c>
      <c r="X22" s="36" t="n">
        <v>0.8220757825370675</v>
      </c>
      <c r="Y22" s="31" t="n">
        <v>33416778</v>
      </c>
      <c r="Z22" s="31" t="n">
        <v>369589564680</v>
      </c>
      <c r="AA22" s="31" t="n">
        <v>19729723860</v>
      </c>
      <c r="AB22" s="31" t="n">
        <v>7326662672.5</v>
      </c>
      <c r="AC22" s="36" t="n">
        <v>0.05338279471467895</v>
      </c>
      <c r="AD22" s="29" t="inlineStr">
        <is>
          <t>yfinance_download</t>
        </is>
      </c>
      <c r="AE22" s="29" t="inlineStr">
        <is>
          <t>059090.KQ</t>
        </is>
      </c>
    </row>
    <row r="23" ht="24" customHeight="1">
      <c r="A23" s="24" t="inlineStr">
        <is>
          <t>2023-07-07</t>
        </is>
      </c>
      <c r="B23" s="30" t="n">
        <v>11320</v>
      </c>
      <c r="C23" s="30" t="n">
        <v>11320</v>
      </c>
      <c r="D23" s="30" t="n">
        <v>10350</v>
      </c>
      <c r="E23" s="30" t="n">
        <v>10540</v>
      </c>
      <c r="F23" s="30" t="n">
        <v>10540</v>
      </c>
      <c r="G23" s="30" t="n">
        <v>1041908</v>
      </c>
      <c r="H23" s="35" t="n">
        <v>-0.0470162748643761</v>
      </c>
      <c r="I23" s="35" t="n">
        <v>-0.3286624203821656</v>
      </c>
      <c r="J23" s="30" t="n">
        <v>9501</v>
      </c>
      <c r="K23" s="30" t="n">
        <v>9098.5</v>
      </c>
      <c r="L23" s="30" t="n">
        <v>9518.833333333334</v>
      </c>
      <c r="M23" s="35" t="n">
        <v>0.648208200895952</v>
      </c>
      <c r="N23" s="35" t="n">
        <v>0.5006611717037608</v>
      </c>
      <c r="O23" s="35" t="n">
        <v>0.222737819025522</v>
      </c>
      <c r="P23" s="35" t="n">
        <v>0.02330097087378635</v>
      </c>
      <c r="Q23" s="35" t="n">
        <v>0.2964329643296433</v>
      </c>
      <c r="R23" s="35" t="n">
        <v>0.1093569097989686</v>
      </c>
      <c r="S23" s="35" t="n">
        <v>0.1584327086882453</v>
      </c>
      <c r="T23" s="35" t="n">
        <v>0.1072785530439655</v>
      </c>
      <c r="U23" s="30" t="n">
        <v>13500</v>
      </c>
      <c r="V23" s="30" t="n">
        <v>6070</v>
      </c>
      <c r="W23" s="35" t="n">
        <v>-0.2192592592592593</v>
      </c>
      <c r="X23" s="35" t="n">
        <v>0.7364085667215816</v>
      </c>
      <c r="Y23" s="30" t="n">
        <v>33416778</v>
      </c>
      <c r="Z23" s="30" t="n">
        <v>352212840120</v>
      </c>
      <c r="AA23" s="30" t="n">
        <v>10981710320</v>
      </c>
      <c r="AB23" s="30" t="n">
        <v>7751330125.5</v>
      </c>
      <c r="AC23" s="35" t="n">
        <v>0.03117918789178298</v>
      </c>
      <c r="AD23" s="24" t="inlineStr">
        <is>
          <t>yfinance_download</t>
        </is>
      </c>
      <c r="AE23" s="24" t="inlineStr">
        <is>
          <t>059090.KQ</t>
        </is>
      </c>
    </row>
    <row r="24" ht="24" customHeight="1">
      <c r="A24" s="29" t="inlineStr">
        <is>
          <t>2023-07-10</t>
        </is>
      </c>
      <c r="B24" s="31" t="n">
        <v>10470</v>
      </c>
      <c r="C24" s="31" t="n">
        <v>10560</v>
      </c>
      <c r="D24" s="31" t="n">
        <v>9900</v>
      </c>
      <c r="E24" s="31" t="n">
        <v>10240</v>
      </c>
      <c r="F24" s="31" t="n">
        <v>10240</v>
      </c>
      <c r="G24" s="31" t="n">
        <v>805715</v>
      </c>
      <c r="H24" s="36" t="n">
        <v>-0.02846299810246677</v>
      </c>
      <c r="I24" s="36" t="n">
        <v>-0.3477707006369427</v>
      </c>
      <c r="J24" s="31" t="n">
        <v>9570.5</v>
      </c>
      <c r="K24" s="31" t="n">
        <v>9098.666666666666</v>
      </c>
      <c r="L24" s="31" t="n">
        <v>9536.166666666666</v>
      </c>
      <c r="M24" s="36" t="n">
        <v>0.6598203225624397</v>
      </c>
      <c r="N24" s="36" t="n">
        <v>0.5040349602316492</v>
      </c>
      <c r="O24" s="36" t="n">
        <v>0.1570621468926554</v>
      </c>
      <c r="P24" s="36" t="n">
        <v>0.0009775171065493637</v>
      </c>
      <c r="Q24" s="36" t="n">
        <v>0.2549019607843137</v>
      </c>
      <c r="R24" s="36" t="n">
        <v>0.06995454782926691</v>
      </c>
      <c r="S24" s="36" t="n">
        <v>0.1254396248534584</v>
      </c>
      <c r="T24" s="36" t="n">
        <v>0.07380673576035091</v>
      </c>
      <c r="U24" s="31" t="n">
        <v>13500</v>
      </c>
      <c r="V24" s="31" t="n">
        <v>6070</v>
      </c>
      <c r="W24" s="36" t="n">
        <v>-0.2414814814814815</v>
      </c>
      <c r="X24" s="36" t="n">
        <v>0.6869851729818781</v>
      </c>
      <c r="Y24" s="31" t="n">
        <v>33416778</v>
      </c>
      <c r="Z24" s="31" t="n">
        <v>342187806720</v>
      </c>
      <c r="AA24" s="31" t="n">
        <v>8250521600</v>
      </c>
      <c r="AB24" s="31" t="n">
        <v>8057185828</v>
      </c>
      <c r="AC24" s="36" t="n">
        <v>0.02411109173960458</v>
      </c>
      <c r="AD24" s="29" t="inlineStr">
        <is>
          <t>yfinance_download</t>
        </is>
      </c>
      <c r="AE24" s="29" t="inlineStr">
        <is>
          <t>059090.KQ</t>
        </is>
      </c>
    </row>
    <row r="25" ht="24" customHeight="1">
      <c r="A25" s="24" t="inlineStr">
        <is>
          <t>2023-07-12</t>
        </is>
      </c>
      <c r="B25" s="30" t="n">
        <v>11320</v>
      </c>
      <c r="C25" s="30" t="n">
        <v>12020</v>
      </c>
      <c r="D25" s="30" t="n">
        <v>11170</v>
      </c>
      <c r="E25" s="30" t="n">
        <v>11550</v>
      </c>
      <c r="F25" s="30" t="n">
        <v>11550</v>
      </c>
      <c r="G25" s="30" t="n">
        <v>1368326</v>
      </c>
      <c r="H25" s="35" t="n">
        <v>0.1279296875</v>
      </c>
      <c r="I25" s="35" t="n">
        <v>-0.2643312101910829</v>
      </c>
      <c r="J25" s="30" t="n">
        <v>9701</v>
      </c>
      <c r="K25" s="30" t="n">
        <v>9122.666666666666</v>
      </c>
      <c r="L25" s="30" t="n">
        <v>9564.5</v>
      </c>
      <c r="M25" s="35" t="n">
        <v>0.7851829655263652</v>
      </c>
      <c r="N25" s="35" t="n">
        <v>0.566900733350973</v>
      </c>
      <c r="O25" s="35" t="n">
        <v>0.2919463087248322</v>
      </c>
      <c r="P25" s="35" t="n">
        <v>0.142433234421365</v>
      </c>
      <c r="Q25" s="35" t="n">
        <v>0.4171779141104295</v>
      </c>
      <c r="R25" s="35" t="n">
        <v>0.1905989073291414</v>
      </c>
      <c r="S25" s="35" t="n">
        <v>0.2660771704180065</v>
      </c>
      <c r="T25" s="35" t="n">
        <v>0.2075905692926969</v>
      </c>
      <c r="U25" s="30" t="n">
        <v>13500</v>
      </c>
      <c r="V25" s="30" t="n">
        <v>6070</v>
      </c>
      <c r="W25" s="35" t="n">
        <v>-0.1444444444444445</v>
      </c>
      <c r="X25" s="35" t="n">
        <v>0.9028006589785833</v>
      </c>
      <c r="Y25" s="30" t="n">
        <v>33416778</v>
      </c>
      <c r="Z25" s="30" t="n">
        <v>385963785900</v>
      </c>
      <c r="AA25" s="30" t="n">
        <v>15804165300</v>
      </c>
      <c r="AB25" s="30" t="n">
        <v>8737584520</v>
      </c>
      <c r="AC25" s="35" t="n">
        <v>0.04094727504848013</v>
      </c>
      <c r="AD25" s="24" t="inlineStr">
        <is>
          <t>yfinance_download</t>
        </is>
      </c>
      <c r="AE25" s="24" t="inlineStr">
        <is>
          <t>059090.KQ</t>
        </is>
      </c>
    </row>
    <row r="26" ht="24" customHeight="1">
      <c r="A26" s="29" t="inlineStr">
        <is>
          <t>2023-07-13</t>
        </is>
      </c>
      <c r="B26" s="31" t="n">
        <v>11910</v>
      </c>
      <c r="C26" s="31" t="n">
        <v>13280</v>
      </c>
      <c r="D26" s="31" t="n">
        <v>11180</v>
      </c>
      <c r="E26" s="31" t="n">
        <v>13000</v>
      </c>
      <c r="F26" s="31" t="n">
        <v>13000</v>
      </c>
      <c r="G26" s="31" t="n">
        <v>3552609</v>
      </c>
      <c r="H26" s="36" t="n">
        <v>0.1255411255411256</v>
      </c>
      <c r="I26" s="36" t="n">
        <v>-0.1719745222929936</v>
      </c>
      <c r="J26" s="31" t="n">
        <v>9899.5</v>
      </c>
      <c r="K26" s="31" t="n">
        <v>9177</v>
      </c>
      <c r="L26" s="31" t="n">
        <v>9604.833333333334</v>
      </c>
      <c r="M26" s="36" t="n">
        <v>0.8789023907757036</v>
      </c>
      <c r="N26" s="36" t="n">
        <v>0.6141491378165529</v>
      </c>
      <c r="O26" s="36" t="n">
        <v>0.4396456256921373</v>
      </c>
      <c r="P26" s="36" t="n">
        <v>0.3347022587268993</v>
      </c>
      <c r="Q26" s="36" t="n">
        <v>0.5931372549019607</v>
      </c>
      <c r="R26" s="36" t="n">
        <v>0.3131976362442548</v>
      </c>
      <c r="S26" s="36" t="n">
        <v>0.4165849406124005</v>
      </c>
      <c r="T26" s="36" t="n">
        <v>0.3534852244529663</v>
      </c>
      <c r="U26" s="31" t="n">
        <v>13500</v>
      </c>
      <c r="V26" s="31" t="n">
        <v>6070</v>
      </c>
      <c r="W26" s="36" t="n">
        <v>-0.03703703703703709</v>
      </c>
      <c r="X26" s="36" t="n">
        <v>1.14168039538715</v>
      </c>
      <c r="Y26" s="31" t="n">
        <v>33416778</v>
      </c>
      <c r="Z26" s="31" t="n">
        <v>434418114000</v>
      </c>
      <c r="AA26" s="31" t="n">
        <v>46183917000</v>
      </c>
      <c r="AB26" s="31" t="n">
        <v>10608839366.5</v>
      </c>
      <c r="AC26" s="36" t="n">
        <v>0.106312134581018</v>
      </c>
      <c r="AD26" s="29" t="inlineStr">
        <is>
          <t>yfinance_download</t>
        </is>
      </c>
      <c r="AE26" s="29" t="inlineStr">
        <is>
          <t>059090.KQ</t>
        </is>
      </c>
    </row>
    <row r="27" ht="24" customHeight="1">
      <c r="A27" s="24" t="inlineStr">
        <is>
          <t>2023-07-14</t>
        </is>
      </c>
      <c r="B27" s="30" t="n">
        <v>13580</v>
      </c>
      <c r="C27" s="30" t="n">
        <v>13880</v>
      </c>
      <c r="D27" s="30" t="n">
        <v>13040</v>
      </c>
      <c r="E27" s="30" t="n">
        <v>13200</v>
      </c>
      <c r="F27" s="30" t="n">
        <v>13200</v>
      </c>
      <c r="G27" s="30" t="n">
        <v>2347968</v>
      </c>
      <c r="H27" s="35" t="n">
        <v>0.01538461538461533</v>
      </c>
      <c r="I27" s="35" t="n">
        <v>-0.1592356687898089</v>
      </c>
      <c r="J27" s="30" t="n">
        <v>10104</v>
      </c>
      <c r="K27" s="30" t="n">
        <v>9235.333333333334</v>
      </c>
      <c r="L27" s="30" t="n">
        <v>9647.416666666666</v>
      </c>
      <c r="M27" s="35" t="n">
        <v>0.8781322821597213</v>
      </c>
      <c r="N27" s="35" t="n">
        <v>0.6141413929638093</v>
      </c>
      <c r="O27" s="35" t="n">
        <v>0.4489571899012075</v>
      </c>
      <c r="P27" s="35" t="n">
        <v>0.3608247422680413</v>
      </c>
      <c r="Q27" s="35" t="n">
        <v>0.6316440049443757</v>
      </c>
      <c r="R27" s="35" t="n">
        <v>0.3064133016627077</v>
      </c>
      <c r="S27" s="35" t="n">
        <v>0.4292932938713636</v>
      </c>
      <c r="T27" s="35" t="n">
        <v>0.368241930050359</v>
      </c>
      <c r="U27" s="30" t="n">
        <v>13500</v>
      </c>
      <c r="V27" s="30" t="n">
        <v>6070</v>
      </c>
      <c r="W27" s="35" t="n">
        <v>-0.02222222222222225</v>
      </c>
      <c r="X27" s="35" t="n">
        <v>1.174629324546952</v>
      </c>
      <c r="Y27" s="30" t="n">
        <v>33416778</v>
      </c>
      <c r="Z27" s="30" t="n">
        <v>441101469600</v>
      </c>
      <c r="AA27" s="30" t="n">
        <v>30993177600</v>
      </c>
      <c r="AB27" s="30" t="n">
        <v>12032041881</v>
      </c>
      <c r="AC27" s="35" t="n">
        <v>0.07026314745245636</v>
      </c>
      <c r="AD27" s="24" t="inlineStr">
        <is>
          <t>yfinance_download</t>
        </is>
      </c>
      <c r="AE27" s="24" t="inlineStr">
        <is>
          <t>059090.KQ</t>
        </is>
      </c>
    </row>
    <row r="28" ht="24" customHeight="1">
      <c r="A28" s="29" t="inlineStr">
        <is>
          <t>2023-07-17</t>
        </is>
      </c>
      <c r="B28" s="31" t="n">
        <v>13200</v>
      </c>
      <c r="C28" s="31" t="n">
        <v>13930</v>
      </c>
      <c r="D28" s="31" t="n">
        <v>12790</v>
      </c>
      <c r="E28" s="31" t="n">
        <v>13560</v>
      </c>
      <c r="F28" s="31" t="n">
        <v>13560</v>
      </c>
      <c r="G28" s="31" t="n">
        <v>1446324</v>
      </c>
      <c r="H28" s="36" t="n">
        <v>0.02727272727272734</v>
      </c>
      <c r="I28" s="36" t="n">
        <v>-0.1363057324840764</v>
      </c>
      <c r="J28" s="31" t="n">
        <v>10331</v>
      </c>
      <c r="K28" s="31" t="n">
        <v>9299</v>
      </c>
      <c r="L28" s="31" t="n">
        <v>9692.583333333334</v>
      </c>
      <c r="M28" s="36" t="n">
        <v>0.8711834444598362</v>
      </c>
      <c r="N28" s="36" t="n">
        <v>0.6156925264769555</v>
      </c>
      <c r="O28" s="36" t="n">
        <v>0.5033259423503327</v>
      </c>
      <c r="P28" s="36" t="n">
        <v>0.3921971252566736</v>
      </c>
      <c r="Q28" s="36" t="n">
        <v>0.6658476658476657</v>
      </c>
      <c r="R28" s="36" t="n">
        <v>0.3125544477785307</v>
      </c>
      <c r="S28" s="36" t="n">
        <v>0.4582213141197977</v>
      </c>
      <c r="T28" s="36" t="n">
        <v>0.3990078324492095</v>
      </c>
      <c r="U28" s="31" t="n">
        <v>13560</v>
      </c>
      <c r="V28" s="31" t="n">
        <v>6070</v>
      </c>
      <c r="W28" s="36" t="n">
        <v>0</v>
      </c>
      <c r="X28" s="36" t="n">
        <v>1.233937397034596</v>
      </c>
      <c r="Y28" s="31" t="n">
        <v>33416778</v>
      </c>
      <c r="Z28" s="31" t="n">
        <v>453131509680</v>
      </c>
      <c r="AA28" s="31" t="n">
        <v>19612153440</v>
      </c>
      <c r="AB28" s="31" t="n">
        <v>12926259601</v>
      </c>
      <c r="AC28" s="36" t="n">
        <v>0.04328137201019201</v>
      </c>
      <c r="AD28" s="29" t="inlineStr">
        <is>
          <t>yfinance_download</t>
        </is>
      </c>
      <c r="AE28" s="29" t="inlineStr">
        <is>
          <t>059090.KQ</t>
        </is>
      </c>
    </row>
    <row r="29" ht="24" customHeight="1">
      <c r="A29" s="24" t="inlineStr">
        <is>
          <t>2023-07-18</t>
        </is>
      </c>
      <c r="B29" s="30" t="n">
        <v>13960</v>
      </c>
      <c r="C29" s="30" t="n">
        <v>14080</v>
      </c>
      <c r="D29" s="30" t="n">
        <v>13290</v>
      </c>
      <c r="E29" s="30" t="n">
        <v>13700</v>
      </c>
      <c r="F29" s="30" t="n">
        <v>13700</v>
      </c>
      <c r="G29" s="30" t="n">
        <v>1367858</v>
      </c>
      <c r="H29" s="35" t="n">
        <v>0.01032448377581119</v>
      </c>
      <c r="I29" s="35" t="n">
        <v>-0.1273885350318471</v>
      </c>
      <c r="J29" s="30" t="n">
        <v>10572.5</v>
      </c>
      <c r="K29" s="30" t="n">
        <v>9367.5</v>
      </c>
      <c r="L29" s="30" t="n">
        <v>9739</v>
      </c>
      <c r="M29" s="35" t="n">
        <v>0.860536670023301</v>
      </c>
      <c r="N29" s="35" t="n">
        <v>0.6140848977188822</v>
      </c>
      <c r="O29" s="35" t="n">
        <v>0.544532130777903</v>
      </c>
      <c r="P29" s="35" t="n">
        <v>0.4285714285714286</v>
      </c>
      <c r="Q29" s="35" t="n">
        <v>0.6851168511685117</v>
      </c>
      <c r="R29" s="35" t="n">
        <v>0.2958146133837787</v>
      </c>
      <c r="S29" s="35" t="n">
        <v>0.4625033360021351</v>
      </c>
      <c r="T29" s="35" t="n">
        <v>0.4067152685080604</v>
      </c>
      <c r="U29" s="30" t="n">
        <v>13700</v>
      </c>
      <c r="V29" s="30" t="n">
        <v>6070</v>
      </c>
      <c r="W29" s="35" t="n">
        <v>0</v>
      </c>
      <c r="X29" s="35" t="n">
        <v>1.257001647446458</v>
      </c>
      <c r="Y29" s="30" t="n">
        <v>33416778</v>
      </c>
      <c r="Z29" s="30" t="n">
        <v>457809858600</v>
      </c>
      <c r="AA29" s="30" t="n">
        <v>18739654600</v>
      </c>
      <c r="AB29" s="30" t="n">
        <v>13772574521.5</v>
      </c>
      <c r="AC29" s="35" t="n">
        <v>0.04093327010760882</v>
      </c>
      <c r="AD29" s="24" t="inlineStr">
        <is>
          <t>yfinance_download</t>
        </is>
      </c>
      <c r="AE29" s="24" t="inlineStr">
        <is>
          <t>059090.KQ</t>
        </is>
      </c>
    </row>
    <row r="30" ht="24" customHeight="1">
      <c r="A30" s="29" t="inlineStr">
        <is>
          <t>2023-07-19</t>
        </is>
      </c>
      <c r="B30" s="31" t="n">
        <v>13770</v>
      </c>
      <c r="C30" s="31" t="n">
        <v>14110</v>
      </c>
      <c r="D30" s="31" t="n">
        <v>12770</v>
      </c>
      <c r="E30" s="31" t="n">
        <v>13050</v>
      </c>
      <c r="F30" s="31" t="n">
        <v>13050</v>
      </c>
      <c r="G30" s="31" t="n">
        <v>1291577</v>
      </c>
      <c r="H30" s="36" t="n">
        <v>-0.04744525547445255</v>
      </c>
      <c r="I30" s="36" t="n">
        <v>-0.1687898089171974</v>
      </c>
      <c r="J30" s="31" t="n">
        <v>10795</v>
      </c>
      <c r="K30" s="31" t="n">
        <v>9425.833333333334</v>
      </c>
      <c r="L30" s="31" t="n">
        <v>9780</v>
      </c>
      <c r="M30" s="36" t="n">
        <v>0.876591325307409</v>
      </c>
      <c r="N30" s="36" t="n">
        <v>0.6236778818277968</v>
      </c>
      <c r="O30" s="36" t="n">
        <v>0.5174418604651163</v>
      </c>
      <c r="P30" s="36" t="n">
        <v>0.3664921465968587</v>
      </c>
      <c r="Q30" s="36" t="n">
        <v>0.6051660516605166</v>
      </c>
      <c r="R30" s="36" t="n">
        <v>0.2088930060213061</v>
      </c>
      <c r="S30" s="36" t="n">
        <v>0.3844929714437273</v>
      </c>
      <c r="T30" s="36" t="n">
        <v>0.334355828220859</v>
      </c>
      <c r="U30" s="31" t="n">
        <v>13700</v>
      </c>
      <c r="V30" s="31" t="n">
        <v>6070</v>
      </c>
      <c r="W30" s="36" t="n">
        <v>-0.04744525547445255</v>
      </c>
      <c r="X30" s="36" t="n">
        <v>1.1499176276771</v>
      </c>
      <c r="Y30" s="31" t="n">
        <v>33416778</v>
      </c>
      <c r="Z30" s="31" t="n">
        <v>436088952900</v>
      </c>
      <c r="AA30" s="31" t="n">
        <v>16855079850</v>
      </c>
      <c r="AB30" s="31" t="n">
        <v>14511823214</v>
      </c>
      <c r="AC30" s="36" t="n">
        <v>0.03865055452084579</v>
      </c>
      <c r="AD30" s="29" t="inlineStr">
        <is>
          <t>yfinance_download</t>
        </is>
      </c>
      <c r="AE30" s="29" t="inlineStr">
        <is>
          <t>059090.KQ</t>
        </is>
      </c>
    </row>
    <row r="31" ht="24" customHeight="1">
      <c r="A31" s="24" t="inlineStr">
        <is>
          <t>2023-07-20</t>
        </is>
      </c>
      <c r="B31" s="30" t="n">
        <v>13120</v>
      </c>
      <c r="C31" s="30" t="n">
        <v>13860</v>
      </c>
      <c r="D31" s="30" t="n">
        <v>12500</v>
      </c>
      <c r="E31" s="30" t="n">
        <v>13720</v>
      </c>
      <c r="F31" s="30" t="n">
        <v>13720</v>
      </c>
      <c r="G31" s="30" t="n">
        <v>1579631</v>
      </c>
      <c r="H31" s="35" t="n">
        <v>0.05134099616858245</v>
      </c>
      <c r="I31" s="35" t="n">
        <v>-0.1261146496815286</v>
      </c>
      <c r="J31" s="30" t="n">
        <v>11063</v>
      </c>
      <c r="K31" s="30" t="n">
        <v>9501.5</v>
      </c>
      <c r="L31" s="30" t="n">
        <v>9824</v>
      </c>
      <c r="M31" s="35" t="n">
        <v>0.8612023219655688</v>
      </c>
      <c r="N31" s="35" t="n">
        <v>0.6234287497745148</v>
      </c>
      <c r="O31" s="35" t="n">
        <v>0.6411483253588517</v>
      </c>
      <c r="P31" s="35" t="n">
        <v>0.4945533769063182</v>
      </c>
      <c r="Q31" s="35" t="n">
        <v>0.6255924170616114</v>
      </c>
      <c r="R31" s="35" t="n">
        <v>0.2401699358221097</v>
      </c>
      <c r="S31" s="35" t="n">
        <v>0.4439825290743566</v>
      </c>
      <c r="T31" s="35" t="n">
        <v>0.3965798045602607</v>
      </c>
      <c r="U31" s="30" t="n">
        <v>13720</v>
      </c>
      <c r="V31" s="30" t="n">
        <v>6070</v>
      </c>
      <c r="W31" s="35" t="n">
        <v>0</v>
      </c>
      <c r="X31" s="35" t="n">
        <v>1.260296540362438</v>
      </c>
      <c r="Y31" s="30" t="n">
        <v>33416778</v>
      </c>
      <c r="Z31" s="30" t="n">
        <v>458478194160</v>
      </c>
      <c r="AA31" s="30" t="n">
        <v>21672537320</v>
      </c>
      <c r="AB31" s="30" t="n">
        <v>15504943884</v>
      </c>
      <c r="AC31" s="35" t="n">
        <v>0.04727059562714275</v>
      </c>
      <c r="AD31" s="24" t="inlineStr">
        <is>
          <t>yfinance_download</t>
        </is>
      </c>
      <c r="AE31" s="24" t="inlineStr">
        <is>
          <t>059090.KQ</t>
        </is>
      </c>
    </row>
    <row r="32" ht="24" customHeight="1">
      <c r="A32" s="29" t="inlineStr">
        <is>
          <t>2023-07-21</t>
        </is>
      </c>
      <c r="B32" s="31" t="n">
        <v>13010</v>
      </c>
      <c r="C32" s="31" t="n">
        <v>13940</v>
      </c>
      <c r="D32" s="31" t="n">
        <v>12890</v>
      </c>
      <c r="E32" s="31" t="n">
        <v>13350</v>
      </c>
      <c r="F32" s="31" t="n">
        <v>13350</v>
      </c>
      <c r="G32" s="31" t="n">
        <v>1029285</v>
      </c>
      <c r="H32" s="36" t="n">
        <v>-0.02696793002915454</v>
      </c>
      <c r="I32" s="36" t="n">
        <v>-0.1496815286624203</v>
      </c>
      <c r="J32" s="31" t="n">
        <v>11314</v>
      </c>
      <c r="K32" s="31" t="n">
        <v>9566.333333333334</v>
      </c>
      <c r="L32" s="31" t="n">
        <v>9865.083333333334</v>
      </c>
      <c r="M32" s="36" t="n">
        <v>0.8758806136685136</v>
      </c>
      <c r="N32" s="36" t="n">
        <v>0.6254758137612207</v>
      </c>
      <c r="O32" s="36" t="n">
        <v>0.602641056422569</v>
      </c>
      <c r="P32" s="36" t="n">
        <v>0.4112050739957718</v>
      </c>
      <c r="Q32" s="36" t="n">
        <v>0.5855106888361046</v>
      </c>
      <c r="R32" s="36" t="n">
        <v>0.1799540392434151</v>
      </c>
      <c r="S32" s="36" t="n">
        <v>0.3955190076309278</v>
      </c>
      <c r="T32" s="36" t="n">
        <v>0.3532577018271512</v>
      </c>
      <c r="U32" s="31" t="n">
        <v>13720</v>
      </c>
      <c r="V32" s="31" t="n">
        <v>6070</v>
      </c>
      <c r="W32" s="36" t="n">
        <v>-0.02696793002915454</v>
      </c>
      <c r="X32" s="36" t="n">
        <v>1.199341021416804</v>
      </c>
      <c r="Y32" s="31" t="n">
        <v>33416778</v>
      </c>
      <c r="Z32" s="31" t="n">
        <v>446113986300</v>
      </c>
      <c r="AA32" s="31" t="n">
        <v>13740954750</v>
      </c>
      <c r="AB32" s="31" t="n">
        <v>16136141054</v>
      </c>
      <c r="AC32" s="36" t="n">
        <v>0.03080144351439268</v>
      </c>
      <c r="AD32" s="29" t="inlineStr">
        <is>
          <t>yfinance_download</t>
        </is>
      </c>
      <c r="AE32" s="29" t="inlineStr">
        <is>
          <t>059090.KQ</t>
        </is>
      </c>
    </row>
    <row r="33" ht="24" customHeight="1">
      <c r="A33" s="24" t="inlineStr">
        <is>
          <t>2023-07-24</t>
        </is>
      </c>
      <c r="B33" s="30" t="n">
        <v>13100</v>
      </c>
      <c r="C33" s="30" t="n">
        <v>13140</v>
      </c>
      <c r="D33" s="30" t="n">
        <v>12040</v>
      </c>
      <c r="E33" s="30" t="n">
        <v>12320</v>
      </c>
      <c r="F33" s="30" t="n">
        <v>12320</v>
      </c>
      <c r="G33" s="30" t="n">
        <v>1700552</v>
      </c>
      <c r="H33" s="35" t="n">
        <v>-0.07715355805243451</v>
      </c>
      <c r="I33" s="35" t="n">
        <v>-0.2152866242038216</v>
      </c>
      <c r="J33" s="30" t="n">
        <v>11512</v>
      </c>
      <c r="K33" s="30" t="n">
        <v>9620</v>
      </c>
      <c r="L33" s="30" t="n">
        <v>9897.166666666666</v>
      </c>
      <c r="M33" s="35" t="n">
        <v>0.9464206816528996</v>
      </c>
      <c r="N33" s="35" t="n">
        <v>0.6422772927411744</v>
      </c>
      <c r="O33" s="35" t="n">
        <v>0.4736842105263157</v>
      </c>
      <c r="P33" s="35" t="n">
        <v>0.3538461538461539</v>
      </c>
      <c r="Q33" s="35" t="n">
        <v>0.4545454545454546</v>
      </c>
      <c r="R33" s="35" t="n">
        <v>0.07018763029881869</v>
      </c>
      <c r="S33" s="35" t="n">
        <v>0.2806652806652807</v>
      </c>
      <c r="T33" s="35" t="n">
        <v>0.2448007005371908</v>
      </c>
      <c r="U33" s="30" t="n">
        <v>13720</v>
      </c>
      <c r="V33" s="30" t="n">
        <v>6070</v>
      </c>
      <c r="W33" s="35" t="n">
        <v>-0.1020408163265306</v>
      </c>
      <c r="X33" s="35" t="n">
        <v>1.029654036243822</v>
      </c>
      <c r="Y33" s="30" t="n">
        <v>33416778</v>
      </c>
      <c r="Z33" s="30" t="n">
        <v>411694704960</v>
      </c>
      <c r="AA33" s="30" t="n">
        <v>20950800640</v>
      </c>
      <c r="AB33" s="30" t="n">
        <v>17130710872</v>
      </c>
      <c r="AC33" s="35" t="n">
        <v>0.05088916711240084</v>
      </c>
      <c r="AD33" s="24" t="inlineStr">
        <is>
          <t>yfinance_download</t>
        </is>
      </c>
      <c r="AE33" s="24" t="inlineStr">
        <is>
          <t>059090.KQ</t>
        </is>
      </c>
    </row>
    <row r="34" ht="24" customHeight="1">
      <c r="A34" s="29" t="inlineStr">
        <is>
          <t>2023-07-25</t>
        </is>
      </c>
      <c r="B34" s="31" t="n">
        <v>12320</v>
      </c>
      <c r="C34" s="31" t="n">
        <v>12900</v>
      </c>
      <c r="D34" s="31" t="n">
        <v>12100</v>
      </c>
      <c r="E34" s="31" t="n">
        <v>12430</v>
      </c>
      <c r="F34" s="31" t="n">
        <v>12430</v>
      </c>
      <c r="G34" s="31" t="n">
        <v>835359</v>
      </c>
      <c r="H34" s="36" t="n">
        <v>0.008928571428571397</v>
      </c>
      <c r="I34" s="36" t="n">
        <v>-0.20828025477707</v>
      </c>
      <c r="J34" s="31" t="n">
        <v>11695.5</v>
      </c>
      <c r="K34" s="31" t="n">
        <v>9687.5</v>
      </c>
      <c r="L34" s="31" t="n">
        <v>9930</v>
      </c>
      <c r="M34" s="36" t="n">
        <v>0.9419665119927347</v>
      </c>
      <c r="N34" s="36" t="n">
        <v>0.6173939008071194</v>
      </c>
      <c r="O34" s="36" t="n">
        <v>0.4189497716894977</v>
      </c>
      <c r="P34" s="36" t="n">
        <v>0.4832935560859188</v>
      </c>
      <c r="Q34" s="36" t="n">
        <v>0.464075382803298</v>
      </c>
      <c r="R34" s="36" t="n">
        <v>0.06280193236714982</v>
      </c>
      <c r="S34" s="36" t="n">
        <v>0.2830967741935484</v>
      </c>
      <c r="T34" s="36" t="n">
        <v>0.2517623363544814</v>
      </c>
      <c r="U34" s="31" t="n">
        <v>13720</v>
      </c>
      <c r="V34" s="31" t="n">
        <v>6070</v>
      </c>
      <c r="W34" s="36" t="n">
        <v>-0.0940233236151603</v>
      </c>
      <c r="X34" s="36" t="n">
        <v>1.047775947281713</v>
      </c>
      <c r="Y34" s="31" t="n">
        <v>33416778</v>
      </c>
      <c r="Z34" s="31" t="n">
        <v>415370550540</v>
      </c>
      <c r="AA34" s="31" t="n">
        <v>10383512370</v>
      </c>
      <c r="AB34" s="31" t="n">
        <v>17532886178.5</v>
      </c>
      <c r="AC34" s="36" t="n">
        <v>0.02499819102847079</v>
      </c>
      <c r="AD34" s="29" t="inlineStr">
        <is>
          <t>yfinance_download</t>
        </is>
      </c>
      <c r="AE34" s="29" t="inlineStr">
        <is>
          <t>059090.KQ</t>
        </is>
      </c>
    </row>
    <row r="35" ht="24" customHeight="1">
      <c r="A35" s="24" t="inlineStr">
        <is>
          <t>2023-07-26</t>
        </is>
      </c>
      <c r="B35" s="30" t="n">
        <v>12440</v>
      </c>
      <c r="C35" s="30" t="n">
        <v>12730</v>
      </c>
      <c r="D35" s="30" t="n">
        <v>11400</v>
      </c>
      <c r="E35" s="30" t="n">
        <v>11610</v>
      </c>
      <c r="F35" s="30" t="n">
        <v>11610</v>
      </c>
      <c r="G35" s="30" t="n">
        <v>1418943</v>
      </c>
      <c r="H35" s="35" t="n">
        <v>-0.0659694288012872</v>
      </c>
      <c r="I35" s="35" t="n">
        <v>-0.2605095541401274</v>
      </c>
      <c r="J35" s="30" t="n">
        <v>11846.5</v>
      </c>
      <c r="K35" s="30" t="n">
        <v>9744</v>
      </c>
      <c r="L35" s="30" t="n">
        <v>9956.416666666666</v>
      </c>
      <c r="M35" s="35" t="n">
        <v>0.9810131164354084</v>
      </c>
      <c r="N35" s="35" t="n">
        <v>0.6332278415421065</v>
      </c>
      <c r="O35" s="35" t="n">
        <v>0.3515715948777649</v>
      </c>
      <c r="P35" s="35" t="n">
        <v>0.4124087591240877</v>
      </c>
      <c r="Q35" s="35" t="n">
        <v>0.3755924170616114</v>
      </c>
      <c r="R35" s="35" t="n">
        <v>-0.01996370235934664</v>
      </c>
      <c r="S35" s="35" t="n">
        <v>0.1915024630541873</v>
      </c>
      <c r="T35" s="35" t="n">
        <v>0.1660821748118886</v>
      </c>
      <c r="U35" s="30" t="n">
        <v>13720</v>
      </c>
      <c r="V35" s="30" t="n">
        <v>6070</v>
      </c>
      <c r="W35" s="35" t="n">
        <v>-0.1537900874635568</v>
      </c>
      <c r="X35" s="35" t="n">
        <v>0.9126853377265238</v>
      </c>
      <c r="Y35" s="30" t="n">
        <v>33416778</v>
      </c>
      <c r="Z35" s="30" t="n">
        <v>387968792580</v>
      </c>
      <c r="AA35" s="30" t="n">
        <v>16473928230</v>
      </c>
      <c r="AB35" s="30" t="n">
        <v>18308436499</v>
      </c>
      <c r="AC35" s="35" t="n">
        <v>0.04246199319395784</v>
      </c>
      <c r="AD35" s="24" t="inlineStr">
        <is>
          <t>yfinance_download</t>
        </is>
      </c>
      <c r="AE35" s="24" t="inlineStr">
        <is>
          <t>059090.KQ</t>
        </is>
      </c>
    </row>
    <row r="36" ht="24" customHeight="1">
      <c r="A36" s="29" t="inlineStr">
        <is>
          <t>2023-07-27</t>
        </is>
      </c>
      <c r="B36" s="31" t="n">
        <v>11610</v>
      </c>
      <c r="C36" s="31" t="n">
        <v>12370</v>
      </c>
      <c r="D36" s="31" t="n">
        <v>11130</v>
      </c>
      <c r="E36" s="31" t="n">
        <v>12060</v>
      </c>
      <c r="F36" s="31" t="n">
        <v>12060</v>
      </c>
      <c r="G36" s="31" t="n">
        <v>1364944</v>
      </c>
      <c r="H36" s="36" t="n">
        <v>0.03875968992248069</v>
      </c>
      <c r="I36" s="36" t="n">
        <v>-0.2318471337579617</v>
      </c>
      <c r="J36" s="31" t="n">
        <v>11987.5</v>
      </c>
      <c r="K36" s="31" t="n">
        <v>9802.166666666666</v>
      </c>
      <c r="L36" s="31" t="n">
        <v>9987.333333333334</v>
      </c>
      <c r="M36" s="36" t="n">
        <v>0.9602345925911016</v>
      </c>
      <c r="N36" s="36" t="n">
        <v>0.6323469044328995</v>
      </c>
      <c r="O36" s="36" t="n">
        <v>0.3051948051948052</v>
      </c>
      <c r="P36" s="36" t="n">
        <v>0.4072345390898484</v>
      </c>
      <c r="Q36" s="36" t="n">
        <v>0.444311377245509</v>
      </c>
      <c r="R36" s="36" t="n">
        <v>0.006047966631908208</v>
      </c>
      <c r="S36" s="36" t="n">
        <v>0.2303402309013314</v>
      </c>
      <c r="T36" s="36" t="n">
        <v>0.2075295374140578</v>
      </c>
      <c r="U36" s="31" t="n">
        <v>13720</v>
      </c>
      <c r="V36" s="31" t="n">
        <v>6070</v>
      </c>
      <c r="W36" s="36" t="n">
        <v>-0.1209912536443148</v>
      </c>
      <c r="X36" s="36" t="n">
        <v>0.9868204283360791</v>
      </c>
      <c r="Y36" s="31" t="n">
        <v>33416778</v>
      </c>
      <c r="Z36" s="31" t="n">
        <v>403006342680</v>
      </c>
      <c r="AA36" s="31" t="n">
        <v>16461224640</v>
      </c>
      <c r="AB36" s="31" t="n">
        <v>18582621403</v>
      </c>
      <c r="AC36" s="36" t="n">
        <v>0.04084606840312372</v>
      </c>
      <c r="AD36" s="29" t="inlineStr">
        <is>
          <t>yfinance_download</t>
        </is>
      </c>
      <c r="AE36" s="29" t="inlineStr">
        <is>
          <t>059090.KQ</t>
        </is>
      </c>
    </row>
    <row r="37" ht="24" customHeight="1">
      <c r="A37" s="24" t="inlineStr">
        <is>
          <t>2023-07-28</t>
        </is>
      </c>
      <c r="B37" s="30" t="n">
        <v>12250</v>
      </c>
      <c r="C37" s="30" t="n">
        <v>12250</v>
      </c>
      <c r="D37" s="30" t="n">
        <v>11700</v>
      </c>
      <c r="E37" s="30" t="n">
        <v>12190</v>
      </c>
      <c r="F37" s="30" t="n">
        <v>12190</v>
      </c>
      <c r="G37" s="30" t="n">
        <v>661213</v>
      </c>
      <c r="H37" s="35" t="n">
        <v>0.01077943615257038</v>
      </c>
      <c r="I37" s="35" t="n">
        <v>-0.2235668789808917</v>
      </c>
      <c r="J37" s="30" t="n">
        <v>12081</v>
      </c>
      <c r="K37" s="30" t="n">
        <v>9866.833333333334</v>
      </c>
      <c r="L37" s="30" t="n">
        <v>10017.25</v>
      </c>
      <c r="M37" s="35" t="n">
        <v>0.8817088484897316</v>
      </c>
      <c r="N37" s="35" t="n">
        <v>0.6277228842506418</v>
      </c>
      <c r="O37" s="35" t="n">
        <v>0.181201550387597</v>
      </c>
      <c r="P37" s="35" t="n">
        <v>0.46690734055355</v>
      </c>
      <c r="Q37" s="35" t="n">
        <v>0.4174418604651162</v>
      </c>
      <c r="R37" s="35" t="n">
        <v>0.009022431917887541</v>
      </c>
      <c r="S37" s="35" t="n">
        <v>0.2354521038495971</v>
      </c>
      <c r="T37" s="35" t="n">
        <v>0.2169008460405799</v>
      </c>
      <c r="U37" s="30" t="n">
        <v>13720</v>
      </c>
      <c r="V37" s="30" t="n">
        <v>6070</v>
      </c>
      <c r="W37" s="35" t="n">
        <v>-0.1115160349854227</v>
      </c>
      <c r="X37" s="35" t="n">
        <v>1.008237232289951</v>
      </c>
      <c r="Y37" s="30" t="n">
        <v>33416778</v>
      </c>
      <c r="Z37" s="30" t="n">
        <v>407350523820</v>
      </c>
      <c r="AA37" s="30" t="n">
        <v>8060186470</v>
      </c>
      <c r="AB37" s="30" t="n">
        <v>17608317850.5</v>
      </c>
      <c r="AC37" s="35" t="n">
        <v>0.01978685676997346</v>
      </c>
      <c r="AD37" s="24" t="inlineStr">
        <is>
          <t>yfinance_download</t>
        </is>
      </c>
      <c r="AE37" s="24" t="inlineStr">
        <is>
          <t>059090.KQ</t>
        </is>
      </c>
    </row>
    <row r="38" ht="24" customHeight="1">
      <c r="A38" s="29" t="inlineStr">
        <is>
          <t>2023-07-31</t>
        </is>
      </c>
      <c r="B38" s="31" t="n">
        <v>12500</v>
      </c>
      <c r="C38" s="31" t="n">
        <v>12770</v>
      </c>
      <c r="D38" s="31" t="n">
        <v>12030</v>
      </c>
      <c r="E38" s="31" t="n">
        <v>12100</v>
      </c>
      <c r="F38" s="31" t="n">
        <v>12100</v>
      </c>
      <c r="G38" s="31" t="n">
        <v>647149</v>
      </c>
      <c r="H38" s="36" t="n">
        <v>-0.007383100902379036</v>
      </c>
      <c r="I38" s="36" t="n">
        <v>-0.2292993630573248</v>
      </c>
      <c r="J38" s="31" t="n">
        <v>12171</v>
      </c>
      <c r="K38" s="31" t="n">
        <v>9926.833333333334</v>
      </c>
      <c r="L38" s="31" t="n">
        <v>10044.08333333333</v>
      </c>
      <c r="M38" s="36" t="n">
        <v>0.8828804117015666</v>
      </c>
      <c r="N38" s="36" t="n">
        <v>0.6275497949465862</v>
      </c>
      <c r="O38" s="36" t="n">
        <v>0.174757281553398</v>
      </c>
      <c r="P38" s="36" t="n">
        <v>0.4235294117647059</v>
      </c>
      <c r="Q38" s="36" t="n">
        <v>0.3626126126126126</v>
      </c>
      <c r="R38" s="36" t="n">
        <v>-0.005833538739626998</v>
      </c>
      <c r="S38" s="36" t="n">
        <v>0.2189184197713268</v>
      </c>
      <c r="T38" s="36" t="n">
        <v>0.2046893278795974</v>
      </c>
      <c r="U38" s="31" t="n">
        <v>13720</v>
      </c>
      <c r="V38" s="31" t="n">
        <v>6070</v>
      </c>
      <c r="W38" s="36" t="n">
        <v>-0.1180758017492711</v>
      </c>
      <c r="X38" s="36" t="n">
        <v>0.9934102141680394</v>
      </c>
      <c r="Y38" s="31" t="n">
        <v>33416778</v>
      </c>
      <c r="Z38" s="31" t="n">
        <v>404343013800</v>
      </c>
      <c r="AA38" s="31" t="n">
        <v>7830502900</v>
      </c>
      <c r="AB38" s="31" t="n">
        <v>17416750210.5</v>
      </c>
      <c r="AC38" s="36" t="n">
        <v>0.01936599034173792</v>
      </c>
      <c r="AD38" s="29" t="inlineStr">
        <is>
          <t>yfinance_download</t>
        </is>
      </c>
      <c r="AE38" s="29" t="inlineStr">
        <is>
          <t>059090.KQ</t>
        </is>
      </c>
    </row>
    <row r="39" ht="24" customHeight="1">
      <c r="A39" s="24" t="inlineStr">
        <is>
          <t>2023-08-01</t>
        </is>
      </c>
      <c r="B39" s="30" t="n">
        <v>12240</v>
      </c>
      <c r="C39" s="30" t="n">
        <v>12240</v>
      </c>
      <c r="D39" s="30" t="n">
        <v>11600</v>
      </c>
      <c r="E39" s="30" t="n">
        <v>12080</v>
      </c>
      <c r="F39" s="30" t="n">
        <v>12080</v>
      </c>
      <c r="G39" s="30" t="n">
        <v>546047</v>
      </c>
      <c r="H39" s="35" t="n">
        <v>-0.001652892561983421</v>
      </c>
      <c r="I39" s="35" t="n">
        <v>-0.2305732484076433</v>
      </c>
      <c r="J39" s="30" t="n">
        <v>12230.5</v>
      </c>
      <c r="K39" s="30" t="n">
        <v>9982.5</v>
      </c>
      <c r="L39" s="30" t="n">
        <v>10072.41666666667</v>
      </c>
      <c r="M39" s="35" t="n">
        <v>0.8651986479390178</v>
      </c>
      <c r="N39" s="35" t="n">
        <v>0.6261460771667327</v>
      </c>
      <c r="O39" s="35" t="n">
        <v>0.1092745638200183</v>
      </c>
      <c r="P39" s="35" t="n">
        <v>0.3821510297482837</v>
      </c>
      <c r="Q39" s="35" t="n">
        <v>0.3917050691244239</v>
      </c>
      <c r="R39" s="35" t="n">
        <v>-0.01230530231797555</v>
      </c>
      <c r="S39" s="35" t="n">
        <v>0.2101177059854746</v>
      </c>
      <c r="T39" s="35" t="n">
        <v>0.1993149608253564</v>
      </c>
      <c r="U39" s="30" t="n">
        <v>13720</v>
      </c>
      <c r="V39" s="30" t="n">
        <v>6070</v>
      </c>
      <c r="W39" s="35" t="n">
        <v>-0.119533527696793</v>
      </c>
      <c r="X39" s="35" t="n">
        <v>0.9901153212520593</v>
      </c>
      <c r="Y39" s="30" t="n">
        <v>33416778</v>
      </c>
      <c r="Z39" s="30" t="n">
        <v>403674678240</v>
      </c>
      <c r="AA39" s="30" t="n">
        <v>6596247760</v>
      </c>
      <c r="AB39" s="30" t="n">
        <v>16986279971</v>
      </c>
      <c r="AC39" s="35" t="n">
        <v>0.01634050416231032</v>
      </c>
      <c r="AD39" s="24" t="inlineStr">
        <is>
          <t>yfinance_download</t>
        </is>
      </c>
      <c r="AE39" s="24" t="inlineStr">
        <is>
          <t>059090.KQ</t>
        </is>
      </c>
    </row>
    <row r="40" ht="24" customHeight="1">
      <c r="A40" s="29" t="inlineStr">
        <is>
          <t>2023-08-02</t>
        </is>
      </c>
      <c r="B40" s="31" t="n">
        <v>12080</v>
      </c>
      <c r="C40" s="31" t="n">
        <v>12270</v>
      </c>
      <c r="D40" s="31" t="n">
        <v>11470</v>
      </c>
      <c r="E40" s="31" t="n">
        <v>11490</v>
      </c>
      <c r="F40" s="31" t="n">
        <v>11490</v>
      </c>
      <c r="G40" s="31" t="n">
        <v>523431</v>
      </c>
      <c r="H40" s="36" t="n">
        <v>-0.04884105960264906</v>
      </c>
      <c r="I40" s="36" t="n">
        <v>-0.2681528662420383</v>
      </c>
      <c r="J40" s="31" t="n">
        <v>12237</v>
      </c>
      <c r="K40" s="31" t="n">
        <v>10032.5</v>
      </c>
      <c r="L40" s="31" t="n">
        <v>10095.83333333333</v>
      </c>
      <c r="M40" s="36" t="n">
        <v>0.8751693388920629</v>
      </c>
      <c r="N40" s="36" t="n">
        <v>0.632286989960098</v>
      </c>
      <c r="O40" s="36" t="n">
        <v>0.011443661971831</v>
      </c>
      <c r="P40" s="36" t="n">
        <v>0.353356890459364</v>
      </c>
      <c r="Q40" s="36" t="n">
        <v>0.3237327188940091</v>
      </c>
      <c r="R40" s="36" t="n">
        <v>-0.06104437362098558</v>
      </c>
      <c r="S40" s="36" t="n">
        <v>0.1452778469972589</v>
      </c>
      <c r="T40" s="36" t="n">
        <v>0.1380932728023112</v>
      </c>
      <c r="U40" s="31" t="n">
        <v>13720</v>
      </c>
      <c r="V40" s="31" t="n">
        <v>6070</v>
      </c>
      <c r="W40" s="36" t="n">
        <v>-0.1625364431486881</v>
      </c>
      <c r="X40" s="36" t="n">
        <v>0.8929159802306426</v>
      </c>
      <c r="Y40" s="31" t="n">
        <v>33416778</v>
      </c>
      <c r="Z40" s="31" t="n">
        <v>383958779220</v>
      </c>
      <c r="AA40" s="31" t="n">
        <v>6014222190</v>
      </c>
      <c r="AB40" s="31" t="n">
        <v>16574587304.5</v>
      </c>
      <c r="AC40" s="36" t="n">
        <v>0.01566371838721255</v>
      </c>
      <c r="AD40" s="29" t="inlineStr">
        <is>
          <t>yfinance_download</t>
        </is>
      </c>
      <c r="AE40" s="29" t="inlineStr">
        <is>
          <t>059090.KQ</t>
        </is>
      </c>
    </row>
    <row r="41" ht="24" customHeight="1">
      <c r="A41" s="24" t="inlineStr">
        <is>
          <t>2023-08-03</t>
        </is>
      </c>
      <c r="B41" s="30" t="n">
        <v>11400</v>
      </c>
      <c r="C41" s="30" t="n">
        <v>11650</v>
      </c>
      <c r="D41" s="30" t="n">
        <v>10860</v>
      </c>
      <c r="E41" s="30" t="n">
        <v>11250</v>
      </c>
      <c r="F41" s="30" t="n">
        <v>11250</v>
      </c>
      <c r="G41" s="30" t="n">
        <v>592649</v>
      </c>
      <c r="H41" s="35" t="n">
        <v>-0.02088772845953002</v>
      </c>
      <c r="I41" s="35" t="n">
        <v>-0.2834394904458599</v>
      </c>
      <c r="J41" s="30" t="n">
        <v>12225</v>
      </c>
      <c r="K41" s="30" t="n">
        <v>10074.16666666667</v>
      </c>
      <c r="L41" s="30" t="n">
        <v>10117.16666666667</v>
      </c>
      <c r="M41" s="35" t="n">
        <v>0.8780472538320042</v>
      </c>
      <c r="N41" s="35" t="n">
        <v>0.6324660108511715</v>
      </c>
      <c r="O41" s="35" t="n">
        <v>-0.02088772845953002</v>
      </c>
      <c r="P41" s="35" t="n">
        <v>0.2857142857142858</v>
      </c>
      <c r="Q41" s="35" t="n">
        <v>0.2945914844649022</v>
      </c>
      <c r="R41" s="35" t="n">
        <v>-0.07975460122699385</v>
      </c>
      <c r="S41" s="35" t="n">
        <v>0.1167176772272314</v>
      </c>
      <c r="T41" s="35" t="n">
        <v>0.1119714017429123</v>
      </c>
      <c r="U41" s="30" t="n">
        <v>13720</v>
      </c>
      <c r="V41" s="30" t="n">
        <v>6070</v>
      </c>
      <c r="W41" s="35" t="n">
        <v>-0.1800291545189504</v>
      </c>
      <c r="X41" s="35" t="n">
        <v>0.8533772652388798</v>
      </c>
      <c r="Y41" s="30" t="n">
        <v>33416778</v>
      </c>
      <c r="Z41" s="30" t="n">
        <v>375938752500</v>
      </c>
      <c r="AA41" s="30" t="n">
        <v>6667301250</v>
      </c>
      <c r="AB41" s="30" t="n">
        <v>16100076104.5</v>
      </c>
      <c r="AC41" s="35" t="n">
        <v>0.01773507308215053</v>
      </c>
      <c r="AD41" s="24" t="inlineStr">
        <is>
          <t>yfinance_download</t>
        </is>
      </c>
      <c r="AE41" s="24" t="inlineStr">
        <is>
          <t>059090.KQ</t>
        </is>
      </c>
    </row>
    <row r="42" ht="24" customHeight="1">
      <c r="A42" s="29" t="inlineStr">
        <is>
          <t>2023-08-04</t>
        </is>
      </c>
      <c r="B42" s="31" t="n">
        <v>11270</v>
      </c>
      <c r="C42" s="31" t="n">
        <v>11800</v>
      </c>
      <c r="D42" s="31" t="n">
        <v>11150</v>
      </c>
      <c r="E42" s="31" t="n">
        <v>11500</v>
      </c>
      <c r="F42" s="31" t="n">
        <v>11500</v>
      </c>
      <c r="G42" s="31" t="n">
        <v>424423</v>
      </c>
      <c r="H42" s="36" t="n">
        <v>0.02222222222222214</v>
      </c>
      <c r="I42" s="36" t="n">
        <v>-0.267515923566879</v>
      </c>
      <c r="J42" s="31" t="n">
        <v>12247</v>
      </c>
      <c r="K42" s="31" t="n">
        <v>10123</v>
      </c>
      <c r="L42" s="31" t="n">
        <v>10140.25</v>
      </c>
      <c r="M42" s="36" t="n">
        <v>0.8694960981835244</v>
      </c>
      <c r="N42" s="36" t="n">
        <v>0.6311686052873695</v>
      </c>
      <c r="O42" s="36" t="n">
        <v>0.03978300180831829</v>
      </c>
      <c r="P42" s="36" t="n">
        <v>0.3418903150525088</v>
      </c>
      <c r="Q42" s="36" t="n">
        <v>0.3172966781214204</v>
      </c>
      <c r="R42" s="36" t="n">
        <v>-0.06099452927247484</v>
      </c>
      <c r="S42" s="36" t="n">
        <v>0.1360268695050875</v>
      </c>
      <c r="T42" s="36" t="n">
        <v>0.1340943270629422</v>
      </c>
      <c r="U42" s="31" t="n">
        <v>13720</v>
      </c>
      <c r="V42" s="31" t="n">
        <v>6070</v>
      </c>
      <c r="W42" s="36" t="n">
        <v>-0.1618075801749271</v>
      </c>
      <c r="X42" s="36" t="n">
        <v>0.8945634266886326</v>
      </c>
      <c r="Y42" s="31" t="n">
        <v>33416778</v>
      </c>
      <c r="Z42" s="31" t="n">
        <v>384292947000</v>
      </c>
      <c r="AA42" s="31" t="n">
        <v>4880864500</v>
      </c>
      <c r="AB42" s="31" t="n">
        <v>15357633136.5</v>
      </c>
      <c r="AC42" s="36" t="n">
        <v>0.01270089534065792</v>
      </c>
      <c r="AD42" s="29" t="inlineStr">
        <is>
          <t>yfinance_download</t>
        </is>
      </c>
      <c r="AE42" s="29" t="inlineStr">
        <is>
          <t>059090.KQ</t>
        </is>
      </c>
    </row>
    <row r="43" ht="24" customHeight="1">
      <c r="A43" s="24" t="inlineStr">
        <is>
          <t>2023-08-07</t>
        </is>
      </c>
      <c r="B43" s="30" t="n">
        <v>11670</v>
      </c>
      <c r="C43" s="30" t="n">
        <v>11670</v>
      </c>
      <c r="D43" s="30" t="n">
        <v>10880</v>
      </c>
      <c r="E43" s="30" t="n">
        <v>10990</v>
      </c>
      <c r="F43" s="30" t="n">
        <v>10990</v>
      </c>
      <c r="G43" s="30" t="n">
        <v>509536</v>
      </c>
      <c r="H43" s="35" t="n">
        <v>-0.04434782608695653</v>
      </c>
      <c r="I43" s="35" t="n">
        <v>-0.3</v>
      </c>
      <c r="J43" s="30" t="n">
        <v>12269.5</v>
      </c>
      <c r="K43" s="30" t="n">
        <v>10165.66666666667</v>
      </c>
      <c r="L43" s="30" t="n">
        <v>10161.58333333333</v>
      </c>
      <c r="M43" s="35" t="n">
        <v>0.8674958803052923</v>
      </c>
      <c r="N43" s="35" t="n">
        <v>0.6379140755131177</v>
      </c>
      <c r="O43" s="35" t="n">
        <v>0.04269449715370022</v>
      </c>
      <c r="P43" s="35" t="n">
        <v>0.3036773428232502</v>
      </c>
      <c r="Q43" s="35" t="n">
        <v>0.3036773428232502</v>
      </c>
      <c r="R43" s="35" t="n">
        <v>-0.1042829781164677</v>
      </c>
      <c r="S43" s="35" t="n">
        <v>0.08108994327310892</v>
      </c>
      <c r="T43" s="35" t="n">
        <v>0.08152436874174795</v>
      </c>
      <c r="U43" s="30" t="n">
        <v>13720</v>
      </c>
      <c r="V43" s="30" t="n">
        <v>6070</v>
      </c>
      <c r="W43" s="35" t="n">
        <v>-0.1989795918367347</v>
      </c>
      <c r="X43" s="35" t="n">
        <v>0.8105436573311366</v>
      </c>
      <c r="Y43" s="30" t="n">
        <v>33416778</v>
      </c>
      <c r="Z43" s="30" t="n">
        <v>367250390220</v>
      </c>
      <c r="AA43" s="30" t="n">
        <v>5599800640</v>
      </c>
      <c r="AB43" s="30" t="n">
        <v>15088537652.5</v>
      </c>
      <c r="AC43" s="35" t="n">
        <v>0.0152479092987361</v>
      </c>
      <c r="AD43" s="24" t="inlineStr">
        <is>
          <t>yfinance_download</t>
        </is>
      </c>
      <c r="AE43" s="24" t="inlineStr">
        <is>
          <t>059090.KQ</t>
        </is>
      </c>
    </row>
    <row r="44" ht="24" customHeight="1">
      <c r="A44" s="29" t="inlineStr">
        <is>
          <t>2023-08-08</t>
        </is>
      </c>
      <c r="B44" s="31" t="n">
        <v>11020</v>
      </c>
      <c r="C44" s="31" t="n">
        <v>11210</v>
      </c>
      <c r="D44" s="31" t="n">
        <v>10640</v>
      </c>
      <c r="E44" s="31" t="n">
        <v>10780</v>
      </c>
      <c r="F44" s="31" t="n">
        <v>10780</v>
      </c>
      <c r="G44" s="31" t="n">
        <v>306057</v>
      </c>
      <c r="H44" s="36" t="n">
        <v>-0.01910828025477707</v>
      </c>
      <c r="I44" s="36" t="n">
        <v>-0.313375796178344</v>
      </c>
      <c r="J44" s="31" t="n">
        <v>12296.5</v>
      </c>
      <c r="K44" s="31" t="n">
        <v>10205.5</v>
      </c>
      <c r="L44" s="31" t="n">
        <v>10182.83333333333</v>
      </c>
      <c r="M44" s="36" t="n">
        <v>0.8635554619064697</v>
      </c>
      <c r="N44" s="36" t="n">
        <v>0.63954753756663</v>
      </c>
      <c r="O44" s="36" t="n">
        <v>0.052734375</v>
      </c>
      <c r="P44" s="36" t="n">
        <v>0.2848629320619784</v>
      </c>
      <c r="Q44" s="36" t="n">
        <v>0.3098420413122722</v>
      </c>
      <c r="R44" s="36" t="n">
        <v>-0.1233277761964787</v>
      </c>
      <c r="S44" s="36" t="n">
        <v>0.05629317524864041</v>
      </c>
      <c r="T44" s="36" t="n">
        <v>0.05864445062769041</v>
      </c>
      <c r="U44" s="31" t="n">
        <v>13720</v>
      </c>
      <c r="V44" s="31" t="n">
        <v>6070</v>
      </c>
      <c r="W44" s="36" t="n">
        <v>-0.2142857142857143</v>
      </c>
      <c r="X44" s="36" t="n">
        <v>0.7759472817133444</v>
      </c>
      <c r="Y44" s="31" t="n">
        <v>33416778</v>
      </c>
      <c r="Z44" s="31" t="n">
        <v>360232866840</v>
      </c>
      <c r="AA44" s="31" t="n">
        <v>3299294460</v>
      </c>
      <c r="AB44" s="31" t="n">
        <v>14840976295.5</v>
      </c>
      <c r="AC44" s="36" t="n">
        <v>0.009158782453532773</v>
      </c>
      <c r="AD44" s="29" t="inlineStr">
        <is>
          <t>yfinance_download</t>
        </is>
      </c>
      <c r="AE44" s="29" t="inlineStr">
        <is>
          <t>059090.KQ</t>
        </is>
      </c>
    </row>
    <row r="45" ht="24" customHeight="1">
      <c r="A45" s="24" t="inlineStr">
        <is>
          <t>2023-08-09</t>
        </is>
      </c>
      <c r="B45" s="30" t="n">
        <v>10790</v>
      </c>
      <c r="C45" s="30" t="n">
        <v>11190</v>
      </c>
      <c r="D45" s="30" t="n">
        <v>10600</v>
      </c>
      <c r="E45" s="30" t="n">
        <v>10890</v>
      </c>
      <c r="F45" s="30" t="n">
        <v>10890</v>
      </c>
      <c r="G45" s="30" t="n">
        <v>247660</v>
      </c>
      <c r="H45" s="35" t="n">
        <v>0.01020408163265296</v>
      </c>
      <c r="I45" s="35" t="n">
        <v>-0.3063694267515924</v>
      </c>
      <c r="J45" s="30" t="n">
        <v>12263.5</v>
      </c>
      <c r="K45" s="30" t="n">
        <v>10247.16666666667</v>
      </c>
      <c r="L45" s="30" t="n">
        <v>10202.91666666667</v>
      </c>
      <c r="M45" s="35" t="n">
        <v>0.7301682511308492</v>
      </c>
      <c r="N45" s="35" t="n">
        <v>0.6395513869103551</v>
      </c>
      <c r="O45" s="35" t="n">
        <v>-0.05714285714285716</v>
      </c>
      <c r="P45" s="35" t="n">
        <v>0.2979737783075089</v>
      </c>
      <c r="Q45" s="35" t="n">
        <v>0.2841981132075471</v>
      </c>
      <c r="R45" s="35" t="n">
        <v>-0.1119990214865251</v>
      </c>
      <c r="S45" s="35" t="n">
        <v>0.06273278792511761</v>
      </c>
      <c r="T45" s="35" t="n">
        <v>0.06734185486176347</v>
      </c>
      <c r="U45" s="30" t="n">
        <v>13720</v>
      </c>
      <c r="V45" s="30" t="n">
        <v>6070</v>
      </c>
      <c r="W45" s="35" t="n">
        <v>-0.206268221574344</v>
      </c>
      <c r="X45" s="35" t="n">
        <v>0.7940691927512356</v>
      </c>
      <c r="Y45" s="30" t="n">
        <v>33416778</v>
      </c>
      <c r="Z45" s="30" t="n">
        <v>363908712420</v>
      </c>
      <c r="AA45" s="30" t="n">
        <v>2697017400</v>
      </c>
      <c r="AB45" s="30" t="n">
        <v>14185618900.5</v>
      </c>
      <c r="AC45" s="35" t="n">
        <v>0.007411247128613058</v>
      </c>
      <c r="AD45" s="24" t="inlineStr">
        <is>
          <t>yfinance_download</t>
        </is>
      </c>
      <c r="AE45" s="24" t="inlineStr">
        <is>
          <t>059090.KQ</t>
        </is>
      </c>
    </row>
    <row r="46" ht="24" customHeight="1">
      <c r="A46" s="29" t="inlineStr">
        <is>
          <t>2023-08-10</t>
        </is>
      </c>
      <c r="B46" s="31" t="n">
        <v>10700</v>
      </c>
      <c r="C46" s="31" t="n">
        <v>10700</v>
      </c>
      <c r="D46" s="31" t="n">
        <v>10220</v>
      </c>
      <c r="E46" s="31" t="n">
        <v>10480</v>
      </c>
      <c r="F46" s="31" t="n">
        <v>10480</v>
      </c>
      <c r="G46" s="31" t="n">
        <v>457564</v>
      </c>
      <c r="H46" s="36" t="n">
        <v>-0.0376492194674013</v>
      </c>
      <c r="I46" s="36" t="n">
        <v>-0.3324840764331211</v>
      </c>
      <c r="J46" s="31" t="n">
        <v>12137.5</v>
      </c>
      <c r="K46" s="31" t="n">
        <v>10284.33333333333</v>
      </c>
      <c r="L46" s="31" t="n">
        <v>10221.66666666667</v>
      </c>
      <c r="M46" s="36" t="n">
        <v>0.5628579540673959</v>
      </c>
      <c r="N46" s="36" t="n">
        <v>0.6440329310061745</v>
      </c>
      <c r="O46" s="36" t="n">
        <v>-0.1938461538461539</v>
      </c>
      <c r="P46" s="36" t="n">
        <v>0.2703030303030303</v>
      </c>
      <c r="Q46" s="36" t="n">
        <v>0.2733900364520048</v>
      </c>
      <c r="R46" s="36" t="n">
        <v>-0.1365602471678682</v>
      </c>
      <c r="S46" s="36" t="n">
        <v>0.0190257025248759</v>
      </c>
      <c r="T46" s="36" t="n">
        <v>0.02527311266916676</v>
      </c>
      <c r="U46" s="31" t="n">
        <v>13720</v>
      </c>
      <c r="V46" s="31" t="n">
        <v>6070</v>
      </c>
      <c r="W46" s="36" t="n">
        <v>-0.2361516034985423</v>
      </c>
      <c r="X46" s="36" t="n">
        <v>0.7265238879736409</v>
      </c>
      <c r="Y46" s="31" t="n">
        <v>33416778</v>
      </c>
      <c r="Z46" s="31" t="n">
        <v>350207833440</v>
      </c>
      <c r="AA46" s="31" t="n">
        <v>4795270720</v>
      </c>
      <c r="AB46" s="31" t="n">
        <v>12116186586.5</v>
      </c>
      <c r="AC46" s="36" t="n">
        <v>0.01369264265992371</v>
      </c>
      <c r="AD46" s="29" t="inlineStr">
        <is>
          <t>yfinance_download</t>
        </is>
      </c>
      <c r="AE46" s="29" t="inlineStr">
        <is>
          <t>059090.KQ</t>
        </is>
      </c>
    </row>
    <row r="47" ht="24" customHeight="1">
      <c r="A47" s="24" t="inlineStr">
        <is>
          <t>2023-08-11</t>
        </is>
      </c>
      <c r="B47" s="30" t="n">
        <v>10400</v>
      </c>
      <c r="C47" s="30" t="n">
        <v>11350</v>
      </c>
      <c r="D47" s="30" t="n">
        <v>10400</v>
      </c>
      <c r="E47" s="30" t="n">
        <v>11050</v>
      </c>
      <c r="F47" s="30" t="n">
        <v>11050</v>
      </c>
      <c r="G47" s="30" t="n">
        <v>467399</v>
      </c>
      <c r="H47" s="35" t="n">
        <v>0.05438931297709915</v>
      </c>
      <c r="I47" s="35" t="n">
        <v>-0.2961783439490446</v>
      </c>
      <c r="J47" s="30" t="n">
        <v>12030</v>
      </c>
      <c r="K47" s="30" t="n">
        <v>10333.16666666667</v>
      </c>
      <c r="L47" s="30" t="n">
        <v>10243.83333333333</v>
      </c>
      <c r="M47" s="35" t="n">
        <v>0.6019599450568758</v>
      </c>
      <c r="N47" s="35" t="n">
        <v>0.6504902824264138</v>
      </c>
      <c r="O47" s="35" t="n">
        <v>-0.1628787878787878</v>
      </c>
      <c r="P47" s="35" t="n">
        <v>0.3608374384236452</v>
      </c>
      <c r="Q47" s="35" t="n">
        <v>0.3170441001191895</v>
      </c>
      <c r="R47" s="35" t="n">
        <v>-0.08146300914380711</v>
      </c>
      <c r="S47" s="35" t="n">
        <v>0.06937208664655881</v>
      </c>
      <c r="T47" s="35" t="n">
        <v>0.07869775311976301</v>
      </c>
      <c r="U47" s="30" t="n">
        <v>13720</v>
      </c>
      <c r="V47" s="30" t="n">
        <v>6070</v>
      </c>
      <c r="W47" s="35" t="n">
        <v>-0.1946064139941691</v>
      </c>
      <c r="X47" s="35" t="n">
        <v>0.8204283360790774</v>
      </c>
      <c r="Y47" s="30" t="n">
        <v>33416778</v>
      </c>
      <c r="Z47" s="30" t="n">
        <v>369255396900</v>
      </c>
      <c r="AA47" s="30" t="n">
        <v>5164758950</v>
      </c>
      <c r="AB47" s="30" t="n">
        <v>10824765654</v>
      </c>
      <c r="AC47" s="35" t="n">
        <v>0.01398695589383273</v>
      </c>
      <c r="AD47" s="24" t="inlineStr">
        <is>
          <t>yfinance_download</t>
        </is>
      </c>
      <c r="AE47" s="24" t="inlineStr">
        <is>
          <t>059090.KQ</t>
        </is>
      </c>
    </row>
    <row r="48" ht="24" customHeight="1">
      <c r="A48" s="29" t="inlineStr">
        <is>
          <t>2023-08-14</t>
        </is>
      </c>
      <c r="B48" s="31" t="n">
        <v>10880</v>
      </c>
      <c r="C48" s="31" t="n">
        <v>11290</v>
      </c>
      <c r="D48" s="31" t="n">
        <v>10690</v>
      </c>
      <c r="E48" s="31" t="n">
        <v>10800</v>
      </c>
      <c r="F48" s="31" t="n">
        <v>10800</v>
      </c>
      <c r="G48" s="31" t="n">
        <v>260678</v>
      </c>
      <c r="H48" s="36" t="n">
        <v>-0.0226244343891403</v>
      </c>
      <c r="I48" s="36" t="n">
        <v>-0.3121019108280255</v>
      </c>
      <c r="J48" s="31" t="n">
        <v>11892</v>
      </c>
      <c r="K48" s="31" t="n">
        <v>10372.66666666667</v>
      </c>
      <c r="L48" s="31" t="n">
        <v>10264.83333333333</v>
      </c>
      <c r="M48" s="36" t="n">
        <v>0.5889219075365882</v>
      </c>
      <c r="N48" s="36" t="n">
        <v>0.6495582859573804</v>
      </c>
      <c r="O48" s="36" t="n">
        <v>-0.2035398230088495</v>
      </c>
      <c r="P48" s="36" t="n">
        <v>0.2811387900355873</v>
      </c>
      <c r="Q48" s="36" t="n">
        <v>0.3043478260869565</v>
      </c>
      <c r="R48" s="36" t="n">
        <v>-0.09182643794147327</v>
      </c>
      <c r="S48" s="36" t="n">
        <v>0.04119802043833154</v>
      </c>
      <c r="T48" s="36" t="n">
        <v>0.05213593336472422</v>
      </c>
      <c r="U48" s="31" t="n">
        <v>13720</v>
      </c>
      <c r="V48" s="31" t="n">
        <v>6070</v>
      </c>
      <c r="W48" s="36" t="n">
        <v>-0.2128279883381924</v>
      </c>
      <c r="X48" s="36" t="n">
        <v>0.7792421746293245</v>
      </c>
      <c r="Y48" s="31" t="n">
        <v>33416778</v>
      </c>
      <c r="Z48" s="31" t="n">
        <v>360901202400</v>
      </c>
      <c r="AA48" s="31" t="n">
        <v>2815322400</v>
      </c>
      <c r="AB48" s="31" t="n">
        <v>9984924102</v>
      </c>
      <c r="AC48" s="36" t="n">
        <v>0.007800811915499454</v>
      </c>
      <c r="AD48" s="29" t="inlineStr">
        <is>
          <t>yfinance_download</t>
        </is>
      </c>
      <c r="AE48" s="29" t="inlineStr">
        <is>
          <t>059090.KQ</t>
        </is>
      </c>
    </row>
    <row r="49" ht="24" customHeight="1">
      <c r="A49" s="24" t="inlineStr">
        <is>
          <t>2023-08-16</t>
        </is>
      </c>
      <c r="B49" s="30" t="n">
        <v>10450</v>
      </c>
      <c r="C49" s="30" t="n">
        <v>11100</v>
      </c>
      <c r="D49" s="30" t="n">
        <v>10440</v>
      </c>
      <c r="E49" s="30" t="n">
        <v>10540</v>
      </c>
      <c r="F49" s="30" t="n">
        <v>10540</v>
      </c>
      <c r="G49" s="30" t="n">
        <v>306594</v>
      </c>
      <c r="H49" s="35" t="n">
        <v>-0.02407407407407403</v>
      </c>
      <c r="I49" s="35" t="n">
        <v>-0.3286624203821656</v>
      </c>
      <c r="J49" s="30" t="n">
        <v>11734</v>
      </c>
      <c r="K49" s="30" t="n">
        <v>10402</v>
      </c>
      <c r="L49" s="30" t="n">
        <v>10282.66666666667</v>
      </c>
      <c r="M49" s="35" t="n">
        <v>0.5853168689827383</v>
      </c>
      <c r="N49" s="35" t="n">
        <v>0.6476872661777745</v>
      </c>
      <c r="O49" s="35" t="n">
        <v>-0.2306569343065693</v>
      </c>
      <c r="P49" s="35" t="n">
        <v>0.2004555808656037</v>
      </c>
      <c r="Q49" s="35" t="n">
        <v>0.2547619047619047</v>
      </c>
      <c r="R49" s="35" t="n">
        <v>-0.1017555820692007</v>
      </c>
      <c r="S49" s="35" t="n">
        <v>0.01326667948471449</v>
      </c>
      <c r="T49" s="35" t="n">
        <v>0.02502593360995853</v>
      </c>
      <c r="U49" s="30" t="n">
        <v>13720</v>
      </c>
      <c r="V49" s="30" t="n">
        <v>6070</v>
      </c>
      <c r="W49" s="35" t="n">
        <v>-0.2317784256559767</v>
      </c>
      <c r="X49" s="35" t="n">
        <v>0.7364085667215816</v>
      </c>
      <c r="Y49" s="30" t="n">
        <v>33416778</v>
      </c>
      <c r="Z49" s="30" t="n">
        <v>352212840120</v>
      </c>
      <c r="AA49" s="30" t="n">
        <v>3231500760</v>
      </c>
      <c r="AB49" s="30" t="n">
        <v>9209516410</v>
      </c>
      <c r="AC49" s="35" t="n">
        <v>0.009174852225429991</v>
      </c>
      <c r="AD49" s="24" t="inlineStr">
        <is>
          <t>yfinance_download</t>
        </is>
      </c>
      <c r="AE49" s="24" t="inlineStr">
        <is>
          <t>059090.KQ</t>
        </is>
      </c>
    </row>
    <row r="50" ht="24" customHeight="1">
      <c r="A50" s="29" t="inlineStr">
        <is>
          <t>2023-08-17</t>
        </is>
      </c>
      <c r="B50" s="31" t="n">
        <v>10270</v>
      </c>
      <c r="C50" s="31" t="n">
        <v>10930</v>
      </c>
      <c r="D50" s="31" t="n">
        <v>10150</v>
      </c>
      <c r="E50" s="31" t="n">
        <v>10870</v>
      </c>
      <c r="F50" s="31" t="n">
        <v>10870</v>
      </c>
      <c r="G50" s="31" t="n">
        <v>281144</v>
      </c>
      <c r="H50" s="36" t="n">
        <v>0.03130929791271342</v>
      </c>
      <c r="I50" s="36" t="n">
        <v>-0.3076433121019109</v>
      </c>
      <c r="J50" s="31" t="n">
        <v>11625</v>
      </c>
      <c r="K50" s="31" t="n">
        <v>10434.66666666667</v>
      </c>
      <c r="L50" s="31" t="n">
        <v>10304.08333333333</v>
      </c>
      <c r="M50" s="36" t="n">
        <v>0.5894729578772562</v>
      </c>
      <c r="N50" s="36" t="n">
        <v>0.6497600290261749</v>
      </c>
      <c r="O50" s="36" t="n">
        <v>-0.1670498084291188</v>
      </c>
      <c r="P50" s="36" t="n">
        <v>0.2199775533108868</v>
      </c>
      <c r="Q50" s="36" t="n">
        <v>0.3096385542168674</v>
      </c>
      <c r="R50" s="36" t="n">
        <v>-0.06494623655913978</v>
      </c>
      <c r="S50" s="36" t="n">
        <v>0.04171990799897785</v>
      </c>
      <c r="T50" s="36" t="n">
        <v>0.05492159257252371</v>
      </c>
      <c r="U50" s="31" t="n">
        <v>13720</v>
      </c>
      <c r="V50" s="31" t="n">
        <v>6070</v>
      </c>
      <c r="W50" s="36" t="n">
        <v>-0.2077259475218659</v>
      </c>
      <c r="X50" s="36" t="n">
        <v>0.7907742998352554</v>
      </c>
      <c r="Y50" s="31" t="n">
        <v>33416778</v>
      </c>
      <c r="Z50" s="31" t="n">
        <v>363240376860</v>
      </c>
      <c r="AA50" s="31" t="n">
        <v>3056035280</v>
      </c>
      <c r="AB50" s="31" t="n">
        <v>8519564181.5</v>
      </c>
      <c r="AC50" s="36" t="n">
        <v>0.008413258752833681</v>
      </c>
      <c r="AD50" s="29" t="inlineStr">
        <is>
          <t>yfinance_download</t>
        </is>
      </c>
      <c r="AE50" s="29" t="inlineStr">
        <is>
          <t>059090.KQ</t>
        </is>
      </c>
    </row>
    <row r="51" ht="24" customHeight="1">
      <c r="A51" s="24" t="inlineStr">
        <is>
          <t>2023-08-18</t>
        </is>
      </c>
      <c r="B51" s="30" t="n">
        <v>10800</v>
      </c>
      <c r="C51" s="30" t="n">
        <v>11400</v>
      </c>
      <c r="D51" s="30" t="n">
        <v>10600</v>
      </c>
      <c r="E51" s="30" t="n">
        <v>11030</v>
      </c>
      <c r="F51" s="30" t="n">
        <v>11030</v>
      </c>
      <c r="G51" s="30" t="n">
        <v>385404</v>
      </c>
      <c r="H51" s="35" t="n">
        <v>0.01471941122355114</v>
      </c>
      <c r="I51" s="35" t="n">
        <v>-0.2974522292993631</v>
      </c>
      <c r="J51" s="30" t="n">
        <v>11490.5</v>
      </c>
      <c r="K51" s="30" t="n">
        <v>10470.5</v>
      </c>
      <c r="L51" s="30" t="n">
        <v>10328.83333333333</v>
      </c>
      <c r="M51" s="35" t="n">
        <v>0.553450034496983</v>
      </c>
      <c r="N51" s="35" t="n">
        <v>0.6499272487187394</v>
      </c>
      <c r="O51" s="35" t="n">
        <v>-0.1960641399416909</v>
      </c>
      <c r="P51" s="35" t="n">
        <v>0.242117117117117</v>
      </c>
      <c r="Q51" s="35" t="n">
        <v>0.3684863523573201</v>
      </c>
      <c r="R51" s="35" t="n">
        <v>-0.04007658500500411</v>
      </c>
      <c r="S51" s="35" t="n">
        <v>0.05343584356047937</v>
      </c>
      <c r="T51" s="35" t="n">
        <v>0.0678844012715214</v>
      </c>
      <c r="U51" s="30" t="n">
        <v>13720</v>
      </c>
      <c r="V51" s="30" t="n">
        <v>6070</v>
      </c>
      <c r="W51" s="35" t="n">
        <v>-0.1960641399416909</v>
      </c>
      <c r="X51" s="35" t="n">
        <v>0.8171334431630972</v>
      </c>
      <c r="Y51" s="30" t="n">
        <v>33416778</v>
      </c>
      <c r="Z51" s="30" t="n">
        <v>368587061340</v>
      </c>
      <c r="AA51" s="30" t="n">
        <v>4251006120</v>
      </c>
      <c r="AB51" s="30" t="n">
        <v>7648487621.5</v>
      </c>
      <c r="AC51" s="35" t="n">
        <v>0.01153324835805535</v>
      </c>
      <c r="AD51" s="24" t="inlineStr">
        <is>
          <t>yfinance_download</t>
        </is>
      </c>
      <c r="AE51" s="24" t="inlineStr">
        <is>
          <t>059090.KQ</t>
        </is>
      </c>
    </row>
    <row r="52" ht="24" customHeight="1">
      <c r="A52" s="29" t="inlineStr">
        <is>
          <t>2023-08-21</t>
        </is>
      </c>
      <c r="B52" s="31" t="n">
        <v>11390</v>
      </c>
      <c r="C52" s="31" t="n">
        <v>11550</v>
      </c>
      <c r="D52" s="31" t="n">
        <v>11000</v>
      </c>
      <c r="E52" s="31" t="n">
        <v>11070</v>
      </c>
      <c r="F52" s="31" t="n">
        <v>11070</v>
      </c>
      <c r="G52" s="31" t="n">
        <v>331141</v>
      </c>
      <c r="H52" s="36" t="n">
        <v>0.003626473254759732</v>
      </c>
      <c r="I52" s="36" t="n">
        <v>-0.2949044585987262</v>
      </c>
      <c r="J52" s="31" t="n">
        <v>11376.5</v>
      </c>
      <c r="K52" s="31" t="n">
        <v>10506.16666666667</v>
      </c>
      <c r="L52" s="31" t="n">
        <v>10353.66666666667</v>
      </c>
      <c r="M52" s="36" t="n">
        <v>0.5518580548177988</v>
      </c>
      <c r="N52" s="36" t="n">
        <v>0.6499242851385342</v>
      </c>
      <c r="O52" s="36" t="n">
        <v>-0.1707865168539325</v>
      </c>
      <c r="P52" s="36" t="n">
        <v>0.2396416573348263</v>
      </c>
      <c r="Q52" s="36" t="n">
        <v>0.3683559950556243</v>
      </c>
      <c r="R52" s="36" t="n">
        <v>-0.02694150221948755</v>
      </c>
      <c r="S52" s="36" t="n">
        <v>0.05366689404635383</v>
      </c>
      <c r="T52" s="36" t="n">
        <v>0.06918643958661996</v>
      </c>
      <c r="U52" s="31" t="n">
        <v>13720</v>
      </c>
      <c r="V52" s="31" t="n">
        <v>6070</v>
      </c>
      <c r="W52" s="36" t="n">
        <v>-0.1931486880466472</v>
      </c>
      <c r="X52" s="36" t="n">
        <v>0.8237232289950576</v>
      </c>
      <c r="Y52" s="31" t="n">
        <v>33416778</v>
      </c>
      <c r="Z52" s="31" t="n">
        <v>369923732460</v>
      </c>
      <c r="AA52" s="31" t="n">
        <v>3665730870</v>
      </c>
      <c r="AB52" s="31" t="n">
        <v>7144726427.5</v>
      </c>
      <c r="AC52" s="36" t="n">
        <v>0.009909423344165617</v>
      </c>
      <c r="AD52" s="29" t="inlineStr">
        <is>
          <t>yfinance_download</t>
        </is>
      </c>
      <c r="AE52" s="29" t="inlineStr">
        <is>
          <t>059090.KQ</t>
        </is>
      </c>
    </row>
    <row r="53" ht="24" customHeight="1">
      <c r="A53" s="24" t="inlineStr">
        <is>
          <t>2023-08-22</t>
        </is>
      </c>
      <c r="B53" s="30" t="n">
        <v>11110</v>
      </c>
      <c r="C53" s="30" t="n">
        <v>11440</v>
      </c>
      <c r="D53" s="30" t="n">
        <v>10360</v>
      </c>
      <c r="E53" s="30" t="n">
        <v>10410</v>
      </c>
      <c r="F53" s="30" t="n">
        <v>10410</v>
      </c>
      <c r="G53" s="30" t="n">
        <v>501057</v>
      </c>
      <c r="H53" s="35" t="n">
        <v>-0.05962059620596205</v>
      </c>
      <c r="I53" s="35" t="n">
        <v>-0.3369426751592357</v>
      </c>
      <c r="J53" s="30" t="n">
        <v>11281</v>
      </c>
      <c r="K53" s="30" t="n">
        <v>10534.5</v>
      </c>
      <c r="L53" s="30" t="n">
        <v>10374.33333333333</v>
      </c>
      <c r="M53" s="35" t="n">
        <v>0.5259290925833616</v>
      </c>
      <c r="N53" s="35" t="n">
        <v>0.6604661636163264</v>
      </c>
      <c r="O53" s="35" t="n">
        <v>-0.1550324675324676</v>
      </c>
      <c r="P53" s="35" t="n">
        <v>0.1951779563719862</v>
      </c>
      <c r="Q53" s="35" t="n">
        <v>0.3127364438839848</v>
      </c>
      <c r="R53" s="35" t="n">
        <v>-0.07720946724581157</v>
      </c>
      <c r="S53" s="35" t="n">
        <v>-0.01181831126299304</v>
      </c>
      <c r="T53" s="35" t="n">
        <v>0.003437971917874094</v>
      </c>
      <c r="U53" s="30" t="n">
        <v>13720</v>
      </c>
      <c r="V53" s="30" t="n">
        <v>6070</v>
      </c>
      <c r="W53" s="35" t="n">
        <v>-0.2412536443148688</v>
      </c>
      <c r="X53" s="35" t="n">
        <v>0.71499176276771</v>
      </c>
      <c r="Y53" s="30" t="n">
        <v>33416778</v>
      </c>
      <c r="Z53" s="30" t="n">
        <v>347868658980</v>
      </c>
      <c r="AA53" s="30" t="n">
        <v>5216003370</v>
      </c>
      <c r="AB53" s="30" t="n">
        <v>6357986564</v>
      </c>
      <c r="AC53" s="35" t="n">
        <v>0.0149941744832491</v>
      </c>
      <c r="AD53" s="24" t="inlineStr">
        <is>
          <t>yfinance_download</t>
        </is>
      </c>
      <c r="AE53" s="24" t="inlineStr">
        <is>
          <t>059090.KQ</t>
        </is>
      </c>
    </row>
    <row r="54" ht="24" customHeight="1">
      <c r="A54" s="29" t="inlineStr">
        <is>
          <t>2023-08-23</t>
        </is>
      </c>
      <c r="B54" s="31" t="n">
        <v>10350</v>
      </c>
      <c r="C54" s="31" t="n">
        <v>10750</v>
      </c>
      <c r="D54" s="31" t="n">
        <v>10140</v>
      </c>
      <c r="E54" s="31" t="n">
        <v>10500</v>
      </c>
      <c r="F54" s="31" t="n">
        <v>10500</v>
      </c>
      <c r="G54" s="31" t="n">
        <v>301291</v>
      </c>
      <c r="H54" s="36" t="n">
        <v>0.008645533141210304</v>
      </c>
      <c r="I54" s="36" t="n">
        <v>-0.3312101910828026</v>
      </c>
      <c r="J54" s="31" t="n">
        <v>11184.5</v>
      </c>
      <c r="K54" s="31" t="n">
        <v>10564</v>
      </c>
      <c r="L54" s="31" t="n">
        <v>10395.66666666667</v>
      </c>
      <c r="M54" s="36" t="n">
        <v>0.5258101979659753</v>
      </c>
      <c r="N54" s="36" t="n">
        <v>0.6605324401194145</v>
      </c>
      <c r="O54" s="36" t="n">
        <v>-0.1552695092518102</v>
      </c>
      <c r="P54" s="36" t="n">
        <v>0.2027491408934707</v>
      </c>
      <c r="Q54" s="36" t="n">
        <v>0.3224181360201512</v>
      </c>
      <c r="R54" s="36" t="n">
        <v>-0.06120076892127502</v>
      </c>
      <c r="S54" s="36" t="n">
        <v>-0.0060583112457403</v>
      </c>
      <c r="T54" s="36" t="n">
        <v>0.01003623304582035</v>
      </c>
      <c r="U54" s="31" t="n">
        <v>13720</v>
      </c>
      <c r="V54" s="31" t="n">
        <v>6070</v>
      </c>
      <c r="W54" s="36" t="n">
        <v>-0.2346938775510204</v>
      </c>
      <c r="X54" s="36" t="n">
        <v>0.729818780889621</v>
      </c>
      <c r="Y54" s="31" t="n">
        <v>33416778</v>
      </c>
      <c r="Z54" s="31" t="n">
        <v>350876169000</v>
      </c>
      <c r="AA54" s="31" t="n">
        <v>3163555500</v>
      </c>
      <c r="AB54" s="31" t="n">
        <v>5996988720.5</v>
      </c>
      <c r="AC54" s="36" t="n">
        <v>0.00901615948730904</v>
      </c>
      <c r="AD54" s="29" t="inlineStr">
        <is>
          <t>yfinance_download</t>
        </is>
      </c>
      <c r="AE54" s="29" t="inlineStr">
        <is>
          <t>059090.KQ</t>
        </is>
      </c>
    </row>
    <row r="55" ht="24" customHeight="1">
      <c r="A55" s="24" t="inlineStr">
        <is>
          <t>2023-08-24</t>
        </is>
      </c>
      <c r="B55" s="30" t="n">
        <v>10900</v>
      </c>
      <c r="C55" s="30" t="n">
        <v>11080</v>
      </c>
      <c r="D55" s="30" t="n">
        <v>10620</v>
      </c>
      <c r="E55" s="30" t="n">
        <v>10940</v>
      </c>
      <c r="F55" s="30" t="n">
        <v>10940</v>
      </c>
      <c r="G55" s="30" t="n">
        <v>451231</v>
      </c>
      <c r="H55" s="35" t="n">
        <v>0.04190476190476189</v>
      </c>
      <c r="I55" s="35" t="n">
        <v>-0.3031847133757962</v>
      </c>
      <c r="J55" s="30" t="n">
        <v>11151</v>
      </c>
      <c r="K55" s="30" t="n">
        <v>10598</v>
      </c>
      <c r="L55" s="30" t="n">
        <v>10416.33333333333</v>
      </c>
      <c r="M55" s="35" t="n">
        <v>0.5068170545597301</v>
      </c>
      <c r="N55" s="35" t="n">
        <v>0.6643784575541191</v>
      </c>
      <c r="O55" s="35" t="n">
        <v>-0.05770887166236005</v>
      </c>
      <c r="P55" s="35" t="n">
        <v>0.2292134831460675</v>
      </c>
      <c r="Q55" s="35" t="n">
        <v>0.293144208037825</v>
      </c>
      <c r="R55" s="35" t="n">
        <v>-0.01892206976952737</v>
      </c>
      <c r="S55" s="35" t="n">
        <v>0.0322702396678618</v>
      </c>
      <c r="T55" s="35" t="n">
        <v>0.05027360875548004</v>
      </c>
      <c r="U55" s="30" t="n">
        <v>13720</v>
      </c>
      <c r="V55" s="30" t="n">
        <v>6070</v>
      </c>
      <c r="W55" s="35" t="n">
        <v>-0.2026239067055393</v>
      </c>
      <c r="X55" s="35" t="n">
        <v>0.8023064250411862</v>
      </c>
      <c r="Y55" s="30" t="n">
        <v>33416778</v>
      </c>
      <c r="Z55" s="30" t="n">
        <v>365579551320</v>
      </c>
      <c r="AA55" s="30" t="n">
        <v>4936467140</v>
      </c>
      <c r="AB55" s="30" t="n">
        <v>5420115666</v>
      </c>
      <c r="AC55" s="35" t="n">
        <v>0.01350312708185092</v>
      </c>
      <c r="AD55" s="24" t="inlineStr">
        <is>
          <t>yfinance_download</t>
        </is>
      </c>
      <c r="AE55" s="24" t="inlineStr">
        <is>
          <t>059090.KQ</t>
        </is>
      </c>
    </row>
    <row r="56" ht="24" customHeight="1">
      <c r="A56" s="29" t="inlineStr">
        <is>
          <t>2023-08-25</t>
        </is>
      </c>
      <c r="B56" s="31" t="n">
        <v>10800</v>
      </c>
      <c r="C56" s="31" t="n">
        <v>10800</v>
      </c>
      <c r="D56" s="31" t="n">
        <v>10170</v>
      </c>
      <c r="E56" s="31" t="n">
        <v>10190</v>
      </c>
      <c r="F56" s="31" t="n">
        <v>10190</v>
      </c>
      <c r="G56" s="31" t="n">
        <v>436310</v>
      </c>
      <c r="H56" s="36" t="n">
        <v>-0.06855575868372943</v>
      </c>
      <c r="I56" s="36" t="n">
        <v>-0.3509554140127389</v>
      </c>
      <c r="J56" s="31" t="n">
        <v>11057.5</v>
      </c>
      <c r="K56" s="31" t="n">
        <v>10616.83333333333</v>
      </c>
      <c r="L56" s="31" t="n">
        <v>10417.08333333333</v>
      </c>
      <c r="M56" s="36" t="n">
        <v>0.5334531710796975</v>
      </c>
      <c r="N56" s="36" t="n">
        <v>0.6802394564176315</v>
      </c>
      <c r="O56" s="36" t="n">
        <v>-0.1550580431177446</v>
      </c>
      <c r="P56" s="36" t="n">
        <v>0.1247240618101546</v>
      </c>
      <c r="Q56" s="36" t="n">
        <v>0.008910891089108919</v>
      </c>
      <c r="R56" s="36" t="n">
        <v>-0.07845353832240565</v>
      </c>
      <c r="S56" s="36" t="n">
        <v>-0.04020345049528273</v>
      </c>
      <c r="T56" s="36" t="n">
        <v>-0.02179912803487871</v>
      </c>
      <c r="U56" s="31" t="n">
        <v>13720</v>
      </c>
      <c r="V56" s="31" t="n">
        <v>6070</v>
      </c>
      <c r="W56" s="36" t="n">
        <v>-0.2572886297376094</v>
      </c>
      <c r="X56" s="36" t="n">
        <v>0.6787479406919275</v>
      </c>
      <c r="Y56" s="31" t="n">
        <v>33416778</v>
      </c>
      <c r="Z56" s="31" t="n">
        <v>340516967820</v>
      </c>
      <c r="AA56" s="31" t="n">
        <v>4445998900</v>
      </c>
      <c r="AB56" s="31" t="n">
        <v>4819354379</v>
      </c>
      <c r="AC56" s="36" t="n">
        <v>0.01305661485377196</v>
      </c>
      <c r="AD56" s="29" t="inlineStr">
        <is>
          <t>yfinance_download</t>
        </is>
      </c>
      <c r="AE56" s="29" t="inlineStr">
        <is>
          <t>059090.KQ</t>
        </is>
      </c>
    </row>
    <row r="57" ht="24" customHeight="1">
      <c r="A57" s="24" t="inlineStr">
        <is>
          <t>2023-08-28</t>
        </is>
      </c>
      <c r="B57" s="30" t="n">
        <v>10380</v>
      </c>
      <c r="C57" s="30" t="n">
        <v>10380</v>
      </c>
      <c r="D57" s="30" t="n">
        <v>10070</v>
      </c>
      <c r="E57" s="30" t="n">
        <v>10120</v>
      </c>
      <c r="F57" s="30" t="n">
        <v>10120</v>
      </c>
      <c r="G57" s="30" t="n">
        <v>189894</v>
      </c>
      <c r="H57" s="35" t="n">
        <v>-0.006869479882237517</v>
      </c>
      <c r="I57" s="35" t="n">
        <v>-0.3554140127388535</v>
      </c>
      <c r="J57" s="30" t="n">
        <v>10954</v>
      </c>
      <c r="K57" s="30" t="n">
        <v>10635.16666666667</v>
      </c>
      <c r="L57" s="30" t="n">
        <v>10412.5</v>
      </c>
      <c r="M57" s="35" t="n">
        <v>0.5289392379320017</v>
      </c>
      <c r="N57" s="35" t="n">
        <v>0.6803698715359651</v>
      </c>
      <c r="O57" s="35" t="n">
        <v>-0.1698113207547169</v>
      </c>
      <c r="P57" s="35" t="n">
        <v>0.1219512195121952</v>
      </c>
      <c r="Q57" s="35" t="n">
        <v>-0.05154639175257736</v>
      </c>
      <c r="R57" s="35" t="n">
        <v>-0.07613657111557426</v>
      </c>
      <c r="S57" s="35" t="n">
        <v>-0.0484399241510084</v>
      </c>
      <c r="T57" s="35" t="n">
        <v>-0.02809123649459788</v>
      </c>
      <c r="U57" s="30" t="n">
        <v>13720</v>
      </c>
      <c r="V57" s="30" t="n">
        <v>6070</v>
      </c>
      <c r="W57" s="35" t="n">
        <v>-0.2623906705539358</v>
      </c>
      <c r="X57" s="35" t="n">
        <v>0.6672158154859966</v>
      </c>
      <c r="Y57" s="30" t="n">
        <v>33416778</v>
      </c>
      <c r="Z57" s="30" t="n">
        <v>338177793360</v>
      </c>
      <c r="AA57" s="30" t="n">
        <v>1921727280</v>
      </c>
      <c r="AB57" s="30" t="n">
        <v>4512431419.5</v>
      </c>
      <c r="AC57" s="35" t="n">
        <v>0.005682594533799758</v>
      </c>
      <c r="AD57" s="24" t="inlineStr">
        <is>
          <t>yfinance_download</t>
        </is>
      </c>
      <c r="AE57" s="24" t="inlineStr">
        <is>
          <t>059090.KQ</t>
        </is>
      </c>
    </row>
    <row r="58" ht="24" customHeight="1">
      <c r="A58" s="29" t="inlineStr">
        <is>
          <t>2023-08-29</t>
        </is>
      </c>
      <c r="B58" s="31" t="n">
        <v>10050</v>
      </c>
      <c r="C58" s="31" t="n">
        <v>10160</v>
      </c>
      <c r="D58" s="31" t="n">
        <v>9520</v>
      </c>
      <c r="E58" s="31" t="n">
        <v>9900</v>
      </c>
      <c r="F58" s="31" t="n">
        <v>9900</v>
      </c>
      <c r="G58" s="31" t="n">
        <v>719159</v>
      </c>
      <c r="H58" s="36" t="n">
        <v>-0.02173913043478259</v>
      </c>
      <c r="I58" s="36" t="n">
        <v>-0.3694267515923567</v>
      </c>
      <c r="J58" s="31" t="n">
        <v>10844</v>
      </c>
      <c r="K58" s="31" t="n">
        <v>10650.16666666667</v>
      </c>
      <c r="L58" s="31" t="n">
        <v>10390.5</v>
      </c>
      <c r="M58" s="36" t="n">
        <v>0.5309055774533857</v>
      </c>
      <c r="N58" s="36" t="n">
        <v>0.6821587368499691</v>
      </c>
      <c r="O58" s="36" t="n">
        <v>-0.1818181818181818</v>
      </c>
      <c r="P58" s="36" t="n">
        <v>0.1000000000000001</v>
      </c>
      <c r="Q58" s="36" t="n">
        <v>-0.2105263157894737</v>
      </c>
      <c r="R58" s="36" t="n">
        <v>-0.08705274806344521</v>
      </c>
      <c r="S58" s="36" t="n">
        <v>-0.07043708236177837</v>
      </c>
      <c r="T58" s="36" t="n">
        <v>-0.04720658293633606</v>
      </c>
      <c r="U58" s="31" t="n">
        <v>13720</v>
      </c>
      <c r="V58" s="31" t="n">
        <v>6070</v>
      </c>
      <c r="W58" s="36" t="n">
        <v>-0.2784256559766763</v>
      </c>
      <c r="X58" s="36" t="n">
        <v>0.6309719934102143</v>
      </c>
      <c r="Y58" s="31" t="n">
        <v>33416778</v>
      </c>
      <c r="Z58" s="31" t="n">
        <v>330826102200</v>
      </c>
      <c r="AA58" s="31" t="n">
        <v>7119674100</v>
      </c>
      <c r="AB58" s="31" t="n">
        <v>4476889979.5</v>
      </c>
      <c r="AC58" s="36" t="n">
        <v>0.02152089588050649</v>
      </c>
      <c r="AD58" s="29" t="inlineStr">
        <is>
          <t>yfinance_download</t>
        </is>
      </c>
      <c r="AE58" s="29" t="inlineStr">
        <is>
          <t>059090.KQ</t>
        </is>
      </c>
    </row>
    <row r="59" ht="24" customHeight="1">
      <c r="A59" s="24" t="inlineStr">
        <is>
          <t>2023-08-30</t>
        </is>
      </c>
      <c r="B59" s="30" t="n">
        <v>10280</v>
      </c>
      <c r="C59" s="30" t="n">
        <v>10610</v>
      </c>
      <c r="D59" s="30" t="n">
        <v>10210</v>
      </c>
      <c r="E59" s="30" t="n">
        <v>10470</v>
      </c>
      <c r="F59" s="30" t="n">
        <v>10470</v>
      </c>
      <c r="G59" s="30" t="n">
        <v>687032</v>
      </c>
      <c r="H59" s="35" t="n">
        <v>0.05757575757575761</v>
      </c>
      <c r="I59" s="35" t="n">
        <v>-0.3331210191082803</v>
      </c>
      <c r="J59" s="30" t="n">
        <v>10763.5</v>
      </c>
      <c r="K59" s="30" t="n">
        <v>10675.66666666667</v>
      </c>
      <c r="L59" s="30" t="n">
        <v>10371.41666666667</v>
      </c>
      <c r="M59" s="35" t="n">
        <v>0.581642628064195</v>
      </c>
      <c r="N59" s="35" t="n">
        <v>0.6911277389602791</v>
      </c>
      <c r="O59" s="35" t="n">
        <v>-0.1332781456953642</v>
      </c>
      <c r="P59" s="35" t="n">
        <v>0.1711409395973154</v>
      </c>
      <c r="Q59" s="35" t="n">
        <v>-0.1794670846394985</v>
      </c>
      <c r="R59" s="35" t="n">
        <v>-0.02726808194360575</v>
      </c>
      <c r="S59" s="35" t="n">
        <v>-0.01926499516033342</v>
      </c>
      <c r="T59" s="35" t="n">
        <v>0.009505290984034742</v>
      </c>
      <c r="U59" s="30" t="n">
        <v>13720</v>
      </c>
      <c r="V59" s="30" t="n">
        <v>6070</v>
      </c>
      <c r="W59" s="35" t="n">
        <v>-0.2368804664723032</v>
      </c>
      <c r="X59" s="35" t="n">
        <v>0.7248764415156508</v>
      </c>
      <c r="Y59" s="30" t="n">
        <v>33416778</v>
      </c>
      <c r="Z59" s="30" t="n">
        <v>349873665660</v>
      </c>
      <c r="AA59" s="30" t="n">
        <v>7193225040</v>
      </c>
      <c r="AB59" s="30" t="n">
        <v>4506738843.5</v>
      </c>
      <c r="AC59" s="35" t="n">
        <v>0.02055949259979523</v>
      </c>
      <c r="AD59" s="24" t="inlineStr">
        <is>
          <t>yfinance_download</t>
        </is>
      </c>
      <c r="AE59" s="24" t="inlineStr">
        <is>
          <t>059090.KQ</t>
        </is>
      </c>
    </row>
    <row r="60" ht="24" customHeight="1">
      <c r="A60" s="29" t="inlineStr">
        <is>
          <t>2023-08-31</t>
        </is>
      </c>
      <c r="B60" s="31" t="n">
        <v>10470</v>
      </c>
      <c r="C60" s="31" t="n">
        <v>11510</v>
      </c>
      <c r="D60" s="31" t="n">
        <v>10470</v>
      </c>
      <c r="E60" s="31" t="n">
        <v>11090</v>
      </c>
      <c r="F60" s="31" t="n">
        <v>11090</v>
      </c>
      <c r="G60" s="31" t="n">
        <v>899853</v>
      </c>
      <c r="H60" s="36" t="n">
        <v>0.05921680993314227</v>
      </c>
      <c r="I60" s="36" t="n">
        <v>-0.2936305732484077</v>
      </c>
      <c r="J60" s="31" t="n">
        <v>10743.5</v>
      </c>
      <c r="K60" s="31" t="n">
        <v>10711.33333333333</v>
      </c>
      <c r="L60" s="31" t="n">
        <v>10362.66666666667</v>
      </c>
      <c r="M60" s="36" t="n">
        <v>0.6033461827428502</v>
      </c>
      <c r="N60" s="36" t="n">
        <v>0.7004496383770923</v>
      </c>
      <c r="O60" s="36" t="n">
        <v>-0.0348128807658834</v>
      </c>
      <c r="P60" s="36" t="n">
        <v>0.2391061452513967</v>
      </c>
      <c r="Q60" s="36" t="n">
        <v>-0.08649093904448102</v>
      </c>
      <c r="R60" s="36" t="n">
        <v>0.03225205938474418</v>
      </c>
      <c r="S60" s="36" t="n">
        <v>0.03535196365220639</v>
      </c>
      <c r="T60" s="36" t="n">
        <v>0.07018785383427706</v>
      </c>
      <c r="U60" s="31" t="n">
        <v>13720</v>
      </c>
      <c r="V60" s="31" t="n">
        <v>6070</v>
      </c>
      <c r="W60" s="36" t="n">
        <v>-0.1916909620991254</v>
      </c>
      <c r="X60" s="36" t="n">
        <v>0.827018121911038</v>
      </c>
      <c r="Y60" s="31" t="n">
        <v>33416778</v>
      </c>
      <c r="Z60" s="31" t="n">
        <v>370592068020</v>
      </c>
      <c r="AA60" s="31" t="n">
        <v>9979369770</v>
      </c>
      <c r="AB60" s="31" t="n">
        <v>4704996222.5</v>
      </c>
      <c r="AC60" s="36" t="n">
        <v>0.02692817961085297</v>
      </c>
      <c r="AD60" s="29" t="inlineStr">
        <is>
          <t>yfinance_download</t>
        </is>
      </c>
      <c r="AE60" s="29" t="inlineStr">
        <is>
          <t>059090.KQ</t>
        </is>
      </c>
    </row>
    <row r="61" ht="24" customHeight="1">
      <c r="A61" s="24" t="inlineStr">
        <is>
          <t>2023-09-01</t>
        </is>
      </c>
      <c r="B61" s="30" t="n">
        <v>11540</v>
      </c>
      <c r="C61" s="30" t="n">
        <v>12970</v>
      </c>
      <c r="D61" s="30" t="n">
        <v>11160</v>
      </c>
      <c r="E61" s="30" t="n">
        <v>12570</v>
      </c>
      <c r="F61" s="30" t="n">
        <v>12570</v>
      </c>
      <c r="G61" s="30" t="n">
        <v>2360012</v>
      </c>
      <c r="H61" s="35" t="n">
        <v>0.133453561767358</v>
      </c>
      <c r="I61" s="35" t="n">
        <v>-0.1993630573248407</v>
      </c>
      <c r="J61" s="30" t="n">
        <v>10809.5</v>
      </c>
      <c r="K61" s="30" t="n">
        <v>10774.16666666667</v>
      </c>
      <c r="L61" s="30" t="n">
        <v>10366.58333333333</v>
      </c>
      <c r="M61" s="35" t="n">
        <v>0.7636046725666948</v>
      </c>
      <c r="N61" s="35" t="n">
        <v>0.7470613669641196</v>
      </c>
      <c r="O61" s="35" t="n">
        <v>0.1173333333333333</v>
      </c>
      <c r="P61" s="35" t="n">
        <v>0.428409090909091</v>
      </c>
      <c r="Q61" s="35" t="n">
        <v>0.03884297520661151</v>
      </c>
      <c r="R61" s="35" t="n">
        <v>0.1628659975021971</v>
      </c>
      <c r="S61" s="35" t="n">
        <v>0.1666795575837265</v>
      </c>
      <c r="T61" s="35" t="n">
        <v>0.2125499401120587</v>
      </c>
      <c r="U61" s="30" t="n">
        <v>13720</v>
      </c>
      <c r="V61" s="30" t="n">
        <v>6070</v>
      </c>
      <c r="W61" s="35" t="n">
        <v>-0.08381924198250734</v>
      </c>
      <c r="X61" s="35" t="n">
        <v>1.070840197693575</v>
      </c>
      <c r="Y61" s="30" t="n">
        <v>33416778</v>
      </c>
      <c r="Z61" s="30" t="n">
        <v>420048899460</v>
      </c>
      <c r="AA61" s="30" t="n">
        <v>29665350840</v>
      </c>
      <c r="AB61" s="30" t="n">
        <v>5854898702</v>
      </c>
      <c r="AC61" s="35" t="n">
        <v>0.07062356520428151</v>
      </c>
      <c r="AD61" s="24" t="inlineStr">
        <is>
          <t>yfinance_download</t>
        </is>
      </c>
      <c r="AE61" s="24" t="inlineStr">
        <is>
          <t>059090.KQ</t>
        </is>
      </c>
    </row>
    <row r="62" ht="24" customHeight="1">
      <c r="A62" s="29" t="inlineStr">
        <is>
          <t>2023-09-04</t>
        </is>
      </c>
      <c r="B62" s="31" t="n">
        <v>13000</v>
      </c>
      <c r="C62" s="31" t="n">
        <v>13500</v>
      </c>
      <c r="D62" s="31" t="n">
        <v>12450</v>
      </c>
      <c r="E62" s="31" t="n">
        <v>12630</v>
      </c>
      <c r="F62" s="31" t="n">
        <v>12630</v>
      </c>
      <c r="G62" s="31" t="n">
        <v>1822123</v>
      </c>
      <c r="H62" s="36" t="n">
        <v>0.004773269689737569</v>
      </c>
      <c r="I62" s="36" t="n">
        <v>-0.1955414012738853</v>
      </c>
      <c r="J62" s="31" t="n">
        <v>10866</v>
      </c>
      <c r="K62" s="31" t="n">
        <v>10839.33333333333</v>
      </c>
      <c r="L62" s="31" t="n">
        <v>10370.91666666667</v>
      </c>
      <c r="M62" s="36" t="n">
        <v>0.7613890080527723</v>
      </c>
      <c r="N62" s="36" t="n">
        <v>0.7463244745026684</v>
      </c>
      <c r="O62" s="36" t="n">
        <v>0.0982608695652174</v>
      </c>
      <c r="P62" s="36" t="n">
        <v>0.448394495412844</v>
      </c>
      <c r="Q62" s="36" t="n">
        <v>0.04293971924029738</v>
      </c>
      <c r="R62" s="36" t="n">
        <v>0.1623412479293209</v>
      </c>
      <c r="S62" s="36" t="n">
        <v>0.1652008118580477</v>
      </c>
      <c r="T62" s="36" t="n">
        <v>0.2178287036665034</v>
      </c>
      <c r="U62" s="31" t="n">
        <v>13720</v>
      </c>
      <c r="V62" s="31" t="n">
        <v>6070</v>
      </c>
      <c r="W62" s="36" t="n">
        <v>-0.07944606413994171</v>
      </c>
      <c r="X62" s="36" t="n">
        <v>1.080724876441516</v>
      </c>
      <c r="Y62" s="31" t="n">
        <v>33416778</v>
      </c>
      <c r="Z62" s="31" t="n">
        <v>422053906140</v>
      </c>
      <c r="AA62" s="31" t="n">
        <v>23013413490</v>
      </c>
      <c r="AB62" s="31" t="n">
        <v>6761526151.5</v>
      </c>
      <c r="AC62" s="36" t="n">
        <v>0.05452718990442466</v>
      </c>
      <c r="AD62" s="29" t="inlineStr">
        <is>
          <t>yfinance_download</t>
        </is>
      </c>
      <c r="AE62" s="29" t="inlineStr">
        <is>
          <t>059090.KQ</t>
        </is>
      </c>
    </row>
    <row r="63" ht="24" customHeight="1">
      <c r="A63" s="24" t="inlineStr">
        <is>
          <t>2023-09-05</t>
        </is>
      </c>
      <c r="B63" s="30" t="n">
        <v>12480</v>
      </c>
      <c r="C63" s="30" t="n">
        <v>12680</v>
      </c>
      <c r="D63" s="30" t="n">
        <v>12050</v>
      </c>
      <c r="E63" s="30" t="n">
        <v>12130</v>
      </c>
      <c r="F63" s="30" t="n">
        <v>12130</v>
      </c>
      <c r="G63" s="30" t="n">
        <v>858237</v>
      </c>
      <c r="H63" s="35" t="n">
        <v>-0.03958828186856689</v>
      </c>
      <c r="I63" s="35" t="n">
        <v>-0.2273885350318471</v>
      </c>
      <c r="J63" s="30" t="n">
        <v>10923</v>
      </c>
      <c r="K63" s="30" t="n">
        <v>10897.83333333333</v>
      </c>
      <c r="L63" s="30" t="n">
        <v>10369.08333333333</v>
      </c>
      <c r="M63" s="35" t="n">
        <v>0.7574115094170414</v>
      </c>
      <c r="N63" s="35" t="n">
        <v>0.751543329260667</v>
      </c>
      <c r="O63" s="35" t="n">
        <v>0.1037306642402185</v>
      </c>
      <c r="P63" s="35" t="n">
        <v>0.4071925754060324</v>
      </c>
      <c r="Q63" s="35" t="n">
        <v>-0.01781376518218625</v>
      </c>
      <c r="R63" s="35" t="n">
        <v>0.1105007781744942</v>
      </c>
      <c r="S63" s="35" t="n">
        <v>0.1130652882071359</v>
      </c>
      <c r="T63" s="35" t="n">
        <v>0.16982375491244</v>
      </c>
      <c r="U63" s="30" t="n">
        <v>13720</v>
      </c>
      <c r="V63" s="30" t="n">
        <v>6070</v>
      </c>
      <c r="W63" s="35" t="n">
        <v>-0.1158892128279884</v>
      </c>
      <c r="X63" s="35" t="n">
        <v>0.9983525535420099</v>
      </c>
      <c r="Y63" s="30" t="n">
        <v>33416778</v>
      </c>
      <c r="Z63" s="30" t="n">
        <v>405345517140</v>
      </c>
      <c r="AA63" s="30" t="n">
        <v>10410414810</v>
      </c>
      <c r="AB63" s="30" t="n">
        <v>7002056860</v>
      </c>
      <c r="AC63" s="35" t="n">
        <v>0.02568281717644951</v>
      </c>
      <c r="AD63" s="24" t="inlineStr">
        <is>
          <t>yfinance_download</t>
        </is>
      </c>
      <c r="AE63" s="24" t="inlineStr">
        <is>
          <t>059090.KQ</t>
        </is>
      </c>
    </row>
    <row r="64" ht="24" customHeight="1">
      <c r="A64" s="29" t="inlineStr">
        <is>
          <t>2023-09-06</t>
        </is>
      </c>
      <c r="B64" s="31" t="n">
        <v>12300</v>
      </c>
      <c r="C64" s="31" t="n">
        <v>12940</v>
      </c>
      <c r="D64" s="31" t="n">
        <v>12050</v>
      </c>
      <c r="E64" s="31" t="n">
        <v>12500</v>
      </c>
      <c r="F64" s="31" t="n">
        <v>12500</v>
      </c>
      <c r="G64" s="31" t="n">
        <v>677092</v>
      </c>
      <c r="H64" s="36" t="n">
        <v>0.03050288540807911</v>
      </c>
      <c r="I64" s="36" t="n">
        <v>-0.2038216560509554</v>
      </c>
      <c r="J64" s="31" t="n">
        <v>11009</v>
      </c>
      <c r="K64" s="31" t="n">
        <v>10958.66666666667</v>
      </c>
      <c r="L64" s="31" t="n">
        <v>10379.83333333333</v>
      </c>
      <c r="M64" s="36" t="n">
        <v>0.7560703393001865</v>
      </c>
      <c r="N64" s="36" t="n">
        <v>0.7520161314586802</v>
      </c>
      <c r="O64" s="36" t="n">
        <v>0.1595547309833023</v>
      </c>
      <c r="P64" s="36" t="n">
        <v>0.4124293785310735</v>
      </c>
      <c r="Q64" s="36" t="n">
        <v>0.1150758251561106</v>
      </c>
      <c r="R64" s="36" t="n">
        <v>0.1354346443818695</v>
      </c>
      <c r="S64" s="36" t="n">
        <v>0.1406497140771383</v>
      </c>
      <c r="T64" s="36" t="n">
        <v>0.2042582571974501</v>
      </c>
      <c r="U64" s="31" t="n">
        <v>13720</v>
      </c>
      <c r="V64" s="31" t="n">
        <v>6070</v>
      </c>
      <c r="W64" s="36" t="n">
        <v>-0.08892128279883382</v>
      </c>
      <c r="X64" s="36" t="n">
        <v>1.059308072487644</v>
      </c>
      <c r="Y64" s="31" t="n">
        <v>33416778</v>
      </c>
      <c r="Z64" s="31" t="n">
        <v>417709725000</v>
      </c>
      <c r="AA64" s="31" t="n">
        <v>8463650000</v>
      </c>
      <c r="AB64" s="31" t="n">
        <v>7260274637</v>
      </c>
      <c r="AC64" s="36" t="n">
        <v>0.02026203723171635</v>
      </c>
      <c r="AD64" s="29" t="inlineStr">
        <is>
          <t>yfinance_download</t>
        </is>
      </c>
      <c r="AE64" s="29" t="inlineStr">
        <is>
          <t>059090.KQ</t>
        </is>
      </c>
    </row>
    <row r="65" ht="24" customHeight="1">
      <c r="A65" s="24" t="inlineStr">
        <is>
          <t>2023-09-07</t>
        </is>
      </c>
      <c r="B65" s="30" t="n">
        <v>12420</v>
      </c>
      <c r="C65" s="30" t="n">
        <v>12420</v>
      </c>
      <c r="D65" s="30" t="n">
        <v>11810</v>
      </c>
      <c r="E65" s="30" t="n">
        <v>11940</v>
      </c>
      <c r="F65" s="30" t="n">
        <v>11940</v>
      </c>
      <c r="G65" s="30" t="n">
        <v>586323</v>
      </c>
      <c r="H65" s="35" t="n">
        <v>-0.04479999999999995</v>
      </c>
      <c r="I65" s="35" t="n">
        <v>-0.2394904458598726</v>
      </c>
      <c r="J65" s="30" t="n">
        <v>11061.5</v>
      </c>
      <c r="K65" s="30" t="n">
        <v>11008.66666666667</v>
      </c>
      <c r="L65" s="30" t="n">
        <v>10374.66666666667</v>
      </c>
      <c r="M65" s="35" t="n">
        <v>0.7792608661601104</v>
      </c>
      <c r="N65" s="35" t="n">
        <v>0.7593796360906683</v>
      </c>
      <c r="O65" s="35" t="n">
        <v>0.09641873278236912</v>
      </c>
      <c r="P65" s="35" t="n">
        <v>0.3355704697986577</v>
      </c>
      <c r="Q65" s="35" t="n">
        <v>-0.04936305732484081</v>
      </c>
      <c r="R65" s="35" t="n">
        <v>0.07941960855218544</v>
      </c>
      <c r="S65" s="35" t="n">
        <v>0.08460001211166968</v>
      </c>
      <c r="T65" s="35" t="n">
        <v>0.1508803495694642</v>
      </c>
      <c r="U65" s="30" t="n">
        <v>13720</v>
      </c>
      <c r="V65" s="30" t="n">
        <v>6070</v>
      </c>
      <c r="W65" s="35" t="n">
        <v>-0.1297376093294461</v>
      </c>
      <c r="X65" s="35" t="n">
        <v>0.9670510708401976</v>
      </c>
      <c r="Y65" s="30" t="n">
        <v>33416778</v>
      </c>
      <c r="Z65" s="30" t="n">
        <v>398996329320</v>
      </c>
      <c r="AA65" s="30" t="n">
        <v>7000696620</v>
      </c>
      <c r="AB65" s="30" t="n">
        <v>7475458598</v>
      </c>
      <c r="AC65" s="35" t="n">
        <v>0.01754576697968907</v>
      </c>
      <c r="AD65" s="24" t="inlineStr">
        <is>
          <t>yfinance_download</t>
        </is>
      </c>
      <c r="AE65" s="24" t="inlineStr">
        <is>
          <t>059090.KQ</t>
        </is>
      </c>
    </row>
    <row r="66" ht="24" customHeight="1">
      <c r="A66" s="29" t="inlineStr">
        <is>
          <t>2023-09-08</t>
        </is>
      </c>
      <c r="B66" s="31" t="n">
        <v>11980</v>
      </c>
      <c r="C66" s="31" t="n">
        <v>12060</v>
      </c>
      <c r="D66" s="31" t="n">
        <v>11350</v>
      </c>
      <c r="E66" s="31" t="n">
        <v>11440</v>
      </c>
      <c r="F66" s="31" t="n">
        <v>11440</v>
      </c>
      <c r="G66" s="31" t="n">
        <v>465106</v>
      </c>
      <c r="H66" s="36" t="n">
        <v>-0.04187604690117253</v>
      </c>
      <c r="I66" s="36" t="n">
        <v>-0.2713375796178344</v>
      </c>
      <c r="J66" s="31" t="n">
        <v>11109.5</v>
      </c>
      <c r="K66" s="31" t="n">
        <v>11048.83333333333</v>
      </c>
      <c r="L66" s="31" t="n">
        <v>10372.41666666667</v>
      </c>
      <c r="M66" s="36" t="n">
        <v>0.7825192393179657</v>
      </c>
      <c r="N66" s="36" t="n">
        <v>0.7656060154062059</v>
      </c>
      <c r="O66" s="36" t="n">
        <v>0.09160305343511443</v>
      </c>
      <c r="P66" s="36" t="n">
        <v>0.2668881506090808</v>
      </c>
      <c r="Q66" s="36" t="n">
        <v>-0.02305721605465416</v>
      </c>
      <c r="R66" s="36" t="n">
        <v>0.02974931365047939</v>
      </c>
      <c r="S66" s="36" t="n">
        <v>0.03540343626023867</v>
      </c>
      <c r="T66" s="36" t="n">
        <v>0.1029252263615841</v>
      </c>
      <c r="U66" s="31" t="n">
        <v>13720</v>
      </c>
      <c r="V66" s="31" t="n">
        <v>6070</v>
      </c>
      <c r="W66" s="36" t="n">
        <v>-0.1661807580174927</v>
      </c>
      <c r="X66" s="36" t="n">
        <v>0.8846787479406919</v>
      </c>
      <c r="Y66" s="31" t="n">
        <v>33416778</v>
      </c>
      <c r="Z66" s="31" t="n">
        <v>382287940320</v>
      </c>
      <c r="AA66" s="31" t="n">
        <v>5320812640</v>
      </c>
      <c r="AB66" s="31" t="n">
        <v>7501735694</v>
      </c>
      <c r="AC66" s="36" t="n">
        <v>0.01391833766858074</v>
      </c>
      <c r="AD66" s="29" t="inlineStr">
        <is>
          <t>yfinance_download</t>
        </is>
      </c>
      <c r="AE66" s="29" t="inlineStr">
        <is>
          <t>059090.KQ</t>
        </is>
      </c>
    </row>
    <row r="67" ht="24" customHeight="1">
      <c r="A67" s="24" t="inlineStr">
        <is>
          <t>2023-09-11</t>
        </is>
      </c>
      <c r="B67" s="30" t="n">
        <v>11440</v>
      </c>
      <c r="C67" s="30" t="n">
        <v>11590</v>
      </c>
      <c r="D67" s="30" t="n">
        <v>11220</v>
      </c>
      <c r="E67" s="30" t="n">
        <v>11450</v>
      </c>
      <c r="F67" s="30" t="n">
        <v>11450</v>
      </c>
      <c r="G67" s="30" t="n">
        <v>328729</v>
      </c>
      <c r="H67" s="35" t="n">
        <v>0.0008741258741258306</v>
      </c>
      <c r="I67" s="35" t="n">
        <v>-0.2707006369426752</v>
      </c>
      <c r="J67" s="30" t="n">
        <v>11129.5</v>
      </c>
      <c r="K67" s="30" t="n">
        <v>11087.83333333333</v>
      </c>
      <c r="L67" s="30" t="n">
        <v>10369.58333333333</v>
      </c>
      <c r="M67" s="35" t="n">
        <v>0.7609507529154959</v>
      </c>
      <c r="N67" s="35" t="n">
        <v>0.7656117369635331</v>
      </c>
      <c r="O67" s="35" t="n">
        <v>0.03619909502262453</v>
      </c>
      <c r="P67" s="35" t="n">
        <v>0.2568605927552141</v>
      </c>
      <c r="Q67" s="35" t="n">
        <v>-0.02883799830364719</v>
      </c>
      <c r="R67" s="35" t="n">
        <v>0.02879734040163529</v>
      </c>
      <c r="S67" s="35" t="n">
        <v>0.03266342988561033</v>
      </c>
      <c r="T67" s="35" t="n">
        <v>0.1041909430626431</v>
      </c>
      <c r="U67" s="30" t="n">
        <v>13720</v>
      </c>
      <c r="V67" s="30" t="n">
        <v>6070</v>
      </c>
      <c r="W67" s="35" t="n">
        <v>-0.1654518950437318</v>
      </c>
      <c r="X67" s="35" t="n">
        <v>0.886326194398682</v>
      </c>
      <c r="Y67" s="30" t="n">
        <v>33416778</v>
      </c>
      <c r="Z67" s="30" t="n">
        <v>382622108100</v>
      </c>
      <c r="AA67" s="30" t="n">
        <v>3763947050</v>
      </c>
      <c r="AB67" s="30" t="n">
        <v>7431695099</v>
      </c>
      <c r="AC67" s="35" t="n">
        <v>0.009837244033521125</v>
      </c>
      <c r="AD67" s="24" t="inlineStr">
        <is>
          <t>yfinance_download</t>
        </is>
      </c>
      <c r="AE67" s="24" t="inlineStr">
        <is>
          <t>059090.KQ</t>
        </is>
      </c>
    </row>
    <row r="68" ht="24" customHeight="1">
      <c r="A68" s="29" t="inlineStr">
        <is>
          <t>2023-09-12</t>
        </is>
      </c>
      <c r="B68" s="31" t="n">
        <v>11450</v>
      </c>
      <c r="C68" s="31" t="n">
        <v>11700</v>
      </c>
      <c r="D68" s="31" t="n">
        <v>11080</v>
      </c>
      <c r="E68" s="31" t="n">
        <v>11140</v>
      </c>
      <c r="F68" s="31" t="n">
        <v>11140</v>
      </c>
      <c r="G68" s="31" t="n">
        <v>327634</v>
      </c>
      <c r="H68" s="36" t="n">
        <v>-0.02707423580786028</v>
      </c>
      <c r="I68" s="36" t="n">
        <v>-0.2904458598726115</v>
      </c>
      <c r="J68" s="31" t="n">
        <v>11146.5</v>
      </c>
      <c r="K68" s="31" t="n">
        <v>11123.16666666667</v>
      </c>
      <c r="L68" s="31" t="n">
        <v>10359.25</v>
      </c>
      <c r="M68" s="36" t="n">
        <v>0.7630868876505724</v>
      </c>
      <c r="N68" s="36" t="n">
        <v>0.7678399608681689</v>
      </c>
      <c r="O68" s="36" t="n">
        <v>0.03148148148148144</v>
      </c>
      <c r="P68" s="36" t="n">
        <v>0.2350332594235034</v>
      </c>
      <c r="Q68" s="36" t="n">
        <v>-0.1001615508885298</v>
      </c>
      <c r="R68" s="36" t="n">
        <v>-0.0005831426905306136</v>
      </c>
      <c r="S68" s="36" t="n">
        <v>0.001513358006562937</v>
      </c>
      <c r="T68" s="36" t="n">
        <v>0.0753674252479668</v>
      </c>
      <c r="U68" s="31" t="n">
        <v>13720</v>
      </c>
      <c r="V68" s="31" t="n">
        <v>6070</v>
      </c>
      <c r="W68" s="36" t="n">
        <v>-0.1880466472303207</v>
      </c>
      <c r="X68" s="36" t="n">
        <v>0.8352553542009884</v>
      </c>
      <c r="Y68" s="31" t="n">
        <v>33416778</v>
      </c>
      <c r="Z68" s="31" t="n">
        <v>372262906920</v>
      </c>
      <c r="AA68" s="31" t="n">
        <v>3649842760</v>
      </c>
      <c r="AB68" s="31" t="n">
        <v>7473421117</v>
      </c>
      <c r="AC68" s="36" t="n">
        <v>0.009804476062892718</v>
      </c>
      <c r="AD68" s="29" t="inlineStr">
        <is>
          <t>yfinance_download</t>
        </is>
      </c>
      <c r="AE68" s="29" t="inlineStr">
        <is>
          <t>059090.KQ</t>
        </is>
      </c>
    </row>
    <row r="69" ht="24" customHeight="1">
      <c r="A69" s="24" t="inlineStr">
        <is>
          <t>2023-09-13</t>
        </is>
      </c>
      <c r="B69" s="30" t="n">
        <v>11170</v>
      </c>
      <c r="C69" s="30" t="n">
        <v>11480</v>
      </c>
      <c r="D69" s="30" t="n">
        <v>10650</v>
      </c>
      <c r="E69" s="30" t="n">
        <v>10920</v>
      </c>
      <c r="F69" s="30" t="n">
        <v>10920</v>
      </c>
      <c r="G69" s="30" t="n">
        <v>315351</v>
      </c>
      <c r="H69" s="35" t="n">
        <v>-0.01974865350089772</v>
      </c>
      <c r="I69" s="35" t="n">
        <v>-0.3044585987261147</v>
      </c>
      <c r="J69" s="30" t="n">
        <v>11165.5</v>
      </c>
      <c r="K69" s="30" t="n">
        <v>11157.33333333333</v>
      </c>
      <c r="L69" s="30" t="n">
        <v>10343.5</v>
      </c>
      <c r="M69" s="35" t="n">
        <v>0.7612322245320975</v>
      </c>
      <c r="N69" s="35" t="n">
        <v>0.7682355168166294</v>
      </c>
      <c r="O69" s="35" t="n">
        <v>0.03605313092979134</v>
      </c>
      <c r="P69" s="35" t="n">
        <v>0.2311161217587374</v>
      </c>
      <c r="Q69" s="35" t="n">
        <v>-0.1475409836065574</v>
      </c>
      <c r="R69" s="35" t="n">
        <v>-0.02198737181496579</v>
      </c>
      <c r="S69" s="35" t="n">
        <v>-0.02127151051625242</v>
      </c>
      <c r="T69" s="35" t="n">
        <v>0.05573548605404355</v>
      </c>
      <c r="U69" s="30" t="n">
        <v>13720</v>
      </c>
      <c r="V69" s="30" t="n">
        <v>6070</v>
      </c>
      <c r="W69" s="35" t="n">
        <v>-0.2040816326530612</v>
      </c>
      <c r="X69" s="35" t="n">
        <v>0.799011532125206</v>
      </c>
      <c r="Y69" s="30" t="n">
        <v>33416778</v>
      </c>
      <c r="Z69" s="30" t="n">
        <v>364911215760</v>
      </c>
      <c r="AA69" s="30" t="n">
        <v>3443632920</v>
      </c>
      <c r="AB69" s="30" t="n">
        <v>7484027725</v>
      </c>
      <c r="AC69" s="35" t="n">
        <v>0.009436906215195252</v>
      </c>
      <c r="AD69" s="24" t="inlineStr">
        <is>
          <t>yfinance_download</t>
        </is>
      </c>
      <c r="AE69" s="24" t="inlineStr">
        <is>
          <t>059090.KQ</t>
        </is>
      </c>
    </row>
    <row r="70" ht="24" customHeight="1">
      <c r="A70" s="29" t="inlineStr">
        <is>
          <t>2023-09-14</t>
        </is>
      </c>
      <c r="B70" s="31" t="n">
        <v>11100</v>
      </c>
      <c r="C70" s="31" t="n">
        <v>11600</v>
      </c>
      <c r="D70" s="31" t="n">
        <v>11100</v>
      </c>
      <c r="E70" s="31" t="n">
        <v>11550</v>
      </c>
      <c r="F70" s="31" t="n">
        <v>11550</v>
      </c>
      <c r="G70" s="31" t="n">
        <v>310522</v>
      </c>
      <c r="H70" s="36" t="n">
        <v>0.05769230769230771</v>
      </c>
      <c r="I70" s="36" t="n">
        <v>-0.2643312101910829</v>
      </c>
      <c r="J70" s="31" t="n">
        <v>11199.5</v>
      </c>
      <c r="K70" s="31" t="n">
        <v>11206.5</v>
      </c>
      <c r="L70" s="31" t="n">
        <v>10335</v>
      </c>
      <c r="M70" s="36" t="n">
        <v>0.7798534635222375</v>
      </c>
      <c r="N70" s="36" t="n">
        <v>0.7722926127178457</v>
      </c>
      <c r="O70" s="36" t="n">
        <v>0.062557497700092</v>
      </c>
      <c r="P70" s="36" t="n">
        <v>0.3430232558139534</v>
      </c>
      <c r="Q70" s="36" t="n">
        <v>-0.08114558472553701</v>
      </c>
      <c r="R70" s="36" t="n">
        <v>0.03129604000178587</v>
      </c>
      <c r="S70" s="36" t="n">
        <v>0.03065185383482794</v>
      </c>
      <c r="T70" s="36" t="n">
        <v>0.1175616835994195</v>
      </c>
      <c r="U70" s="31" t="n">
        <v>13720</v>
      </c>
      <c r="V70" s="31" t="n">
        <v>6070</v>
      </c>
      <c r="W70" s="36" t="n">
        <v>-0.1581632653061225</v>
      </c>
      <c r="X70" s="36" t="n">
        <v>0.9028006589785833</v>
      </c>
      <c r="Y70" s="31" t="n">
        <v>33416778</v>
      </c>
      <c r="Z70" s="31" t="n">
        <v>385963785900</v>
      </c>
      <c r="AA70" s="31" t="n">
        <v>3586529100</v>
      </c>
      <c r="AB70" s="31" t="n">
        <v>7510552416</v>
      </c>
      <c r="AC70" s="36" t="n">
        <v>0.009292397968469611</v>
      </c>
      <c r="AD70" s="29" t="inlineStr">
        <is>
          <t>yfinance_download</t>
        </is>
      </c>
      <c r="AE70" s="29" t="inlineStr">
        <is>
          <t>059090.KQ</t>
        </is>
      </c>
    </row>
    <row r="71" ht="24" customHeight="1">
      <c r="A71" s="24" t="inlineStr">
        <is>
          <t>2023-09-15</t>
        </is>
      </c>
      <c r="B71" s="30" t="n">
        <v>11570</v>
      </c>
      <c r="C71" s="30" t="n">
        <v>12430</v>
      </c>
      <c r="D71" s="30" t="n">
        <v>11340</v>
      </c>
      <c r="E71" s="30" t="n">
        <v>12400</v>
      </c>
      <c r="F71" s="30" t="n">
        <v>12400</v>
      </c>
      <c r="G71" s="30" t="n">
        <v>1267197</v>
      </c>
      <c r="H71" s="35" t="n">
        <v>0.07359307359307365</v>
      </c>
      <c r="I71" s="35" t="n">
        <v>-0.2101910828025477</v>
      </c>
      <c r="J71" s="30" t="n">
        <v>11268</v>
      </c>
      <c r="K71" s="30" t="n">
        <v>11273.83333333333</v>
      </c>
      <c r="L71" s="30" t="n">
        <v>10332.33333333333</v>
      </c>
      <c r="M71" s="35" t="n">
        <v>0.8175217730888613</v>
      </c>
      <c r="N71" s="35" t="n">
        <v>0.7811883163134233</v>
      </c>
      <c r="O71" s="35" t="n">
        <v>0.1242067089755212</v>
      </c>
      <c r="P71" s="35" t="n">
        <v>0.4832535885167464</v>
      </c>
      <c r="Q71" s="35" t="n">
        <v>-0.02515723270440251</v>
      </c>
      <c r="R71" s="35" t="n">
        <v>0.1004614838480653</v>
      </c>
      <c r="S71" s="35" t="n">
        <v>0.09989208048135056</v>
      </c>
      <c r="T71" s="35" t="n">
        <v>0.2001161402716392</v>
      </c>
      <c r="U71" s="30" t="n">
        <v>13720</v>
      </c>
      <c r="V71" s="30" t="n">
        <v>6070</v>
      </c>
      <c r="W71" s="35" t="n">
        <v>-0.09620991253644318</v>
      </c>
      <c r="X71" s="35" t="n">
        <v>1.042833607907743</v>
      </c>
      <c r="Y71" s="30" t="n">
        <v>33416778</v>
      </c>
      <c r="Z71" s="30" t="n">
        <v>414368047200</v>
      </c>
      <c r="AA71" s="30" t="n">
        <v>15713242800</v>
      </c>
      <c r="AB71" s="30" t="n">
        <v>8083664250</v>
      </c>
      <c r="AC71" s="35" t="n">
        <v>0.03792098089169459</v>
      </c>
      <c r="AD71" s="24" t="inlineStr">
        <is>
          <t>yfinance_download</t>
        </is>
      </c>
      <c r="AE71" s="24" t="inlineStr">
        <is>
          <t>059090.KQ</t>
        </is>
      </c>
    </row>
    <row r="72" ht="24" customHeight="1">
      <c r="A72" s="29" t="inlineStr">
        <is>
          <t>2023-09-18</t>
        </is>
      </c>
      <c r="B72" s="31" t="n">
        <v>12090</v>
      </c>
      <c r="C72" s="31" t="n">
        <v>12300</v>
      </c>
      <c r="D72" s="31" t="n">
        <v>11130</v>
      </c>
      <c r="E72" s="31" t="n">
        <v>11300</v>
      </c>
      <c r="F72" s="31" t="n">
        <v>11300</v>
      </c>
      <c r="G72" s="31" t="n">
        <v>1034748</v>
      </c>
      <c r="H72" s="36" t="n">
        <v>-0.08870967741935487</v>
      </c>
      <c r="I72" s="36" t="n">
        <v>-0.2802547770700637</v>
      </c>
      <c r="J72" s="31" t="n">
        <v>11279.5</v>
      </c>
      <c r="K72" s="31" t="n">
        <v>11323.33333333333</v>
      </c>
      <c r="L72" s="31" t="n">
        <v>10324.66666666667</v>
      </c>
      <c r="M72" s="36" t="n">
        <v>0.8855931217075125</v>
      </c>
      <c r="N72" s="36" t="n">
        <v>0.8055630611557207</v>
      </c>
      <c r="O72" s="36" t="n">
        <v>0.0207768744354111</v>
      </c>
      <c r="P72" s="36" t="n">
        <v>0.3565426170468187</v>
      </c>
      <c r="Q72" s="36" t="n">
        <v>-0.07528641571194761</v>
      </c>
      <c r="R72" s="36" t="n">
        <v>0.001817456447537502</v>
      </c>
      <c r="S72" s="36" t="n">
        <v>-0.002060641742714253</v>
      </c>
      <c r="T72" s="36" t="n">
        <v>0.09446632659650045</v>
      </c>
      <c r="U72" s="31" t="n">
        <v>13720</v>
      </c>
      <c r="V72" s="31" t="n">
        <v>6070</v>
      </c>
      <c r="W72" s="36" t="n">
        <v>-0.1763848396501457</v>
      </c>
      <c r="X72" s="36" t="n">
        <v>0.8616144975288302</v>
      </c>
      <c r="Y72" s="31" t="n">
        <v>33416778</v>
      </c>
      <c r="Z72" s="31" t="n">
        <v>377609591400</v>
      </c>
      <c r="AA72" s="31" t="n">
        <v>11692652400</v>
      </c>
      <c r="AB72" s="31" t="n">
        <v>8485010326.5</v>
      </c>
      <c r="AC72" s="36" t="n">
        <v>0.03096492426648673</v>
      </c>
      <c r="AD72" s="29" t="inlineStr">
        <is>
          <t>yfinance_download</t>
        </is>
      </c>
      <c r="AE72" s="29" t="inlineStr">
        <is>
          <t>059090.KQ</t>
        </is>
      </c>
    </row>
    <row r="73" ht="24" customHeight="1">
      <c r="A73" s="24" t="inlineStr">
        <is>
          <t>2023-09-19</t>
        </is>
      </c>
      <c r="B73" s="30" t="n">
        <v>11250</v>
      </c>
      <c r="C73" s="30" t="n">
        <v>11360</v>
      </c>
      <c r="D73" s="30" t="n">
        <v>10970</v>
      </c>
      <c r="E73" s="30" t="n">
        <v>11020</v>
      </c>
      <c r="F73" s="30" t="n">
        <v>11020</v>
      </c>
      <c r="G73" s="30" t="n">
        <v>209959</v>
      </c>
      <c r="H73" s="35" t="n">
        <v>-0.02477876106194687</v>
      </c>
      <c r="I73" s="35" t="n">
        <v>-0.2980891719745223</v>
      </c>
      <c r="J73" s="30" t="n">
        <v>11310</v>
      </c>
      <c r="K73" s="30" t="n">
        <v>11367.66666666667</v>
      </c>
      <c r="L73" s="30" t="n">
        <v>10312.08333333333</v>
      </c>
      <c r="M73" s="35" t="n">
        <v>0.8614950458863779</v>
      </c>
      <c r="N73" s="35" t="n">
        <v>0.80806969806537</v>
      </c>
      <c r="O73" s="35" t="n">
        <v>0.05859750240153705</v>
      </c>
      <c r="P73" s="35" t="n">
        <v>0.3181818181818181</v>
      </c>
      <c r="Q73" s="35" t="n">
        <v>-0.120510774142059</v>
      </c>
      <c r="R73" s="35" t="n">
        <v>-0.02564102564102566</v>
      </c>
      <c r="S73" s="35" t="n">
        <v>-0.03058381960531331</v>
      </c>
      <c r="T73" s="35" t="n">
        <v>0.0686492383530648</v>
      </c>
      <c r="U73" s="30" t="n">
        <v>13720</v>
      </c>
      <c r="V73" s="30" t="n">
        <v>6070</v>
      </c>
      <c r="W73" s="35" t="n">
        <v>-0.1967930029154519</v>
      </c>
      <c r="X73" s="35" t="n">
        <v>0.8154859967051071</v>
      </c>
      <c r="Y73" s="30" t="n">
        <v>33416778</v>
      </c>
      <c r="Z73" s="30" t="n">
        <v>368252893560</v>
      </c>
      <c r="AA73" s="30" t="n">
        <v>2313748180</v>
      </c>
      <c r="AB73" s="30" t="n">
        <v>8339897567</v>
      </c>
      <c r="AC73" s="35" t="n">
        <v>0.006283041411113902</v>
      </c>
      <c r="AD73" s="24" t="inlineStr">
        <is>
          <t>yfinance_download</t>
        </is>
      </c>
      <c r="AE73" s="24" t="inlineStr">
        <is>
          <t>059090.KQ</t>
        </is>
      </c>
    </row>
    <row r="74" ht="24" customHeight="1">
      <c r="A74" s="29" t="inlineStr">
        <is>
          <t>2023-09-20</t>
        </is>
      </c>
      <c r="B74" s="31" t="n">
        <v>11020</v>
      </c>
      <c r="C74" s="31" t="n">
        <v>11100</v>
      </c>
      <c r="D74" s="31" t="n">
        <v>10730</v>
      </c>
      <c r="E74" s="31" t="n">
        <v>10830</v>
      </c>
      <c r="F74" s="31" t="n">
        <v>10830</v>
      </c>
      <c r="G74" s="31" t="n">
        <v>163043</v>
      </c>
      <c r="H74" s="36" t="n">
        <v>-0.01724137931034486</v>
      </c>
      <c r="I74" s="36" t="n">
        <v>-0.3101910828025478</v>
      </c>
      <c r="J74" s="31" t="n">
        <v>11326.5</v>
      </c>
      <c r="K74" s="31" t="n">
        <v>11402.16666666667</v>
      </c>
      <c r="L74" s="31" t="n">
        <v>10289.83333333333</v>
      </c>
      <c r="M74" s="36" t="n">
        <v>0.8646280104607041</v>
      </c>
      <c r="N74" s="36" t="n">
        <v>0.8046267472509957</v>
      </c>
      <c r="O74" s="36" t="n">
        <v>0.03142857142857136</v>
      </c>
      <c r="P74" s="36" t="n">
        <v>0.2363013698630136</v>
      </c>
      <c r="Q74" s="36" t="n">
        <v>-0.1977777777777778</v>
      </c>
      <c r="R74" s="36" t="n">
        <v>-0.04383525360879359</v>
      </c>
      <c r="S74" s="36" t="n">
        <v>-0.05018052124596195</v>
      </c>
      <c r="T74" s="36" t="n">
        <v>0.05249518132784781</v>
      </c>
      <c r="U74" s="31" t="n">
        <v>13720</v>
      </c>
      <c r="V74" s="31" t="n">
        <v>6070</v>
      </c>
      <c r="W74" s="36" t="n">
        <v>-0.2106413994169096</v>
      </c>
      <c r="X74" s="36" t="n">
        <v>0.7841845140032948</v>
      </c>
      <c r="Y74" s="31" t="n">
        <v>33416778</v>
      </c>
      <c r="Z74" s="31" t="n">
        <v>361903705740</v>
      </c>
      <c r="AA74" s="31" t="n">
        <v>1765755690</v>
      </c>
      <c r="AB74" s="31" t="n">
        <v>8270007576.5</v>
      </c>
      <c r="AC74" s="36" t="n">
        <v>0.004879076013851485</v>
      </c>
      <c r="AD74" s="29" t="inlineStr">
        <is>
          <t>yfinance_download</t>
        </is>
      </c>
      <c r="AE74" s="29" t="inlineStr">
        <is>
          <t>059090.KQ</t>
        </is>
      </c>
    </row>
    <row r="75" ht="24" customHeight="1">
      <c r="A75" s="24" t="inlineStr">
        <is>
          <t>2023-09-21</t>
        </is>
      </c>
      <c r="B75" s="30" t="n">
        <v>10710</v>
      </c>
      <c r="C75" s="30" t="n">
        <v>10840</v>
      </c>
      <c r="D75" s="30" t="n">
        <v>10380</v>
      </c>
      <c r="E75" s="30" t="n">
        <v>10380</v>
      </c>
      <c r="F75" s="30" t="n">
        <v>10380</v>
      </c>
      <c r="G75" s="30" t="n">
        <v>241887</v>
      </c>
      <c r="H75" s="35" t="n">
        <v>-0.04155124653739617</v>
      </c>
      <c r="I75" s="35" t="n">
        <v>-0.3388535031847134</v>
      </c>
      <c r="J75" s="30" t="n">
        <v>11298.5</v>
      </c>
      <c r="K75" s="30" t="n">
        <v>11432</v>
      </c>
      <c r="L75" s="30" t="n">
        <v>10272.08333333333</v>
      </c>
      <c r="M75" s="35" t="n">
        <v>0.8654816048701667</v>
      </c>
      <c r="N75" s="35" t="n">
        <v>0.8087385703797054</v>
      </c>
      <c r="O75" s="35" t="n">
        <v>-0.05118829981718465</v>
      </c>
      <c r="P75" s="35" t="n">
        <v>0.2083818393480792</v>
      </c>
      <c r="Q75" s="35" t="n">
        <v>-0.170263788968825</v>
      </c>
      <c r="R75" s="35" t="n">
        <v>-0.08129397707660313</v>
      </c>
      <c r="S75" s="35" t="n">
        <v>-0.09202239328201545</v>
      </c>
      <c r="T75" s="35" t="n">
        <v>0.01050582079260121</v>
      </c>
      <c r="U75" s="30" t="n">
        <v>13720</v>
      </c>
      <c r="V75" s="30" t="n">
        <v>6070</v>
      </c>
      <c r="W75" s="35" t="n">
        <v>-0.2434402332361516</v>
      </c>
      <c r="X75" s="35" t="n">
        <v>0.7100494233937398</v>
      </c>
      <c r="Y75" s="30" t="n">
        <v>33416778</v>
      </c>
      <c r="Z75" s="30" t="n">
        <v>346866155640</v>
      </c>
      <c r="AA75" s="30" t="n">
        <v>2510787060</v>
      </c>
      <c r="AB75" s="30" t="n">
        <v>8148723572.5</v>
      </c>
      <c r="AC75" s="35" t="n">
        <v>0.007238489599446123</v>
      </c>
      <c r="AD75" s="24" t="inlineStr">
        <is>
          <t>yfinance_download</t>
        </is>
      </c>
      <c r="AE75" s="24" t="inlineStr">
        <is>
          <t>059090.KQ</t>
        </is>
      </c>
    </row>
    <row r="76" ht="24" customHeight="1">
      <c r="A76" s="29" t="inlineStr">
        <is>
          <t>2023-09-22</t>
        </is>
      </c>
      <c r="B76" s="31" t="n">
        <v>10190</v>
      </c>
      <c r="C76" s="31" t="n">
        <v>10500</v>
      </c>
      <c r="D76" s="31" t="n">
        <v>10050</v>
      </c>
      <c r="E76" s="31" t="n">
        <v>10400</v>
      </c>
      <c r="F76" s="31" t="n">
        <v>10400</v>
      </c>
      <c r="G76" s="31" t="n">
        <v>160864</v>
      </c>
      <c r="H76" s="36" t="n">
        <v>0.0019267822736031</v>
      </c>
      <c r="I76" s="36" t="n">
        <v>-0.3375796178343949</v>
      </c>
      <c r="J76" s="31" t="n">
        <v>11309</v>
      </c>
      <c r="K76" s="31" t="n">
        <v>11451.33333333333</v>
      </c>
      <c r="L76" s="31" t="n">
        <v>10246.5</v>
      </c>
      <c r="M76" s="36" t="n">
        <v>0.8281309799199871</v>
      </c>
      <c r="N76" s="36" t="n">
        <v>0.794987744950567</v>
      </c>
      <c r="O76" s="36" t="n">
        <v>0.02060843964671255</v>
      </c>
      <c r="P76" s="36" t="n">
        <v>0.1255411255411256</v>
      </c>
      <c r="Q76" s="36" t="n">
        <v>-0.2279138827023014</v>
      </c>
      <c r="R76" s="36" t="n">
        <v>-0.08037845963391987</v>
      </c>
      <c r="S76" s="36" t="n">
        <v>-0.0918088141118939</v>
      </c>
      <c r="T76" s="36" t="n">
        <v>0.01498072512565263</v>
      </c>
      <c r="U76" s="31" t="n">
        <v>13720</v>
      </c>
      <c r="V76" s="31" t="n">
        <v>6070</v>
      </c>
      <c r="W76" s="36" t="n">
        <v>-0.2419825072886297</v>
      </c>
      <c r="X76" s="36" t="n">
        <v>0.71334431630972</v>
      </c>
      <c r="Y76" s="31" t="n">
        <v>33416778</v>
      </c>
      <c r="Z76" s="31" t="n">
        <v>347534491200</v>
      </c>
      <c r="AA76" s="31" t="n">
        <v>1672985600</v>
      </c>
      <c r="AB76" s="31" t="n">
        <v>8010072907.5</v>
      </c>
      <c r="AC76" s="36" t="n">
        <v>0.004813869248555321</v>
      </c>
      <c r="AD76" s="29" t="inlineStr">
        <is>
          <t>yfinance_download</t>
        </is>
      </c>
      <c r="AE76" s="29" t="inlineStr">
        <is>
          <t>059090.KQ</t>
        </is>
      </c>
    </row>
    <row r="77" ht="24" customHeight="1">
      <c r="A77" s="24" t="inlineStr">
        <is>
          <t>2023-09-25</t>
        </is>
      </c>
      <c r="B77" s="30" t="n">
        <v>10700</v>
      </c>
      <c r="C77" s="30" t="n">
        <v>10700</v>
      </c>
      <c r="D77" s="30" t="n">
        <v>10100</v>
      </c>
      <c r="E77" s="30" t="n">
        <v>10120</v>
      </c>
      <c r="F77" s="30" t="n">
        <v>10120</v>
      </c>
      <c r="G77" s="30" t="n">
        <v>161169</v>
      </c>
      <c r="H77" s="35" t="n">
        <v>-0.02692307692307694</v>
      </c>
      <c r="I77" s="35" t="n">
        <v>-0.3554140127388535</v>
      </c>
      <c r="J77" s="30" t="n">
        <v>11309</v>
      </c>
      <c r="K77" s="30" t="n">
        <v>11448</v>
      </c>
      <c r="L77" s="30" t="n">
        <v>10242</v>
      </c>
      <c r="M77" s="35" t="n">
        <v>0.8341078225286879</v>
      </c>
      <c r="N77" s="35" t="n">
        <v>0.7610383415752332</v>
      </c>
      <c r="O77" s="35" t="n">
        <v>0</v>
      </c>
      <c r="P77" s="35" t="n">
        <v>-0.01937984496124034</v>
      </c>
      <c r="Q77" s="35" t="n">
        <v>-0.05065666041275796</v>
      </c>
      <c r="R77" s="35" t="n">
        <v>-0.1051375011053144</v>
      </c>
      <c r="S77" s="35" t="n">
        <v>-0.1160027952480782</v>
      </c>
      <c r="T77" s="35" t="n">
        <v>-0.01191173598906459</v>
      </c>
      <c r="U77" s="30" t="n">
        <v>13720</v>
      </c>
      <c r="V77" s="30" t="n">
        <v>6070</v>
      </c>
      <c r="W77" s="35" t="n">
        <v>-0.2623906705539358</v>
      </c>
      <c r="X77" s="35" t="n">
        <v>0.6672158154859966</v>
      </c>
      <c r="Y77" s="30" t="n">
        <v>33416778</v>
      </c>
      <c r="Z77" s="30" t="n">
        <v>338177793360</v>
      </c>
      <c r="AA77" s="30" t="n">
        <v>1631030280</v>
      </c>
      <c r="AB77" s="30" t="n">
        <v>7995538057.5</v>
      </c>
      <c r="AC77" s="35" t="n">
        <v>0.004822996400191544</v>
      </c>
      <c r="AD77" s="24" t="inlineStr">
        <is>
          <t>yfinance_download</t>
        </is>
      </c>
      <c r="AE77" s="24" t="inlineStr">
        <is>
          <t>059090.KQ</t>
        </is>
      </c>
    </row>
    <row r="78" ht="24" customHeight="1">
      <c r="A78" s="29" t="inlineStr">
        <is>
          <t>2023-09-26</t>
        </is>
      </c>
      <c r="B78" s="31" t="n">
        <v>10130</v>
      </c>
      <c r="C78" s="31" t="n">
        <v>10300</v>
      </c>
      <c r="D78" s="31" t="n">
        <v>10000</v>
      </c>
      <c r="E78" s="31" t="n">
        <v>10000</v>
      </c>
      <c r="F78" s="31" t="n">
        <v>10000</v>
      </c>
      <c r="G78" s="31" t="n">
        <v>171410</v>
      </c>
      <c r="H78" s="36" t="n">
        <v>-0.01185770750988147</v>
      </c>
      <c r="I78" s="36" t="n">
        <v>-0.3630573248407644</v>
      </c>
      <c r="J78" s="31" t="n">
        <v>11314</v>
      </c>
      <c r="K78" s="31" t="n">
        <v>11443</v>
      </c>
      <c r="L78" s="31" t="n">
        <v>10237.25</v>
      </c>
      <c r="M78" s="36" t="n">
        <v>0.8312236281596496</v>
      </c>
      <c r="N78" s="36" t="n">
        <v>0.7614610239987436</v>
      </c>
      <c r="O78" s="36" t="n">
        <v>0.01010101010101017</v>
      </c>
      <c r="P78" s="36" t="n">
        <v>-0.029126213592233</v>
      </c>
      <c r="Q78" s="36" t="n">
        <v>-0.05392620624408706</v>
      </c>
      <c r="R78" s="36" t="n">
        <v>-0.1161392964468799</v>
      </c>
      <c r="S78" s="36" t="n">
        <v>-0.1261032945905793</v>
      </c>
      <c r="T78" s="36" t="n">
        <v>-0.02317516911279882</v>
      </c>
      <c r="U78" s="31" t="n">
        <v>13720</v>
      </c>
      <c r="V78" s="31" t="n">
        <v>6070</v>
      </c>
      <c r="W78" s="36" t="n">
        <v>-0.2711370262390671</v>
      </c>
      <c r="X78" s="36" t="n">
        <v>0.6474464579901154</v>
      </c>
      <c r="Y78" s="31" t="n">
        <v>33416778</v>
      </c>
      <c r="Z78" s="31" t="n">
        <v>334167780000</v>
      </c>
      <c r="AA78" s="31" t="n">
        <v>1714100000</v>
      </c>
      <c r="AB78" s="31" t="n">
        <v>7725259352.5</v>
      </c>
      <c r="AC78" s="36" t="n">
        <v>0.005129459219557314</v>
      </c>
      <c r="AD78" s="29" t="inlineStr">
        <is>
          <t>yfinance_download</t>
        </is>
      </c>
      <c r="AE78" s="29" t="inlineStr">
        <is>
          <t>059090.KQ</t>
        </is>
      </c>
    </row>
    <row r="79" ht="24" customHeight="1">
      <c r="A79" s="24" t="inlineStr">
        <is>
          <t>2023-09-27</t>
        </is>
      </c>
      <c r="B79" s="30" t="n">
        <v>9930</v>
      </c>
      <c r="C79" s="30" t="n">
        <v>10290</v>
      </c>
      <c r="D79" s="30" t="n">
        <v>9850</v>
      </c>
      <c r="E79" s="30" t="n">
        <v>10260</v>
      </c>
      <c r="F79" s="30" t="n">
        <v>10260</v>
      </c>
      <c r="G79" s="30" t="n">
        <v>149111</v>
      </c>
      <c r="H79" s="35" t="n">
        <v>0.02600000000000002</v>
      </c>
      <c r="I79" s="35" t="n">
        <v>-0.3464968152866242</v>
      </c>
      <c r="J79" s="30" t="n">
        <v>11303.5</v>
      </c>
      <c r="K79" s="30" t="n">
        <v>11432.5</v>
      </c>
      <c r="L79" s="30" t="n">
        <v>10236.91666666667</v>
      </c>
      <c r="M79" s="35" t="n">
        <v>0.8104045342249677</v>
      </c>
      <c r="N79" s="35" t="n">
        <v>0.754181729013287</v>
      </c>
      <c r="O79" s="35" t="n">
        <v>-0.02005730659025784</v>
      </c>
      <c r="P79" s="35" t="n">
        <v>-0.05785123966942152</v>
      </c>
      <c r="Q79" s="35" t="n">
        <v>-0.003883495145631022</v>
      </c>
      <c r="R79" s="35" t="n">
        <v>-0.09231653912504978</v>
      </c>
      <c r="S79" s="35" t="n">
        <v>-0.102558495517166</v>
      </c>
      <c r="T79" s="35" t="n">
        <v>0.002254910739724725</v>
      </c>
      <c r="U79" s="30" t="n">
        <v>13720</v>
      </c>
      <c r="V79" s="30" t="n">
        <v>6070</v>
      </c>
      <c r="W79" s="35" t="n">
        <v>-0.2521865889212828</v>
      </c>
      <c r="X79" s="35" t="n">
        <v>0.6902800658978583</v>
      </c>
      <c r="Y79" s="30" t="n">
        <v>33416778</v>
      </c>
      <c r="Z79" s="30" t="n">
        <v>342856142280</v>
      </c>
      <c r="AA79" s="30" t="n">
        <v>1529878860</v>
      </c>
      <c r="AB79" s="30" t="n">
        <v>7442092043.5</v>
      </c>
      <c r="AC79" s="35" t="n">
        <v>0.004462159697143752</v>
      </c>
      <c r="AD79" s="24" t="inlineStr">
        <is>
          <t>yfinance_download</t>
        </is>
      </c>
      <c r="AE79" s="24" t="inlineStr">
        <is>
          <t>059090.KQ</t>
        </is>
      </c>
    </row>
    <row r="80" ht="24" customHeight="1">
      <c r="A80" s="29" t="inlineStr">
        <is>
          <t>2023-10-04</t>
        </is>
      </c>
      <c r="B80" s="31" t="n">
        <v>10020</v>
      </c>
      <c r="C80" s="31" t="n">
        <v>10140</v>
      </c>
      <c r="D80" s="31" t="n">
        <v>9600</v>
      </c>
      <c r="E80" s="31" t="n">
        <v>9600</v>
      </c>
      <c r="F80" s="31" t="n">
        <v>9600</v>
      </c>
      <c r="G80" s="31" t="n">
        <v>309056</v>
      </c>
      <c r="H80" s="36" t="n">
        <v>-0.06432748538011701</v>
      </c>
      <c r="I80" s="36" t="n">
        <v>-0.3885350318471338</v>
      </c>
      <c r="J80" s="31" t="n">
        <v>11229</v>
      </c>
      <c r="K80" s="31" t="n">
        <v>11403.16666666667</v>
      </c>
      <c r="L80" s="31" t="n">
        <v>10231.41666666667</v>
      </c>
      <c r="M80" s="36" t="n">
        <v>0.8097186408993743</v>
      </c>
      <c r="N80" s="36" t="n">
        <v>0.7601124856145975</v>
      </c>
      <c r="O80" s="36" t="n">
        <v>-0.1343552750225429</v>
      </c>
      <c r="P80" s="36" t="n">
        <v>-0.1549295774647887</v>
      </c>
      <c r="Q80" s="36" t="n">
        <v>-0.06432748538011701</v>
      </c>
      <c r="R80" s="36" t="n">
        <v>-0.1450707988244724</v>
      </c>
      <c r="S80" s="36" t="n">
        <v>-0.1581285900115464</v>
      </c>
      <c r="T80" s="36" t="n">
        <v>-0.06171351311727757</v>
      </c>
      <c r="U80" s="31" t="n">
        <v>13720</v>
      </c>
      <c r="V80" s="31" t="n">
        <v>6070</v>
      </c>
      <c r="W80" s="36" t="n">
        <v>-0.3002915451895044</v>
      </c>
      <c r="X80" s="36" t="n">
        <v>0.5815485996705108</v>
      </c>
      <c r="Y80" s="31" t="n">
        <v>33416778</v>
      </c>
      <c r="Z80" s="31" t="n">
        <v>320801068800</v>
      </c>
      <c r="AA80" s="31" t="n">
        <v>2966937600</v>
      </c>
      <c r="AB80" s="31" t="n">
        <v>7091470435</v>
      </c>
      <c r="AC80" s="36" t="n">
        <v>0.009248527790441077</v>
      </c>
      <c r="AD80" s="29" t="inlineStr">
        <is>
          <t>yfinance_download</t>
        </is>
      </c>
      <c r="AE80" s="29" t="inlineStr">
        <is>
          <t>059090.KQ</t>
        </is>
      </c>
    </row>
    <row r="81" ht="24" customHeight="1">
      <c r="A81" s="24" t="inlineStr">
        <is>
          <t>2023-10-05</t>
        </is>
      </c>
      <c r="B81" s="30" t="n">
        <v>9670</v>
      </c>
      <c r="C81" s="30" t="n">
        <v>9950</v>
      </c>
      <c r="D81" s="30" t="n">
        <v>9480</v>
      </c>
      <c r="E81" s="30" t="n">
        <v>9510</v>
      </c>
      <c r="F81" s="30" t="n">
        <v>9510</v>
      </c>
      <c r="G81" s="30" t="n">
        <v>211755</v>
      </c>
      <c r="H81" s="35" t="n">
        <v>-0.009375000000000022</v>
      </c>
      <c r="I81" s="35" t="n">
        <v>-0.3942675159235669</v>
      </c>
      <c r="J81" s="30" t="n">
        <v>11076</v>
      </c>
      <c r="K81" s="30" t="n">
        <v>11370.16666666667</v>
      </c>
      <c r="L81" s="30" t="n">
        <v>10227.5</v>
      </c>
      <c r="M81" s="35" t="n">
        <v>0.6199989371373149</v>
      </c>
      <c r="N81" s="35" t="n">
        <v>0.7597723706639379</v>
      </c>
      <c r="O81" s="35" t="n">
        <v>-0.2434367541766109</v>
      </c>
      <c r="P81" s="35" t="n">
        <v>-0.1723237597911227</v>
      </c>
      <c r="Q81" s="35" t="n">
        <v>-0.0470941883767535</v>
      </c>
      <c r="R81" s="35" t="n">
        <v>-0.1413867822318526</v>
      </c>
      <c r="S81" s="35" t="n">
        <v>-0.163600650825992</v>
      </c>
      <c r="T81" s="35" t="n">
        <v>-0.07015399657785382</v>
      </c>
      <c r="U81" s="30" t="n">
        <v>13720</v>
      </c>
      <c r="V81" s="30" t="n">
        <v>6070</v>
      </c>
      <c r="W81" s="35" t="n">
        <v>-0.3068513119533528</v>
      </c>
      <c r="X81" s="35" t="n">
        <v>0.5667215815485998</v>
      </c>
      <c r="Y81" s="30" t="n">
        <v>33416778</v>
      </c>
      <c r="Z81" s="30" t="n">
        <v>317793558780</v>
      </c>
      <c r="AA81" s="30" t="n">
        <v>2013790050</v>
      </c>
      <c r="AB81" s="30" t="n">
        <v>5708892395.5</v>
      </c>
      <c r="AC81" s="35" t="n">
        <v>0.006336786867961956</v>
      </c>
      <c r="AD81" s="24" t="inlineStr">
        <is>
          <t>yfinance_download</t>
        </is>
      </c>
      <c r="AE81" s="24" t="inlineStr">
        <is>
          <t>059090.KQ</t>
        </is>
      </c>
    </row>
    <row r="82" ht="24" customHeight="1">
      <c r="A82" s="29" t="inlineStr">
        <is>
          <t>2023-10-06</t>
        </is>
      </c>
      <c r="B82" s="31" t="n">
        <v>9510</v>
      </c>
      <c r="C82" s="31" t="n">
        <v>9880</v>
      </c>
      <c r="D82" s="31" t="n">
        <v>9510</v>
      </c>
      <c r="E82" s="31" t="n">
        <v>9880</v>
      </c>
      <c r="F82" s="31" t="n">
        <v>9880</v>
      </c>
      <c r="G82" s="31" t="n">
        <v>125288</v>
      </c>
      <c r="H82" s="36" t="n">
        <v>0.03890641430073605</v>
      </c>
      <c r="I82" s="36" t="n">
        <v>-0.3707006369426752</v>
      </c>
      <c r="J82" s="31" t="n">
        <v>10938.5</v>
      </c>
      <c r="K82" s="31" t="n">
        <v>11350.5</v>
      </c>
      <c r="L82" s="31" t="n">
        <v>10222.5</v>
      </c>
      <c r="M82" s="36" t="n">
        <v>0.644425061272461</v>
      </c>
      <c r="N82" s="36" t="n">
        <v>0.7606948497234027</v>
      </c>
      <c r="O82" s="36" t="n">
        <v>-0.217735550277118</v>
      </c>
      <c r="P82" s="36" t="n">
        <v>-0.1066907775768535</v>
      </c>
      <c r="Q82" s="36" t="n">
        <v>-0.0572519083969466</v>
      </c>
      <c r="R82" s="36" t="n">
        <v>-0.09676829547012844</v>
      </c>
      <c r="S82" s="36" t="n">
        <v>-0.129553764151359</v>
      </c>
      <c r="T82" s="36" t="n">
        <v>-0.03350452433357787</v>
      </c>
      <c r="U82" s="31" t="n">
        <v>13720</v>
      </c>
      <c r="V82" s="31" t="n">
        <v>6070</v>
      </c>
      <c r="W82" s="36" t="n">
        <v>-0.2798833819241983</v>
      </c>
      <c r="X82" s="36" t="n">
        <v>0.6276771004942339</v>
      </c>
      <c r="Y82" s="31" t="n">
        <v>33416778</v>
      </c>
      <c r="Z82" s="31" t="n">
        <v>330157766640</v>
      </c>
      <c r="AA82" s="31" t="n">
        <v>1237845440</v>
      </c>
      <c r="AB82" s="31" t="n">
        <v>4620113993</v>
      </c>
      <c r="AC82" s="36" t="n">
        <v>0.003749254341636408</v>
      </c>
      <c r="AD82" s="29" t="inlineStr">
        <is>
          <t>yfinance_download</t>
        </is>
      </c>
      <c r="AE82" s="29" t="inlineStr">
        <is>
          <t>059090.KQ</t>
        </is>
      </c>
    </row>
    <row r="83" ht="24" customHeight="1">
      <c r="A83" s="24" t="inlineStr">
        <is>
          <t>2023-10-10</t>
        </is>
      </c>
      <c r="B83" s="30" t="n">
        <v>9930</v>
      </c>
      <c r="C83" s="30" t="n">
        <v>10060</v>
      </c>
      <c r="D83" s="30" t="n">
        <v>9300</v>
      </c>
      <c r="E83" s="30" t="n">
        <v>9400</v>
      </c>
      <c r="F83" s="30" t="n">
        <v>9400</v>
      </c>
      <c r="G83" s="30" t="n">
        <v>315493</v>
      </c>
      <c r="H83" s="35" t="n">
        <v>-0.04858299595141702</v>
      </c>
      <c r="I83" s="35" t="n">
        <v>-0.4012738853503185</v>
      </c>
      <c r="J83" s="30" t="n">
        <v>10802</v>
      </c>
      <c r="K83" s="30" t="n">
        <v>11331.5</v>
      </c>
      <c r="L83" s="30" t="n">
        <v>10215</v>
      </c>
      <c r="M83" s="35" t="n">
        <v>0.6504032929457921</v>
      </c>
      <c r="N83" s="35" t="n">
        <v>0.7611083048732772</v>
      </c>
      <c r="O83" s="35" t="n">
        <v>-0.2250618301731245</v>
      </c>
      <c r="P83" s="35" t="n">
        <v>-0.1081593927893738</v>
      </c>
      <c r="Q83" s="35" t="n">
        <v>-0.08737864077669899</v>
      </c>
      <c r="R83" s="35" t="n">
        <v>-0.1297907794852805</v>
      </c>
      <c r="S83" s="35" t="n">
        <v>-0.1704540440365353</v>
      </c>
      <c r="T83" s="35" t="n">
        <v>-0.07978463044542339</v>
      </c>
      <c r="U83" s="30" t="n">
        <v>13720</v>
      </c>
      <c r="V83" s="30" t="n">
        <v>6070</v>
      </c>
      <c r="W83" s="35" t="n">
        <v>-0.314868804664723</v>
      </c>
      <c r="X83" s="35" t="n">
        <v>0.5485996705107083</v>
      </c>
      <c r="Y83" s="30" t="n">
        <v>33416778</v>
      </c>
      <c r="Z83" s="30" t="n">
        <v>314117713200</v>
      </c>
      <c r="AA83" s="30" t="n">
        <v>2965634200</v>
      </c>
      <c r="AB83" s="30" t="n">
        <v>4247874962.5</v>
      </c>
      <c r="AC83" s="35" t="n">
        <v>0.00944115557759638</v>
      </c>
      <c r="AD83" s="24" t="inlineStr">
        <is>
          <t>yfinance_download</t>
        </is>
      </c>
      <c r="AE83" s="24" t="inlineStr">
        <is>
          <t>059090.KQ</t>
        </is>
      </c>
    </row>
    <row r="84" ht="24" customHeight="1">
      <c r="A84" s="29" t="inlineStr">
        <is>
          <t>2023-10-11</t>
        </is>
      </c>
      <c r="B84" s="31" t="n">
        <v>9600</v>
      </c>
      <c r="C84" s="31" t="n">
        <v>9970</v>
      </c>
      <c r="D84" s="31" t="n">
        <v>9600</v>
      </c>
      <c r="E84" s="31" t="n">
        <v>9860</v>
      </c>
      <c r="F84" s="31" t="n">
        <v>9860</v>
      </c>
      <c r="G84" s="31" t="n">
        <v>159732</v>
      </c>
      <c r="H84" s="36" t="n">
        <v>0.04893617021276597</v>
      </c>
      <c r="I84" s="36" t="n">
        <v>-0.3719745222929937</v>
      </c>
      <c r="J84" s="31" t="n">
        <v>10670</v>
      </c>
      <c r="K84" s="31" t="n">
        <v>11325.16666666667</v>
      </c>
      <c r="L84" s="31" t="n">
        <v>10211.91666666667</v>
      </c>
      <c r="M84" s="36" t="n">
        <v>0.6693455679970451</v>
      </c>
      <c r="N84" s="36" t="n">
        <v>0.7656085007200099</v>
      </c>
      <c r="O84" s="36" t="n">
        <v>-0.2112000000000001</v>
      </c>
      <c r="P84" s="36" t="n">
        <v>-0.037109375</v>
      </c>
      <c r="Q84" s="36" t="n">
        <v>-0.03616813294232646</v>
      </c>
      <c r="R84" s="36" t="n">
        <v>-0.0759137769447048</v>
      </c>
      <c r="S84" s="36" t="n">
        <v>-0.1293726361642948</v>
      </c>
      <c r="T84" s="36" t="n">
        <v>-0.03446137274262906</v>
      </c>
      <c r="U84" s="31" t="n">
        <v>13720</v>
      </c>
      <c r="V84" s="31" t="n">
        <v>6070</v>
      </c>
      <c r="W84" s="36" t="n">
        <v>-0.2813411078717201</v>
      </c>
      <c r="X84" s="36" t="n">
        <v>0.6243822075782537</v>
      </c>
      <c r="Y84" s="31" t="n">
        <v>33416778</v>
      </c>
      <c r="Z84" s="31" t="n">
        <v>329489431080</v>
      </c>
      <c r="AA84" s="31" t="n">
        <v>1574957520</v>
      </c>
      <c r="AB84" s="31" t="n">
        <v>3903440338.5</v>
      </c>
      <c r="AC84" s="36" t="n">
        <v>0.004779994049695635</v>
      </c>
      <c r="AD84" s="29" t="inlineStr">
        <is>
          <t>yfinance_download</t>
        </is>
      </c>
      <c r="AE84" s="29" t="inlineStr">
        <is>
          <t>059090.KQ</t>
        </is>
      </c>
    </row>
    <row r="85" ht="24" customHeight="1">
      <c r="A85" s="24" t="inlineStr">
        <is>
          <t>2023-10-12</t>
        </is>
      </c>
      <c r="B85" s="30" t="n">
        <v>9950</v>
      </c>
      <c r="C85" s="30" t="n">
        <v>10200</v>
      </c>
      <c r="D85" s="30" t="n">
        <v>9890</v>
      </c>
      <c r="E85" s="30" t="n">
        <v>10170</v>
      </c>
      <c r="F85" s="30" t="n">
        <v>10170</v>
      </c>
      <c r="G85" s="30" t="n">
        <v>139635</v>
      </c>
      <c r="H85" s="35" t="n">
        <v>0.03144016227180524</v>
      </c>
      <c r="I85" s="35" t="n">
        <v>-0.3522292993630574</v>
      </c>
      <c r="J85" s="30" t="n">
        <v>10581.5</v>
      </c>
      <c r="K85" s="30" t="n">
        <v>11302.16666666667</v>
      </c>
      <c r="L85" s="30" t="n">
        <v>10212.41666666667</v>
      </c>
      <c r="M85" s="35" t="n">
        <v>0.6729013124244778</v>
      </c>
      <c r="N85" s="35" t="n">
        <v>0.7212609544129838</v>
      </c>
      <c r="O85" s="35" t="n">
        <v>-0.1482412060301508</v>
      </c>
      <c r="P85" s="35" t="n">
        <v>-0.1194805194805195</v>
      </c>
      <c r="Q85" s="35" t="n">
        <v>0.005934718100890191</v>
      </c>
      <c r="R85" s="35" t="n">
        <v>-0.0388886263762227</v>
      </c>
      <c r="S85" s="35" t="n">
        <v>-0.100172533290077</v>
      </c>
      <c r="T85" s="35" t="n">
        <v>-0.004153440664550478</v>
      </c>
      <c r="U85" s="30" t="n">
        <v>13720</v>
      </c>
      <c r="V85" s="30" t="n">
        <v>6320</v>
      </c>
      <c r="W85" s="35" t="n">
        <v>-0.2587463556851312</v>
      </c>
      <c r="X85" s="35" t="n">
        <v>0.6091772151898733</v>
      </c>
      <c r="Y85" s="30" t="n">
        <v>33416778</v>
      </c>
      <c r="Z85" s="30" t="n">
        <v>339848632260</v>
      </c>
      <c r="AA85" s="30" t="n">
        <v>1420087950</v>
      </c>
      <c r="AB85" s="30" t="n">
        <v>3624409905</v>
      </c>
      <c r="AC85" s="35" t="n">
        <v>0.004178589569586871</v>
      </c>
      <c r="AD85" s="24" t="inlineStr">
        <is>
          <t>yfinance_download</t>
        </is>
      </c>
      <c r="AE85" s="24" t="inlineStr">
        <is>
          <t>059090.KQ</t>
        </is>
      </c>
    </row>
    <row r="86" ht="24" customHeight="1">
      <c r="A86" s="29" t="inlineStr">
        <is>
          <t>2023-10-13</t>
        </is>
      </c>
      <c r="B86" s="31" t="n">
        <v>10010</v>
      </c>
      <c r="C86" s="31" t="n">
        <v>10180</v>
      </c>
      <c r="D86" s="31" t="n">
        <v>9660</v>
      </c>
      <c r="E86" s="31" t="n">
        <v>9850</v>
      </c>
      <c r="F86" s="31" t="n">
        <v>9850</v>
      </c>
      <c r="G86" s="31" t="n">
        <v>332097</v>
      </c>
      <c r="H86" s="36" t="n">
        <v>-0.0314650934119961</v>
      </c>
      <c r="I86" s="36" t="n">
        <v>-0.3726114649681529</v>
      </c>
      <c r="J86" s="31" t="n">
        <v>10502</v>
      </c>
      <c r="K86" s="31" t="n">
        <v>11249.66666666667</v>
      </c>
      <c r="L86" s="31" t="n">
        <v>10213.33333333333</v>
      </c>
      <c r="M86" s="36" t="n">
        <v>0.6667588133960763</v>
      </c>
      <c r="N86" s="36" t="n">
        <v>0.6737027710638311</v>
      </c>
      <c r="O86" s="36" t="n">
        <v>-0.138986013986014</v>
      </c>
      <c r="P86" s="36" t="n">
        <v>-0.2423076923076923</v>
      </c>
      <c r="Q86" s="36" t="n">
        <v>0.01129363449691989</v>
      </c>
      <c r="R86" s="36" t="n">
        <v>-0.06208341268329842</v>
      </c>
      <c r="S86" s="36" t="n">
        <v>-0.1244185012889271</v>
      </c>
      <c r="T86" s="36" t="n">
        <v>-0.03557441253263716</v>
      </c>
      <c r="U86" s="31" t="n">
        <v>13720</v>
      </c>
      <c r="V86" s="31" t="n">
        <v>7330</v>
      </c>
      <c r="W86" s="36" t="n">
        <v>-0.282069970845481</v>
      </c>
      <c r="X86" s="36" t="n">
        <v>0.3437926330150067</v>
      </c>
      <c r="Y86" s="31" t="n">
        <v>33416778</v>
      </c>
      <c r="Z86" s="31" t="n">
        <v>329155263300</v>
      </c>
      <c r="AA86" s="31" t="n">
        <v>3271155450</v>
      </c>
      <c r="AB86" s="31" t="n">
        <v>3521927045.5</v>
      </c>
      <c r="AC86" s="36" t="n">
        <v>0.009938031727654893</v>
      </c>
      <c r="AD86" s="29" t="inlineStr">
        <is>
          <t>yfinance_download</t>
        </is>
      </c>
      <c r="AE86" s="29" t="inlineStr">
        <is>
          <t>059090.KQ</t>
        </is>
      </c>
    </row>
    <row r="87" ht="24" customHeight="1">
      <c r="A87" s="24" t="inlineStr">
        <is>
          <t>2023-10-16</t>
        </is>
      </c>
      <c r="B87" s="30" t="n">
        <v>9620</v>
      </c>
      <c r="C87" s="30" t="n">
        <v>9700</v>
      </c>
      <c r="D87" s="30" t="n">
        <v>9150</v>
      </c>
      <c r="E87" s="30" t="n">
        <v>9270</v>
      </c>
      <c r="F87" s="30" t="n">
        <v>9270</v>
      </c>
      <c r="G87" s="30" t="n">
        <v>299270</v>
      </c>
      <c r="H87" s="35" t="n">
        <v>-0.05888324873096451</v>
      </c>
      <c r="I87" s="35" t="n">
        <v>-0.4095541401273886</v>
      </c>
      <c r="J87" s="30" t="n">
        <v>10393</v>
      </c>
      <c r="K87" s="30" t="n">
        <v>11184.16666666667</v>
      </c>
      <c r="L87" s="30" t="n">
        <v>10209.75</v>
      </c>
      <c r="M87" s="35" t="n">
        <v>0.6911530545496573</v>
      </c>
      <c r="N87" s="35" t="n">
        <v>0.6818442885088895</v>
      </c>
      <c r="O87" s="35" t="n">
        <v>-0.1903930131004367</v>
      </c>
      <c r="P87" s="35" t="n">
        <v>-0.2977272727272727</v>
      </c>
      <c r="Q87" s="35" t="n">
        <v>-0.04432989690721645</v>
      </c>
      <c r="R87" s="35" t="n">
        <v>-0.1080534975464255</v>
      </c>
      <c r="S87" s="35" t="n">
        <v>-0.171149690783101</v>
      </c>
      <c r="T87" s="35" t="n">
        <v>-0.09204436935282445</v>
      </c>
      <c r="U87" s="30" t="n">
        <v>13720</v>
      </c>
      <c r="V87" s="30" t="n">
        <v>7330</v>
      </c>
      <c r="W87" s="35" t="n">
        <v>-0.3243440233236151</v>
      </c>
      <c r="X87" s="35" t="n">
        <v>0.2646657571623465</v>
      </c>
      <c r="Y87" s="30" t="n">
        <v>33416778</v>
      </c>
      <c r="Z87" s="30" t="n">
        <v>309773532060</v>
      </c>
      <c r="AA87" s="30" t="n">
        <v>2774232900</v>
      </c>
      <c r="AB87" s="30" t="n">
        <v>3472441338</v>
      </c>
      <c r="AC87" s="35" t="n">
        <v>0.008955680885811314</v>
      </c>
      <c r="AD87" s="24" t="inlineStr">
        <is>
          <t>yfinance_download</t>
        </is>
      </c>
      <c r="AE87" s="24" t="inlineStr">
        <is>
          <t>059090.KQ</t>
        </is>
      </c>
    </row>
    <row r="88" ht="24" customHeight="1">
      <c r="A88" s="29" t="inlineStr">
        <is>
          <t>2023-10-17</t>
        </is>
      </c>
      <c r="B88" s="31" t="n">
        <v>9410</v>
      </c>
      <c r="C88" s="31" t="n">
        <v>9740</v>
      </c>
      <c r="D88" s="31" t="n">
        <v>9280</v>
      </c>
      <c r="E88" s="31" t="n">
        <v>9650</v>
      </c>
      <c r="F88" s="31" t="n">
        <v>9650</v>
      </c>
      <c r="G88" s="31" t="n">
        <v>163983</v>
      </c>
      <c r="H88" s="36" t="n">
        <v>0.04099244875943908</v>
      </c>
      <c r="I88" s="36" t="n">
        <v>-0.3853503184713376</v>
      </c>
      <c r="J88" s="31" t="n">
        <v>10318.5</v>
      </c>
      <c r="K88" s="31" t="n">
        <v>11119</v>
      </c>
      <c r="L88" s="31" t="n">
        <v>10209</v>
      </c>
      <c r="M88" s="36" t="n">
        <v>0.710296173426488</v>
      </c>
      <c r="N88" s="36" t="n">
        <v>0.6851870686482318</v>
      </c>
      <c r="O88" s="36" t="n">
        <v>-0.1337522441651705</v>
      </c>
      <c r="P88" s="36" t="n">
        <v>-0.2883480825958702</v>
      </c>
      <c r="Q88" s="36" t="n">
        <v>-0.00924024640657084</v>
      </c>
      <c r="R88" s="36" t="n">
        <v>-0.06478654843242715</v>
      </c>
      <c r="S88" s="36" t="n">
        <v>-0.1321161974997752</v>
      </c>
      <c r="T88" s="36" t="n">
        <v>-0.05475560779704181</v>
      </c>
      <c r="U88" s="31" t="n">
        <v>13720</v>
      </c>
      <c r="V88" s="31" t="n">
        <v>7330</v>
      </c>
      <c r="W88" s="36" t="n">
        <v>-0.2966472303206997</v>
      </c>
      <c r="X88" s="36" t="n">
        <v>0.3165075034106413</v>
      </c>
      <c r="Y88" s="31" t="n">
        <v>33416778</v>
      </c>
      <c r="Z88" s="31" t="n">
        <v>322471907700</v>
      </c>
      <c r="AA88" s="31" t="n">
        <v>1582435950</v>
      </c>
      <c r="AB88" s="31" t="n">
        <v>3369070997.5</v>
      </c>
      <c r="AC88" s="36" t="n">
        <v>0.004907205595943451</v>
      </c>
      <c r="AD88" s="29" t="inlineStr">
        <is>
          <t>yfinance_download</t>
        </is>
      </c>
      <c r="AE88" s="29" t="inlineStr">
        <is>
          <t>059090.KQ</t>
        </is>
      </c>
    </row>
    <row r="89" ht="24" customHeight="1">
      <c r="A89" s="24" t="inlineStr">
        <is>
          <t>2023-10-18</t>
        </is>
      </c>
      <c r="B89" s="30" t="n">
        <v>9400</v>
      </c>
      <c r="C89" s="30" t="n">
        <v>9790</v>
      </c>
      <c r="D89" s="30" t="n">
        <v>9360</v>
      </c>
      <c r="E89" s="30" t="n">
        <v>9450</v>
      </c>
      <c r="F89" s="30" t="n">
        <v>9450</v>
      </c>
      <c r="G89" s="30" t="n">
        <v>133476</v>
      </c>
      <c r="H89" s="35" t="n">
        <v>-0.02072538860103623</v>
      </c>
      <c r="I89" s="35" t="n">
        <v>-0.3980891719745223</v>
      </c>
      <c r="J89" s="30" t="n">
        <v>10245</v>
      </c>
      <c r="K89" s="30" t="n">
        <v>11048.16666666667</v>
      </c>
      <c r="L89" s="30" t="n">
        <v>10207.83333333333</v>
      </c>
      <c r="M89" s="35" t="n">
        <v>0.7105517326903005</v>
      </c>
      <c r="N89" s="35" t="n">
        <v>0.6852253510278907</v>
      </c>
      <c r="O89" s="35" t="n">
        <v>-0.1346153846153846</v>
      </c>
      <c r="P89" s="35" t="n">
        <v>-0.3102189781021898</v>
      </c>
      <c r="Q89" s="35" t="n">
        <v>-0.01459854014598538</v>
      </c>
      <c r="R89" s="35" t="n">
        <v>-0.07759882869692536</v>
      </c>
      <c r="S89" s="35" t="n">
        <v>-0.1446544675587201</v>
      </c>
      <c r="T89" s="35" t="n">
        <v>-0.07424037095694491</v>
      </c>
      <c r="U89" s="30" t="n">
        <v>13720</v>
      </c>
      <c r="V89" s="30" t="n">
        <v>7330</v>
      </c>
      <c r="W89" s="35" t="n">
        <v>-0.3112244897959183</v>
      </c>
      <c r="X89" s="35" t="n">
        <v>0.2892223738062756</v>
      </c>
      <c r="Y89" s="30" t="n">
        <v>33416778</v>
      </c>
      <c r="Z89" s="30" t="n">
        <v>315788552100</v>
      </c>
      <c r="AA89" s="30" t="n">
        <v>1261348200</v>
      </c>
      <c r="AB89" s="30" t="n">
        <v>3259956761.5</v>
      </c>
      <c r="AC89" s="35" t="n">
        <v>0.00399428095670983</v>
      </c>
      <c r="AD89" s="24" t="inlineStr">
        <is>
          <t>yfinance_download</t>
        </is>
      </c>
      <c r="AE89" s="24" t="inlineStr">
        <is>
          <t>059090.KQ</t>
        </is>
      </c>
    </row>
    <row r="90" ht="24" customHeight="1">
      <c r="A90" s="29" t="inlineStr">
        <is>
          <t>2023-10-19</t>
        </is>
      </c>
      <c r="B90" s="31" t="n">
        <v>9340</v>
      </c>
      <c r="C90" s="31" t="n">
        <v>9360</v>
      </c>
      <c r="D90" s="31" t="n">
        <v>9050</v>
      </c>
      <c r="E90" s="31" t="n">
        <v>9110</v>
      </c>
      <c r="F90" s="31" t="n">
        <v>9110</v>
      </c>
      <c r="G90" s="31" t="n">
        <v>171542</v>
      </c>
      <c r="H90" s="36" t="n">
        <v>-0.035978835978836</v>
      </c>
      <c r="I90" s="36" t="n">
        <v>-0.4197452229299363</v>
      </c>
      <c r="J90" s="31" t="n">
        <v>10123</v>
      </c>
      <c r="K90" s="31" t="n">
        <v>10982.5</v>
      </c>
      <c r="L90" s="31" t="n">
        <v>10204.16666666667</v>
      </c>
      <c r="M90" s="36" t="n">
        <v>0.6756976385363724</v>
      </c>
      <c r="N90" s="36" t="n">
        <v>0.6826082818889996</v>
      </c>
      <c r="O90" s="36" t="n">
        <v>-0.2112554112554113</v>
      </c>
      <c r="P90" s="36" t="n">
        <v>-0.3019157088122605</v>
      </c>
      <c r="Q90" s="36" t="n">
        <v>-0.0460732984293194</v>
      </c>
      <c r="R90" s="36" t="n">
        <v>-0.100069149461622</v>
      </c>
      <c r="S90" s="36" t="n">
        <v>-0.1704985203733211</v>
      </c>
      <c r="T90" s="36" t="n">
        <v>-0.1072274397713352</v>
      </c>
      <c r="U90" s="31" t="n">
        <v>13720</v>
      </c>
      <c r="V90" s="31" t="n">
        <v>7330</v>
      </c>
      <c r="W90" s="36" t="n">
        <v>-0.3360058309037901</v>
      </c>
      <c r="X90" s="36" t="n">
        <v>0.2428376534788541</v>
      </c>
      <c r="Y90" s="31" t="n">
        <v>33416778</v>
      </c>
      <c r="Z90" s="31" t="n">
        <v>304426847580</v>
      </c>
      <c r="AA90" s="31" t="n">
        <v>1562747620</v>
      </c>
      <c r="AB90" s="31" t="n">
        <v>3158767687.5</v>
      </c>
      <c r="AC90" s="36" t="n">
        <v>0.005133409331085121</v>
      </c>
      <c r="AD90" s="29" t="inlineStr">
        <is>
          <t>yfinance_download</t>
        </is>
      </c>
      <c r="AE90" s="29" t="inlineStr">
        <is>
          <t>059090.KQ</t>
        </is>
      </c>
    </row>
    <row r="91" ht="24" customHeight="1">
      <c r="A91" s="24" t="inlineStr">
        <is>
          <t>2023-10-20</t>
        </is>
      </c>
      <c r="B91" s="30" t="n">
        <v>9000</v>
      </c>
      <c r="C91" s="30" t="n">
        <v>9100</v>
      </c>
      <c r="D91" s="30" t="n">
        <v>8650</v>
      </c>
      <c r="E91" s="30" t="n">
        <v>8930</v>
      </c>
      <c r="F91" s="30" t="n">
        <v>8930</v>
      </c>
      <c r="G91" s="30" t="n">
        <v>318250</v>
      </c>
      <c r="H91" s="35" t="n">
        <v>-0.01975850713501648</v>
      </c>
      <c r="I91" s="35" t="n">
        <v>-0.4312101910828026</v>
      </c>
      <c r="J91" s="30" t="n">
        <v>9949.5</v>
      </c>
      <c r="K91" s="30" t="n">
        <v>10902.66666666667</v>
      </c>
      <c r="L91" s="30" t="n">
        <v>10202.08333333333</v>
      </c>
      <c r="M91" s="35" t="n">
        <v>0.5975511465601238</v>
      </c>
      <c r="N91" s="35" t="n">
        <v>0.6729961165016403</v>
      </c>
      <c r="O91" s="35" t="n">
        <v>-0.2798387096774193</v>
      </c>
      <c r="P91" s="35" t="n">
        <v>-0.3491253644314869</v>
      </c>
      <c r="Q91" s="35" t="n">
        <v>-0.02723311546840956</v>
      </c>
      <c r="R91" s="35" t="n">
        <v>-0.1024674606764159</v>
      </c>
      <c r="S91" s="35" t="n">
        <v>-0.1809343279931515</v>
      </c>
      <c r="T91" s="35" t="n">
        <v>-0.124688584847866</v>
      </c>
      <c r="U91" s="30" t="n">
        <v>13720</v>
      </c>
      <c r="V91" s="30" t="n">
        <v>7330</v>
      </c>
      <c r="W91" s="35" t="n">
        <v>-0.3491253644314869</v>
      </c>
      <c r="X91" s="35" t="n">
        <v>0.2182810368349251</v>
      </c>
      <c r="Y91" s="30" t="n">
        <v>33416778</v>
      </c>
      <c r="Z91" s="30" t="n">
        <v>298411827540</v>
      </c>
      <c r="AA91" s="30" t="n">
        <v>2841972500</v>
      </c>
      <c r="AB91" s="30" t="n">
        <v>2515204172.5</v>
      </c>
      <c r="AC91" s="35" t="n">
        <v>0.00952365904337037</v>
      </c>
      <c r="AD91" s="24" t="inlineStr">
        <is>
          <t>yfinance_download</t>
        </is>
      </c>
      <c r="AE91" s="24" t="inlineStr">
        <is>
          <t>059090.KQ</t>
        </is>
      </c>
    </row>
    <row r="92" ht="24" customHeight="1">
      <c r="A92" s="29" t="inlineStr">
        <is>
          <t>2023-10-23</t>
        </is>
      </c>
      <c r="B92" s="31" t="n">
        <v>8770</v>
      </c>
      <c r="C92" s="31" t="n">
        <v>9020</v>
      </c>
      <c r="D92" s="31" t="n">
        <v>8590</v>
      </c>
      <c r="E92" s="31" t="n">
        <v>8640</v>
      </c>
      <c r="F92" s="31" t="n">
        <v>8640</v>
      </c>
      <c r="G92" s="31" t="n">
        <v>197050</v>
      </c>
      <c r="H92" s="36" t="n">
        <v>-0.03247480403135494</v>
      </c>
      <c r="I92" s="36" t="n">
        <v>-0.4496815286624204</v>
      </c>
      <c r="J92" s="31" t="n">
        <v>9816.5</v>
      </c>
      <c r="K92" s="31" t="n">
        <v>10824.16666666667</v>
      </c>
      <c r="L92" s="31" t="n">
        <v>10195.25</v>
      </c>
      <c r="M92" s="36" t="n">
        <v>0.5365182869515516</v>
      </c>
      <c r="N92" s="36" t="n">
        <v>0.6738141433296378</v>
      </c>
      <c r="O92" s="36" t="n">
        <v>-0.2353982300884956</v>
      </c>
      <c r="P92" s="36" t="n">
        <v>-0.352808988764045</v>
      </c>
      <c r="Q92" s="36" t="n">
        <v>-0.08668076109936573</v>
      </c>
      <c r="R92" s="36" t="n">
        <v>-0.1198492334335048</v>
      </c>
      <c r="S92" s="36" t="n">
        <v>-0.2017861267226114</v>
      </c>
      <c r="T92" s="36" t="n">
        <v>-0.1525465290208675</v>
      </c>
      <c r="U92" s="31" t="n">
        <v>13720</v>
      </c>
      <c r="V92" s="31" t="n">
        <v>7330</v>
      </c>
      <c r="W92" s="36" t="n">
        <v>-0.3702623906705539</v>
      </c>
      <c r="X92" s="36" t="n">
        <v>0.1787175989085947</v>
      </c>
      <c r="Y92" s="31" t="n">
        <v>33416778</v>
      </c>
      <c r="Z92" s="31" t="n">
        <v>288720961920</v>
      </c>
      <c r="AA92" s="31" t="n">
        <v>1702512000</v>
      </c>
      <c r="AB92" s="31" t="n">
        <v>2015697152.5</v>
      </c>
      <c r="AC92" s="36" t="n">
        <v>0.005896738458746681</v>
      </c>
      <c r="AD92" s="29" t="inlineStr">
        <is>
          <t>yfinance_download</t>
        </is>
      </c>
      <c r="AE92" s="29" t="inlineStr">
        <is>
          <t>059090.KQ</t>
        </is>
      </c>
    </row>
    <row r="93" ht="24" customHeight="1">
      <c r="A93" s="24" t="inlineStr">
        <is>
          <t>2023-10-24</t>
        </is>
      </c>
      <c r="B93" s="30" t="n">
        <v>8840</v>
      </c>
      <c r="C93" s="30" t="n">
        <v>9130</v>
      </c>
      <c r="D93" s="30" t="n">
        <v>8500</v>
      </c>
      <c r="E93" s="30" t="n">
        <v>9100</v>
      </c>
      <c r="F93" s="30" t="n">
        <v>9100</v>
      </c>
      <c r="G93" s="30" t="n">
        <v>197851</v>
      </c>
      <c r="H93" s="35" t="n">
        <v>0.0532407407407407</v>
      </c>
      <c r="I93" s="35" t="n">
        <v>-0.4203821656050956</v>
      </c>
      <c r="J93" s="30" t="n">
        <v>9720.5</v>
      </c>
      <c r="K93" s="30" t="n">
        <v>10770.5</v>
      </c>
      <c r="L93" s="30" t="n">
        <v>10195.25</v>
      </c>
      <c r="M93" s="35" t="n">
        <v>0.5828626876224737</v>
      </c>
      <c r="N93" s="35" t="n">
        <v>0.6682567115523348</v>
      </c>
      <c r="O93" s="35" t="n">
        <v>-0.1742286751361162</v>
      </c>
      <c r="P93" s="35" t="n">
        <v>-0.2613636363636364</v>
      </c>
      <c r="Q93" s="35" t="n">
        <v>0</v>
      </c>
      <c r="R93" s="35" t="n">
        <v>-0.06383416490921245</v>
      </c>
      <c r="S93" s="35" t="n">
        <v>-0.1550995775497888</v>
      </c>
      <c r="T93" s="35" t="n">
        <v>-0.1074274784826267</v>
      </c>
      <c r="U93" s="30" t="n">
        <v>13720</v>
      </c>
      <c r="V93" s="30" t="n">
        <v>7330</v>
      </c>
      <c r="W93" s="35" t="n">
        <v>-0.3367346938775511</v>
      </c>
      <c r="X93" s="35" t="n">
        <v>0.2414733969986358</v>
      </c>
      <c r="Y93" s="30" t="n">
        <v>33416778</v>
      </c>
      <c r="Z93" s="30" t="n">
        <v>304092679800</v>
      </c>
      <c r="AA93" s="30" t="n">
        <v>1800444100</v>
      </c>
      <c r="AB93" s="30" t="n">
        <v>1990031948.5</v>
      </c>
      <c r="AC93" s="35" t="n">
        <v>0.005920708453699516</v>
      </c>
      <c r="AD93" s="24" t="inlineStr">
        <is>
          <t>yfinance_download</t>
        </is>
      </c>
      <c r="AE93" s="24" t="inlineStr">
        <is>
          <t>059090.KQ</t>
        </is>
      </c>
    </row>
    <row r="94" ht="24" customHeight="1">
      <c r="A94" s="29" t="inlineStr">
        <is>
          <t>2023-10-25</t>
        </is>
      </c>
      <c r="B94" s="31" t="n">
        <v>9190</v>
      </c>
      <c r="C94" s="31" t="n">
        <v>9200</v>
      </c>
      <c r="D94" s="31" t="n">
        <v>8840</v>
      </c>
      <c r="E94" s="31" t="n">
        <v>8890</v>
      </c>
      <c r="F94" s="31" t="n">
        <v>8890</v>
      </c>
      <c r="G94" s="31" t="n">
        <v>140510</v>
      </c>
      <c r="H94" s="36" t="n">
        <v>-0.02307692307692311</v>
      </c>
      <c r="I94" s="36" t="n">
        <v>-0.4337579617834395</v>
      </c>
      <c r="J94" s="31" t="n">
        <v>9623.5</v>
      </c>
      <c r="K94" s="31" t="n">
        <v>10711.5</v>
      </c>
      <c r="L94" s="31" t="n">
        <v>10199.5</v>
      </c>
      <c r="M94" s="36" t="n">
        <v>0.5843385161558404</v>
      </c>
      <c r="N94" s="36" t="n">
        <v>0.6687952406605709</v>
      </c>
      <c r="O94" s="36" t="n">
        <v>-0.1791320406278855</v>
      </c>
      <c r="P94" s="36" t="n">
        <v>-0.2847948511665326</v>
      </c>
      <c r="Q94" s="36" t="n">
        <v>0.06085918854415273</v>
      </c>
      <c r="R94" s="36" t="n">
        <v>-0.07621967059801527</v>
      </c>
      <c r="S94" s="36" t="n">
        <v>-0.1700508798954394</v>
      </c>
      <c r="T94" s="36" t="n">
        <v>-0.1283886465022795</v>
      </c>
      <c r="U94" s="31" t="n">
        <v>13720</v>
      </c>
      <c r="V94" s="31" t="n">
        <v>7330</v>
      </c>
      <c r="W94" s="36" t="n">
        <v>-0.3520408163265306</v>
      </c>
      <c r="X94" s="36" t="n">
        <v>0.2128240109140518</v>
      </c>
      <c r="Y94" s="31" t="n">
        <v>33416778</v>
      </c>
      <c r="Z94" s="31" t="n">
        <v>297075156420</v>
      </c>
      <c r="AA94" s="31" t="n">
        <v>1249133900</v>
      </c>
      <c r="AB94" s="31" t="n">
        <v>1964200859</v>
      </c>
      <c r="AC94" s="36" t="n">
        <v>0.004204774021002264</v>
      </c>
      <c r="AD94" s="29" t="inlineStr">
        <is>
          <t>yfinance_download</t>
        </is>
      </c>
      <c r="AE94" s="29" t="inlineStr">
        <is>
          <t>059090.KQ</t>
        </is>
      </c>
    </row>
    <row r="95" ht="24" customHeight="1">
      <c r="A95" s="24" t="inlineStr">
        <is>
          <t>2023-10-26</t>
        </is>
      </c>
      <c r="B95" s="30" t="n">
        <v>8540</v>
      </c>
      <c r="C95" s="30" t="n">
        <v>8700</v>
      </c>
      <c r="D95" s="30" t="n">
        <v>8400</v>
      </c>
      <c r="E95" s="30" t="n">
        <v>8500</v>
      </c>
      <c r="F95" s="30" t="n">
        <v>8500</v>
      </c>
      <c r="G95" s="30" t="n">
        <v>185880</v>
      </c>
      <c r="H95" s="35" t="n">
        <v>-0.04386951631046121</v>
      </c>
      <c r="I95" s="35" t="n">
        <v>-0.4585987261146497</v>
      </c>
      <c r="J95" s="30" t="n">
        <v>9529.5</v>
      </c>
      <c r="K95" s="30" t="n">
        <v>10659.66666666667</v>
      </c>
      <c r="L95" s="30" t="n">
        <v>10201.83333333333</v>
      </c>
      <c r="M95" s="35" t="n">
        <v>0.5860973343435354</v>
      </c>
      <c r="N95" s="35" t="n">
        <v>0.6616441330309129</v>
      </c>
      <c r="O95" s="35" t="n">
        <v>-0.1811175337186898</v>
      </c>
      <c r="P95" s="35" t="n">
        <v>-0.2678725236864772</v>
      </c>
      <c r="Q95" s="35" t="n">
        <v>0.03406326034063256</v>
      </c>
      <c r="R95" s="35" t="n">
        <v>-0.1080329503121885</v>
      </c>
      <c r="S95" s="35" t="n">
        <v>-0.2026017073704618</v>
      </c>
      <c r="T95" s="35" t="n">
        <v>-0.1668164218849554</v>
      </c>
      <c r="U95" s="30" t="n">
        <v>13720</v>
      </c>
      <c r="V95" s="30" t="n">
        <v>7330</v>
      </c>
      <c r="W95" s="35" t="n">
        <v>-0.380466472303207</v>
      </c>
      <c r="X95" s="35" t="n">
        <v>0.159618008185539</v>
      </c>
      <c r="Y95" s="30" t="n">
        <v>33416778</v>
      </c>
      <c r="Z95" s="30" t="n">
        <v>284042613000</v>
      </c>
      <c r="AA95" s="30" t="n">
        <v>1579980000</v>
      </c>
      <c r="AB95" s="30" t="n">
        <v>1917660506</v>
      </c>
      <c r="AC95" s="35" t="n">
        <v>0.005562475233249597</v>
      </c>
      <c r="AD95" s="24" t="inlineStr">
        <is>
          <t>yfinance_download</t>
        </is>
      </c>
      <c r="AE95" s="24" t="inlineStr">
        <is>
          <t>059090.KQ</t>
        </is>
      </c>
    </row>
    <row r="96" ht="24" customHeight="1">
      <c r="A96" s="29" t="inlineStr">
        <is>
          <t>2023-10-27</t>
        </is>
      </c>
      <c r="B96" s="31" t="n">
        <v>8560</v>
      </c>
      <c r="C96" s="31" t="n">
        <v>8600</v>
      </c>
      <c r="D96" s="31" t="n">
        <v>8300</v>
      </c>
      <c r="E96" s="31" t="n">
        <v>8440</v>
      </c>
      <c r="F96" s="31" t="n">
        <v>8440</v>
      </c>
      <c r="G96" s="31" t="n">
        <v>160052</v>
      </c>
      <c r="H96" s="36" t="n">
        <v>-0.007058823529411784</v>
      </c>
      <c r="I96" s="36" t="n">
        <v>-0.4624203821656051</v>
      </c>
      <c r="J96" s="31" t="n">
        <v>9431.5</v>
      </c>
      <c r="K96" s="31" t="n">
        <v>10599.33333333333</v>
      </c>
      <c r="L96" s="31" t="n">
        <v>10200.75</v>
      </c>
      <c r="M96" s="36" t="n">
        <v>0.5846821198068649</v>
      </c>
      <c r="N96" s="36" t="n">
        <v>0.6555314042694858</v>
      </c>
      <c r="O96" s="36" t="n">
        <v>-0.1884615384615385</v>
      </c>
      <c r="P96" s="36" t="n">
        <v>-0.3001658374792703</v>
      </c>
      <c r="Q96" s="36" t="n">
        <v>-0.01516919486581092</v>
      </c>
      <c r="R96" s="36" t="n">
        <v>-0.1051264380003181</v>
      </c>
      <c r="S96" s="36" t="n">
        <v>-0.2037235046229323</v>
      </c>
      <c r="T96" s="36" t="n">
        <v>-0.1726098571183491</v>
      </c>
      <c r="U96" s="31" t="n">
        <v>13720</v>
      </c>
      <c r="V96" s="31" t="n">
        <v>7330</v>
      </c>
      <c r="W96" s="36" t="n">
        <v>-0.3848396501457726</v>
      </c>
      <c r="X96" s="36" t="n">
        <v>0.1514324693042293</v>
      </c>
      <c r="Y96" s="31" t="n">
        <v>33416778</v>
      </c>
      <c r="Z96" s="31" t="n">
        <v>282037606320</v>
      </c>
      <c r="AA96" s="31" t="n">
        <v>1350838880</v>
      </c>
      <c r="AB96" s="31" t="n">
        <v>1901553170</v>
      </c>
      <c r="AC96" s="36" t="n">
        <v>0.004789570077641836</v>
      </c>
      <c r="AD96" s="29" t="inlineStr">
        <is>
          <t>yfinance_download</t>
        </is>
      </c>
      <c r="AE96" s="29" t="inlineStr">
        <is>
          <t>059090.KQ</t>
        </is>
      </c>
    </row>
    <row r="97" ht="24" customHeight="1">
      <c r="A97" s="24" t="inlineStr">
        <is>
          <t>2023-10-30</t>
        </is>
      </c>
      <c r="B97" s="30" t="n">
        <v>8450</v>
      </c>
      <c r="C97" s="30" t="n">
        <v>8550</v>
      </c>
      <c r="D97" s="30" t="n">
        <v>8380</v>
      </c>
      <c r="E97" s="30" t="n">
        <v>8400</v>
      </c>
      <c r="F97" s="30" t="n">
        <v>8400</v>
      </c>
      <c r="G97" s="30" t="n">
        <v>87968</v>
      </c>
      <c r="H97" s="35" t="n">
        <v>-0.004739336492891044</v>
      </c>
      <c r="I97" s="35" t="n">
        <v>-0.464968152866242</v>
      </c>
      <c r="J97" s="30" t="n">
        <v>9345.5</v>
      </c>
      <c r="K97" s="30" t="n">
        <v>10536.16666666667</v>
      </c>
      <c r="L97" s="30" t="n">
        <v>10201.5</v>
      </c>
      <c r="M97" s="35" t="n">
        <v>0.581329219073776</v>
      </c>
      <c r="N97" s="35" t="n">
        <v>0.6546964834353433</v>
      </c>
      <c r="O97" s="35" t="n">
        <v>-0.1699604743083004</v>
      </c>
      <c r="P97" s="35" t="n">
        <v>-0.3109105824446268</v>
      </c>
      <c r="Q97" s="35" t="n">
        <v>0.01083032490974722</v>
      </c>
      <c r="R97" s="35" t="n">
        <v>-0.1011716869081376</v>
      </c>
      <c r="S97" s="35" t="n">
        <v>-0.2027460967777654</v>
      </c>
      <c r="T97" s="35" t="n">
        <v>-0.1765916776944567</v>
      </c>
      <c r="U97" s="30" t="n">
        <v>13720</v>
      </c>
      <c r="V97" s="30" t="n">
        <v>7330</v>
      </c>
      <c r="W97" s="35" t="n">
        <v>-0.3877551020408163</v>
      </c>
      <c r="X97" s="35" t="n">
        <v>0.145975443383356</v>
      </c>
      <c r="Y97" s="30" t="n">
        <v>33416778</v>
      </c>
      <c r="Z97" s="30" t="n">
        <v>280700935200</v>
      </c>
      <c r="AA97" s="30" t="n">
        <v>738931200</v>
      </c>
      <c r="AB97" s="30" t="n">
        <v>1856948216</v>
      </c>
      <c r="AC97" s="35" t="n">
        <v>0.002632450082410698</v>
      </c>
      <c r="AD97" s="24" t="inlineStr">
        <is>
          <t>yfinance_download</t>
        </is>
      </c>
      <c r="AE97" s="24" t="inlineStr">
        <is>
          <t>059090.KQ</t>
        </is>
      </c>
    </row>
    <row r="98" ht="24" customHeight="1">
      <c r="A98" s="29" t="inlineStr">
        <is>
          <t>2023-10-31</t>
        </is>
      </c>
      <c r="B98" s="31" t="n">
        <v>8450</v>
      </c>
      <c r="C98" s="31" t="n">
        <v>8540</v>
      </c>
      <c r="D98" s="31" t="n">
        <v>7800</v>
      </c>
      <c r="E98" s="31" t="n">
        <v>7900</v>
      </c>
      <c r="F98" s="31" t="n">
        <v>7900</v>
      </c>
      <c r="G98" s="31" t="n">
        <v>348585</v>
      </c>
      <c r="H98" s="36" t="n">
        <v>-0.05952380952380953</v>
      </c>
      <c r="I98" s="36" t="n">
        <v>-0.4968152866242038</v>
      </c>
      <c r="J98" s="31" t="n">
        <v>9240.5</v>
      </c>
      <c r="K98" s="31" t="n">
        <v>10466.16666666667</v>
      </c>
      <c r="L98" s="31" t="n">
        <v>10196.5</v>
      </c>
      <c r="M98" s="36" t="n">
        <v>0.6088095481965112</v>
      </c>
      <c r="N98" s="36" t="n">
        <v>0.6640379418339737</v>
      </c>
      <c r="O98" s="36" t="n">
        <v>-0.21</v>
      </c>
      <c r="P98" s="36" t="n">
        <v>-0.3471074380165289</v>
      </c>
      <c r="Q98" s="36" t="n">
        <v>-0.07058823529411762</v>
      </c>
      <c r="R98" s="36" t="n">
        <v>-0.1450679075807586</v>
      </c>
      <c r="S98" s="36" t="n">
        <v>-0.2451868719843304</v>
      </c>
      <c r="T98" s="36" t="n">
        <v>-0.2252243416858726</v>
      </c>
      <c r="U98" s="31" t="n">
        <v>13720</v>
      </c>
      <c r="V98" s="31" t="n">
        <v>7330</v>
      </c>
      <c r="W98" s="36" t="n">
        <v>-0.424198250728863</v>
      </c>
      <c r="X98" s="36" t="n">
        <v>0.07776261937244211</v>
      </c>
      <c r="Y98" s="31" t="n">
        <v>33416778</v>
      </c>
      <c r="Z98" s="31" t="n">
        <v>263992546200</v>
      </c>
      <c r="AA98" s="31" t="n">
        <v>2753821500</v>
      </c>
      <c r="AB98" s="31" t="n">
        <v>1908934291</v>
      </c>
      <c r="AC98" s="36" t="n">
        <v>0.01043143656758291</v>
      </c>
      <c r="AD98" s="29" t="inlineStr">
        <is>
          <t>yfinance_download</t>
        </is>
      </c>
      <c r="AE98" s="29" t="inlineStr">
        <is>
          <t>059090.KQ</t>
        </is>
      </c>
    </row>
    <row r="99" ht="24" customHeight="1">
      <c r="A99" s="24" t="inlineStr">
        <is>
          <t>2023-11-01</t>
        </is>
      </c>
      <c r="B99" s="30" t="n">
        <v>8010</v>
      </c>
      <c r="C99" s="30" t="n">
        <v>8190</v>
      </c>
      <c r="D99" s="30" t="n">
        <v>7900</v>
      </c>
      <c r="E99" s="30" t="n">
        <v>7990</v>
      </c>
      <c r="F99" s="30" t="n">
        <v>7990</v>
      </c>
      <c r="G99" s="30" t="n">
        <v>147778</v>
      </c>
      <c r="H99" s="35" t="n">
        <v>0.0113924050632912</v>
      </c>
      <c r="I99" s="35" t="n">
        <v>-0.4910828025477707</v>
      </c>
      <c r="J99" s="30" t="n">
        <v>9127</v>
      </c>
      <c r="K99" s="30" t="n">
        <v>10398</v>
      </c>
      <c r="L99" s="30" t="n">
        <v>10190.25</v>
      </c>
      <c r="M99" s="35" t="n">
        <v>0.599161441516927</v>
      </c>
      <c r="N99" s="35" t="n">
        <v>0.6649595713624569</v>
      </c>
      <c r="O99" s="35" t="n">
        <v>-0.2212475633528265</v>
      </c>
      <c r="P99" s="35" t="n">
        <v>-0.3385761589403974</v>
      </c>
      <c r="Q99" s="35" t="n">
        <v>-0.08581235697940504</v>
      </c>
      <c r="R99" s="35" t="n">
        <v>-0.1245754355209817</v>
      </c>
      <c r="S99" s="35" t="n">
        <v>-0.2315829967301404</v>
      </c>
      <c r="T99" s="35" t="n">
        <v>-0.2159171757317043</v>
      </c>
      <c r="U99" s="30" t="n">
        <v>13720</v>
      </c>
      <c r="V99" s="30" t="n">
        <v>7330</v>
      </c>
      <c r="W99" s="35" t="n">
        <v>-0.4176384839650146</v>
      </c>
      <c r="X99" s="35" t="n">
        <v>0.09004092769440653</v>
      </c>
      <c r="Y99" s="30" t="n">
        <v>33416778</v>
      </c>
      <c r="Z99" s="30" t="n">
        <v>267000056220</v>
      </c>
      <c r="AA99" s="30" t="n">
        <v>1180746220</v>
      </c>
      <c r="AB99" s="30" t="n">
        <v>1891477659</v>
      </c>
      <c r="AC99" s="35" t="n">
        <v>0.004422269555730358</v>
      </c>
      <c r="AD99" s="24" t="inlineStr">
        <is>
          <t>yfinance_download</t>
        </is>
      </c>
      <c r="AE99" s="24" t="inlineStr">
        <is>
          <t>059090.KQ</t>
        </is>
      </c>
    </row>
    <row r="100" ht="24" customHeight="1">
      <c r="A100" s="29" t="inlineStr">
        <is>
          <t>2023-11-02</t>
        </is>
      </c>
      <c r="B100" s="31" t="n">
        <v>8300</v>
      </c>
      <c r="C100" s="31" t="n">
        <v>8500</v>
      </c>
      <c r="D100" s="31" t="n">
        <v>8200</v>
      </c>
      <c r="E100" s="31" t="n">
        <v>8460</v>
      </c>
      <c r="F100" s="31" t="n">
        <v>8460</v>
      </c>
      <c r="G100" s="31" t="n">
        <v>212408</v>
      </c>
      <c r="H100" s="36" t="n">
        <v>0.05882352941176472</v>
      </c>
      <c r="I100" s="36" t="n">
        <v>-0.4611464968152866</v>
      </c>
      <c r="J100" s="31" t="n">
        <v>9070</v>
      </c>
      <c r="K100" s="31" t="n">
        <v>10347.5</v>
      </c>
      <c r="L100" s="31" t="n">
        <v>10190</v>
      </c>
      <c r="M100" s="36" t="n">
        <v>0.6150771400972477</v>
      </c>
      <c r="N100" s="36" t="n">
        <v>0.671912644071575</v>
      </c>
      <c r="O100" s="36" t="n">
        <v>-0.11875</v>
      </c>
      <c r="P100" s="36" t="n">
        <v>-0.2637075718015666</v>
      </c>
      <c r="Q100" s="36" t="n">
        <v>-0.003533568904593665</v>
      </c>
      <c r="R100" s="36" t="n">
        <v>-0.06725468577728777</v>
      </c>
      <c r="S100" s="36" t="n">
        <v>-0.1824112104373037</v>
      </c>
      <c r="T100" s="36" t="n">
        <v>-0.169774288518155</v>
      </c>
      <c r="U100" s="31" t="n">
        <v>13720</v>
      </c>
      <c r="V100" s="31" t="n">
        <v>7330</v>
      </c>
      <c r="W100" s="36" t="n">
        <v>-0.3833819241982507</v>
      </c>
      <c r="X100" s="36" t="n">
        <v>0.1541609822646657</v>
      </c>
      <c r="Y100" s="31" t="n">
        <v>33416778</v>
      </c>
      <c r="Z100" s="31" t="n">
        <v>282705941880</v>
      </c>
      <c r="AA100" s="31" t="n">
        <v>1796971680</v>
      </c>
      <c r="AB100" s="31" t="n">
        <v>1832979363</v>
      </c>
      <c r="AC100" s="36" t="n">
        <v>0.006356327949989673</v>
      </c>
      <c r="AD100" s="29" t="inlineStr">
        <is>
          <t>yfinance_download</t>
        </is>
      </c>
      <c r="AE100" s="29" t="inlineStr">
        <is>
          <t>059090.KQ</t>
        </is>
      </c>
    </row>
    <row r="101" ht="24" customHeight="1">
      <c r="A101" s="24" t="inlineStr">
        <is>
          <t>2023-11-03</t>
        </is>
      </c>
      <c r="B101" s="30" t="n">
        <v>8550</v>
      </c>
      <c r="C101" s="30" t="n">
        <v>8630</v>
      </c>
      <c r="D101" s="30" t="n">
        <v>8410</v>
      </c>
      <c r="E101" s="30" t="n">
        <v>8550</v>
      </c>
      <c r="F101" s="30" t="n">
        <v>8550</v>
      </c>
      <c r="G101" s="30" t="n">
        <v>143599</v>
      </c>
      <c r="H101" s="35" t="n">
        <v>0.0106382978723405</v>
      </c>
      <c r="I101" s="35" t="n">
        <v>-0.4554140127388535</v>
      </c>
      <c r="J101" s="30" t="n">
        <v>9022</v>
      </c>
      <c r="K101" s="30" t="n">
        <v>10302.5</v>
      </c>
      <c r="L101" s="30" t="n">
        <v>10188.33333333333</v>
      </c>
      <c r="M101" s="35" t="n">
        <v>0.6175408451622757</v>
      </c>
      <c r="N101" s="35" t="n">
        <v>0.6716783246762348</v>
      </c>
      <c r="O101" s="35" t="n">
        <v>-0.1009463722397477</v>
      </c>
      <c r="P101" s="35" t="n">
        <v>-0.24</v>
      </c>
      <c r="Q101" s="35" t="n">
        <v>-0.02285714285714291</v>
      </c>
      <c r="R101" s="35" t="n">
        <v>-0.05231655952117042</v>
      </c>
      <c r="S101" s="35" t="n">
        <v>-0.1701043436059209</v>
      </c>
      <c r="T101" s="35" t="n">
        <v>-0.1608048421397024</v>
      </c>
      <c r="U101" s="30" t="n">
        <v>13720</v>
      </c>
      <c r="V101" s="30" t="n">
        <v>7330</v>
      </c>
      <c r="W101" s="35" t="n">
        <v>-0.3768221574344023</v>
      </c>
      <c r="X101" s="35" t="n">
        <v>0.1664392905866303</v>
      </c>
      <c r="Y101" s="30" t="n">
        <v>33416778</v>
      </c>
      <c r="Z101" s="30" t="n">
        <v>285713451900</v>
      </c>
      <c r="AA101" s="30" t="n">
        <v>1227771450</v>
      </c>
      <c r="AB101" s="30" t="n">
        <v>1793678433</v>
      </c>
      <c r="AC101" s="35" t="n">
        <v>0.004297212615770437</v>
      </c>
      <c r="AD101" s="24" t="inlineStr">
        <is>
          <t>yfinance_download</t>
        </is>
      </c>
      <c r="AE101" s="24" t="inlineStr">
        <is>
          <t>059090.KQ</t>
        </is>
      </c>
    </row>
    <row r="102" ht="24" customHeight="1">
      <c r="A102" s="29" t="inlineStr">
        <is>
          <t>2023-11-06</t>
        </is>
      </c>
      <c r="B102" s="31" t="n">
        <v>8720</v>
      </c>
      <c r="C102" s="31" t="n">
        <v>9070</v>
      </c>
      <c r="D102" s="31" t="n">
        <v>8570</v>
      </c>
      <c r="E102" s="31" t="n">
        <v>9030</v>
      </c>
      <c r="F102" s="31" t="n">
        <v>9030</v>
      </c>
      <c r="G102" s="31" t="n">
        <v>218931</v>
      </c>
      <c r="H102" s="36" t="n">
        <v>0.05614035087719293</v>
      </c>
      <c r="I102" s="36" t="n">
        <v>-0.4248407643312102</v>
      </c>
      <c r="J102" s="31" t="n">
        <v>8979.5</v>
      </c>
      <c r="K102" s="31" t="n">
        <v>10261.33333333333</v>
      </c>
      <c r="L102" s="31" t="n">
        <v>10192.16666666667</v>
      </c>
      <c r="M102" s="36" t="n">
        <v>0.6363825588665845</v>
      </c>
      <c r="N102" s="36" t="n">
        <v>0.680802700597036</v>
      </c>
      <c r="O102" s="36" t="n">
        <v>-0.08603238866396756</v>
      </c>
      <c r="P102" s="36" t="n">
        <v>-0.2147826086956521</v>
      </c>
      <c r="Q102" s="36" t="n">
        <v>0.0536756126021003</v>
      </c>
      <c r="R102" s="36" t="n">
        <v>0.005623921153738998</v>
      </c>
      <c r="S102" s="36" t="n">
        <v>-0.1199974012474013</v>
      </c>
      <c r="T102" s="36" t="n">
        <v>-0.1140254770820728</v>
      </c>
      <c r="U102" s="31" t="n">
        <v>13720</v>
      </c>
      <c r="V102" s="31" t="n">
        <v>7330</v>
      </c>
      <c r="W102" s="36" t="n">
        <v>-0.3418367346938775</v>
      </c>
      <c r="X102" s="36" t="n">
        <v>0.2319236016371078</v>
      </c>
      <c r="Y102" s="31" t="n">
        <v>33416778</v>
      </c>
      <c r="Z102" s="31" t="n">
        <v>301753505340</v>
      </c>
      <c r="AA102" s="31" t="n">
        <v>1976946930</v>
      </c>
      <c r="AB102" s="31" t="n">
        <v>1830633507.5</v>
      </c>
      <c r="AC102" s="36" t="n">
        <v>0.006551529294655517</v>
      </c>
      <c r="AD102" s="29" t="inlineStr">
        <is>
          <t>yfinance_download</t>
        </is>
      </c>
      <c r="AE102" s="29" t="inlineStr">
        <is>
          <t>059090.KQ</t>
        </is>
      </c>
    </row>
    <row r="103" ht="24" customHeight="1">
      <c r="A103" s="24" t="inlineStr">
        <is>
          <t>2023-11-07</t>
        </is>
      </c>
      <c r="B103" s="30" t="n">
        <v>9030</v>
      </c>
      <c r="C103" s="30" t="n">
        <v>9030</v>
      </c>
      <c r="D103" s="30" t="n">
        <v>8350</v>
      </c>
      <c r="E103" s="30" t="n">
        <v>8830</v>
      </c>
      <c r="F103" s="30" t="n">
        <v>8830</v>
      </c>
      <c r="G103" s="30" t="n">
        <v>233452</v>
      </c>
      <c r="H103" s="35" t="n">
        <v>-0.02214839424141746</v>
      </c>
      <c r="I103" s="35" t="n">
        <v>-0.4375796178343949</v>
      </c>
      <c r="J103" s="30" t="n">
        <v>8951</v>
      </c>
      <c r="K103" s="30" t="n">
        <v>10225.33333333333</v>
      </c>
      <c r="L103" s="30" t="n">
        <v>10195.5</v>
      </c>
      <c r="M103" s="35" t="n">
        <v>0.6183313543089456</v>
      </c>
      <c r="N103" s="35" t="n">
        <v>0.676568783809437</v>
      </c>
      <c r="O103" s="35" t="n">
        <v>-0.06063829787234043</v>
      </c>
      <c r="P103" s="35" t="n">
        <v>-0.1965423111919927</v>
      </c>
      <c r="Q103" s="35" t="n">
        <v>0.04744958481613293</v>
      </c>
      <c r="R103" s="35" t="n">
        <v>-0.0135180426767959</v>
      </c>
      <c r="S103" s="35" t="n">
        <v>-0.1364584691615596</v>
      </c>
      <c r="T103" s="35" t="n">
        <v>-0.1339316365063018</v>
      </c>
      <c r="U103" s="30" t="n">
        <v>13720</v>
      </c>
      <c r="V103" s="30" t="n">
        <v>7330</v>
      </c>
      <c r="W103" s="35" t="n">
        <v>-0.3564139941690962</v>
      </c>
      <c r="X103" s="35" t="n">
        <v>0.2046384720327421</v>
      </c>
      <c r="Y103" s="30" t="n">
        <v>33416778</v>
      </c>
      <c r="Z103" s="30" t="n">
        <v>295070149740</v>
      </c>
      <c r="AA103" s="30" t="n">
        <v>2061381160</v>
      </c>
      <c r="AB103" s="30" t="n">
        <v>1785420855.5</v>
      </c>
      <c r="AC103" s="35" t="n">
        <v>0.006986071487801726</v>
      </c>
      <c r="AD103" s="24" t="inlineStr">
        <is>
          <t>yfinance_download</t>
        </is>
      </c>
      <c r="AE103" s="24" t="inlineStr">
        <is>
          <t>059090.KQ</t>
        </is>
      </c>
    </row>
    <row r="104" ht="24" customHeight="1">
      <c r="A104" s="29" t="inlineStr">
        <is>
          <t>2023-11-08</t>
        </is>
      </c>
      <c r="B104" s="31" t="n">
        <v>8850</v>
      </c>
      <c r="C104" s="31" t="n">
        <v>9010</v>
      </c>
      <c r="D104" s="31" t="n">
        <v>8630</v>
      </c>
      <c r="E104" s="31" t="n">
        <v>8680</v>
      </c>
      <c r="F104" s="31" t="n">
        <v>8680</v>
      </c>
      <c r="G104" s="31" t="n">
        <v>139160</v>
      </c>
      <c r="H104" s="36" t="n">
        <v>-0.01698754246885614</v>
      </c>
      <c r="I104" s="36" t="n">
        <v>-0.4471337579617835</v>
      </c>
      <c r="J104" s="31" t="n">
        <v>8892</v>
      </c>
      <c r="K104" s="31" t="n">
        <v>10190.33333333333</v>
      </c>
      <c r="L104" s="31" t="n">
        <v>10197.91666666667</v>
      </c>
      <c r="M104" s="36" t="n">
        <v>0.589331483454846</v>
      </c>
      <c r="N104" s="36" t="n">
        <v>0.6763638067107123</v>
      </c>
      <c r="O104" s="36" t="n">
        <v>-0.1196754563894523</v>
      </c>
      <c r="P104" s="36" t="n">
        <v>-0.1948051948051948</v>
      </c>
      <c r="Q104" s="36" t="n">
        <v>0.03456495828367112</v>
      </c>
      <c r="R104" s="36" t="n">
        <v>-0.02384165542060279</v>
      </c>
      <c r="S104" s="36" t="n">
        <v>-0.1482123581171699</v>
      </c>
      <c r="T104" s="36" t="n">
        <v>-0.1488457609805924</v>
      </c>
      <c r="U104" s="31" t="n">
        <v>13720</v>
      </c>
      <c r="V104" s="31" t="n">
        <v>7330</v>
      </c>
      <c r="W104" s="36" t="n">
        <v>-0.3673469387755102</v>
      </c>
      <c r="X104" s="36" t="n">
        <v>0.184174624829468</v>
      </c>
      <c r="Y104" s="31" t="n">
        <v>33416778</v>
      </c>
      <c r="Z104" s="31" t="n">
        <v>290057633040</v>
      </c>
      <c r="AA104" s="31" t="n">
        <v>1207908800</v>
      </c>
      <c r="AB104" s="31" t="n">
        <v>1767068419.5</v>
      </c>
      <c r="AC104" s="36" t="n">
        <v>0.004164375153104228</v>
      </c>
      <c r="AD104" s="29" t="inlineStr">
        <is>
          <t>yfinance_download</t>
        </is>
      </c>
      <c r="AE104" s="29" t="inlineStr">
        <is>
          <t>059090.KQ</t>
        </is>
      </c>
    </row>
    <row r="105" ht="24" customHeight="1">
      <c r="A105" s="24" t="inlineStr">
        <is>
          <t>2023-11-09</t>
        </is>
      </c>
      <c r="B105" s="30" t="n">
        <v>8680</v>
      </c>
      <c r="C105" s="30" t="n">
        <v>8820</v>
      </c>
      <c r="D105" s="30" t="n">
        <v>8500</v>
      </c>
      <c r="E105" s="30" t="n">
        <v>8560</v>
      </c>
      <c r="F105" s="30" t="n">
        <v>8560</v>
      </c>
      <c r="G105" s="30" t="n">
        <v>155178</v>
      </c>
      <c r="H105" s="35" t="n">
        <v>-0.01382488479262678</v>
      </c>
      <c r="I105" s="35" t="n">
        <v>-0.4547770700636943</v>
      </c>
      <c r="J105" s="30" t="n">
        <v>8811.5</v>
      </c>
      <c r="K105" s="30" t="n">
        <v>10151.5</v>
      </c>
      <c r="L105" s="30" t="n">
        <v>10199.33333333333</v>
      </c>
      <c r="M105" s="35" t="n">
        <v>0.5731770759211439</v>
      </c>
      <c r="N105" s="35" t="n">
        <v>0.6761950245291932</v>
      </c>
      <c r="O105" s="35" t="n">
        <v>-0.1583087512291053</v>
      </c>
      <c r="P105" s="35" t="n">
        <v>-0.2139577594123049</v>
      </c>
      <c r="Q105" s="35" t="n">
        <v>0.0202622169249107</v>
      </c>
      <c r="R105" s="35" t="n">
        <v>-0.02854224592861598</v>
      </c>
      <c r="S105" s="35" t="n">
        <v>-0.1567748608580013</v>
      </c>
      <c r="T105" s="35" t="n">
        <v>-0.1607294594417936</v>
      </c>
      <c r="U105" s="30" t="n">
        <v>13720</v>
      </c>
      <c r="V105" s="30" t="n">
        <v>7330</v>
      </c>
      <c r="W105" s="35" t="n">
        <v>-0.3760932944606414</v>
      </c>
      <c r="X105" s="35" t="n">
        <v>0.1678035470668486</v>
      </c>
      <c r="Y105" s="30" t="n">
        <v>33416778</v>
      </c>
      <c r="Z105" s="30" t="n">
        <v>286047619680</v>
      </c>
      <c r="AA105" s="30" t="n">
        <v>1328323680</v>
      </c>
      <c r="AB105" s="30" t="n">
        <v>1762480206</v>
      </c>
      <c r="AC105" s="35" t="n">
        <v>0.00464371520198626</v>
      </c>
      <c r="AD105" s="24" t="inlineStr">
        <is>
          <t>yfinance_download</t>
        </is>
      </c>
      <c r="AE105" s="24" t="inlineStr">
        <is>
          <t>059090.KQ</t>
        </is>
      </c>
    </row>
    <row r="106" ht="24" customHeight="1">
      <c r="A106" s="29" t="inlineStr">
        <is>
          <t>2023-11-10</t>
        </is>
      </c>
      <c r="B106" s="31" t="n">
        <v>8510</v>
      </c>
      <c r="C106" s="31" t="n">
        <v>8750</v>
      </c>
      <c r="D106" s="31" t="n">
        <v>8360</v>
      </c>
      <c r="E106" s="31" t="n">
        <v>8700</v>
      </c>
      <c r="F106" s="31" t="n">
        <v>8700</v>
      </c>
      <c r="G106" s="31" t="n">
        <v>144552</v>
      </c>
      <c r="H106" s="36" t="n">
        <v>0.01635514018691597</v>
      </c>
      <c r="I106" s="36" t="n">
        <v>-0.445859872611465</v>
      </c>
      <c r="J106" s="31" t="n">
        <v>8754</v>
      </c>
      <c r="K106" s="31" t="n">
        <v>10121.83333333333</v>
      </c>
      <c r="L106" s="31" t="n">
        <v>10203.08333333333</v>
      </c>
      <c r="M106" s="36" t="n">
        <v>0.5723065409919711</v>
      </c>
      <c r="N106" s="36" t="n">
        <v>0.6734693600370355</v>
      </c>
      <c r="O106" s="36" t="n">
        <v>-0.116751269035533</v>
      </c>
      <c r="P106" s="36" t="n">
        <v>-0.1698473282442748</v>
      </c>
      <c r="Q106" s="36" t="n">
        <v>0.05454545454545445</v>
      </c>
      <c r="R106" s="36" t="n">
        <v>-0.006168608636052064</v>
      </c>
      <c r="S106" s="36" t="n">
        <v>-0.1404719171428102</v>
      </c>
      <c r="T106" s="36" t="n">
        <v>-0.1473165791386591</v>
      </c>
      <c r="U106" s="31" t="n">
        <v>13720</v>
      </c>
      <c r="V106" s="31" t="n">
        <v>7330</v>
      </c>
      <c r="W106" s="36" t="n">
        <v>-0.3658892128279884</v>
      </c>
      <c r="X106" s="36" t="n">
        <v>0.1869031377899044</v>
      </c>
      <c r="Y106" s="31" t="n">
        <v>33416778</v>
      </c>
      <c r="Z106" s="31" t="n">
        <v>290725968600</v>
      </c>
      <c r="AA106" s="31" t="n">
        <v>1257602400</v>
      </c>
      <c r="AB106" s="31" t="n">
        <v>1661802553.5</v>
      </c>
      <c r="AC106" s="36" t="n">
        <v>0.004325731223997717</v>
      </c>
      <c r="AD106" s="29" t="inlineStr">
        <is>
          <t>yfinance_download</t>
        </is>
      </c>
      <c r="AE106" s="29" t="inlineStr">
        <is>
          <t>059090.KQ</t>
        </is>
      </c>
    </row>
    <row r="107" ht="24" customHeight="1">
      <c r="A107" s="24" t="inlineStr">
        <is>
          <t>2023-11-13</t>
        </is>
      </c>
      <c r="B107" s="30" t="n">
        <v>8700</v>
      </c>
      <c r="C107" s="30" t="n">
        <v>8710</v>
      </c>
      <c r="D107" s="30" t="n">
        <v>8130</v>
      </c>
      <c r="E107" s="30" t="n">
        <v>8200</v>
      </c>
      <c r="F107" s="30" t="n">
        <v>8200</v>
      </c>
      <c r="G107" s="30" t="n">
        <v>247797</v>
      </c>
      <c r="H107" s="35" t="n">
        <v>-0.05747126436781613</v>
      </c>
      <c r="I107" s="35" t="n">
        <v>-0.4777070063694268</v>
      </c>
      <c r="J107" s="30" t="n">
        <v>8700.5</v>
      </c>
      <c r="K107" s="30" t="n">
        <v>10074.33333333333</v>
      </c>
      <c r="L107" s="30" t="n">
        <v>10203.75</v>
      </c>
      <c r="M107" s="35" t="n">
        <v>0.570581448269406</v>
      </c>
      <c r="N107" s="35" t="n">
        <v>0.6723234188720077</v>
      </c>
      <c r="O107" s="35" t="n">
        <v>-0.1154261057173679</v>
      </c>
      <c r="P107" s="35" t="n">
        <v>-0.2579185520361991</v>
      </c>
      <c r="Q107" s="35" t="n">
        <v>0.009852216748768461</v>
      </c>
      <c r="R107" s="35" t="n">
        <v>-0.0575254295730131</v>
      </c>
      <c r="S107" s="35" t="n">
        <v>-0.1860503589981141</v>
      </c>
      <c r="T107" s="35" t="n">
        <v>-0.1963738821511699</v>
      </c>
      <c r="U107" s="30" t="n">
        <v>13720</v>
      </c>
      <c r="V107" s="30" t="n">
        <v>7330</v>
      </c>
      <c r="W107" s="35" t="n">
        <v>-0.402332361516035</v>
      </c>
      <c r="X107" s="35" t="n">
        <v>0.1186903137789905</v>
      </c>
      <c r="Y107" s="30" t="n">
        <v>33416778</v>
      </c>
      <c r="Z107" s="30" t="n">
        <v>274017579600</v>
      </c>
      <c r="AA107" s="30" t="n">
        <v>2031935400</v>
      </c>
      <c r="AB107" s="30" t="n">
        <v>1624687678.5</v>
      </c>
      <c r="AC107" s="35" t="n">
        <v>0.007415346865577525</v>
      </c>
      <c r="AD107" s="24" t="inlineStr">
        <is>
          <t>yfinance_download</t>
        </is>
      </c>
      <c r="AE107" s="24" t="inlineStr">
        <is>
          <t>059090.KQ</t>
        </is>
      </c>
    </row>
    <row r="108" ht="24" customHeight="1">
      <c r="A108" s="29" t="inlineStr">
        <is>
          <t>2023-11-14</t>
        </is>
      </c>
      <c r="B108" s="31" t="n">
        <v>8130</v>
      </c>
      <c r="C108" s="31" t="n">
        <v>8550</v>
      </c>
      <c r="D108" s="31" t="n">
        <v>8130</v>
      </c>
      <c r="E108" s="31" t="n">
        <v>8510</v>
      </c>
      <c r="F108" s="31" t="n">
        <v>8510</v>
      </c>
      <c r="G108" s="31" t="n">
        <v>109880</v>
      </c>
      <c r="H108" s="36" t="n">
        <v>0.03780487804878052</v>
      </c>
      <c r="I108" s="36" t="n">
        <v>-0.4579617834394905</v>
      </c>
      <c r="J108" s="31" t="n">
        <v>8643.5</v>
      </c>
      <c r="K108" s="31" t="n">
        <v>10036.16666666667</v>
      </c>
      <c r="L108" s="31" t="n">
        <v>10204.41666666667</v>
      </c>
      <c r="M108" s="36" t="n">
        <v>0.5672387800907898</v>
      </c>
      <c r="N108" s="36" t="n">
        <v>0.6765994114793918</v>
      </c>
      <c r="O108" s="36" t="n">
        <v>-0.1181347150259068</v>
      </c>
      <c r="P108" s="36" t="n">
        <v>-0.212037037037037</v>
      </c>
      <c r="Q108" s="36" t="n">
        <v>0.009489916963226541</v>
      </c>
      <c r="R108" s="36" t="n">
        <v>-0.01544513218025101</v>
      </c>
      <c r="S108" s="36" t="n">
        <v>-0.1520666921301294</v>
      </c>
      <c r="T108" s="36" t="n">
        <v>-0.1660473814443092</v>
      </c>
      <c r="U108" s="31" t="n">
        <v>13720</v>
      </c>
      <c r="V108" s="31" t="n">
        <v>7330</v>
      </c>
      <c r="W108" s="36" t="n">
        <v>-0.3797376093294461</v>
      </c>
      <c r="X108" s="36" t="n">
        <v>0.1609822646657573</v>
      </c>
      <c r="Y108" s="31" t="n">
        <v>33416778</v>
      </c>
      <c r="Z108" s="31" t="n">
        <v>284376780780</v>
      </c>
      <c r="AA108" s="31" t="n">
        <v>935078800</v>
      </c>
      <c r="AB108" s="31" t="n">
        <v>1592319821</v>
      </c>
      <c r="AC108" s="36" t="n">
        <v>0.003288168596026822</v>
      </c>
      <c r="AD108" s="29" t="inlineStr">
        <is>
          <t>yfinance_download</t>
        </is>
      </c>
      <c r="AE108" s="29" t="inlineStr">
        <is>
          <t>059090.KQ</t>
        </is>
      </c>
    </row>
    <row r="109" ht="24" customHeight="1">
      <c r="A109" s="24" t="inlineStr">
        <is>
          <t>2023-11-15</t>
        </is>
      </c>
      <c r="B109" s="30" t="n">
        <v>8620</v>
      </c>
      <c r="C109" s="30" t="n">
        <v>8780</v>
      </c>
      <c r="D109" s="30" t="n">
        <v>8570</v>
      </c>
      <c r="E109" s="30" t="n">
        <v>8730</v>
      </c>
      <c r="F109" s="30" t="n">
        <v>8730</v>
      </c>
      <c r="G109" s="30" t="n">
        <v>209259</v>
      </c>
      <c r="H109" s="35" t="n">
        <v>0.02585193889541726</v>
      </c>
      <c r="I109" s="35" t="n">
        <v>-0.4439490445859873</v>
      </c>
      <c r="J109" s="30" t="n">
        <v>8607.5</v>
      </c>
      <c r="K109" s="30" t="n">
        <v>10006</v>
      </c>
      <c r="L109" s="30" t="n">
        <v>10204</v>
      </c>
      <c r="M109" s="35" t="n">
        <v>0.5748772440754312</v>
      </c>
      <c r="N109" s="35" t="n">
        <v>0.6777182212939283</v>
      </c>
      <c r="O109" s="35" t="n">
        <v>-0.07619047619047614</v>
      </c>
      <c r="P109" s="35" t="n">
        <v>-0.1717267552182163</v>
      </c>
      <c r="Q109" s="35" t="n">
        <v>-0.005694760820045608</v>
      </c>
      <c r="R109" s="35" t="n">
        <v>0.01423177461516123</v>
      </c>
      <c r="S109" s="35" t="n">
        <v>-0.127523485908455</v>
      </c>
      <c r="T109" s="35" t="n">
        <v>-0.144453155625245</v>
      </c>
      <c r="U109" s="30" t="n">
        <v>13720</v>
      </c>
      <c r="V109" s="30" t="n">
        <v>7330</v>
      </c>
      <c r="W109" s="35" t="n">
        <v>-0.3637026239067055</v>
      </c>
      <c r="X109" s="35" t="n">
        <v>0.1909959072305594</v>
      </c>
      <c r="Y109" s="30" t="n">
        <v>33416778</v>
      </c>
      <c r="Z109" s="30" t="n">
        <v>291728471940</v>
      </c>
      <c r="AA109" s="30" t="n">
        <v>1826831070</v>
      </c>
      <c r="AB109" s="30" t="n">
        <v>1620593964.5</v>
      </c>
      <c r="AC109" s="35" t="n">
        <v>0.006262093849981587</v>
      </c>
      <c r="AD109" s="24" t="inlineStr">
        <is>
          <t>yfinance_download</t>
        </is>
      </c>
      <c r="AE109" s="24" t="inlineStr">
        <is>
          <t>059090.KQ</t>
        </is>
      </c>
    </row>
    <row r="110" ht="24" customHeight="1">
      <c r="A110" s="29" t="inlineStr">
        <is>
          <t>2023-11-16</t>
        </is>
      </c>
      <c r="B110" s="31" t="n">
        <v>8700</v>
      </c>
      <c r="C110" s="31" t="n">
        <v>8880</v>
      </c>
      <c r="D110" s="31" t="n">
        <v>8550</v>
      </c>
      <c r="E110" s="31" t="n">
        <v>8880</v>
      </c>
      <c r="F110" s="31" t="n">
        <v>8880</v>
      </c>
      <c r="G110" s="31" t="n">
        <v>134568</v>
      </c>
      <c r="H110" s="36" t="n">
        <v>0.01718213058419238</v>
      </c>
      <c r="I110" s="36" t="n">
        <v>-0.4343949044585987</v>
      </c>
      <c r="J110" s="31" t="n">
        <v>8596</v>
      </c>
      <c r="K110" s="31" t="n">
        <v>9972.833333333334</v>
      </c>
      <c r="L110" s="31" t="n">
        <v>10203.75</v>
      </c>
      <c r="M110" s="36" t="n">
        <v>0.5657357469253432</v>
      </c>
      <c r="N110" s="36" t="n">
        <v>0.6753447658047547</v>
      </c>
      <c r="O110" s="36" t="n">
        <v>-0.02524698133918768</v>
      </c>
      <c r="P110" s="36" t="n">
        <v>-0.1830726770929163</v>
      </c>
      <c r="Q110" s="36" t="n">
        <v>-0.003367003367003352</v>
      </c>
      <c r="R110" s="36" t="n">
        <v>0.03303862261516977</v>
      </c>
      <c r="S110" s="36" t="n">
        <v>-0.1095810284606515</v>
      </c>
      <c r="T110" s="36" t="n">
        <v>-0.1297317162807792</v>
      </c>
      <c r="U110" s="31" t="n">
        <v>13720</v>
      </c>
      <c r="V110" s="31" t="n">
        <v>7330</v>
      </c>
      <c r="W110" s="36" t="n">
        <v>-0.3527696793002916</v>
      </c>
      <c r="X110" s="36" t="n">
        <v>0.2114597544338335</v>
      </c>
      <c r="Y110" s="31" t="n">
        <v>33416778</v>
      </c>
      <c r="Z110" s="31" t="n">
        <v>296740988640</v>
      </c>
      <c r="AA110" s="31" t="n">
        <v>1194963840</v>
      </c>
      <c r="AB110" s="31" t="n">
        <v>1602204775.5</v>
      </c>
      <c r="AC110" s="36" t="n">
        <v>0.004026959152076241</v>
      </c>
      <c r="AD110" s="29" t="inlineStr">
        <is>
          <t>yfinance_download</t>
        </is>
      </c>
      <c r="AE110" s="29" t="inlineStr">
        <is>
          <t>059090.KQ</t>
        </is>
      </c>
    </row>
    <row r="111" ht="24" customHeight="1">
      <c r="A111" s="24" t="inlineStr">
        <is>
          <t>2023-11-17</t>
        </is>
      </c>
      <c r="B111" s="30" t="n">
        <v>8890</v>
      </c>
      <c r="C111" s="30" t="n">
        <v>8930</v>
      </c>
      <c r="D111" s="30" t="n">
        <v>8670</v>
      </c>
      <c r="E111" s="30" t="n">
        <v>8780</v>
      </c>
      <c r="F111" s="30" t="n">
        <v>8780</v>
      </c>
      <c r="G111" s="30" t="n">
        <v>124283</v>
      </c>
      <c r="H111" s="35" t="n">
        <v>-0.01126126126126126</v>
      </c>
      <c r="I111" s="35" t="n">
        <v>-0.4407643312101911</v>
      </c>
      <c r="J111" s="30" t="n">
        <v>8588.5</v>
      </c>
      <c r="K111" s="30" t="n">
        <v>9935.333333333334</v>
      </c>
      <c r="L111" s="30" t="n">
        <v>10202.91666666667</v>
      </c>
      <c r="M111" s="35" t="n">
        <v>0.562730228931854</v>
      </c>
      <c r="N111" s="35" t="n">
        <v>0.6746166522478799</v>
      </c>
      <c r="O111" s="35" t="n">
        <v>-0.01679731243001115</v>
      </c>
      <c r="P111" s="35" t="n">
        <v>-0.2039891205802358</v>
      </c>
      <c r="Q111" s="35" t="n">
        <v>-0.01126126126126126</v>
      </c>
      <c r="R111" s="35" t="n">
        <v>0.02229725796122728</v>
      </c>
      <c r="S111" s="35" t="n">
        <v>-0.1162853116822117</v>
      </c>
      <c r="T111" s="35" t="n">
        <v>-0.139461755217054</v>
      </c>
      <c r="U111" s="30" t="n">
        <v>13720</v>
      </c>
      <c r="V111" s="30" t="n">
        <v>7330</v>
      </c>
      <c r="W111" s="35" t="n">
        <v>-0.3600583090379009</v>
      </c>
      <c r="X111" s="35" t="n">
        <v>0.1978171896316507</v>
      </c>
      <c r="Y111" s="30" t="n">
        <v>33416778</v>
      </c>
      <c r="Z111" s="30" t="n">
        <v>293399310840</v>
      </c>
      <c r="AA111" s="30" t="n">
        <v>1091204740</v>
      </c>
      <c r="AB111" s="30" t="n">
        <v>1514666387.5</v>
      </c>
      <c r="AC111" s="35" t="n">
        <v>0.00371917962886787</v>
      </c>
      <c r="AD111" s="24" t="inlineStr">
        <is>
          <t>yfinance_download</t>
        </is>
      </c>
      <c r="AE111" s="24" t="inlineStr">
        <is>
          <t>059090.KQ</t>
        </is>
      </c>
    </row>
    <row r="112" ht="24" customHeight="1">
      <c r="A112" s="29" t="inlineStr">
        <is>
          <t>2023-11-20</t>
        </is>
      </c>
      <c r="B112" s="31" t="n">
        <v>8790</v>
      </c>
      <c r="C112" s="31" t="n">
        <v>9050</v>
      </c>
      <c r="D112" s="31" t="n">
        <v>8740</v>
      </c>
      <c r="E112" s="31" t="n">
        <v>8930</v>
      </c>
      <c r="F112" s="31" t="n">
        <v>8930</v>
      </c>
      <c r="G112" s="31" t="n">
        <v>140823</v>
      </c>
      <c r="H112" s="36" t="n">
        <v>0.01708428246013671</v>
      </c>
      <c r="I112" s="36" t="n">
        <v>-0.4312101910828026</v>
      </c>
      <c r="J112" s="31" t="n">
        <v>8603</v>
      </c>
      <c r="K112" s="31" t="n">
        <v>9899.666666666666</v>
      </c>
      <c r="L112" s="31" t="n">
        <v>10202.91666666667</v>
      </c>
      <c r="M112" s="36" t="n">
        <v>0.5524937173595593</v>
      </c>
      <c r="N112" s="36" t="n">
        <v>0.6757369805146648</v>
      </c>
      <c r="O112" s="36" t="n">
        <v>0.03356481481481488</v>
      </c>
      <c r="P112" s="36" t="n">
        <v>-0.1933152664859982</v>
      </c>
      <c r="Q112" s="36" t="n">
        <v>0</v>
      </c>
      <c r="R112" s="36" t="n">
        <v>0.03800999651284442</v>
      </c>
      <c r="S112" s="36" t="n">
        <v>-0.09794942590659617</v>
      </c>
      <c r="T112" s="36" t="n">
        <v>-0.1247600767754318</v>
      </c>
      <c r="U112" s="31" t="n">
        <v>13720</v>
      </c>
      <c r="V112" s="31" t="n">
        <v>7330</v>
      </c>
      <c r="W112" s="36" t="n">
        <v>-0.3491253644314869</v>
      </c>
      <c r="X112" s="36" t="n">
        <v>0.2182810368349251</v>
      </c>
      <c r="Y112" s="31" t="n">
        <v>33416778</v>
      </c>
      <c r="Z112" s="31" t="n">
        <v>298411827540</v>
      </c>
      <c r="AA112" s="31" t="n">
        <v>1257549390</v>
      </c>
      <c r="AB112" s="31" t="n">
        <v>1492418257</v>
      </c>
      <c r="AC112" s="36" t="n">
        <v>0.004214140573337142</v>
      </c>
      <c r="AD112" s="29" t="inlineStr">
        <is>
          <t>yfinance_download</t>
        </is>
      </c>
      <c r="AE112" s="29" t="inlineStr">
        <is>
          <t>059090.KQ</t>
        </is>
      </c>
    </row>
    <row r="113" ht="24" customHeight="1">
      <c r="A113" s="24" t="inlineStr">
        <is>
          <t>2023-11-21</t>
        </is>
      </c>
      <c r="B113" s="30" t="n">
        <v>8970</v>
      </c>
      <c r="C113" s="30" t="n">
        <v>9060</v>
      </c>
      <c r="D113" s="30" t="n">
        <v>8830</v>
      </c>
      <c r="E113" s="30" t="n">
        <v>9030</v>
      </c>
      <c r="F113" s="30" t="n">
        <v>9030</v>
      </c>
      <c r="G113" s="30" t="n">
        <v>112468</v>
      </c>
      <c r="H113" s="35" t="n">
        <v>0.01119820828667417</v>
      </c>
      <c r="I113" s="35" t="n">
        <v>-0.4248407643312102</v>
      </c>
      <c r="J113" s="30" t="n">
        <v>8599.5</v>
      </c>
      <c r="K113" s="30" t="n">
        <v>9876.666666666666</v>
      </c>
      <c r="L113" s="30" t="n">
        <v>10205.58333333333</v>
      </c>
      <c r="M113" s="35" t="n">
        <v>0.5202203190012106</v>
      </c>
      <c r="N113" s="35" t="n">
        <v>0.665766606143458</v>
      </c>
      <c r="O113" s="35" t="n">
        <v>-0.007692307692307665</v>
      </c>
      <c r="P113" s="35" t="n">
        <v>-0.1325648414985591</v>
      </c>
      <c r="Q113" s="35" t="n">
        <v>0.03673938002296206</v>
      </c>
      <c r="R113" s="35" t="n">
        <v>0.05006105006105011</v>
      </c>
      <c r="S113" s="35" t="n">
        <v>-0.08572392845089427</v>
      </c>
      <c r="T113" s="35" t="n">
        <v>-0.1151902145067651</v>
      </c>
      <c r="U113" s="30" t="n">
        <v>13720</v>
      </c>
      <c r="V113" s="30" t="n">
        <v>7330</v>
      </c>
      <c r="W113" s="35" t="n">
        <v>-0.3418367346938775</v>
      </c>
      <c r="X113" s="35" t="n">
        <v>0.2319236016371078</v>
      </c>
      <c r="Y113" s="30" t="n">
        <v>33416778</v>
      </c>
      <c r="Z113" s="30" t="n">
        <v>301753505340</v>
      </c>
      <c r="AA113" s="30" t="n">
        <v>1015586040</v>
      </c>
      <c r="AB113" s="30" t="n">
        <v>1453175354</v>
      </c>
      <c r="AC113" s="35" t="n">
        <v>0.003365614722041724</v>
      </c>
      <c r="AD113" s="24" t="inlineStr">
        <is>
          <t>yfinance_download</t>
        </is>
      </c>
      <c r="AE113" s="24" t="inlineStr">
        <is>
          <t>059090.KQ</t>
        </is>
      </c>
    </row>
    <row r="114" ht="24" customHeight="1">
      <c r="A114" s="29" t="inlineStr">
        <is>
          <t>2023-11-22</t>
        </is>
      </c>
      <c r="B114" s="31" t="n">
        <v>8960</v>
      </c>
      <c r="C114" s="31" t="n">
        <v>9000</v>
      </c>
      <c r="D114" s="31" t="n">
        <v>8760</v>
      </c>
      <c r="E114" s="31" t="n">
        <v>8870</v>
      </c>
      <c r="F114" s="31" t="n">
        <v>8870</v>
      </c>
      <c r="G114" s="31" t="n">
        <v>166693</v>
      </c>
      <c r="H114" s="36" t="n">
        <v>-0.01771871539313397</v>
      </c>
      <c r="I114" s="36" t="n">
        <v>-0.435031847133758</v>
      </c>
      <c r="J114" s="31" t="n">
        <v>8598.5</v>
      </c>
      <c r="K114" s="31" t="n">
        <v>9849.5</v>
      </c>
      <c r="L114" s="31" t="n">
        <v>10206.75</v>
      </c>
      <c r="M114" s="36" t="n">
        <v>0.5173906586161983</v>
      </c>
      <c r="N114" s="36" t="n">
        <v>0.6662409060470148</v>
      </c>
      <c r="O114" s="36" t="n">
        <v>-0.0022497187851519</v>
      </c>
      <c r="P114" s="36" t="n">
        <v>-0.1552380952380953</v>
      </c>
      <c r="Q114" s="36" t="n">
        <v>0.01603665521191289</v>
      </c>
      <c r="R114" s="36" t="n">
        <v>0.0315752747572251</v>
      </c>
      <c r="S114" s="36" t="n">
        <v>-0.09944667241991978</v>
      </c>
      <c r="T114" s="36" t="n">
        <v>-0.1309672520635854</v>
      </c>
      <c r="U114" s="31" t="n">
        <v>13720</v>
      </c>
      <c r="V114" s="31" t="n">
        <v>7330</v>
      </c>
      <c r="W114" s="36" t="n">
        <v>-0.3534985422740525</v>
      </c>
      <c r="X114" s="36" t="n">
        <v>0.2100954979536154</v>
      </c>
      <c r="Y114" s="31" t="n">
        <v>33416778</v>
      </c>
      <c r="Z114" s="31" t="n">
        <v>296406820860</v>
      </c>
      <c r="AA114" s="31" t="n">
        <v>1478566910</v>
      </c>
      <c r="AB114" s="31" t="n">
        <v>1464647004.5</v>
      </c>
      <c r="AC114" s="36" t="n">
        <v>0.004988302582612842</v>
      </c>
      <c r="AD114" s="29" t="inlineStr">
        <is>
          <t>yfinance_download</t>
        </is>
      </c>
      <c r="AE114" s="29" t="inlineStr">
        <is>
          <t>059090.KQ</t>
        </is>
      </c>
    </row>
    <row r="115" ht="24" customHeight="1">
      <c r="A115" s="24" t="inlineStr">
        <is>
          <t>2023-11-23</t>
        </is>
      </c>
      <c r="B115" s="30" t="n">
        <v>9000</v>
      </c>
      <c r="C115" s="30" t="n">
        <v>9000</v>
      </c>
      <c r="D115" s="30" t="n">
        <v>8750</v>
      </c>
      <c r="E115" s="30" t="n">
        <v>8750</v>
      </c>
      <c r="F115" s="30" t="n">
        <v>8750</v>
      </c>
      <c r="G115" s="30" t="n">
        <v>140936</v>
      </c>
      <c r="H115" s="35" t="n">
        <v>-0.01352874859075537</v>
      </c>
      <c r="I115" s="35" t="n">
        <v>-0.4426751592356688</v>
      </c>
      <c r="J115" s="30" t="n">
        <v>8611</v>
      </c>
      <c r="K115" s="30" t="n">
        <v>9813</v>
      </c>
      <c r="L115" s="30" t="n">
        <v>10205.5</v>
      </c>
      <c r="M115" s="35" t="n">
        <v>0.4936275149689875</v>
      </c>
      <c r="N115" s="35" t="n">
        <v>0.6603149218155848</v>
      </c>
      <c r="O115" s="35" t="n">
        <v>0.02941176470588225</v>
      </c>
      <c r="P115" s="35" t="n">
        <v>-0.20018281535649</v>
      </c>
      <c r="Q115" s="35" t="n">
        <v>-0.0168539325842697</v>
      </c>
      <c r="R115" s="35" t="n">
        <v>0.01614214376959699</v>
      </c>
      <c r="S115" s="35" t="n">
        <v>-0.1083256904106797</v>
      </c>
      <c r="T115" s="35" t="n">
        <v>-0.1426191759345451</v>
      </c>
      <c r="U115" s="30" t="n">
        <v>13720</v>
      </c>
      <c r="V115" s="30" t="n">
        <v>7330</v>
      </c>
      <c r="W115" s="35" t="n">
        <v>-0.3622448979591837</v>
      </c>
      <c r="X115" s="35" t="n">
        <v>0.193724420190996</v>
      </c>
      <c r="Y115" s="30" t="n">
        <v>33416778</v>
      </c>
      <c r="Z115" s="30" t="n">
        <v>292396807500</v>
      </c>
      <c r="AA115" s="30" t="n">
        <v>1233190000</v>
      </c>
      <c r="AB115" s="30" t="n">
        <v>1447307504.5</v>
      </c>
      <c r="AC115" s="35" t="n">
        <v>0.004217522108205645</v>
      </c>
      <c r="AD115" s="24" t="inlineStr">
        <is>
          <t>yfinance_download</t>
        </is>
      </c>
      <c r="AE115" s="24" t="inlineStr">
        <is>
          <t>059090.KQ</t>
        </is>
      </c>
    </row>
    <row r="116" ht="24" customHeight="1">
      <c r="A116" s="29" t="inlineStr">
        <is>
          <t>2023-11-24</t>
        </is>
      </c>
      <c r="B116" s="31" t="n">
        <v>8710</v>
      </c>
      <c r="C116" s="31" t="n">
        <v>9040</v>
      </c>
      <c r="D116" s="31" t="n">
        <v>8700</v>
      </c>
      <c r="E116" s="31" t="n">
        <v>8800</v>
      </c>
      <c r="F116" s="31" t="n">
        <v>8800</v>
      </c>
      <c r="G116" s="31" t="n">
        <v>118286</v>
      </c>
      <c r="H116" s="36" t="n">
        <v>0.005714285714285783</v>
      </c>
      <c r="I116" s="36" t="n">
        <v>-0.4394904458598726</v>
      </c>
      <c r="J116" s="31" t="n">
        <v>8629</v>
      </c>
      <c r="K116" s="31" t="n">
        <v>9789.833333333334</v>
      </c>
      <c r="L116" s="31" t="n">
        <v>10203.33333333333</v>
      </c>
      <c r="M116" s="36" t="n">
        <v>0.4926305434461008</v>
      </c>
      <c r="N116" s="36" t="n">
        <v>0.6461520605054928</v>
      </c>
      <c r="O116" s="36" t="n">
        <v>0.04265402843601906</v>
      </c>
      <c r="P116" s="36" t="n">
        <v>-0.1364082433758587</v>
      </c>
      <c r="Q116" s="36" t="n">
        <v>-0.0286975717439294</v>
      </c>
      <c r="R116" s="36" t="n">
        <v>0.01981689651176266</v>
      </c>
      <c r="S116" s="36" t="n">
        <v>-0.1011082926164899</v>
      </c>
      <c r="T116" s="36" t="n">
        <v>-0.1375367526951977</v>
      </c>
      <c r="U116" s="31" t="n">
        <v>13720</v>
      </c>
      <c r="V116" s="31" t="n">
        <v>7330</v>
      </c>
      <c r="W116" s="36" t="n">
        <v>-0.358600583090379</v>
      </c>
      <c r="X116" s="36" t="n">
        <v>0.2005457025920874</v>
      </c>
      <c r="Y116" s="31" t="n">
        <v>33416778</v>
      </c>
      <c r="Z116" s="31" t="n">
        <v>294067646400</v>
      </c>
      <c r="AA116" s="31" t="n">
        <v>1040916800</v>
      </c>
      <c r="AB116" s="31" t="n">
        <v>1431811400.5</v>
      </c>
      <c r="AC116" s="36" t="n">
        <v>0.003539718880138594</v>
      </c>
      <c r="AD116" s="29" t="inlineStr">
        <is>
          <t>yfinance_download</t>
        </is>
      </c>
      <c r="AE116" s="29" t="inlineStr">
        <is>
          <t>059090.KQ</t>
        </is>
      </c>
    </row>
    <row r="117" ht="24" customHeight="1">
      <c r="A117" s="24" t="inlineStr">
        <is>
          <t>2023-11-27</t>
        </is>
      </c>
      <c r="B117" s="30" t="n">
        <v>8800</v>
      </c>
      <c r="C117" s="30" t="n">
        <v>9020</v>
      </c>
      <c r="D117" s="30" t="n">
        <v>8750</v>
      </c>
      <c r="E117" s="30" t="n">
        <v>8850</v>
      </c>
      <c r="F117" s="30" t="n">
        <v>8850</v>
      </c>
      <c r="G117" s="30" t="n">
        <v>107389</v>
      </c>
      <c r="H117" s="35" t="n">
        <v>0.005681818181818121</v>
      </c>
      <c r="I117" s="35" t="n">
        <v>-0.4363057324840764</v>
      </c>
      <c r="J117" s="30" t="n">
        <v>8651.5</v>
      </c>
      <c r="K117" s="30" t="n">
        <v>9768.666666666666</v>
      </c>
      <c r="L117" s="30" t="n">
        <v>10201.91666666667</v>
      </c>
      <c r="M117" s="35" t="n">
        <v>0.4919740312892881</v>
      </c>
      <c r="N117" s="35" t="n">
        <v>0.6462299375113845</v>
      </c>
      <c r="O117" s="35" t="n">
        <v>0.0535714285714286</v>
      </c>
      <c r="P117" s="35" t="n">
        <v>-0.1254940711462451</v>
      </c>
      <c r="Q117" s="35" t="n">
        <v>-0.01884700665188466</v>
      </c>
      <c r="R117" s="35" t="n">
        <v>0.02294399815060966</v>
      </c>
      <c r="S117" s="35" t="n">
        <v>-0.09404217566368656</v>
      </c>
      <c r="T117" s="35" t="n">
        <v>-0.1325159488004705</v>
      </c>
      <c r="U117" s="30" t="n">
        <v>13720</v>
      </c>
      <c r="V117" s="30" t="n">
        <v>7330</v>
      </c>
      <c r="W117" s="35" t="n">
        <v>-0.3549562682215743</v>
      </c>
      <c r="X117" s="35" t="n">
        <v>0.2073669849931787</v>
      </c>
      <c r="Y117" s="30" t="n">
        <v>33416778</v>
      </c>
      <c r="Z117" s="30" t="n">
        <v>295738485300</v>
      </c>
      <c r="AA117" s="30" t="n">
        <v>950392650</v>
      </c>
      <c r="AB117" s="30" t="n">
        <v>1442384473</v>
      </c>
      <c r="AC117" s="35" t="n">
        <v>0.003213625203483113</v>
      </c>
      <c r="AD117" s="24" t="inlineStr">
        <is>
          <t>yfinance_download</t>
        </is>
      </c>
      <c r="AE117" s="24" t="inlineStr">
        <is>
          <t>059090.KQ</t>
        </is>
      </c>
    </row>
    <row r="118" ht="24" customHeight="1">
      <c r="A118" s="29" t="inlineStr">
        <is>
          <t>2023-11-28</t>
        </is>
      </c>
      <c r="B118" s="31" t="n">
        <v>8880</v>
      </c>
      <c r="C118" s="31" t="n">
        <v>9000</v>
      </c>
      <c r="D118" s="31" t="n">
        <v>8690</v>
      </c>
      <c r="E118" s="31" t="n">
        <v>8820</v>
      </c>
      <c r="F118" s="31" t="n">
        <v>8820</v>
      </c>
      <c r="G118" s="31" t="n">
        <v>93567</v>
      </c>
      <c r="H118" s="36" t="n">
        <v>-0.003389830508474523</v>
      </c>
      <c r="I118" s="36" t="n">
        <v>-0.4382165605095542</v>
      </c>
      <c r="J118" s="31" t="n">
        <v>8697.5</v>
      </c>
      <c r="K118" s="31" t="n">
        <v>9750.666666666666</v>
      </c>
      <c r="L118" s="31" t="n">
        <v>10200.41666666667</v>
      </c>
      <c r="M118" s="36" t="n">
        <v>0.4342087453769977</v>
      </c>
      <c r="N118" s="36" t="n">
        <v>0.6448593265402567</v>
      </c>
      <c r="O118" s="36" t="n">
        <v>0.1164556962025316</v>
      </c>
      <c r="P118" s="36" t="n">
        <v>-0.1090909090909091</v>
      </c>
      <c r="Q118" s="36" t="n">
        <v>-0.02000000000000002</v>
      </c>
      <c r="R118" s="36" t="n">
        <v>0.0140845070422535</v>
      </c>
      <c r="S118" s="36" t="n">
        <v>-0.09544646519896072</v>
      </c>
      <c r="T118" s="36" t="n">
        <v>-0.1353294391568971</v>
      </c>
      <c r="U118" s="31" t="n">
        <v>13720</v>
      </c>
      <c r="V118" s="31" t="n">
        <v>7330</v>
      </c>
      <c r="W118" s="36" t="n">
        <v>-0.3571428571428571</v>
      </c>
      <c r="X118" s="36" t="n">
        <v>0.2032742155525238</v>
      </c>
      <c r="Y118" s="31" t="n">
        <v>33416778</v>
      </c>
      <c r="Z118" s="31" t="n">
        <v>294735981960</v>
      </c>
      <c r="AA118" s="31" t="n">
        <v>825260940</v>
      </c>
      <c r="AB118" s="31" t="n">
        <v>1345956445</v>
      </c>
      <c r="AC118" s="36" t="n">
        <v>0.002800000646381886</v>
      </c>
      <c r="AD118" s="29" t="inlineStr">
        <is>
          <t>yfinance_download</t>
        </is>
      </c>
      <c r="AE118" s="29" t="inlineStr">
        <is>
          <t>059090.KQ</t>
        </is>
      </c>
    </row>
    <row r="119" ht="24" customHeight="1">
      <c r="A119" s="24" t="inlineStr">
        <is>
          <t>2023-11-29</t>
        </is>
      </c>
      <c r="B119" s="30" t="n">
        <v>8790</v>
      </c>
      <c r="C119" s="30" t="n">
        <v>8880</v>
      </c>
      <c r="D119" s="30" t="n">
        <v>8670</v>
      </c>
      <c r="E119" s="30" t="n">
        <v>8710</v>
      </c>
      <c r="F119" s="30" t="n">
        <v>8710</v>
      </c>
      <c r="G119" s="30" t="n">
        <v>97877</v>
      </c>
      <c r="H119" s="35" t="n">
        <v>-0.01247165532879824</v>
      </c>
      <c r="I119" s="35" t="n">
        <v>-0.4452229299363057</v>
      </c>
      <c r="J119" s="30" t="n">
        <v>8733.5</v>
      </c>
      <c r="K119" s="30" t="n">
        <v>9721.333333333334</v>
      </c>
      <c r="L119" s="30" t="n">
        <v>10198.5</v>
      </c>
      <c r="M119" s="35" t="n">
        <v>0.4384305551205171</v>
      </c>
      <c r="N119" s="35" t="n">
        <v>0.6335047904231853</v>
      </c>
      <c r="O119" s="35" t="n">
        <v>0.09011264080100134</v>
      </c>
      <c r="P119" s="35" t="n">
        <v>-0.1680993314231136</v>
      </c>
      <c r="Q119" s="35" t="n">
        <v>-0.02572706935123048</v>
      </c>
      <c r="R119" s="35" t="n">
        <v>-0.00269078834373393</v>
      </c>
      <c r="S119" s="35" t="n">
        <v>-0.1040323686737074</v>
      </c>
      <c r="T119" s="35" t="n">
        <v>-0.1459528362014022</v>
      </c>
      <c r="U119" s="30" t="n">
        <v>13720</v>
      </c>
      <c r="V119" s="30" t="n">
        <v>7330</v>
      </c>
      <c r="W119" s="35" t="n">
        <v>-0.3651603498542274</v>
      </c>
      <c r="X119" s="35" t="n">
        <v>0.1882673942701227</v>
      </c>
      <c r="Y119" s="30" t="n">
        <v>33416778</v>
      </c>
      <c r="Z119" s="30" t="n">
        <v>291060136380</v>
      </c>
      <c r="AA119" s="30" t="n">
        <v>852508670</v>
      </c>
      <c r="AB119" s="30" t="n">
        <v>1329544567.5</v>
      </c>
      <c r="AC119" s="35" t="n">
        <v>0.002928977772782283</v>
      </c>
      <c r="AD119" s="24" t="inlineStr">
        <is>
          <t>yfinance_download</t>
        </is>
      </c>
      <c r="AE119" s="24" t="inlineStr">
        <is>
          <t>059090.KQ</t>
        </is>
      </c>
    </row>
    <row r="120" ht="24" customHeight="1">
      <c r="A120" s="29" t="inlineStr">
        <is>
          <t>2023-11-30</t>
        </is>
      </c>
      <c r="B120" s="31" t="n">
        <v>8710</v>
      </c>
      <c r="C120" s="31" t="n">
        <v>9450</v>
      </c>
      <c r="D120" s="31" t="n">
        <v>8710</v>
      </c>
      <c r="E120" s="31" t="n">
        <v>9130</v>
      </c>
      <c r="F120" s="31" t="n">
        <v>9130</v>
      </c>
      <c r="G120" s="31" t="n">
        <v>431386</v>
      </c>
      <c r="H120" s="36" t="n">
        <v>0.04822043628013772</v>
      </c>
      <c r="I120" s="36" t="n">
        <v>-0.4184713375796179</v>
      </c>
      <c r="J120" s="31" t="n">
        <v>8767</v>
      </c>
      <c r="K120" s="31" t="n">
        <v>9688.666666666666</v>
      </c>
      <c r="L120" s="31" t="n">
        <v>10200</v>
      </c>
      <c r="M120" s="36" t="n">
        <v>0.422386637378638</v>
      </c>
      <c r="N120" s="36" t="n">
        <v>0.6293318469679121</v>
      </c>
      <c r="O120" s="36" t="n">
        <v>0.07919621749408989</v>
      </c>
      <c r="P120" s="36" t="n">
        <v>-0.1767357980162308</v>
      </c>
      <c r="Q120" s="36" t="n">
        <v>0.02011173184357551</v>
      </c>
      <c r="R120" s="36" t="n">
        <v>0.04140526976160608</v>
      </c>
      <c r="S120" s="36" t="n">
        <v>-0.05766187297873804</v>
      </c>
      <c r="T120" s="36" t="n">
        <v>-0.1049019607843137</v>
      </c>
      <c r="U120" s="31" t="n">
        <v>13720</v>
      </c>
      <c r="V120" s="31" t="n">
        <v>7330</v>
      </c>
      <c r="W120" s="36" t="n">
        <v>-0.3345481049562682</v>
      </c>
      <c r="X120" s="36" t="n">
        <v>0.2455661664392905</v>
      </c>
      <c r="Y120" s="31" t="n">
        <v>33416778</v>
      </c>
      <c r="Z120" s="31" t="n">
        <v>305095183140</v>
      </c>
      <c r="AA120" s="31" t="n">
        <v>3938554180</v>
      </c>
      <c r="AB120" s="31" t="n">
        <v>1436623692.5</v>
      </c>
      <c r="AC120" s="36" t="n">
        <v>0.01290926372374979</v>
      </c>
      <c r="AD120" s="29" t="inlineStr">
        <is>
          <t>yfinance_download</t>
        </is>
      </c>
      <c r="AE120" s="29" t="inlineStr">
        <is>
          <t>059090.KQ</t>
        </is>
      </c>
    </row>
    <row r="121" ht="24" customHeight="1">
      <c r="A121" s="24" t="inlineStr">
        <is>
          <t>2023-12-01</t>
        </is>
      </c>
      <c r="B121" s="30" t="n">
        <v>9120</v>
      </c>
      <c r="C121" s="30" t="n">
        <v>9180</v>
      </c>
      <c r="D121" s="30" t="n">
        <v>8880</v>
      </c>
      <c r="E121" s="30" t="n">
        <v>8880</v>
      </c>
      <c r="F121" s="30" t="n">
        <v>8880</v>
      </c>
      <c r="G121" s="30" t="n">
        <v>139760</v>
      </c>
      <c r="H121" s="35" t="n">
        <v>-0.02738225629791891</v>
      </c>
      <c r="I121" s="35" t="n">
        <v>-0.4343949044585987</v>
      </c>
      <c r="J121" s="30" t="n">
        <v>8783.5</v>
      </c>
      <c r="K121" s="30" t="n">
        <v>9627.166666666666</v>
      </c>
      <c r="L121" s="30" t="n">
        <v>10200.66666666667</v>
      </c>
      <c r="M121" s="35" t="n">
        <v>0.4359866062045138</v>
      </c>
      <c r="N121" s="35" t="n">
        <v>0.5638731099812935</v>
      </c>
      <c r="O121" s="35" t="n">
        <v>0.03859649122807007</v>
      </c>
      <c r="P121" s="35" t="n">
        <v>-0.2935560859188544</v>
      </c>
      <c r="Q121" s="35" t="n">
        <v>0.009090909090909038</v>
      </c>
      <c r="R121" s="35" t="n">
        <v>0.01098650879489949</v>
      </c>
      <c r="S121" s="35" t="n">
        <v>-0.07761023492547126</v>
      </c>
      <c r="T121" s="35" t="n">
        <v>-0.1294686621789425</v>
      </c>
      <c r="U121" s="30" t="n">
        <v>13720</v>
      </c>
      <c r="V121" s="30" t="n">
        <v>7330</v>
      </c>
      <c r="W121" s="35" t="n">
        <v>-0.3527696793002916</v>
      </c>
      <c r="X121" s="35" t="n">
        <v>0.2114597544338335</v>
      </c>
      <c r="Y121" s="30" t="n">
        <v>33416778</v>
      </c>
      <c r="Z121" s="30" t="n">
        <v>296740988640</v>
      </c>
      <c r="AA121" s="30" t="n">
        <v>1241068800</v>
      </c>
      <c r="AB121" s="30" t="n">
        <v>1437288560</v>
      </c>
      <c r="AC121" s="35" t="n">
        <v>0.004182330205503355</v>
      </c>
      <c r="AD121" s="24" t="inlineStr">
        <is>
          <t>yfinance_download</t>
        </is>
      </c>
      <c r="AE121" s="24" t="inlineStr">
        <is>
          <t>059090.KQ</t>
        </is>
      </c>
    </row>
    <row r="122" ht="24" customHeight="1">
      <c r="A122" s="29" t="inlineStr">
        <is>
          <t>2023-12-04</t>
        </is>
      </c>
      <c r="B122" s="31" t="n">
        <v>8820</v>
      </c>
      <c r="C122" s="31" t="n">
        <v>9000</v>
      </c>
      <c r="D122" s="31" t="n">
        <v>8670</v>
      </c>
      <c r="E122" s="31" t="n">
        <v>8680</v>
      </c>
      <c r="F122" s="31" t="n">
        <v>8680</v>
      </c>
      <c r="G122" s="31" t="n">
        <v>164713</v>
      </c>
      <c r="H122" s="36" t="n">
        <v>-0.02252252252252251</v>
      </c>
      <c r="I122" s="36" t="n">
        <v>-0.4471337579617835</v>
      </c>
      <c r="J122" s="31" t="n">
        <v>8766</v>
      </c>
      <c r="K122" s="31" t="n">
        <v>9561.333333333334</v>
      </c>
      <c r="L122" s="31" t="n">
        <v>10200.33333333333</v>
      </c>
      <c r="M122" s="36" t="n">
        <v>0.3944702100717647</v>
      </c>
      <c r="N122" s="36" t="n">
        <v>0.5645950005060458</v>
      </c>
      <c r="O122" s="36" t="n">
        <v>-0.03875968992248058</v>
      </c>
      <c r="P122" s="36" t="n">
        <v>-0.3127474267616785</v>
      </c>
      <c r="Q122" s="36" t="n">
        <v>-0.004587155963302725</v>
      </c>
      <c r="R122" s="36" t="n">
        <v>-0.009810631987223317</v>
      </c>
      <c r="S122" s="36" t="n">
        <v>-0.09217682331613453</v>
      </c>
      <c r="T122" s="36" t="n">
        <v>-0.1490474167510866</v>
      </c>
      <c r="U122" s="31" t="n">
        <v>13720</v>
      </c>
      <c r="V122" s="31" t="n">
        <v>7330</v>
      </c>
      <c r="W122" s="36" t="n">
        <v>-0.3673469387755102</v>
      </c>
      <c r="X122" s="36" t="n">
        <v>0.184174624829468</v>
      </c>
      <c r="Y122" s="31" t="n">
        <v>33416778</v>
      </c>
      <c r="Z122" s="31" t="n">
        <v>290057633040</v>
      </c>
      <c r="AA122" s="31" t="n">
        <v>1429708840</v>
      </c>
      <c r="AB122" s="31" t="n">
        <v>1409926655.5</v>
      </c>
      <c r="AC122" s="36" t="n">
        <v>0.004929050909695722</v>
      </c>
      <c r="AD122" s="29" t="inlineStr">
        <is>
          <t>yfinance_download</t>
        </is>
      </c>
      <c r="AE122" s="29" t="inlineStr">
        <is>
          <t>059090.KQ</t>
        </is>
      </c>
    </row>
    <row r="123" ht="24" customHeight="1">
      <c r="A123" s="24" t="inlineStr">
        <is>
          <t>2023-12-05</t>
        </is>
      </c>
      <c r="B123" s="30" t="n">
        <v>8600</v>
      </c>
      <c r="C123" s="30" t="n">
        <v>8790</v>
      </c>
      <c r="D123" s="30" t="n">
        <v>8310</v>
      </c>
      <c r="E123" s="30" t="n">
        <v>8390</v>
      </c>
      <c r="F123" s="30" t="n">
        <v>8390</v>
      </c>
      <c r="G123" s="30" t="n">
        <v>158262</v>
      </c>
      <c r="H123" s="35" t="n">
        <v>-0.03341013824884798</v>
      </c>
      <c r="I123" s="35" t="n">
        <v>-0.4656050955414013</v>
      </c>
      <c r="J123" s="30" t="n">
        <v>8744</v>
      </c>
      <c r="K123" s="30" t="n">
        <v>9499</v>
      </c>
      <c r="L123" s="30" t="n">
        <v>10198.41666666667</v>
      </c>
      <c r="M123" s="35" t="n">
        <v>0.4041276196973708</v>
      </c>
      <c r="N123" s="35" t="n">
        <v>0.563146963999666</v>
      </c>
      <c r="O123" s="35" t="n">
        <v>-0.04983012457531144</v>
      </c>
      <c r="P123" s="35" t="n">
        <v>-0.3083264633140973</v>
      </c>
      <c r="Q123" s="35" t="n">
        <v>-0.02668213457076563</v>
      </c>
      <c r="R123" s="35" t="n">
        <v>-0.04048490393412629</v>
      </c>
      <c r="S123" s="35" t="n">
        <v>-0.116749131487525</v>
      </c>
      <c r="T123" s="35" t="n">
        <v>-0.1773232773061177</v>
      </c>
      <c r="U123" s="30" t="n">
        <v>13720</v>
      </c>
      <c r="V123" s="30" t="n">
        <v>7330</v>
      </c>
      <c r="W123" s="35" t="n">
        <v>-0.3884839650145773</v>
      </c>
      <c r="X123" s="35" t="n">
        <v>0.1446111869031379</v>
      </c>
      <c r="Y123" s="30" t="n">
        <v>33416778</v>
      </c>
      <c r="Z123" s="30" t="n">
        <v>280366767420</v>
      </c>
      <c r="AA123" s="30" t="n">
        <v>1327818180</v>
      </c>
      <c r="AB123" s="30" t="n">
        <v>1373248506.5</v>
      </c>
      <c r="AC123" s="35" t="n">
        <v>0.004736004171317774</v>
      </c>
      <c r="AD123" s="24" t="inlineStr">
        <is>
          <t>yfinance_download</t>
        </is>
      </c>
      <c r="AE123" s="24" t="inlineStr">
        <is>
          <t>059090.KQ</t>
        </is>
      </c>
    </row>
    <row r="124" ht="24" customHeight="1">
      <c r="A124" s="29" t="inlineStr">
        <is>
          <t>2023-12-06</t>
        </is>
      </c>
      <c r="B124" s="31" t="n">
        <v>8490</v>
      </c>
      <c r="C124" s="31" t="n">
        <v>8530</v>
      </c>
      <c r="D124" s="31" t="n">
        <v>8270</v>
      </c>
      <c r="E124" s="31" t="n">
        <v>8480</v>
      </c>
      <c r="F124" s="31" t="n">
        <v>8480</v>
      </c>
      <c r="G124" s="31" t="n">
        <v>106802</v>
      </c>
      <c r="H124" s="36" t="n">
        <v>0.01072705601907042</v>
      </c>
      <c r="I124" s="36" t="n">
        <v>-0.4598726114649682</v>
      </c>
      <c r="J124" s="31" t="n">
        <v>8734</v>
      </c>
      <c r="K124" s="31" t="n">
        <v>9432</v>
      </c>
      <c r="L124" s="31" t="n">
        <v>10195.33333333333</v>
      </c>
      <c r="M124" s="36" t="n">
        <v>0.4026885496655102</v>
      </c>
      <c r="N124" s="36" t="n">
        <v>0.5591905585630431</v>
      </c>
      <c r="O124" s="36" t="n">
        <v>-0.02304147465437789</v>
      </c>
      <c r="P124" s="36" t="n">
        <v>-0.3216</v>
      </c>
      <c r="Q124" s="36" t="n">
        <v>-0.04180790960451974</v>
      </c>
      <c r="R124" s="36" t="n">
        <v>-0.02908174948477216</v>
      </c>
      <c r="S124" s="36" t="n">
        <v>-0.100932994062765</v>
      </c>
      <c r="T124" s="36" t="n">
        <v>-0.1682469103511411</v>
      </c>
      <c r="U124" s="31" t="n">
        <v>13720</v>
      </c>
      <c r="V124" s="31" t="n">
        <v>7330</v>
      </c>
      <c r="W124" s="36" t="n">
        <v>-0.3819241982507289</v>
      </c>
      <c r="X124" s="36" t="n">
        <v>0.1568894952251023</v>
      </c>
      <c r="Y124" s="31" t="n">
        <v>33416778</v>
      </c>
      <c r="Z124" s="31" t="n">
        <v>283374277440</v>
      </c>
      <c r="AA124" s="31" t="n">
        <v>905680960</v>
      </c>
      <c r="AB124" s="31" t="n">
        <v>1358137114.5</v>
      </c>
      <c r="AC124" s="36" t="n">
        <v>0.0031960591772193</v>
      </c>
      <c r="AD124" s="29" t="inlineStr">
        <is>
          <t>yfinance_download</t>
        </is>
      </c>
      <c r="AE124" s="29" t="inlineStr">
        <is>
          <t>059090.KQ</t>
        </is>
      </c>
    </row>
    <row r="125" ht="24" customHeight="1">
      <c r="A125" s="24" t="inlineStr">
        <is>
          <t>2023-12-07</t>
        </is>
      </c>
      <c r="B125" s="30" t="n">
        <v>8390</v>
      </c>
      <c r="C125" s="30" t="n">
        <v>8430</v>
      </c>
      <c r="D125" s="30" t="n">
        <v>8280</v>
      </c>
      <c r="E125" s="30" t="n">
        <v>8350</v>
      </c>
      <c r="F125" s="30" t="n">
        <v>8350</v>
      </c>
      <c r="G125" s="30" t="n">
        <v>85459</v>
      </c>
      <c r="H125" s="35" t="n">
        <v>-0.01533018867924529</v>
      </c>
      <c r="I125" s="35" t="n">
        <v>-0.4681528662420382</v>
      </c>
      <c r="J125" s="30" t="n">
        <v>8723.5</v>
      </c>
      <c r="K125" s="30" t="n">
        <v>9372.166666666666</v>
      </c>
      <c r="L125" s="30" t="n">
        <v>10190.41666666667</v>
      </c>
      <c r="M125" s="35" t="n">
        <v>0.4033663180499911</v>
      </c>
      <c r="N125" s="35" t="n">
        <v>0.5536537957567884</v>
      </c>
      <c r="O125" s="35" t="n">
        <v>-0.02453271028037385</v>
      </c>
      <c r="P125" s="35" t="n">
        <v>-0.3006700167504187</v>
      </c>
      <c r="Q125" s="35" t="n">
        <v>-0.06599552572706935</v>
      </c>
      <c r="R125" s="35" t="n">
        <v>-0.04281538373359317</v>
      </c>
      <c r="S125" s="35" t="n">
        <v>-0.1090640726975263</v>
      </c>
      <c r="T125" s="35" t="n">
        <v>-0.1806026904362759</v>
      </c>
      <c r="U125" s="30" t="n">
        <v>13720</v>
      </c>
      <c r="V125" s="30" t="n">
        <v>7330</v>
      </c>
      <c r="W125" s="35" t="n">
        <v>-0.391399416909621</v>
      </c>
      <c r="X125" s="35" t="n">
        <v>0.1391541609822646</v>
      </c>
      <c r="Y125" s="30" t="n">
        <v>33416778</v>
      </c>
      <c r="Z125" s="30" t="n">
        <v>279030096300</v>
      </c>
      <c r="AA125" s="30" t="n">
        <v>713582650</v>
      </c>
      <c r="AB125" s="30" t="n">
        <v>1327400063</v>
      </c>
      <c r="AC125" s="35" t="n">
        <v>0.002557368038295015</v>
      </c>
      <c r="AD125" s="24" t="inlineStr">
        <is>
          <t>yfinance_download</t>
        </is>
      </c>
      <c r="AE125" s="24" t="inlineStr">
        <is>
          <t>059090.KQ</t>
        </is>
      </c>
    </row>
    <row r="126" ht="24" customHeight="1">
      <c r="A126" s="29" t="inlineStr">
        <is>
          <t>2023-12-08</t>
        </is>
      </c>
      <c r="B126" s="31" t="n">
        <v>8460</v>
      </c>
      <c r="C126" s="31" t="n">
        <v>8630</v>
      </c>
      <c r="D126" s="31" t="n">
        <v>8370</v>
      </c>
      <c r="E126" s="31" t="n">
        <v>8400</v>
      </c>
      <c r="F126" s="31" t="n">
        <v>8400</v>
      </c>
      <c r="G126" s="31" t="n">
        <v>127995</v>
      </c>
      <c r="H126" s="36" t="n">
        <v>0.005988023952095745</v>
      </c>
      <c r="I126" s="36" t="n">
        <v>-0.464968152866242</v>
      </c>
      <c r="J126" s="31" t="n">
        <v>8708.5</v>
      </c>
      <c r="K126" s="31" t="n">
        <v>9321.5</v>
      </c>
      <c r="L126" s="31" t="n">
        <v>10185.16666666667</v>
      </c>
      <c r="M126" s="36" t="n">
        <v>0.3991293614303614</v>
      </c>
      <c r="N126" s="36" t="n">
        <v>0.5488329225372384</v>
      </c>
      <c r="O126" s="36" t="n">
        <v>-0.03448275862068961</v>
      </c>
      <c r="P126" s="36" t="n">
        <v>-0.2657342657342657</v>
      </c>
      <c r="Q126" s="36" t="n">
        <v>-0.06976744186046513</v>
      </c>
      <c r="R126" s="36" t="n">
        <v>-0.03542515932709422</v>
      </c>
      <c r="S126" s="36" t="n">
        <v>-0.09885748001931016</v>
      </c>
      <c r="T126" s="36" t="n">
        <v>-0.1752712277658686</v>
      </c>
      <c r="U126" s="31" t="n">
        <v>13720</v>
      </c>
      <c r="V126" s="31" t="n">
        <v>7330</v>
      </c>
      <c r="W126" s="36" t="n">
        <v>-0.3877551020408163</v>
      </c>
      <c r="X126" s="36" t="n">
        <v>0.145975443383356</v>
      </c>
      <c r="Y126" s="31" t="n">
        <v>33416778</v>
      </c>
      <c r="Z126" s="31" t="n">
        <v>280700935200</v>
      </c>
      <c r="AA126" s="31" t="n">
        <v>1075158000</v>
      </c>
      <c r="AB126" s="31" t="n">
        <v>1318277843</v>
      </c>
      <c r="AC126" s="36" t="n">
        <v>0.003830261553043803</v>
      </c>
      <c r="AD126" s="29" t="inlineStr">
        <is>
          <t>yfinance_download</t>
        </is>
      </c>
      <c r="AE126" s="29" t="inlineStr">
        <is>
          <t>059090.KQ</t>
        </is>
      </c>
    </row>
    <row r="127" ht="24" customHeight="1">
      <c r="A127" s="24" t="inlineStr">
        <is>
          <t>2023-12-11</t>
        </is>
      </c>
      <c r="B127" s="30" t="n">
        <v>8500</v>
      </c>
      <c r="C127" s="30" t="n">
        <v>8540</v>
      </c>
      <c r="D127" s="30" t="n">
        <v>8350</v>
      </c>
      <c r="E127" s="30" t="n">
        <v>8370</v>
      </c>
      <c r="F127" s="30" t="n">
        <v>8370</v>
      </c>
      <c r="G127" s="30" t="n">
        <v>75066</v>
      </c>
      <c r="H127" s="35" t="n">
        <v>-0.003571428571428559</v>
      </c>
      <c r="I127" s="35" t="n">
        <v>-0.4668789808917198</v>
      </c>
      <c r="J127" s="30" t="n">
        <v>8717</v>
      </c>
      <c r="K127" s="30" t="n">
        <v>9270.166666666666</v>
      </c>
      <c r="L127" s="30" t="n">
        <v>10179</v>
      </c>
      <c r="M127" s="35" t="n">
        <v>0.3403158472903133</v>
      </c>
      <c r="N127" s="35" t="n">
        <v>0.548721007850874</v>
      </c>
      <c r="O127" s="35" t="n">
        <v>0.02073170731707319</v>
      </c>
      <c r="P127" s="35" t="n">
        <v>-0.268995633187773</v>
      </c>
      <c r="Q127" s="35" t="n">
        <v>-0.08122941822173435</v>
      </c>
      <c r="R127" s="35" t="n">
        <v>-0.03980727314443044</v>
      </c>
      <c r="S127" s="35" t="n">
        <v>-0.09710361194512862</v>
      </c>
      <c r="T127" s="35" t="n">
        <v>-0.1777188328912467</v>
      </c>
      <c r="U127" s="30" t="n">
        <v>13720</v>
      </c>
      <c r="V127" s="30" t="n">
        <v>7330</v>
      </c>
      <c r="W127" s="35" t="n">
        <v>-0.3899416909620991</v>
      </c>
      <c r="X127" s="35" t="n">
        <v>0.1418826739427013</v>
      </c>
      <c r="Y127" s="30" t="n">
        <v>33416778</v>
      </c>
      <c r="Z127" s="30" t="n">
        <v>279698431860</v>
      </c>
      <c r="AA127" s="30" t="n">
        <v>628302420</v>
      </c>
      <c r="AB127" s="30" t="n">
        <v>1248096194</v>
      </c>
      <c r="AC127" s="35" t="n">
        <v>0.0022463566056548</v>
      </c>
      <c r="AD127" s="24" t="inlineStr">
        <is>
          <t>yfinance_download</t>
        </is>
      </c>
      <c r="AE127" s="24" t="inlineStr">
        <is>
          <t>059090.KQ</t>
        </is>
      </c>
    </row>
    <row r="128" ht="24" customHeight="1">
      <c r="A128" s="29" t="inlineStr">
        <is>
          <t>2023-12-12</t>
        </is>
      </c>
      <c r="B128" s="31" t="n">
        <v>8690</v>
      </c>
      <c r="C128" s="31" t="n">
        <v>9000</v>
      </c>
      <c r="D128" s="31" t="n">
        <v>8460</v>
      </c>
      <c r="E128" s="31" t="n">
        <v>8930</v>
      </c>
      <c r="F128" s="31" t="n">
        <v>8930</v>
      </c>
      <c r="G128" s="31" t="n">
        <v>331922</v>
      </c>
      <c r="H128" s="36" t="n">
        <v>0.06690561529271211</v>
      </c>
      <c r="I128" s="36" t="n">
        <v>-0.4312101910828026</v>
      </c>
      <c r="J128" s="31" t="n">
        <v>8738</v>
      </c>
      <c r="K128" s="31" t="n">
        <v>9233.333333333334</v>
      </c>
      <c r="L128" s="31" t="n">
        <v>10178.25</v>
      </c>
      <c r="M128" s="36" t="n">
        <v>0.3933298677616913</v>
      </c>
      <c r="N128" s="36" t="n">
        <v>0.5658300957783662</v>
      </c>
      <c r="O128" s="36" t="n">
        <v>0.04935370152761465</v>
      </c>
      <c r="P128" s="36" t="n">
        <v>-0.1983842010771992</v>
      </c>
      <c r="Q128" s="36" t="n">
        <v>-0.009977827050997812</v>
      </c>
      <c r="R128" s="36" t="n">
        <v>0.02197299153124277</v>
      </c>
      <c r="S128" s="36" t="n">
        <v>-0.03285198555956681</v>
      </c>
      <c r="T128" s="36" t="n">
        <v>-0.1226389605285781</v>
      </c>
      <c r="U128" s="31" t="n">
        <v>13720</v>
      </c>
      <c r="V128" s="31" t="n">
        <v>7330</v>
      </c>
      <c r="W128" s="36" t="n">
        <v>-0.3491253644314869</v>
      </c>
      <c r="X128" s="36" t="n">
        <v>0.2182810368349251</v>
      </c>
      <c r="Y128" s="31" t="n">
        <v>33416778</v>
      </c>
      <c r="Z128" s="31" t="n">
        <v>298411827540</v>
      </c>
      <c r="AA128" s="31" t="n">
        <v>2964063460</v>
      </c>
      <c r="AB128" s="31" t="n">
        <v>1349545427</v>
      </c>
      <c r="AC128" s="36" t="n">
        <v>0.009932794837371814</v>
      </c>
      <c r="AD128" s="29" t="inlineStr">
        <is>
          <t>yfinance_download</t>
        </is>
      </c>
      <c r="AE128" s="29" t="inlineStr">
        <is>
          <t>059090.KQ</t>
        </is>
      </c>
    </row>
    <row r="129" ht="24" customHeight="1">
      <c r="A129" s="24" t="inlineStr">
        <is>
          <t>2023-12-13</t>
        </is>
      </c>
      <c r="B129" s="30" t="n">
        <v>9050</v>
      </c>
      <c r="C129" s="30" t="n">
        <v>9380</v>
      </c>
      <c r="D129" s="30" t="n">
        <v>8850</v>
      </c>
      <c r="E129" s="30" t="n">
        <v>9250</v>
      </c>
      <c r="F129" s="30" t="n">
        <v>9250</v>
      </c>
      <c r="G129" s="30" t="n">
        <v>351181</v>
      </c>
      <c r="H129" s="35" t="n">
        <v>0.03583426651735722</v>
      </c>
      <c r="I129" s="35" t="n">
        <v>-0.410828025477707</v>
      </c>
      <c r="J129" s="30" t="n">
        <v>8764</v>
      </c>
      <c r="K129" s="30" t="n">
        <v>9205.5</v>
      </c>
      <c r="L129" s="30" t="n">
        <v>10181.41666666667</v>
      </c>
      <c r="M129" s="35" t="n">
        <v>0.4026100778669985</v>
      </c>
      <c r="N129" s="35" t="n">
        <v>0.5702741323695395</v>
      </c>
      <c r="O129" s="35" t="n">
        <v>0.0595647193585338</v>
      </c>
      <c r="P129" s="35" t="n">
        <v>-0.1529304029304029</v>
      </c>
      <c r="Q129" s="35" t="n">
        <v>0.04284103720405863</v>
      </c>
      <c r="R129" s="35" t="n">
        <v>0.05545413053400283</v>
      </c>
      <c r="S129" s="35" t="n">
        <v>0.004834066590625241</v>
      </c>
      <c r="T129" s="35" t="n">
        <v>-0.09148203016934442</v>
      </c>
      <c r="U129" s="30" t="n">
        <v>13720</v>
      </c>
      <c r="V129" s="30" t="n">
        <v>7330</v>
      </c>
      <c r="W129" s="35" t="n">
        <v>-0.325801749271137</v>
      </c>
      <c r="X129" s="35" t="n">
        <v>0.2619372442019099</v>
      </c>
      <c r="Y129" s="30" t="n">
        <v>33416778</v>
      </c>
      <c r="Z129" s="30" t="n">
        <v>309105196500</v>
      </c>
      <c r="AA129" s="30" t="n">
        <v>3248424250</v>
      </c>
      <c r="AB129" s="30" t="n">
        <v>1420625086</v>
      </c>
      <c r="AC129" s="35" t="n">
        <v>0.01050912209429646</v>
      </c>
      <c r="AD129" s="24" t="inlineStr">
        <is>
          <t>yfinance_download</t>
        </is>
      </c>
      <c r="AE129" s="24" t="inlineStr">
        <is>
          <t>059090.KQ</t>
        </is>
      </c>
    </row>
    <row r="130" ht="24" customHeight="1">
      <c r="A130" s="29" t="inlineStr">
        <is>
          <t>2023-12-14</t>
        </is>
      </c>
      <c r="B130" s="31" t="n">
        <v>9380</v>
      </c>
      <c r="C130" s="31" t="n">
        <v>9390</v>
      </c>
      <c r="D130" s="31" t="n">
        <v>8900</v>
      </c>
      <c r="E130" s="31" t="n">
        <v>9030</v>
      </c>
      <c r="F130" s="31" t="n">
        <v>9030</v>
      </c>
      <c r="G130" s="31" t="n">
        <v>222690</v>
      </c>
      <c r="H130" s="36" t="n">
        <v>-0.02378378378378376</v>
      </c>
      <c r="I130" s="36" t="n">
        <v>-0.4248407643312102</v>
      </c>
      <c r="J130" s="31" t="n">
        <v>8771.5</v>
      </c>
      <c r="K130" s="31" t="n">
        <v>9163.5</v>
      </c>
      <c r="L130" s="31" t="n">
        <v>10185</v>
      </c>
      <c r="M130" s="36" t="n">
        <v>0.4099310832116748</v>
      </c>
      <c r="N130" s="36" t="n">
        <v>0.5580852432811103</v>
      </c>
      <c r="O130" s="36" t="n">
        <v>0.01689189189189189</v>
      </c>
      <c r="P130" s="36" t="n">
        <v>-0.2181818181818181</v>
      </c>
      <c r="Q130" s="36" t="n">
        <v>0.05000000000000004</v>
      </c>
      <c r="R130" s="36" t="n">
        <v>0.02947044405175858</v>
      </c>
      <c r="S130" s="36" t="n">
        <v>-0.01456866917662469</v>
      </c>
      <c r="T130" s="36" t="n">
        <v>-0.1134020618556701</v>
      </c>
      <c r="U130" s="31" t="n">
        <v>13720</v>
      </c>
      <c r="V130" s="31" t="n">
        <v>7330</v>
      </c>
      <c r="W130" s="36" t="n">
        <v>-0.3418367346938775</v>
      </c>
      <c r="X130" s="36" t="n">
        <v>0.2319236016371078</v>
      </c>
      <c r="Y130" s="31" t="n">
        <v>33416778</v>
      </c>
      <c r="Z130" s="31" t="n">
        <v>301753505340</v>
      </c>
      <c r="AA130" s="31" t="n">
        <v>2010890700</v>
      </c>
      <c r="AB130" s="31" t="n">
        <v>1461421429</v>
      </c>
      <c r="AC130" s="36" t="n">
        <v>0.006664017697936049</v>
      </c>
      <c r="AD130" s="29" t="inlineStr">
        <is>
          <t>yfinance_download</t>
        </is>
      </c>
      <c r="AE130" s="29" t="inlineStr">
        <is>
          <t>059090.KQ</t>
        </is>
      </c>
    </row>
    <row r="131" ht="24" customHeight="1">
      <c r="A131" s="24" t="inlineStr">
        <is>
          <t>2023-12-15</t>
        </is>
      </c>
      <c r="B131" s="30" t="n">
        <v>9100</v>
      </c>
      <c r="C131" s="30" t="n">
        <v>9180</v>
      </c>
      <c r="D131" s="30" t="n">
        <v>8720</v>
      </c>
      <c r="E131" s="30" t="n">
        <v>8800</v>
      </c>
      <c r="F131" s="30" t="n">
        <v>8800</v>
      </c>
      <c r="G131" s="30" t="n">
        <v>190903</v>
      </c>
      <c r="H131" s="35" t="n">
        <v>-0.0254706533776301</v>
      </c>
      <c r="I131" s="35" t="n">
        <v>-0.4394904458598726</v>
      </c>
      <c r="J131" s="30" t="n">
        <v>8772.5</v>
      </c>
      <c r="K131" s="30" t="n">
        <v>9103.5</v>
      </c>
      <c r="L131" s="30" t="n">
        <v>10188.66666666667</v>
      </c>
      <c r="M131" s="35" t="n">
        <v>0.4186469812926408</v>
      </c>
      <c r="N131" s="35" t="n">
        <v>0.5361431646349891</v>
      </c>
      <c r="O131" s="35" t="n">
        <v>0.002277904328018332</v>
      </c>
      <c r="P131" s="35" t="n">
        <v>-0.2903225806451613</v>
      </c>
      <c r="Q131" s="35" t="n">
        <v>0.05263157894736836</v>
      </c>
      <c r="R131" s="35" t="n">
        <v>0.003134796238244419</v>
      </c>
      <c r="S131" s="35" t="n">
        <v>-0.03333882572636893</v>
      </c>
      <c r="T131" s="35" t="n">
        <v>-0.136295229994111</v>
      </c>
      <c r="U131" s="30" t="n">
        <v>13720</v>
      </c>
      <c r="V131" s="30" t="n">
        <v>7330</v>
      </c>
      <c r="W131" s="35" t="n">
        <v>-0.358600583090379</v>
      </c>
      <c r="X131" s="35" t="n">
        <v>0.2005457025920874</v>
      </c>
      <c r="Y131" s="30" t="n">
        <v>33416778</v>
      </c>
      <c r="Z131" s="30" t="n">
        <v>294067646400</v>
      </c>
      <c r="AA131" s="30" t="n">
        <v>1679946400</v>
      </c>
      <c r="AB131" s="30" t="n">
        <v>1490858512</v>
      </c>
      <c r="AC131" s="35" t="n">
        <v>0.005712788946917623</v>
      </c>
      <c r="AD131" s="24" t="inlineStr">
        <is>
          <t>yfinance_download</t>
        </is>
      </c>
      <c r="AE131" s="24" t="inlineStr">
        <is>
          <t>059090.KQ</t>
        </is>
      </c>
    </row>
    <row r="132" ht="24" customHeight="1">
      <c r="A132" s="29" t="inlineStr">
        <is>
          <t>2023-12-18</t>
        </is>
      </c>
      <c r="B132" s="31" t="n">
        <v>8900</v>
      </c>
      <c r="C132" s="31" t="n">
        <v>8990</v>
      </c>
      <c r="D132" s="31" t="n">
        <v>8800</v>
      </c>
      <c r="E132" s="31" t="n">
        <v>8920</v>
      </c>
      <c r="F132" s="31" t="n">
        <v>8920</v>
      </c>
      <c r="G132" s="31" t="n">
        <v>89629</v>
      </c>
      <c r="H132" s="36" t="n">
        <v>0.01363636363636367</v>
      </c>
      <c r="I132" s="36" t="n">
        <v>-0.4318471337579618</v>
      </c>
      <c r="J132" s="31" t="n">
        <v>8772</v>
      </c>
      <c r="K132" s="31" t="n">
        <v>9063.833333333334</v>
      </c>
      <c r="L132" s="31" t="n">
        <v>10193.58333333333</v>
      </c>
      <c r="M132" s="36" t="n">
        <v>0.4170044019000009</v>
      </c>
      <c r="N132" s="36" t="n">
        <v>0.5083080585894211</v>
      </c>
      <c r="O132" s="36" t="n">
        <v>-0.001119820828667462</v>
      </c>
      <c r="P132" s="36" t="n">
        <v>-0.2106194690265487</v>
      </c>
      <c r="Q132" s="36" t="n">
        <v>0.07082833133253308</v>
      </c>
      <c r="R132" s="36" t="n">
        <v>0.01687186502507987</v>
      </c>
      <c r="S132" s="36" t="n">
        <v>-0.01586892962874431</v>
      </c>
      <c r="T132" s="36" t="n">
        <v>-0.1249397088037409</v>
      </c>
      <c r="U132" s="31" t="n">
        <v>13720</v>
      </c>
      <c r="V132" s="31" t="n">
        <v>7330</v>
      </c>
      <c r="W132" s="36" t="n">
        <v>-0.3498542274052479</v>
      </c>
      <c r="X132" s="36" t="n">
        <v>0.2169167803547067</v>
      </c>
      <c r="Y132" s="31" t="n">
        <v>33416778</v>
      </c>
      <c r="Z132" s="31" t="n">
        <v>298077659760</v>
      </c>
      <c r="AA132" s="31" t="n">
        <v>799490680</v>
      </c>
      <c r="AB132" s="31" t="n">
        <v>1467955576.5</v>
      </c>
      <c r="AC132" s="36" t="n">
        <v>0.002682155652468949</v>
      </c>
      <c r="AD132" s="29" t="inlineStr">
        <is>
          <t>yfinance_download</t>
        </is>
      </c>
      <c r="AE132" s="29" t="inlineStr">
        <is>
          <t>059090.KQ</t>
        </is>
      </c>
    </row>
    <row r="133" ht="24" customHeight="1">
      <c r="A133" s="24" t="inlineStr">
        <is>
          <t>2023-12-19</t>
        </is>
      </c>
      <c r="B133" s="30" t="n">
        <v>8800</v>
      </c>
      <c r="C133" s="30" t="n">
        <v>8970</v>
      </c>
      <c r="D133" s="30" t="n">
        <v>8750</v>
      </c>
      <c r="E133" s="30" t="n">
        <v>8860</v>
      </c>
      <c r="F133" s="30" t="n">
        <v>8860</v>
      </c>
      <c r="G133" s="30" t="n">
        <v>108827</v>
      </c>
      <c r="H133" s="35" t="n">
        <v>-0.006726457399103158</v>
      </c>
      <c r="I133" s="35" t="n">
        <v>-0.4356687898089172</v>
      </c>
      <c r="J133" s="30" t="n">
        <v>8763.5</v>
      </c>
      <c r="K133" s="30" t="n">
        <v>9027.833333333334</v>
      </c>
      <c r="L133" s="30" t="n">
        <v>10197.75</v>
      </c>
      <c r="M133" s="35" t="n">
        <v>0.4156237744149767</v>
      </c>
      <c r="N133" s="35" t="n">
        <v>0.5064126103963883</v>
      </c>
      <c r="O133" s="35" t="n">
        <v>-0.01882613510520492</v>
      </c>
      <c r="P133" s="35" t="n">
        <v>-0.1960072595281307</v>
      </c>
      <c r="Q133" s="35" t="n">
        <v>0.05980861244019131</v>
      </c>
      <c r="R133" s="35" t="n">
        <v>0.0110115821304273</v>
      </c>
      <c r="S133" s="35" t="n">
        <v>-0.01859065482673961</v>
      </c>
      <c r="T133" s="35" t="n">
        <v>-0.131180897747052</v>
      </c>
      <c r="U133" s="30" t="n">
        <v>13720</v>
      </c>
      <c r="V133" s="30" t="n">
        <v>7330</v>
      </c>
      <c r="W133" s="35" t="n">
        <v>-0.3542274052478134</v>
      </c>
      <c r="X133" s="35" t="n">
        <v>0.2087312414733971</v>
      </c>
      <c r="Y133" s="30" t="n">
        <v>33416778</v>
      </c>
      <c r="Z133" s="30" t="n">
        <v>296072653080</v>
      </c>
      <c r="AA133" s="30" t="n">
        <v>964207220</v>
      </c>
      <c r="AB133" s="30" t="n">
        <v>1465386635.5</v>
      </c>
      <c r="AC133" s="35" t="n">
        <v>0.003256657479066354</v>
      </c>
      <c r="AD133" s="24" t="inlineStr">
        <is>
          <t>yfinance_download</t>
        </is>
      </c>
      <c r="AE133" s="24" t="inlineStr">
        <is>
          <t>059090.KQ</t>
        </is>
      </c>
    </row>
    <row r="134" ht="24" customHeight="1">
      <c r="A134" s="29" t="inlineStr">
        <is>
          <t>2023-12-20</t>
        </is>
      </c>
      <c r="B134" s="31" t="n">
        <v>9000</v>
      </c>
      <c r="C134" s="31" t="n">
        <v>9050</v>
      </c>
      <c r="D134" s="31" t="n">
        <v>8790</v>
      </c>
      <c r="E134" s="31" t="n">
        <v>8920</v>
      </c>
      <c r="F134" s="31" t="n">
        <v>8920</v>
      </c>
      <c r="G134" s="31" t="n">
        <v>97211</v>
      </c>
      <c r="H134" s="36" t="n">
        <v>0.006772009029345272</v>
      </c>
      <c r="I134" s="36" t="n">
        <v>-0.4318471337579618</v>
      </c>
      <c r="J134" s="31" t="n">
        <v>8766</v>
      </c>
      <c r="K134" s="31" t="n">
        <v>8996</v>
      </c>
      <c r="L134" s="31" t="n">
        <v>10199.08333333333</v>
      </c>
      <c r="M134" s="36" t="n">
        <v>0.4113378615391489</v>
      </c>
      <c r="N134" s="36" t="n">
        <v>0.5059455660000429</v>
      </c>
      <c r="O134" s="36" t="n">
        <v>0.005636978579481422</v>
      </c>
      <c r="P134" s="36" t="n">
        <v>-0.1763619575253924</v>
      </c>
      <c r="Q134" s="36" t="n">
        <v>0.0182648401826484</v>
      </c>
      <c r="R134" s="36" t="n">
        <v>0.01756787588409758</v>
      </c>
      <c r="S134" s="36" t="n">
        <v>-0.008448199199644235</v>
      </c>
      <c r="T134" s="36" t="n">
        <v>-0.1254115974474831</v>
      </c>
      <c r="U134" s="31" t="n">
        <v>13720</v>
      </c>
      <c r="V134" s="31" t="n">
        <v>7330</v>
      </c>
      <c r="W134" s="36" t="n">
        <v>-0.3498542274052479</v>
      </c>
      <c r="X134" s="36" t="n">
        <v>0.2169167803547067</v>
      </c>
      <c r="Y134" s="31" t="n">
        <v>33416778</v>
      </c>
      <c r="Z134" s="31" t="n">
        <v>298077659760</v>
      </c>
      <c r="AA134" s="31" t="n">
        <v>867122120</v>
      </c>
      <c r="AB134" s="31" t="n">
        <v>1434814396</v>
      </c>
      <c r="AC134" s="36" t="n">
        <v>0.002909047664619252</v>
      </c>
      <c r="AD134" s="29" t="inlineStr">
        <is>
          <t>yfinance_download</t>
        </is>
      </c>
      <c r="AE134" s="29" t="inlineStr">
        <is>
          <t>059090.KQ</t>
        </is>
      </c>
    </row>
    <row r="135" ht="24" customHeight="1">
      <c r="A135" s="24" t="inlineStr">
        <is>
          <t>2023-12-21</t>
        </is>
      </c>
      <c r="B135" s="30" t="n">
        <v>8840</v>
      </c>
      <c r="C135" s="30" t="n">
        <v>9000</v>
      </c>
      <c r="D135" s="30" t="n">
        <v>8750</v>
      </c>
      <c r="E135" s="30" t="n">
        <v>8970</v>
      </c>
      <c r="F135" s="30" t="n">
        <v>8970</v>
      </c>
      <c r="G135" s="30" t="n">
        <v>148825</v>
      </c>
      <c r="H135" s="35" t="n">
        <v>0.005605381165919354</v>
      </c>
      <c r="I135" s="35" t="n">
        <v>-0.4286624203821656</v>
      </c>
      <c r="J135" s="30" t="n">
        <v>8777</v>
      </c>
      <c r="K135" s="30" t="n">
        <v>8972.5</v>
      </c>
      <c r="L135" s="30" t="n">
        <v>10202.25</v>
      </c>
      <c r="M135" s="35" t="n">
        <v>0.4082198682919306</v>
      </c>
      <c r="N135" s="35" t="n">
        <v>0.4996820618338191</v>
      </c>
      <c r="O135" s="35" t="n">
        <v>0.02514285714285713</v>
      </c>
      <c r="P135" s="35" t="n">
        <v>-0.1358381502890174</v>
      </c>
      <c r="Q135" s="35" t="n">
        <v>0.0442374854481955</v>
      </c>
      <c r="R135" s="35" t="n">
        <v>0.02198929019027007</v>
      </c>
      <c r="S135" s="35" t="n">
        <v>-0.0002786291446085221</v>
      </c>
      <c r="T135" s="35" t="n">
        <v>-0.120782180401382</v>
      </c>
      <c r="U135" s="30" t="n">
        <v>13720</v>
      </c>
      <c r="V135" s="30" t="n">
        <v>7330</v>
      </c>
      <c r="W135" s="35" t="n">
        <v>-0.3462099125364432</v>
      </c>
      <c r="X135" s="35" t="n">
        <v>0.2237380627557981</v>
      </c>
      <c r="Y135" s="30" t="n">
        <v>33416778</v>
      </c>
      <c r="Z135" s="30" t="n">
        <v>299748498660</v>
      </c>
      <c r="AA135" s="30" t="n">
        <v>1334960250</v>
      </c>
      <c r="AB135" s="30" t="n">
        <v>1439902908.5</v>
      </c>
      <c r="AC135" s="35" t="n">
        <v>0.004453601122166835</v>
      </c>
      <c r="AD135" s="24" t="inlineStr">
        <is>
          <t>yfinance_download</t>
        </is>
      </c>
      <c r="AE135" s="24" t="inlineStr">
        <is>
          <t>059090.KQ</t>
        </is>
      </c>
    </row>
    <row r="136" ht="24" customHeight="1">
      <c r="A136" s="29" t="inlineStr">
        <is>
          <t>2023-12-22</t>
        </is>
      </c>
      <c r="B136" s="31" t="n">
        <v>8970</v>
      </c>
      <c r="C136" s="31" t="n">
        <v>9260</v>
      </c>
      <c r="D136" s="31" t="n">
        <v>8890</v>
      </c>
      <c r="E136" s="31" t="n">
        <v>8890</v>
      </c>
      <c r="F136" s="31" t="n">
        <v>8890</v>
      </c>
      <c r="G136" s="31" t="n">
        <v>261957</v>
      </c>
      <c r="H136" s="36" t="n">
        <v>-0.008918617614269819</v>
      </c>
      <c r="I136" s="36" t="n">
        <v>-0.4337579617834395</v>
      </c>
      <c r="J136" s="31" t="n">
        <v>8781.5</v>
      </c>
      <c r="K136" s="31" t="n">
        <v>8947.333333333334</v>
      </c>
      <c r="L136" s="31" t="n">
        <v>10199.33333333333</v>
      </c>
      <c r="M136" s="36" t="n">
        <v>0.4095430512348969</v>
      </c>
      <c r="N136" s="36" t="n">
        <v>0.4998175637228647</v>
      </c>
      <c r="O136" s="36" t="n">
        <v>0.01022727272727275</v>
      </c>
      <c r="P136" s="36" t="n">
        <v>-0.1451923076923077</v>
      </c>
      <c r="Q136" s="36" t="n">
        <v>-0.03787878787878785</v>
      </c>
      <c r="R136" s="36" t="n">
        <v>0.01235552012754093</v>
      </c>
      <c r="S136" s="36" t="n">
        <v>-0.006407868266150141</v>
      </c>
      <c r="T136" s="36" t="n">
        <v>-0.128374403555788</v>
      </c>
      <c r="U136" s="31" t="n">
        <v>13720</v>
      </c>
      <c r="V136" s="31" t="n">
        <v>7330</v>
      </c>
      <c r="W136" s="36" t="n">
        <v>-0.3520408163265306</v>
      </c>
      <c r="X136" s="36" t="n">
        <v>0.2128240109140518</v>
      </c>
      <c r="Y136" s="31" t="n">
        <v>33416778</v>
      </c>
      <c r="Z136" s="31" t="n">
        <v>297075156420</v>
      </c>
      <c r="AA136" s="31" t="n">
        <v>2328797730</v>
      </c>
      <c r="AB136" s="31" t="n">
        <v>1504296955</v>
      </c>
      <c r="AC136" s="36" t="n">
        <v>0.007839086102196927</v>
      </c>
      <c r="AD136" s="29" t="inlineStr">
        <is>
          <t>yfinance_download</t>
        </is>
      </c>
      <c r="AE136" s="29" t="inlineStr">
        <is>
          <t>059090.KQ</t>
        </is>
      </c>
    </row>
    <row r="137" ht="24" customHeight="1">
      <c r="A137" s="24" t="inlineStr">
        <is>
          <t>2023-12-26</t>
        </is>
      </c>
      <c r="B137" s="30" t="n">
        <v>9000</v>
      </c>
      <c r="C137" s="30" t="n">
        <v>9000</v>
      </c>
      <c r="D137" s="30" t="n">
        <v>8740</v>
      </c>
      <c r="E137" s="30" t="n">
        <v>8750</v>
      </c>
      <c r="F137" s="30" t="n">
        <v>8750</v>
      </c>
      <c r="G137" s="30" t="n">
        <v>121713</v>
      </c>
      <c r="H137" s="35" t="n">
        <v>-0.01574803149606296</v>
      </c>
      <c r="I137" s="35" t="n">
        <v>-0.4426751592356688</v>
      </c>
      <c r="J137" s="30" t="n">
        <v>8776.5</v>
      </c>
      <c r="K137" s="30" t="n">
        <v>8924.5</v>
      </c>
      <c r="L137" s="30" t="n">
        <v>10186.25</v>
      </c>
      <c r="M137" s="35" t="n">
        <v>0.4132166552776686</v>
      </c>
      <c r="N137" s="35" t="n">
        <v>0.4979706692151769</v>
      </c>
      <c r="O137" s="35" t="n">
        <v>-0.01129943502824859</v>
      </c>
      <c r="P137" s="35" t="n">
        <v>-0.1353754940711462</v>
      </c>
      <c r="Q137" s="35" t="n">
        <v>-0.1521317829457365</v>
      </c>
      <c r="R137" s="35" t="n">
        <v>-0.003019426878596243</v>
      </c>
      <c r="S137" s="35" t="n">
        <v>-0.01955291612975518</v>
      </c>
      <c r="T137" s="35" t="n">
        <v>-0.1409988955700086</v>
      </c>
      <c r="U137" s="30" t="n">
        <v>13720</v>
      </c>
      <c r="V137" s="30" t="n">
        <v>7330</v>
      </c>
      <c r="W137" s="35" t="n">
        <v>-0.3622448979591837</v>
      </c>
      <c r="X137" s="35" t="n">
        <v>0.193724420190996</v>
      </c>
      <c r="Y137" s="30" t="n">
        <v>33416778</v>
      </c>
      <c r="Z137" s="30" t="n">
        <v>292396807500</v>
      </c>
      <c r="AA137" s="30" t="n">
        <v>1064988750</v>
      </c>
      <c r="AB137" s="30" t="n">
        <v>1510026760</v>
      </c>
      <c r="AC137" s="35" t="n">
        <v>0.003642272154424942</v>
      </c>
      <c r="AD137" s="24" t="inlineStr">
        <is>
          <t>yfinance_download</t>
        </is>
      </c>
      <c r="AE137" s="24" t="inlineStr">
        <is>
          <t>059090.KQ</t>
        </is>
      </c>
    </row>
    <row r="138" ht="24" customHeight="1">
      <c r="A138" s="29" t="inlineStr">
        <is>
          <t>2023-12-27</t>
        </is>
      </c>
      <c r="B138" s="31" t="n">
        <v>8800</v>
      </c>
      <c r="C138" s="31" t="n">
        <v>9090</v>
      </c>
      <c r="D138" s="31" t="n">
        <v>8800</v>
      </c>
      <c r="E138" s="31" t="n">
        <v>9070</v>
      </c>
      <c r="F138" s="31" t="n">
        <v>9070</v>
      </c>
      <c r="G138" s="31" t="n">
        <v>138542</v>
      </c>
      <c r="H138" s="36" t="n">
        <v>0.03657142857142848</v>
      </c>
      <c r="I138" s="36" t="n">
        <v>-0.4222929936305733</v>
      </c>
      <c r="J138" s="31" t="n">
        <v>8789</v>
      </c>
      <c r="K138" s="31" t="n">
        <v>8909</v>
      </c>
      <c r="L138" s="31" t="n">
        <v>10176</v>
      </c>
      <c r="M138" s="36" t="n">
        <v>0.4330618932387597</v>
      </c>
      <c r="N138" s="36" t="n">
        <v>0.5037079385863034</v>
      </c>
      <c r="O138" s="36" t="n">
        <v>0.02834467120181405</v>
      </c>
      <c r="P138" s="36" t="n">
        <v>-0.09299999999999997</v>
      </c>
      <c r="Q138" s="36" t="n">
        <v>-0.1194174757281553</v>
      </c>
      <c r="R138" s="36" t="n">
        <v>0.03197178291045621</v>
      </c>
      <c r="S138" s="36" t="n">
        <v>0.01807161297564264</v>
      </c>
      <c r="T138" s="36" t="n">
        <v>-0.108687106918239</v>
      </c>
      <c r="U138" s="31" t="n">
        <v>13720</v>
      </c>
      <c r="V138" s="31" t="n">
        <v>7330</v>
      </c>
      <c r="W138" s="36" t="n">
        <v>-0.3389212827988338</v>
      </c>
      <c r="X138" s="36" t="n">
        <v>0.2373806275579808</v>
      </c>
      <c r="Y138" s="31" t="n">
        <v>33416778</v>
      </c>
      <c r="Z138" s="31" t="n">
        <v>303090176460</v>
      </c>
      <c r="AA138" s="31" t="n">
        <v>1256575940</v>
      </c>
      <c r="AB138" s="31" t="n">
        <v>1531592510</v>
      </c>
      <c r="AC138" s="36" t="n">
        <v>0.004145881449133127</v>
      </c>
      <c r="AD138" s="29" t="inlineStr">
        <is>
          <t>yfinance_download</t>
        </is>
      </c>
      <c r="AE138" s="29" t="inlineStr">
        <is>
          <t>059090.KQ</t>
        </is>
      </c>
    </row>
    <row r="139" ht="24" customHeight="1">
      <c r="A139" s="24" t="inlineStr">
        <is>
          <t>2023-12-28</t>
        </is>
      </c>
      <c r="B139" s="30" t="n">
        <v>9070</v>
      </c>
      <c r="C139" s="30" t="n">
        <v>9220</v>
      </c>
      <c r="D139" s="30" t="n">
        <v>8900</v>
      </c>
      <c r="E139" s="30" t="n">
        <v>9080</v>
      </c>
      <c r="F139" s="30" t="n">
        <v>9080</v>
      </c>
      <c r="G139" s="30" t="n">
        <v>139603</v>
      </c>
      <c r="H139" s="35" t="n">
        <v>0.001102535832414597</v>
      </c>
      <c r="I139" s="35" t="n">
        <v>-0.421656050955414</v>
      </c>
      <c r="J139" s="30" t="n">
        <v>8807.5</v>
      </c>
      <c r="K139" s="30" t="n">
        <v>8889.333333333334</v>
      </c>
      <c r="L139" s="30" t="n">
        <v>10160.91666666667</v>
      </c>
      <c r="M139" s="35" t="n">
        <v>0.4298194708126995</v>
      </c>
      <c r="N139" s="35" t="n">
        <v>0.500554569170129</v>
      </c>
      <c r="O139" s="35" t="n">
        <v>0.04247990815154989</v>
      </c>
      <c r="P139" s="35" t="n">
        <v>-0.115009746588694</v>
      </c>
      <c r="Q139" s="35" t="n">
        <v>-0.1662075298438935</v>
      </c>
      <c r="R139" s="35" t="n">
        <v>0.03093954016463241</v>
      </c>
      <c r="S139" s="35" t="n">
        <v>0.02144892755362227</v>
      </c>
      <c r="T139" s="35" t="n">
        <v>-0.1063798377771034</v>
      </c>
      <c r="U139" s="30" t="n">
        <v>13720</v>
      </c>
      <c r="V139" s="30" t="n">
        <v>7330</v>
      </c>
      <c r="W139" s="35" t="n">
        <v>-0.3381924198250729</v>
      </c>
      <c r="X139" s="35" t="n">
        <v>0.2387448840381992</v>
      </c>
      <c r="Y139" s="30" t="n">
        <v>33416778</v>
      </c>
      <c r="Z139" s="30" t="n">
        <v>303424344240</v>
      </c>
      <c r="AA139" s="30" t="n">
        <v>1267595240</v>
      </c>
      <c r="AB139" s="30" t="n">
        <v>1552346838.5</v>
      </c>
      <c r="AC139" s="35" t="n">
        <v>0.004177631966792251</v>
      </c>
      <c r="AD139" s="24" t="inlineStr">
        <is>
          <t>yfinance_download</t>
        </is>
      </c>
      <c r="AE139" s="24" t="inlineStr">
        <is>
          <t>059090.KQ</t>
        </is>
      </c>
    </row>
    <row r="140" ht="24" customHeight="1">
      <c r="A140" s="29" t="inlineStr">
        <is>
          <t>2024-01-02</t>
        </is>
      </c>
      <c r="B140" s="31" t="n">
        <v>9000</v>
      </c>
      <c r="C140" s="31" t="n">
        <v>9580</v>
      </c>
      <c r="D140" s="31" t="n">
        <v>8970</v>
      </c>
      <c r="E140" s="31" t="n">
        <v>9490</v>
      </c>
      <c r="F140" s="31" t="n">
        <v>9490</v>
      </c>
      <c r="G140" s="31" t="n">
        <v>373362</v>
      </c>
      <c r="H140" s="36" t="n">
        <v>0.04515418502202651</v>
      </c>
      <c r="I140" s="36" t="n">
        <v>-0.3955414012738854</v>
      </c>
      <c r="J140" s="31" t="n">
        <v>8825.5</v>
      </c>
      <c r="K140" s="31" t="n">
        <v>8887.5</v>
      </c>
      <c r="L140" s="31" t="n">
        <v>10145.33333333333</v>
      </c>
      <c r="M140" s="36" t="n">
        <v>0.4256035759750436</v>
      </c>
      <c r="N140" s="36" t="n">
        <v>0.4921196328965251</v>
      </c>
      <c r="O140" s="36" t="n">
        <v>0.03943044906900339</v>
      </c>
      <c r="P140" s="36" t="n">
        <v>-0.01145833333333335</v>
      </c>
      <c r="Q140" s="36" t="n">
        <v>-0.164612676056338</v>
      </c>
      <c r="R140" s="36" t="n">
        <v>0.07529318452212341</v>
      </c>
      <c r="S140" s="36" t="n">
        <v>0.06779184247538672</v>
      </c>
      <c r="T140" s="36" t="n">
        <v>-0.06459455907477996</v>
      </c>
      <c r="U140" s="31" t="n">
        <v>13720</v>
      </c>
      <c r="V140" s="31" t="n">
        <v>7330</v>
      </c>
      <c r="W140" s="36" t="n">
        <v>-0.3083090379008746</v>
      </c>
      <c r="X140" s="36" t="n">
        <v>0.2946793997271486</v>
      </c>
      <c r="Y140" s="31" t="n">
        <v>33416778</v>
      </c>
      <c r="Z140" s="31" t="n">
        <v>317125223220</v>
      </c>
      <c r="AA140" s="31" t="n">
        <v>3543205380</v>
      </c>
      <c r="AB140" s="31" t="n">
        <v>1532579398.5</v>
      </c>
      <c r="AC140" s="36" t="n">
        <v>0.01117289045640486</v>
      </c>
      <c r="AD140" s="29" t="inlineStr">
        <is>
          <t>yfinance_download</t>
        </is>
      </c>
      <c r="AE140" s="29" t="inlineStr">
        <is>
          <t>059090.KQ</t>
        </is>
      </c>
    </row>
    <row r="141" ht="24" customHeight="1">
      <c r="A141" s="24" t="inlineStr">
        <is>
          <t>2024-01-03</t>
        </is>
      </c>
      <c r="B141" s="30" t="n">
        <v>9400</v>
      </c>
      <c r="C141" s="30" t="n">
        <v>9400</v>
      </c>
      <c r="D141" s="30" t="n">
        <v>9150</v>
      </c>
      <c r="E141" s="30" t="n">
        <v>9300</v>
      </c>
      <c r="F141" s="30" t="n">
        <v>9300</v>
      </c>
      <c r="G141" s="30" t="n">
        <v>187239</v>
      </c>
      <c r="H141" s="35" t="n">
        <v>-0.02002107481559534</v>
      </c>
      <c r="I141" s="35" t="n">
        <v>-0.4076433121019108</v>
      </c>
      <c r="J141" s="30" t="n">
        <v>8846.5</v>
      </c>
      <c r="K141" s="30" t="n">
        <v>8884</v>
      </c>
      <c r="L141" s="30" t="n">
        <v>10127.08333333333</v>
      </c>
      <c r="M141" s="35" t="n">
        <v>0.4195602356385316</v>
      </c>
      <c r="N141" s="35" t="n">
        <v>0.4934933537572083</v>
      </c>
      <c r="O141" s="35" t="n">
        <v>0.04729729729729737</v>
      </c>
      <c r="P141" s="35" t="n">
        <v>-0.02208201892744477</v>
      </c>
      <c r="Q141" s="35" t="n">
        <v>-0.1906005221932114</v>
      </c>
      <c r="R141" s="35" t="n">
        <v>0.05126321143955237</v>
      </c>
      <c r="S141" s="35" t="n">
        <v>0.04682575416479073</v>
      </c>
      <c r="T141" s="35" t="n">
        <v>-0.08167043818144415</v>
      </c>
      <c r="U141" s="30" t="n">
        <v>13720</v>
      </c>
      <c r="V141" s="30" t="n">
        <v>7330</v>
      </c>
      <c r="W141" s="35" t="n">
        <v>-0.3221574344023324</v>
      </c>
      <c r="X141" s="35" t="n">
        <v>0.2687585266030013</v>
      </c>
      <c r="Y141" s="30" t="n">
        <v>33416778</v>
      </c>
      <c r="Z141" s="30" t="n">
        <v>310776035400</v>
      </c>
      <c r="AA141" s="30" t="n">
        <v>1741322700</v>
      </c>
      <c r="AB141" s="30" t="n">
        <v>1557592093.5</v>
      </c>
      <c r="AC141" s="35" t="n">
        <v>0.00560314342693362</v>
      </c>
      <c r="AD141" s="24" t="inlineStr">
        <is>
          <t>yfinance_download</t>
        </is>
      </c>
      <c r="AE141" s="24" t="inlineStr">
        <is>
          <t>059090.KQ</t>
        </is>
      </c>
    </row>
    <row r="142" ht="24" customHeight="1">
      <c r="A142" s="29" t="inlineStr">
        <is>
          <t>2024-01-04</t>
        </is>
      </c>
      <c r="B142" s="31" t="n">
        <v>9240</v>
      </c>
      <c r="C142" s="31" t="n">
        <v>9480</v>
      </c>
      <c r="D142" s="31" t="n">
        <v>9150</v>
      </c>
      <c r="E142" s="31" t="n">
        <v>9210</v>
      </c>
      <c r="F142" s="31" t="n">
        <v>9210</v>
      </c>
      <c r="G142" s="31" t="n">
        <v>140936</v>
      </c>
      <c r="H142" s="36" t="n">
        <v>-0.009677419354838679</v>
      </c>
      <c r="I142" s="36" t="n">
        <v>-0.413375796178344</v>
      </c>
      <c r="J142" s="31" t="n">
        <v>8873</v>
      </c>
      <c r="K142" s="31" t="n">
        <v>8872.833333333334</v>
      </c>
      <c r="L142" s="31" t="n">
        <v>10111.66666666667</v>
      </c>
      <c r="M142" s="36" t="n">
        <v>0.4117476700496414</v>
      </c>
      <c r="N142" s="36" t="n">
        <v>0.4871800099881177</v>
      </c>
      <c r="O142" s="36" t="n">
        <v>0.06105990783410142</v>
      </c>
      <c r="P142" s="36" t="n">
        <v>-0.06781376518218618</v>
      </c>
      <c r="Q142" s="36" t="n">
        <v>-0.1672694394213382</v>
      </c>
      <c r="R142" s="36" t="n">
        <v>0.03798038994703035</v>
      </c>
      <c r="S142" s="36" t="n">
        <v>0.03799988729642911</v>
      </c>
      <c r="T142" s="36" t="n">
        <v>-0.08917092467446841</v>
      </c>
      <c r="U142" s="31" t="n">
        <v>13720</v>
      </c>
      <c r="V142" s="31" t="n">
        <v>7330</v>
      </c>
      <c r="W142" s="36" t="n">
        <v>-0.3287172011661808</v>
      </c>
      <c r="X142" s="36" t="n">
        <v>0.2564802182810368</v>
      </c>
      <c r="Y142" s="31" t="n">
        <v>33416778</v>
      </c>
      <c r="Z142" s="31" t="n">
        <v>307768525380</v>
      </c>
      <c r="AA142" s="31" t="n">
        <v>1298020560</v>
      </c>
      <c r="AB142" s="31" t="n">
        <v>1551007679.5</v>
      </c>
      <c r="AC142" s="36" t="n">
        <v>0.004217522108205645</v>
      </c>
      <c r="AD142" s="29" t="inlineStr">
        <is>
          <t>yfinance_download</t>
        </is>
      </c>
      <c r="AE142" s="29" t="inlineStr">
        <is>
          <t>059090.KQ</t>
        </is>
      </c>
    </row>
    <row r="143" ht="24" customHeight="1">
      <c r="A143" s="24" t="inlineStr">
        <is>
          <t>2024-01-05</t>
        </is>
      </c>
      <c r="B143" s="30" t="n">
        <v>9350</v>
      </c>
      <c r="C143" s="30" t="n">
        <v>9360</v>
      </c>
      <c r="D143" s="30" t="n">
        <v>9150</v>
      </c>
      <c r="E143" s="30" t="n">
        <v>9230</v>
      </c>
      <c r="F143" s="30" t="n">
        <v>9230</v>
      </c>
      <c r="G143" s="30" t="n">
        <v>98784</v>
      </c>
      <c r="H143" s="35" t="n">
        <v>0.00217155266015201</v>
      </c>
      <c r="I143" s="35" t="n">
        <v>-0.4121019108280255</v>
      </c>
      <c r="J143" s="30" t="n">
        <v>8915</v>
      </c>
      <c r="K143" s="30" t="n">
        <v>8870</v>
      </c>
      <c r="L143" s="30" t="n">
        <v>10100.75</v>
      </c>
      <c r="M143" s="35" t="n">
        <v>0.3884026065557261</v>
      </c>
      <c r="N143" s="35" t="n">
        <v>0.4768720776514902</v>
      </c>
      <c r="O143" s="35" t="n">
        <v>0.1001191895113229</v>
      </c>
      <c r="P143" s="35" t="n">
        <v>-0.01808510638297878</v>
      </c>
      <c r="Q143" s="35" t="n">
        <v>-0.1242884250474383</v>
      </c>
      <c r="R143" s="35" t="n">
        <v>0.03533370723499729</v>
      </c>
      <c r="S143" s="35" t="n">
        <v>0.04058624577226611</v>
      </c>
      <c r="T143" s="35" t="n">
        <v>-0.08620646981659774</v>
      </c>
      <c r="U143" s="30" t="n">
        <v>13720</v>
      </c>
      <c r="V143" s="30" t="n">
        <v>7330</v>
      </c>
      <c r="W143" s="35" t="n">
        <v>-0.3272594752186589</v>
      </c>
      <c r="X143" s="35" t="n">
        <v>0.2592087312414735</v>
      </c>
      <c r="Y143" s="30" t="n">
        <v>33416778</v>
      </c>
      <c r="Z143" s="30" t="n">
        <v>308436860940</v>
      </c>
      <c r="AA143" s="30" t="n">
        <v>911776320</v>
      </c>
      <c r="AB143" s="30" t="n">
        <v>1530205586.5</v>
      </c>
      <c r="AC143" s="35" t="n">
        <v>0.002956119826992297</v>
      </c>
      <c r="AD143" s="24" t="inlineStr">
        <is>
          <t>yfinance_download</t>
        </is>
      </c>
      <c r="AE143" s="24" t="inlineStr">
        <is>
          <t>059090.KQ</t>
        </is>
      </c>
    </row>
    <row r="144" ht="24" customHeight="1">
      <c r="A144" s="29" t="inlineStr">
        <is>
          <t>2024-01-08</t>
        </is>
      </c>
      <c r="B144" s="31" t="n">
        <v>9160</v>
      </c>
      <c r="C144" s="31" t="n">
        <v>9390</v>
      </c>
      <c r="D144" s="31" t="n">
        <v>9160</v>
      </c>
      <c r="E144" s="31" t="n">
        <v>9160</v>
      </c>
      <c r="F144" s="31" t="n">
        <v>9160</v>
      </c>
      <c r="G144" s="31" t="n">
        <v>68608</v>
      </c>
      <c r="H144" s="36" t="n">
        <v>-0.007583965330444253</v>
      </c>
      <c r="I144" s="36" t="n">
        <v>-0.4165605095541401</v>
      </c>
      <c r="J144" s="31" t="n">
        <v>8949</v>
      </c>
      <c r="K144" s="31" t="n">
        <v>8858.333333333334</v>
      </c>
      <c r="L144" s="31" t="n">
        <v>10091.75</v>
      </c>
      <c r="M144" s="36" t="n">
        <v>0.3902936873843868</v>
      </c>
      <c r="N144" s="36" t="n">
        <v>0.4661149813832192</v>
      </c>
      <c r="O144" s="36" t="n">
        <v>0.08018867924528306</v>
      </c>
      <c r="P144" s="36" t="n">
        <v>-0.07099391480730222</v>
      </c>
      <c r="Q144" s="36" t="n">
        <v>-0.10546875</v>
      </c>
      <c r="R144" s="36" t="n">
        <v>0.02357805341378927</v>
      </c>
      <c r="S144" s="36" t="n">
        <v>0.0340545625587958</v>
      </c>
      <c r="T144" s="36" t="n">
        <v>-0.0923278915946194</v>
      </c>
      <c r="U144" s="31" t="n">
        <v>13720</v>
      </c>
      <c r="V144" s="31" t="n">
        <v>7330</v>
      </c>
      <c r="W144" s="36" t="n">
        <v>-0.3323615160349854</v>
      </c>
      <c r="X144" s="36" t="n">
        <v>0.2496589358799455</v>
      </c>
      <c r="Y144" s="31" t="n">
        <v>33416778</v>
      </c>
      <c r="Z144" s="31" t="n">
        <v>306097686480</v>
      </c>
      <c r="AA144" s="31" t="n">
        <v>628449280</v>
      </c>
      <c r="AB144" s="31" t="n">
        <v>1516344002.5</v>
      </c>
      <c r="AC144" s="36" t="n">
        <v>0.002053100391665528</v>
      </c>
      <c r="AD144" s="29" t="inlineStr">
        <is>
          <t>yfinance_download</t>
        </is>
      </c>
      <c r="AE144" s="29" t="inlineStr">
        <is>
          <t>059090.KQ</t>
        </is>
      </c>
    </row>
    <row r="145" ht="24" customHeight="1">
      <c r="A145" s="24" t="inlineStr">
        <is>
          <t>2024-01-09</t>
        </is>
      </c>
      <c r="B145" s="30" t="n">
        <v>9340</v>
      </c>
      <c r="C145" s="30" t="n">
        <v>9450</v>
      </c>
      <c r="D145" s="30" t="n">
        <v>9120</v>
      </c>
      <c r="E145" s="30" t="n">
        <v>9140</v>
      </c>
      <c r="F145" s="30" t="n">
        <v>9140</v>
      </c>
      <c r="G145" s="30" t="n">
        <v>103152</v>
      </c>
      <c r="H145" s="35" t="n">
        <v>-0.002183406113537067</v>
      </c>
      <c r="I145" s="35" t="n">
        <v>-0.4178343949044586</v>
      </c>
      <c r="J145" s="30" t="n">
        <v>8988.5</v>
      </c>
      <c r="K145" s="30" t="n">
        <v>8841.166666666666</v>
      </c>
      <c r="L145" s="30" t="n">
        <v>10071.66666666667</v>
      </c>
      <c r="M145" s="35" t="n">
        <v>0.3843371648960205</v>
      </c>
      <c r="N145" s="35" t="n">
        <v>0.4612482733366203</v>
      </c>
      <c r="O145" s="35" t="n">
        <v>0.09461077844311383</v>
      </c>
      <c r="P145" s="35" t="n">
        <v>-0.1012782694198623</v>
      </c>
      <c r="Q145" s="35" t="n">
        <v>-0.2086580086580087</v>
      </c>
      <c r="R145" s="35" t="n">
        <v>0.01685487011180964</v>
      </c>
      <c r="S145" s="35" t="n">
        <v>0.03380021490376461</v>
      </c>
      <c r="T145" s="35" t="n">
        <v>-0.09250372331623358</v>
      </c>
      <c r="U145" s="30" t="n">
        <v>13720</v>
      </c>
      <c r="V145" s="30" t="n">
        <v>7330</v>
      </c>
      <c r="W145" s="35" t="n">
        <v>-0.3338192419825073</v>
      </c>
      <c r="X145" s="35" t="n">
        <v>0.2469304229195088</v>
      </c>
      <c r="Y145" s="30" t="n">
        <v>33416778</v>
      </c>
      <c r="Z145" s="30" t="n">
        <v>305429350920</v>
      </c>
      <c r="AA145" s="30" t="n">
        <v>942809280</v>
      </c>
      <c r="AB145" s="30" t="n">
        <v>1527805334</v>
      </c>
      <c r="AC145" s="35" t="n">
        <v>0.003086832608457943</v>
      </c>
      <c r="AD145" s="24" t="inlineStr">
        <is>
          <t>yfinance_download</t>
        </is>
      </c>
      <c r="AE145" s="24" t="inlineStr">
        <is>
          <t>059090.KQ</t>
        </is>
      </c>
    </row>
    <row r="146" ht="24" customHeight="1">
      <c r="A146" s="29" t="inlineStr">
        <is>
          <t>2024-01-10</t>
        </is>
      </c>
      <c r="B146" s="31" t="n">
        <v>9120</v>
      </c>
      <c r="C146" s="31" t="n">
        <v>9200</v>
      </c>
      <c r="D146" s="31" t="n">
        <v>8800</v>
      </c>
      <c r="E146" s="31" t="n">
        <v>8820</v>
      </c>
      <c r="F146" s="31" t="n">
        <v>8820</v>
      </c>
      <c r="G146" s="31" t="n">
        <v>212242</v>
      </c>
      <c r="H146" s="36" t="n">
        <v>-0.03501094091903723</v>
      </c>
      <c r="I146" s="36" t="n">
        <v>-0.4382165605095542</v>
      </c>
      <c r="J146" s="31" t="n">
        <v>9009.5</v>
      </c>
      <c r="K146" s="31" t="n">
        <v>8824</v>
      </c>
      <c r="L146" s="31" t="n">
        <v>10036.83333333333</v>
      </c>
      <c r="M146" s="36" t="n">
        <v>0.4093966575935179</v>
      </c>
      <c r="N146" s="36" t="n">
        <v>0.4622926650700274</v>
      </c>
      <c r="O146" s="36" t="n">
        <v>0.05000000000000004</v>
      </c>
      <c r="P146" s="36" t="n">
        <v>-0.1045685279187817</v>
      </c>
      <c r="Q146" s="36" t="n">
        <v>-0.3215384615384616</v>
      </c>
      <c r="R146" s="36" t="n">
        <v>-0.02103335368222436</v>
      </c>
      <c r="S146" s="36" t="n">
        <v>-0.0004533091568449388</v>
      </c>
      <c r="T146" s="36" t="n">
        <v>-0.1212367778681855</v>
      </c>
      <c r="U146" s="31" t="n">
        <v>13720</v>
      </c>
      <c r="V146" s="31" t="n">
        <v>7330</v>
      </c>
      <c r="W146" s="36" t="n">
        <v>-0.3571428571428571</v>
      </c>
      <c r="X146" s="36" t="n">
        <v>0.2032742155525238</v>
      </c>
      <c r="Y146" s="31" t="n">
        <v>33416778</v>
      </c>
      <c r="Z146" s="31" t="n">
        <v>294735981960</v>
      </c>
      <c r="AA146" s="31" t="n">
        <v>1871974440</v>
      </c>
      <c r="AB146" s="31" t="n">
        <v>1567646156</v>
      </c>
      <c r="AC146" s="36" t="n">
        <v>0.006351360385492581</v>
      </c>
      <c r="AD146" s="29" t="inlineStr">
        <is>
          <t>yfinance_download</t>
        </is>
      </c>
      <c r="AE146" s="29" t="inlineStr">
        <is>
          <t>059090.KQ</t>
        </is>
      </c>
    </row>
    <row r="147" ht="24" customHeight="1">
      <c r="A147" s="24" t="inlineStr">
        <is>
          <t>2024-01-11</t>
        </is>
      </c>
      <c r="B147" s="30" t="n">
        <v>8880</v>
      </c>
      <c r="C147" s="30" t="n">
        <v>9040</v>
      </c>
      <c r="D147" s="30" t="n">
        <v>8880</v>
      </c>
      <c r="E147" s="30" t="n">
        <v>8960</v>
      </c>
      <c r="F147" s="30" t="n">
        <v>8960</v>
      </c>
      <c r="G147" s="30" t="n">
        <v>113466</v>
      </c>
      <c r="H147" s="35" t="n">
        <v>0.01587301587301582</v>
      </c>
      <c r="I147" s="35" t="n">
        <v>-0.4292993630573249</v>
      </c>
      <c r="J147" s="30" t="n">
        <v>9039</v>
      </c>
      <c r="K147" s="30" t="n">
        <v>8818.833333333334</v>
      </c>
      <c r="L147" s="30" t="n">
        <v>10001.5</v>
      </c>
      <c r="M147" s="35" t="n">
        <v>0.4112268247655617</v>
      </c>
      <c r="N147" s="35" t="n">
        <v>0.4477644437438312</v>
      </c>
      <c r="O147" s="35" t="n">
        <v>0.07048984468339303</v>
      </c>
      <c r="P147" s="35" t="n">
        <v>-0.03344120819848972</v>
      </c>
      <c r="Q147" s="35" t="n">
        <v>-0.3212121212121212</v>
      </c>
      <c r="R147" s="35" t="n">
        <v>-0.008739904856731928</v>
      </c>
      <c r="S147" s="35" t="n">
        <v>0.01600740838735271</v>
      </c>
      <c r="T147" s="35" t="n">
        <v>-0.1041343798430235</v>
      </c>
      <c r="U147" s="30" t="n">
        <v>13720</v>
      </c>
      <c r="V147" s="30" t="n">
        <v>7400</v>
      </c>
      <c r="W147" s="35" t="n">
        <v>-0.3469387755102041</v>
      </c>
      <c r="X147" s="35" t="n">
        <v>0.2108108108108109</v>
      </c>
      <c r="Y147" s="30" t="n">
        <v>33416778</v>
      </c>
      <c r="Z147" s="30" t="n">
        <v>299414330880</v>
      </c>
      <c r="AA147" s="30" t="n">
        <v>1016655360</v>
      </c>
      <c r="AB147" s="30" t="n">
        <v>1587063803</v>
      </c>
      <c r="AC147" s="35" t="n">
        <v>0.003395479959198939</v>
      </c>
      <c r="AD147" s="24" t="inlineStr">
        <is>
          <t>yfinance_download</t>
        </is>
      </c>
      <c r="AE147" s="24" t="inlineStr">
        <is>
          <t>059090.KQ</t>
        </is>
      </c>
    </row>
    <row r="148" ht="24" customHeight="1">
      <c r="A148" s="29" t="inlineStr">
        <is>
          <t>2024-01-12</t>
        </is>
      </c>
      <c r="B148" s="31" t="n">
        <v>8960</v>
      </c>
      <c r="C148" s="31" t="n">
        <v>9010</v>
      </c>
      <c r="D148" s="31" t="n">
        <v>8670</v>
      </c>
      <c r="E148" s="31" t="n">
        <v>8700</v>
      </c>
      <c r="F148" s="31" t="n">
        <v>8700</v>
      </c>
      <c r="G148" s="31" t="n">
        <v>127337</v>
      </c>
      <c r="H148" s="36" t="n">
        <v>-0.0290178571428571</v>
      </c>
      <c r="I148" s="36" t="n">
        <v>-0.445859872611465</v>
      </c>
      <c r="J148" s="31" t="n">
        <v>9027.5</v>
      </c>
      <c r="K148" s="31" t="n">
        <v>8803</v>
      </c>
      <c r="L148" s="31" t="n">
        <v>9961</v>
      </c>
      <c r="M148" s="36" t="n">
        <v>0.3525357448500211</v>
      </c>
      <c r="N148" s="36" t="n">
        <v>0.4432345116746363</v>
      </c>
      <c r="O148" s="36" t="n">
        <v>-0.02575587905935051</v>
      </c>
      <c r="P148" s="36" t="n">
        <v>-0.0984455958549223</v>
      </c>
      <c r="Q148" s="36" t="n">
        <v>-0.3584070796460177</v>
      </c>
      <c r="R148" s="36" t="n">
        <v>-0.03627803932428686</v>
      </c>
      <c r="S148" s="36" t="n">
        <v>-0.01170055662842218</v>
      </c>
      <c r="T148" s="36" t="n">
        <v>-0.1265937154904127</v>
      </c>
      <c r="U148" s="31" t="n">
        <v>13720</v>
      </c>
      <c r="V148" s="31" t="n">
        <v>7430</v>
      </c>
      <c r="W148" s="36" t="n">
        <v>-0.3658892128279884</v>
      </c>
      <c r="X148" s="36" t="n">
        <v>0.1709286675639301</v>
      </c>
      <c r="Y148" s="31" t="n">
        <v>33416778</v>
      </c>
      <c r="Z148" s="31" t="n">
        <v>290725968600</v>
      </c>
      <c r="AA148" s="31" t="n">
        <v>1107831900</v>
      </c>
      <c r="AB148" s="31" t="n">
        <v>1494252225</v>
      </c>
      <c r="AC148" s="36" t="n">
        <v>0.003810570845579427</v>
      </c>
      <c r="AD148" s="29" t="inlineStr">
        <is>
          <t>yfinance_download</t>
        </is>
      </c>
      <c r="AE148" s="29" t="inlineStr">
        <is>
          <t>059090.KQ</t>
        </is>
      </c>
    </row>
    <row r="149" ht="24" customHeight="1">
      <c r="A149" s="24" t="inlineStr">
        <is>
          <t>2024-01-15</t>
        </is>
      </c>
      <c r="B149" s="30" t="n">
        <v>8660</v>
      </c>
      <c r="C149" s="30" t="n">
        <v>8890</v>
      </c>
      <c r="D149" s="30" t="n">
        <v>8520</v>
      </c>
      <c r="E149" s="30" t="n">
        <v>8630</v>
      </c>
      <c r="F149" s="30" t="n">
        <v>8630</v>
      </c>
      <c r="G149" s="30" t="n">
        <v>102415</v>
      </c>
      <c r="H149" s="35" t="n">
        <v>-0.008045977011494232</v>
      </c>
      <c r="I149" s="35" t="n">
        <v>-0.4503184713375796</v>
      </c>
      <c r="J149" s="30" t="n">
        <v>8996.5</v>
      </c>
      <c r="K149" s="30" t="n">
        <v>8789.333333333334</v>
      </c>
      <c r="L149" s="30" t="n">
        <v>9918.75</v>
      </c>
      <c r="M149" s="35" t="n">
        <v>0.3249389547923617</v>
      </c>
      <c r="N149" s="35" t="n">
        <v>0.4416253126844357</v>
      </c>
      <c r="O149" s="35" t="n">
        <v>-0.06702702702702701</v>
      </c>
      <c r="P149" s="35" t="n">
        <v>-0.08677248677248672</v>
      </c>
      <c r="Q149" s="35" t="n">
        <v>-0.3700729927007299</v>
      </c>
      <c r="R149" s="35" t="n">
        <v>-0.04073806480297892</v>
      </c>
      <c r="S149" s="35" t="n">
        <v>-0.0181280339805826</v>
      </c>
      <c r="T149" s="35" t="n">
        <v>-0.1299306868304978</v>
      </c>
      <c r="U149" s="30" t="n">
        <v>13720</v>
      </c>
      <c r="V149" s="30" t="n">
        <v>7690</v>
      </c>
      <c r="W149" s="35" t="n">
        <v>-0.3709912536443148</v>
      </c>
      <c r="X149" s="35" t="n">
        <v>0.1222366710013003</v>
      </c>
      <c r="Y149" s="30" t="n">
        <v>33416778</v>
      </c>
      <c r="Z149" s="30" t="n">
        <v>288386794140</v>
      </c>
      <c r="AA149" s="30" t="n">
        <v>883841450</v>
      </c>
      <c r="AB149" s="30" t="n">
        <v>1376023085</v>
      </c>
      <c r="AC149" s="35" t="n">
        <v>0.003064777819094348</v>
      </c>
      <c r="AD149" s="24" t="inlineStr">
        <is>
          <t>yfinance_download</t>
        </is>
      </c>
      <c r="AE149" s="24" t="inlineStr">
        <is>
          <t>059090.KQ</t>
        </is>
      </c>
    </row>
    <row r="150" ht="24" customHeight="1">
      <c r="A150" s="29" t="inlineStr">
        <is>
          <t>2024-01-16</t>
        </is>
      </c>
      <c r="B150" s="31" t="n">
        <v>8630</v>
      </c>
      <c r="C150" s="31" t="n">
        <v>8720</v>
      </c>
      <c r="D150" s="31" t="n">
        <v>8350</v>
      </c>
      <c r="E150" s="31" t="n">
        <v>8630</v>
      </c>
      <c r="F150" s="31" t="n">
        <v>8630</v>
      </c>
      <c r="G150" s="31" t="n">
        <v>106369</v>
      </c>
      <c r="H150" s="36" t="n">
        <v>0</v>
      </c>
      <c r="I150" s="36" t="n">
        <v>-0.4503184713375796</v>
      </c>
      <c r="J150" s="31" t="n">
        <v>8976.5</v>
      </c>
      <c r="K150" s="31" t="n">
        <v>8781.333333333334</v>
      </c>
      <c r="L150" s="31" t="n">
        <v>9881.916666666666</v>
      </c>
      <c r="M150" s="36" t="n">
        <v>0.3158600607178136</v>
      </c>
      <c r="N150" s="36" t="n">
        <v>0.4356147737559591</v>
      </c>
      <c r="O150" s="36" t="n">
        <v>-0.04429678848283503</v>
      </c>
      <c r="P150" s="36" t="n">
        <v>-0.05268935236004391</v>
      </c>
      <c r="Q150" s="36" t="n">
        <v>-0.3386973180076628</v>
      </c>
      <c r="R150" s="36" t="n">
        <v>-0.03860079095415803</v>
      </c>
      <c r="S150" s="36" t="n">
        <v>-0.01723352566049197</v>
      </c>
      <c r="T150" s="36" t="n">
        <v>-0.1266876365077625</v>
      </c>
      <c r="U150" s="31" t="n">
        <v>13720</v>
      </c>
      <c r="V150" s="31" t="n">
        <v>7710</v>
      </c>
      <c r="W150" s="36" t="n">
        <v>-0.3709912536443148</v>
      </c>
      <c r="X150" s="36" t="n">
        <v>0.119325551232166</v>
      </c>
      <c r="Y150" s="31" t="n">
        <v>33416778</v>
      </c>
      <c r="Z150" s="31" t="n">
        <v>288386794140</v>
      </c>
      <c r="AA150" s="31" t="n">
        <v>917964470</v>
      </c>
      <c r="AB150" s="31" t="n">
        <v>1321376773.5</v>
      </c>
      <c r="AC150" s="36" t="n">
        <v>0.003183101614404596</v>
      </c>
      <c r="AD150" s="29" t="inlineStr">
        <is>
          <t>yfinance_download</t>
        </is>
      </c>
      <c r="AE150" s="29" t="inlineStr">
        <is>
          <t>059090.KQ</t>
        </is>
      </c>
    </row>
    <row r="151" ht="24" customHeight="1">
      <c r="A151" s="24" t="inlineStr">
        <is>
          <t>2024-01-17</t>
        </is>
      </c>
      <c r="B151" s="30" t="n">
        <v>8640</v>
      </c>
      <c r="C151" s="30" t="n">
        <v>8750</v>
      </c>
      <c r="D151" s="30" t="n">
        <v>8250</v>
      </c>
      <c r="E151" s="30" t="n">
        <v>8300</v>
      </c>
      <c r="F151" s="30" t="n">
        <v>8300</v>
      </c>
      <c r="G151" s="30" t="n">
        <v>164043</v>
      </c>
      <c r="H151" s="35" t="n">
        <v>-0.03823870220162229</v>
      </c>
      <c r="I151" s="35" t="n">
        <v>-0.4713375796178344</v>
      </c>
      <c r="J151" s="30" t="n">
        <v>8951.5</v>
      </c>
      <c r="K151" s="30" t="n">
        <v>8770.833333333334</v>
      </c>
      <c r="L151" s="30" t="n">
        <v>9836.75</v>
      </c>
      <c r="M151" s="35" t="n">
        <v>0.3312781646673656</v>
      </c>
      <c r="N151" s="35" t="n">
        <v>0.4407147370551274</v>
      </c>
      <c r="O151" s="35" t="n">
        <v>-0.05681818181818177</v>
      </c>
      <c r="P151" s="35" t="n">
        <v>-0.07054871220604708</v>
      </c>
      <c r="Q151" s="35" t="n">
        <v>-0.3950437317784257</v>
      </c>
      <c r="R151" s="35" t="n">
        <v>-0.07278109813997657</v>
      </c>
      <c r="S151" s="35" t="n">
        <v>-0.05368171021377677</v>
      </c>
      <c r="T151" s="35" t="n">
        <v>-0.1562253793173558</v>
      </c>
      <c r="U151" s="30" t="n">
        <v>13720</v>
      </c>
      <c r="V151" s="30" t="n">
        <v>7850</v>
      </c>
      <c r="W151" s="35" t="n">
        <v>-0.3950437317784257</v>
      </c>
      <c r="X151" s="35" t="n">
        <v>0.0573248407643312</v>
      </c>
      <c r="Y151" s="30" t="n">
        <v>33416778</v>
      </c>
      <c r="Z151" s="30" t="n">
        <v>277359257400</v>
      </c>
      <c r="AA151" s="30" t="n">
        <v>1361556900</v>
      </c>
      <c r="AB151" s="30" t="n">
        <v>1305457298.5</v>
      </c>
      <c r="AC151" s="35" t="n">
        <v>0.004909001101183363</v>
      </c>
      <c r="AD151" s="24" t="inlineStr">
        <is>
          <t>yfinance_download</t>
        </is>
      </c>
      <c r="AE151" s="24" t="inlineStr">
        <is>
          <t>059090.KQ</t>
        </is>
      </c>
    </row>
    <row r="152" ht="24" customHeight="1">
      <c r="A152" s="29" t="inlineStr">
        <is>
          <t>2024-01-18</t>
        </is>
      </c>
      <c r="B152" s="31" t="n">
        <v>8300</v>
      </c>
      <c r="C152" s="31" t="n">
        <v>8370</v>
      </c>
      <c r="D152" s="31" t="n">
        <v>8070</v>
      </c>
      <c r="E152" s="31" t="n">
        <v>8310</v>
      </c>
      <c r="F152" s="31" t="n">
        <v>8310</v>
      </c>
      <c r="G152" s="31" t="n">
        <v>111064</v>
      </c>
      <c r="H152" s="36" t="n">
        <v>0.00120481927710836</v>
      </c>
      <c r="I152" s="36" t="n">
        <v>-0.4707006369426752</v>
      </c>
      <c r="J152" s="31" t="n">
        <v>8921</v>
      </c>
      <c r="K152" s="31" t="n">
        <v>8765.333333333334</v>
      </c>
      <c r="L152" s="31" t="n">
        <v>9794.75</v>
      </c>
      <c r="M152" s="36" t="n">
        <v>0.3260377634768548</v>
      </c>
      <c r="N152" s="36" t="n">
        <v>0.4357668244844471</v>
      </c>
      <c r="O152" s="36" t="n">
        <v>-0.06838565022421528</v>
      </c>
      <c r="P152" s="36" t="n">
        <v>-0.03819444444444442</v>
      </c>
      <c r="Q152" s="36" t="n">
        <v>-0.3775280898876404</v>
      </c>
      <c r="R152" s="36" t="n">
        <v>-0.0684900795874902</v>
      </c>
      <c r="S152" s="36" t="n">
        <v>-0.05194706419227269</v>
      </c>
      <c r="T152" s="36" t="n">
        <v>-0.151586308992062</v>
      </c>
      <c r="U152" s="31" t="n">
        <v>13720</v>
      </c>
      <c r="V152" s="31" t="n">
        <v>7900</v>
      </c>
      <c r="W152" s="36" t="n">
        <v>-0.3943148688046647</v>
      </c>
      <c r="X152" s="36" t="n">
        <v>0.05189873417721524</v>
      </c>
      <c r="Y152" s="31" t="n">
        <v>33416778</v>
      </c>
      <c r="Z152" s="31" t="n">
        <v>277693425180</v>
      </c>
      <c r="AA152" s="31" t="n">
        <v>922941840</v>
      </c>
      <c r="AB152" s="31" t="n">
        <v>1311629856.5</v>
      </c>
      <c r="AC152" s="36" t="n">
        <v>0.003323599899427767</v>
      </c>
      <c r="AD152" s="29" t="inlineStr">
        <is>
          <t>yfinance_download</t>
        </is>
      </c>
      <c r="AE152" s="29" t="inlineStr">
        <is>
          <t>059090.KQ</t>
        </is>
      </c>
    </row>
    <row r="153" ht="24" customHeight="1">
      <c r="A153" s="24" t="inlineStr">
        <is>
          <t>2024-01-19</t>
        </is>
      </c>
      <c r="B153" s="30" t="n">
        <v>8450</v>
      </c>
      <c r="C153" s="30" t="n">
        <v>8790</v>
      </c>
      <c r="D153" s="30" t="n">
        <v>8450</v>
      </c>
      <c r="E153" s="30" t="n">
        <v>8790</v>
      </c>
      <c r="F153" s="30" t="n">
        <v>8790</v>
      </c>
      <c r="G153" s="30" t="n">
        <v>144815</v>
      </c>
      <c r="H153" s="35" t="n">
        <v>0.05776173285198549</v>
      </c>
      <c r="I153" s="35" t="n">
        <v>-0.4401273885350319</v>
      </c>
      <c r="J153" s="30" t="n">
        <v>8917.5</v>
      </c>
      <c r="K153" s="30" t="n">
        <v>8760.166666666666</v>
      </c>
      <c r="L153" s="30" t="n">
        <v>9765.333333333334</v>
      </c>
      <c r="M153" s="35" t="n">
        <v>0.3910249805510915</v>
      </c>
      <c r="N153" s="35" t="n">
        <v>0.4382300390020465</v>
      </c>
      <c r="O153" s="35" t="n">
        <v>-0.007900677200902928</v>
      </c>
      <c r="P153" s="35" t="n">
        <v>-0.03406593406593406</v>
      </c>
      <c r="Q153" s="35" t="n">
        <v>-0.286525974025974</v>
      </c>
      <c r="R153" s="35" t="n">
        <v>-0.01429772918418837</v>
      </c>
      <c r="S153" s="35" t="n">
        <v>0.003405566865166243</v>
      </c>
      <c r="T153" s="35" t="n">
        <v>-0.09987711632987439</v>
      </c>
      <c r="U153" s="30" t="n">
        <v>13720</v>
      </c>
      <c r="V153" s="30" t="n">
        <v>7900</v>
      </c>
      <c r="W153" s="35" t="n">
        <v>-0.35932944606414</v>
      </c>
      <c r="X153" s="35" t="n">
        <v>0.1126582278481012</v>
      </c>
      <c r="Y153" s="30" t="n">
        <v>33416778</v>
      </c>
      <c r="Z153" s="30" t="n">
        <v>293733478620</v>
      </c>
      <c r="AA153" s="30" t="n">
        <v>1272923850</v>
      </c>
      <c r="AB153" s="30" t="n">
        <v>1327065688</v>
      </c>
      <c r="AC153" s="35" t="n">
        <v>0.004333601521966002</v>
      </c>
      <c r="AD153" s="24" t="inlineStr">
        <is>
          <t>yfinance_download</t>
        </is>
      </c>
      <c r="AE153" s="24" t="inlineStr">
        <is>
          <t>059090.KQ</t>
        </is>
      </c>
    </row>
    <row r="154" ht="24" customHeight="1">
      <c r="A154" s="29" t="inlineStr">
        <is>
          <t>2024-01-22</t>
        </is>
      </c>
      <c r="B154" s="31" t="n">
        <v>8800</v>
      </c>
      <c r="C154" s="31" t="n">
        <v>9020</v>
      </c>
      <c r="D154" s="31" t="n">
        <v>8660</v>
      </c>
      <c r="E154" s="31" t="n">
        <v>8930</v>
      </c>
      <c r="F154" s="31" t="n">
        <v>8930</v>
      </c>
      <c r="G154" s="31" t="n">
        <v>166641</v>
      </c>
      <c r="H154" s="36" t="n">
        <v>0.01592718998862352</v>
      </c>
      <c r="I154" s="36" t="n">
        <v>-0.4312101910828026</v>
      </c>
      <c r="J154" s="31" t="n">
        <v>8918</v>
      </c>
      <c r="K154" s="31" t="n">
        <v>8760.833333333334</v>
      </c>
      <c r="L154" s="31" t="n">
        <v>9736.166666666666</v>
      </c>
      <c r="M154" s="36" t="n">
        <v>0.3944975387822139</v>
      </c>
      <c r="N154" s="36" t="n">
        <v>0.4368232755422909</v>
      </c>
      <c r="O154" s="36" t="n">
        <v>0.001121076233183915</v>
      </c>
      <c r="P154" s="36" t="n">
        <v>0.004499437570303799</v>
      </c>
      <c r="Q154" s="36" t="n">
        <v>-0.2815768302493966</v>
      </c>
      <c r="R154" s="36" t="n">
        <v>0.001345593182327853</v>
      </c>
      <c r="S154" s="36" t="n">
        <v>0.0193094264244269</v>
      </c>
      <c r="T154" s="36" t="n">
        <v>-0.08280123936525319</v>
      </c>
      <c r="U154" s="31" t="n">
        <v>13720</v>
      </c>
      <c r="V154" s="31" t="n">
        <v>7900</v>
      </c>
      <c r="W154" s="36" t="n">
        <v>-0.3491253644314869</v>
      </c>
      <c r="X154" s="36" t="n">
        <v>0.1303797468354431</v>
      </c>
      <c r="Y154" s="31" t="n">
        <v>33416778</v>
      </c>
      <c r="Z154" s="31" t="n">
        <v>298411827540</v>
      </c>
      <c r="AA154" s="31" t="n">
        <v>1488104130</v>
      </c>
      <c r="AB154" s="31" t="n">
        <v>1358114788.5</v>
      </c>
      <c r="AC154" s="36" t="n">
        <v>0.004986746478071584</v>
      </c>
      <c r="AD154" s="29" t="inlineStr">
        <is>
          <t>yfinance_download</t>
        </is>
      </c>
      <c r="AE154" s="29" t="inlineStr">
        <is>
          <t>059090.KQ</t>
        </is>
      </c>
    </row>
    <row r="155" ht="24" customHeight="1">
      <c r="A155" s="24" t="inlineStr">
        <is>
          <t>2024-01-23</t>
        </is>
      </c>
      <c r="B155" s="30" t="n">
        <v>8900</v>
      </c>
      <c r="C155" s="30" t="n">
        <v>9030</v>
      </c>
      <c r="D155" s="30" t="n">
        <v>8830</v>
      </c>
      <c r="E155" s="30" t="n">
        <v>9020</v>
      </c>
      <c r="F155" s="30" t="n">
        <v>9020</v>
      </c>
      <c r="G155" s="30" t="n">
        <v>107481</v>
      </c>
      <c r="H155" s="35" t="n">
        <v>0.01007838745800682</v>
      </c>
      <c r="I155" s="35" t="n">
        <v>-0.4254777070063694</v>
      </c>
      <c r="J155" s="30" t="n">
        <v>8920.5</v>
      </c>
      <c r="K155" s="30" t="n">
        <v>8769.5</v>
      </c>
      <c r="L155" s="30" t="n">
        <v>9714.583333333334</v>
      </c>
      <c r="M155" s="35" t="n">
        <v>0.3956063821245761</v>
      </c>
      <c r="N155" s="35" t="n">
        <v>0.4273361968253156</v>
      </c>
      <c r="O155" s="35" t="n">
        <v>0.00557413600891854</v>
      </c>
      <c r="P155" s="35" t="n">
        <v>0.06117647058823539</v>
      </c>
      <c r="Q155" s="35" t="n">
        <v>-0.2230835486649441</v>
      </c>
      <c r="R155" s="35" t="n">
        <v>0.0111540832912953</v>
      </c>
      <c r="S155" s="35" t="n">
        <v>0.02856491248075721</v>
      </c>
      <c r="T155" s="35" t="n">
        <v>-0.07149903495603693</v>
      </c>
      <c r="U155" s="30" t="n">
        <v>13720</v>
      </c>
      <c r="V155" s="30" t="n">
        <v>7900</v>
      </c>
      <c r="W155" s="35" t="n">
        <v>-0.3425655976676385</v>
      </c>
      <c r="X155" s="35" t="n">
        <v>0.1417721518987343</v>
      </c>
      <c r="Y155" s="30" t="n">
        <v>33416778</v>
      </c>
      <c r="Z155" s="30" t="n">
        <v>301419337560</v>
      </c>
      <c r="AA155" s="30" t="n">
        <v>969478620</v>
      </c>
      <c r="AB155" s="30" t="n">
        <v>1339840707</v>
      </c>
      <c r="AC155" s="35" t="n">
        <v>0.003216378311517645</v>
      </c>
      <c r="AD155" s="24" t="inlineStr">
        <is>
          <t>yfinance_download</t>
        </is>
      </c>
      <c r="AE155" s="24" t="inlineStr">
        <is>
          <t>059090.KQ</t>
        </is>
      </c>
    </row>
    <row r="156" ht="24" customHeight="1">
      <c r="A156" s="29" t="inlineStr">
        <is>
          <t>2024-01-24</t>
        </is>
      </c>
      <c r="B156" s="31" t="n">
        <v>9030</v>
      </c>
      <c r="C156" s="31" t="n">
        <v>9030</v>
      </c>
      <c r="D156" s="31" t="n">
        <v>8830</v>
      </c>
      <c r="E156" s="31" t="n">
        <v>9030</v>
      </c>
      <c r="F156" s="31" t="n">
        <v>9030</v>
      </c>
      <c r="G156" s="31" t="n">
        <v>125140</v>
      </c>
      <c r="H156" s="36" t="n">
        <v>0.001108647450110967</v>
      </c>
      <c r="I156" s="36" t="n">
        <v>-0.4248407643312102</v>
      </c>
      <c r="J156" s="31" t="n">
        <v>8927.5</v>
      </c>
      <c r="K156" s="31" t="n">
        <v>8779.333333333334</v>
      </c>
      <c r="L156" s="31" t="n">
        <v>9689.333333333334</v>
      </c>
      <c r="M156" s="36" t="n">
        <v>0.3940145450674844</v>
      </c>
      <c r="N156" s="36" t="n">
        <v>0.4269779185626842</v>
      </c>
      <c r="O156" s="36" t="n">
        <v>0.01574803149606296</v>
      </c>
      <c r="P156" s="36" t="n">
        <v>0.0699052132701421</v>
      </c>
      <c r="Q156" s="36" t="n">
        <v>-0.2512437810945274</v>
      </c>
      <c r="R156" s="36" t="n">
        <v>0.01148137776533176</v>
      </c>
      <c r="S156" s="36" t="n">
        <v>0.02855190219454773</v>
      </c>
      <c r="T156" s="36" t="n">
        <v>-0.06804733727810652</v>
      </c>
      <c r="U156" s="31" t="n">
        <v>13720</v>
      </c>
      <c r="V156" s="31" t="n">
        <v>7900</v>
      </c>
      <c r="W156" s="36" t="n">
        <v>-0.3418367346938775</v>
      </c>
      <c r="X156" s="36" t="n">
        <v>0.1430379746835444</v>
      </c>
      <c r="Y156" s="31" t="n">
        <v>33416778</v>
      </c>
      <c r="Z156" s="31" t="n">
        <v>301753505340</v>
      </c>
      <c r="AA156" s="31" t="n">
        <v>1130014200</v>
      </c>
      <c r="AB156" s="31" t="n">
        <v>1279901530.5</v>
      </c>
      <c r="AC156" s="36" t="n">
        <v>0.00374482542871129</v>
      </c>
      <c r="AD156" s="29" t="inlineStr">
        <is>
          <t>yfinance_download</t>
        </is>
      </c>
      <c r="AE156" s="29" t="inlineStr">
        <is>
          <t>059090.KQ</t>
        </is>
      </c>
    </row>
    <row r="157" ht="24" customHeight="1">
      <c r="A157" s="24" t="inlineStr">
        <is>
          <t>2024-01-25</t>
        </is>
      </c>
      <c r="B157" s="30" t="n">
        <v>9030</v>
      </c>
      <c r="C157" s="30" t="n">
        <v>9330</v>
      </c>
      <c r="D157" s="30" t="n">
        <v>8960</v>
      </c>
      <c r="E157" s="30" t="n">
        <v>9160</v>
      </c>
      <c r="F157" s="30" t="n">
        <v>9160</v>
      </c>
      <c r="G157" s="30" t="n">
        <v>307101</v>
      </c>
      <c r="H157" s="35" t="n">
        <v>0.01439645625692143</v>
      </c>
      <c r="I157" s="35" t="n">
        <v>-0.4165605095541401</v>
      </c>
      <c r="J157" s="30" t="n">
        <v>8948</v>
      </c>
      <c r="K157" s="30" t="n">
        <v>8792</v>
      </c>
      <c r="L157" s="30" t="n">
        <v>9664.083333333334</v>
      </c>
      <c r="M157" s="35" t="n">
        <v>0.3914688261063615</v>
      </c>
      <c r="N157" s="35" t="n">
        <v>0.4275879391818142</v>
      </c>
      <c r="O157" s="35" t="n">
        <v>0.04685714285714293</v>
      </c>
      <c r="P157" s="35" t="n">
        <v>0.09047619047619038</v>
      </c>
      <c r="Q157" s="35" t="n">
        <v>-0.2485643970467596</v>
      </c>
      <c r="R157" s="35" t="n">
        <v>0.02369244523915959</v>
      </c>
      <c r="S157" s="35" t="n">
        <v>0.04185623293903551</v>
      </c>
      <c r="T157" s="35" t="n">
        <v>-0.05216049116574262</v>
      </c>
      <c r="U157" s="30" t="n">
        <v>13720</v>
      </c>
      <c r="V157" s="30" t="n">
        <v>7900</v>
      </c>
      <c r="W157" s="35" t="n">
        <v>-0.3323615160349854</v>
      </c>
      <c r="X157" s="35" t="n">
        <v>0.1594936708860759</v>
      </c>
      <c r="Y157" s="30" t="n">
        <v>33416778</v>
      </c>
      <c r="Z157" s="30" t="n">
        <v>306097686480</v>
      </c>
      <c r="AA157" s="30" t="n">
        <v>2813045160</v>
      </c>
      <c r="AB157" s="30" t="n">
        <v>1367304351</v>
      </c>
      <c r="AC157" s="35" t="n">
        <v>0.009190024244707254</v>
      </c>
      <c r="AD157" s="24" t="inlineStr">
        <is>
          <t>yfinance_download</t>
        </is>
      </c>
      <c r="AE157" s="24" t="inlineStr">
        <is>
          <t>059090.KQ</t>
        </is>
      </c>
    </row>
    <row r="158" ht="24" customHeight="1">
      <c r="A158" s="29" t="inlineStr">
        <is>
          <t>2024-01-26</t>
        </is>
      </c>
      <c r="B158" s="31" t="n">
        <v>9020</v>
      </c>
      <c r="C158" s="31" t="n">
        <v>9260</v>
      </c>
      <c r="D158" s="31" t="n">
        <v>8830</v>
      </c>
      <c r="E158" s="31" t="n">
        <v>9210</v>
      </c>
      <c r="F158" s="31" t="n">
        <v>9210</v>
      </c>
      <c r="G158" s="31" t="n">
        <v>184521</v>
      </c>
      <c r="H158" s="36" t="n">
        <v>0.005458515283842891</v>
      </c>
      <c r="I158" s="36" t="n">
        <v>-0.413375796178344</v>
      </c>
      <c r="J158" s="31" t="n">
        <v>8955</v>
      </c>
      <c r="K158" s="31" t="n">
        <v>8813.833333333334</v>
      </c>
      <c r="L158" s="31" t="n">
        <v>9640</v>
      </c>
      <c r="M158" s="36" t="n">
        <v>0.3706617039910473</v>
      </c>
      <c r="N158" s="36" t="n">
        <v>0.4080763835321845</v>
      </c>
      <c r="O158" s="36" t="n">
        <v>0.0154355016538037</v>
      </c>
      <c r="P158" s="36" t="n">
        <v>0.1658227848101266</v>
      </c>
      <c r="Q158" s="36" t="n">
        <v>-0.2388429752066116</v>
      </c>
      <c r="R158" s="36" t="n">
        <v>0.02847571189279741</v>
      </c>
      <c r="S158" s="36" t="n">
        <v>0.04494828205661539</v>
      </c>
      <c r="T158" s="36" t="n">
        <v>-0.04460580912863066</v>
      </c>
      <c r="U158" s="31" t="n">
        <v>13720</v>
      </c>
      <c r="V158" s="31" t="n">
        <v>7900</v>
      </c>
      <c r="W158" s="36" t="n">
        <v>-0.3287172011661808</v>
      </c>
      <c r="X158" s="36" t="n">
        <v>0.1658227848101266</v>
      </c>
      <c r="Y158" s="31" t="n">
        <v>33416778</v>
      </c>
      <c r="Z158" s="31" t="n">
        <v>307768525380</v>
      </c>
      <c r="AA158" s="31" t="n">
        <v>1699438410</v>
      </c>
      <c r="AB158" s="31" t="n">
        <v>1389447474.5</v>
      </c>
      <c r="AC158" s="36" t="n">
        <v>0.005521807039565574</v>
      </c>
      <c r="AD158" s="29" t="inlineStr">
        <is>
          <t>yfinance_download</t>
        </is>
      </c>
      <c r="AE158" s="29" t="inlineStr">
        <is>
          <t>059090.KQ</t>
        </is>
      </c>
    </row>
    <row r="159" ht="24" customHeight="1">
      <c r="A159" s="24" t="inlineStr">
        <is>
          <t>2024-01-29</t>
        </is>
      </c>
      <c r="B159" s="30" t="n">
        <v>9150</v>
      </c>
      <c r="C159" s="30" t="n">
        <v>9250</v>
      </c>
      <c r="D159" s="30" t="n">
        <v>8950</v>
      </c>
      <c r="E159" s="30" t="n">
        <v>9010</v>
      </c>
      <c r="F159" s="30" t="n">
        <v>9010</v>
      </c>
      <c r="G159" s="30" t="n">
        <v>160913</v>
      </c>
      <c r="H159" s="35" t="n">
        <v>-0.0217155266015201</v>
      </c>
      <c r="I159" s="35" t="n">
        <v>-0.4261146496815287</v>
      </c>
      <c r="J159" s="30" t="n">
        <v>8951.5</v>
      </c>
      <c r="K159" s="30" t="n">
        <v>8830.833333333334</v>
      </c>
      <c r="L159" s="30" t="n">
        <v>9614.416666666666</v>
      </c>
      <c r="M159" s="35" t="n">
        <v>0.3793445053410743</v>
      </c>
      <c r="N159" s="35" t="n">
        <v>0.4107592764111551</v>
      </c>
      <c r="O159" s="35" t="n">
        <v>-0.00770925110132159</v>
      </c>
      <c r="P159" s="35" t="n">
        <v>0.1276595744680851</v>
      </c>
      <c r="Q159" s="35" t="n">
        <v>-0.2541390728476821</v>
      </c>
      <c r="R159" s="35" t="n">
        <v>0.006535217561302487</v>
      </c>
      <c r="S159" s="35" t="n">
        <v>0.0202887609700857</v>
      </c>
      <c r="T159" s="35" t="n">
        <v>-0.06286566180995545</v>
      </c>
      <c r="U159" s="30" t="n">
        <v>13720</v>
      </c>
      <c r="V159" s="30" t="n">
        <v>7900</v>
      </c>
      <c r="W159" s="35" t="n">
        <v>-0.3432944606413995</v>
      </c>
      <c r="X159" s="35" t="n">
        <v>0.1405063291139241</v>
      </c>
      <c r="Y159" s="30" t="n">
        <v>33416778</v>
      </c>
      <c r="Z159" s="30" t="n">
        <v>301085169780</v>
      </c>
      <c r="AA159" s="30" t="n">
        <v>1449826130</v>
      </c>
      <c r="AB159" s="30" t="n">
        <v>1398559019</v>
      </c>
      <c r="AC159" s="35" t="n">
        <v>0.004815335577834584</v>
      </c>
      <c r="AD159" s="24" t="inlineStr">
        <is>
          <t>yfinance_download</t>
        </is>
      </c>
      <c r="AE159" s="24" t="inlineStr">
        <is>
          <t>059090.KQ</t>
        </is>
      </c>
    </row>
    <row r="160" ht="24" customHeight="1">
      <c r="A160" s="29" t="inlineStr">
        <is>
          <t>2024-01-30</t>
        </is>
      </c>
      <c r="B160" s="31" t="n">
        <v>9020</v>
      </c>
      <c r="C160" s="31" t="n">
        <v>9190</v>
      </c>
      <c r="D160" s="31" t="n">
        <v>8860</v>
      </c>
      <c r="E160" s="31" t="n">
        <v>9100</v>
      </c>
      <c r="F160" s="31" t="n">
        <v>9100</v>
      </c>
      <c r="G160" s="31" t="n">
        <v>106546</v>
      </c>
      <c r="H160" s="36" t="n">
        <v>0.009988901220865598</v>
      </c>
      <c r="I160" s="36" t="n">
        <v>-0.4203821656050956</v>
      </c>
      <c r="J160" s="31" t="n">
        <v>8932</v>
      </c>
      <c r="K160" s="31" t="n">
        <v>8841.5</v>
      </c>
      <c r="L160" s="31" t="n">
        <v>9594.5</v>
      </c>
      <c r="M160" s="36" t="n">
        <v>0.3424225772787778</v>
      </c>
      <c r="N160" s="36" t="n">
        <v>0.393919363305542</v>
      </c>
      <c r="O160" s="36" t="n">
        <v>-0.04109589041095896</v>
      </c>
      <c r="P160" s="36" t="n">
        <v>0.0756501182033098</v>
      </c>
      <c r="Q160" s="36" t="n">
        <v>-0.2080069625761531</v>
      </c>
      <c r="R160" s="36" t="n">
        <v>0.01880877742946718</v>
      </c>
      <c r="S160" s="36" t="n">
        <v>0.02923712039812254</v>
      </c>
      <c r="T160" s="36" t="n">
        <v>-0.05153994476001877</v>
      </c>
      <c r="U160" s="31" t="n">
        <v>13720</v>
      </c>
      <c r="V160" s="31" t="n">
        <v>7900</v>
      </c>
      <c r="W160" s="36" t="n">
        <v>-0.3367346938775511</v>
      </c>
      <c r="X160" s="36" t="n">
        <v>0.1518987341772151</v>
      </c>
      <c r="Y160" s="31" t="n">
        <v>33416778</v>
      </c>
      <c r="Z160" s="31" t="n">
        <v>304092679800</v>
      </c>
      <c r="AA160" s="31" t="n">
        <v>969568600</v>
      </c>
      <c r="AB160" s="31" t="n">
        <v>1269877180</v>
      </c>
      <c r="AC160" s="36" t="n">
        <v>0.003188398354862339</v>
      </c>
      <c r="AD160" s="29" t="inlineStr">
        <is>
          <t>yfinance_download</t>
        </is>
      </c>
      <c r="AE160" s="29" t="inlineStr">
        <is>
          <t>059090.KQ</t>
        </is>
      </c>
    </row>
    <row r="161" ht="24" customHeight="1">
      <c r="A161" s="24" t="inlineStr">
        <is>
          <t>2024-01-31</t>
        </is>
      </c>
      <c r="B161" s="30" t="n">
        <v>9090</v>
      </c>
      <c r="C161" s="30" t="n">
        <v>9090</v>
      </c>
      <c r="D161" s="30" t="n">
        <v>8500</v>
      </c>
      <c r="E161" s="30" t="n">
        <v>8990</v>
      </c>
      <c r="F161" s="30" t="n">
        <v>8990</v>
      </c>
      <c r="G161" s="30" t="n">
        <v>189683</v>
      </c>
      <c r="H161" s="35" t="n">
        <v>-0.01208791208791204</v>
      </c>
      <c r="I161" s="35" t="n">
        <v>-0.4273885350318471</v>
      </c>
      <c r="J161" s="30" t="n">
        <v>8916.5</v>
      </c>
      <c r="K161" s="30" t="n">
        <v>8848.833333333334</v>
      </c>
      <c r="L161" s="30" t="n">
        <v>9575.666666666666</v>
      </c>
      <c r="M161" s="35" t="n">
        <v>0.3379761192095598</v>
      </c>
      <c r="N161" s="35" t="n">
        <v>0.3944246098958924</v>
      </c>
      <c r="O161" s="35" t="n">
        <v>-0.03333333333333333</v>
      </c>
      <c r="P161" s="35" t="n">
        <v>0.05146198830409365</v>
      </c>
      <c r="Q161" s="35" t="n">
        <v>-0.2008888888888889</v>
      </c>
      <c r="R161" s="35" t="n">
        <v>0.00824314473167731</v>
      </c>
      <c r="S161" s="35" t="n">
        <v>0.015953138831861</v>
      </c>
      <c r="T161" s="35" t="n">
        <v>-0.06116197305670612</v>
      </c>
      <c r="U161" s="30" t="n">
        <v>13720</v>
      </c>
      <c r="V161" s="30" t="n">
        <v>7900</v>
      </c>
      <c r="W161" s="35" t="n">
        <v>-0.3447521865889213</v>
      </c>
      <c r="X161" s="35" t="n">
        <v>0.1379746835443039</v>
      </c>
      <c r="Y161" s="30" t="n">
        <v>33416778</v>
      </c>
      <c r="Z161" s="30" t="n">
        <v>300416834220</v>
      </c>
      <c r="AA161" s="30" t="n">
        <v>1705250170</v>
      </c>
      <c r="AB161" s="30" t="n">
        <v>1268073553.5</v>
      </c>
      <c r="AC161" s="35" t="n">
        <v>0.005676280340372731</v>
      </c>
      <c r="AD161" s="24" t="inlineStr">
        <is>
          <t>yfinance_download</t>
        </is>
      </c>
      <c r="AE161" s="24" t="inlineStr">
        <is>
          <t>059090.KQ</t>
        </is>
      </c>
    </row>
    <row r="162" ht="24" customHeight="1">
      <c r="A162" s="29" t="inlineStr">
        <is>
          <t>2024-02-01</t>
        </is>
      </c>
      <c r="B162" s="31" t="n">
        <v>8870</v>
      </c>
      <c r="C162" s="31" t="n">
        <v>8990</v>
      </c>
      <c r="D162" s="31" t="n">
        <v>8730</v>
      </c>
      <c r="E162" s="31" t="n">
        <v>8760</v>
      </c>
      <c r="F162" s="31" t="n">
        <v>8760</v>
      </c>
      <c r="G162" s="31" t="n">
        <v>179081</v>
      </c>
      <c r="H162" s="36" t="n">
        <v>-0.02558398220244718</v>
      </c>
      <c r="I162" s="36" t="n">
        <v>-0.4420382165605096</v>
      </c>
      <c r="J162" s="31" t="n">
        <v>8894</v>
      </c>
      <c r="K162" s="31" t="n">
        <v>8844.333333333334</v>
      </c>
      <c r="L162" s="31" t="n">
        <v>9552.833333333334</v>
      </c>
      <c r="M162" s="36" t="n">
        <v>0.3476706652342306</v>
      </c>
      <c r="N162" s="36" t="n">
        <v>0.3810819361722156</v>
      </c>
      <c r="O162" s="36" t="n">
        <v>-0.04885993485342022</v>
      </c>
      <c r="P162" s="36" t="n">
        <v>-0.0299003322259136</v>
      </c>
      <c r="Q162" s="36" t="n">
        <v>-0.2382608695652174</v>
      </c>
      <c r="R162" s="36" t="n">
        <v>-0.01506633685630765</v>
      </c>
      <c r="S162" s="36" t="n">
        <v>-0.009535295669543697</v>
      </c>
      <c r="T162" s="36" t="n">
        <v>-0.08299457403562649</v>
      </c>
      <c r="U162" s="31" t="n">
        <v>13720</v>
      </c>
      <c r="V162" s="31" t="n">
        <v>7900</v>
      </c>
      <c r="W162" s="36" t="n">
        <v>-0.3615160349854227</v>
      </c>
      <c r="X162" s="36" t="n">
        <v>0.1088607594936708</v>
      </c>
      <c r="Y162" s="31" t="n">
        <v>33416778</v>
      </c>
      <c r="Z162" s="31" t="n">
        <v>292730975280</v>
      </c>
      <c r="AA162" s="31" t="n">
        <v>1568749560</v>
      </c>
      <c r="AB162" s="31" t="n">
        <v>1281610003.5</v>
      </c>
      <c r="AC162" s="36" t="n">
        <v>0.005359014564480154</v>
      </c>
      <c r="AD162" s="29" t="inlineStr">
        <is>
          <t>yfinance_download</t>
        </is>
      </c>
      <c r="AE162" s="29" t="inlineStr">
        <is>
          <t>059090.KQ</t>
        </is>
      </c>
    </row>
    <row r="163" ht="24" customHeight="1">
      <c r="A163" s="24" t="inlineStr">
        <is>
          <t>2024-02-02</t>
        </is>
      </c>
      <c r="B163" s="30" t="n">
        <v>8760</v>
      </c>
      <c r="C163" s="30" t="n">
        <v>8950</v>
      </c>
      <c r="D163" s="30" t="n">
        <v>8690</v>
      </c>
      <c r="E163" s="30" t="n">
        <v>8770</v>
      </c>
      <c r="F163" s="30" t="n">
        <v>8770</v>
      </c>
      <c r="G163" s="30" t="n">
        <v>140745</v>
      </c>
      <c r="H163" s="35" t="n">
        <v>0.001141552511415567</v>
      </c>
      <c r="I163" s="35" t="n">
        <v>-0.4414012738853503</v>
      </c>
      <c r="J163" s="30" t="n">
        <v>8871</v>
      </c>
      <c r="K163" s="30" t="n">
        <v>8843.333333333334</v>
      </c>
      <c r="L163" s="30" t="n">
        <v>9534.333333333334</v>
      </c>
      <c r="M163" s="35" t="n">
        <v>0.3475151376658694</v>
      </c>
      <c r="N163" s="35" t="n">
        <v>0.3783382564203516</v>
      </c>
      <c r="O163" s="35" t="n">
        <v>-0.04983748645720476</v>
      </c>
      <c r="P163" s="35" t="n">
        <v>-0.006795016987542479</v>
      </c>
      <c r="Q163" s="35" t="n">
        <v>-0.2020018198362148</v>
      </c>
      <c r="R163" s="35" t="n">
        <v>-0.01138541314395225</v>
      </c>
      <c r="S163" s="35" t="n">
        <v>-0.008292499057670599</v>
      </c>
      <c r="T163" s="35" t="n">
        <v>-0.08016641611019826</v>
      </c>
      <c r="U163" s="30" t="n">
        <v>13720</v>
      </c>
      <c r="V163" s="30" t="n">
        <v>7900</v>
      </c>
      <c r="W163" s="35" t="n">
        <v>-0.3607871720116618</v>
      </c>
      <c r="X163" s="35" t="n">
        <v>0.1101265822784809</v>
      </c>
      <c r="Y163" s="30" t="n">
        <v>33416778</v>
      </c>
      <c r="Z163" s="30" t="n">
        <v>293065143060</v>
      </c>
      <c r="AA163" s="30" t="n">
        <v>1234333650</v>
      </c>
      <c r="AB163" s="30" t="n">
        <v>1297737870</v>
      </c>
      <c r="AC163" s="35" t="n">
        <v>0.004211806416525255</v>
      </c>
      <c r="AD163" s="24" t="inlineStr">
        <is>
          <t>yfinance_download</t>
        </is>
      </c>
      <c r="AE163" s="24" t="inlineStr">
        <is>
          <t>059090.KQ</t>
        </is>
      </c>
    </row>
    <row r="164" ht="24" customHeight="1">
      <c r="A164" s="29" t="inlineStr">
        <is>
          <t>2024-02-05</t>
        </is>
      </c>
      <c r="B164" s="31" t="n">
        <v>8770</v>
      </c>
      <c r="C164" s="31" t="n">
        <v>8770</v>
      </c>
      <c r="D164" s="31" t="n">
        <v>8580</v>
      </c>
      <c r="E164" s="31" t="n">
        <v>8620</v>
      </c>
      <c r="F164" s="31" t="n">
        <v>8620</v>
      </c>
      <c r="G164" s="31" t="n">
        <v>104814</v>
      </c>
      <c r="H164" s="36" t="n">
        <v>-0.01710376282782211</v>
      </c>
      <c r="I164" s="36" t="n">
        <v>-0.4509554140127389</v>
      </c>
      <c r="J164" s="31" t="n">
        <v>8844</v>
      </c>
      <c r="K164" s="31" t="n">
        <v>8842.333333333334</v>
      </c>
      <c r="L164" s="31" t="n">
        <v>9516.333333333334</v>
      </c>
      <c r="M164" s="36" t="n">
        <v>0.3510503091990664</v>
      </c>
      <c r="N164" s="36" t="n">
        <v>0.3783608338812196</v>
      </c>
      <c r="O164" s="36" t="n">
        <v>-0.05895196506550215</v>
      </c>
      <c r="P164" s="36" t="n">
        <v>-0.00691244239631339</v>
      </c>
      <c r="Q164" s="36" t="n">
        <v>-0.2003710575139147</v>
      </c>
      <c r="R164" s="36" t="n">
        <v>-0.02532790592492085</v>
      </c>
      <c r="S164" s="36" t="n">
        <v>-0.02514419270931512</v>
      </c>
      <c r="T164" s="36" t="n">
        <v>-0.0941889383165786</v>
      </c>
      <c r="U164" s="31" t="n">
        <v>13720</v>
      </c>
      <c r="V164" s="31" t="n">
        <v>7900</v>
      </c>
      <c r="W164" s="36" t="n">
        <v>-0.3717201166180758</v>
      </c>
      <c r="X164" s="36" t="n">
        <v>0.09113924050632916</v>
      </c>
      <c r="Y164" s="31" t="n">
        <v>33416778</v>
      </c>
      <c r="Z164" s="31" t="n">
        <v>288052626360</v>
      </c>
      <c r="AA164" s="31" t="n">
        <v>903496680</v>
      </c>
      <c r="AB164" s="31" t="n">
        <v>1311490240</v>
      </c>
      <c r="AC164" s="36" t="n">
        <v>0.003136568103603525</v>
      </c>
      <c r="AD164" s="29" t="inlineStr">
        <is>
          <t>yfinance_download</t>
        </is>
      </c>
      <c r="AE164" s="29" t="inlineStr">
        <is>
          <t>059090.KQ</t>
        </is>
      </c>
    </row>
    <row r="165" ht="24" customHeight="1">
      <c r="A165" s="24" t="inlineStr">
        <is>
          <t>2024-02-06</t>
        </is>
      </c>
      <c r="B165" s="30" t="n">
        <v>8690</v>
      </c>
      <c r="C165" s="30" t="n">
        <v>8860</v>
      </c>
      <c r="D165" s="30" t="n">
        <v>8500</v>
      </c>
      <c r="E165" s="30" t="n">
        <v>8800</v>
      </c>
      <c r="F165" s="30" t="n">
        <v>8800</v>
      </c>
      <c r="G165" s="30" t="n">
        <v>100161</v>
      </c>
      <c r="H165" s="35" t="n">
        <v>0.02088167053364276</v>
      </c>
      <c r="I165" s="35" t="n">
        <v>-0.4394904458598726</v>
      </c>
      <c r="J165" s="30" t="n">
        <v>8827</v>
      </c>
      <c r="K165" s="30" t="n">
        <v>8846.333333333334</v>
      </c>
      <c r="L165" s="30" t="n">
        <v>9498.916666666666</v>
      </c>
      <c r="M165" s="35" t="n">
        <v>0.3609961735346713</v>
      </c>
      <c r="N165" s="35" t="n">
        <v>0.3795646572553059</v>
      </c>
      <c r="O165" s="35" t="n">
        <v>-0.03719912472647702</v>
      </c>
      <c r="P165" s="35" t="n">
        <v>0.02803738317756999</v>
      </c>
      <c r="Q165" s="35" t="n">
        <v>-0.1919191919191919</v>
      </c>
      <c r="R165" s="35" t="n">
        <v>-0.003058796873229852</v>
      </c>
      <c r="S165" s="35" t="n">
        <v>-0.005237574889784935</v>
      </c>
      <c r="T165" s="35" t="n">
        <v>-0.07357856597682189</v>
      </c>
      <c r="U165" s="30" t="n">
        <v>13720</v>
      </c>
      <c r="V165" s="30" t="n">
        <v>7900</v>
      </c>
      <c r="W165" s="35" t="n">
        <v>-0.358600583090379</v>
      </c>
      <c r="X165" s="35" t="n">
        <v>0.1139240506329113</v>
      </c>
      <c r="Y165" s="30" t="n">
        <v>33416778</v>
      </c>
      <c r="Z165" s="30" t="n">
        <v>294067646400</v>
      </c>
      <c r="AA165" s="30" t="n">
        <v>881416800</v>
      </c>
      <c r="AB165" s="30" t="n">
        <v>1308420616</v>
      </c>
      <c r="AC165" s="35" t="n">
        <v>0.002997326672248294</v>
      </c>
      <c r="AD165" s="24" t="inlineStr">
        <is>
          <t>yfinance_download</t>
        </is>
      </c>
      <c r="AE165" s="24" t="inlineStr">
        <is>
          <t>059090.KQ</t>
        </is>
      </c>
    </row>
    <row r="166" ht="24" customHeight="1">
      <c r="A166" s="29" t="inlineStr">
        <is>
          <t>2024-02-07</t>
        </is>
      </c>
      <c r="B166" s="31" t="n">
        <v>8830</v>
      </c>
      <c r="C166" s="31" t="n">
        <v>8880</v>
      </c>
      <c r="D166" s="31" t="n">
        <v>8650</v>
      </c>
      <c r="E166" s="31" t="n">
        <v>8770</v>
      </c>
      <c r="F166" s="31" t="n">
        <v>8770</v>
      </c>
      <c r="G166" s="31" t="n">
        <v>78141</v>
      </c>
      <c r="H166" s="36" t="n">
        <v>-0.003409090909090917</v>
      </c>
      <c r="I166" s="36" t="n">
        <v>-0.4414012738853503</v>
      </c>
      <c r="J166" s="31" t="n">
        <v>8824.5</v>
      </c>
      <c r="K166" s="31" t="n">
        <v>8847.5</v>
      </c>
      <c r="L166" s="31" t="n">
        <v>9484.666666666666</v>
      </c>
      <c r="M166" s="36" t="n">
        <v>0.3390207295226969</v>
      </c>
      <c r="N166" s="36" t="n">
        <v>0.3782507283219625</v>
      </c>
      <c r="O166" s="36" t="n">
        <v>-0.005668934240362855</v>
      </c>
      <c r="P166" s="36" t="n">
        <v>0.008045977011494232</v>
      </c>
      <c r="Q166" s="36" t="n">
        <v>-0.1631679389312977</v>
      </c>
      <c r="R166" s="36" t="n">
        <v>-0.006175987308062791</v>
      </c>
      <c r="S166" s="36" t="n">
        <v>-0.0087595365922577</v>
      </c>
      <c r="T166" s="36" t="n">
        <v>-0.07534968721445134</v>
      </c>
      <c r="U166" s="31" t="n">
        <v>13720</v>
      </c>
      <c r="V166" s="31" t="n">
        <v>7900</v>
      </c>
      <c r="W166" s="36" t="n">
        <v>-0.3607871720116618</v>
      </c>
      <c r="X166" s="36" t="n">
        <v>0.1101265822784809</v>
      </c>
      <c r="Y166" s="31" t="n">
        <v>33416778</v>
      </c>
      <c r="Z166" s="31" t="n">
        <v>293065143060</v>
      </c>
      <c r="AA166" s="31" t="n">
        <v>685296570</v>
      </c>
      <c r="AB166" s="31" t="n">
        <v>1249086722.5</v>
      </c>
      <c r="AC166" s="36" t="n">
        <v>0.002338376249200327</v>
      </c>
      <c r="AD166" s="29" t="inlineStr">
        <is>
          <t>yfinance_download</t>
        </is>
      </c>
      <c r="AE166" s="29" t="inlineStr">
        <is>
          <t>059090.KQ</t>
        </is>
      </c>
    </row>
    <row r="167" ht="24" customHeight="1">
      <c r="A167" s="24" t="inlineStr">
        <is>
          <t>2024-02-08</t>
        </is>
      </c>
      <c r="B167" s="30" t="n">
        <v>8830</v>
      </c>
      <c r="C167" s="30" t="n">
        <v>9100</v>
      </c>
      <c r="D167" s="30" t="n">
        <v>8790</v>
      </c>
      <c r="E167" s="30" t="n">
        <v>9040</v>
      </c>
      <c r="F167" s="30" t="n">
        <v>9040</v>
      </c>
      <c r="G167" s="30" t="n">
        <v>137889</v>
      </c>
      <c r="H167" s="35" t="n">
        <v>0.03078677309007971</v>
      </c>
      <c r="I167" s="35" t="n">
        <v>-0.424203821656051</v>
      </c>
      <c r="J167" s="30" t="n">
        <v>8828.5</v>
      </c>
      <c r="K167" s="30" t="n">
        <v>8861.5</v>
      </c>
      <c r="L167" s="30" t="n">
        <v>9467.916666666666</v>
      </c>
      <c r="M167" s="35" t="n">
        <v>0.3521993194517868</v>
      </c>
      <c r="N167" s="35" t="n">
        <v>0.3635248356533354</v>
      </c>
      <c r="O167" s="35" t="n">
        <v>0.008928571428571397</v>
      </c>
      <c r="P167" s="35" t="n">
        <v>0.102439024390244</v>
      </c>
      <c r="Q167" s="35" t="n">
        <v>-0.1819004524886878</v>
      </c>
      <c r="R167" s="35" t="n">
        <v>0.02395650450246367</v>
      </c>
      <c r="S167" s="35" t="n">
        <v>0.02014331659425594</v>
      </c>
      <c r="T167" s="35" t="n">
        <v>-0.04519649694142491</v>
      </c>
      <c r="U167" s="30" t="n">
        <v>13720</v>
      </c>
      <c r="V167" s="30" t="n">
        <v>7900</v>
      </c>
      <c r="W167" s="35" t="n">
        <v>-0.3411078717201166</v>
      </c>
      <c r="X167" s="35" t="n">
        <v>0.1443037974683545</v>
      </c>
      <c r="Y167" s="30" t="n">
        <v>33416778</v>
      </c>
      <c r="Z167" s="30" t="n">
        <v>302087673120</v>
      </c>
      <c r="AA167" s="30" t="n">
        <v>1246516560</v>
      </c>
      <c r="AB167" s="30" t="n">
        <v>1260579782.5</v>
      </c>
      <c r="AC167" s="35" t="n">
        <v>0.00412634036710541</v>
      </c>
      <c r="AD167" s="24" t="inlineStr">
        <is>
          <t>yfinance_download</t>
        </is>
      </c>
      <c r="AE167" s="24" t="inlineStr">
        <is>
          <t>059090.KQ</t>
        </is>
      </c>
    </row>
    <row r="168" ht="24" customHeight="1">
      <c r="A168" s="29" t="inlineStr">
        <is>
          <t>2024-02-13</t>
        </is>
      </c>
      <c r="B168" s="31" t="n">
        <v>9090</v>
      </c>
      <c r="C168" s="31" t="n">
        <v>9360</v>
      </c>
      <c r="D168" s="31" t="n">
        <v>9060</v>
      </c>
      <c r="E168" s="31" t="n">
        <v>9280</v>
      </c>
      <c r="F168" s="31" t="n">
        <v>9280</v>
      </c>
      <c r="G168" s="31" t="n">
        <v>155944</v>
      </c>
      <c r="H168" s="36" t="n">
        <v>0.02654867256637172</v>
      </c>
      <c r="I168" s="36" t="n">
        <v>-0.4089171974522293</v>
      </c>
      <c r="J168" s="31" t="n">
        <v>8857.5</v>
      </c>
      <c r="K168" s="31" t="n">
        <v>8874.333333333334</v>
      </c>
      <c r="L168" s="31" t="n">
        <v>9455.25</v>
      </c>
      <c r="M168" s="36" t="n">
        <v>0.3452241738433259</v>
      </c>
      <c r="N168" s="36" t="n">
        <v>0.3594833371457787</v>
      </c>
      <c r="O168" s="36" t="n">
        <v>0.06666666666666665</v>
      </c>
      <c r="P168" s="36" t="n">
        <v>0.09048178613395996</v>
      </c>
      <c r="Q168" s="36" t="n">
        <v>-0.1407407407407407</v>
      </c>
      <c r="R168" s="36" t="n">
        <v>0.04769968952864811</v>
      </c>
      <c r="S168" s="36" t="n">
        <v>0.04571235397964157</v>
      </c>
      <c r="T168" s="36" t="n">
        <v>-0.0185346765024722</v>
      </c>
      <c r="U168" s="31" t="n">
        <v>13720</v>
      </c>
      <c r="V168" s="31" t="n">
        <v>7900</v>
      </c>
      <c r="W168" s="36" t="n">
        <v>-0.3236151603498543</v>
      </c>
      <c r="X168" s="36" t="n">
        <v>0.1746835443037975</v>
      </c>
      <c r="Y168" s="31" t="n">
        <v>33416778</v>
      </c>
      <c r="Z168" s="31" t="n">
        <v>310107699840</v>
      </c>
      <c r="AA168" s="31" t="n">
        <v>1447160320</v>
      </c>
      <c r="AB168" s="31" t="n">
        <v>1277546203.5</v>
      </c>
      <c r="AC168" s="36" t="n">
        <v>0.004666637818882479</v>
      </c>
      <c r="AD168" s="29" t="inlineStr">
        <is>
          <t>yfinance_download</t>
        </is>
      </c>
      <c r="AE168" s="29" t="inlineStr">
        <is>
          <t>059090.KQ</t>
        </is>
      </c>
    </row>
    <row r="169" ht="24" customHeight="1">
      <c r="A169" s="24" t="inlineStr">
        <is>
          <t>2024-02-14</t>
        </is>
      </c>
      <c r="B169" s="30" t="n">
        <v>9080</v>
      </c>
      <c r="C169" s="30" t="n">
        <v>9450</v>
      </c>
      <c r="D169" s="30" t="n">
        <v>9080</v>
      </c>
      <c r="E169" s="30" t="n">
        <v>9330</v>
      </c>
      <c r="F169" s="30" t="n">
        <v>9330</v>
      </c>
      <c r="G169" s="30" t="n">
        <v>164698</v>
      </c>
      <c r="H169" s="35" t="n">
        <v>0.005387931034482651</v>
      </c>
      <c r="I169" s="35" t="n">
        <v>-0.4057324840764331</v>
      </c>
      <c r="J169" s="30" t="n">
        <v>8892.5</v>
      </c>
      <c r="K169" s="30" t="n">
        <v>8884.333333333334</v>
      </c>
      <c r="L169" s="30" t="n">
        <v>9445.166666666666</v>
      </c>
      <c r="M169" s="35" t="n">
        <v>0.3425715731607986</v>
      </c>
      <c r="N169" s="35" t="n">
        <v>0.3560394090991115</v>
      </c>
      <c r="O169" s="35" t="n">
        <v>0.0811123986095017</v>
      </c>
      <c r="P169" s="35" t="n">
        <v>0.06872852233676974</v>
      </c>
      <c r="Q169" s="35" t="n">
        <v>-0.1148007590132827</v>
      </c>
      <c r="R169" s="35" t="n">
        <v>0.04919876300253012</v>
      </c>
      <c r="S169" s="35" t="n">
        <v>0.05016320864443014</v>
      </c>
      <c r="T169" s="35" t="n">
        <v>-0.01219318522701196</v>
      </c>
      <c r="U169" s="30" t="n">
        <v>13720</v>
      </c>
      <c r="V169" s="30" t="n">
        <v>7900</v>
      </c>
      <c r="W169" s="35" t="n">
        <v>-0.3199708454810496</v>
      </c>
      <c r="X169" s="35" t="n">
        <v>0.1810126582278482</v>
      </c>
      <c r="Y169" s="30" t="n">
        <v>33416778</v>
      </c>
      <c r="Z169" s="30" t="n">
        <v>311778538740</v>
      </c>
      <c r="AA169" s="30" t="n">
        <v>1536632340</v>
      </c>
      <c r="AB169" s="30" t="n">
        <v>1310185748</v>
      </c>
      <c r="AC169" s="35" t="n">
        <v>0.004928602033385744</v>
      </c>
      <c r="AD169" s="24" t="inlineStr">
        <is>
          <t>yfinance_download</t>
        </is>
      </c>
      <c r="AE169" s="24" t="inlineStr">
        <is>
          <t>059090.KQ</t>
        </is>
      </c>
    </row>
    <row r="170" ht="24" customHeight="1">
      <c r="A170" s="29" t="inlineStr">
        <is>
          <t>2024-02-15</t>
        </is>
      </c>
      <c r="B170" s="31" t="n">
        <v>9380</v>
      </c>
      <c r="C170" s="31" t="n">
        <v>9390</v>
      </c>
      <c r="D170" s="31" t="n">
        <v>9160</v>
      </c>
      <c r="E170" s="31" t="n">
        <v>9250</v>
      </c>
      <c r="F170" s="31" t="n">
        <v>9250</v>
      </c>
      <c r="G170" s="31" t="n">
        <v>116787</v>
      </c>
      <c r="H170" s="36" t="n">
        <v>-0.008574490889603381</v>
      </c>
      <c r="I170" s="36" t="n">
        <v>-0.410828025477707</v>
      </c>
      <c r="J170" s="31" t="n">
        <v>8923.5</v>
      </c>
      <c r="K170" s="31" t="n">
        <v>8890.5</v>
      </c>
      <c r="L170" s="31" t="n">
        <v>9431.666666666666</v>
      </c>
      <c r="M170" s="36" t="n">
        <v>0.3452828629428728</v>
      </c>
      <c r="N170" s="36" t="n">
        <v>0.3550599780611201</v>
      </c>
      <c r="O170" s="36" t="n">
        <v>0.07184241019698723</v>
      </c>
      <c r="P170" s="36" t="n">
        <v>0.04166666666666674</v>
      </c>
      <c r="Q170" s="36" t="n">
        <v>-0.1490340386384544</v>
      </c>
      <c r="R170" s="36" t="n">
        <v>0.03658878242841945</v>
      </c>
      <c r="S170" s="36" t="n">
        <v>0.04043642089871202</v>
      </c>
      <c r="T170" s="36" t="n">
        <v>-0.01926135359604164</v>
      </c>
      <c r="U170" s="31" t="n">
        <v>13720</v>
      </c>
      <c r="V170" s="31" t="n">
        <v>7900</v>
      </c>
      <c r="W170" s="36" t="n">
        <v>-0.325801749271137</v>
      </c>
      <c r="X170" s="36" t="n">
        <v>0.1708860759493671</v>
      </c>
      <c r="Y170" s="31" t="n">
        <v>33416778</v>
      </c>
      <c r="Z170" s="31" t="n">
        <v>309105196500</v>
      </c>
      <c r="AA170" s="31" t="n">
        <v>1080279750</v>
      </c>
      <c r="AB170" s="31" t="n">
        <v>1318301512</v>
      </c>
      <c r="AC170" s="36" t="n">
        <v>0.003494861174228108</v>
      </c>
      <c r="AD170" s="29" t="inlineStr">
        <is>
          <t>yfinance_download</t>
        </is>
      </c>
      <c r="AE170" s="29" t="inlineStr">
        <is>
          <t>059090.KQ</t>
        </is>
      </c>
    </row>
    <row r="171" ht="24" customHeight="1">
      <c r="A171" s="24" t="inlineStr">
        <is>
          <t>2024-02-16</t>
        </is>
      </c>
      <c r="B171" s="30" t="n">
        <v>9170</v>
      </c>
      <c r="C171" s="30" t="n">
        <v>9270</v>
      </c>
      <c r="D171" s="30" t="n">
        <v>8990</v>
      </c>
      <c r="E171" s="30" t="n">
        <v>9080</v>
      </c>
      <c r="F171" s="30" t="n">
        <v>9080</v>
      </c>
      <c r="G171" s="30" t="n">
        <v>112717</v>
      </c>
      <c r="H171" s="35" t="n">
        <v>-0.01837837837837841</v>
      </c>
      <c r="I171" s="35" t="n">
        <v>-0.421656050955414</v>
      </c>
      <c r="J171" s="30" t="n">
        <v>8962.5</v>
      </c>
      <c r="K171" s="30" t="n">
        <v>8895.5</v>
      </c>
      <c r="L171" s="30" t="n">
        <v>9415.416666666666</v>
      </c>
      <c r="M171" s="35" t="n">
        <v>0.3195262402705351</v>
      </c>
      <c r="N171" s="35" t="n">
        <v>0.3564002572554044</v>
      </c>
      <c r="O171" s="35" t="n">
        <v>0.09397590361445785</v>
      </c>
      <c r="P171" s="35" t="n">
        <v>0.03416856492027343</v>
      </c>
      <c r="Q171" s="35" t="n">
        <v>-0.1767905711695377</v>
      </c>
      <c r="R171" s="35" t="n">
        <v>0.01311018131101815</v>
      </c>
      <c r="S171" s="35" t="n">
        <v>0.02074082401214095</v>
      </c>
      <c r="T171" s="35" t="n">
        <v>-0.03562419790237636</v>
      </c>
      <c r="U171" s="30" t="n">
        <v>13720</v>
      </c>
      <c r="V171" s="30" t="n">
        <v>7900</v>
      </c>
      <c r="W171" s="35" t="n">
        <v>-0.3381924198250729</v>
      </c>
      <c r="X171" s="35" t="n">
        <v>0.1493670886075948</v>
      </c>
      <c r="Y171" s="30" t="n">
        <v>33416778</v>
      </c>
      <c r="Z171" s="30" t="n">
        <v>303424344240</v>
      </c>
      <c r="AA171" s="30" t="n">
        <v>1023470360</v>
      </c>
      <c r="AB171" s="30" t="n">
        <v>1301397185</v>
      </c>
      <c r="AC171" s="35" t="n">
        <v>0.003373066068787362</v>
      </c>
      <c r="AD171" s="24" t="inlineStr">
        <is>
          <t>yfinance_download</t>
        </is>
      </c>
      <c r="AE171" s="24" t="inlineStr">
        <is>
          <t>059090.KQ</t>
        </is>
      </c>
    </row>
    <row r="172" ht="24" customHeight="1">
      <c r="A172" s="29" t="inlineStr">
        <is>
          <t>2024-02-19</t>
        </is>
      </c>
      <c r="B172" s="31" t="n">
        <v>9030</v>
      </c>
      <c r="C172" s="31" t="n">
        <v>9210</v>
      </c>
      <c r="D172" s="31" t="n">
        <v>9010</v>
      </c>
      <c r="E172" s="31" t="n">
        <v>9200</v>
      </c>
      <c r="F172" s="31" t="n">
        <v>9200</v>
      </c>
      <c r="G172" s="31" t="n">
        <v>95836</v>
      </c>
      <c r="H172" s="36" t="n">
        <v>0.01321585903083711</v>
      </c>
      <c r="I172" s="36" t="n">
        <v>-0.4140127388535032</v>
      </c>
      <c r="J172" s="31" t="n">
        <v>9007</v>
      </c>
      <c r="K172" s="31" t="n">
        <v>8900</v>
      </c>
      <c r="L172" s="31" t="n">
        <v>9399.833333333334</v>
      </c>
      <c r="M172" s="36" t="n">
        <v>0.3206307238563313</v>
      </c>
      <c r="N172" s="36" t="n">
        <v>0.3557331039504313</v>
      </c>
      <c r="O172" s="36" t="n">
        <v>0.1070998796630565</v>
      </c>
      <c r="P172" s="36" t="n">
        <v>0.03023516237402024</v>
      </c>
      <c r="Q172" s="36" t="n">
        <v>-0.1689250225835591</v>
      </c>
      <c r="R172" s="36" t="n">
        <v>0.02142777839458199</v>
      </c>
      <c r="S172" s="36" t="n">
        <v>0.03370786516853941</v>
      </c>
      <c r="T172" s="36" t="n">
        <v>-0.02125924218514519</v>
      </c>
      <c r="U172" s="31" t="n">
        <v>13720</v>
      </c>
      <c r="V172" s="31" t="n">
        <v>7900</v>
      </c>
      <c r="W172" s="36" t="n">
        <v>-0.3294460641399417</v>
      </c>
      <c r="X172" s="36" t="n">
        <v>0.1645569620253164</v>
      </c>
      <c r="Y172" s="31" t="n">
        <v>33416778</v>
      </c>
      <c r="Z172" s="31" t="n">
        <v>307434357600</v>
      </c>
      <c r="AA172" s="31" t="n">
        <v>881691200</v>
      </c>
      <c r="AB172" s="31" t="n">
        <v>1299334653</v>
      </c>
      <c r="AC172" s="36" t="n">
        <v>0.002867900669537919</v>
      </c>
      <c r="AD172" s="29" t="inlineStr">
        <is>
          <t>yfinance_download</t>
        </is>
      </c>
      <c r="AE172" s="29" t="inlineStr">
        <is>
          <t>059090.KQ</t>
        </is>
      </c>
    </row>
    <row r="173" ht="24" customHeight="1">
      <c r="A173" s="24" t="inlineStr">
        <is>
          <t>2024-02-20</t>
        </is>
      </c>
      <c r="B173" s="30" t="n">
        <v>9180</v>
      </c>
      <c r="C173" s="30" t="n">
        <v>9760</v>
      </c>
      <c r="D173" s="30" t="n">
        <v>9150</v>
      </c>
      <c r="E173" s="30" t="n">
        <v>9360</v>
      </c>
      <c r="F173" s="30" t="n">
        <v>9360</v>
      </c>
      <c r="G173" s="30" t="n">
        <v>269249</v>
      </c>
      <c r="H173" s="35" t="n">
        <v>0.01739130434782599</v>
      </c>
      <c r="I173" s="35" t="n">
        <v>-0.4038216560509554</v>
      </c>
      <c r="J173" s="30" t="n">
        <v>9035.5</v>
      </c>
      <c r="K173" s="30" t="n">
        <v>8905.5</v>
      </c>
      <c r="L173" s="30" t="n">
        <v>9391.083333333334</v>
      </c>
      <c r="M173" s="35" t="n">
        <v>0.25913293809568</v>
      </c>
      <c r="N173" s="35" t="n">
        <v>0.3567357213255823</v>
      </c>
      <c r="O173" s="35" t="n">
        <v>0.06484641638225264</v>
      </c>
      <c r="P173" s="35" t="n">
        <v>0.03654485049833878</v>
      </c>
      <c r="Q173" s="35" t="n">
        <v>-0.100864553314121</v>
      </c>
      <c r="R173" s="35" t="n">
        <v>0.03591389519119037</v>
      </c>
      <c r="S173" s="35" t="n">
        <v>0.05103587670540688</v>
      </c>
      <c r="T173" s="35" t="n">
        <v>-0.003309877277204554</v>
      </c>
      <c r="U173" s="30" t="n">
        <v>13720</v>
      </c>
      <c r="V173" s="30" t="n">
        <v>7900</v>
      </c>
      <c r="W173" s="35" t="n">
        <v>-0.3177842565597667</v>
      </c>
      <c r="X173" s="35" t="n">
        <v>0.1848101265822786</v>
      </c>
      <c r="Y173" s="30" t="n">
        <v>33416778</v>
      </c>
      <c r="Z173" s="30" t="n">
        <v>312781042080</v>
      </c>
      <c r="AA173" s="30" t="n">
        <v>2520170640</v>
      </c>
      <c r="AB173" s="30" t="n">
        <v>1361696992.5</v>
      </c>
      <c r="AC173" s="35" t="n">
        <v>0.008057299839020985</v>
      </c>
      <c r="AD173" s="24" t="inlineStr">
        <is>
          <t>yfinance_download</t>
        </is>
      </c>
      <c r="AE173" s="24" t="inlineStr">
        <is>
          <t>059090.KQ</t>
        </is>
      </c>
    </row>
    <row r="174" ht="24" customHeight="1">
      <c r="A174" s="29" t="inlineStr">
        <is>
          <t>2024-02-21</t>
        </is>
      </c>
      <c r="B174" s="31" t="n">
        <v>9360</v>
      </c>
      <c r="C174" s="31" t="n">
        <v>9610</v>
      </c>
      <c r="D174" s="31" t="n">
        <v>9230</v>
      </c>
      <c r="E174" s="31" t="n">
        <v>9320</v>
      </c>
      <c r="F174" s="31" t="n">
        <v>9320</v>
      </c>
      <c r="G174" s="31" t="n">
        <v>141612</v>
      </c>
      <c r="H174" s="36" t="n">
        <v>-0.004273504273504258</v>
      </c>
      <c r="I174" s="36" t="n">
        <v>-0.4063694267515924</v>
      </c>
      <c r="J174" s="31" t="n">
        <v>9055</v>
      </c>
      <c r="K174" s="31" t="n">
        <v>8913</v>
      </c>
      <c r="L174" s="31" t="n">
        <v>9381.25</v>
      </c>
      <c r="M174" s="36" t="n">
        <v>0.2559506886044022</v>
      </c>
      <c r="N174" s="36" t="n">
        <v>0.3548064819734272</v>
      </c>
      <c r="O174" s="36" t="n">
        <v>0.04367301231802911</v>
      </c>
      <c r="P174" s="36" t="n">
        <v>0.05073280721533258</v>
      </c>
      <c r="Q174" s="36" t="n">
        <v>-0.1123809523809524</v>
      </c>
      <c r="R174" s="36" t="n">
        <v>0.02926559911651028</v>
      </c>
      <c r="S174" s="36" t="n">
        <v>0.04566363738359702</v>
      </c>
      <c r="T174" s="36" t="n">
        <v>-0.006528980679546992</v>
      </c>
      <c r="U174" s="31" t="n">
        <v>13720</v>
      </c>
      <c r="V174" s="31" t="n">
        <v>7900</v>
      </c>
      <c r="W174" s="36" t="n">
        <v>-0.3206997084548106</v>
      </c>
      <c r="X174" s="36" t="n">
        <v>0.179746835443038</v>
      </c>
      <c r="Y174" s="31" t="n">
        <v>33416778</v>
      </c>
      <c r="Z174" s="31" t="n">
        <v>311444370960</v>
      </c>
      <c r="AA174" s="31" t="n">
        <v>1319823840</v>
      </c>
      <c r="AB174" s="31" t="n">
        <v>1353282978</v>
      </c>
      <c r="AC174" s="36" t="n">
        <v>0.004237751467241995</v>
      </c>
      <c r="AD174" s="29" t="inlineStr">
        <is>
          <t>yfinance_download</t>
        </is>
      </c>
      <c r="AE174" s="29" t="inlineStr">
        <is>
          <t>059090.KQ</t>
        </is>
      </c>
    </row>
    <row r="175" ht="24" customHeight="1">
      <c r="A175" s="24" t="inlineStr">
        <is>
          <t>2024-02-22</t>
        </is>
      </c>
      <c r="B175" s="30" t="n">
        <v>9360</v>
      </c>
      <c r="C175" s="30" t="n">
        <v>9840</v>
      </c>
      <c r="D175" s="30" t="n">
        <v>9320</v>
      </c>
      <c r="E175" s="30" t="n">
        <v>9660</v>
      </c>
      <c r="F175" s="30" t="n">
        <v>9660</v>
      </c>
      <c r="G175" s="30" t="n">
        <v>331968</v>
      </c>
      <c r="H175" s="35" t="n">
        <v>0.03648068669527893</v>
      </c>
      <c r="I175" s="35" t="n">
        <v>-0.3847133757961784</v>
      </c>
      <c r="J175" s="30" t="n">
        <v>9087</v>
      </c>
      <c r="K175" s="30" t="n">
        <v>8928.166666666666</v>
      </c>
      <c r="L175" s="30" t="n">
        <v>9370.583333333334</v>
      </c>
      <c r="M175" s="35" t="n">
        <v>0.2824315869550153</v>
      </c>
      <c r="N175" s="35" t="n">
        <v>0.3607712720994646</v>
      </c>
      <c r="O175" s="35" t="n">
        <v>0.07095343680709543</v>
      </c>
      <c r="P175" s="35" t="n">
        <v>0.1040000000000001</v>
      </c>
      <c r="Q175" s="35" t="n">
        <v>-0.1170018281535649</v>
      </c>
      <c r="R175" s="35" t="n">
        <v>0.06305711455926044</v>
      </c>
      <c r="S175" s="35" t="n">
        <v>0.08196904926356674</v>
      </c>
      <c r="T175" s="35" t="n">
        <v>0.03088566168950702</v>
      </c>
      <c r="U175" s="30" t="n">
        <v>13720</v>
      </c>
      <c r="V175" s="30" t="n">
        <v>7900</v>
      </c>
      <c r="W175" s="35" t="n">
        <v>-0.2959183673469388</v>
      </c>
      <c r="X175" s="35" t="n">
        <v>0.2227848101265824</v>
      </c>
      <c r="Y175" s="30" t="n">
        <v>33416778</v>
      </c>
      <c r="Z175" s="30" t="n">
        <v>322806075480</v>
      </c>
      <c r="AA175" s="30" t="n">
        <v>3206810880</v>
      </c>
      <c r="AB175" s="30" t="n">
        <v>1465149591</v>
      </c>
      <c r="AC175" s="35" t="n">
        <v>0.009934171391389079</v>
      </c>
      <c r="AD175" s="24" t="inlineStr">
        <is>
          <t>yfinance_download</t>
        </is>
      </c>
      <c r="AE175" s="24" t="inlineStr">
        <is>
          <t>059090.KQ</t>
        </is>
      </c>
    </row>
    <row r="176" ht="24" customHeight="1">
      <c r="A176" s="29" t="inlineStr">
        <is>
          <t>2024-02-23</t>
        </is>
      </c>
      <c r="B176" s="31" t="n">
        <v>9800</v>
      </c>
      <c r="C176" s="31" t="n">
        <v>9900</v>
      </c>
      <c r="D176" s="31" t="n">
        <v>9490</v>
      </c>
      <c r="E176" s="31" t="n">
        <v>9550</v>
      </c>
      <c r="F176" s="31" t="n">
        <v>9550</v>
      </c>
      <c r="G176" s="31" t="n">
        <v>295070</v>
      </c>
      <c r="H176" s="36" t="n">
        <v>-0.01138716356107661</v>
      </c>
      <c r="I176" s="36" t="n">
        <v>-0.39171974522293</v>
      </c>
      <c r="J176" s="31" t="n">
        <v>9113</v>
      </c>
      <c r="K176" s="31" t="n">
        <v>8940.666666666666</v>
      </c>
      <c r="L176" s="31" t="n">
        <v>9365.25</v>
      </c>
      <c r="M176" s="36" t="n">
        <v>0.287324216872572</v>
      </c>
      <c r="N176" s="36" t="n">
        <v>0.3617004724665838</v>
      </c>
      <c r="O176" s="36" t="n">
        <v>0.0575858250276855</v>
      </c>
      <c r="P176" s="36" t="n">
        <v>0.08522727272727271</v>
      </c>
      <c r="Q176" s="36" t="n">
        <v>-0.06280667320902844</v>
      </c>
      <c r="R176" s="36" t="n">
        <v>0.04795347306046316</v>
      </c>
      <c r="S176" s="36" t="n">
        <v>0.06815300872418173</v>
      </c>
      <c r="T176" s="36" t="n">
        <v>0.019727182936921</v>
      </c>
      <c r="U176" s="31" t="n">
        <v>13720</v>
      </c>
      <c r="V176" s="31" t="n">
        <v>7900</v>
      </c>
      <c r="W176" s="36" t="n">
        <v>-0.3039358600583091</v>
      </c>
      <c r="X176" s="36" t="n">
        <v>0.2088607594936709</v>
      </c>
      <c r="Y176" s="31" t="n">
        <v>33416778</v>
      </c>
      <c r="Z176" s="31" t="n">
        <v>319130229900</v>
      </c>
      <c r="AA176" s="31" t="n">
        <v>2817918500</v>
      </c>
      <c r="AB176" s="31" t="n">
        <v>1549544806</v>
      </c>
      <c r="AC176" s="36" t="n">
        <v>0.008829995519017423</v>
      </c>
      <c r="AD176" s="29" t="inlineStr">
        <is>
          <t>yfinance_download</t>
        </is>
      </c>
      <c r="AE176" s="29" t="inlineStr">
        <is>
          <t>059090.KQ</t>
        </is>
      </c>
    </row>
    <row r="177" ht="24" customHeight="1">
      <c r="A177" s="24" t="inlineStr">
        <is>
          <t>2024-02-26</t>
        </is>
      </c>
      <c r="B177" s="30" t="n">
        <v>9650</v>
      </c>
      <c r="C177" s="30" t="n">
        <v>9650</v>
      </c>
      <c r="D177" s="30" t="n">
        <v>9240</v>
      </c>
      <c r="E177" s="30" t="n">
        <v>9350</v>
      </c>
      <c r="F177" s="30" t="n">
        <v>9350</v>
      </c>
      <c r="G177" s="30" t="n">
        <v>142113</v>
      </c>
      <c r="H177" s="35" t="n">
        <v>-0.02094240837696337</v>
      </c>
      <c r="I177" s="35" t="n">
        <v>-0.4044585987261147</v>
      </c>
      <c r="J177" s="30" t="n">
        <v>9122.5</v>
      </c>
      <c r="K177" s="30" t="n">
        <v>8949</v>
      </c>
      <c r="L177" s="30" t="n">
        <v>9358.833333333334</v>
      </c>
      <c r="M177" s="35" t="n">
        <v>0.2959192804493703</v>
      </c>
      <c r="N177" s="35" t="n">
        <v>0.3645267961138092</v>
      </c>
      <c r="O177" s="35" t="n">
        <v>0.02074235807860259</v>
      </c>
      <c r="P177" s="35" t="n">
        <v>0.05649717514124286</v>
      </c>
      <c r="Q177" s="35" t="n">
        <v>-0.07608695652173914</v>
      </c>
      <c r="R177" s="35" t="n">
        <v>0.02493833927103317</v>
      </c>
      <c r="S177" s="35" t="n">
        <v>0.04480947591909712</v>
      </c>
      <c r="T177" s="35" t="n">
        <v>-0.0009438498388332217</v>
      </c>
      <c r="U177" s="30" t="n">
        <v>13720</v>
      </c>
      <c r="V177" s="30" t="n">
        <v>7900</v>
      </c>
      <c r="W177" s="35" t="n">
        <v>-0.3185131195335277</v>
      </c>
      <c r="X177" s="35" t="n">
        <v>0.1835443037974684</v>
      </c>
      <c r="Y177" s="30" t="n">
        <v>33416778</v>
      </c>
      <c r="Z177" s="30" t="n">
        <v>312446874300</v>
      </c>
      <c r="AA177" s="30" t="n">
        <v>1328756550</v>
      </c>
      <c r="AB177" s="30" t="n">
        <v>1475330375.5</v>
      </c>
      <c r="AC177" s="35" t="n">
        <v>0.004252743935995265</v>
      </c>
      <c r="AD177" s="24" t="inlineStr">
        <is>
          <t>yfinance_download</t>
        </is>
      </c>
      <c r="AE177" s="24" t="inlineStr">
        <is>
          <t>059090.KQ</t>
        </is>
      </c>
    </row>
    <row r="178" ht="24" customHeight="1">
      <c r="A178" s="29" t="inlineStr">
        <is>
          <t>2024-02-27</t>
        </is>
      </c>
      <c r="B178" s="31" t="n">
        <v>9210</v>
      </c>
      <c r="C178" s="31" t="n">
        <v>9330</v>
      </c>
      <c r="D178" s="31" t="n">
        <v>9010</v>
      </c>
      <c r="E178" s="31" t="n">
        <v>9180</v>
      </c>
      <c r="F178" s="31" t="n">
        <v>9180</v>
      </c>
      <c r="G178" s="31" t="n">
        <v>177931</v>
      </c>
      <c r="H178" s="36" t="n">
        <v>-0.01818181818181819</v>
      </c>
      <c r="I178" s="36" t="n">
        <v>-0.4152866242038217</v>
      </c>
      <c r="J178" s="31" t="n">
        <v>9121</v>
      </c>
      <c r="K178" s="31" t="n">
        <v>8955</v>
      </c>
      <c r="L178" s="31" t="n">
        <v>9352.833333333334</v>
      </c>
      <c r="M178" s="36" t="n">
        <v>0.3032061690911255</v>
      </c>
      <c r="N178" s="36" t="n">
        <v>0.3665723230490516</v>
      </c>
      <c r="O178" s="36" t="n">
        <v>-0.003257328990228014</v>
      </c>
      <c r="P178" s="36" t="n">
        <v>0.04081632653061229</v>
      </c>
      <c r="Q178" s="36" t="n">
        <v>-0.07272727272727275</v>
      </c>
      <c r="R178" s="36" t="n">
        <v>0.006468588970507616</v>
      </c>
      <c r="S178" s="36" t="n">
        <v>0.02512562814070352</v>
      </c>
      <c r="T178" s="36" t="n">
        <v>-0.01847924871251139</v>
      </c>
      <c r="U178" s="31" t="n">
        <v>13720</v>
      </c>
      <c r="V178" s="31" t="n">
        <v>7900</v>
      </c>
      <c r="W178" s="36" t="n">
        <v>-0.3309037900874635</v>
      </c>
      <c r="X178" s="36" t="n">
        <v>0.1620253164556962</v>
      </c>
      <c r="Y178" s="31" t="n">
        <v>33416778</v>
      </c>
      <c r="Z178" s="31" t="n">
        <v>306766022040</v>
      </c>
      <c r="AA178" s="31" t="n">
        <v>1633406580</v>
      </c>
      <c r="AB178" s="31" t="n">
        <v>1472028784</v>
      </c>
      <c r="AC178" s="36" t="n">
        <v>0.005324600714048494</v>
      </c>
      <c r="AD178" s="29" t="inlineStr">
        <is>
          <t>yfinance_download</t>
        </is>
      </c>
      <c r="AE178" s="29" t="inlineStr">
        <is>
          <t>059090.KQ</t>
        </is>
      </c>
    </row>
    <row r="179" ht="24" customHeight="1">
      <c r="A179" s="24" t="inlineStr">
        <is>
          <t>2024-02-28</t>
        </is>
      </c>
      <c r="B179" s="30" t="n">
        <v>9190</v>
      </c>
      <c r="C179" s="30" t="n">
        <v>9620</v>
      </c>
      <c r="D179" s="30" t="n">
        <v>9160</v>
      </c>
      <c r="E179" s="30" t="n">
        <v>9520</v>
      </c>
      <c r="F179" s="30" t="n">
        <v>9520</v>
      </c>
      <c r="G179" s="30" t="n">
        <v>221933</v>
      </c>
      <c r="H179" s="35" t="n">
        <v>0.03703703703703698</v>
      </c>
      <c r="I179" s="35" t="n">
        <v>-0.3936305732484077</v>
      </c>
      <c r="J179" s="30" t="n">
        <v>9146.5</v>
      </c>
      <c r="K179" s="30" t="n">
        <v>8968.5</v>
      </c>
      <c r="L179" s="30" t="n">
        <v>9344.916666666666</v>
      </c>
      <c r="M179" s="35" t="n">
        <v>0.3186998792998019</v>
      </c>
      <c r="N179" s="35" t="n">
        <v>0.3728320237662954</v>
      </c>
      <c r="O179" s="35" t="n">
        <v>0.05660377358490565</v>
      </c>
      <c r="P179" s="35" t="n">
        <v>0.09299655568312293</v>
      </c>
      <c r="Q179" s="35" t="n">
        <v>-0.09073543457497613</v>
      </c>
      <c r="R179" s="35" t="n">
        <v>0.04083529218826865</v>
      </c>
      <c r="S179" s="35" t="n">
        <v>0.06149300328929019</v>
      </c>
      <c r="T179" s="35" t="n">
        <v>0.0187356762589288</v>
      </c>
      <c r="U179" s="30" t="n">
        <v>13720</v>
      </c>
      <c r="V179" s="30" t="n">
        <v>7900</v>
      </c>
      <c r="W179" s="35" t="n">
        <v>-0.3061224489795918</v>
      </c>
      <c r="X179" s="35" t="n">
        <v>0.2050632911392405</v>
      </c>
      <c r="Y179" s="30" t="n">
        <v>33416778</v>
      </c>
      <c r="Z179" s="30" t="n">
        <v>318127726560</v>
      </c>
      <c r="AA179" s="30" t="n">
        <v>2112802160</v>
      </c>
      <c r="AB179" s="30" t="n">
        <v>1505177585.5</v>
      </c>
      <c r="AC179" s="35" t="n">
        <v>0.006641364406825816</v>
      </c>
      <c r="AD179" s="24" t="inlineStr">
        <is>
          <t>yfinance_download</t>
        </is>
      </c>
      <c r="AE179" s="24" t="inlineStr">
        <is>
          <t>059090.KQ</t>
        </is>
      </c>
    </row>
    <row r="180" ht="24" customHeight="1">
      <c r="A180" s="29" t="inlineStr">
        <is>
          <t>2024-02-29</t>
        </is>
      </c>
      <c r="B180" s="31" t="n">
        <v>9490</v>
      </c>
      <c r="C180" s="31" t="n">
        <v>9510</v>
      </c>
      <c r="D180" s="31" t="n">
        <v>9330</v>
      </c>
      <c r="E180" s="31" t="n">
        <v>9350</v>
      </c>
      <c r="F180" s="31" t="n">
        <v>9350</v>
      </c>
      <c r="G180" s="31" t="n">
        <v>106601</v>
      </c>
      <c r="H180" s="36" t="n">
        <v>-0.0178571428571429</v>
      </c>
      <c r="I180" s="36" t="n">
        <v>-0.4044585987261147</v>
      </c>
      <c r="J180" s="31" t="n">
        <v>9159</v>
      </c>
      <c r="K180" s="31" t="n">
        <v>8972.166666666666</v>
      </c>
      <c r="L180" s="31" t="n">
        <v>9330.416666666666</v>
      </c>
      <c r="M180" s="36" t="n">
        <v>0.325788398834439</v>
      </c>
      <c r="N180" s="36" t="n">
        <v>0.3620939137310429</v>
      </c>
      <c r="O180" s="36" t="n">
        <v>0.02747252747252737</v>
      </c>
      <c r="P180" s="36" t="n">
        <v>0.02409638554216875</v>
      </c>
      <c r="Q180" s="36" t="n">
        <v>-0.1568981064021641</v>
      </c>
      <c r="R180" s="36" t="n">
        <v>0.02085380500054601</v>
      </c>
      <c r="S180" s="36" t="n">
        <v>0.0421117158620179</v>
      </c>
      <c r="T180" s="36" t="n">
        <v>0.002098870182646317</v>
      </c>
      <c r="U180" s="31" t="n">
        <v>13720</v>
      </c>
      <c r="V180" s="31" t="n">
        <v>7900</v>
      </c>
      <c r="W180" s="36" t="n">
        <v>-0.3185131195335277</v>
      </c>
      <c r="X180" s="36" t="n">
        <v>0.1835443037974684</v>
      </c>
      <c r="Y180" s="31" t="n">
        <v>33416778</v>
      </c>
      <c r="Z180" s="31" t="n">
        <v>312446874300</v>
      </c>
      <c r="AA180" s="31" t="n">
        <v>996719350</v>
      </c>
      <c r="AB180" s="31" t="n">
        <v>1506535123</v>
      </c>
      <c r="AC180" s="36" t="n">
        <v>0.003190044234665592</v>
      </c>
      <c r="AD180" s="29" t="inlineStr">
        <is>
          <t>yfinance_download</t>
        </is>
      </c>
      <c r="AE180" s="29" t="inlineStr">
        <is>
          <t>059090.KQ</t>
        </is>
      </c>
    </row>
    <row r="181" ht="24" customHeight="1">
      <c r="A181" s="24" t="inlineStr">
        <is>
          <t>2024-03-04</t>
        </is>
      </c>
      <c r="B181" s="30" t="n">
        <v>9520</v>
      </c>
      <c r="C181" s="30" t="n">
        <v>10650</v>
      </c>
      <c r="D181" s="30" t="n">
        <v>9520</v>
      </c>
      <c r="E181" s="30" t="n">
        <v>10650</v>
      </c>
      <c r="F181" s="30" t="n">
        <v>10650</v>
      </c>
      <c r="G181" s="30" t="n">
        <v>1049349</v>
      </c>
      <c r="H181" s="35" t="n">
        <v>0.1390374331550801</v>
      </c>
      <c r="I181" s="35" t="n">
        <v>-0.3216560509554141</v>
      </c>
      <c r="J181" s="30" t="n">
        <v>9242</v>
      </c>
      <c r="K181" s="30" t="n">
        <v>9001.666666666666</v>
      </c>
      <c r="L181" s="30" t="n">
        <v>9314.416666666666</v>
      </c>
      <c r="M181" s="35" t="n">
        <v>0.5824240657117449</v>
      </c>
      <c r="N181" s="35" t="n">
        <v>0.4556116682223875</v>
      </c>
      <c r="O181" s="35" t="n">
        <v>0.1846496106785318</v>
      </c>
      <c r="P181" s="35" t="n">
        <v>0.1993243243243243</v>
      </c>
      <c r="Q181" s="35" t="n">
        <v>-0.152744630071599</v>
      </c>
      <c r="R181" s="35" t="n">
        <v>0.1523479766284355</v>
      </c>
      <c r="S181" s="35" t="n">
        <v>0.1831142381040549</v>
      </c>
      <c r="T181" s="35" t="n">
        <v>0.1433888327234665</v>
      </c>
      <c r="U181" s="30" t="n">
        <v>13720</v>
      </c>
      <c r="V181" s="30" t="n">
        <v>7900</v>
      </c>
      <c r="W181" s="35" t="n">
        <v>-0.2237609329446064</v>
      </c>
      <c r="X181" s="35" t="n">
        <v>0.3481012658227849</v>
      </c>
      <c r="Y181" s="30" t="n">
        <v>33416778</v>
      </c>
      <c r="Z181" s="30" t="n">
        <v>355888685700</v>
      </c>
      <c r="AA181" s="30" t="n">
        <v>11175566850</v>
      </c>
      <c r="AB181" s="30" t="n">
        <v>1980050957</v>
      </c>
      <c r="AC181" s="35" t="n">
        <v>0.03140186046661949</v>
      </c>
      <c r="AD181" s="24" t="inlineStr">
        <is>
          <t>yfinance_download</t>
        </is>
      </c>
      <c r="AE181" s="24" t="inlineStr">
        <is>
          <t>059090.KQ</t>
        </is>
      </c>
    </row>
    <row r="182" ht="24" customHeight="1">
      <c r="A182" s="29" t="inlineStr">
        <is>
          <t>2024-03-05</t>
        </is>
      </c>
      <c r="B182" s="31" t="n">
        <v>10690</v>
      </c>
      <c r="C182" s="31" t="n">
        <v>10920</v>
      </c>
      <c r="D182" s="31" t="n">
        <v>10120</v>
      </c>
      <c r="E182" s="31" t="n">
        <v>10800</v>
      </c>
      <c r="F182" s="31" t="n">
        <v>10800</v>
      </c>
      <c r="G182" s="31" t="n">
        <v>561876</v>
      </c>
      <c r="H182" s="36" t="n">
        <v>0.0140845070422535</v>
      </c>
      <c r="I182" s="36" t="n">
        <v>-0.3121019108280255</v>
      </c>
      <c r="J182" s="31" t="n">
        <v>9344</v>
      </c>
      <c r="K182" s="31" t="n">
        <v>9037</v>
      </c>
      <c r="L182" s="31" t="n">
        <v>9299.166666666666</v>
      </c>
      <c r="M182" s="36" t="n">
        <v>0.5679234630226764</v>
      </c>
      <c r="N182" s="36" t="n">
        <v>0.4528759835852306</v>
      </c>
      <c r="O182" s="36" t="n">
        <v>0.2328767123287672</v>
      </c>
      <c r="P182" s="36" t="n">
        <v>0.2442396313364055</v>
      </c>
      <c r="Q182" s="36" t="n">
        <v>-0.1448931116389549</v>
      </c>
      <c r="R182" s="36" t="n">
        <v>0.1558219178082192</v>
      </c>
      <c r="S182" s="36" t="n">
        <v>0.195086865110103</v>
      </c>
      <c r="T182" s="36" t="n">
        <v>0.1613943901783315</v>
      </c>
      <c r="U182" s="31" t="n">
        <v>13720</v>
      </c>
      <c r="V182" s="31" t="n">
        <v>7900</v>
      </c>
      <c r="W182" s="36" t="n">
        <v>-0.2128279883381924</v>
      </c>
      <c r="X182" s="36" t="n">
        <v>0.3670886075949367</v>
      </c>
      <c r="Y182" s="31" t="n">
        <v>33416778</v>
      </c>
      <c r="Z182" s="31" t="n">
        <v>360901202400</v>
      </c>
      <c r="AA182" s="31" t="n">
        <v>6068260800</v>
      </c>
      <c r="AB182" s="31" t="n">
        <v>2205026519</v>
      </c>
      <c r="AC182" s="36" t="n">
        <v>0.01681418836968663</v>
      </c>
      <c r="AD182" s="29" t="inlineStr">
        <is>
          <t>yfinance_download</t>
        </is>
      </c>
      <c r="AE182" s="29" t="inlineStr">
        <is>
          <t>059090.KQ</t>
        </is>
      </c>
    </row>
    <row r="183" ht="24" customHeight="1">
      <c r="A183" s="24" t="inlineStr">
        <is>
          <t>2024-03-06</t>
        </is>
      </c>
      <c r="B183" s="30" t="n">
        <v>11000</v>
      </c>
      <c r="C183" s="30" t="n">
        <v>11800</v>
      </c>
      <c r="D183" s="30" t="n">
        <v>10920</v>
      </c>
      <c r="E183" s="30" t="n">
        <v>11680</v>
      </c>
      <c r="F183" s="30" t="n">
        <v>11680</v>
      </c>
      <c r="G183" s="30" t="n">
        <v>1468057</v>
      </c>
      <c r="H183" s="35" t="n">
        <v>0.08148148148148149</v>
      </c>
      <c r="I183" s="35" t="n">
        <v>-0.2560509554140128</v>
      </c>
      <c r="J183" s="30" t="n">
        <v>9489.5</v>
      </c>
      <c r="K183" s="30" t="n">
        <v>9091.833333333334</v>
      </c>
      <c r="L183" s="30" t="n">
        <v>9295.416666666666</v>
      </c>
      <c r="M183" s="35" t="n">
        <v>0.6185897879296888</v>
      </c>
      <c r="N183" s="35" t="n">
        <v>0.4730621580182953</v>
      </c>
      <c r="O183" s="35" t="n">
        <v>0.3318129988597491</v>
      </c>
      <c r="P183" s="35" t="n">
        <v>0.3921334922526818</v>
      </c>
      <c r="Q183" s="35" t="n">
        <v>-0.03709810387469081</v>
      </c>
      <c r="R183" s="35" t="n">
        <v>0.23083407977238</v>
      </c>
      <c r="S183" s="35" t="n">
        <v>0.2846693919451522</v>
      </c>
      <c r="T183" s="35" t="n">
        <v>0.2565332377067553</v>
      </c>
      <c r="U183" s="30" t="n">
        <v>13720</v>
      </c>
      <c r="V183" s="30" t="n">
        <v>7900</v>
      </c>
      <c r="W183" s="35" t="n">
        <v>-0.1486880466472303</v>
      </c>
      <c r="X183" s="35" t="n">
        <v>0.478481012658228</v>
      </c>
      <c r="Y183" s="30" t="n">
        <v>33416778</v>
      </c>
      <c r="Z183" s="30" t="n">
        <v>390307967040</v>
      </c>
      <c r="AA183" s="30" t="n">
        <v>17146905760</v>
      </c>
      <c r="AB183" s="30" t="n">
        <v>3000655124.5</v>
      </c>
      <c r="AC183" s="35" t="n">
        <v>0.04393173393317572</v>
      </c>
      <c r="AD183" s="24" t="inlineStr">
        <is>
          <t>yfinance_download</t>
        </is>
      </c>
      <c r="AE183" s="24" t="inlineStr">
        <is>
          <t>059090.KQ</t>
        </is>
      </c>
    </row>
    <row r="184" ht="24" customHeight="1">
      <c r="A184" s="29" t="inlineStr">
        <is>
          <t>2024-03-07</t>
        </is>
      </c>
      <c r="B184" s="31" t="n">
        <v>11780</v>
      </c>
      <c r="C184" s="31" t="n">
        <v>12360</v>
      </c>
      <c r="D184" s="31" t="n">
        <v>11240</v>
      </c>
      <c r="E184" s="31" t="n">
        <v>11370</v>
      </c>
      <c r="F184" s="31" t="n">
        <v>11370</v>
      </c>
      <c r="G184" s="31" t="n">
        <v>970362</v>
      </c>
      <c r="H184" s="36" t="n">
        <v>-0.02654109589041098</v>
      </c>
      <c r="I184" s="36" t="n">
        <v>-0.2757961783439491</v>
      </c>
      <c r="J184" s="31" t="n">
        <v>9627</v>
      </c>
      <c r="K184" s="31" t="n">
        <v>9140</v>
      </c>
      <c r="L184" s="31" t="n">
        <v>9286</v>
      </c>
      <c r="M184" s="36" t="n">
        <v>0.6259713744908153</v>
      </c>
      <c r="N184" s="36" t="n">
        <v>0.4775981512183255</v>
      </c>
      <c r="O184" s="36" t="n">
        <v>0.3190255220417633</v>
      </c>
      <c r="P184" s="36" t="n">
        <v>0.3408018867924529</v>
      </c>
      <c r="Q184" s="36" t="n">
        <v>-0.09040000000000004</v>
      </c>
      <c r="R184" s="36" t="n">
        <v>0.1810532876285447</v>
      </c>
      <c r="S184" s="36" t="n">
        <v>0.2439824945295406</v>
      </c>
      <c r="T184" s="36" t="n">
        <v>0.2244238638811114</v>
      </c>
      <c r="U184" s="31" t="n">
        <v>13720</v>
      </c>
      <c r="V184" s="31" t="n">
        <v>7900</v>
      </c>
      <c r="W184" s="36" t="n">
        <v>-0.1712827988338192</v>
      </c>
      <c r="X184" s="36" t="n">
        <v>0.4392405063291138</v>
      </c>
      <c r="Y184" s="31" t="n">
        <v>33416778</v>
      </c>
      <c r="Z184" s="31" t="n">
        <v>379948765860</v>
      </c>
      <c r="AA184" s="31" t="n">
        <v>11033015940</v>
      </c>
      <c r="AB184" s="31" t="n">
        <v>3507131087.5</v>
      </c>
      <c r="AC184" s="36" t="n">
        <v>0.0290381675935364</v>
      </c>
      <c r="AD184" s="29" t="inlineStr">
        <is>
          <t>yfinance_download</t>
        </is>
      </c>
      <c r="AE184" s="29" t="inlineStr">
        <is>
          <t>059090.KQ</t>
        </is>
      </c>
    </row>
    <row r="185" ht="24" customHeight="1">
      <c r="A185" s="24" t="inlineStr">
        <is>
          <t>2024-03-08</t>
        </is>
      </c>
      <c r="B185" s="30" t="n">
        <v>11810</v>
      </c>
      <c r="C185" s="30" t="n">
        <v>12320</v>
      </c>
      <c r="D185" s="30" t="n">
        <v>11640</v>
      </c>
      <c r="E185" s="30" t="n">
        <v>12230</v>
      </c>
      <c r="F185" s="30" t="n">
        <v>12230</v>
      </c>
      <c r="G185" s="30" t="n">
        <v>1272351</v>
      </c>
      <c r="H185" s="35" t="n">
        <v>0.07563764291996478</v>
      </c>
      <c r="I185" s="35" t="n">
        <v>-0.2210191082802547</v>
      </c>
      <c r="J185" s="30" t="n">
        <v>9798.5</v>
      </c>
      <c r="K185" s="30" t="n">
        <v>9204.666666666666</v>
      </c>
      <c r="L185" s="30" t="n">
        <v>9288.416666666666</v>
      </c>
      <c r="M185" s="35" t="n">
        <v>0.662332550647478</v>
      </c>
      <c r="N185" s="35" t="n">
        <v>0.496792632382702</v>
      </c>
      <c r="O185" s="35" t="n">
        <v>0.3897727272727274</v>
      </c>
      <c r="P185" s="35" t="n">
        <v>0.4646706586826348</v>
      </c>
      <c r="Q185" s="35" t="n">
        <v>0.02428810720268015</v>
      </c>
      <c r="R185" s="35" t="n">
        <v>0.2481502270755729</v>
      </c>
      <c r="S185" s="35" t="n">
        <v>0.3286738610849569</v>
      </c>
      <c r="T185" s="35" t="n">
        <v>0.3166937314396965</v>
      </c>
      <c r="U185" s="30" t="n">
        <v>13720</v>
      </c>
      <c r="V185" s="30" t="n">
        <v>7900</v>
      </c>
      <c r="W185" s="35" t="n">
        <v>-0.108600583090379</v>
      </c>
      <c r="X185" s="35" t="n">
        <v>0.5481012658227848</v>
      </c>
      <c r="Y185" s="30" t="n">
        <v>33416778</v>
      </c>
      <c r="Z185" s="30" t="n">
        <v>408687194940</v>
      </c>
      <c r="AA185" s="30" t="n">
        <v>15560852730</v>
      </c>
      <c r="AB185" s="30" t="n">
        <v>4241102884</v>
      </c>
      <c r="AC185" s="35" t="n">
        <v>0.03807521479180308</v>
      </c>
      <c r="AD185" s="24" t="inlineStr">
        <is>
          <t>yfinance_download</t>
        </is>
      </c>
      <c r="AE185" s="24" t="inlineStr">
        <is>
          <t>059090.KQ</t>
        </is>
      </c>
    </row>
    <row r="186" ht="24" customHeight="1">
      <c r="A186" s="29" t="inlineStr">
        <is>
          <t>2024-03-11</t>
        </is>
      </c>
      <c r="B186" s="31" t="n">
        <v>12000</v>
      </c>
      <c r="C186" s="31" t="n">
        <v>12600</v>
      </c>
      <c r="D186" s="31" t="n">
        <v>11800</v>
      </c>
      <c r="E186" s="31" t="n">
        <v>12280</v>
      </c>
      <c r="F186" s="31" t="n">
        <v>12280</v>
      </c>
      <c r="G186" s="31" t="n">
        <v>562510</v>
      </c>
      <c r="H186" s="36" t="n">
        <v>0.004088307440719641</v>
      </c>
      <c r="I186" s="36" t="n">
        <v>-0.2178343949044586</v>
      </c>
      <c r="J186" s="31" t="n">
        <v>9974</v>
      </c>
      <c r="K186" s="31" t="n">
        <v>9269.333333333334</v>
      </c>
      <c r="L186" s="31" t="n">
        <v>9295.416666666666</v>
      </c>
      <c r="M186" s="36" t="n">
        <v>0.6597414041235418</v>
      </c>
      <c r="N186" s="36" t="n">
        <v>0.4968218611281302</v>
      </c>
      <c r="O186" s="36" t="n">
        <v>0.4002280501710376</v>
      </c>
      <c r="P186" s="36" t="n">
        <v>0.4619047619047618</v>
      </c>
      <c r="Q186" s="36" t="n">
        <v>0.07342657342657333</v>
      </c>
      <c r="R186" s="36" t="n">
        <v>0.2312011229195909</v>
      </c>
      <c r="S186" s="36" t="n">
        <v>0.3247986191024166</v>
      </c>
      <c r="T186" s="36" t="n">
        <v>0.3210811779999105</v>
      </c>
      <c r="U186" s="31" t="n">
        <v>13720</v>
      </c>
      <c r="V186" s="31" t="n">
        <v>7900</v>
      </c>
      <c r="W186" s="36" t="n">
        <v>-0.1049562682215743</v>
      </c>
      <c r="X186" s="36" t="n">
        <v>0.5544303797468355</v>
      </c>
      <c r="Y186" s="31" t="n">
        <v>33416778</v>
      </c>
      <c r="Z186" s="31" t="n">
        <v>410358033840</v>
      </c>
      <c r="AA186" s="31" t="n">
        <v>6907622800</v>
      </c>
      <c r="AB186" s="31" t="n">
        <v>4552219195.5</v>
      </c>
      <c r="AC186" s="36" t="n">
        <v>0.01683316087505504</v>
      </c>
      <c r="AD186" s="29" t="inlineStr">
        <is>
          <t>yfinance_download</t>
        </is>
      </c>
      <c r="AE186" s="29" t="inlineStr">
        <is>
          <t>059090.KQ</t>
        </is>
      </c>
    </row>
    <row r="187" ht="24" customHeight="1">
      <c r="A187" s="24" t="inlineStr">
        <is>
          <t>2024-03-12</t>
        </is>
      </c>
      <c r="B187" s="30" t="n">
        <v>12000</v>
      </c>
      <c r="C187" s="30" t="n">
        <v>12170</v>
      </c>
      <c r="D187" s="30" t="n">
        <v>11000</v>
      </c>
      <c r="E187" s="30" t="n">
        <v>11250</v>
      </c>
      <c r="F187" s="30" t="n">
        <v>11250</v>
      </c>
      <c r="G187" s="30" t="n">
        <v>1233690</v>
      </c>
      <c r="H187" s="35" t="n">
        <v>-0.08387622149837137</v>
      </c>
      <c r="I187" s="35" t="n">
        <v>-0.2834394904458599</v>
      </c>
      <c r="J187" s="30" t="n">
        <v>10084.5</v>
      </c>
      <c r="K187" s="30" t="n">
        <v>9317.333333333334</v>
      </c>
      <c r="L187" s="30" t="n">
        <v>9293.75</v>
      </c>
      <c r="M187" s="35" t="n">
        <v>0.749181129125231</v>
      </c>
      <c r="N187" s="35" t="n">
        <v>0.5301321588626724</v>
      </c>
      <c r="O187" s="35" t="n">
        <v>0.2444690265486726</v>
      </c>
      <c r="P187" s="35" t="n">
        <v>0.3440860215053763</v>
      </c>
      <c r="Q187" s="35" t="n">
        <v>-0.01746724890829698</v>
      </c>
      <c r="R187" s="35" t="n">
        <v>0.1155734047300312</v>
      </c>
      <c r="S187" s="35" t="n">
        <v>0.2074270177447051</v>
      </c>
      <c r="T187" s="35" t="n">
        <v>0.2104909213180901</v>
      </c>
      <c r="U187" s="30" t="n">
        <v>13720</v>
      </c>
      <c r="V187" s="30" t="n">
        <v>7900</v>
      </c>
      <c r="W187" s="35" t="n">
        <v>-0.1800291545189504</v>
      </c>
      <c r="X187" s="35" t="n">
        <v>0.4240506329113924</v>
      </c>
      <c r="Y187" s="30" t="n">
        <v>33416778</v>
      </c>
      <c r="Z187" s="30" t="n">
        <v>375938752500</v>
      </c>
      <c r="AA187" s="30" t="n">
        <v>13879012500</v>
      </c>
      <c r="AB187" s="30" t="n">
        <v>5183843992.5</v>
      </c>
      <c r="AC187" s="35" t="n">
        <v>0.03691828099046533</v>
      </c>
      <c r="AD187" s="24" t="inlineStr">
        <is>
          <t>yfinance_download</t>
        </is>
      </c>
      <c r="AE187" s="24" t="inlineStr">
        <is>
          <t>059090.KQ</t>
        </is>
      </c>
    </row>
    <row r="188" ht="24" customHeight="1">
      <c r="A188" s="29" t="inlineStr">
        <is>
          <t>2024-03-13</t>
        </is>
      </c>
      <c r="B188" s="31" t="n">
        <v>11550</v>
      </c>
      <c r="C188" s="31" t="n">
        <v>11760</v>
      </c>
      <c r="D188" s="31" t="n">
        <v>11010</v>
      </c>
      <c r="E188" s="31" t="n">
        <v>11080</v>
      </c>
      <c r="F188" s="31" t="n">
        <v>11080</v>
      </c>
      <c r="G188" s="31" t="n">
        <v>604486</v>
      </c>
      <c r="H188" s="36" t="n">
        <v>-0.01511111111111108</v>
      </c>
      <c r="I188" s="36" t="n">
        <v>-0.2942675159235669</v>
      </c>
      <c r="J188" s="31" t="n">
        <v>10174.5</v>
      </c>
      <c r="K188" s="31" t="n">
        <v>9353.166666666666</v>
      </c>
      <c r="L188" s="31" t="n">
        <v>9293.25</v>
      </c>
      <c r="M188" s="36" t="n">
        <v>0.7530495359105109</v>
      </c>
      <c r="N188" s="36" t="n">
        <v>0.515996167198272</v>
      </c>
      <c r="O188" s="36" t="n">
        <v>0.1939655172413792</v>
      </c>
      <c r="P188" s="36" t="n">
        <v>0.2407614781634939</v>
      </c>
      <c r="Q188" s="36" t="n">
        <v>-0.00538599640933568</v>
      </c>
      <c r="R188" s="36" t="n">
        <v>0.08899700230969576</v>
      </c>
      <c r="S188" s="36" t="n">
        <v>0.184625527896078</v>
      </c>
      <c r="T188" s="36" t="n">
        <v>0.1922632017862427</v>
      </c>
      <c r="U188" s="31" t="n">
        <v>13720</v>
      </c>
      <c r="V188" s="31" t="n">
        <v>7900</v>
      </c>
      <c r="W188" s="36" t="n">
        <v>-0.1924198250728864</v>
      </c>
      <c r="X188" s="36" t="n">
        <v>0.4025316455696202</v>
      </c>
      <c r="Y188" s="31" t="n">
        <v>33416778</v>
      </c>
      <c r="Z188" s="31" t="n">
        <v>370257900240</v>
      </c>
      <c r="AA188" s="31" t="n">
        <v>6697704880</v>
      </c>
      <c r="AB188" s="31" t="n">
        <v>5446371220.5</v>
      </c>
      <c r="AC188" s="36" t="n">
        <v>0.01808929634089798</v>
      </c>
      <c r="AD188" s="29" t="inlineStr">
        <is>
          <t>yfinance_download</t>
        </is>
      </c>
      <c r="AE188" s="29" t="inlineStr">
        <is>
          <t>059090.KQ</t>
        </is>
      </c>
    </row>
    <row r="189" ht="24" customHeight="1">
      <c r="A189" s="24" t="inlineStr">
        <is>
          <t>2024-03-14</t>
        </is>
      </c>
      <c r="B189" s="30" t="n">
        <v>11020</v>
      </c>
      <c r="C189" s="30" t="n">
        <v>11400</v>
      </c>
      <c r="D189" s="30" t="n">
        <v>10490</v>
      </c>
      <c r="E189" s="30" t="n">
        <v>11300</v>
      </c>
      <c r="F189" s="30" t="n">
        <v>11300</v>
      </c>
      <c r="G189" s="30" t="n">
        <v>654099</v>
      </c>
      <c r="H189" s="35" t="n">
        <v>0.0198555956678701</v>
      </c>
      <c r="I189" s="35" t="n">
        <v>-0.2802547770700637</v>
      </c>
      <c r="J189" s="30" t="n">
        <v>10273</v>
      </c>
      <c r="K189" s="30" t="n">
        <v>9387.333333333334</v>
      </c>
      <c r="L189" s="30" t="n">
        <v>9296.416666666666</v>
      </c>
      <c r="M189" s="35" t="n">
        <v>0.7536415218385077</v>
      </c>
      <c r="N189" s="35" t="n">
        <v>0.5128291013297869</v>
      </c>
      <c r="O189" s="35" t="n">
        <v>0.2111468381564845</v>
      </c>
      <c r="P189" s="35" t="n">
        <v>0.2216216216216216</v>
      </c>
      <c r="Q189" s="35" t="n">
        <v>0.0347985347985349</v>
      </c>
      <c r="R189" s="35" t="n">
        <v>0.09997079723547153</v>
      </c>
      <c r="S189" s="35" t="n">
        <v>0.2037497336836871</v>
      </c>
      <c r="T189" s="35" t="n">
        <v>0.2155221097734792</v>
      </c>
      <c r="U189" s="30" t="n">
        <v>13720</v>
      </c>
      <c r="V189" s="30" t="n">
        <v>7900</v>
      </c>
      <c r="W189" s="35" t="n">
        <v>-0.1763848396501457</v>
      </c>
      <c r="X189" s="35" t="n">
        <v>0.4303797468354431</v>
      </c>
      <c r="Y189" s="30" t="n">
        <v>33416778</v>
      </c>
      <c r="Z189" s="30" t="n">
        <v>377609591400</v>
      </c>
      <c r="AA189" s="30" t="n">
        <v>7391318700</v>
      </c>
      <c r="AB189" s="30" t="n">
        <v>5739105538.5</v>
      </c>
      <c r="AC189" s="35" t="n">
        <v>0.01957396969869447</v>
      </c>
      <c r="AD189" s="24" t="inlineStr">
        <is>
          <t>yfinance_download</t>
        </is>
      </c>
      <c r="AE189" s="24" t="inlineStr">
        <is>
          <t>059090.KQ</t>
        </is>
      </c>
    </row>
    <row r="190" ht="24" customHeight="1">
      <c r="A190" s="29" t="inlineStr">
        <is>
          <t>2024-03-15</t>
        </is>
      </c>
      <c r="B190" s="31" t="n">
        <v>11150</v>
      </c>
      <c r="C190" s="31" t="n">
        <v>11350</v>
      </c>
      <c r="D190" s="31" t="n">
        <v>10850</v>
      </c>
      <c r="E190" s="31" t="n">
        <v>11090</v>
      </c>
      <c r="F190" s="31" t="n">
        <v>11090</v>
      </c>
      <c r="G190" s="31" t="n">
        <v>238576</v>
      </c>
      <c r="H190" s="36" t="n">
        <v>-0.01858407079646018</v>
      </c>
      <c r="I190" s="36" t="n">
        <v>-0.2936305732484077</v>
      </c>
      <c r="J190" s="31" t="n">
        <v>10365</v>
      </c>
      <c r="K190" s="31" t="n">
        <v>9421.666666666666</v>
      </c>
      <c r="L190" s="31" t="n">
        <v>9292.583333333334</v>
      </c>
      <c r="M190" s="36" t="n">
        <v>0.7578554409821957</v>
      </c>
      <c r="N190" s="36" t="n">
        <v>0.5117423569312858</v>
      </c>
      <c r="O190" s="36" t="n">
        <v>0.1989189189189189</v>
      </c>
      <c r="P190" s="36" t="n">
        <v>0.2281284606866003</v>
      </c>
      <c r="Q190" s="36" t="n">
        <v>-0.03982683982683988</v>
      </c>
      <c r="R190" s="36" t="n">
        <v>0.06994693680656061</v>
      </c>
      <c r="S190" s="36" t="n">
        <v>0.1770741199363171</v>
      </c>
      <c r="T190" s="36" t="n">
        <v>0.1934248639147707</v>
      </c>
      <c r="U190" s="31" t="n">
        <v>13720</v>
      </c>
      <c r="V190" s="31" t="n">
        <v>7900</v>
      </c>
      <c r="W190" s="36" t="n">
        <v>-0.1916909620991254</v>
      </c>
      <c r="X190" s="36" t="n">
        <v>0.4037974683544303</v>
      </c>
      <c r="Y190" s="31" t="n">
        <v>33416778</v>
      </c>
      <c r="Z190" s="31" t="n">
        <v>370592068020</v>
      </c>
      <c r="AA190" s="31" t="n">
        <v>2645807840</v>
      </c>
      <c r="AB190" s="31" t="n">
        <v>5817381943</v>
      </c>
      <c r="AC190" s="36" t="n">
        <v>0.007139407635290272</v>
      </c>
      <c r="AD190" s="29" t="inlineStr">
        <is>
          <t>yfinance_download</t>
        </is>
      </c>
      <c r="AE190" s="29" t="inlineStr">
        <is>
          <t>059090.KQ</t>
        </is>
      </c>
    </row>
    <row r="191" ht="24" customHeight="1">
      <c r="A191" s="24" t="inlineStr">
        <is>
          <t>2024-03-18</t>
        </is>
      </c>
      <c r="B191" s="30" t="n">
        <v>11100</v>
      </c>
      <c r="C191" s="30" t="n">
        <v>11100</v>
      </c>
      <c r="D191" s="30" t="n">
        <v>10680</v>
      </c>
      <c r="E191" s="30" t="n">
        <v>10980</v>
      </c>
      <c r="F191" s="30" t="n">
        <v>10980</v>
      </c>
      <c r="G191" s="30" t="n">
        <v>296562</v>
      </c>
      <c r="H191" s="35" t="n">
        <v>-0.009918845807033394</v>
      </c>
      <c r="I191" s="35" t="n">
        <v>-0.3006369426751593</v>
      </c>
      <c r="J191" s="30" t="n">
        <v>10460</v>
      </c>
      <c r="K191" s="30" t="n">
        <v>9458</v>
      </c>
      <c r="L191" s="30" t="n">
        <v>9280.75</v>
      </c>
      <c r="M191" s="35" t="n">
        <v>0.7542166876506536</v>
      </c>
      <c r="N191" s="35" t="n">
        <v>0.508911185542761</v>
      </c>
      <c r="O191" s="35" t="n">
        <v>0.2092511013215859</v>
      </c>
      <c r="P191" s="35" t="n">
        <v>0.2477272727272728</v>
      </c>
      <c r="Q191" s="35" t="n">
        <v>-0.1145161290322581</v>
      </c>
      <c r="R191" s="35" t="n">
        <v>0.0497131931166348</v>
      </c>
      <c r="S191" s="35" t="n">
        <v>0.1609219708183549</v>
      </c>
      <c r="T191" s="35" t="n">
        <v>0.1830940387360935</v>
      </c>
      <c r="U191" s="30" t="n">
        <v>13720</v>
      </c>
      <c r="V191" s="30" t="n">
        <v>7900</v>
      </c>
      <c r="W191" s="35" t="n">
        <v>-0.1997084548104956</v>
      </c>
      <c r="X191" s="35" t="n">
        <v>0.3898734177215191</v>
      </c>
      <c r="Y191" s="30" t="n">
        <v>33416778</v>
      </c>
      <c r="Z191" s="30" t="n">
        <v>366916222440</v>
      </c>
      <c r="AA191" s="30" t="n">
        <v>3256250760</v>
      </c>
      <c r="AB191" s="30" t="n">
        <v>5929020963</v>
      </c>
      <c r="AC191" s="35" t="n">
        <v>0.008874643749316586</v>
      </c>
      <c r="AD191" s="24" t="inlineStr">
        <is>
          <t>yfinance_download</t>
        </is>
      </c>
      <c r="AE191" s="24" t="inlineStr">
        <is>
          <t>059090.KQ</t>
        </is>
      </c>
    </row>
    <row r="192" ht="24" customHeight="1">
      <c r="A192" s="29" t="inlineStr">
        <is>
          <t>2024-03-19</t>
        </is>
      </c>
      <c r="B192" s="31" t="n">
        <v>11040</v>
      </c>
      <c r="C192" s="31" t="n">
        <v>11620</v>
      </c>
      <c r="D192" s="31" t="n">
        <v>10830</v>
      </c>
      <c r="E192" s="31" t="n">
        <v>11120</v>
      </c>
      <c r="F192" s="31" t="n">
        <v>11120</v>
      </c>
      <c r="G192" s="31" t="n">
        <v>727352</v>
      </c>
      <c r="H192" s="36" t="n">
        <v>0.01275045537340613</v>
      </c>
      <c r="I192" s="36" t="n">
        <v>-0.29171974522293</v>
      </c>
      <c r="J192" s="31" t="n">
        <v>10556</v>
      </c>
      <c r="K192" s="31" t="n">
        <v>9494.666666666666</v>
      </c>
      <c r="L192" s="31" t="n">
        <v>9279.25</v>
      </c>
      <c r="M192" s="36" t="n">
        <v>0.7541969389756217</v>
      </c>
      <c r="N192" s="36" t="n">
        <v>0.5088441550062051</v>
      </c>
      <c r="O192" s="36" t="n">
        <v>0.2086956521739129</v>
      </c>
      <c r="P192" s="36" t="n">
        <v>0.2466367713004485</v>
      </c>
      <c r="Q192" s="36" t="n">
        <v>-0.01592920353982297</v>
      </c>
      <c r="R192" s="36" t="n">
        <v>0.05342932929139832</v>
      </c>
      <c r="S192" s="36" t="n">
        <v>0.1711838224968405</v>
      </c>
      <c r="T192" s="36" t="n">
        <v>0.1983727133119595</v>
      </c>
      <c r="U192" s="31" t="n">
        <v>13720</v>
      </c>
      <c r="V192" s="31" t="n">
        <v>7900</v>
      </c>
      <c r="W192" s="36" t="n">
        <v>-0.1895043731778425</v>
      </c>
      <c r="X192" s="36" t="n">
        <v>0.4075949367088607</v>
      </c>
      <c r="Y192" s="31" t="n">
        <v>33416778</v>
      </c>
      <c r="Z192" s="31" t="n">
        <v>371594571360</v>
      </c>
      <c r="AA192" s="31" t="n">
        <v>8088154240</v>
      </c>
      <c r="AB192" s="31" t="n">
        <v>6289344115</v>
      </c>
      <c r="AC192" s="36" t="n">
        <v>0.02176607212101657</v>
      </c>
      <c r="AD192" s="29" t="inlineStr">
        <is>
          <t>yfinance_download</t>
        </is>
      </c>
      <c r="AE192" s="29" t="inlineStr">
        <is>
          <t>059090.KQ</t>
        </is>
      </c>
    </row>
    <row r="193" ht="24" customHeight="1">
      <c r="A193" s="24" t="inlineStr">
        <is>
          <t>2024-03-20</t>
        </is>
      </c>
      <c r="B193" s="30" t="n">
        <v>11120</v>
      </c>
      <c r="C193" s="30" t="n">
        <v>11710</v>
      </c>
      <c r="D193" s="30" t="n">
        <v>11080</v>
      </c>
      <c r="E193" s="30" t="n">
        <v>11610</v>
      </c>
      <c r="F193" s="30" t="n">
        <v>11610</v>
      </c>
      <c r="G193" s="30" t="n">
        <v>448014</v>
      </c>
      <c r="H193" s="35" t="n">
        <v>0.04406474820143891</v>
      </c>
      <c r="I193" s="35" t="n">
        <v>-0.2605095541401274</v>
      </c>
      <c r="J193" s="30" t="n">
        <v>10668.5</v>
      </c>
      <c r="K193" s="30" t="n">
        <v>9540.5</v>
      </c>
      <c r="L193" s="30" t="n">
        <v>9284.166666666666</v>
      </c>
      <c r="M193" s="35" t="n">
        <v>0.7632902974484974</v>
      </c>
      <c r="N193" s="35" t="n">
        <v>0.5148096589000853</v>
      </c>
      <c r="O193" s="35" t="n">
        <v>0.2403846153846154</v>
      </c>
      <c r="P193" s="35" t="n">
        <v>0.3103837471783295</v>
      </c>
      <c r="Q193" s="35" t="n">
        <v>0.05353901996370225</v>
      </c>
      <c r="R193" s="35" t="n">
        <v>0.08825045695271116</v>
      </c>
      <c r="S193" s="35" t="n">
        <v>0.2169173523400241</v>
      </c>
      <c r="T193" s="35" t="n">
        <v>0.2505161116596357</v>
      </c>
      <c r="U193" s="30" t="n">
        <v>13720</v>
      </c>
      <c r="V193" s="30" t="n">
        <v>7900</v>
      </c>
      <c r="W193" s="35" t="n">
        <v>-0.1537900874635568</v>
      </c>
      <c r="X193" s="35" t="n">
        <v>0.469620253164557</v>
      </c>
      <c r="Y193" s="30" t="n">
        <v>33416778</v>
      </c>
      <c r="Z193" s="30" t="n">
        <v>387968792580</v>
      </c>
      <c r="AA193" s="30" t="n">
        <v>5201442540</v>
      </c>
      <c r="AB193" s="30" t="n">
        <v>6423407710</v>
      </c>
      <c r="AC193" s="35" t="n">
        <v>0.01340685807590427</v>
      </c>
      <c r="AD193" s="24" t="inlineStr">
        <is>
          <t>yfinance_download</t>
        </is>
      </c>
      <c r="AE193" s="24" t="inlineStr">
        <is>
          <t>059090.KQ</t>
        </is>
      </c>
    </row>
    <row r="194" ht="24" customHeight="1">
      <c r="A194" s="29" t="inlineStr">
        <is>
          <t>2024-03-21</t>
        </is>
      </c>
      <c r="B194" s="31" t="n">
        <v>11670</v>
      </c>
      <c r="C194" s="31" t="n">
        <v>12000</v>
      </c>
      <c r="D194" s="31" t="n">
        <v>11580</v>
      </c>
      <c r="E194" s="31" t="n">
        <v>11790</v>
      </c>
      <c r="F194" s="31" t="n">
        <v>11790</v>
      </c>
      <c r="G194" s="31" t="n">
        <v>518480</v>
      </c>
      <c r="H194" s="36" t="n">
        <v>0.01550387596899228</v>
      </c>
      <c r="I194" s="36" t="n">
        <v>-0.2490445859872611</v>
      </c>
      <c r="J194" s="31" t="n">
        <v>10792</v>
      </c>
      <c r="K194" s="31" t="n">
        <v>9588.333333333334</v>
      </c>
      <c r="L194" s="31" t="n">
        <v>9292.166666666666</v>
      </c>
      <c r="M194" s="36" t="n">
        <v>0.7609596706369732</v>
      </c>
      <c r="N194" s="36" t="n">
        <v>0.515247568292965</v>
      </c>
      <c r="O194" s="36" t="n">
        <v>0.2650214592274678</v>
      </c>
      <c r="P194" s="36" t="n">
        <v>0.3217488789237668</v>
      </c>
      <c r="Q194" s="36" t="n">
        <v>0.08864265927977844</v>
      </c>
      <c r="R194" s="36" t="n">
        <v>0.09247590808005923</v>
      </c>
      <c r="S194" s="36" t="n">
        <v>0.2296193290457151</v>
      </c>
      <c r="T194" s="36" t="n">
        <v>0.2688106469607017</v>
      </c>
      <c r="U194" s="31" t="n">
        <v>13720</v>
      </c>
      <c r="V194" s="31" t="n">
        <v>7900</v>
      </c>
      <c r="W194" s="36" t="n">
        <v>-0.14067055393586</v>
      </c>
      <c r="X194" s="36" t="n">
        <v>0.4924050632911392</v>
      </c>
      <c r="Y194" s="31" t="n">
        <v>33416778</v>
      </c>
      <c r="Z194" s="31" t="n">
        <v>393983812620</v>
      </c>
      <c r="AA194" s="31" t="n">
        <v>6112879200</v>
      </c>
      <c r="AB194" s="31" t="n">
        <v>6663060478</v>
      </c>
      <c r="AC194" s="36" t="n">
        <v>0.01551555927983242</v>
      </c>
      <c r="AD194" s="29" t="inlineStr">
        <is>
          <t>yfinance_download</t>
        </is>
      </c>
      <c r="AE194" s="29" t="inlineStr">
        <is>
          <t>059090.KQ</t>
        </is>
      </c>
    </row>
    <row r="195" ht="24" customHeight="1">
      <c r="A195" s="24" t="inlineStr">
        <is>
          <t>2024-03-22</t>
        </is>
      </c>
      <c r="B195" s="30" t="n">
        <v>12300</v>
      </c>
      <c r="C195" s="30" t="n">
        <v>12450</v>
      </c>
      <c r="D195" s="30" t="n">
        <v>11530</v>
      </c>
      <c r="E195" s="30" t="n">
        <v>11920</v>
      </c>
      <c r="F195" s="30" t="n">
        <v>11920</v>
      </c>
      <c r="G195" s="30" t="n">
        <v>1403864</v>
      </c>
      <c r="H195" s="35" t="n">
        <v>0.01102629346904149</v>
      </c>
      <c r="I195" s="35" t="n">
        <v>-0.240764331210191</v>
      </c>
      <c r="J195" s="30" t="n">
        <v>10905</v>
      </c>
      <c r="K195" s="30" t="n">
        <v>9637.5</v>
      </c>
      <c r="L195" s="30" t="n">
        <v>9305</v>
      </c>
      <c r="M195" s="35" t="n">
        <v>0.7558364763899665</v>
      </c>
      <c r="N195" s="35" t="n">
        <v>0.5153871794207151</v>
      </c>
      <c r="O195" s="35" t="n">
        <v>0.2339544513457557</v>
      </c>
      <c r="P195" s="35" t="n">
        <v>0.3288740245261985</v>
      </c>
      <c r="Q195" s="35" t="n">
        <v>0.1483622350674374</v>
      </c>
      <c r="R195" s="35" t="n">
        <v>0.09307657038055939</v>
      </c>
      <c r="S195" s="35" t="n">
        <v>0.2368352788586252</v>
      </c>
      <c r="T195" s="35" t="n">
        <v>0.2810317033852767</v>
      </c>
      <c r="U195" s="30" t="n">
        <v>13720</v>
      </c>
      <c r="V195" s="30" t="n">
        <v>7900</v>
      </c>
      <c r="W195" s="35" t="n">
        <v>-0.1311953352769679</v>
      </c>
      <c r="X195" s="35" t="n">
        <v>0.5088607594936709</v>
      </c>
      <c r="Y195" s="30" t="n">
        <v>33416778</v>
      </c>
      <c r="Z195" s="30" t="n">
        <v>398327993760</v>
      </c>
      <c r="AA195" s="30" t="n">
        <v>16734058880</v>
      </c>
      <c r="AB195" s="30" t="n">
        <v>7339422878</v>
      </c>
      <c r="AC195" s="35" t="n">
        <v>0.04201075280208044</v>
      </c>
      <c r="AD195" s="24" t="inlineStr">
        <is>
          <t>yfinance_download</t>
        </is>
      </c>
      <c r="AE195" s="24" t="inlineStr">
        <is>
          <t>059090.KQ</t>
        </is>
      </c>
    </row>
    <row r="196" ht="24" customHeight="1">
      <c r="A196" s="29" t="inlineStr">
        <is>
          <t>2024-03-25</t>
        </is>
      </c>
      <c r="B196" s="31" t="n">
        <v>12090</v>
      </c>
      <c r="C196" s="31" t="n">
        <v>12150</v>
      </c>
      <c r="D196" s="31" t="n">
        <v>11310</v>
      </c>
      <c r="E196" s="31" t="n">
        <v>11770</v>
      </c>
      <c r="F196" s="31" t="n">
        <v>11770</v>
      </c>
      <c r="G196" s="31" t="n">
        <v>710106</v>
      </c>
      <c r="H196" s="36" t="n">
        <v>-0.01258389261744963</v>
      </c>
      <c r="I196" s="36" t="n">
        <v>-0.2503184713375797</v>
      </c>
      <c r="J196" s="31" t="n">
        <v>11016</v>
      </c>
      <c r="K196" s="31" t="n">
        <v>9685.5</v>
      </c>
      <c r="L196" s="31" t="n">
        <v>9316.416666666666</v>
      </c>
      <c r="M196" s="36" t="n">
        <v>0.7563311532198604</v>
      </c>
      <c r="N196" s="36" t="n">
        <v>0.5158721821286238</v>
      </c>
      <c r="O196" s="36" t="n">
        <v>0.2324607329842932</v>
      </c>
      <c r="P196" s="36" t="n">
        <v>0.3239595050618673</v>
      </c>
      <c r="Q196" s="36" t="n">
        <v>0.1317307692307692</v>
      </c>
      <c r="R196" s="36" t="n">
        <v>0.06844589687726943</v>
      </c>
      <c r="S196" s="36" t="n">
        <v>0.2152186257808064</v>
      </c>
      <c r="T196" s="36" t="n">
        <v>0.2633612708748894</v>
      </c>
      <c r="U196" s="31" t="n">
        <v>13720</v>
      </c>
      <c r="V196" s="31" t="n">
        <v>7900</v>
      </c>
      <c r="W196" s="36" t="n">
        <v>-0.1421282798833819</v>
      </c>
      <c r="X196" s="36" t="n">
        <v>0.4898734177215189</v>
      </c>
      <c r="Y196" s="31" t="n">
        <v>33416778</v>
      </c>
      <c r="Z196" s="31" t="n">
        <v>393315477060</v>
      </c>
      <c r="AA196" s="31" t="n">
        <v>8357947620</v>
      </c>
      <c r="AB196" s="31" t="n">
        <v>7616424334</v>
      </c>
      <c r="AC196" s="36" t="n">
        <v>0.02124998406489099</v>
      </c>
      <c r="AD196" s="29" t="inlineStr">
        <is>
          <t>yfinance_download</t>
        </is>
      </c>
      <c r="AE196" s="29" t="inlineStr">
        <is>
          <t>059090.KQ</t>
        </is>
      </c>
    </row>
    <row r="197" ht="24" customHeight="1">
      <c r="A197" s="24" t="inlineStr">
        <is>
          <t>2024-03-26</t>
        </is>
      </c>
      <c r="B197" s="30" t="n">
        <v>11900</v>
      </c>
      <c r="C197" s="30" t="n">
        <v>12360</v>
      </c>
      <c r="D197" s="30" t="n">
        <v>11540</v>
      </c>
      <c r="E197" s="30" t="n">
        <v>11610</v>
      </c>
      <c r="F197" s="30" t="n">
        <v>11610</v>
      </c>
      <c r="G197" s="30" t="n">
        <v>495343</v>
      </c>
      <c r="H197" s="35" t="n">
        <v>-0.0135938827527613</v>
      </c>
      <c r="I197" s="35" t="n">
        <v>-0.2605095541401274</v>
      </c>
      <c r="J197" s="30" t="n">
        <v>11129</v>
      </c>
      <c r="K197" s="30" t="n">
        <v>9733.166666666666</v>
      </c>
      <c r="L197" s="30" t="n">
        <v>9328.833333333334</v>
      </c>
      <c r="M197" s="35" t="n">
        <v>0.7525847366710966</v>
      </c>
      <c r="N197" s="35" t="n">
        <v>0.5155174645247516</v>
      </c>
      <c r="O197" s="35" t="n">
        <v>0.2417112299465241</v>
      </c>
      <c r="P197" s="35" t="n">
        <v>0.326857142857143</v>
      </c>
      <c r="Q197" s="35" t="n">
        <v>0.1472332015810276</v>
      </c>
      <c r="R197" s="35" t="n">
        <v>0.04322041513163799</v>
      </c>
      <c r="S197" s="35" t="n">
        <v>0.1928286443261016</v>
      </c>
      <c r="T197" s="35" t="n">
        <v>0.2445286120093615</v>
      </c>
      <c r="U197" s="30" t="n">
        <v>13720</v>
      </c>
      <c r="V197" s="30" t="n">
        <v>7900</v>
      </c>
      <c r="W197" s="35" t="n">
        <v>-0.1537900874635568</v>
      </c>
      <c r="X197" s="35" t="n">
        <v>0.469620253164557</v>
      </c>
      <c r="Y197" s="30" t="n">
        <v>33416778</v>
      </c>
      <c r="Z197" s="30" t="n">
        <v>387968792580</v>
      </c>
      <c r="AA197" s="30" t="n">
        <v>5750932230</v>
      </c>
      <c r="AB197" s="30" t="n">
        <v>7837533118</v>
      </c>
      <c r="AC197" s="35" t="n">
        <v>0.01482318253423475</v>
      </c>
      <c r="AD197" s="24" t="inlineStr">
        <is>
          <t>yfinance_download</t>
        </is>
      </c>
      <c r="AE197" s="24" t="inlineStr">
        <is>
          <t>059090.KQ</t>
        </is>
      </c>
    </row>
    <row r="198" ht="24" customHeight="1">
      <c r="A198" s="29" t="inlineStr">
        <is>
          <t>2024-03-27</t>
        </is>
      </c>
      <c r="B198" s="31" t="n">
        <v>11560</v>
      </c>
      <c r="C198" s="31" t="n">
        <v>11830</v>
      </c>
      <c r="D198" s="31" t="n">
        <v>11190</v>
      </c>
      <c r="E198" s="31" t="n">
        <v>11770</v>
      </c>
      <c r="F198" s="31" t="n">
        <v>11770</v>
      </c>
      <c r="G198" s="31" t="n">
        <v>391278</v>
      </c>
      <c r="H198" s="36" t="n">
        <v>0.01378122308354857</v>
      </c>
      <c r="I198" s="36" t="n">
        <v>-0.2503184713375797</v>
      </c>
      <c r="J198" s="31" t="n">
        <v>11258.5</v>
      </c>
      <c r="K198" s="31" t="n">
        <v>9778.166666666666</v>
      </c>
      <c r="L198" s="31" t="n">
        <v>9343.583333333334</v>
      </c>
      <c r="M198" s="36" t="n">
        <v>0.7441354992967318</v>
      </c>
      <c r="N198" s="36" t="n">
        <v>0.5117008981788568</v>
      </c>
      <c r="O198" s="36" t="n">
        <v>0.2821350762527233</v>
      </c>
      <c r="P198" s="36" t="n">
        <v>0.2976846747519295</v>
      </c>
      <c r="Q198" s="36" t="n">
        <v>0.177</v>
      </c>
      <c r="R198" s="36" t="n">
        <v>0.04543234000977048</v>
      </c>
      <c r="S198" s="36" t="n">
        <v>0.2037021254836455</v>
      </c>
      <c r="T198" s="36" t="n">
        <v>0.2596880211910133</v>
      </c>
      <c r="U198" s="31" t="n">
        <v>13720</v>
      </c>
      <c r="V198" s="31" t="n">
        <v>7900</v>
      </c>
      <c r="W198" s="36" t="n">
        <v>-0.1421282798833819</v>
      </c>
      <c r="X198" s="36" t="n">
        <v>0.4898734177215189</v>
      </c>
      <c r="Y198" s="31" t="n">
        <v>33416778</v>
      </c>
      <c r="Z198" s="31" t="n">
        <v>393315477060</v>
      </c>
      <c r="AA198" s="31" t="n">
        <v>4605342060</v>
      </c>
      <c r="AB198" s="31" t="n">
        <v>7986129892</v>
      </c>
      <c r="AC198" s="36" t="n">
        <v>0.0117090283210428</v>
      </c>
      <c r="AD198" s="29" t="inlineStr">
        <is>
          <t>yfinance_download</t>
        </is>
      </c>
      <c r="AE198" s="29" t="inlineStr">
        <is>
          <t>059090.KQ</t>
        </is>
      </c>
    </row>
    <row r="199" ht="24" customHeight="1">
      <c r="A199" s="24" t="inlineStr">
        <is>
          <t>2024-03-28</t>
        </is>
      </c>
      <c r="B199" s="30" t="n">
        <v>11770</v>
      </c>
      <c r="C199" s="30" t="n">
        <v>13500</v>
      </c>
      <c r="D199" s="30" t="n">
        <v>11710</v>
      </c>
      <c r="E199" s="30" t="n">
        <v>13170</v>
      </c>
      <c r="F199" s="30" t="n">
        <v>13170</v>
      </c>
      <c r="G199" s="30" t="n">
        <v>2709943</v>
      </c>
      <c r="H199" s="35" t="n">
        <v>0.118946474086661</v>
      </c>
      <c r="I199" s="35" t="n">
        <v>-0.1611464968152866</v>
      </c>
      <c r="J199" s="30" t="n">
        <v>11441</v>
      </c>
      <c r="K199" s="30" t="n">
        <v>9846.333333333334</v>
      </c>
      <c r="L199" s="30" t="n">
        <v>9367.833333333334</v>
      </c>
      <c r="M199" s="35" t="n">
        <v>0.8302906489451796</v>
      </c>
      <c r="N199" s="35" t="n">
        <v>0.5624880688790546</v>
      </c>
      <c r="O199" s="35" t="n">
        <v>0.3834033613445378</v>
      </c>
      <c r="P199" s="35" t="n">
        <v>0.4504405286343611</v>
      </c>
      <c r="Q199" s="35" t="n">
        <v>0.2836257309941521</v>
      </c>
      <c r="R199" s="35" t="n">
        <v>0.151123153570492</v>
      </c>
      <c r="S199" s="35" t="n">
        <v>0.337553742509902</v>
      </c>
      <c r="T199" s="35" t="n">
        <v>0.4058747131140248</v>
      </c>
      <c r="U199" s="30" t="n">
        <v>13720</v>
      </c>
      <c r="V199" s="30" t="n">
        <v>7900</v>
      </c>
      <c r="W199" s="35" t="n">
        <v>-0.04008746355685133</v>
      </c>
      <c r="X199" s="35" t="n">
        <v>0.6670886075949367</v>
      </c>
      <c r="Y199" s="30" t="n">
        <v>33416778</v>
      </c>
      <c r="Z199" s="30" t="n">
        <v>440098966260</v>
      </c>
      <c r="AA199" s="30" t="n">
        <v>35689949310</v>
      </c>
      <c r="AB199" s="30" t="n">
        <v>9664987249.5</v>
      </c>
      <c r="AC199" s="35" t="n">
        <v>0.08109528093941314</v>
      </c>
      <c r="AD199" s="24" t="inlineStr">
        <is>
          <t>yfinance_download</t>
        </is>
      </c>
      <c r="AE199" s="24" t="inlineStr">
        <is>
          <t>059090.KQ</t>
        </is>
      </c>
    </row>
    <row r="200" ht="24" customHeight="1">
      <c r="A200" s="29" t="inlineStr">
        <is>
          <t>2024-03-29</t>
        </is>
      </c>
      <c r="B200" s="31" t="n">
        <v>13460</v>
      </c>
      <c r="C200" s="31" t="n">
        <v>13990</v>
      </c>
      <c r="D200" s="31" t="n">
        <v>13050</v>
      </c>
      <c r="E200" s="31" t="n">
        <v>13250</v>
      </c>
      <c r="F200" s="31" t="n">
        <v>13250</v>
      </c>
      <c r="G200" s="31" t="n">
        <v>1601528</v>
      </c>
      <c r="H200" s="36" t="n">
        <v>0.006074411541381997</v>
      </c>
      <c r="I200" s="36" t="n">
        <v>-0.1560509554140127</v>
      </c>
      <c r="J200" s="31" t="n">
        <v>11636</v>
      </c>
      <c r="K200" s="31" t="n">
        <v>9909</v>
      </c>
      <c r="L200" s="31" t="n">
        <v>9398.25</v>
      </c>
      <c r="M200" s="36" t="n">
        <v>0.8210261733130748</v>
      </c>
      <c r="N200" s="36" t="n">
        <v>0.5567832050928522</v>
      </c>
      <c r="O200" s="36" t="n">
        <v>0.4171122994652405</v>
      </c>
      <c r="P200" s="36" t="n">
        <v>0.3962065331928346</v>
      </c>
      <c r="Q200" s="36" t="n">
        <v>0.3802083333333333</v>
      </c>
      <c r="R200" s="36" t="n">
        <v>0.1387074596081128</v>
      </c>
      <c r="S200" s="36" t="n">
        <v>0.337168230901201</v>
      </c>
      <c r="T200" s="36" t="n">
        <v>0.4098369377277684</v>
      </c>
      <c r="U200" s="31" t="n">
        <v>13720</v>
      </c>
      <c r="V200" s="31" t="n">
        <v>7900</v>
      </c>
      <c r="W200" s="36" t="n">
        <v>-0.03425655976676389</v>
      </c>
      <c r="X200" s="36" t="n">
        <v>0.6772151898734178</v>
      </c>
      <c r="Y200" s="31" t="n">
        <v>33416778</v>
      </c>
      <c r="Z200" s="31" t="n">
        <v>442772308500</v>
      </c>
      <c r="AA200" s="31" t="n">
        <v>21220246000</v>
      </c>
      <c r="AB200" s="31" t="n">
        <v>10676163582</v>
      </c>
      <c r="AC200" s="36" t="n">
        <v>0.04792586526444889</v>
      </c>
      <c r="AD200" s="29" t="inlineStr">
        <is>
          <t>yfinance_download</t>
        </is>
      </c>
      <c r="AE200" s="29" t="inlineStr">
        <is>
          <t>059090.KQ</t>
        </is>
      </c>
    </row>
    <row r="201" ht="24" customHeight="1">
      <c r="A201" s="24" t="inlineStr">
        <is>
          <t>2024-04-01</t>
        </is>
      </c>
      <c r="B201" s="30" t="n">
        <v>13420</v>
      </c>
      <c r="C201" s="30" t="n">
        <v>13780</v>
      </c>
      <c r="D201" s="30" t="n">
        <v>12820</v>
      </c>
      <c r="E201" s="30" t="n">
        <v>13010</v>
      </c>
      <c r="F201" s="30" t="n">
        <v>13010</v>
      </c>
      <c r="G201" s="30" t="n">
        <v>636741</v>
      </c>
      <c r="H201" s="35" t="n">
        <v>-0.01811320754716983</v>
      </c>
      <c r="I201" s="35" t="n">
        <v>-0.1713375796178344</v>
      </c>
      <c r="J201" s="30" t="n">
        <v>11754</v>
      </c>
      <c r="K201" s="30" t="n">
        <v>9970.833333333334</v>
      </c>
      <c r="L201" s="30" t="n">
        <v>9427.416666666666</v>
      </c>
      <c r="M201" s="35" t="n">
        <v>0.6957429774649734</v>
      </c>
      <c r="N201" s="35" t="n">
        <v>0.5564136135304858</v>
      </c>
      <c r="O201" s="35" t="n">
        <v>0.2215962441314554</v>
      </c>
      <c r="P201" s="35" t="n">
        <v>0.3989247311827957</v>
      </c>
      <c r="Q201" s="35" t="n">
        <v>0.3680336487907465</v>
      </c>
      <c r="R201" s="35" t="n">
        <v>0.1068572400884804</v>
      </c>
      <c r="S201" s="35" t="n">
        <v>0.3048056832427914</v>
      </c>
      <c r="T201" s="35" t="n">
        <v>0.3800175021435708</v>
      </c>
      <c r="U201" s="30" t="n">
        <v>13720</v>
      </c>
      <c r="V201" s="30" t="n">
        <v>7900</v>
      </c>
      <c r="W201" s="35" t="n">
        <v>-0.05174927113702621</v>
      </c>
      <c r="X201" s="35" t="n">
        <v>0.6468354430379746</v>
      </c>
      <c r="Y201" s="30" t="n">
        <v>33416778</v>
      </c>
      <c r="Z201" s="30" t="n">
        <v>434752281780</v>
      </c>
      <c r="AA201" s="30" t="n">
        <v>8284000410</v>
      </c>
      <c r="AB201" s="30" t="n">
        <v>10531585260</v>
      </c>
      <c r="AC201" s="35" t="n">
        <v>0.01905453003278772</v>
      </c>
      <c r="AD201" s="24" t="inlineStr">
        <is>
          <t>yfinance_download</t>
        </is>
      </c>
      <c r="AE201" s="24" t="inlineStr">
        <is>
          <t>059090.KQ</t>
        </is>
      </c>
    </row>
    <row r="202" ht="24" customHeight="1">
      <c r="A202" s="29" t="inlineStr">
        <is>
          <t>2024-04-02</t>
        </is>
      </c>
      <c r="B202" s="31" t="n">
        <v>13000</v>
      </c>
      <c r="C202" s="31" t="n">
        <v>13100</v>
      </c>
      <c r="D202" s="31" t="n">
        <v>12450</v>
      </c>
      <c r="E202" s="31" t="n">
        <v>12790</v>
      </c>
      <c r="F202" s="31" t="n">
        <v>12790</v>
      </c>
      <c r="G202" s="31" t="n">
        <v>705498</v>
      </c>
      <c r="H202" s="36" t="n">
        <v>-0.01691006917755578</v>
      </c>
      <c r="I202" s="36" t="n">
        <v>-0.1853503184713375</v>
      </c>
      <c r="J202" s="31" t="n">
        <v>11853.5</v>
      </c>
      <c r="K202" s="31" t="n">
        <v>10030.5</v>
      </c>
      <c r="L202" s="31" t="n">
        <v>9451.666666666666</v>
      </c>
      <c r="M202" s="36" t="n">
        <v>0.7025556402133077</v>
      </c>
      <c r="N202" s="36" t="n">
        <v>0.5574911409272862</v>
      </c>
      <c r="O202" s="36" t="n">
        <v>0.1842592592592593</v>
      </c>
      <c r="P202" s="36" t="n">
        <v>0.3887079261672095</v>
      </c>
      <c r="Q202" s="36" t="n">
        <v>0.2945344129554657</v>
      </c>
      <c r="R202" s="36" t="n">
        <v>0.07900620070021502</v>
      </c>
      <c r="S202" s="36" t="n">
        <v>0.2751109117192563</v>
      </c>
      <c r="T202" s="36" t="n">
        <v>0.3532004937400812</v>
      </c>
      <c r="U202" s="31" t="n">
        <v>13720</v>
      </c>
      <c r="V202" s="31" t="n">
        <v>7900</v>
      </c>
      <c r="W202" s="36" t="n">
        <v>-0.06778425655976672</v>
      </c>
      <c r="X202" s="36" t="n">
        <v>0.6189873417721519</v>
      </c>
      <c r="Y202" s="31" t="n">
        <v>33416778</v>
      </c>
      <c r="Z202" s="31" t="n">
        <v>427400590620</v>
      </c>
      <c r="AA202" s="31" t="n">
        <v>9023319420</v>
      </c>
      <c r="AB202" s="31" t="n">
        <v>10679338191</v>
      </c>
      <c r="AC202" s="36" t="n">
        <v>0.0211120892624657</v>
      </c>
      <c r="AD202" s="29" t="inlineStr">
        <is>
          <t>yfinance_download</t>
        </is>
      </c>
      <c r="AE202" s="29" t="inlineStr">
        <is>
          <t>059090.KQ</t>
        </is>
      </c>
    </row>
    <row r="203" ht="24" customHeight="1">
      <c r="A203" s="24" t="inlineStr">
        <is>
          <t>2024-04-03</t>
        </is>
      </c>
      <c r="B203" s="30" t="n">
        <v>12610</v>
      </c>
      <c r="C203" s="30" t="n">
        <v>12620</v>
      </c>
      <c r="D203" s="30" t="n">
        <v>12000</v>
      </c>
      <c r="E203" s="30" t="n">
        <v>12300</v>
      </c>
      <c r="F203" s="30" t="n">
        <v>12300</v>
      </c>
      <c r="G203" s="30" t="n">
        <v>563630</v>
      </c>
      <c r="H203" s="35" t="n">
        <v>-0.03831118060985139</v>
      </c>
      <c r="I203" s="35" t="n">
        <v>-0.2165605095541401</v>
      </c>
      <c r="J203" s="30" t="n">
        <v>11884.5</v>
      </c>
      <c r="K203" s="30" t="n">
        <v>10081.66666666667</v>
      </c>
      <c r="L203" s="30" t="n">
        <v>9475.833333333334</v>
      </c>
      <c r="M203" s="35" t="n">
        <v>0.6673411471484185</v>
      </c>
      <c r="N203" s="35" t="n">
        <v>0.5648262160754954</v>
      </c>
      <c r="O203" s="35" t="n">
        <v>0.05308219178082196</v>
      </c>
      <c r="P203" s="35" t="n">
        <v>0.3326110509209101</v>
      </c>
      <c r="Q203" s="35" t="n">
        <v>0.3085106382978724</v>
      </c>
      <c r="R203" s="35" t="n">
        <v>0.03496150448062596</v>
      </c>
      <c r="S203" s="35" t="n">
        <v>0.2200363696478758</v>
      </c>
      <c r="T203" s="35" t="n">
        <v>0.2980388708117139</v>
      </c>
      <c r="U203" s="30" t="n">
        <v>13720</v>
      </c>
      <c r="V203" s="30" t="n">
        <v>7900</v>
      </c>
      <c r="W203" s="35" t="n">
        <v>-0.1034985422740525</v>
      </c>
      <c r="X203" s="35" t="n">
        <v>0.5569620253164558</v>
      </c>
      <c r="Y203" s="30" t="n">
        <v>33416778</v>
      </c>
      <c r="Z203" s="30" t="n">
        <v>411026369400</v>
      </c>
      <c r="AA203" s="30" t="n">
        <v>6932649000</v>
      </c>
      <c r="AB203" s="30" t="n">
        <v>10168625353</v>
      </c>
      <c r="AC203" s="35" t="n">
        <v>0.01686667697286674</v>
      </c>
      <c r="AD203" s="24" t="inlineStr">
        <is>
          <t>yfinance_download</t>
        </is>
      </c>
      <c r="AE203" s="24" t="inlineStr">
        <is>
          <t>059090.KQ</t>
        </is>
      </c>
    </row>
    <row r="204" ht="24" customHeight="1">
      <c r="A204" s="29" t="inlineStr">
        <is>
          <t>2024-04-04</t>
        </is>
      </c>
      <c r="B204" s="31" t="n">
        <v>12420</v>
      </c>
      <c r="C204" s="31" t="n">
        <v>12800</v>
      </c>
      <c r="D204" s="31" t="n">
        <v>12240</v>
      </c>
      <c r="E204" s="31" t="n">
        <v>12390</v>
      </c>
      <c r="F204" s="31" t="n">
        <v>12390</v>
      </c>
      <c r="G204" s="31" t="n">
        <v>518259</v>
      </c>
      <c r="H204" s="36" t="n">
        <v>0.007317073170731714</v>
      </c>
      <c r="I204" s="36" t="n">
        <v>-0.210828025477707</v>
      </c>
      <c r="J204" s="31" t="n">
        <v>11935.5</v>
      </c>
      <c r="K204" s="31" t="n">
        <v>10135.5</v>
      </c>
      <c r="L204" s="31" t="n">
        <v>9496.916666666666</v>
      </c>
      <c r="M204" s="36" t="n">
        <v>0.6579431135113265</v>
      </c>
      <c r="N204" s="36" t="n">
        <v>0.564188572023831</v>
      </c>
      <c r="O204" s="36" t="n">
        <v>0.08970976253298146</v>
      </c>
      <c r="P204" s="36" t="n">
        <v>0.3526200873362446</v>
      </c>
      <c r="Q204" s="36" t="n">
        <v>0.2565922920892494</v>
      </c>
      <c r="R204" s="36" t="n">
        <v>0.03807967827070513</v>
      </c>
      <c r="S204" s="36" t="n">
        <v>0.2224359923042771</v>
      </c>
      <c r="T204" s="36" t="n">
        <v>0.3046339601449595</v>
      </c>
      <c r="U204" s="31" t="n">
        <v>13720</v>
      </c>
      <c r="V204" s="31" t="n">
        <v>7900</v>
      </c>
      <c r="W204" s="36" t="n">
        <v>-0.09693877551020413</v>
      </c>
      <c r="X204" s="36" t="n">
        <v>0.5683544303797468</v>
      </c>
      <c r="Y204" s="31" t="n">
        <v>33416778</v>
      </c>
      <c r="Z204" s="31" t="n">
        <v>414033879420</v>
      </c>
      <c r="AA204" s="31" t="n">
        <v>6421229010</v>
      </c>
      <c r="AB204" s="31" t="n">
        <v>9938036006.5</v>
      </c>
      <c r="AC204" s="36" t="n">
        <v>0.01550894583553208</v>
      </c>
      <c r="AD204" s="29" t="inlineStr">
        <is>
          <t>yfinance_download</t>
        </is>
      </c>
      <c r="AE204" s="29" t="inlineStr">
        <is>
          <t>059090.KQ</t>
        </is>
      </c>
    </row>
    <row r="205" ht="24" customHeight="1">
      <c r="A205" s="24" t="inlineStr">
        <is>
          <t>2024-04-05</t>
        </is>
      </c>
      <c r="B205" s="30" t="n">
        <v>12200</v>
      </c>
      <c r="C205" s="30" t="n">
        <v>12490</v>
      </c>
      <c r="D205" s="30" t="n">
        <v>11950</v>
      </c>
      <c r="E205" s="30" t="n">
        <v>12180</v>
      </c>
      <c r="F205" s="30" t="n">
        <v>12180</v>
      </c>
      <c r="G205" s="30" t="n">
        <v>457675</v>
      </c>
      <c r="H205" s="35" t="n">
        <v>-0.01694915254237284</v>
      </c>
      <c r="I205" s="35" t="n">
        <v>-0.2242038216560509</v>
      </c>
      <c r="J205" s="30" t="n">
        <v>11933</v>
      </c>
      <c r="K205" s="30" t="n">
        <v>10186.16666666667</v>
      </c>
      <c r="L205" s="30" t="n">
        <v>9513.666666666666</v>
      </c>
      <c r="M205" s="35" t="n">
        <v>0.6063548120916884</v>
      </c>
      <c r="N205" s="35" t="n">
        <v>0.5658728355955905</v>
      </c>
      <c r="O205" s="35" t="n">
        <v>-0.00408830744071953</v>
      </c>
      <c r="P205" s="35" t="n">
        <v>0.3326039387308535</v>
      </c>
      <c r="Q205" s="35" t="n">
        <v>0.1976401179941003</v>
      </c>
      <c r="R205" s="35" t="n">
        <v>0.02069890220397208</v>
      </c>
      <c r="S205" s="35" t="n">
        <v>0.1957393196655595</v>
      </c>
      <c r="T205" s="35" t="n">
        <v>0.2802634806068465</v>
      </c>
      <c r="U205" s="30" t="n">
        <v>13720</v>
      </c>
      <c r="V205" s="30" t="n">
        <v>7900</v>
      </c>
      <c r="W205" s="35" t="n">
        <v>-0.1122448979591837</v>
      </c>
      <c r="X205" s="35" t="n">
        <v>0.5417721518987342</v>
      </c>
      <c r="Y205" s="30" t="n">
        <v>33416778</v>
      </c>
      <c r="Z205" s="30" t="n">
        <v>407016356040</v>
      </c>
      <c r="AA205" s="30" t="n">
        <v>5574481500</v>
      </c>
      <c r="AB205" s="30" t="n">
        <v>9438717445</v>
      </c>
      <c r="AC205" s="35" t="n">
        <v>0.01369596434461754</v>
      </c>
      <c r="AD205" s="24" t="inlineStr">
        <is>
          <t>yfinance_download</t>
        </is>
      </c>
      <c r="AE205" s="24" t="inlineStr">
        <is>
          <t>059090.KQ</t>
        </is>
      </c>
    </row>
    <row r="206" ht="24" customHeight="1">
      <c r="A206" s="29" t="inlineStr">
        <is>
          <t>2024-04-08</t>
        </is>
      </c>
      <c r="B206" s="31" t="n">
        <v>12350</v>
      </c>
      <c r="C206" s="31" t="n">
        <v>12580</v>
      </c>
      <c r="D206" s="31" t="n">
        <v>11310</v>
      </c>
      <c r="E206" s="31" t="n">
        <v>11400</v>
      </c>
      <c r="F206" s="31" t="n">
        <v>11400</v>
      </c>
      <c r="G206" s="31" t="n">
        <v>703405</v>
      </c>
      <c r="H206" s="36" t="n">
        <v>-0.06403940886699511</v>
      </c>
      <c r="I206" s="36" t="n">
        <v>-0.2738853503184714</v>
      </c>
      <c r="J206" s="31" t="n">
        <v>11889</v>
      </c>
      <c r="K206" s="31" t="n">
        <v>10229.16666666667</v>
      </c>
      <c r="L206" s="31" t="n">
        <v>9526.583333333334</v>
      </c>
      <c r="M206" s="36" t="n">
        <v>0.6477760644813024</v>
      </c>
      <c r="N206" s="36" t="n">
        <v>0.5777300904738847</v>
      </c>
      <c r="O206" s="36" t="n">
        <v>-0.07166123778501632</v>
      </c>
      <c r="P206" s="36" t="n">
        <v>0.2925170068027212</v>
      </c>
      <c r="Q206" s="36" t="n">
        <v>0.1573604060913705</v>
      </c>
      <c r="R206" s="36" t="n">
        <v>-0.0411304567247035</v>
      </c>
      <c r="S206" s="36" t="n">
        <v>0.114460285132383</v>
      </c>
      <c r="T206" s="36" t="n">
        <v>0.196651475257831</v>
      </c>
      <c r="U206" s="31" t="n">
        <v>13720</v>
      </c>
      <c r="V206" s="31" t="n">
        <v>7900</v>
      </c>
      <c r="W206" s="36" t="n">
        <v>-0.1690962099125365</v>
      </c>
      <c r="X206" s="36" t="n">
        <v>0.4430379746835442</v>
      </c>
      <c r="Y206" s="31" t="n">
        <v>33416778</v>
      </c>
      <c r="Z206" s="31" t="n">
        <v>380951269200</v>
      </c>
      <c r="AA206" s="31" t="n">
        <v>8018817000</v>
      </c>
      <c r="AB206" s="31" t="n">
        <v>9494277155</v>
      </c>
      <c r="AC206" s="36" t="n">
        <v>0.02104945605468008</v>
      </c>
      <c r="AD206" s="29" t="inlineStr">
        <is>
          <t>yfinance_download</t>
        </is>
      </c>
      <c r="AE206" s="29" t="inlineStr">
        <is>
          <t>059090.KQ</t>
        </is>
      </c>
    </row>
    <row r="207" ht="24" customHeight="1">
      <c r="A207" s="24" t="inlineStr">
        <is>
          <t>2024-04-09</t>
        </is>
      </c>
      <c r="B207" s="30" t="n">
        <v>11550</v>
      </c>
      <c r="C207" s="30" t="n">
        <v>11550</v>
      </c>
      <c r="D207" s="30" t="n">
        <v>11110</v>
      </c>
      <c r="E207" s="30" t="n">
        <v>11180</v>
      </c>
      <c r="F207" s="30" t="n">
        <v>11180</v>
      </c>
      <c r="G207" s="30" t="n">
        <v>280344</v>
      </c>
      <c r="H207" s="35" t="n">
        <v>-0.01929824561403504</v>
      </c>
      <c r="I207" s="35" t="n">
        <v>-0.2878980891719746</v>
      </c>
      <c r="J207" s="30" t="n">
        <v>11885.5</v>
      </c>
      <c r="K207" s="30" t="n">
        <v>10266.16666666667</v>
      </c>
      <c r="L207" s="30" t="n">
        <v>9542.5</v>
      </c>
      <c r="M207" s="35" t="n">
        <v>0.5774978056078413</v>
      </c>
      <c r="N207" s="35" t="n">
        <v>0.5793752530848288</v>
      </c>
      <c r="O207" s="35" t="n">
        <v>-0.00622222222222224</v>
      </c>
      <c r="P207" s="35" t="n">
        <v>0.2477678571428572</v>
      </c>
      <c r="Q207" s="35" t="n">
        <v>0.2060409924487594</v>
      </c>
      <c r="R207" s="35" t="n">
        <v>-0.05935804131084099</v>
      </c>
      <c r="S207" s="35" t="n">
        <v>0.08901407536081307</v>
      </c>
      <c r="T207" s="35" t="n">
        <v>0.1716007335603877</v>
      </c>
      <c r="U207" s="30" t="n">
        <v>13720</v>
      </c>
      <c r="V207" s="30" t="n">
        <v>7900</v>
      </c>
      <c r="W207" s="35" t="n">
        <v>-0.185131195335277</v>
      </c>
      <c r="X207" s="35" t="n">
        <v>0.4151898734177215</v>
      </c>
      <c r="Y207" s="30" t="n">
        <v>33416778</v>
      </c>
      <c r="Z207" s="30" t="n">
        <v>373599578040</v>
      </c>
      <c r="AA207" s="30" t="n">
        <v>3134245920</v>
      </c>
      <c r="AB207" s="30" t="n">
        <v>8957038826</v>
      </c>
      <c r="AC207" s="35" t="n">
        <v>0.008389318682968178</v>
      </c>
      <c r="AD207" s="24" t="inlineStr">
        <is>
          <t>yfinance_download</t>
        </is>
      </c>
      <c r="AE207" s="24" t="inlineStr">
        <is>
          <t>059090.KQ</t>
        </is>
      </c>
    </row>
    <row r="208" ht="24" customHeight="1">
      <c r="A208" s="29" t="inlineStr">
        <is>
          <t>2024-04-11</t>
        </is>
      </c>
      <c r="B208" s="31" t="n">
        <v>11000</v>
      </c>
      <c r="C208" s="31" t="n">
        <v>11430</v>
      </c>
      <c r="D208" s="31" t="n">
        <v>10870</v>
      </c>
      <c r="E208" s="31" t="n">
        <v>11200</v>
      </c>
      <c r="F208" s="31" t="n">
        <v>11200</v>
      </c>
      <c r="G208" s="31" t="n">
        <v>205443</v>
      </c>
      <c r="H208" s="36" t="n">
        <v>0.001788908765652852</v>
      </c>
      <c r="I208" s="36" t="n">
        <v>-0.2866242038216561</v>
      </c>
      <c r="J208" s="31" t="n">
        <v>11891.5</v>
      </c>
      <c r="K208" s="31" t="n">
        <v>10307.83333333333</v>
      </c>
      <c r="L208" s="31" t="n">
        <v>9555.416666666666</v>
      </c>
      <c r="M208" s="36" t="n">
        <v>0.5746266305447643</v>
      </c>
      <c r="N208" s="36" t="n">
        <v>0.5752266747699876</v>
      </c>
      <c r="O208" s="36" t="n">
        <v>0.01083032490974722</v>
      </c>
      <c r="P208" s="36" t="n">
        <v>0.2873563218390804</v>
      </c>
      <c r="Q208" s="36" t="n">
        <v>0.160621761658031</v>
      </c>
      <c r="R208" s="36" t="n">
        <v>-0.05815077996888529</v>
      </c>
      <c r="S208" s="36" t="n">
        <v>0.08655229841382761</v>
      </c>
      <c r="T208" s="36" t="n">
        <v>0.1721100597392404</v>
      </c>
      <c r="U208" s="31" t="n">
        <v>13720</v>
      </c>
      <c r="V208" s="31" t="n">
        <v>7900</v>
      </c>
      <c r="W208" s="36" t="n">
        <v>-0.1836734693877551</v>
      </c>
      <c r="X208" s="36" t="n">
        <v>0.4177215189873418</v>
      </c>
      <c r="Y208" s="31" t="n">
        <v>33416778</v>
      </c>
      <c r="Z208" s="31" t="n">
        <v>374267913600</v>
      </c>
      <c r="AA208" s="31" t="n">
        <v>2300961600</v>
      </c>
      <c r="AB208" s="31" t="n">
        <v>8737201662</v>
      </c>
      <c r="AC208" s="36" t="n">
        <v>0.006147899716723138</v>
      </c>
      <c r="AD208" s="29" t="inlineStr">
        <is>
          <t>yfinance_download</t>
        </is>
      </c>
      <c r="AE208" s="29" t="inlineStr">
        <is>
          <t>059090.KQ</t>
        </is>
      </c>
    </row>
    <row r="209" ht="24" customHeight="1">
      <c r="A209" s="24" t="inlineStr">
        <is>
          <t>2024-04-12</t>
        </is>
      </c>
      <c r="B209" s="30" t="n">
        <v>11310</v>
      </c>
      <c r="C209" s="30" t="n">
        <v>11760</v>
      </c>
      <c r="D209" s="30" t="n">
        <v>11180</v>
      </c>
      <c r="E209" s="30" t="n">
        <v>11190</v>
      </c>
      <c r="F209" s="30" t="n">
        <v>11190</v>
      </c>
      <c r="G209" s="30" t="n">
        <v>259163</v>
      </c>
      <c r="H209" s="35" t="n">
        <v>-0.0008928571428571397</v>
      </c>
      <c r="I209" s="35" t="n">
        <v>-0.2872611464968153</v>
      </c>
      <c r="J209" s="30" t="n">
        <v>11886</v>
      </c>
      <c r="K209" s="30" t="n">
        <v>10350.5</v>
      </c>
      <c r="L209" s="30" t="n">
        <v>9569.916666666666</v>
      </c>
      <c r="M209" s="35" t="n">
        <v>0.5703679064835723</v>
      </c>
      <c r="N209" s="35" t="n">
        <v>0.574728638700174</v>
      </c>
      <c r="O209" s="35" t="n">
        <v>-0.009734513274336276</v>
      </c>
      <c r="P209" s="35" t="n">
        <v>0.2966396292004636</v>
      </c>
      <c r="Q209" s="35" t="n">
        <v>0.1841269841269841</v>
      </c>
      <c r="R209" s="35" t="n">
        <v>-0.05855628470469465</v>
      </c>
      <c r="S209" s="35" t="n">
        <v>0.0811071928892324</v>
      </c>
      <c r="T209" s="35" t="n">
        <v>0.1692891787633122</v>
      </c>
      <c r="U209" s="30" t="n">
        <v>13720</v>
      </c>
      <c r="V209" s="30" t="n">
        <v>7900</v>
      </c>
      <c r="W209" s="35" t="n">
        <v>-0.184402332361516</v>
      </c>
      <c r="X209" s="35" t="n">
        <v>0.4164556962025316</v>
      </c>
      <c r="Y209" s="30" t="n">
        <v>33416778</v>
      </c>
      <c r="Z209" s="30" t="n">
        <v>373933745820</v>
      </c>
      <c r="AA209" s="30" t="n">
        <v>2900033970</v>
      </c>
      <c r="AB209" s="30" t="n">
        <v>8512637425.5</v>
      </c>
      <c r="AC209" s="35" t="n">
        <v>0.007755475408191657</v>
      </c>
      <c r="AD209" s="24" t="inlineStr">
        <is>
          <t>yfinance_download</t>
        </is>
      </c>
      <c r="AE209" s="24" t="inlineStr">
        <is>
          <t>059090.KQ</t>
        </is>
      </c>
    </row>
    <row r="210" ht="24" customHeight="1">
      <c r="A210" s="29" t="inlineStr">
        <is>
          <t>2024-04-15</t>
        </is>
      </c>
      <c r="B210" s="31" t="n">
        <v>10970</v>
      </c>
      <c r="C210" s="31" t="n">
        <v>11290</v>
      </c>
      <c r="D210" s="31" t="n">
        <v>10810</v>
      </c>
      <c r="E210" s="31" t="n">
        <v>11290</v>
      </c>
      <c r="F210" s="31" t="n">
        <v>11290</v>
      </c>
      <c r="G210" s="31" t="n">
        <v>233658</v>
      </c>
      <c r="H210" s="36" t="n">
        <v>0.008936550491510209</v>
      </c>
      <c r="I210" s="36" t="n">
        <v>-0.280891719745223</v>
      </c>
      <c r="J210" s="31" t="n">
        <v>11896</v>
      </c>
      <c r="K210" s="31" t="n">
        <v>10394.83333333333</v>
      </c>
      <c r="L210" s="31" t="n">
        <v>9588.083333333334</v>
      </c>
      <c r="M210" s="36" t="n">
        <v>0.5667633506066466</v>
      </c>
      <c r="N210" s="36" t="n">
        <v>0.5746908380551613</v>
      </c>
      <c r="O210" s="36" t="n">
        <v>0.0180342651036971</v>
      </c>
      <c r="P210" s="36" t="n">
        <v>0.3082271147161066</v>
      </c>
      <c r="Q210" s="36" t="n">
        <v>0.2392974753018662</v>
      </c>
      <c r="R210" s="36" t="n">
        <v>-0.05094149293880301</v>
      </c>
      <c r="S210" s="36" t="n">
        <v>0.08611650018438644</v>
      </c>
      <c r="T210" s="36" t="n">
        <v>0.177503324439191</v>
      </c>
      <c r="U210" s="31" t="n">
        <v>13720</v>
      </c>
      <c r="V210" s="31" t="n">
        <v>7900</v>
      </c>
      <c r="W210" s="36" t="n">
        <v>-0.1771137026239067</v>
      </c>
      <c r="X210" s="36" t="n">
        <v>0.429113924050633</v>
      </c>
      <c r="Y210" s="31" t="n">
        <v>33416778</v>
      </c>
      <c r="Z210" s="31" t="n">
        <v>377275423620</v>
      </c>
      <c r="AA210" s="31" t="n">
        <v>2637998820</v>
      </c>
      <c r="AB210" s="31" t="n">
        <v>8512246974.5</v>
      </c>
      <c r="AC210" s="36" t="n">
        <v>0.006992236055792094</v>
      </c>
      <c r="AD210" s="29" t="inlineStr">
        <is>
          <t>yfinance_download</t>
        </is>
      </c>
      <c r="AE210" s="29" t="inlineStr">
        <is>
          <t>059090.KQ</t>
        </is>
      </c>
    </row>
    <row r="211" ht="24" customHeight="1">
      <c r="A211" s="24" t="inlineStr">
        <is>
          <t>2024-04-16</t>
        </is>
      </c>
      <c r="B211" s="30" t="n">
        <v>11060</v>
      </c>
      <c r="C211" s="30" t="n">
        <v>11060</v>
      </c>
      <c r="D211" s="30" t="n">
        <v>10420</v>
      </c>
      <c r="E211" s="30" t="n">
        <v>10580</v>
      </c>
      <c r="F211" s="30" t="n">
        <v>10580</v>
      </c>
      <c r="G211" s="30" t="n">
        <v>468661</v>
      </c>
      <c r="H211" s="35" t="n">
        <v>-0.06288751107174495</v>
      </c>
      <c r="I211" s="35" t="n">
        <v>-0.3261146496815287</v>
      </c>
      <c r="J211" s="30" t="n">
        <v>11876</v>
      </c>
      <c r="K211" s="30" t="n">
        <v>10432.83333333333</v>
      </c>
      <c r="L211" s="30" t="n">
        <v>9601.833333333334</v>
      </c>
      <c r="M211" s="35" t="n">
        <v>0.6103989709253544</v>
      </c>
      <c r="N211" s="35" t="n">
        <v>0.5847642262984698</v>
      </c>
      <c r="O211" s="35" t="n">
        <v>-0.03642987249544627</v>
      </c>
      <c r="P211" s="35" t="n">
        <v>0.2746987951807229</v>
      </c>
      <c r="Q211" s="35" t="n">
        <v>0.1847704367301233</v>
      </c>
      <c r="R211" s="35" t="n">
        <v>-0.1091276524082182</v>
      </c>
      <c r="S211" s="35" t="n">
        <v>0.01410610732143702</v>
      </c>
      <c r="T211" s="35" t="n">
        <v>0.1018729062158268</v>
      </c>
      <c r="U211" s="30" t="n">
        <v>13720</v>
      </c>
      <c r="V211" s="30" t="n">
        <v>7900</v>
      </c>
      <c r="W211" s="35" t="n">
        <v>-0.2288629737609329</v>
      </c>
      <c r="X211" s="35" t="n">
        <v>0.339240506329114</v>
      </c>
      <c r="Y211" s="30" t="n">
        <v>33416778</v>
      </c>
      <c r="Z211" s="30" t="n">
        <v>353549511240</v>
      </c>
      <c r="AA211" s="30" t="n">
        <v>4958433380</v>
      </c>
      <c r="AB211" s="30" t="n">
        <v>8597356105.5</v>
      </c>
      <c r="AC211" s="35" t="n">
        <v>0.01402472135404556</v>
      </c>
      <c r="AD211" s="24" t="inlineStr">
        <is>
          <t>yfinance_download</t>
        </is>
      </c>
      <c r="AE211" s="24" t="inlineStr">
        <is>
          <t>059090.KQ</t>
        </is>
      </c>
    </row>
    <row r="212" ht="24" customHeight="1">
      <c r="A212" s="29" t="inlineStr">
        <is>
          <t>2024-04-17</t>
        </is>
      </c>
      <c r="B212" s="31" t="n">
        <v>10680</v>
      </c>
      <c r="C212" s="31" t="n">
        <v>11130</v>
      </c>
      <c r="D212" s="31" t="n">
        <v>10470</v>
      </c>
      <c r="E212" s="31" t="n">
        <v>10900</v>
      </c>
      <c r="F212" s="31" t="n">
        <v>10900</v>
      </c>
      <c r="G212" s="31" t="n">
        <v>304250</v>
      </c>
      <c r="H212" s="36" t="n">
        <v>0.03024574669187152</v>
      </c>
      <c r="I212" s="36" t="n">
        <v>-0.3057324840764332</v>
      </c>
      <c r="J212" s="31" t="n">
        <v>11865</v>
      </c>
      <c r="K212" s="31" t="n">
        <v>10476</v>
      </c>
      <c r="L212" s="31" t="n">
        <v>9620.666666666666</v>
      </c>
      <c r="M212" s="36" t="n">
        <v>0.6187920608276477</v>
      </c>
      <c r="N212" s="36" t="n">
        <v>0.5870468710837061</v>
      </c>
      <c r="O212" s="36" t="n">
        <v>-0.01978417266187049</v>
      </c>
      <c r="P212" s="36" t="n">
        <v>0.3116726835138388</v>
      </c>
      <c r="Q212" s="36" t="n">
        <v>0.2615740740740742</v>
      </c>
      <c r="R212" s="36" t="n">
        <v>-0.08133164770332912</v>
      </c>
      <c r="S212" s="36" t="n">
        <v>0.04047346315387546</v>
      </c>
      <c r="T212" s="36" t="n">
        <v>0.1329776176287161</v>
      </c>
      <c r="U212" s="31" t="n">
        <v>13720</v>
      </c>
      <c r="V212" s="31" t="n">
        <v>7900</v>
      </c>
      <c r="W212" s="36" t="n">
        <v>-0.2055393586005831</v>
      </c>
      <c r="X212" s="36" t="n">
        <v>0.379746835443038</v>
      </c>
      <c r="Y212" s="31" t="n">
        <v>33416778</v>
      </c>
      <c r="Z212" s="31" t="n">
        <v>364242880200</v>
      </c>
      <c r="AA212" s="31" t="n">
        <v>3316325000</v>
      </c>
      <c r="AB212" s="31" t="n">
        <v>8358764643.5</v>
      </c>
      <c r="AC212" s="36" t="n">
        <v>0.009104707820724069</v>
      </c>
      <c r="AD212" s="29" t="inlineStr">
        <is>
          <t>yfinance_download</t>
        </is>
      </c>
      <c r="AE212" s="29" t="inlineStr">
        <is>
          <t>059090.KQ</t>
        </is>
      </c>
    </row>
    <row r="213" ht="24" customHeight="1">
      <c r="A213" s="24" t="inlineStr">
        <is>
          <t>2024-04-18</t>
        </is>
      </c>
      <c r="B213" s="30" t="n">
        <v>10750</v>
      </c>
      <c r="C213" s="30" t="n">
        <v>11610</v>
      </c>
      <c r="D213" s="30" t="n">
        <v>10750</v>
      </c>
      <c r="E213" s="30" t="n">
        <v>11590</v>
      </c>
      <c r="F213" s="30" t="n">
        <v>11590</v>
      </c>
      <c r="G213" s="30" t="n">
        <v>304233</v>
      </c>
      <c r="H213" s="35" t="n">
        <v>0.06330275229357807</v>
      </c>
      <c r="I213" s="35" t="n">
        <v>-0.2617834394904459</v>
      </c>
      <c r="J213" s="30" t="n">
        <v>11864</v>
      </c>
      <c r="K213" s="30" t="n">
        <v>10522.66666666667</v>
      </c>
      <c r="L213" s="30" t="n">
        <v>9641.416666666666</v>
      </c>
      <c r="M213" s="35" t="n">
        <v>0.6404717845736668</v>
      </c>
      <c r="N213" s="35" t="n">
        <v>0.5892721057117045</v>
      </c>
      <c r="O213" s="35" t="n">
        <v>-0.001722652885443599</v>
      </c>
      <c r="P213" s="35" t="n">
        <v>0.3185437997724687</v>
      </c>
      <c r="Q213" s="35" t="n">
        <v>0.2736263736263735</v>
      </c>
      <c r="R213" s="35" t="n">
        <v>-0.02309507754551587</v>
      </c>
      <c r="S213" s="35" t="n">
        <v>0.1014318297009631</v>
      </c>
      <c r="T213" s="35" t="n">
        <v>0.2021054997104506</v>
      </c>
      <c r="U213" s="30" t="n">
        <v>13720</v>
      </c>
      <c r="V213" s="30" t="n">
        <v>7900</v>
      </c>
      <c r="W213" s="35" t="n">
        <v>-0.1552478134110787</v>
      </c>
      <c r="X213" s="35" t="n">
        <v>0.4670886075949368</v>
      </c>
      <c r="Y213" s="30" t="n">
        <v>33416778</v>
      </c>
      <c r="Z213" s="30" t="n">
        <v>387300457020</v>
      </c>
      <c r="AA213" s="30" t="n">
        <v>3526060470</v>
      </c>
      <c r="AB213" s="30" t="n">
        <v>8274995540</v>
      </c>
      <c r="AC213" s="35" t="n">
        <v>0.009104199094239427</v>
      </c>
      <c r="AD213" s="24" t="inlineStr">
        <is>
          <t>yfinance_download</t>
        </is>
      </c>
      <c r="AE213" s="24" t="inlineStr">
        <is>
          <t>059090.KQ</t>
        </is>
      </c>
    </row>
    <row r="214" ht="24" customHeight="1">
      <c r="A214" s="29" t="inlineStr">
        <is>
          <t>2024-04-19</t>
        </is>
      </c>
      <c r="B214" s="31" t="n">
        <v>11480</v>
      </c>
      <c r="C214" s="31" t="n">
        <v>11550</v>
      </c>
      <c r="D214" s="31" t="n">
        <v>10520</v>
      </c>
      <c r="E214" s="31" t="n">
        <v>10670</v>
      </c>
      <c r="F214" s="31" t="n">
        <v>10670</v>
      </c>
      <c r="G214" s="31" t="n">
        <v>509177</v>
      </c>
      <c r="H214" s="36" t="n">
        <v>-0.07937877480586708</v>
      </c>
      <c r="I214" s="36" t="n">
        <v>-0.3203821656050956</v>
      </c>
      <c r="J214" s="31" t="n">
        <v>11808</v>
      </c>
      <c r="K214" s="31" t="n">
        <v>10551.66666666667</v>
      </c>
      <c r="L214" s="31" t="n">
        <v>9656.25</v>
      </c>
      <c r="M214" s="36" t="n">
        <v>0.6973493347793708</v>
      </c>
      <c r="N214" s="36" t="n">
        <v>0.6137758547082863</v>
      </c>
      <c r="O214" s="36" t="n">
        <v>-0.09499575911789648</v>
      </c>
      <c r="P214" s="36" t="n">
        <v>0.1948488241881299</v>
      </c>
      <c r="Q214" s="36" t="n">
        <v>0.2002249718785152</v>
      </c>
      <c r="R214" s="36" t="n">
        <v>-0.09637533875338755</v>
      </c>
      <c r="S214" s="36" t="n">
        <v>0.01121465803190658</v>
      </c>
      <c r="T214" s="36" t="n">
        <v>0.1049838187702266</v>
      </c>
      <c r="U214" s="31" t="n">
        <v>13720</v>
      </c>
      <c r="V214" s="31" t="n">
        <v>7900</v>
      </c>
      <c r="W214" s="36" t="n">
        <v>-0.2223032069970845</v>
      </c>
      <c r="X214" s="36" t="n">
        <v>0.3506329113924052</v>
      </c>
      <c r="Y214" s="31" t="n">
        <v>33416778</v>
      </c>
      <c r="Z214" s="31" t="n">
        <v>356557021260</v>
      </c>
      <c r="AA214" s="31" t="n">
        <v>5432918590</v>
      </c>
      <c r="AB214" s="31" t="n">
        <v>8240997509.5</v>
      </c>
      <c r="AC214" s="36" t="n">
        <v>0.01523716619238396</v>
      </c>
      <c r="AD214" s="29" t="inlineStr">
        <is>
          <t>yfinance_download</t>
        </is>
      </c>
      <c r="AE214" s="29" t="inlineStr">
        <is>
          <t>059090.KQ</t>
        </is>
      </c>
    </row>
    <row r="215" ht="24" customHeight="1">
      <c r="A215" s="24" t="inlineStr">
        <is>
          <t>2024-04-22</t>
        </is>
      </c>
      <c r="B215" s="30" t="n">
        <v>10360</v>
      </c>
      <c r="C215" s="30" t="n">
        <v>10520</v>
      </c>
      <c r="D215" s="30" t="n">
        <v>10060</v>
      </c>
      <c r="E215" s="30" t="n">
        <v>10170</v>
      </c>
      <c r="F215" s="30" t="n">
        <v>10170</v>
      </c>
      <c r="G215" s="30" t="n">
        <v>358998</v>
      </c>
      <c r="H215" s="35" t="n">
        <v>-0.04686035613870665</v>
      </c>
      <c r="I215" s="35" t="n">
        <v>-0.3522292993630574</v>
      </c>
      <c r="J215" s="30" t="n">
        <v>11720.5</v>
      </c>
      <c r="K215" s="30" t="n">
        <v>10570.83333333333</v>
      </c>
      <c r="L215" s="30" t="n">
        <v>9670.166666666666</v>
      </c>
      <c r="M215" s="35" t="n">
        <v>0.7108626290320259</v>
      </c>
      <c r="N215" s="35" t="n">
        <v>0.6222777102391167</v>
      </c>
      <c r="O215" s="35" t="n">
        <v>-0.1468120805369127</v>
      </c>
      <c r="P215" s="35" t="n">
        <v>0.1274944567627494</v>
      </c>
      <c r="Q215" s="35" t="n">
        <v>0.1964705882352942</v>
      </c>
      <c r="R215" s="35" t="n">
        <v>-0.1322895780896719</v>
      </c>
      <c r="S215" s="35" t="n">
        <v>-0.03791880173433193</v>
      </c>
      <c r="T215" s="35" t="n">
        <v>0.05168818186518687</v>
      </c>
      <c r="U215" s="30" t="n">
        <v>13720</v>
      </c>
      <c r="V215" s="30" t="n">
        <v>7900</v>
      </c>
      <c r="W215" s="35" t="n">
        <v>-0.2587463556851312</v>
      </c>
      <c r="X215" s="35" t="n">
        <v>0.2873417721518987</v>
      </c>
      <c r="Y215" s="30" t="n">
        <v>33416778</v>
      </c>
      <c r="Z215" s="30" t="n">
        <v>339848632260</v>
      </c>
      <c r="AA215" s="30" t="n">
        <v>3651009660</v>
      </c>
      <c r="AB215" s="30" t="n">
        <v>7586845048.5</v>
      </c>
      <c r="AC215" s="35" t="n">
        <v>0.01074304650196976</v>
      </c>
      <c r="AD215" s="24" t="inlineStr">
        <is>
          <t>yfinance_download</t>
        </is>
      </c>
      <c r="AE215" s="24" t="inlineStr">
        <is>
          <t>059090.KQ</t>
        </is>
      </c>
    </row>
    <row r="216" ht="24" customHeight="1">
      <c r="A216" s="29" t="inlineStr">
        <is>
          <t>2024-04-23</t>
        </is>
      </c>
      <c r="B216" s="31" t="n">
        <v>10310</v>
      </c>
      <c r="C216" s="31" t="n">
        <v>10310</v>
      </c>
      <c r="D216" s="31" t="n">
        <v>9750</v>
      </c>
      <c r="E216" s="31" t="n">
        <v>9800</v>
      </c>
      <c r="F216" s="31" t="n">
        <v>9800</v>
      </c>
      <c r="G216" s="31" t="n">
        <v>427536</v>
      </c>
      <c r="H216" s="36" t="n">
        <v>-0.03638151425762048</v>
      </c>
      <c r="I216" s="36" t="n">
        <v>-0.3757961783439491</v>
      </c>
      <c r="J216" s="31" t="n">
        <v>11622</v>
      </c>
      <c r="K216" s="31" t="n">
        <v>10583.66666666667</v>
      </c>
      <c r="L216" s="31" t="n">
        <v>9681.5</v>
      </c>
      <c r="M216" s="36" t="n">
        <v>0.7183344884405278</v>
      </c>
      <c r="N216" s="36" t="n">
        <v>0.6274194463440873</v>
      </c>
      <c r="O216" s="36" t="n">
        <v>-0.167374681393373</v>
      </c>
      <c r="P216" s="36" t="n">
        <v>0.08527131782945729</v>
      </c>
      <c r="Q216" s="36" t="n">
        <v>0.1611374407582939</v>
      </c>
      <c r="R216" s="36" t="n">
        <v>-0.1567716399931165</v>
      </c>
      <c r="S216" s="36" t="n">
        <v>-0.07404491197127649</v>
      </c>
      <c r="T216" s="36" t="n">
        <v>0.01223983886794411</v>
      </c>
      <c r="U216" s="31" t="n">
        <v>13720</v>
      </c>
      <c r="V216" s="31" t="n">
        <v>7900</v>
      </c>
      <c r="W216" s="36" t="n">
        <v>-0.2857142857142857</v>
      </c>
      <c r="X216" s="36" t="n">
        <v>0.240506329113924</v>
      </c>
      <c r="Y216" s="31" t="n">
        <v>33416778</v>
      </c>
      <c r="Z216" s="31" t="n">
        <v>327484424400</v>
      </c>
      <c r="AA216" s="31" t="n">
        <v>4189852800</v>
      </c>
      <c r="AB216" s="31" t="n">
        <v>7378440307.5</v>
      </c>
      <c r="AC216" s="36" t="n">
        <v>0.01279405213752205</v>
      </c>
      <c r="AD216" s="29" t="inlineStr">
        <is>
          <t>yfinance_download</t>
        </is>
      </c>
      <c r="AE216" s="29" t="inlineStr">
        <is>
          <t>059090.KQ</t>
        </is>
      </c>
    </row>
    <row r="217" ht="24" customHeight="1">
      <c r="A217" s="24" t="inlineStr">
        <is>
          <t>2024-04-24</t>
        </is>
      </c>
      <c r="B217" s="30" t="n">
        <v>10030</v>
      </c>
      <c r="C217" s="30" t="n">
        <v>10250</v>
      </c>
      <c r="D217" s="30" t="n">
        <v>9990</v>
      </c>
      <c r="E217" s="30" t="n">
        <v>10150</v>
      </c>
      <c r="F217" s="30" t="n">
        <v>10150</v>
      </c>
      <c r="G217" s="30" t="n">
        <v>214392</v>
      </c>
      <c r="H217" s="35" t="n">
        <v>0.03571428571428581</v>
      </c>
      <c r="I217" s="35" t="n">
        <v>-0.3535031847133758</v>
      </c>
      <c r="J217" s="30" t="n">
        <v>11549</v>
      </c>
      <c r="K217" s="30" t="n">
        <v>10600.16666666667</v>
      </c>
      <c r="L217" s="30" t="n">
        <v>9696.083333333334</v>
      </c>
      <c r="M217" s="35" t="n">
        <v>0.7345290617212933</v>
      </c>
      <c r="N217" s="35" t="n">
        <v>0.6307141401197318</v>
      </c>
      <c r="O217" s="35" t="n">
        <v>-0.1257536606373816</v>
      </c>
      <c r="P217" s="35" t="n">
        <v>0.1080786026200873</v>
      </c>
      <c r="Q217" s="35" t="n">
        <v>0.2083333333333333</v>
      </c>
      <c r="R217" s="35" t="n">
        <v>-0.121136029093428</v>
      </c>
      <c r="S217" s="35" t="n">
        <v>-0.04246788572506721</v>
      </c>
      <c r="T217" s="35" t="n">
        <v>0.04681443538198415</v>
      </c>
      <c r="U217" s="30" t="n">
        <v>13720</v>
      </c>
      <c r="V217" s="30" t="n">
        <v>7900</v>
      </c>
      <c r="W217" s="35" t="n">
        <v>-0.2602040816326531</v>
      </c>
      <c r="X217" s="35" t="n">
        <v>0.2848101265822784</v>
      </c>
      <c r="Y217" s="30" t="n">
        <v>33416778</v>
      </c>
      <c r="Z217" s="30" t="n">
        <v>339180296700</v>
      </c>
      <c r="AA217" s="30" t="n">
        <v>2176078800</v>
      </c>
      <c r="AB217" s="30" t="n">
        <v>7199697636</v>
      </c>
      <c r="AC217" s="35" t="n">
        <v>0.00641569932325612</v>
      </c>
      <c r="AD217" s="24" t="inlineStr">
        <is>
          <t>yfinance_download</t>
        </is>
      </c>
      <c r="AE217" s="24" t="inlineStr">
        <is>
          <t>059090.KQ</t>
        </is>
      </c>
    </row>
    <row r="218" ht="24" customHeight="1">
      <c r="A218" s="29" t="inlineStr">
        <is>
          <t>2024-04-25</t>
        </is>
      </c>
      <c r="B218" s="31" t="n">
        <v>10000</v>
      </c>
      <c r="C218" s="31" t="n">
        <v>10390</v>
      </c>
      <c r="D218" s="31" t="n">
        <v>9980</v>
      </c>
      <c r="E218" s="31" t="n">
        <v>10070</v>
      </c>
      <c r="F218" s="31" t="n">
        <v>10070</v>
      </c>
      <c r="G218" s="31" t="n">
        <v>138665</v>
      </c>
      <c r="H218" s="36" t="n">
        <v>-0.007881773399014746</v>
      </c>
      <c r="I218" s="36" t="n">
        <v>-0.3585987261146497</v>
      </c>
      <c r="J218" s="31" t="n">
        <v>11464</v>
      </c>
      <c r="K218" s="31" t="n">
        <v>10614.5</v>
      </c>
      <c r="L218" s="31" t="n">
        <v>9714.166666666666</v>
      </c>
      <c r="M218" s="36" t="n">
        <v>0.7309266072745911</v>
      </c>
      <c r="N218" s="36" t="n">
        <v>0.6310366591395419</v>
      </c>
      <c r="O218" s="36" t="n">
        <v>-0.1444350042480883</v>
      </c>
      <c r="P218" s="36" t="n">
        <v>0.09337676438653641</v>
      </c>
      <c r="Q218" s="36" t="n">
        <v>0.2746835443037974</v>
      </c>
      <c r="R218" s="36" t="n">
        <v>-0.1215980460572226</v>
      </c>
      <c r="S218" s="36" t="n">
        <v>-0.05129775307362572</v>
      </c>
      <c r="T218" s="36" t="n">
        <v>0.03663035086214306</v>
      </c>
      <c r="U218" s="31" t="n">
        <v>13720</v>
      </c>
      <c r="V218" s="31" t="n">
        <v>7900</v>
      </c>
      <c r="W218" s="36" t="n">
        <v>-0.2660349854227405</v>
      </c>
      <c r="X218" s="36" t="n">
        <v>0.2746835443037974</v>
      </c>
      <c r="Y218" s="31" t="n">
        <v>33416778</v>
      </c>
      <c r="Z218" s="31" t="n">
        <v>336506954460</v>
      </c>
      <c r="AA218" s="31" t="n">
        <v>1396356550</v>
      </c>
      <c r="AB218" s="31" t="n">
        <v>7039248360.5</v>
      </c>
      <c r="AC218" s="36" t="n">
        <v>0.004149562234874948</v>
      </c>
      <c r="AD218" s="29" t="inlineStr">
        <is>
          <t>yfinance_download</t>
        </is>
      </c>
      <c r="AE218" s="29" t="inlineStr">
        <is>
          <t>059090.KQ</t>
        </is>
      </c>
    </row>
    <row r="219" ht="24" customHeight="1">
      <c r="A219" s="24" t="inlineStr">
        <is>
          <t>2024-04-26</t>
        </is>
      </c>
      <c r="B219" s="30" t="n">
        <v>10220</v>
      </c>
      <c r="C219" s="30" t="n">
        <v>10700</v>
      </c>
      <c r="D219" s="30" t="n">
        <v>10150</v>
      </c>
      <c r="E219" s="30" t="n">
        <v>10600</v>
      </c>
      <c r="F219" s="30" t="n">
        <v>10600</v>
      </c>
      <c r="G219" s="30" t="n">
        <v>243457</v>
      </c>
      <c r="H219" s="35" t="n">
        <v>0.05263157894736836</v>
      </c>
      <c r="I219" s="35" t="n">
        <v>-0.3248407643312102</v>
      </c>
      <c r="J219" s="30" t="n">
        <v>11335.5</v>
      </c>
      <c r="K219" s="30" t="n">
        <v>10641</v>
      </c>
      <c r="L219" s="30" t="n">
        <v>9735.916666666666</v>
      </c>
      <c r="M219" s="35" t="n">
        <v>0.607043715154051</v>
      </c>
      <c r="N219" s="35" t="n">
        <v>0.6373408631047114</v>
      </c>
      <c r="O219" s="35" t="n">
        <v>-0.1951404707668944</v>
      </c>
      <c r="P219" s="35" t="n">
        <v>0.1764705882352942</v>
      </c>
      <c r="Q219" s="35" t="n">
        <v>0.3266583229036295</v>
      </c>
      <c r="R219" s="35" t="n">
        <v>-0.06488465440430502</v>
      </c>
      <c r="S219" s="35" t="n">
        <v>-0.003853021332581474</v>
      </c>
      <c r="T219" s="35" t="n">
        <v>0.08875212914380604</v>
      </c>
      <c r="U219" s="30" t="n">
        <v>13720</v>
      </c>
      <c r="V219" s="30" t="n">
        <v>7900</v>
      </c>
      <c r="W219" s="35" t="n">
        <v>-0.2274052478134111</v>
      </c>
      <c r="X219" s="35" t="n">
        <v>0.3417721518987342</v>
      </c>
      <c r="Y219" s="30" t="n">
        <v>33416778</v>
      </c>
      <c r="Z219" s="30" t="n">
        <v>354217846800</v>
      </c>
      <c r="AA219" s="30" t="n">
        <v>2580644200</v>
      </c>
      <c r="AB219" s="30" t="n">
        <v>5383783105</v>
      </c>
      <c r="AC219" s="35" t="n">
        <v>0.007285471986557172</v>
      </c>
      <c r="AD219" s="24" t="inlineStr">
        <is>
          <t>yfinance_download</t>
        </is>
      </c>
      <c r="AE219" s="24" t="inlineStr">
        <is>
          <t>059090.KQ</t>
        </is>
      </c>
    </row>
    <row r="220" ht="24" customHeight="1">
      <c r="A220" s="29" t="inlineStr">
        <is>
          <t>2024-04-29</t>
        </is>
      </c>
      <c r="B220" s="31" t="n">
        <v>10610</v>
      </c>
      <c r="C220" s="31" t="n">
        <v>11100</v>
      </c>
      <c r="D220" s="31" t="n">
        <v>10410</v>
      </c>
      <c r="E220" s="31" t="n">
        <v>10860</v>
      </c>
      <c r="F220" s="31" t="n">
        <v>10860</v>
      </c>
      <c r="G220" s="31" t="n">
        <v>324734</v>
      </c>
      <c r="H220" s="36" t="n">
        <v>0.02452830188679256</v>
      </c>
      <c r="I220" s="36" t="n">
        <v>-0.3082802547770701</v>
      </c>
      <c r="J220" s="31" t="n">
        <v>11216</v>
      </c>
      <c r="K220" s="31" t="n">
        <v>10670.33333333333</v>
      </c>
      <c r="L220" s="31" t="n">
        <v>9755.916666666666</v>
      </c>
      <c r="M220" s="36" t="n">
        <v>0.6170153351492786</v>
      </c>
      <c r="N220" s="36" t="n">
        <v>0.6386695067262733</v>
      </c>
      <c r="O220" s="36" t="n">
        <v>-0.180377358490566</v>
      </c>
      <c r="P220" s="36" t="n">
        <v>0.1934065934065934</v>
      </c>
      <c r="Q220" s="36" t="n">
        <v>0.2836879432624113</v>
      </c>
      <c r="R220" s="36" t="n">
        <v>-0.03174037089871617</v>
      </c>
      <c r="S220" s="36" t="n">
        <v>0.01777513979569512</v>
      </c>
      <c r="T220" s="36" t="n">
        <v>0.1131706400389507</v>
      </c>
      <c r="U220" s="31" t="n">
        <v>13720</v>
      </c>
      <c r="V220" s="31" t="n">
        <v>7900</v>
      </c>
      <c r="W220" s="36" t="n">
        <v>-0.2084548104956269</v>
      </c>
      <c r="X220" s="36" t="n">
        <v>0.3746835443037975</v>
      </c>
      <c r="Y220" s="31" t="n">
        <v>33416778</v>
      </c>
      <c r="Z220" s="31" t="n">
        <v>362906209080</v>
      </c>
      <c r="AA220" s="31" t="n">
        <v>3526611240</v>
      </c>
      <c r="AB220" s="31" t="n">
        <v>4499101367</v>
      </c>
      <c r="AC220" s="36" t="n">
        <v>0.009717693309630271</v>
      </c>
      <c r="AD220" s="29" t="inlineStr">
        <is>
          <t>yfinance_download</t>
        </is>
      </c>
      <c r="AE220" s="29" t="inlineStr">
        <is>
          <t>059090.KQ</t>
        </is>
      </c>
    </row>
    <row r="221" ht="24" customHeight="1">
      <c r="A221" s="24" t="inlineStr">
        <is>
          <t>2024-04-30</t>
        </is>
      </c>
      <c r="B221" s="30" t="n">
        <v>10860</v>
      </c>
      <c r="C221" s="30" t="n">
        <v>11050</v>
      </c>
      <c r="D221" s="30" t="n">
        <v>10410</v>
      </c>
      <c r="E221" s="30" t="n">
        <v>10720</v>
      </c>
      <c r="F221" s="30" t="n">
        <v>10720</v>
      </c>
      <c r="G221" s="30" t="n">
        <v>191836</v>
      </c>
      <c r="H221" s="35" t="n">
        <v>-0.01289134438305706</v>
      </c>
      <c r="I221" s="35" t="n">
        <v>-0.3171974522292994</v>
      </c>
      <c r="J221" s="30" t="n">
        <v>11101.5</v>
      </c>
      <c r="K221" s="30" t="n">
        <v>10699.16666666667</v>
      </c>
      <c r="L221" s="30" t="n">
        <v>9774</v>
      </c>
      <c r="M221" s="35" t="n">
        <v>0.6162896911833907</v>
      </c>
      <c r="N221" s="35" t="n">
        <v>0.6387566117147847</v>
      </c>
      <c r="O221" s="35" t="n">
        <v>-0.1760184473481937</v>
      </c>
      <c r="P221" s="35" t="n">
        <v>0.1924360400444938</v>
      </c>
      <c r="Q221" s="35" t="n">
        <v>0.2538011695906432</v>
      </c>
      <c r="R221" s="35" t="n">
        <v>-0.03436472548754677</v>
      </c>
      <c r="S221" s="35" t="n">
        <v>0.001947192148921362</v>
      </c>
      <c r="T221" s="35" t="n">
        <v>0.0967873951299365</v>
      </c>
      <c r="U221" s="30" t="n">
        <v>13720</v>
      </c>
      <c r="V221" s="30" t="n">
        <v>7900</v>
      </c>
      <c r="W221" s="35" t="n">
        <v>-0.2186588921282799</v>
      </c>
      <c r="X221" s="35" t="n">
        <v>0.3569620253164556</v>
      </c>
      <c r="Y221" s="30" t="n">
        <v>33416778</v>
      </c>
      <c r="Z221" s="30" t="n">
        <v>358227860160</v>
      </c>
      <c r="AA221" s="30" t="n">
        <v>2056481920</v>
      </c>
      <c r="AB221" s="30" t="n">
        <v>4187725442.5</v>
      </c>
      <c r="AC221" s="35" t="n">
        <v>0.005740709053398266</v>
      </c>
      <c r="AD221" s="24" t="inlineStr">
        <is>
          <t>yfinance_download</t>
        </is>
      </c>
      <c r="AE221" s="24" t="inlineStr">
        <is>
          <t>059090.KQ</t>
        </is>
      </c>
    </row>
    <row r="222" ht="24" customHeight="1">
      <c r="A222" s="29" t="inlineStr">
        <is>
          <t>2024-05-02</t>
        </is>
      </c>
      <c r="B222" s="31" t="n">
        <v>10670</v>
      </c>
      <c r="C222" s="31" t="n">
        <v>10890</v>
      </c>
      <c r="D222" s="31" t="n">
        <v>10500</v>
      </c>
      <c r="E222" s="31" t="n">
        <v>10840</v>
      </c>
      <c r="F222" s="31" t="n">
        <v>10840</v>
      </c>
      <c r="G222" s="31" t="n">
        <v>114451</v>
      </c>
      <c r="H222" s="36" t="n">
        <v>0.01119402985074625</v>
      </c>
      <c r="I222" s="36" t="n">
        <v>-0.3095541401273886</v>
      </c>
      <c r="J222" s="31" t="n">
        <v>11004</v>
      </c>
      <c r="K222" s="31" t="n">
        <v>10733.83333333333</v>
      </c>
      <c r="L222" s="31" t="n">
        <v>9789.083333333334</v>
      </c>
      <c r="M222" s="36" t="n">
        <v>0.6195172058618598</v>
      </c>
      <c r="N222" s="36" t="n">
        <v>0.6359919304193575</v>
      </c>
      <c r="O222" s="36" t="n">
        <v>-0.1524628616106333</v>
      </c>
      <c r="P222" s="36" t="n">
        <v>0.2374429223744292</v>
      </c>
      <c r="Q222" s="36" t="n">
        <v>0.2004429678848283</v>
      </c>
      <c r="R222" s="36" t="n">
        <v>-0.01490367139222104</v>
      </c>
      <c r="S222" s="36" t="n">
        <v>0.009890843594242416</v>
      </c>
      <c r="T222" s="36" t="n">
        <v>0.1073559832806952</v>
      </c>
      <c r="U222" s="31" t="n">
        <v>13720</v>
      </c>
      <c r="V222" s="31" t="n">
        <v>7900</v>
      </c>
      <c r="W222" s="36" t="n">
        <v>-0.2099125364431487</v>
      </c>
      <c r="X222" s="36" t="n">
        <v>0.3721518987341772</v>
      </c>
      <c r="Y222" s="31" t="n">
        <v>33416778</v>
      </c>
      <c r="Z222" s="31" t="n">
        <v>362237873520</v>
      </c>
      <c r="AA222" s="31" t="n">
        <v>1240648840</v>
      </c>
      <c r="AB222" s="31" t="n">
        <v>3798591913.5</v>
      </c>
      <c r="AC222" s="36" t="n">
        <v>0.003424956170220839</v>
      </c>
      <c r="AD222" s="29" t="inlineStr">
        <is>
          <t>yfinance_download</t>
        </is>
      </c>
      <c r="AE222" s="29" t="inlineStr">
        <is>
          <t>059090.KQ</t>
        </is>
      </c>
    </row>
    <row r="223" ht="24" customHeight="1">
      <c r="A223" s="24" t="inlineStr">
        <is>
          <t>2024-05-03</t>
        </is>
      </c>
      <c r="B223" s="30" t="n">
        <v>10840</v>
      </c>
      <c r="C223" s="30" t="n">
        <v>10920</v>
      </c>
      <c r="D223" s="30" t="n">
        <v>10290</v>
      </c>
      <c r="E223" s="30" t="n">
        <v>10380</v>
      </c>
      <c r="F223" s="30" t="n">
        <v>10380</v>
      </c>
      <c r="G223" s="30" t="n">
        <v>311596</v>
      </c>
      <c r="H223" s="35" t="n">
        <v>-0.04243542435424352</v>
      </c>
      <c r="I223" s="35" t="n">
        <v>-0.3388535031847134</v>
      </c>
      <c r="J223" s="30" t="n">
        <v>10908</v>
      </c>
      <c r="K223" s="30" t="n">
        <v>10760.66666666667</v>
      </c>
      <c r="L223" s="30" t="n">
        <v>9802</v>
      </c>
      <c r="M223" s="35" t="n">
        <v>0.6224034405680244</v>
      </c>
      <c r="N223" s="35" t="n">
        <v>0.6431546743771146</v>
      </c>
      <c r="O223" s="35" t="n">
        <v>-0.1560975609756098</v>
      </c>
      <c r="P223" s="35" t="n">
        <v>0.1835803876852908</v>
      </c>
      <c r="Q223" s="35" t="n">
        <v>0.175537938844847</v>
      </c>
      <c r="R223" s="35" t="n">
        <v>-0.04840484048404836</v>
      </c>
      <c r="S223" s="35" t="n">
        <v>-0.03537575119261505</v>
      </c>
      <c r="T223" s="35" t="n">
        <v>0.0589675576412978</v>
      </c>
      <c r="U223" s="30" t="n">
        <v>13720</v>
      </c>
      <c r="V223" s="30" t="n">
        <v>7900</v>
      </c>
      <c r="W223" s="35" t="n">
        <v>-0.2434402332361516</v>
      </c>
      <c r="X223" s="35" t="n">
        <v>0.3139240506329113</v>
      </c>
      <c r="Y223" s="30" t="n">
        <v>33416778</v>
      </c>
      <c r="Z223" s="30" t="n">
        <v>346866155640</v>
      </c>
      <c r="AA223" s="30" t="n">
        <v>3234366480</v>
      </c>
      <c r="AB223" s="30" t="n">
        <v>3613677787.5</v>
      </c>
      <c r="AC223" s="35" t="n">
        <v>0.00932453751226405</v>
      </c>
      <c r="AD223" s="24" t="inlineStr">
        <is>
          <t>yfinance_download</t>
        </is>
      </c>
      <c r="AE223" s="24" t="inlineStr">
        <is>
          <t>059090.KQ</t>
        </is>
      </c>
    </row>
    <row r="224" ht="24" customHeight="1">
      <c r="A224" s="29" t="inlineStr">
        <is>
          <t>2024-05-07</t>
        </is>
      </c>
      <c r="B224" s="31" t="n">
        <v>10550</v>
      </c>
      <c r="C224" s="31" t="n">
        <v>13470</v>
      </c>
      <c r="D224" s="31" t="n">
        <v>10500</v>
      </c>
      <c r="E224" s="31" t="n">
        <v>13330</v>
      </c>
      <c r="F224" s="31" t="n">
        <v>13330</v>
      </c>
      <c r="G224" s="31" t="n">
        <v>5743344</v>
      </c>
      <c r="H224" s="36" t="n">
        <v>0.2842003853564548</v>
      </c>
      <c r="I224" s="36" t="n">
        <v>-0.1509554140127388</v>
      </c>
      <c r="J224" s="31" t="n">
        <v>10955</v>
      </c>
      <c r="K224" s="31" t="n">
        <v>10839.16666666667</v>
      </c>
      <c r="L224" s="31" t="n">
        <v>9840.75</v>
      </c>
      <c r="M224" s="36" t="n">
        <v>1.209851222566665</v>
      </c>
      <c r="N224" s="36" t="n">
        <v>0.8611885056677236</v>
      </c>
      <c r="O224" s="36" t="n">
        <v>0.07586763518966899</v>
      </c>
      <c r="P224" s="36" t="n">
        <v>0.5464037122969838</v>
      </c>
      <c r="Q224" s="36" t="n">
        <v>0.5357142857142858</v>
      </c>
      <c r="R224" s="36" t="n">
        <v>0.2167959835691464</v>
      </c>
      <c r="S224" s="36" t="n">
        <v>0.2297993388175599</v>
      </c>
      <c r="T224" s="36" t="n">
        <v>0.3545715519650434</v>
      </c>
      <c r="U224" s="31" t="n">
        <v>13720</v>
      </c>
      <c r="V224" s="31" t="n">
        <v>7900</v>
      </c>
      <c r="W224" s="36" t="n">
        <v>-0.02842565597667635</v>
      </c>
      <c r="X224" s="36" t="n">
        <v>0.6873417721518988</v>
      </c>
      <c r="Y224" s="31" t="n">
        <v>33416778</v>
      </c>
      <c r="Z224" s="31" t="n">
        <v>445445650740</v>
      </c>
      <c r="AA224" s="31" t="n">
        <v>76558775520</v>
      </c>
      <c r="AB224" s="31" t="n">
        <v>7120555113</v>
      </c>
      <c r="AC224" s="36" t="n">
        <v>0.171870070777021</v>
      </c>
      <c r="AD224" s="29" t="inlineStr">
        <is>
          <t>yfinance_download</t>
        </is>
      </c>
      <c r="AE224" s="29" t="inlineStr">
        <is>
          <t>059090.KQ</t>
        </is>
      </c>
    </row>
    <row r="225" ht="24" customHeight="1">
      <c r="A225" s="24" t="inlineStr">
        <is>
          <t>2024-05-08</t>
        </is>
      </c>
      <c r="B225" s="30" t="n">
        <v>13340</v>
      </c>
      <c r="C225" s="30" t="n">
        <v>14340</v>
      </c>
      <c r="D225" s="30" t="n">
        <v>13190</v>
      </c>
      <c r="E225" s="30" t="n">
        <v>13300</v>
      </c>
      <c r="F225" s="30" t="n">
        <v>13300</v>
      </c>
      <c r="G225" s="30" t="n">
        <v>4484515</v>
      </c>
      <c r="H225" s="35" t="n">
        <v>-0.002250562640660148</v>
      </c>
      <c r="I225" s="35" t="n">
        <v>-0.1528662420382165</v>
      </c>
      <c r="J225" s="30" t="n">
        <v>11011</v>
      </c>
      <c r="K225" s="30" t="n">
        <v>10914.16666666667</v>
      </c>
      <c r="L225" s="30" t="n">
        <v>9880.25</v>
      </c>
      <c r="M225" s="35" t="n">
        <v>1.20725421663997</v>
      </c>
      <c r="N225" s="35" t="n">
        <v>0.8610871162786781</v>
      </c>
      <c r="O225" s="35" t="n">
        <v>0.09195402298850586</v>
      </c>
      <c r="P225" s="35" t="n">
        <v>0.5113636363636365</v>
      </c>
      <c r="Q225" s="35" t="n">
        <v>0.5537383177570094</v>
      </c>
      <c r="R225" s="35" t="n">
        <v>0.2078830260648443</v>
      </c>
      <c r="S225" s="35" t="n">
        <v>0.218599679315874</v>
      </c>
      <c r="T225" s="35" t="n">
        <v>0.3461197844184105</v>
      </c>
      <c r="U225" s="30" t="n">
        <v>13720</v>
      </c>
      <c r="V225" s="30" t="n">
        <v>7900</v>
      </c>
      <c r="W225" s="35" t="n">
        <v>-0.03061224489795922</v>
      </c>
      <c r="X225" s="35" t="n">
        <v>0.6835443037974684</v>
      </c>
      <c r="Y225" s="30" t="n">
        <v>33416778</v>
      </c>
      <c r="Z225" s="30" t="n">
        <v>444443147400</v>
      </c>
      <c r="AA225" s="30" t="n">
        <v>59644049500</v>
      </c>
      <c r="AB225" s="30" t="n">
        <v>9824033513</v>
      </c>
      <c r="AC225" s="35" t="n">
        <v>0.1341995030161196</v>
      </c>
      <c r="AD225" s="24" t="inlineStr">
        <is>
          <t>yfinance_download</t>
        </is>
      </c>
      <c r="AE225" s="24" t="inlineStr">
        <is>
          <t>059090.KQ</t>
        </is>
      </c>
    </row>
    <row r="226" ht="24" customHeight="1">
      <c r="A226" s="29" t="inlineStr">
        <is>
          <t>2024-05-09</t>
        </is>
      </c>
      <c r="B226" s="31" t="n">
        <v>13740</v>
      </c>
      <c r="C226" s="31" t="n">
        <v>13850</v>
      </c>
      <c r="D226" s="31" t="n">
        <v>12200</v>
      </c>
      <c r="E226" s="31" t="n">
        <v>12630</v>
      </c>
      <c r="F226" s="31" t="n">
        <v>12630</v>
      </c>
      <c r="G226" s="31" t="n">
        <v>3045214</v>
      </c>
      <c r="H226" s="36" t="n">
        <v>-0.05037593984962407</v>
      </c>
      <c r="I226" s="36" t="n">
        <v>-0.1955414012738853</v>
      </c>
      <c r="J226" s="31" t="n">
        <v>11072.5</v>
      </c>
      <c r="K226" s="31" t="n">
        <v>10978.5</v>
      </c>
      <c r="L226" s="31" t="n">
        <v>9913</v>
      </c>
      <c r="M226" s="36" t="n">
        <v>1.197545628066142</v>
      </c>
      <c r="N226" s="36" t="n">
        <v>0.8691427319693389</v>
      </c>
      <c r="O226" s="36" t="n">
        <v>0.1078947368421053</v>
      </c>
      <c r="P226" s="36" t="n">
        <v>0.4401368301026225</v>
      </c>
      <c r="Q226" s="36" t="n">
        <v>0.4517241379310344</v>
      </c>
      <c r="R226" s="36" t="n">
        <v>0.1406638067283812</v>
      </c>
      <c r="S226" s="36" t="n">
        <v>0.1504303866648449</v>
      </c>
      <c r="T226" s="36" t="n">
        <v>0.2740845354584889</v>
      </c>
      <c r="U226" s="31" t="n">
        <v>13720</v>
      </c>
      <c r="V226" s="31" t="n">
        <v>7900</v>
      </c>
      <c r="W226" s="36" t="n">
        <v>-0.07944606413994171</v>
      </c>
      <c r="X226" s="36" t="n">
        <v>0.59873417721519</v>
      </c>
      <c r="Y226" s="31" t="n">
        <v>33416778</v>
      </c>
      <c r="Z226" s="31" t="n">
        <v>422053906140</v>
      </c>
      <c r="AA226" s="31" t="n">
        <v>38461052820</v>
      </c>
      <c r="AB226" s="31" t="n">
        <v>11346145304</v>
      </c>
      <c r="AC226" s="36" t="n">
        <v>0.0911282948942594</v>
      </c>
      <c r="AD226" s="29" t="inlineStr">
        <is>
          <t>yfinance_download</t>
        </is>
      </c>
      <c r="AE226" s="29" t="inlineStr">
        <is>
          <t>059090.KQ</t>
        </is>
      </c>
    </row>
    <row r="227" ht="24" customHeight="1">
      <c r="A227" s="24" t="inlineStr">
        <is>
          <t>2024-05-10</t>
        </is>
      </c>
      <c r="B227" s="30" t="n">
        <v>12700</v>
      </c>
      <c r="C227" s="30" t="n">
        <v>12820</v>
      </c>
      <c r="D227" s="30" t="n">
        <v>12100</v>
      </c>
      <c r="E227" s="30" t="n">
        <v>12630</v>
      </c>
      <c r="F227" s="30" t="n">
        <v>12630</v>
      </c>
      <c r="G227" s="30" t="n">
        <v>1176043</v>
      </c>
      <c r="H227" s="35" t="n">
        <v>0</v>
      </c>
      <c r="I227" s="35" t="n">
        <v>-0.1955414012738853</v>
      </c>
      <c r="J227" s="30" t="n">
        <v>11145</v>
      </c>
      <c r="K227" s="30" t="n">
        <v>11038.33333333333</v>
      </c>
      <c r="L227" s="30" t="n">
        <v>9949.916666666666</v>
      </c>
      <c r="M227" s="35" t="n">
        <v>1.193760411224813</v>
      </c>
      <c r="N227" s="35" t="n">
        <v>0.8679022004109115</v>
      </c>
      <c r="O227" s="35" t="n">
        <v>0.1296958855098389</v>
      </c>
      <c r="P227" s="35" t="n">
        <v>0.3971238938053097</v>
      </c>
      <c r="Q227" s="35" t="n">
        <v>0.5402439024390244</v>
      </c>
      <c r="R227" s="35" t="n">
        <v>0.133243606998654</v>
      </c>
      <c r="S227" s="35" t="n">
        <v>0.1441944738034122</v>
      </c>
      <c r="T227" s="35" t="n">
        <v>0.2693573648020504</v>
      </c>
      <c r="U227" s="30" t="n">
        <v>13720</v>
      </c>
      <c r="V227" s="30" t="n">
        <v>7900</v>
      </c>
      <c r="W227" s="35" t="n">
        <v>-0.07944606413994171</v>
      </c>
      <c r="X227" s="35" t="n">
        <v>0.59873417721519</v>
      </c>
      <c r="Y227" s="30" t="n">
        <v>33416778</v>
      </c>
      <c r="Z227" s="30" t="n">
        <v>422053906140</v>
      </c>
      <c r="AA227" s="30" t="n">
        <v>14853423090</v>
      </c>
      <c r="AB227" s="30" t="n">
        <v>11932104162.5</v>
      </c>
      <c r="AC227" s="35" t="n">
        <v>0.03519318948104452</v>
      </c>
      <c r="AD227" s="24" t="inlineStr">
        <is>
          <t>yfinance_download</t>
        </is>
      </c>
      <c r="AE227" s="24" t="inlineStr">
        <is>
          <t>059090.KQ</t>
        </is>
      </c>
    </row>
    <row r="228" ht="24" customHeight="1">
      <c r="A228" s="29" t="inlineStr">
        <is>
          <t>2024-05-13</t>
        </is>
      </c>
      <c r="B228" s="31" t="n">
        <v>12620</v>
      </c>
      <c r="C228" s="31" t="n">
        <v>12990</v>
      </c>
      <c r="D228" s="31" t="n">
        <v>12260</v>
      </c>
      <c r="E228" s="31" t="n">
        <v>12780</v>
      </c>
      <c r="F228" s="31" t="n">
        <v>12780</v>
      </c>
      <c r="G228" s="31" t="n">
        <v>1183189</v>
      </c>
      <c r="H228" s="36" t="n">
        <v>0.01187648456057011</v>
      </c>
      <c r="I228" s="36" t="n">
        <v>-0.1859872611464968</v>
      </c>
      <c r="J228" s="31" t="n">
        <v>11224</v>
      </c>
      <c r="K228" s="31" t="n">
        <v>11096.66666666667</v>
      </c>
      <c r="L228" s="31" t="n">
        <v>9985.5</v>
      </c>
      <c r="M228" s="36" t="n">
        <v>1.193543543019581</v>
      </c>
      <c r="N228" s="36" t="n">
        <v>0.8670069890858781</v>
      </c>
      <c r="O228" s="36" t="n">
        <v>0.1410714285714285</v>
      </c>
      <c r="P228" s="36" t="n">
        <v>0.3771551724137931</v>
      </c>
      <c r="Q228" s="36" t="n">
        <v>0.5017626321974149</v>
      </c>
      <c r="R228" s="36" t="n">
        <v>0.1386315039201711</v>
      </c>
      <c r="S228" s="36" t="n">
        <v>0.1516972063682789</v>
      </c>
      <c r="T228" s="36" t="n">
        <v>0.2798557908968005</v>
      </c>
      <c r="U228" s="31" t="n">
        <v>13720</v>
      </c>
      <c r="V228" s="31" t="n">
        <v>7900</v>
      </c>
      <c r="W228" s="36" t="n">
        <v>-0.06851311953352768</v>
      </c>
      <c r="X228" s="36" t="n">
        <v>0.6177215189873417</v>
      </c>
      <c r="Y228" s="31" t="n">
        <v>33416778</v>
      </c>
      <c r="Z228" s="31" t="n">
        <v>427066422840</v>
      </c>
      <c r="AA228" s="31" t="n">
        <v>15121155420</v>
      </c>
      <c r="AB228" s="31" t="n">
        <v>12573113853.5</v>
      </c>
      <c r="AC228" s="36" t="n">
        <v>0.03540703415511812</v>
      </c>
      <c r="AD228" s="29" t="inlineStr">
        <is>
          <t>yfinance_download</t>
        </is>
      </c>
      <c r="AE228" s="29" t="inlineStr">
        <is>
          <t>059090.KQ</t>
        </is>
      </c>
    </row>
    <row r="229" ht="24" customHeight="1">
      <c r="A229" s="24" t="inlineStr">
        <is>
          <t>2024-05-14</t>
        </is>
      </c>
      <c r="B229" s="30" t="n">
        <v>13040</v>
      </c>
      <c r="C229" s="30" t="n">
        <v>13150</v>
      </c>
      <c r="D229" s="30" t="n">
        <v>12700</v>
      </c>
      <c r="E229" s="30" t="n">
        <v>12940</v>
      </c>
      <c r="F229" s="30" t="n">
        <v>12940</v>
      </c>
      <c r="G229" s="30" t="n">
        <v>1131794</v>
      </c>
      <c r="H229" s="35" t="n">
        <v>0.01251956181533642</v>
      </c>
      <c r="I229" s="35" t="n">
        <v>-0.175796178343949</v>
      </c>
      <c r="J229" s="30" t="n">
        <v>11311.5</v>
      </c>
      <c r="K229" s="30" t="n">
        <v>11156.83333333333</v>
      </c>
      <c r="L229" s="30" t="n">
        <v>10020.58333333333</v>
      </c>
      <c r="M229" s="35" t="n">
        <v>1.193015561350975</v>
      </c>
      <c r="N229" s="35" t="n">
        <v>0.8670841253184858</v>
      </c>
      <c r="O229" s="35" t="n">
        <v>0.1563896336014299</v>
      </c>
      <c r="P229" s="35" t="n">
        <v>0.3869239013933548</v>
      </c>
      <c r="Q229" s="35" t="n">
        <v>0.4822451317296679</v>
      </c>
      <c r="R229" s="35" t="n">
        <v>0.1439685276046501</v>
      </c>
      <c r="S229" s="35" t="n">
        <v>0.1598273106168118</v>
      </c>
      <c r="T229" s="35" t="n">
        <v>0.2913419877418979</v>
      </c>
      <c r="U229" s="30" t="n">
        <v>13720</v>
      </c>
      <c r="V229" s="30" t="n">
        <v>7900</v>
      </c>
      <c r="W229" s="35" t="n">
        <v>-0.0568513119533528</v>
      </c>
      <c r="X229" s="35" t="n">
        <v>0.6379746835443039</v>
      </c>
      <c r="Y229" s="30" t="n">
        <v>33416778</v>
      </c>
      <c r="Z229" s="30" t="n">
        <v>432413107320</v>
      </c>
      <c r="AA229" s="30" t="n">
        <v>14645414360</v>
      </c>
      <c r="AB229" s="30" t="n">
        <v>13160382873</v>
      </c>
      <c r="AC229" s="35" t="n">
        <v>0.03386903429169622</v>
      </c>
      <c r="AD229" s="24" t="inlineStr">
        <is>
          <t>yfinance_download</t>
        </is>
      </c>
      <c r="AE229" s="24" t="inlineStr">
        <is>
          <t>059090.KQ</t>
        </is>
      </c>
    </row>
    <row r="230" ht="24" customHeight="1">
      <c r="A230" s="29" t="inlineStr">
        <is>
          <t>2024-05-16</t>
        </is>
      </c>
      <c r="B230" s="31" t="n">
        <v>13220</v>
      </c>
      <c r="C230" s="31" t="n">
        <v>14920</v>
      </c>
      <c r="D230" s="31" t="n">
        <v>13000</v>
      </c>
      <c r="E230" s="31" t="n">
        <v>14500</v>
      </c>
      <c r="F230" s="31" t="n">
        <v>14500</v>
      </c>
      <c r="G230" s="31" t="n">
        <v>5503419</v>
      </c>
      <c r="H230" s="36" t="n">
        <v>0.1205564142194746</v>
      </c>
      <c r="I230" s="36" t="n">
        <v>-0.07643312101910826</v>
      </c>
      <c r="J230" s="31" t="n">
        <v>11472</v>
      </c>
      <c r="K230" s="31" t="n">
        <v>11244.33333333333</v>
      </c>
      <c r="L230" s="31" t="n">
        <v>10067.41666666667</v>
      </c>
      <c r="M230" s="36" t="n">
        <v>1.256199679025669</v>
      </c>
      <c r="N230" s="36" t="n">
        <v>0.8971567904840029</v>
      </c>
      <c r="O230" s="36" t="n">
        <v>0.2843224092116918</v>
      </c>
      <c r="P230" s="36" t="n">
        <v>0.5675675675675675</v>
      </c>
      <c r="Q230" s="36" t="n">
        <v>0.632882882882883</v>
      </c>
      <c r="R230" s="36" t="n">
        <v>0.2639470013947001</v>
      </c>
      <c r="S230" s="36" t="n">
        <v>0.2895384341742506</v>
      </c>
      <c r="T230" s="36" t="n">
        <v>0.4402900446158813</v>
      </c>
      <c r="U230" s="31" t="n">
        <v>14500</v>
      </c>
      <c r="V230" s="31" t="n">
        <v>7900</v>
      </c>
      <c r="W230" s="36" t="n">
        <v>0</v>
      </c>
      <c r="X230" s="36" t="n">
        <v>0.8354430379746836</v>
      </c>
      <c r="Y230" s="31" t="n">
        <v>33416778</v>
      </c>
      <c r="Z230" s="31" t="n">
        <v>484543281000</v>
      </c>
      <c r="AA230" s="31" t="n">
        <v>79799575500</v>
      </c>
      <c r="AB230" s="31" t="n">
        <v>17018461707</v>
      </c>
      <c r="AC230" s="36" t="n">
        <v>0.1646902941989201</v>
      </c>
      <c r="AD230" s="29" t="inlineStr">
        <is>
          <t>yfinance_download</t>
        </is>
      </c>
      <c r="AE230" s="29" t="inlineStr">
        <is>
          <t>059090.KQ</t>
        </is>
      </c>
    </row>
    <row r="231" ht="24" customHeight="1">
      <c r="A231" s="24" t="inlineStr">
        <is>
          <t>2024-05-17</t>
        </is>
      </c>
      <c r="B231" s="30" t="n">
        <v>14390</v>
      </c>
      <c r="C231" s="30" t="n">
        <v>14610</v>
      </c>
      <c r="D231" s="30" t="n">
        <v>13710</v>
      </c>
      <c r="E231" s="30" t="n">
        <v>14200</v>
      </c>
      <c r="F231" s="30" t="n">
        <v>14200</v>
      </c>
      <c r="G231" s="30" t="n">
        <v>1603046</v>
      </c>
      <c r="H231" s="35" t="n">
        <v>-0.02068965517241383</v>
      </c>
      <c r="I231" s="35" t="n">
        <v>-0.09554140127388533</v>
      </c>
      <c r="J231" s="30" t="n">
        <v>11653</v>
      </c>
      <c r="K231" s="30" t="n">
        <v>11329.66666666667</v>
      </c>
      <c r="L231" s="30" t="n">
        <v>10112.58333333333</v>
      </c>
      <c r="M231" s="35" t="n">
        <v>1.230035189707099</v>
      </c>
      <c r="N231" s="35" t="n">
        <v>0.8974701654998096</v>
      </c>
      <c r="O231" s="35" t="n">
        <v>0.3421550094517958</v>
      </c>
      <c r="P231" s="35" t="n">
        <v>0.5638766519823788</v>
      </c>
      <c r="Q231" s="35" t="n">
        <v>0.6173120728929384</v>
      </c>
      <c r="R231" s="35" t="n">
        <v>0.2185703252381361</v>
      </c>
      <c r="S231" s="35" t="n">
        <v>0.2533466709817882</v>
      </c>
      <c r="T231" s="35" t="n">
        <v>0.4041911479921878</v>
      </c>
      <c r="U231" s="30" t="n">
        <v>14500</v>
      </c>
      <c r="V231" s="30" t="n">
        <v>7900</v>
      </c>
      <c r="W231" s="35" t="n">
        <v>-0.02068965517241383</v>
      </c>
      <c r="X231" s="35" t="n">
        <v>0.7974683544303798</v>
      </c>
      <c r="Y231" s="30" t="n">
        <v>33416778</v>
      </c>
      <c r="Z231" s="30" t="n">
        <v>474518247600</v>
      </c>
      <c r="AA231" s="30" t="n">
        <v>22763253200</v>
      </c>
      <c r="AB231" s="30" t="n">
        <v>17908702698</v>
      </c>
      <c r="AC231" s="35" t="n">
        <v>0.04797129154701869</v>
      </c>
      <c r="AD231" s="24" t="inlineStr">
        <is>
          <t>yfinance_download</t>
        </is>
      </c>
      <c r="AE231" s="24" t="inlineStr">
        <is>
          <t>059090.KQ</t>
        </is>
      </c>
    </row>
    <row r="232" ht="24" customHeight="1">
      <c r="A232" s="29" t="inlineStr">
        <is>
          <t>2024-05-20</t>
        </is>
      </c>
      <c r="B232" s="31" t="n">
        <v>14300</v>
      </c>
      <c r="C232" s="31" t="n">
        <v>15150</v>
      </c>
      <c r="D232" s="31" t="n">
        <v>14130</v>
      </c>
      <c r="E232" s="31" t="n">
        <v>14760</v>
      </c>
      <c r="F232" s="31" t="n">
        <v>14760</v>
      </c>
      <c r="G232" s="31" t="n">
        <v>1824171</v>
      </c>
      <c r="H232" s="36" t="n">
        <v>0.03943661971830981</v>
      </c>
      <c r="I232" s="36" t="n">
        <v>-0.05987261146496814</v>
      </c>
      <c r="J232" s="31" t="n">
        <v>11846</v>
      </c>
      <c r="K232" s="31" t="n">
        <v>11422.33333333333</v>
      </c>
      <c r="L232" s="31" t="n">
        <v>10161.16666666667</v>
      </c>
      <c r="M232" s="36" t="n">
        <v>1.231741568294091</v>
      </c>
      <c r="N232" s="36" t="n">
        <v>0.8996110435183136</v>
      </c>
      <c r="O232" s="36" t="n">
        <v>0.3541284403669724</v>
      </c>
      <c r="P232" s="36" t="n">
        <v>0.6043478260869566</v>
      </c>
      <c r="Q232" s="36" t="n">
        <v>0.652855543113102</v>
      </c>
      <c r="R232" s="36" t="n">
        <v>0.2459902076650347</v>
      </c>
      <c r="S232" s="36" t="n">
        <v>0.2922053287419382</v>
      </c>
      <c r="T232" s="36" t="n">
        <v>0.4525891055817082</v>
      </c>
      <c r="U232" s="31" t="n">
        <v>14760</v>
      </c>
      <c r="V232" s="31" t="n">
        <v>7900</v>
      </c>
      <c r="W232" s="36" t="n">
        <v>0</v>
      </c>
      <c r="X232" s="36" t="n">
        <v>0.8683544303797468</v>
      </c>
      <c r="Y232" s="31" t="n">
        <v>33416778</v>
      </c>
      <c r="Z232" s="31" t="n">
        <v>493231643280</v>
      </c>
      <c r="AA232" s="31" t="n">
        <v>26924763960</v>
      </c>
      <c r="AB232" s="31" t="n">
        <v>19089124646</v>
      </c>
      <c r="AC232" s="36" t="n">
        <v>0.05458847648328034</v>
      </c>
      <c r="AD232" s="29" t="inlineStr">
        <is>
          <t>yfinance_download</t>
        </is>
      </c>
      <c r="AE232" s="29" t="inlineStr">
        <is>
          <t>059090.KQ</t>
        </is>
      </c>
    </row>
    <row r="233" ht="24" customHeight="1">
      <c r="A233" s="24" t="inlineStr">
        <is>
          <t>2024-05-21</t>
        </is>
      </c>
      <c r="B233" s="30" t="n">
        <v>14980</v>
      </c>
      <c r="C233" s="30" t="n">
        <v>15110</v>
      </c>
      <c r="D233" s="30" t="n">
        <v>14400</v>
      </c>
      <c r="E233" s="30" t="n">
        <v>14770</v>
      </c>
      <c r="F233" s="30" t="n">
        <v>14770</v>
      </c>
      <c r="G233" s="30" t="n">
        <v>845659</v>
      </c>
      <c r="H233" s="35" t="n">
        <v>0.0006775067750677266</v>
      </c>
      <c r="I233" s="35" t="n">
        <v>-0.0592356687898089</v>
      </c>
      <c r="J233" s="30" t="n">
        <v>12005</v>
      </c>
      <c r="K233" s="30" t="n">
        <v>11512.5</v>
      </c>
      <c r="L233" s="30" t="n">
        <v>10209</v>
      </c>
      <c r="M233" s="35" t="n">
        <v>1.221098379872682</v>
      </c>
      <c r="N233" s="35" t="n">
        <v>0.8996264788035521</v>
      </c>
      <c r="O233" s="35" t="n">
        <v>0.2743744607420189</v>
      </c>
      <c r="P233" s="35" t="n">
        <v>0.5779914529914529</v>
      </c>
      <c r="Q233" s="35" t="n">
        <v>0.6356589147286822</v>
      </c>
      <c r="R233" s="35" t="n">
        <v>0.2303206997084548</v>
      </c>
      <c r="S233" s="35" t="n">
        <v>0.2829533116178067</v>
      </c>
      <c r="T233" s="35" t="n">
        <v>0.4467626603976884</v>
      </c>
      <c r="U233" s="30" t="n">
        <v>14770</v>
      </c>
      <c r="V233" s="30" t="n">
        <v>7900</v>
      </c>
      <c r="W233" s="35" t="n">
        <v>0</v>
      </c>
      <c r="X233" s="35" t="n">
        <v>0.8696202531645569</v>
      </c>
      <c r="Y233" s="30" t="n">
        <v>33416778</v>
      </c>
      <c r="Z233" s="30" t="n">
        <v>493565811060</v>
      </c>
      <c r="AA233" s="30" t="n">
        <v>12490383430</v>
      </c>
      <c r="AB233" s="30" t="n">
        <v>19537340794</v>
      </c>
      <c r="AC233" s="35" t="n">
        <v>0.02530641942798914</v>
      </c>
      <c r="AD233" s="24" t="inlineStr">
        <is>
          <t>yfinance_download</t>
        </is>
      </c>
      <c r="AE233" s="24" t="inlineStr">
        <is>
          <t>059090.KQ</t>
        </is>
      </c>
    </row>
    <row r="234" ht="24" customHeight="1">
      <c r="A234" s="29" t="inlineStr">
        <is>
          <t>2024-05-22</t>
        </is>
      </c>
      <c r="B234" s="31" t="n">
        <v>15300</v>
      </c>
      <c r="C234" s="31" t="n">
        <v>16730</v>
      </c>
      <c r="D234" s="31" t="n">
        <v>14850</v>
      </c>
      <c r="E234" s="31" t="n">
        <v>16000</v>
      </c>
      <c r="F234" s="31" t="n">
        <v>16000</v>
      </c>
      <c r="G234" s="31" t="n">
        <v>5679017</v>
      </c>
      <c r="H234" s="36" t="n">
        <v>0.08327691266079884</v>
      </c>
      <c r="I234" s="36" t="n">
        <v>0</v>
      </c>
      <c r="J234" s="31" t="n">
        <v>12271.5</v>
      </c>
      <c r="K234" s="31" t="n">
        <v>11623.83333333333</v>
      </c>
      <c r="L234" s="31" t="n">
        <v>10268.41666666667</v>
      </c>
      <c r="M234" s="36" t="n">
        <v>1.190999301089242</v>
      </c>
      <c r="N234" s="36" t="n">
        <v>0.9118810126068644</v>
      </c>
      <c r="O234" s="36" t="n">
        <v>0.499531396438613</v>
      </c>
      <c r="P234" s="36" t="n">
        <v>0.7167381974248928</v>
      </c>
      <c r="Q234" s="36" t="n">
        <v>0.8038331454340473</v>
      </c>
      <c r="R234" s="36" t="n">
        <v>0.303834087112415</v>
      </c>
      <c r="S234" s="36" t="n">
        <v>0.3764822276070716</v>
      </c>
      <c r="T234" s="36" t="n">
        <v>0.5581759602665131</v>
      </c>
      <c r="U234" s="31" t="n">
        <v>16000</v>
      </c>
      <c r="V234" s="31" t="n">
        <v>7900</v>
      </c>
      <c r="W234" s="36" t="n">
        <v>0</v>
      </c>
      <c r="X234" s="36" t="n">
        <v>1.025316455696203</v>
      </c>
      <c r="Y234" s="31" t="n">
        <v>33416778</v>
      </c>
      <c r="Z234" s="31" t="n">
        <v>534668448000</v>
      </c>
      <c r="AA234" s="31" t="n">
        <v>90864272000</v>
      </c>
      <c r="AB234" s="31" t="n">
        <v>23808908464.5</v>
      </c>
      <c r="AC234" s="36" t="n">
        <v>0.1699450796842233</v>
      </c>
      <c r="AD234" s="29" t="inlineStr">
        <is>
          <t>yfinance_download</t>
        </is>
      </c>
      <c r="AE234" s="29" t="inlineStr">
        <is>
          <t>059090.KQ</t>
        </is>
      </c>
    </row>
    <row r="235" ht="24" customHeight="1">
      <c r="A235" s="24" t="inlineStr">
        <is>
          <t>2024-05-23</t>
        </is>
      </c>
      <c r="B235" s="30" t="n">
        <v>16550</v>
      </c>
      <c r="C235" s="30" t="n">
        <v>16550</v>
      </c>
      <c r="D235" s="30" t="n">
        <v>15550</v>
      </c>
      <c r="E235" s="30" t="n">
        <v>15770</v>
      </c>
      <c r="F235" s="30" t="n">
        <v>15770</v>
      </c>
      <c r="G235" s="30" t="n">
        <v>2287952</v>
      </c>
      <c r="H235" s="35" t="n">
        <v>-0.01437500000000003</v>
      </c>
      <c r="I235" s="35" t="n">
        <v>-0.01437500000000003</v>
      </c>
      <c r="J235" s="30" t="n">
        <v>12551.5</v>
      </c>
      <c r="K235" s="30" t="n">
        <v>11725.66666666667</v>
      </c>
      <c r="L235" s="30" t="n">
        <v>10326.91666666667</v>
      </c>
      <c r="M235" s="35" t="n">
        <v>1.171201163230596</v>
      </c>
      <c r="N235" s="35" t="n">
        <v>0.9116599726206084</v>
      </c>
      <c r="O235" s="35" t="n">
        <v>0.5506391347099311</v>
      </c>
      <c r="P235" s="35" t="n">
        <v>0.6325051759834368</v>
      </c>
      <c r="Q235" s="35" t="n">
        <v>0.8022857142857143</v>
      </c>
      <c r="R235" s="35" t="n">
        <v>0.2564235350356532</v>
      </c>
      <c r="S235" s="35" t="n">
        <v>0.3449128692043097</v>
      </c>
      <c r="T235" s="35" t="n">
        <v>0.5270772979995644</v>
      </c>
      <c r="U235" s="30" t="n">
        <v>16000</v>
      </c>
      <c r="V235" s="30" t="n">
        <v>7900</v>
      </c>
      <c r="W235" s="35" t="n">
        <v>-0.01437500000000003</v>
      </c>
      <c r="X235" s="35" t="n">
        <v>0.9962025316455696</v>
      </c>
      <c r="Y235" s="30" t="n">
        <v>33416778</v>
      </c>
      <c r="Z235" s="30" t="n">
        <v>526982589060</v>
      </c>
      <c r="AA235" s="30" t="n">
        <v>36081003040</v>
      </c>
      <c r="AB235" s="30" t="n">
        <v>25430408133.5</v>
      </c>
      <c r="AC235" s="35" t="n">
        <v>0.06846716341114634</v>
      </c>
      <c r="AD235" s="24" t="inlineStr">
        <is>
          <t>yfinance_download</t>
        </is>
      </c>
      <c r="AE235" s="24" t="inlineStr">
        <is>
          <t>059090.KQ</t>
        </is>
      </c>
    </row>
    <row r="236" ht="24" customHeight="1">
      <c r="A236" s="29" t="inlineStr">
        <is>
          <t>2024-05-24</t>
        </is>
      </c>
      <c r="B236" s="31" t="n">
        <v>15450</v>
      </c>
      <c r="C236" s="31" t="n">
        <v>16650</v>
      </c>
      <c r="D236" s="31" t="n">
        <v>14510</v>
      </c>
      <c r="E236" s="31" t="n">
        <v>16380</v>
      </c>
      <c r="F236" s="31" t="n">
        <v>16380</v>
      </c>
      <c r="G236" s="31" t="n">
        <v>3066669</v>
      </c>
      <c r="H236" s="36" t="n">
        <v>0.03868103994927075</v>
      </c>
      <c r="I236" s="36" t="n">
        <v>0</v>
      </c>
      <c r="J236" s="31" t="n">
        <v>12880.5</v>
      </c>
      <c r="K236" s="31" t="n">
        <v>11839.5</v>
      </c>
      <c r="L236" s="31" t="n">
        <v>10390.08333333333</v>
      </c>
      <c r="M236" s="36" t="n">
        <v>1.149586388641198</v>
      </c>
      <c r="N236" s="36" t="n">
        <v>0.9124872843163347</v>
      </c>
      <c r="O236" s="36" t="n">
        <v>0.6714285714285715</v>
      </c>
      <c r="P236" s="36" t="n">
        <v>0.7151832460732985</v>
      </c>
      <c r="Q236" s="36" t="n">
        <v>0.8613636363636363</v>
      </c>
      <c r="R236" s="36" t="n">
        <v>0.2716897635961337</v>
      </c>
      <c r="S236" s="36" t="n">
        <v>0.3835043709616115</v>
      </c>
      <c r="T236" s="36" t="n">
        <v>0.5765032362589326</v>
      </c>
      <c r="U236" s="31" t="n">
        <v>16380</v>
      </c>
      <c r="V236" s="31" t="n">
        <v>7900</v>
      </c>
      <c r="W236" s="36" t="n">
        <v>0</v>
      </c>
      <c r="X236" s="36" t="n">
        <v>1.073417721518987</v>
      </c>
      <c r="Y236" s="31" t="n">
        <v>33416778</v>
      </c>
      <c r="Z236" s="31" t="n">
        <v>547366823640</v>
      </c>
      <c r="AA236" s="31" t="n">
        <v>50232038220</v>
      </c>
      <c r="AB236" s="31" t="n">
        <v>27732517404.5</v>
      </c>
      <c r="AC236" s="36" t="n">
        <v>0.09177033764296486</v>
      </c>
      <c r="AD236" s="29" t="inlineStr">
        <is>
          <t>yfinance_download</t>
        </is>
      </c>
      <c r="AE236" s="29" t="inlineStr">
        <is>
          <t>059090.KQ</t>
        </is>
      </c>
    </row>
    <row r="237" ht="24" customHeight="1">
      <c r="A237" s="24" t="inlineStr">
        <is>
          <t>2024-05-27</t>
        </is>
      </c>
      <c r="B237" s="30" t="n">
        <v>16950</v>
      </c>
      <c r="C237" s="30" t="n">
        <v>17790</v>
      </c>
      <c r="D237" s="30" t="n">
        <v>16530</v>
      </c>
      <c r="E237" s="30" t="n">
        <v>17760</v>
      </c>
      <c r="F237" s="30" t="n">
        <v>17760</v>
      </c>
      <c r="G237" s="30" t="n">
        <v>3503637</v>
      </c>
      <c r="H237" s="35" t="n">
        <v>0.08424908424908417</v>
      </c>
      <c r="I237" s="35" t="n">
        <v>0</v>
      </c>
      <c r="J237" s="30" t="n">
        <v>13261</v>
      </c>
      <c r="K237" s="30" t="n">
        <v>11979.66666666667</v>
      </c>
      <c r="L237" s="30" t="n">
        <v>10464.33333333333</v>
      </c>
      <c r="M237" s="35" t="n">
        <v>1.166567056809045</v>
      </c>
      <c r="N237" s="35" t="n">
        <v>0.922399779045143</v>
      </c>
      <c r="O237" s="35" t="n">
        <v>0.7497536945812808</v>
      </c>
      <c r="P237" s="35" t="n">
        <v>0.8994652406417112</v>
      </c>
      <c r="Q237" s="35" t="n">
        <v>1.006779661016949</v>
      </c>
      <c r="R237" s="35" t="n">
        <v>0.3392655154211599</v>
      </c>
      <c r="S237" s="35" t="n">
        <v>0.4825120342803084</v>
      </c>
      <c r="T237" s="35" t="n">
        <v>0.6971936418946898</v>
      </c>
      <c r="U237" s="30" t="n">
        <v>17760</v>
      </c>
      <c r="V237" s="30" t="n">
        <v>7900</v>
      </c>
      <c r="W237" s="35" t="n">
        <v>0</v>
      </c>
      <c r="X237" s="35" t="n">
        <v>1.248101265822785</v>
      </c>
      <c r="Y237" s="30" t="n">
        <v>33416778</v>
      </c>
      <c r="Z237" s="30" t="n">
        <v>593481977280</v>
      </c>
      <c r="AA237" s="30" t="n">
        <v>62224593120</v>
      </c>
      <c r="AB237" s="30" t="n">
        <v>30734943120.5</v>
      </c>
      <c r="AC237" s="35" t="n">
        <v>0.1048466432042012</v>
      </c>
      <c r="AD237" s="24" t="inlineStr">
        <is>
          <t>yfinance_download</t>
        </is>
      </c>
      <c r="AE237" s="24" t="inlineStr">
        <is>
          <t>059090.KQ</t>
        </is>
      </c>
    </row>
    <row r="238" ht="24" customHeight="1">
      <c r="A238" s="29" t="inlineStr">
        <is>
          <t>2024-05-28</t>
        </is>
      </c>
      <c r="B238" s="31" t="n">
        <v>18240</v>
      </c>
      <c r="C238" s="31" t="n">
        <v>18250</v>
      </c>
      <c r="D238" s="31" t="n">
        <v>17000</v>
      </c>
      <c r="E238" s="31" t="n">
        <v>17260</v>
      </c>
      <c r="F238" s="31" t="n">
        <v>17260</v>
      </c>
      <c r="G238" s="31" t="n">
        <v>2019436</v>
      </c>
      <c r="H238" s="36" t="n">
        <v>-0.02815315315315314</v>
      </c>
      <c r="I238" s="36" t="n">
        <v>-0.02815315315315314</v>
      </c>
      <c r="J238" s="31" t="n">
        <v>13620.5</v>
      </c>
      <c r="K238" s="31" t="n">
        <v>12114.33333333333</v>
      </c>
      <c r="L238" s="31" t="n">
        <v>10534.66666666667</v>
      </c>
      <c r="M238" s="36" t="n">
        <v>1.177613676102776</v>
      </c>
      <c r="N238" s="36" t="n">
        <v>0.9240316050642128</v>
      </c>
      <c r="O238" s="36" t="n">
        <v>0.7140019860973188</v>
      </c>
      <c r="P238" s="36" t="n">
        <v>0.8801742919389979</v>
      </c>
      <c r="Q238" s="36" t="n">
        <v>0.9569160997732427</v>
      </c>
      <c r="R238" s="36" t="n">
        <v>0.2672075180793656</v>
      </c>
      <c r="S238" s="36" t="n">
        <v>0.4247585504773959</v>
      </c>
      <c r="T238" s="36" t="n">
        <v>0.638400202506012</v>
      </c>
      <c r="U238" s="31" t="n">
        <v>17760</v>
      </c>
      <c r="V238" s="31" t="n">
        <v>7900</v>
      </c>
      <c r="W238" s="36" t="n">
        <v>-0.02815315315315314</v>
      </c>
      <c r="X238" s="36" t="n">
        <v>1.184810126582279</v>
      </c>
      <c r="Y238" s="31" t="n">
        <v>33416778</v>
      </c>
      <c r="Z238" s="31" t="n">
        <v>576773588280</v>
      </c>
      <c r="AA238" s="31" t="n">
        <v>34855465360</v>
      </c>
      <c r="AB238" s="31" t="n">
        <v>32407898561</v>
      </c>
      <c r="AC238" s="36" t="n">
        <v>0.06043179866113962</v>
      </c>
      <c r="AD238" s="29" t="inlineStr">
        <is>
          <t>yfinance_download</t>
        </is>
      </c>
      <c r="AE238" s="29" t="inlineStr">
        <is>
          <t>059090.KQ</t>
        </is>
      </c>
    </row>
    <row r="239" ht="24" customHeight="1">
      <c r="A239" s="24" t="inlineStr">
        <is>
          <t>2024-05-29</t>
        </is>
      </c>
      <c r="B239" s="30" t="n">
        <v>16950</v>
      </c>
      <c r="C239" s="30" t="n">
        <v>17690</v>
      </c>
      <c r="D239" s="30" t="n">
        <v>16030</v>
      </c>
      <c r="E239" s="30" t="n">
        <v>16400</v>
      </c>
      <c r="F239" s="30" t="n">
        <v>16400</v>
      </c>
      <c r="G239" s="30" t="n">
        <v>2370995</v>
      </c>
      <c r="H239" s="35" t="n">
        <v>-0.04982618771726532</v>
      </c>
      <c r="I239" s="35" t="n">
        <v>-0.07657657657657657</v>
      </c>
      <c r="J239" s="30" t="n">
        <v>13910.5</v>
      </c>
      <c r="K239" s="30" t="n">
        <v>12229</v>
      </c>
      <c r="L239" s="30" t="n">
        <v>10598.75</v>
      </c>
      <c r="M239" s="35" t="n">
        <v>1.206870773545162</v>
      </c>
      <c r="N239" s="35" t="n">
        <v>0.9311484490480837</v>
      </c>
      <c r="O239" s="35" t="n">
        <v>0.5471698113207548</v>
      </c>
      <c r="P239" s="35" t="n">
        <v>0.7226890756302522</v>
      </c>
      <c r="Q239" s="35" t="n">
        <v>0.8828932261768083</v>
      </c>
      <c r="R239" s="35" t="n">
        <v>0.1789655296358865</v>
      </c>
      <c r="S239" s="35" t="n">
        <v>0.3410744950527436</v>
      </c>
      <c r="T239" s="35" t="n">
        <v>0.5473522821087393</v>
      </c>
      <c r="U239" s="30" t="n">
        <v>17760</v>
      </c>
      <c r="V239" s="30" t="n">
        <v>7900</v>
      </c>
      <c r="W239" s="35" t="n">
        <v>-0.07657657657657657</v>
      </c>
      <c r="X239" s="35" t="n">
        <v>1.075949367088608</v>
      </c>
      <c r="Y239" s="30" t="n">
        <v>33416778</v>
      </c>
      <c r="Z239" s="30" t="n">
        <v>548035159200</v>
      </c>
      <c r="AA239" s="30" t="n">
        <v>38884318000</v>
      </c>
      <c r="AB239" s="30" t="n">
        <v>34223082251</v>
      </c>
      <c r="AC239" s="35" t="n">
        <v>0.07095223243844753</v>
      </c>
      <c r="AD239" s="24" t="inlineStr">
        <is>
          <t>yfinance_download</t>
        </is>
      </c>
      <c r="AE239" s="24" t="inlineStr">
        <is>
          <t>059090.KQ</t>
        </is>
      </c>
    </row>
    <row r="240" ht="24" customHeight="1">
      <c r="A240" s="29" t="inlineStr">
        <is>
          <t>2024-05-30</t>
        </is>
      </c>
      <c r="B240" s="31" t="n">
        <v>16100</v>
      </c>
      <c r="C240" s="31" t="n">
        <v>16520</v>
      </c>
      <c r="D240" s="31" t="n">
        <v>15700</v>
      </c>
      <c r="E240" s="31" t="n">
        <v>16110</v>
      </c>
      <c r="F240" s="31" t="n">
        <v>16110</v>
      </c>
      <c r="G240" s="31" t="n">
        <v>971809</v>
      </c>
      <c r="H240" s="36" t="n">
        <v>-0.01768292682926831</v>
      </c>
      <c r="I240" s="36" t="n">
        <v>-0.09290540540540537</v>
      </c>
      <c r="J240" s="31" t="n">
        <v>14173</v>
      </c>
      <c r="K240" s="31" t="n">
        <v>12341.66666666667</v>
      </c>
      <c r="L240" s="31" t="n">
        <v>10656.91666666667</v>
      </c>
      <c r="M240" s="36" t="n">
        <v>1.216127890503549</v>
      </c>
      <c r="N240" s="36" t="n">
        <v>0.9311257163404214</v>
      </c>
      <c r="O240" s="36" t="n">
        <v>0.4834254143646408</v>
      </c>
      <c r="P240" s="36" t="n">
        <v>0.722994652406417</v>
      </c>
      <c r="Q240" s="36" t="n">
        <v>0.7645125958378971</v>
      </c>
      <c r="R240" s="36" t="n">
        <v>0.136668312989487</v>
      </c>
      <c r="S240" s="36" t="n">
        <v>0.3053342336259286</v>
      </c>
      <c r="T240" s="36" t="n">
        <v>0.5116942830556055</v>
      </c>
      <c r="U240" s="31" t="n">
        <v>17760</v>
      </c>
      <c r="V240" s="31" t="n">
        <v>7900</v>
      </c>
      <c r="W240" s="36" t="n">
        <v>-0.09290540540540537</v>
      </c>
      <c r="X240" s="36" t="n">
        <v>1.039240506329114</v>
      </c>
      <c r="Y240" s="31" t="n">
        <v>33416778</v>
      </c>
      <c r="Z240" s="31" t="n">
        <v>538344293580</v>
      </c>
      <c r="AA240" s="31" t="n">
        <v>15655842990</v>
      </c>
      <c r="AB240" s="31" t="n">
        <v>34829543838.5</v>
      </c>
      <c r="AC240" s="36" t="n">
        <v>0.02908146919490563</v>
      </c>
      <c r="AD240" s="29" t="inlineStr">
        <is>
          <t>yfinance_download</t>
        </is>
      </c>
      <c r="AE240" s="29" t="inlineStr">
        <is>
          <t>059090.KQ</t>
        </is>
      </c>
    </row>
    <row r="241" ht="24" customHeight="1">
      <c r="A241" s="24" t="inlineStr">
        <is>
          <t>2024-05-31</t>
        </is>
      </c>
      <c r="B241" s="30" t="n">
        <v>16120</v>
      </c>
      <c r="C241" s="30" t="n">
        <v>16910</v>
      </c>
      <c r="D241" s="30" t="n">
        <v>16100</v>
      </c>
      <c r="E241" s="30" t="n">
        <v>16520</v>
      </c>
      <c r="F241" s="30" t="n">
        <v>16520</v>
      </c>
      <c r="G241" s="30" t="n">
        <v>1310661</v>
      </c>
      <c r="H241" s="35" t="n">
        <v>0.02545003103662324</v>
      </c>
      <c r="I241" s="35" t="n">
        <v>-0.06981981981981977</v>
      </c>
      <c r="J241" s="30" t="n">
        <v>14463</v>
      </c>
      <c r="K241" s="30" t="n">
        <v>12439.5</v>
      </c>
      <c r="L241" s="30" t="n">
        <v>10720.58333333333</v>
      </c>
      <c r="M241" s="35" t="n">
        <v>1.20896533454423</v>
      </c>
      <c r="N241" s="35" t="n">
        <v>0.8925446015808228</v>
      </c>
      <c r="O241" s="35" t="n">
        <v>0.541044776119403</v>
      </c>
      <c r="P241" s="35" t="n">
        <v>0.5511737089201878</v>
      </c>
      <c r="Q241" s="35" t="n">
        <v>0.8603603603603605</v>
      </c>
      <c r="R241" s="35" t="n">
        <v>0.1422249879001589</v>
      </c>
      <c r="S241" s="35" t="n">
        <v>0.3280276538446079</v>
      </c>
      <c r="T241" s="35" t="n">
        <v>0.5409609240790689</v>
      </c>
      <c r="U241" s="30" t="n">
        <v>17760</v>
      </c>
      <c r="V241" s="30" t="n">
        <v>7900</v>
      </c>
      <c r="W241" s="35" t="n">
        <v>-0.06981981981981977</v>
      </c>
      <c r="X241" s="35" t="n">
        <v>1.091139240506329</v>
      </c>
      <c r="Y241" s="30" t="n">
        <v>33416778</v>
      </c>
      <c r="Z241" s="30" t="n">
        <v>552045172560</v>
      </c>
      <c r="AA241" s="30" t="n">
        <v>21652119720</v>
      </c>
      <c r="AB241" s="30" t="n">
        <v>35809325728.5</v>
      </c>
      <c r="AC241" s="35" t="n">
        <v>0.03922164488748735</v>
      </c>
      <c r="AD241" s="24" t="inlineStr">
        <is>
          <t>yfinance_download</t>
        </is>
      </c>
      <c r="AE241" s="24" t="inlineStr">
        <is>
          <t>059090.KQ</t>
        </is>
      </c>
    </row>
    <row r="242" ht="24" customHeight="1">
      <c r="A242" s="29" t="inlineStr">
        <is>
          <t>2024-06-03</t>
        </is>
      </c>
      <c r="B242" s="31" t="n">
        <v>16360</v>
      </c>
      <c r="C242" s="31" t="n">
        <v>16740</v>
      </c>
      <c r="D242" s="31" t="n">
        <v>15200</v>
      </c>
      <c r="E242" s="31" t="n">
        <v>16150</v>
      </c>
      <c r="F242" s="31" t="n">
        <v>16150</v>
      </c>
      <c r="G242" s="31" t="n">
        <v>1634595</v>
      </c>
      <c r="H242" s="36" t="n">
        <v>-0.02239709443099269</v>
      </c>
      <c r="I242" s="36" t="n">
        <v>-0.09065315315315314</v>
      </c>
      <c r="J242" s="31" t="n">
        <v>14728.5</v>
      </c>
      <c r="K242" s="31" t="n">
        <v>12528.66666666667</v>
      </c>
      <c r="L242" s="31" t="n">
        <v>10782.83333333333</v>
      </c>
      <c r="M242" s="36" t="n">
        <v>1.219634079564738</v>
      </c>
      <c r="N242" s="36" t="n">
        <v>0.8947480441380993</v>
      </c>
      <c r="O242" s="36" t="n">
        <v>0.4898523985239853</v>
      </c>
      <c r="P242" s="36" t="n">
        <v>0.4953703703703705</v>
      </c>
      <c r="Q242" s="36" t="n">
        <v>0.8605990783410138</v>
      </c>
      <c r="R242" s="36" t="n">
        <v>0.09651356214142659</v>
      </c>
      <c r="S242" s="36" t="n">
        <v>0.2890437929016123</v>
      </c>
      <c r="T242" s="36" t="n">
        <v>0.4977510549175386</v>
      </c>
      <c r="U242" s="31" t="n">
        <v>17760</v>
      </c>
      <c r="V242" s="31" t="n">
        <v>7900</v>
      </c>
      <c r="W242" s="36" t="n">
        <v>-0.09065315315315314</v>
      </c>
      <c r="X242" s="36" t="n">
        <v>1.044303797468354</v>
      </c>
      <c r="Y242" s="31" t="n">
        <v>33416778</v>
      </c>
      <c r="Z242" s="31" t="n">
        <v>539680964700</v>
      </c>
      <c r="AA242" s="31" t="n">
        <v>26398709250</v>
      </c>
      <c r="AB242" s="31" t="n">
        <v>37067228749</v>
      </c>
      <c r="AC242" s="36" t="n">
        <v>0.04891539812725212</v>
      </c>
      <c r="AD242" s="29" t="inlineStr">
        <is>
          <t>yfinance_download</t>
        </is>
      </c>
      <c r="AE242" s="29" t="inlineStr">
        <is>
          <t>059090.KQ</t>
        </is>
      </c>
    </row>
    <row r="243" ht="24" customHeight="1">
      <c r="A243" s="24" t="inlineStr">
        <is>
          <t>2024-06-04</t>
        </is>
      </c>
      <c r="B243" s="30" t="n">
        <v>16420</v>
      </c>
      <c r="C243" s="30" t="n">
        <v>16540</v>
      </c>
      <c r="D243" s="30" t="n">
        <v>15850</v>
      </c>
      <c r="E243" s="30" t="n">
        <v>16000</v>
      </c>
      <c r="F243" s="30" t="n">
        <v>16000</v>
      </c>
      <c r="G243" s="30" t="n">
        <v>648862</v>
      </c>
      <c r="H243" s="35" t="n">
        <v>-0.009287925696594423</v>
      </c>
      <c r="I243" s="35" t="n">
        <v>-0.09909909909909909</v>
      </c>
      <c r="J243" s="30" t="n">
        <v>15009.5</v>
      </c>
      <c r="K243" s="30" t="n">
        <v>12600.66666666667</v>
      </c>
      <c r="L243" s="30" t="n">
        <v>10846.25</v>
      </c>
      <c r="M243" s="35" t="n">
        <v>1.201721581014432</v>
      </c>
      <c r="N243" s="35" t="n">
        <v>0.8822350749225515</v>
      </c>
      <c r="O243" s="35" t="n">
        <v>0.5414258188824663</v>
      </c>
      <c r="P243" s="35" t="n">
        <v>0.3698630136986301</v>
      </c>
      <c r="Q243" s="35" t="n">
        <v>0.9070321811680573</v>
      </c>
      <c r="R243" s="35" t="n">
        <v>0.06599153869216168</v>
      </c>
      <c r="S243" s="35" t="n">
        <v>0.2697740860271944</v>
      </c>
      <c r="T243" s="35" t="n">
        <v>0.4751642272674887</v>
      </c>
      <c r="U243" s="30" t="n">
        <v>17760</v>
      </c>
      <c r="V243" s="30" t="n">
        <v>7900</v>
      </c>
      <c r="W243" s="35" t="n">
        <v>-0.09909909909909909</v>
      </c>
      <c r="X243" s="35" t="n">
        <v>1.025316455696203</v>
      </c>
      <c r="Y243" s="30" t="n">
        <v>33416778</v>
      </c>
      <c r="Z243" s="30" t="n">
        <v>534668448000</v>
      </c>
      <c r="AA243" s="30" t="n">
        <v>10381792000</v>
      </c>
      <c r="AB243" s="30" t="n">
        <v>37424600025</v>
      </c>
      <c r="AC243" s="35" t="n">
        <v>0.01941725201633742</v>
      </c>
      <c r="AD243" s="24" t="inlineStr">
        <is>
          <t>yfinance_download</t>
        </is>
      </c>
      <c r="AE243" s="24" t="inlineStr">
        <is>
          <t>059090.KQ</t>
        </is>
      </c>
    </row>
    <row r="244" ht="24" customHeight="1">
      <c r="A244" s="29" t="inlineStr">
        <is>
          <t>2024-06-05</t>
        </is>
      </c>
      <c r="B244" s="31" t="n">
        <v>16140</v>
      </c>
      <c r="C244" s="31" t="n">
        <v>16340</v>
      </c>
      <c r="D244" s="31" t="n">
        <v>15450</v>
      </c>
      <c r="E244" s="31" t="n">
        <v>15520</v>
      </c>
      <c r="F244" s="31" t="n">
        <v>15520</v>
      </c>
      <c r="G244" s="31" t="n">
        <v>675590</v>
      </c>
      <c r="H244" s="36" t="n">
        <v>-0.03000000000000003</v>
      </c>
      <c r="I244" s="36" t="n">
        <v>-0.1261261261261262</v>
      </c>
      <c r="J244" s="31" t="n">
        <v>15119</v>
      </c>
      <c r="K244" s="31" t="n">
        <v>12669.83333333333</v>
      </c>
      <c r="L244" s="31" t="n">
        <v>10904.91666666667</v>
      </c>
      <c r="M244" s="36" t="n">
        <v>0.7223728929003421</v>
      </c>
      <c r="N244" s="36" t="n">
        <v>0.8828193997210716</v>
      </c>
      <c r="O244" s="36" t="n">
        <v>0.1642910727681921</v>
      </c>
      <c r="P244" s="36" t="n">
        <v>0.3649956024626209</v>
      </c>
      <c r="Q244" s="36" t="n">
        <v>0.8301886792452831</v>
      </c>
      <c r="R244" s="36" t="n">
        <v>0.02652291818241936</v>
      </c>
      <c r="S244" s="36" t="n">
        <v>0.2249569186650706</v>
      </c>
      <c r="T244" s="36" t="n">
        <v>0.4232112426352028</v>
      </c>
      <c r="U244" s="31" t="n">
        <v>17760</v>
      </c>
      <c r="V244" s="31" t="n">
        <v>7900</v>
      </c>
      <c r="W244" s="36" t="n">
        <v>-0.1261261261261262</v>
      </c>
      <c r="X244" s="36" t="n">
        <v>0.9645569620253165</v>
      </c>
      <c r="Y244" s="31" t="n">
        <v>33416778</v>
      </c>
      <c r="Z244" s="31" t="n">
        <v>518628394560</v>
      </c>
      <c r="AA244" s="31" t="n">
        <v>10485156800</v>
      </c>
      <c r="AB244" s="31" t="n">
        <v>34120919089</v>
      </c>
      <c r="AC244" s="36" t="n">
        <v>0.02021708975054387</v>
      </c>
      <c r="AD244" s="29" t="inlineStr">
        <is>
          <t>yfinance_download</t>
        </is>
      </c>
      <c r="AE244" s="29" t="inlineStr">
        <is>
          <t>059090.KQ</t>
        </is>
      </c>
    </row>
    <row r="245" ht="24" customHeight="1">
      <c r="A245" s="24" t="inlineStr">
        <is>
          <t>2024-06-07</t>
        </is>
      </c>
      <c r="B245" s="30" t="n">
        <v>15700</v>
      </c>
      <c r="C245" s="30" t="n">
        <v>16340</v>
      </c>
      <c r="D245" s="30" t="n">
        <v>15320</v>
      </c>
      <c r="E245" s="30" t="n">
        <v>15710</v>
      </c>
      <c r="F245" s="30" t="n">
        <v>15710</v>
      </c>
      <c r="G245" s="30" t="n">
        <v>1766118</v>
      </c>
      <c r="H245" s="35" t="n">
        <v>0.01224226804123707</v>
      </c>
      <c r="I245" s="35" t="n">
        <v>-0.1154279279279279</v>
      </c>
      <c r="J245" s="30" t="n">
        <v>15239.5</v>
      </c>
      <c r="K245" s="30" t="n">
        <v>12727.83333333333</v>
      </c>
      <c r="L245" s="30" t="n">
        <v>10966.25</v>
      </c>
      <c r="M245" s="35" t="n">
        <v>0.7213208528612352</v>
      </c>
      <c r="N245" s="35" t="n">
        <v>0.871129176714089</v>
      </c>
      <c r="O245" s="35" t="n">
        <v>0.1812030075187969</v>
      </c>
      <c r="P245" s="35" t="n">
        <v>0.2845461978740802</v>
      </c>
      <c r="Q245" s="35" t="n">
        <v>0.881437125748503</v>
      </c>
      <c r="R245" s="35" t="n">
        <v>0.03087371632927582</v>
      </c>
      <c r="S245" s="35" t="n">
        <v>0.2343027747587307</v>
      </c>
      <c r="T245" s="35" t="n">
        <v>0.4325772255784794</v>
      </c>
      <c r="U245" s="30" t="n">
        <v>17760</v>
      </c>
      <c r="V245" s="30" t="n">
        <v>7900</v>
      </c>
      <c r="W245" s="35" t="n">
        <v>-0.1154279279279279</v>
      </c>
      <c r="X245" s="35" t="n">
        <v>0.9886075949367088</v>
      </c>
      <c r="Y245" s="30" t="n">
        <v>33416778</v>
      </c>
      <c r="Z245" s="30" t="n">
        <v>524977582380</v>
      </c>
      <c r="AA245" s="30" t="n">
        <v>27745713780</v>
      </c>
      <c r="AB245" s="30" t="n">
        <v>32526002303</v>
      </c>
      <c r="AC245" s="35" t="n">
        <v>0.05285123538840279</v>
      </c>
      <c r="AD245" s="24" t="inlineStr">
        <is>
          <t>yfinance_download</t>
        </is>
      </c>
      <c r="AE245" s="24" t="inlineStr">
        <is>
          <t>059090.KQ</t>
        </is>
      </c>
    </row>
    <row r="246" ht="24" customHeight="1">
      <c r="A246" s="29" t="inlineStr">
        <is>
          <t>2024-06-10</t>
        </is>
      </c>
      <c r="B246" s="31" t="n">
        <v>15870</v>
      </c>
      <c r="C246" s="31" t="n">
        <v>17230</v>
      </c>
      <c r="D246" s="31" t="n">
        <v>15850</v>
      </c>
      <c r="E246" s="31" t="n">
        <v>17140</v>
      </c>
      <c r="F246" s="31" t="n">
        <v>17140</v>
      </c>
      <c r="G246" s="31" t="n">
        <v>2322011</v>
      </c>
      <c r="H246" s="36" t="n">
        <v>0.09102482495225961</v>
      </c>
      <c r="I246" s="36" t="n">
        <v>-0.03490990990990994</v>
      </c>
      <c r="J246" s="31" t="n">
        <v>15465</v>
      </c>
      <c r="K246" s="31" t="n">
        <v>12808.83333333333</v>
      </c>
      <c r="L246" s="31" t="n">
        <v>11039.08333333333</v>
      </c>
      <c r="M246" s="36" t="n">
        <v>0.7405147005756135</v>
      </c>
      <c r="N246" s="36" t="n">
        <v>0.8885517436442482</v>
      </c>
      <c r="O246" s="36" t="n">
        <v>0.3570863024544735</v>
      </c>
      <c r="P246" s="36" t="n">
        <v>0.3957654723127035</v>
      </c>
      <c r="Q246" s="36" t="n">
        <v>1.04047619047619</v>
      </c>
      <c r="R246" s="36" t="n">
        <v>0.1083090850307145</v>
      </c>
      <c r="S246" s="36" t="n">
        <v>0.3381390446696941</v>
      </c>
      <c r="T246" s="36" t="n">
        <v>0.5526651518468471</v>
      </c>
      <c r="U246" s="31" t="n">
        <v>17760</v>
      </c>
      <c r="V246" s="31" t="n">
        <v>7900</v>
      </c>
      <c r="W246" s="36" t="n">
        <v>-0.03490990990990994</v>
      </c>
      <c r="X246" s="36" t="n">
        <v>1.169620253164557</v>
      </c>
      <c r="Y246" s="31" t="n">
        <v>33416778</v>
      </c>
      <c r="Z246" s="31" t="n">
        <v>572763574920</v>
      </c>
      <c r="AA246" s="31" t="n">
        <v>39799268540</v>
      </c>
      <c r="AB246" s="31" t="n">
        <v>32592913089</v>
      </c>
      <c r="AC246" s="36" t="n">
        <v>0.06948638196058279</v>
      </c>
      <c r="AD246" s="29" t="inlineStr">
        <is>
          <t>yfinance_download</t>
        </is>
      </c>
      <c r="AE246" s="29" t="inlineStr">
        <is>
          <t>059090.KQ</t>
        </is>
      </c>
    </row>
    <row r="247" ht="24" customHeight="1">
      <c r="A247" s="24" t="inlineStr">
        <is>
          <t>2024-06-11</t>
        </is>
      </c>
      <c r="B247" s="30" t="n">
        <v>17500</v>
      </c>
      <c r="C247" s="30" t="n">
        <v>17510</v>
      </c>
      <c r="D247" s="30" t="n">
        <v>16650</v>
      </c>
      <c r="E247" s="30" t="n">
        <v>17190</v>
      </c>
      <c r="F247" s="30" t="n">
        <v>17190</v>
      </c>
      <c r="G247" s="30" t="n">
        <v>1420429</v>
      </c>
      <c r="H247" s="35" t="n">
        <v>0.002917152858809891</v>
      </c>
      <c r="I247" s="35" t="n">
        <v>-0.03209459459459463</v>
      </c>
      <c r="J247" s="30" t="n">
        <v>15693</v>
      </c>
      <c r="K247" s="30" t="n">
        <v>12907.83333333333</v>
      </c>
      <c r="L247" s="30" t="n">
        <v>11112.58333333333</v>
      </c>
      <c r="M247" s="35" t="n">
        <v>0.7397309112263641</v>
      </c>
      <c r="N247" s="35" t="n">
        <v>0.8682088701323893</v>
      </c>
      <c r="O247" s="35" t="n">
        <v>0.3610451306413303</v>
      </c>
      <c r="P247" s="35" t="n">
        <v>0.528</v>
      </c>
      <c r="Q247" s="35" t="n">
        <v>1.053763440860215</v>
      </c>
      <c r="R247" s="35" t="n">
        <v>0.09539285031542732</v>
      </c>
      <c r="S247" s="35" t="n">
        <v>0.3317494544656345</v>
      </c>
      <c r="T247" s="35" t="n">
        <v>0.5468950364076759</v>
      </c>
      <c r="U247" s="30" t="n">
        <v>17760</v>
      </c>
      <c r="V247" s="30" t="n">
        <v>7900</v>
      </c>
      <c r="W247" s="35" t="n">
        <v>-0.03209459459459463</v>
      </c>
      <c r="X247" s="35" t="n">
        <v>1.175949367088608</v>
      </c>
      <c r="Y247" s="30" t="n">
        <v>33416778</v>
      </c>
      <c r="Z247" s="30" t="n">
        <v>574434413820</v>
      </c>
      <c r="AA247" s="30" t="n">
        <v>24417174510</v>
      </c>
      <c r="AB247" s="30" t="n">
        <v>33071100660</v>
      </c>
      <c r="AC247" s="35" t="n">
        <v>0.04250646187373301</v>
      </c>
      <c r="AD247" s="24" t="inlineStr">
        <is>
          <t>yfinance_download</t>
        </is>
      </c>
      <c r="AE247" s="24" t="inlineStr">
        <is>
          <t>059090.KQ</t>
        </is>
      </c>
    </row>
    <row r="248" ht="24" customHeight="1">
      <c r="A248" s="29" t="inlineStr">
        <is>
          <t>2024-06-12</t>
        </is>
      </c>
      <c r="B248" s="31" t="n">
        <v>17110</v>
      </c>
      <c r="C248" s="31" t="n">
        <v>17520</v>
      </c>
      <c r="D248" s="31" t="n">
        <v>16690</v>
      </c>
      <c r="E248" s="31" t="n">
        <v>17440</v>
      </c>
      <c r="F248" s="31" t="n">
        <v>17440</v>
      </c>
      <c r="G248" s="31" t="n">
        <v>1003755</v>
      </c>
      <c r="H248" s="36" t="n">
        <v>0.01454333915066908</v>
      </c>
      <c r="I248" s="36" t="n">
        <v>-0.01801801801801806</v>
      </c>
      <c r="J248" s="31" t="n">
        <v>15926</v>
      </c>
      <c r="K248" s="31" t="n">
        <v>13013.83333333333</v>
      </c>
      <c r="L248" s="31" t="n">
        <v>11183.5</v>
      </c>
      <c r="M248" s="36" t="n">
        <v>0.7395692012753523</v>
      </c>
      <c r="N248" s="36" t="n">
        <v>0.8668983825508545</v>
      </c>
      <c r="O248" s="36" t="n">
        <v>0.3646322378716744</v>
      </c>
      <c r="P248" s="36" t="n">
        <v>0.5740072202166064</v>
      </c>
      <c r="Q248" s="36" t="n">
        <v>0.9529675251959686</v>
      </c>
      <c r="R248" s="36" t="n">
        <v>0.09506467411779473</v>
      </c>
      <c r="S248" s="36" t="n">
        <v>0.3401124444501364</v>
      </c>
      <c r="T248" s="36" t="n">
        <v>0.5594402467921491</v>
      </c>
      <c r="U248" s="31" t="n">
        <v>17760</v>
      </c>
      <c r="V248" s="31" t="n">
        <v>7900</v>
      </c>
      <c r="W248" s="36" t="n">
        <v>-0.01801801801801806</v>
      </c>
      <c r="X248" s="36" t="n">
        <v>1.207594936708861</v>
      </c>
      <c r="Y248" s="31" t="n">
        <v>33416778</v>
      </c>
      <c r="Z248" s="31" t="n">
        <v>582788608320</v>
      </c>
      <c r="AA248" s="31" t="n">
        <v>17505487200</v>
      </c>
      <c r="AB248" s="31" t="n">
        <v>33190317249</v>
      </c>
      <c r="AC248" s="36" t="n">
        <v>0.03003745603480982</v>
      </c>
      <c r="AD248" s="29" t="inlineStr">
        <is>
          <t>yfinance_download</t>
        </is>
      </c>
      <c r="AE248" s="29" t="inlineStr">
        <is>
          <t>059090.KQ</t>
        </is>
      </c>
    </row>
    <row r="249" ht="24" customHeight="1">
      <c r="A249" s="24" t="inlineStr">
        <is>
          <t>2024-06-13</t>
        </is>
      </c>
      <c r="B249" s="30" t="n">
        <v>17800</v>
      </c>
      <c r="C249" s="30" t="n">
        <v>18180</v>
      </c>
      <c r="D249" s="30" t="n">
        <v>16630</v>
      </c>
      <c r="E249" s="30" t="n">
        <v>16950</v>
      </c>
      <c r="F249" s="30" t="n">
        <v>16950</v>
      </c>
      <c r="G249" s="30" t="n">
        <v>1526695</v>
      </c>
      <c r="H249" s="35" t="n">
        <v>-0.0280963302752294</v>
      </c>
      <c r="I249" s="35" t="n">
        <v>-0.04560810810810811</v>
      </c>
      <c r="J249" s="30" t="n">
        <v>16126.5</v>
      </c>
      <c r="K249" s="30" t="n">
        <v>13108</v>
      </c>
      <c r="L249" s="30" t="n">
        <v>11247.66666666667</v>
      </c>
      <c r="M249" s="35" t="n">
        <v>0.7564436961920357</v>
      </c>
      <c r="N249" s="35" t="n">
        <v>0.8698843051721387</v>
      </c>
      <c r="O249" s="35" t="n">
        <v>0.3098918083462132</v>
      </c>
      <c r="P249" s="35" t="n">
        <v>0.5</v>
      </c>
      <c r="Q249" s="35" t="n">
        <v>0.8324324324324324</v>
      </c>
      <c r="R249" s="35" t="n">
        <v>0.05106501720770162</v>
      </c>
      <c r="S249" s="35" t="n">
        <v>0.2931034482758621</v>
      </c>
      <c r="T249" s="35" t="n">
        <v>0.5069792253208074</v>
      </c>
      <c r="U249" s="30" t="n">
        <v>17760</v>
      </c>
      <c r="V249" s="30" t="n">
        <v>7900</v>
      </c>
      <c r="W249" s="35" t="n">
        <v>-0.04560810810810811</v>
      </c>
      <c r="X249" s="35" t="n">
        <v>1.145569620253164</v>
      </c>
      <c r="Y249" s="30" t="n">
        <v>33416778</v>
      </c>
      <c r="Z249" s="30" t="n">
        <v>566414387100</v>
      </c>
      <c r="AA249" s="30" t="n">
        <v>25877480250</v>
      </c>
      <c r="AB249" s="30" t="n">
        <v>33751920543.5</v>
      </c>
      <c r="AC249" s="35" t="n">
        <v>0.04568648120414242</v>
      </c>
      <c r="AD249" s="24" t="inlineStr">
        <is>
          <t>yfinance_download</t>
        </is>
      </c>
      <c r="AE249" s="24" t="inlineStr">
        <is>
          <t>059090.KQ</t>
        </is>
      </c>
    </row>
    <row r="250" ht="24" customHeight="1">
      <c r="A250" s="29" t="inlineStr">
        <is>
          <t>2024-06-14</t>
        </is>
      </c>
      <c r="B250" s="31" t="n">
        <v>17010</v>
      </c>
      <c r="C250" s="31" t="n">
        <v>17130</v>
      </c>
      <c r="D250" s="31" t="n">
        <v>16310</v>
      </c>
      <c r="E250" s="31" t="n">
        <v>16900</v>
      </c>
      <c r="F250" s="31" t="n">
        <v>16900</v>
      </c>
      <c r="G250" s="31" t="n">
        <v>849587</v>
      </c>
      <c r="H250" s="36" t="n">
        <v>-0.002949852507374673</v>
      </c>
      <c r="I250" s="36" t="n">
        <v>-0.04842342342342343</v>
      </c>
      <c r="J250" s="31" t="n">
        <v>16246.5</v>
      </c>
      <c r="K250" s="31" t="n">
        <v>13204.83333333333</v>
      </c>
      <c r="L250" s="31" t="n">
        <v>11313.25</v>
      </c>
      <c r="M250" s="36" t="n">
        <v>0.6460369052566378</v>
      </c>
      <c r="N250" s="36" t="n">
        <v>0.8684216660184216</v>
      </c>
      <c r="O250" s="36" t="n">
        <v>0.1655172413793105</v>
      </c>
      <c r="P250" s="36" t="n">
        <v>0.5238954012623986</v>
      </c>
      <c r="Q250" s="36" t="n">
        <v>0.8715393133997784</v>
      </c>
      <c r="R250" s="36" t="n">
        <v>0.04022404825654746</v>
      </c>
      <c r="S250" s="36" t="n">
        <v>0.2798344040692171</v>
      </c>
      <c r="T250" s="36" t="n">
        <v>0.4938236139040506</v>
      </c>
      <c r="U250" s="31" t="n">
        <v>17760</v>
      </c>
      <c r="V250" s="31" t="n">
        <v>7900</v>
      </c>
      <c r="W250" s="36" t="n">
        <v>-0.04842342342342343</v>
      </c>
      <c r="X250" s="36" t="n">
        <v>1.139240506329114</v>
      </c>
      <c r="Y250" s="31" t="n">
        <v>33416778</v>
      </c>
      <c r="Z250" s="31" t="n">
        <v>564743548200</v>
      </c>
      <c r="AA250" s="31" t="n">
        <v>14358020300</v>
      </c>
      <c r="AB250" s="31" t="n">
        <v>30479842783.5</v>
      </c>
      <c r="AC250" s="36" t="n">
        <v>0.02542396517102876</v>
      </c>
      <c r="AD250" s="29" t="inlineStr">
        <is>
          <t>yfinance_download</t>
        </is>
      </c>
      <c r="AE250" s="29" t="inlineStr">
        <is>
          <t>059090.KQ</t>
        </is>
      </c>
    </row>
    <row r="251" ht="24" customHeight="1">
      <c r="A251" s="24" t="inlineStr">
        <is>
          <t>2024-06-17</t>
        </is>
      </c>
      <c r="B251" s="30" t="n">
        <v>17100</v>
      </c>
      <c r="C251" s="30" t="n">
        <v>19540</v>
      </c>
      <c r="D251" s="30" t="n">
        <v>16350</v>
      </c>
      <c r="E251" s="30" t="n">
        <v>16810</v>
      </c>
      <c r="F251" s="30" t="n">
        <v>16810</v>
      </c>
      <c r="G251" s="30" t="n">
        <v>8116278</v>
      </c>
      <c r="H251" s="35" t="n">
        <v>-0.005325443786982298</v>
      </c>
      <c r="I251" s="35" t="n">
        <v>-0.05349099099099097</v>
      </c>
      <c r="J251" s="30" t="n">
        <v>16377</v>
      </c>
      <c r="K251" s="30" t="n">
        <v>13302</v>
      </c>
      <c r="L251" s="30" t="n">
        <v>11380</v>
      </c>
      <c r="M251" s="35" t="n">
        <v>0.6391096609767597</v>
      </c>
      <c r="N251" s="35" t="n">
        <v>0.868058737638897</v>
      </c>
      <c r="O251" s="35" t="n">
        <v>0.1838028169014085</v>
      </c>
      <c r="P251" s="35" t="n">
        <v>0.5309653916211294</v>
      </c>
      <c r="Q251" s="35" t="n">
        <v>0.9102272727272727</v>
      </c>
      <c r="R251" s="35" t="n">
        <v>0.02643951883739382</v>
      </c>
      <c r="S251" s="35" t="n">
        <v>0.2637197413922718</v>
      </c>
      <c r="T251" s="35" t="n">
        <v>0.4771528998242531</v>
      </c>
      <c r="U251" s="30" t="n">
        <v>17760</v>
      </c>
      <c r="V251" s="30" t="n">
        <v>7900</v>
      </c>
      <c r="W251" s="35" t="n">
        <v>-0.05349099099099097</v>
      </c>
      <c r="X251" s="35" t="n">
        <v>1.127848101265823</v>
      </c>
      <c r="Y251" s="30" t="n">
        <v>33416778</v>
      </c>
      <c r="Z251" s="30" t="n">
        <v>561736038180</v>
      </c>
      <c r="AA251" s="30" t="n">
        <v>136434633180</v>
      </c>
      <c r="AB251" s="30" t="n">
        <v>36163411782.5</v>
      </c>
      <c r="AC251" s="35" t="n">
        <v>0.2428803279598051</v>
      </c>
      <c r="AD251" s="24" t="inlineStr">
        <is>
          <t>yfinance_download</t>
        </is>
      </c>
      <c r="AE251" s="24" t="inlineStr">
        <is>
          <t>059090.KQ</t>
        </is>
      </c>
    </row>
    <row r="252" ht="24" customHeight="1">
      <c r="A252" s="29" t="inlineStr">
        <is>
          <t>2024-06-18</t>
        </is>
      </c>
      <c r="B252" s="31" t="n">
        <v>17170</v>
      </c>
      <c r="C252" s="31" t="n">
        <v>18440</v>
      </c>
      <c r="D252" s="31" t="n">
        <v>17140</v>
      </c>
      <c r="E252" s="31" t="n">
        <v>18160</v>
      </c>
      <c r="F252" s="31" t="n">
        <v>18160</v>
      </c>
      <c r="G252" s="31" t="n">
        <v>3941821</v>
      </c>
      <c r="H252" s="36" t="n">
        <v>0.08030933967876264</v>
      </c>
      <c r="I252" s="36" t="n">
        <v>0</v>
      </c>
      <c r="J252" s="31" t="n">
        <v>16547</v>
      </c>
      <c r="K252" s="31" t="n">
        <v>13419.33333333333</v>
      </c>
      <c r="L252" s="31" t="n">
        <v>11457</v>
      </c>
      <c r="M252" s="36" t="n">
        <v>0.6799052385379676</v>
      </c>
      <c r="N252" s="36" t="n">
        <v>0.8804326789750654</v>
      </c>
      <c r="O252" s="36" t="n">
        <v>0.2303523035230353</v>
      </c>
      <c r="P252" s="36" t="n">
        <v>0.6330935251798562</v>
      </c>
      <c r="Q252" s="36" t="n">
        <v>1.035874439461884</v>
      </c>
      <c r="R252" s="36" t="n">
        <v>0.09747990572309173</v>
      </c>
      <c r="S252" s="36" t="n">
        <v>0.3532713994733965</v>
      </c>
      <c r="T252" s="36" t="n">
        <v>0.5850571702889062</v>
      </c>
      <c r="U252" s="31" t="n">
        <v>18160</v>
      </c>
      <c r="V252" s="31" t="n">
        <v>7900</v>
      </c>
      <c r="W252" s="36" t="n">
        <v>0</v>
      </c>
      <c r="X252" s="36" t="n">
        <v>1.29873417721519</v>
      </c>
      <c r="Y252" s="31" t="n">
        <v>33416778</v>
      </c>
      <c r="Z252" s="31" t="n">
        <v>606848688480</v>
      </c>
      <c r="AA252" s="31" t="n">
        <v>71583469360</v>
      </c>
      <c r="AB252" s="31" t="n">
        <v>38396347052.5</v>
      </c>
      <c r="AC252" s="36" t="n">
        <v>0.1179593376716331</v>
      </c>
      <c r="AD252" s="29" t="inlineStr">
        <is>
          <t>yfinance_download</t>
        </is>
      </c>
      <c r="AE252" s="29" t="inlineStr">
        <is>
          <t>059090.KQ</t>
        </is>
      </c>
    </row>
    <row r="253" ht="24" customHeight="1">
      <c r="A253" s="24" t="inlineStr">
        <is>
          <t>2024-06-19</t>
        </is>
      </c>
      <c r="B253" s="30" t="n">
        <v>18720</v>
      </c>
      <c r="C253" s="30" t="n">
        <v>19860</v>
      </c>
      <c r="D253" s="30" t="n">
        <v>18100</v>
      </c>
      <c r="E253" s="30" t="n">
        <v>18700</v>
      </c>
      <c r="F253" s="30" t="n">
        <v>18700</v>
      </c>
      <c r="G253" s="30" t="n">
        <v>4015666</v>
      </c>
      <c r="H253" s="35" t="n">
        <v>0.02973568281938332</v>
      </c>
      <c r="I253" s="35" t="n">
        <v>0</v>
      </c>
      <c r="J253" s="30" t="n">
        <v>16743.5</v>
      </c>
      <c r="K253" s="30" t="n">
        <v>13537.5</v>
      </c>
      <c r="L253" s="30" t="n">
        <v>11539</v>
      </c>
      <c r="M253" s="35" t="n">
        <v>0.6817259331437263</v>
      </c>
      <c r="N253" s="35" t="n">
        <v>0.8785248030327395</v>
      </c>
      <c r="O253" s="35" t="n">
        <v>0.2660798916723088</v>
      </c>
      <c r="P253" s="35" t="n">
        <v>0.6106804478897503</v>
      </c>
      <c r="Q253" s="35" t="n">
        <v>1.110609480812641</v>
      </c>
      <c r="R253" s="35" t="n">
        <v>0.1168513154358408</v>
      </c>
      <c r="S253" s="35" t="n">
        <v>0.3813481071098799</v>
      </c>
      <c r="T253" s="35" t="n">
        <v>0.6205910390848428</v>
      </c>
      <c r="U253" s="30" t="n">
        <v>18700</v>
      </c>
      <c r="V253" s="30" t="n">
        <v>7900</v>
      </c>
      <c r="W253" s="35" t="n">
        <v>0</v>
      </c>
      <c r="X253" s="35" t="n">
        <v>1.367088607594937</v>
      </c>
      <c r="Y253" s="30" t="n">
        <v>33416778</v>
      </c>
      <c r="Z253" s="30" t="n">
        <v>624893748600</v>
      </c>
      <c r="AA253" s="30" t="n">
        <v>75092954200</v>
      </c>
      <c r="AB253" s="30" t="n">
        <v>41526475591</v>
      </c>
      <c r="AC253" s="35" t="n">
        <v>0.1201691557456557</v>
      </c>
      <c r="AD253" s="24" t="inlineStr">
        <is>
          <t>yfinance_download</t>
        </is>
      </c>
      <c r="AE253" s="24" t="inlineStr">
        <is>
          <t>059090.KQ</t>
        </is>
      </c>
    </row>
    <row r="254" ht="24" customHeight="1">
      <c r="A254" s="29" t="inlineStr">
        <is>
          <t>2024-06-20</t>
        </is>
      </c>
      <c r="B254" s="31" t="n">
        <v>18700</v>
      </c>
      <c r="C254" s="31" t="n">
        <v>18900</v>
      </c>
      <c r="D254" s="31" t="n">
        <v>18030</v>
      </c>
      <c r="E254" s="31" t="n">
        <v>18100</v>
      </c>
      <c r="F254" s="31" t="n">
        <v>18100</v>
      </c>
      <c r="G254" s="31" t="n">
        <v>1102246</v>
      </c>
      <c r="H254" s="36" t="n">
        <v>-0.03208556149732622</v>
      </c>
      <c r="I254" s="36" t="n">
        <v>-0.03208556149732622</v>
      </c>
      <c r="J254" s="31" t="n">
        <v>16848.5</v>
      </c>
      <c r="K254" s="31" t="n">
        <v>13642.66666666667</v>
      </c>
      <c r="L254" s="31" t="n">
        <v>11615.5</v>
      </c>
      <c r="M254" s="36" t="n">
        <v>0.6453784886465848</v>
      </c>
      <c r="N254" s="36" t="n">
        <v>0.8825089092091668</v>
      </c>
      <c r="O254" s="36" t="n">
        <v>0.1312500000000001</v>
      </c>
      <c r="P254" s="36" t="n">
        <v>0.5351993214588635</v>
      </c>
      <c r="Q254" s="36" t="n">
        <v>1.02914798206278</v>
      </c>
      <c r="R254" s="36" t="n">
        <v>0.07427960946078294</v>
      </c>
      <c r="S254" s="36" t="n">
        <v>0.3267200938232995</v>
      </c>
      <c r="T254" s="36" t="n">
        <v>0.5582626662649046</v>
      </c>
      <c r="U254" s="31" t="n">
        <v>18700</v>
      </c>
      <c r="V254" s="31" t="n">
        <v>7900</v>
      </c>
      <c r="W254" s="36" t="n">
        <v>-0.03208556149732622</v>
      </c>
      <c r="X254" s="36" t="n">
        <v>1.291139240506329</v>
      </c>
      <c r="Y254" s="31" t="n">
        <v>33416778</v>
      </c>
      <c r="Z254" s="31" t="n">
        <v>604843681800</v>
      </c>
      <c r="AA254" s="31" t="n">
        <v>19950652600</v>
      </c>
      <c r="AB254" s="31" t="n">
        <v>37980794621</v>
      </c>
      <c r="AC254" s="36" t="n">
        <v>0.03298480781121388</v>
      </c>
      <c r="AD254" s="29" t="inlineStr">
        <is>
          <t>yfinance_download</t>
        </is>
      </c>
      <c r="AE254" s="29" t="inlineStr">
        <is>
          <t>059090.KQ</t>
        </is>
      </c>
    </row>
    <row r="255" ht="24" customHeight="1">
      <c r="A255" s="24" t="inlineStr">
        <is>
          <t>2024-06-21</t>
        </is>
      </c>
      <c r="B255" s="30" t="n">
        <v>17960</v>
      </c>
      <c r="C255" s="30" t="n">
        <v>19400</v>
      </c>
      <c r="D255" s="30" t="n">
        <v>17460</v>
      </c>
      <c r="E255" s="30" t="n">
        <v>18970</v>
      </c>
      <c r="F255" s="30" t="n">
        <v>18970</v>
      </c>
      <c r="G255" s="30" t="n">
        <v>1967782</v>
      </c>
      <c r="H255" s="35" t="n">
        <v>0.0480662983425415</v>
      </c>
      <c r="I255" s="35" t="n">
        <v>0</v>
      </c>
      <c r="J255" s="30" t="n">
        <v>17008.5</v>
      </c>
      <c r="K255" s="30" t="n">
        <v>13760.16666666667</v>
      </c>
      <c r="L255" s="30" t="n">
        <v>11698.83333333333</v>
      </c>
      <c r="M255" s="35" t="n">
        <v>0.6559882201194543</v>
      </c>
      <c r="N255" s="35" t="n">
        <v>0.8862059510079735</v>
      </c>
      <c r="O255" s="35" t="n">
        <v>0.2029169308814205</v>
      </c>
      <c r="P255" s="35" t="n">
        <v>0.5914429530201342</v>
      </c>
      <c r="Q255" s="35" t="n">
        <v>1.114827201783724</v>
      </c>
      <c r="R255" s="35" t="n">
        <v>0.1153246905958785</v>
      </c>
      <c r="S255" s="35" t="n">
        <v>0.3786170225651337</v>
      </c>
      <c r="T255" s="35" t="n">
        <v>0.6215292123146181</v>
      </c>
      <c r="U255" s="30" t="n">
        <v>18970</v>
      </c>
      <c r="V255" s="30" t="n">
        <v>7900</v>
      </c>
      <c r="W255" s="35" t="n">
        <v>0</v>
      </c>
      <c r="X255" s="35" t="n">
        <v>1.40126582278481</v>
      </c>
      <c r="Y255" s="30" t="n">
        <v>33416778</v>
      </c>
      <c r="Z255" s="30" t="n">
        <v>633916278660</v>
      </c>
      <c r="AA255" s="30" t="n">
        <v>37328824540</v>
      </c>
      <c r="AB255" s="30" t="n">
        <v>38043185696</v>
      </c>
      <c r="AC255" s="35" t="n">
        <v>0.05888604820009877</v>
      </c>
      <c r="AD255" s="24" t="inlineStr">
        <is>
          <t>yfinance_download</t>
        </is>
      </c>
      <c r="AE255" s="24" t="inlineStr">
        <is>
          <t>059090.KQ</t>
        </is>
      </c>
    </row>
    <row r="256" ht="24" customHeight="1">
      <c r="A256" s="29" t="inlineStr">
        <is>
          <t>2024-06-24</t>
        </is>
      </c>
      <c r="B256" s="31" t="n">
        <v>19250</v>
      </c>
      <c r="C256" s="31" t="n">
        <v>19380</v>
      </c>
      <c r="D256" s="31" t="n">
        <v>18680</v>
      </c>
      <c r="E256" s="31" t="n">
        <v>18970</v>
      </c>
      <c r="F256" s="31" t="n">
        <v>18970</v>
      </c>
      <c r="G256" s="31" t="n">
        <v>899905</v>
      </c>
      <c r="H256" s="36" t="n">
        <v>0</v>
      </c>
      <c r="I256" s="36" t="n">
        <v>0</v>
      </c>
      <c r="J256" s="31" t="n">
        <v>17138</v>
      </c>
      <c r="K256" s="31" t="n">
        <v>13880.16666666667</v>
      </c>
      <c r="L256" s="31" t="n">
        <v>11782.83333333333</v>
      </c>
      <c r="M256" s="36" t="n">
        <v>0.6479327902431264</v>
      </c>
      <c r="N256" s="36" t="n">
        <v>0.8852601912200969</v>
      </c>
      <c r="O256" s="36" t="n">
        <v>0.1581196581196582</v>
      </c>
      <c r="P256" s="36" t="n">
        <v>0.6117247238742567</v>
      </c>
      <c r="Q256" s="36" t="n">
        <v>1.133858267716536</v>
      </c>
      <c r="R256" s="36" t="n">
        <v>0.1068969541370055</v>
      </c>
      <c r="S256" s="36" t="n">
        <v>0.366698286523937</v>
      </c>
      <c r="T256" s="36" t="n">
        <v>0.6099693056282445</v>
      </c>
      <c r="U256" s="31" t="n">
        <v>18970</v>
      </c>
      <c r="V256" s="31" t="n">
        <v>7900</v>
      </c>
      <c r="W256" s="36" t="n">
        <v>0</v>
      </c>
      <c r="X256" s="36" t="n">
        <v>1.40126582278481</v>
      </c>
      <c r="Y256" s="31" t="n">
        <v>33416778</v>
      </c>
      <c r="Z256" s="31" t="n">
        <v>633916278660</v>
      </c>
      <c r="AA256" s="31" t="n">
        <v>17071197850</v>
      </c>
      <c r="AB256" s="31" t="n">
        <v>36385143677.5</v>
      </c>
      <c r="AC256" s="36" t="n">
        <v>0.02692973571539423</v>
      </c>
      <c r="AD256" s="29" t="inlineStr">
        <is>
          <t>yfinance_download</t>
        </is>
      </c>
      <c r="AE256" s="29" t="inlineStr">
        <is>
          <t>059090.KQ</t>
        </is>
      </c>
    </row>
    <row r="257" ht="24" customHeight="1">
      <c r="A257" s="24" t="inlineStr">
        <is>
          <t>2024-06-25</t>
        </is>
      </c>
      <c r="B257" s="30" t="n">
        <v>18310</v>
      </c>
      <c r="C257" s="30" t="n">
        <v>18780</v>
      </c>
      <c r="D257" s="30" t="n">
        <v>17650</v>
      </c>
      <c r="E257" s="30" t="n">
        <v>18550</v>
      </c>
      <c r="F257" s="30" t="n">
        <v>18550</v>
      </c>
      <c r="G257" s="30" t="n">
        <v>1146989</v>
      </c>
      <c r="H257" s="35" t="n">
        <v>-0.02214022140221406</v>
      </c>
      <c r="I257" s="35" t="n">
        <v>-0.02214022140221406</v>
      </c>
      <c r="J257" s="30" t="n">
        <v>17177.5</v>
      </c>
      <c r="K257" s="30" t="n">
        <v>13995.83333333333</v>
      </c>
      <c r="L257" s="30" t="n">
        <v>11864.5</v>
      </c>
      <c r="M257" s="35" t="n">
        <v>0.5896051710965275</v>
      </c>
      <c r="N257" s="35" t="n">
        <v>0.8863808146341043</v>
      </c>
      <c r="O257" s="35" t="n">
        <v>0.04448198198198194</v>
      </c>
      <c r="P257" s="35" t="n">
        <v>0.5977605512489232</v>
      </c>
      <c r="Q257" s="35" t="n">
        <v>1.12</v>
      </c>
      <c r="R257" s="35" t="n">
        <v>0.07990103332848197</v>
      </c>
      <c r="S257" s="35" t="n">
        <v>0.3253944626376897</v>
      </c>
      <c r="T257" s="35" t="n">
        <v>0.5634877154536644</v>
      </c>
      <c r="U257" s="30" t="n">
        <v>18970</v>
      </c>
      <c r="V257" s="30" t="n">
        <v>7900</v>
      </c>
      <c r="W257" s="35" t="n">
        <v>-0.02214022140221406</v>
      </c>
      <c r="X257" s="35" t="n">
        <v>1.348101265822785</v>
      </c>
      <c r="Y257" s="30" t="n">
        <v>33416778</v>
      </c>
      <c r="Z257" s="30" t="n">
        <v>619881231900</v>
      </c>
      <c r="AA257" s="30" t="n">
        <v>21276645950</v>
      </c>
      <c r="AB257" s="30" t="n">
        <v>34337746319</v>
      </c>
      <c r="AC257" s="35" t="n">
        <v>0.03432374599370412</v>
      </c>
      <c r="AD257" s="24" t="inlineStr">
        <is>
          <t>yfinance_download</t>
        </is>
      </c>
      <c r="AE257" s="24" t="inlineStr">
        <is>
          <t>059090.KQ</t>
        </is>
      </c>
    </row>
    <row r="258" ht="24" customHeight="1">
      <c r="A258" s="29" t="inlineStr">
        <is>
          <t>2024-06-26</t>
        </is>
      </c>
      <c r="B258" s="31" t="n">
        <v>18650</v>
      </c>
      <c r="C258" s="31" t="n">
        <v>18940</v>
      </c>
      <c r="D258" s="31" t="n">
        <v>17850</v>
      </c>
      <c r="E258" s="31" t="n">
        <v>17880</v>
      </c>
      <c r="F258" s="31" t="n">
        <v>17880</v>
      </c>
      <c r="G258" s="31" t="n">
        <v>762853</v>
      </c>
      <c r="H258" s="36" t="n">
        <v>-0.03611859838274933</v>
      </c>
      <c r="I258" s="36" t="n">
        <v>-0.05745914602003166</v>
      </c>
      <c r="J258" s="31" t="n">
        <v>17208.5</v>
      </c>
      <c r="K258" s="31" t="n">
        <v>14097.66666666667</v>
      </c>
      <c r="L258" s="31" t="n">
        <v>11937.91666666667</v>
      </c>
      <c r="M258" s="36" t="n">
        <v>0.5957999297600819</v>
      </c>
      <c r="N258" s="36" t="n">
        <v>0.8911789742193812</v>
      </c>
      <c r="O258" s="36" t="n">
        <v>0.03592120509849361</v>
      </c>
      <c r="P258" s="36" t="n">
        <v>0.5191163976210704</v>
      </c>
      <c r="Q258" s="36" t="n">
        <v>0.9713340683572216</v>
      </c>
      <c r="R258" s="36" t="n">
        <v>0.03902141383618551</v>
      </c>
      <c r="S258" s="36" t="n">
        <v>0.2682949897146101</v>
      </c>
      <c r="T258" s="36" t="n">
        <v>0.4977487696764511</v>
      </c>
      <c r="U258" s="31" t="n">
        <v>18970</v>
      </c>
      <c r="V258" s="31" t="n">
        <v>7900</v>
      </c>
      <c r="W258" s="36" t="n">
        <v>-0.05745914602003166</v>
      </c>
      <c r="X258" s="36" t="n">
        <v>1.263291139240506</v>
      </c>
      <c r="Y258" s="31" t="n">
        <v>33416778</v>
      </c>
      <c r="Z258" s="31" t="n">
        <v>597491990640</v>
      </c>
      <c r="AA258" s="31" t="n">
        <v>13639811640</v>
      </c>
      <c r="AB258" s="31" t="n">
        <v>33276963633</v>
      </c>
      <c r="AC258" s="36" t="n">
        <v>0.0228284426463856</v>
      </c>
      <c r="AD258" s="29" t="inlineStr">
        <is>
          <t>yfinance_download</t>
        </is>
      </c>
      <c r="AE258" s="29" t="inlineStr">
        <is>
          <t>059090.KQ</t>
        </is>
      </c>
    </row>
    <row r="259" ht="24" customHeight="1">
      <c r="A259" s="24" t="inlineStr">
        <is>
          <t>2024-06-27</t>
        </is>
      </c>
      <c r="B259" s="30" t="n">
        <v>17600</v>
      </c>
      <c r="C259" s="30" t="n">
        <v>18050</v>
      </c>
      <c r="D259" s="30" t="n">
        <v>17330</v>
      </c>
      <c r="E259" s="30" t="n">
        <v>17890</v>
      </c>
      <c r="F259" s="30" t="n">
        <v>17890</v>
      </c>
      <c r="G259" s="30" t="n">
        <v>694762</v>
      </c>
      <c r="H259" s="35" t="n">
        <v>0.0005592841163311046</v>
      </c>
      <c r="I259" s="35" t="n">
        <v>-0.05693199789140746</v>
      </c>
      <c r="J259" s="30" t="n">
        <v>17283</v>
      </c>
      <c r="K259" s="30" t="n">
        <v>14176.33333333333</v>
      </c>
      <c r="L259" s="30" t="n">
        <v>12011.33333333333</v>
      </c>
      <c r="M259" s="35" t="n">
        <v>0.5631495107422523</v>
      </c>
      <c r="N259" s="35" t="n">
        <v>0.8609838947005032</v>
      </c>
      <c r="O259" s="35" t="n">
        <v>0.09085365853658534</v>
      </c>
      <c r="P259" s="35" t="n">
        <v>0.3583902809415338</v>
      </c>
      <c r="Q259" s="35" t="n">
        <v>0.9702643171806167</v>
      </c>
      <c r="R259" s="35" t="n">
        <v>0.03512121738124163</v>
      </c>
      <c r="S259" s="35" t="n">
        <v>0.2619624256389756</v>
      </c>
      <c r="T259" s="35" t="n">
        <v>0.4894266526058721</v>
      </c>
      <c r="U259" s="30" t="n">
        <v>18970</v>
      </c>
      <c r="V259" s="30" t="n">
        <v>7900</v>
      </c>
      <c r="W259" s="35" t="n">
        <v>-0.05693199789140746</v>
      </c>
      <c r="X259" s="35" t="n">
        <v>1.264556962025317</v>
      </c>
      <c r="Y259" s="30" t="n">
        <v>33416778</v>
      </c>
      <c r="Z259" s="30" t="n">
        <v>597826158420</v>
      </c>
      <c r="AA259" s="30" t="n">
        <v>12429292180</v>
      </c>
      <c r="AB259" s="30" t="n">
        <v>31954212342</v>
      </c>
      <c r="AC259" s="35" t="n">
        <v>0.02079081352487065</v>
      </c>
      <c r="AD259" s="24" t="inlineStr">
        <is>
          <t>yfinance_download</t>
        </is>
      </c>
      <c r="AE259" s="24" t="inlineStr">
        <is>
          <t>059090.KQ</t>
        </is>
      </c>
    </row>
    <row r="260" ht="24" customHeight="1">
      <c r="A260" s="29" t="inlineStr">
        <is>
          <t>2024-06-28</t>
        </is>
      </c>
      <c r="B260" s="31" t="n">
        <v>17900</v>
      </c>
      <c r="C260" s="31" t="n">
        <v>17900</v>
      </c>
      <c r="D260" s="31" t="n">
        <v>16300</v>
      </c>
      <c r="E260" s="31" t="n">
        <v>16550</v>
      </c>
      <c r="F260" s="31" t="n">
        <v>16550</v>
      </c>
      <c r="G260" s="31" t="n">
        <v>1060895</v>
      </c>
      <c r="H260" s="36" t="n">
        <v>-0.07490217998882054</v>
      </c>
      <c r="I260" s="36" t="n">
        <v>-0.1275698471270427</v>
      </c>
      <c r="J260" s="31" t="n">
        <v>17305</v>
      </c>
      <c r="K260" s="31" t="n">
        <v>14231.33333333333</v>
      </c>
      <c r="L260" s="31" t="n">
        <v>12070.16666666667</v>
      </c>
      <c r="M260" s="36" t="n">
        <v>0.6266777803222336</v>
      </c>
      <c r="N260" s="36" t="n">
        <v>0.8769801381186555</v>
      </c>
      <c r="O260" s="36" t="n">
        <v>0.02731222842954684</v>
      </c>
      <c r="P260" s="36" t="n">
        <v>0.2490566037735849</v>
      </c>
      <c r="Q260" s="36" t="n">
        <v>0.743940990516333</v>
      </c>
      <c r="R260" s="36" t="n">
        <v>-0.04362900895694888</v>
      </c>
      <c r="S260" s="36" t="n">
        <v>0.1629268749707218</v>
      </c>
      <c r="T260" s="36" t="n">
        <v>0.3711492522887008</v>
      </c>
      <c r="U260" s="31" t="n">
        <v>18970</v>
      </c>
      <c r="V260" s="31" t="n">
        <v>7900</v>
      </c>
      <c r="W260" s="36" t="n">
        <v>-0.1275698471270427</v>
      </c>
      <c r="X260" s="36" t="n">
        <v>1.09493670886076</v>
      </c>
      <c r="Y260" s="31" t="n">
        <v>33416778</v>
      </c>
      <c r="Z260" s="31" t="n">
        <v>553047675900</v>
      </c>
      <c r="AA260" s="31" t="n">
        <v>17557812250</v>
      </c>
      <c r="AB260" s="31" t="n">
        <v>32049310805</v>
      </c>
      <c r="AC260" s="36" t="n">
        <v>0.03174737552495336</v>
      </c>
      <c r="AD260" s="29" t="inlineStr">
        <is>
          <t>yfinance_download</t>
        </is>
      </c>
      <c r="AE260" s="29" t="inlineStr">
        <is>
          <t>059090.KQ</t>
        </is>
      </c>
    </row>
    <row r="261" ht="24" customHeight="1">
      <c r="A261" s="24" t="inlineStr">
        <is>
          <t>2024-07-01</t>
        </is>
      </c>
      <c r="B261" s="30" t="n">
        <v>16740</v>
      </c>
      <c r="C261" s="30" t="n">
        <v>17170</v>
      </c>
      <c r="D261" s="30" t="n">
        <v>15900</v>
      </c>
      <c r="E261" s="30" t="n">
        <v>15900</v>
      </c>
      <c r="F261" s="30" t="n">
        <v>15900</v>
      </c>
      <c r="G261" s="30" t="n">
        <v>1148975</v>
      </c>
      <c r="H261" s="35" t="n">
        <v>-0.0392749244712991</v>
      </c>
      <c r="I261" s="35" t="n">
        <v>-0.161834475487612</v>
      </c>
      <c r="J261" s="30" t="n">
        <v>17274</v>
      </c>
      <c r="K261" s="30" t="n">
        <v>14279.5</v>
      </c>
      <c r="L261" s="30" t="n">
        <v>12125.16666666667</v>
      </c>
      <c r="M261" s="35" t="n">
        <v>0.6366956906972764</v>
      </c>
      <c r="N261" s="35" t="n">
        <v>0.880438279352579</v>
      </c>
      <c r="O261" s="35" t="n">
        <v>-0.03753026634382561</v>
      </c>
      <c r="P261" s="35" t="n">
        <v>0.2221368178324366</v>
      </c>
      <c r="Q261" s="35" t="n">
        <v>0.7096774193548387</v>
      </c>
      <c r="R261" s="35" t="n">
        <v>-0.07954150746787081</v>
      </c>
      <c r="S261" s="35" t="n">
        <v>0.1134843656990792</v>
      </c>
      <c r="T261" s="35" t="n">
        <v>0.3113221811384037</v>
      </c>
      <c r="U261" s="30" t="n">
        <v>18970</v>
      </c>
      <c r="V261" s="30" t="n">
        <v>7900</v>
      </c>
      <c r="W261" s="35" t="n">
        <v>-0.161834475487612</v>
      </c>
      <c r="X261" s="35" t="n">
        <v>1.012658227848101</v>
      </c>
      <c r="Y261" s="30" t="n">
        <v>33416778</v>
      </c>
      <c r="Z261" s="30" t="n">
        <v>531326770200</v>
      </c>
      <c r="AA261" s="30" t="n">
        <v>18268702500</v>
      </c>
      <c r="AB261" s="30" t="n">
        <v>31880139944</v>
      </c>
      <c r="AC261" s="35" t="n">
        <v>0.03438317721714523</v>
      </c>
      <c r="AD261" s="24" t="inlineStr">
        <is>
          <t>yfinance_download</t>
        </is>
      </c>
      <c r="AE261" s="24" t="inlineStr">
        <is>
          <t>059090.KQ</t>
        </is>
      </c>
    </row>
    <row r="262" ht="24" customHeight="1">
      <c r="A262" s="29" t="inlineStr">
        <is>
          <t>2024-07-02</t>
        </is>
      </c>
      <c r="B262" s="31" t="n">
        <v>15870</v>
      </c>
      <c r="C262" s="31" t="n">
        <v>15950</v>
      </c>
      <c r="D262" s="31" t="n">
        <v>15170</v>
      </c>
      <c r="E262" s="31" t="n">
        <v>15530</v>
      </c>
      <c r="F262" s="31" t="n">
        <v>15530</v>
      </c>
      <c r="G262" s="31" t="n">
        <v>1025878</v>
      </c>
      <c r="H262" s="36" t="n">
        <v>-0.02327044025157232</v>
      </c>
      <c r="I262" s="36" t="n">
        <v>-0.1813389562467054</v>
      </c>
      <c r="J262" s="31" t="n">
        <v>17243</v>
      </c>
      <c r="K262" s="31" t="n">
        <v>14325.16666666667</v>
      </c>
      <c r="L262" s="31" t="n">
        <v>12177.83333333333</v>
      </c>
      <c r="M262" s="36" t="n">
        <v>0.637089498023006</v>
      </c>
      <c r="N262" s="36" t="n">
        <v>0.8812027347789774</v>
      </c>
      <c r="O262" s="36" t="n">
        <v>-0.03839009287925699</v>
      </c>
      <c r="P262" s="36" t="n">
        <v>0.2142298670836591</v>
      </c>
      <c r="Q262" s="36" t="n">
        <v>0.6862106406080348</v>
      </c>
      <c r="R262" s="36" t="n">
        <v>-0.09934466160180944</v>
      </c>
      <c r="S262" s="36" t="n">
        <v>0.08410606042977986</v>
      </c>
      <c r="T262" s="36" t="n">
        <v>0.2752679047997044</v>
      </c>
      <c r="U262" s="31" t="n">
        <v>18970</v>
      </c>
      <c r="V262" s="31" t="n">
        <v>7900</v>
      </c>
      <c r="W262" s="36" t="n">
        <v>-0.1813389562467054</v>
      </c>
      <c r="X262" s="36" t="n">
        <v>0.9658227848101266</v>
      </c>
      <c r="Y262" s="31" t="n">
        <v>33416778</v>
      </c>
      <c r="Z262" s="31" t="n">
        <v>518962562340</v>
      </c>
      <c r="AA262" s="31" t="n">
        <v>15931885340</v>
      </c>
      <c r="AB262" s="31" t="n">
        <v>31356798748.5</v>
      </c>
      <c r="AC262" s="36" t="n">
        <v>0.03069948874185297</v>
      </c>
      <c r="AD262" s="29" t="inlineStr">
        <is>
          <t>yfinance_download</t>
        </is>
      </c>
      <c r="AE262" s="29" t="inlineStr">
        <is>
          <t>059090.KQ</t>
        </is>
      </c>
    </row>
    <row r="263" ht="24" customHeight="1">
      <c r="A263" s="24" t="inlineStr">
        <is>
          <t>2024-07-03</t>
        </is>
      </c>
      <c r="B263" s="30" t="n">
        <v>15550</v>
      </c>
      <c r="C263" s="30" t="n">
        <v>15680</v>
      </c>
      <c r="D263" s="30" t="n">
        <v>14770</v>
      </c>
      <c r="E263" s="30" t="n">
        <v>14840</v>
      </c>
      <c r="F263" s="30" t="n">
        <v>14840</v>
      </c>
      <c r="G263" s="30" t="n">
        <v>959907</v>
      </c>
      <c r="H263" s="35" t="n">
        <v>-0.04443013522215067</v>
      </c>
      <c r="I263" s="35" t="n">
        <v>-0.2177121771217713</v>
      </c>
      <c r="J263" s="30" t="n">
        <v>17185</v>
      </c>
      <c r="K263" s="30" t="n">
        <v>14367.5</v>
      </c>
      <c r="L263" s="30" t="n">
        <v>12224.58333333333</v>
      </c>
      <c r="M263" s="35" t="n">
        <v>0.6549662120203381</v>
      </c>
      <c r="N263" s="35" t="n">
        <v>0.8825648640975259</v>
      </c>
      <c r="O263" s="35" t="n">
        <v>-0.07250000000000001</v>
      </c>
      <c r="P263" s="35" t="n">
        <v>0.2065040650406504</v>
      </c>
      <c r="Q263" s="35" t="n">
        <v>0.6078006500541713</v>
      </c>
      <c r="R263" s="35" t="n">
        <v>-0.1364562118126272</v>
      </c>
      <c r="S263" s="35" t="n">
        <v>0.0328867235079171</v>
      </c>
      <c r="T263" s="35" t="n">
        <v>0.2139473056341388</v>
      </c>
      <c r="U263" s="30" t="n">
        <v>18970</v>
      </c>
      <c r="V263" s="30" t="n">
        <v>7900</v>
      </c>
      <c r="W263" s="35" t="n">
        <v>-0.2177121771217713</v>
      </c>
      <c r="X263" s="35" t="n">
        <v>0.8784810126582279</v>
      </c>
      <c r="Y263" s="30" t="n">
        <v>33416778</v>
      </c>
      <c r="Z263" s="30" t="n">
        <v>495904985520</v>
      </c>
      <c r="AA263" s="30" t="n">
        <v>14245019880</v>
      </c>
      <c r="AB263" s="30" t="n">
        <v>31549960142.5</v>
      </c>
      <c r="AC263" s="35" t="n">
        <v>0.02872530080548161</v>
      </c>
      <c r="AD263" s="24" t="inlineStr">
        <is>
          <t>yfinance_download</t>
        </is>
      </c>
      <c r="AE263" s="24" t="inlineStr">
        <is>
          <t>059090.KQ</t>
        </is>
      </c>
    </row>
    <row r="264" ht="24" customHeight="1">
      <c r="A264" s="29" t="inlineStr">
        <is>
          <t>2024-07-04</t>
        </is>
      </c>
      <c r="B264" s="31" t="n">
        <v>14940</v>
      </c>
      <c r="C264" s="31" t="n">
        <v>15610</v>
      </c>
      <c r="D264" s="31" t="n">
        <v>14820</v>
      </c>
      <c r="E264" s="31" t="n">
        <v>15350</v>
      </c>
      <c r="F264" s="31" t="n">
        <v>15350</v>
      </c>
      <c r="G264" s="31" t="n">
        <v>803678</v>
      </c>
      <c r="H264" s="36" t="n">
        <v>0.03436657681940702</v>
      </c>
      <c r="I264" s="36" t="n">
        <v>-0.1908276225619399</v>
      </c>
      <c r="J264" s="31" t="n">
        <v>17176.5</v>
      </c>
      <c r="K264" s="31" t="n">
        <v>14416.83333333333</v>
      </c>
      <c r="L264" s="31" t="n">
        <v>12276.16666666667</v>
      </c>
      <c r="M264" s="36" t="n">
        <v>0.6595563255805974</v>
      </c>
      <c r="N264" s="36" t="n">
        <v>0.8846667524629397</v>
      </c>
      <c r="O264" s="36" t="n">
        <v>-0.01095360824742264</v>
      </c>
      <c r="P264" s="36" t="n">
        <v>0.2389023405972559</v>
      </c>
      <c r="Q264" s="36" t="n">
        <v>0.6757641921397379</v>
      </c>
      <c r="R264" s="36" t="n">
        <v>-0.106337146682968</v>
      </c>
      <c r="S264" s="36" t="n">
        <v>0.0647275754037524</v>
      </c>
      <c r="T264" s="36" t="n">
        <v>0.2503903227120301</v>
      </c>
      <c r="U264" s="31" t="n">
        <v>18970</v>
      </c>
      <c r="V264" s="31" t="n">
        <v>7900</v>
      </c>
      <c r="W264" s="36" t="n">
        <v>-0.1908276225619399</v>
      </c>
      <c r="X264" s="36" t="n">
        <v>0.9430379746835442</v>
      </c>
      <c r="Y264" s="31" t="n">
        <v>33416778</v>
      </c>
      <c r="Z264" s="31" t="n">
        <v>512947542300</v>
      </c>
      <c r="AA264" s="31" t="n">
        <v>12336457300</v>
      </c>
      <c r="AB264" s="31" t="n">
        <v>31642525167.5</v>
      </c>
      <c r="AC264" s="36" t="n">
        <v>0.02405013433670954</v>
      </c>
      <c r="AD264" s="29" t="inlineStr">
        <is>
          <t>yfinance_download</t>
        </is>
      </c>
      <c r="AE264" s="29" t="inlineStr">
        <is>
          <t>059090.KQ</t>
        </is>
      </c>
    </row>
    <row r="265" ht="24" customHeight="1">
      <c r="A265" s="24" t="inlineStr">
        <is>
          <t>2024-07-05</t>
        </is>
      </c>
      <c r="B265" s="30" t="n">
        <v>15350</v>
      </c>
      <c r="C265" s="30" t="n">
        <v>15360</v>
      </c>
      <c r="D265" s="30" t="n">
        <v>14650</v>
      </c>
      <c r="E265" s="30" t="n">
        <v>14960</v>
      </c>
      <c r="F265" s="30" t="n">
        <v>14960</v>
      </c>
      <c r="G265" s="30" t="n">
        <v>651559</v>
      </c>
      <c r="H265" s="35" t="n">
        <v>-0.02540716612377847</v>
      </c>
      <c r="I265" s="35" t="n">
        <v>-0.2113863995782815</v>
      </c>
      <c r="J265" s="30" t="n">
        <v>17139</v>
      </c>
      <c r="K265" s="30" t="n">
        <v>14463.16666666667</v>
      </c>
      <c r="L265" s="30" t="n">
        <v>12324.66666666667</v>
      </c>
      <c r="M265" s="35" t="n">
        <v>0.6640080185167123</v>
      </c>
      <c r="N265" s="35" t="n">
        <v>0.8857318909714523</v>
      </c>
      <c r="O265" s="35" t="n">
        <v>-0.04774029280712921</v>
      </c>
      <c r="P265" s="35" t="n">
        <v>0.2282430213464697</v>
      </c>
      <c r="Q265" s="35" t="n">
        <v>0.636761487964989</v>
      </c>
      <c r="R265" s="35" t="n">
        <v>-0.1271369391446409</v>
      </c>
      <c r="S265" s="35" t="n">
        <v>0.03435162885029786</v>
      </c>
      <c r="T265" s="35" t="n">
        <v>0.2138259317358144</v>
      </c>
      <c r="U265" s="30" t="n">
        <v>18970</v>
      </c>
      <c r="V265" s="30" t="n">
        <v>7900</v>
      </c>
      <c r="W265" s="35" t="n">
        <v>-0.2113863995782815</v>
      </c>
      <c r="X265" s="35" t="n">
        <v>0.8936708860759495</v>
      </c>
      <c r="Y265" s="30" t="n">
        <v>33416778</v>
      </c>
      <c r="Z265" s="30" t="n">
        <v>499914998880</v>
      </c>
      <c r="AA265" s="30" t="n">
        <v>9747322640</v>
      </c>
      <c r="AB265" s="30" t="n">
        <v>30742605610.5</v>
      </c>
      <c r="AC265" s="35" t="n">
        <v>0.0194979599768715</v>
      </c>
      <c r="AD265" s="24" t="inlineStr">
        <is>
          <t>yfinance_download</t>
        </is>
      </c>
      <c r="AE265" s="24" t="inlineStr">
        <is>
          <t>059090.KQ</t>
        </is>
      </c>
    </row>
    <row r="266" ht="24" customHeight="1">
      <c r="A266" s="29" t="inlineStr">
        <is>
          <t>2024-07-08</t>
        </is>
      </c>
      <c r="B266" s="31" t="n">
        <v>15110</v>
      </c>
      <c r="C266" s="31" t="n">
        <v>16150</v>
      </c>
      <c r="D266" s="31" t="n">
        <v>15110</v>
      </c>
      <c r="E266" s="31" t="n">
        <v>15810</v>
      </c>
      <c r="F266" s="31" t="n">
        <v>15810</v>
      </c>
      <c r="G266" s="31" t="n">
        <v>802075</v>
      </c>
      <c r="H266" s="36" t="n">
        <v>0.05681818181818188</v>
      </c>
      <c r="I266" s="36" t="n">
        <v>-0.1665788086452293</v>
      </c>
      <c r="J266" s="31" t="n">
        <v>17072.5</v>
      </c>
      <c r="K266" s="31" t="n">
        <v>14536.66666666667</v>
      </c>
      <c r="L266" s="31" t="n">
        <v>12382.91666666667</v>
      </c>
      <c r="M266" s="36" t="n">
        <v>0.6095757317820625</v>
      </c>
      <c r="N266" s="36" t="n">
        <v>0.8801963427845109</v>
      </c>
      <c r="O266" s="36" t="n">
        <v>-0.07759626604434078</v>
      </c>
      <c r="P266" s="36" t="n">
        <v>0.3868421052631579</v>
      </c>
      <c r="Q266" s="36" t="n">
        <v>0.7925170068027212</v>
      </c>
      <c r="R266" s="36" t="n">
        <v>-0.07394933372382484</v>
      </c>
      <c r="S266" s="36" t="n">
        <v>0.08759458839715673</v>
      </c>
      <c r="T266" s="36" t="n">
        <v>0.276758975739426</v>
      </c>
      <c r="U266" s="31" t="n">
        <v>18970</v>
      </c>
      <c r="V266" s="31" t="n">
        <v>7900</v>
      </c>
      <c r="W266" s="36" t="n">
        <v>-0.1665788086452293</v>
      </c>
      <c r="X266" s="36" t="n">
        <v>1.00126582278481</v>
      </c>
      <c r="Y266" s="31" t="n">
        <v>33416778</v>
      </c>
      <c r="Z266" s="31" t="n">
        <v>528319260180</v>
      </c>
      <c r="AA266" s="31" t="n">
        <v>12680805750</v>
      </c>
      <c r="AB266" s="31" t="n">
        <v>29386682471</v>
      </c>
      <c r="AC266" s="36" t="n">
        <v>0.02400216442171654</v>
      </c>
      <c r="AD266" s="29" t="inlineStr">
        <is>
          <t>yfinance_download</t>
        </is>
      </c>
      <c r="AE266" s="29" t="inlineStr">
        <is>
          <t>059090.KQ</t>
        </is>
      </c>
    </row>
    <row r="267" ht="24" customHeight="1">
      <c r="A267" s="24" t="inlineStr">
        <is>
          <t>2024-07-09</t>
        </is>
      </c>
      <c r="B267" s="30" t="n">
        <v>15810</v>
      </c>
      <c r="C267" s="30" t="n">
        <v>15960</v>
      </c>
      <c r="D267" s="30" t="n">
        <v>15370</v>
      </c>
      <c r="E267" s="30" t="n">
        <v>15370</v>
      </c>
      <c r="F267" s="30" t="n">
        <v>15370</v>
      </c>
      <c r="G267" s="30" t="n">
        <v>376549</v>
      </c>
      <c r="H267" s="35" t="n">
        <v>-0.02783048703352309</v>
      </c>
      <c r="I267" s="35" t="n">
        <v>-0.1897733263046916</v>
      </c>
      <c r="J267" s="30" t="n">
        <v>16981.5</v>
      </c>
      <c r="K267" s="30" t="n">
        <v>14606.5</v>
      </c>
      <c r="L267" s="30" t="n">
        <v>12436.33333333333</v>
      </c>
      <c r="M267" s="35" t="n">
        <v>0.615139051217495</v>
      </c>
      <c r="N267" s="35" t="n">
        <v>0.8814523720936399</v>
      </c>
      <c r="O267" s="35" t="n">
        <v>-0.1058755090168703</v>
      </c>
      <c r="P267" s="35" t="n">
        <v>0.3747763864042934</v>
      </c>
      <c r="Q267" s="35" t="n">
        <v>0.7154017857142858</v>
      </c>
      <c r="R267" s="35" t="n">
        <v>-0.0948973883343639</v>
      </c>
      <c r="S267" s="35" t="n">
        <v>0.05227124910142744</v>
      </c>
      <c r="T267" s="35" t="n">
        <v>0.2358948243051273</v>
      </c>
      <c r="U267" s="30" t="n">
        <v>18970</v>
      </c>
      <c r="V267" s="30" t="n">
        <v>7900</v>
      </c>
      <c r="W267" s="35" t="n">
        <v>-0.1897733263046916</v>
      </c>
      <c r="X267" s="35" t="n">
        <v>0.9455696202531645</v>
      </c>
      <c r="Y267" s="30" t="n">
        <v>33416778</v>
      </c>
      <c r="Z267" s="30" t="n">
        <v>513615877860</v>
      </c>
      <c r="AA267" s="30" t="n">
        <v>5787558130</v>
      </c>
      <c r="AB267" s="30" t="n">
        <v>28455201652</v>
      </c>
      <c r="AC267" s="35" t="n">
        <v>0.01126826170973156</v>
      </c>
      <c r="AD267" s="24" t="inlineStr">
        <is>
          <t>yfinance_download</t>
        </is>
      </c>
      <c r="AE267" s="24" t="inlineStr">
        <is>
          <t>059090.KQ</t>
        </is>
      </c>
    </row>
    <row r="268" ht="24" customHeight="1">
      <c r="A268" s="29" t="inlineStr">
        <is>
          <t>2024-07-10</t>
        </is>
      </c>
      <c r="B268" s="31" t="n">
        <v>15410</v>
      </c>
      <c r="C268" s="31" t="n">
        <v>15540</v>
      </c>
      <c r="D268" s="31" t="n">
        <v>14910</v>
      </c>
      <c r="E268" s="31" t="n">
        <v>14940</v>
      </c>
      <c r="F268" s="31" t="n">
        <v>14940</v>
      </c>
      <c r="G268" s="31" t="n">
        <v>366366</v>
      </c>
      <c r="H268" s="36" t="n">
        <v>-0.02797657774886142</v>
      </c>
      <c r="I268" s="36" t="n">
        <v>-0.2124406958355298</v>
      </c>
      <c r="J268" s="31" t="n">
        <v>16856.5</v>
      </c>
      <c r="K268" s="31" t="n">
        <v>14668.83333333333</v>
      </c>
      <c r="L268" s="31" t="n">
        <v>12488.33333333333</v>
      </c>
      <c r="M268" s="36" t="n">
        <v>0.615855547758847</v>
      </c>
      <c r="N268" s="36" t="n">
        <v>0.8842702955429239</v>
      </c>
      <c r="O268" s="36" t="n">
        <v>-0.143348623853211</v>
      </c>
      <c r="P268" s="36" t="n">
        <v>0.3339285714285714</v>
      </c>
      <c r="Q268" s="36" t="n">
        <v>0.7172413793103449</v>
      </c>
      <c r="R268" s="36" t="n">
        <v>-0.1136950137928989</v>
      </c>
      <c r="S268" s="36" t="n">
        <v>0.0184859054912343</v>
      </c>
      <c r="T268" s="36" t="n">
        <v>0.1963165621246497</v>
      </c>
      <c r="U268" s="31" t="n">
        <v>18970</v>
      </c>
      <c r="V268" s="31" t="n">
        <v>7900</v>
      </c>
      <c r="W268" s="36" t="n">
        <v>-0.2124406958355298</v>
      </c>
      <c r="X268" s="36" t="n">
        <v>0.8911392405063292</v>
      </c>
      <c r="Y268" s="31" t="n">
        <v>33416778</v>
      </c>
      <c r="Z268" s="31" t="n">
        <v>499246663320</v>
      </c>
      <c r="AA268" s="31" t="n">
        <v>5473508040</v>
      </c>
      <c r="AB268" s="31" t="n">
        <v>27853602694</v>
      </c>
      <c r="AC268" s="36" t="n">
        <v>0.01096353454543104</v>
      </c>
      <c r="AD268" s="29" t="inlineStr">
        <is>
          <t>yfinance_download</t>
        </is>
      </c>
      <c r="AE268" s="29" t="inlineStr">
        <is>
          <t>059090.KQ</t>
        </is>
      </c>
    </row>
    <row r="269" ht="24" customHeight="1">
      <c r="A269" s="24" t="inlineStr">
        <is>
          <t>2024-07-11</t>
        </is>
      </c>
      <c r="B269" s="30" t="n">
        <v>15050</v>
      </c>
      <c r="C269" s="30" t="n">
        <v>15330</v>
      </c>
      <c r="D269" s="30" t="n">
        <v>14730</v>
      </c>
      <c r="E269" s="30" t="n">
        <v>15030</v>
      </c>
      <c r="F269" s="30" t="n">
        <v>15030</v>
      </c>
      <c r="G269" s="30" t="n">
        <v>360569</v>
      </c>
      <c r="H269" s="35" t="n">
        <v>0.006024096385542244</v>
      </c>
      <c r="I269" s="35" t="n">
        <v>-0.2076963626779125</v>
      </c>
      <c r="J269" s="30" t="n">
        <v>16760.5</v>
      </c>
      <c r="K269" s="30" t="n">
        <v>14732.83333333333</v>
      </c>
      <c r="L269" s="30" t="n">
        <v>12541.66666666667</v>
      </c>
      <c r="M269" s="35" t="n">
        <v>0.6122506120473937</v>
      </c>
      <c r="N269" s="35" t="n">
        <v>0.8841460424971256</v>
      </c>
      <c r="O269" s="35" t="n">
        <v>-0.1132743362831858</v>
      </c>
      <c r="P269" s="35" t="n">
        <v>0.3431635388739946</v>
      </c>
      <c r="Q269" s="35" t="n">
        <v>0.7415990730011588</v>
      </c>
      <c r="R269" s="35" t="n">
        <v>-0.1032487097640286</v>
      </c>
      <c r="S269" s="35" t="n">
        <v>0.0201703677726619</v>
      </c>
      <c r="T269" s="35" t="n">
        <v>0.1984053156146179</v>
      </c>
      <c r="U269" s="30" t="n">
        <v>18970</v>
      </c>
      <c r="V269" s="30" t="n">
        <v>7900</v>
      </c>
      <c r="W269" s="35" t="n">
        <v>-0.2076963626779125</v>
      </c>
      <c r="X269" s="35" t="n">
        <v>0.9025316455696202</v>
      </c>
      <c r="Y269" s="30" t="n">
        <v>33416778</v>
      </c>
      <c r="Z269" s="30" t="n">
        <v>502254173340</v>
      </c>
      <c r="AA269" s="30" t="n">
        <v>5419352070</v>
      </c>
      <c r="AB269" s="30" t="n">
        <v>26830696285</v>
      </c>
      <c r="AC269" s="35" t="n">
        <v>0.01079005881416814</v>
      </c>
      <c r="AD269" s="24" t="inlineStr">
        <is>
          <t>yfinance_download</t>
        </is>
      </c>
      <c r="AE269" s="24" t="inlineStr">
        <is>
          <t>059090.KQ</t>
        </is>
      </c>
    </row>
    <row r="270" ht="24" customHeight="1">
      <c r="A270" s="29" t="inlineStr">
        <is>
          <t>2024-07-12</t>
        </is>
      </c>
      <c r="B270" s="31" t="n">
        <v>14790</v>
      </c>
      <c r="C270" s="31" t="n">
        <v>14860</v>
      </c>
      <c r="D270" s="31" t="n">
        <v>13750</v>
      </c>
      <c r="E270" s="31" t="n">
        <v>13760</v>
      </c>
      <c r="F270" s="31" t="n">
        <v>13760</v>
      </c>
      <c r="G270" s="31" t="n">
        <v>1153694</v>
      </c>
      <c r="H270" s="36" t="n">
        <v>-0.08449767132401864</v>
      </c>
      <c r="I270" s="36" t="n">
        <v>-0.2746441750131787</v>
      </c>
      <c r="J270" s="31" t="n">
        <v>16603.5</v>
      </c>
      <c r="K270" s="31" t="n">
        <v>14774</v>
      </c>
      <c r="L270" s="31" t="n">
        <v>12584.41666666667</v>
      </c>
      <c r="M270" s="36" t="n">
        <v>0.6734803673254613</v>
      </c>
      <c r="N270" s="36" t="n">
        <v>0.9034983159627373</v>
      </c>
      <c r="O270" s="36" t="n">
        <v>-0.1857988165680473</v>
      </c>
      <c r="P270" s="36" t="n">
        <v>0.2187776793622676</v>
      </c>
      <c r="Q270" s="36" t="n">
        <v>0.5944380069524913</v>
      </c>
      <c r="R270" s="36" t="n">
        <v>-0.1712590718824344</v>
      </c>
      <c r="S270" s="36" t="n">
        <v>-0.06863408690943551</v>
      </c>
      <c r="T270" s="36" t="n">
        <v>0.09341579863985228</v>
      </c>
      <c r="U270" s="31" t="n">
        <v>18970</v>
      </c>
      <c r="V270" s="31" t="n">
        <v>7900</v>
      </c>
      <c r="W270" s="36" t="n">
        <v>-0.2746441750131787</v>
      </c>
      <c r="X270" s="36" t="n">
        <v>0.7417721518987341</v>
      </c>
      <c r="Y270" s="31" t="n">
        <v>33416778</v>
      </c>
      <c r="Z270" s="31" t="n">
        <v>459814865280</v>
      </c>
      <c r="AA270" s="31" t="n">
        <v>15874829440</v>
      </c>
      <c r="AB270" s="31" t="n">
        <v>26906536742</v>
      </c>
      <c r="AC270" s="36" t="n">
        <v>0.03452439370426437</v>
      </c>
      <c r="AD270" s="29" t="inlineStr">
        <is>
          <t>yfinance_download</t>
        </is>
      </c>
      <c r="AE270" s="29" t="inlineStr">
        <is>
          <t>059090.KQ</t>
        </is>
      </c>
    </row>
    <row r="271" ht="24" customHeight="1">
      <c r="A271" s="24" t="inlineStr">
        <is>
          <t>2024-07-15</t>
        </is>
      </c>
      <c r="B271" s="30" t="n">
        <v>13950</v>
      </c>
      <c r="C271" s="30" t="n">
        <v>13950</v>
      </c>
      <c r="D271" s="30" t="n">
        <v>13540</v>
      </c>
      <c r="E271" s="30" t="n">
        <v>13860</v>
      </c>
      <c r="F271" s="30" t="n">
        <v>13860</v>
      </c>
      <c r="G271" s="30" t="n">
        <v>487066</v>
      </c>
      <c r="H271" s="35" t="n">
        <v>0.007267441860465018</v>
      </c>
      <c r="I271" s="35" t="n">
        <v>-0.2693726937269373</v>
      </c>
      <c r="J271" s="30" t="n">
        <v>16456</v>
      </c>
      <c r="K271" s="30" t="n">
        <v>14828.66666666667</v>
      </c>
      <c r="L271" s="30" t="n">
        <v>12630.75</v>
      </c>
      <c r="M271" s="35" t="n">
        <v>0.6759620130361869</v>
      </c>
      <c r="N271" s="35" t="n">
        <v>0.8924265269887139</v>
      </c>
      <c r="O271" s="35" t="n">
        <v>-0.1754907792980369</v>
      </c>
      <c r="P271" s="35" t="n">
        <v>0.3100189035916825</v>
      </c>
      <c r="Q271" s="35" t="n">
        <v>0.6698795180722892</v>
      </c>
      <c r="R271" s="35" t="n">
        <v>-0.1577540106951871</v>
      </c>
      <c r="S271" s="35" t="n">
        <v>-0.0653239221328058</v>
      </c>
      <c r="T271" s="35" t="n">
        <v>0.09732201175702149</v>
      </c>
      <c r="U271" s="30" t="n">
        <v>18970</v>
      </c>
      <c r="V271" s="30" t="n">
        <v>7900</v>
      </c>
      <c r="W271" s="35" t="n">
        <v>-0.2693726937269373</v>
      </c>
      <c r="X271" s="35" t="n">
        <v>0.7544303797468355</v>
      </c>
      <c r="Y271" s="30" t="n">
        <v>33416778</v>
      </c>
      <c r="Z271" s="30" t="n">
        <v>463156543080</v>
      </c>
      <c r="AA271" s="30" t="n">
        <v>6750734760</v>
      </c>
      <c r="AB271" s="30" t="n">
        <v>20422341821</v>
      </c>
      <c r="AC271" s="35" t="n">
        <v>0.01457549258638879</v>
      </c>
      <c r="AD271" s="24" t="inlineStr">
        <is>
          <t>yfinance_download</t>
        </is>
      </c>
      <c r="AE271" s="24" t="inlineStr">
        <is>
          <t>059090.KQ</t>
        </is>
      </c>
    </row>
    <row r="272" ht="24" customHeight="1">
      <c r="A272" s="29" t="inlineStr">
        <is>
          <t>2024-07-16</t>
        </is>
      </c>
      <c r="B272" s="31" t="n">
        <v>13800</v>
      </c>
      <c r="C272" s="31" t="n">
        <v>14110</v>
      </c>
      <c r="D272" s="31" t="n">
        <v>13670</v>
      </c>
      <c r="E272" s="31" t="n">
        <v>14110</v>
      </c>
      <c r="F272" s="31" t="n">
        <v>14110</v>
      </c>
      <c r="G272" s="31" t="n">
        <v>363913</v>
      </c>
      <c r="H272" s="36" t="n">
        <v>0.01803751803751807</v>
      </c>
      <c r="I272" s="36" t="n">
        <v>-0.2561939905113337</v>
      </c>
      <c r="J272" s="31" t="n">
        <v>16253.5</v>
      </c>
      <c r="K272" s="31" t="n">
        <v>14882.16666666667</v>
      </c>
      <c r="L272" s="31" t="n">
        <v>12679.08333333333</v>
      </c>
      <c r="M272" s="36" t="n">
        <v>0.5989075863016097</v>
      </c>
      <c r="N272" s="36" t="n">
        <v>0.8913572582611493</v>
      </c>
      <c r="O272" s="36" t="n">
        <v>-0.2230176211453745</v>
      </c>
      <c r="P272" s="36" t="n">
        <v>0.2944954128440367</v>
      </c>
      <c r="Q272" s="36" t="n">
        <v>0.6979542719614922</v>
      </c>
      <c r="R272" s="36" t="n">
        <v>-0.1318792875380688</v>
      </c>
      <c r="S272" s="36" t="n">
        <v>-0.05188536615412176</v>
      </c>
      <c r="T272" s="36" t="n">
        <v>0.112856476217392</v>
      </c>
      <c r="U272" s="31" t="n">
        <v>18970</v>
      </c>
      <c r="V272" s="31" t="n">
        <v>7900</v>
      </c>
      <c r="W272" s="36" t="n">
        <v>-0.2561939905113337</v>
      </c>
      <c r="X272" s="36" t="n">
        <v>0.7860759493670886</v>
      </c>
      <c r="Y272" s="31" t="n">
        <v>33416778</v>
      </c>
      <c r="Z272" s="31" t="n">
        <v>471510737580</v>
      </c>
      <c r="AA272" s="31" t="n">
        <v>5134812430</v>
      </c>
      <c r="AB272" s="31" t="n">
        <v>17099908974.5</v>
      </c>
      <c r="AC272" s="36" t="n">
        <v>0.01089012830620594</v>
      </c>
      <c r="AD272" s="29" t="inlineStr">
        <is>
          <t>yfinance_download</t>
        </is>
      </c>
      <c r="AE272" s="29" t="inlineStr">
        <is>
          <t>059090.KQ</t>
        </is>
      </c>
    </row>
    <row r="273" ht="24" customHeight="1">
      <c r="A273" s="24" t="inlineStr">
        <is>
          <t>2024-07-17</t>
        </is>
      </c>
      <c r="B273" s="30" t="n">
        <v>14260</v>
      </c>
      <c r="C273" s="30" t="n">
        <v>14600</v>
      </c>
      <c r="D273" s="30" t="n">
        <v>13660</v>
      </c>
      <c r="E273" s="30" t="n">
        <v>13660</v>
      </c>
      <c r="F273" s="30" t="n">
        <v>13660</v>
      </c>
      <c r="G273" s="30" t="n">
        <v>465771</v>
      </c>
      <c r="H273" s="35" t="n">
        <v>-0.03189227498228209</v>
      </c>
      <c r="I273" s="35" t="n">
        <v>-0.2799156562994202</v>
      </c>
      <c r="J273" s="30" t="n">
        <v>16001.5</v>
      </c>
      <c r="K273" s="30" t="n">
        <v>14916.66666666667</v>
      </c>
      <c r="L273" s="30" t="n">
        <v>12719.66666666667</v>
      </c>
      <c r="M273" s="35" t="n">
        <v>0.5818570506079624</v>
      </c>
      <c r="N273" s="35" t="n">
        <v>0.8864409775873581</v>
      </c>
      <c r="O273" s="35" t="n">
        <v>-0.2695187165775401</v>
      </c>
      <c r="P273" s="35" t="n">
        <v>0.1786022433132011</v>
      </c>
      <c r="Q273" s="35" t="n">
        <v>0.5540386803185438</v>
      </c>
      <c r="R273" s="35" t="n">
        <v>-0.1463300315595413</v>
      </c>
      <c r="S273" s="35" t="n">
        <v>-0.08424581005586584</v>
      </c>
      <c r="T273" s="35" t="n">
        <v>0.07392751382373763</v>
      </c>
      <c r="U273" s="30" t="n">
        <v>18970</v>
      </c>
      <c r="V273" s="30" t="n">
        <v>7900</v>
      </c>
      <c r="W273" s="35" t="n">
        <v>-0.2799156562994202</v>
      </c>
      <c r="X273" s="35" t="n">
        <v>0.729113924050633</v>
      </c>
      <c r="Y273" s="30" t="n">
        <v>33416778</v>
      </c>
      <c r="Z273" s="30" t="n">
        <v>456473187480</v>
      </c>
      <c r="AA273" s="30" t="n">
        <v>6362431860</v>
      </c>
      <c r="AB273" s="30" t="n">
        <v>13663382857.5</v>
      </c>
      <c r="AC273" s="35" t="n">
        <v>0.01393823785165643</v>
      </c>
      <c r="AD273" s="24" t="inlineStr">
        <is>
          <t>yfinance_download</t>
        </is>
      </c>
      <c r="AE273" s="24" t="inlineStr">
        <is>
          <t>059090.KQ</t>
        </is>
      </c>
    </row>
    <row r="274" ht="24" customHeight="1">
      <c r="A274" s="29" t="inlineStr">
        <is>
          <t>2024-07-18</t>
        </is>
      </c>
      <c r="B274" s="31" t="n">
        <v>13190</v>
      </c>
      <c r="C274" s="31" t="n">
        <v>13950</v>
      </c>
      <c r="D274" s="31" t="n">
        <v>13060</v>
      </c>
      <c r="E274" s="31" t="n">
        <v>13900</v>
      </c>
      <c r="F274" s="31" t="n">
        <v>13900</v>
      </c>
      <c r="G274" s="31" t="n">
        <v>429236</v>
      </c>
      <c r="H274" s="36" t="n">
        <v>0.01756954612005845</v>
      </c>
      <c r="I274" s="36" t="n">
        <v>-0.2672641012124407</v>
      </c>
      <c r="J274" s="31" t="n">
        <v>15791.5</v>
      </c>
      <c r="K274" s="31" t="n">
        <v>14970.5</v>
      </c>
      <c r="L274" s="31" t="n">
        <v>12761.08333333333</v>
      </c>
      <c r="M274" s="36" t="n">
        <v>0.5890955273454899</v>
      </c>
      <c r="N274" s="36" t="n">
        <v>0.8695204513723962</v>
      </c>
      <c r="O274" s="36" t="n">
        <v>-0.2320441988950276</v>
      </c>
      <c r="P274" s="36" t="n">
        <v>0.302717900656045</v>
      </c>
      <c r="Q274" s="36" t="n">
        <v>0.5565509518477043</v>
      </c>
      <c r="R274" s="36" t="n">
        <v>-0.1197796282810373</v>
      </c>
      <c r="S274" s="36" t="n">
        <v>-0.07150729768544806</v>
      </c>
      <c r="T274" s="36" t="n">
        <v>0.08924921473490355</v>
      </c>
      <c r="U274" s="31" t="n">
        <v>18970</v>
      </c>
      <c r="V274" s="31" t="n">
        <v>7900</v>
      </c>
      <c r="W274" s="36" t="n">
        <v>-0.2672641012124407</v>
      </c>
      <c r="X274" s="36" t="n">
        <v>0.759493670886076</v>
      </c>
      <c r="Y274" s="31" t="n">
        <v>33416778</v>
      </c>
      <c r="Z274" s="31" t="n">
        <v>464493214200</v>
      </c>
      <c r="AA274" s="31" t="n">
        <v>5966380400</v>
      </c>
      <c r="AB274" s="31" t="n">
        <v>12964169247.5</v>
      </c>
      <c r="AC274" s="36" t="n">
        <v>0.01284492478598625</v>
      </c>
      <c r="AD274" s="29" t="inlineStr">
        <is>
          <t>yfinance_download</t>
        </is>
      </c>
      <c r="AE274" s="29" t="inlineStr">
        <is>
          <t>059090.KQ</t>
        </is>
      </c>
    </row>
    <row r="275" ht="24" customHeight="1">
      <c r="A275" s="24" t="inlineStr">
        <is>
          <t>2024-07-19</t>
        </is>
      </c>
      <c r="B275" s="30" t="n">
        <v>13820</v>
      </c>
      <c r="C275" s="30" t="n">
        <v>14150</v>
      </c>
      <c r="D275" s="30" t="n">
        <v>13680</v>
      </c>
      <c r="E275" s="30" t="n">
        <v>13830</v>
      </c>
      <c r="F275" s="30" t="n">
        <v>13830</v>
      </c>
      <c r="G275" s="30" t="n">
        <v>238323</v>
      </c>
      <c r="H275" s="35" t="n">
        <v>-0.005035971223021574</v>
      </c>
      <c r="I275" s="35" t="n">
        <v>-0.2709541381128097</v>
      </c>
      <c r="J275" s="30" t="n">
        <v>15534.5</v>
      </c>
      <c r="K275" s="30" t="n">
        <v>15031.5</v>
      </c>
      <c r="L275" s="30" t="n">
        <v>12801.16666666667</v>
      </c>
      <c r="M275" s="35" t="n">
        <v>0.5452684772699591</v>
      </c>
      <c r="N275" s="35" t="n">
        <v>0.8629052933180509</v>
      </c>
      <c r="O275" s="35" t="n">
        <v>-0.2709541381128097</v>
      </c>
      <c r="P275" s="35" t="n">
        <v>0.359882005899705</v>
      </c>
      <c r="Q275" s="35" t="n">
        <v>0.5332594235033259</v>
      </c>
      <c r="R275" s="35" t="n">
        <v>-0.1097235186198462</v>
      </c>
      <c r="S275" s="35" t="n">
        <v>-0.07993214250074843</v>
      </c>
      <c r="T275" s="35" t="n">
        <v>0.08037027875063485</v>
      </c>
      <c r="U275" s="30" t="n">
        <v>18970</v>
      </c>
      <c r="V275" s="30" t="n">
        <v>7900</v>
      </c>
      <c r="W275" s="35" t="n">
        <v>-0.2709541381128097</v>
      </c>
      <c r="X275" s="35" t="n">
        <v>0.7506329113924051</v>
      </c>
      <c r="Y275" s="30" t="n">
        <v>33416778</v>
      </c>
      <c r="Z275" s="30" t="n">
        <v>462154039740</v>
      </c>
      <c r="AA275" s="30" t="n">
        <v>3296007090</v>
      </c>
      <c r="AB275" s="30" t="n">
        <v>11262528375</v>
      </c>
      <c r="AC275" s="35" t="n">
        <v>0.007131836588195307</v>
      </c>
      <c r="AD275" s="24" t="inlineStr">
        <is>
          <t>yfinance_download</t>
        </is>
      </c>
      <c r="AE275" s="24" t="inlineStr">
        <is>
          <t>059090.KQ</t>
        </is>
      </c>
    </row>
    <row r="276" ht="24" customHeight="1">
      <c r="A276" s="29" t="inlineStr">
        <is>
          <t>2024-07-22</t>
        </is>
      </c>
      <c r="B276" s="31" t="n">
        <v>13740</v>
      </c>
      <c r="C276" s="31" t="n">
        <v>13800</v>
      </c>
      <c r="D276" s="31" t="n">
        <v>13080</v>
      </c>
      <c r="E276" s="31" t="n">
        <v>13190</v>
      </c>
      <c r="F276" s="31" t="n">
        <v>13190</v>
      </c>
      <c r="G276" s="31" t="n">
        <v>439053</v>
      </c>
      <c r="H276" s="36" t="n">
        <v>-0.0462762111352133</v>
      </c>
      <c r="I276" s="36" t="n">
        <v>-0.3046916183447549</v>
      </c>
      <c r="J276" s="31" t="n">
        <v>15245.5</v>
      </c>
      <c r="K276" s="31" t="n">
        <v>15088</v>
      </c>
      <c r="L276" s="31" t="n">
        <v>12835.83333333333</v>
      </c>
      <c r="M276" s="36" t="n">
        <v>0.5529524556991628</v>
      </c>
      <c r="N276" s="36" t="n">
        <v>0.8652394555934408</v>
      </c>
      <c r="O276" s="36" t="n">
        <v>-0.3046916183447549</v>
      </c>
      <c r="P276" s="36" t="n">
        <v>0.3459183673469388</v>
      </c>
      <c r="Q276" s="36" t="n">
        <v>0.460686600221484</v>
      </c>
      <c r="R276" s="36" t="n">
        <v>-0.1348266701649667</v>
      </c>
      <c r="S276" s="36" t="n">
        <v>-0.125795334040297</v>
      </c>
      <c r="T276" s="36" t="n">
        <v>0.0275920275271051</v>
      </c>
      <c r="U276" s="31" t="n">
        <v>18970</v>
      </c>
      <c r="V276" s="31" t="n">
        <v>7900</v>
      </c>
      <c r="W276" s="36" t="n">
        <v>-0.3046916183447549</v>
      </c>
      <c r="X276" s="36" t="n">
        <v>0.669620253164557</v>
      </c>
      <c r="Y276" s="31" t="n">
        <v>33416778</v>
      </c>
      <c r="Z276" s="31" t="n">
        <v>440767301820</v>
      </c>
      <c r="AA276" s="31" t="n">
        <v>5791109070</v>
      </c>
      <c r="AB276" s="31" t="n">
        <v>10698523936</v>
      </c>
      <c r="AC276" s="36" t="n">
        <v>0.0131386993683233</v>
      </c>
      <c r="AD276" s="29" t="inlineStr">
        <is>
          <t>yfinance_download</t>
        </is>
      </c>
      <c r="AE276" s="29" t="inlineStr">
        <is>
          <t>059090.KQ</t>
        </is>
      </c>
    </row>
    <row r="277" ht="24" customHeight="1">
      <c r="A277" s="24" t="inlineStr">
        <is>
          <t>2024-07-23</t>
        </is>
      </c>
      <c r="B277" s="30" t="n">
        <v>13350</v>
      </c>
      <c r="C277" s="30" t="n">
        <v>13440</v>
      </c>
      <c r="D277" s="30" t="n">
        <v>12000</v>
      </c>
      <c r="E277" s="30" t="n">
        <v>12540</v>
      </c>
      <c r="F277" s="30" t="n">
        <v>12540</v>
      </c>
      <c r="G277" s="30" t="n">
        <v>1513520</v>
      </c>
      <c r="H277" s="35" t="n">
        <v>-0.04927975739196366</v>
      </c>
      <c r="I277" s="35" t="n">
        <v>-0.3389562467053242</v>
      </c>
      <c r="J277" s="30" t="n">
        <v>14945</v>
      </c>
      <c r="K277" s="30" t="n">
        <v>15127.83333333333</v>
      </c>
      <c r="L277" s="30" t="n">
        <v>12864</v>
      </c>
      <c r="M277" s="35" t="n">
        <v>0.5643002567612576</v>
      </c>
      <c r="N277" s="35" t="n">
        <v>0.8704208578736901</v>
      </c>
      <c r="O277" s="35" t="n">
        <v>-0.323989218328841</v>
      </c>
      <c r="P277" s="35" t="n">
        <v>0.2354679802955666</v>
      </c>
      <c r="Q277" s="35" t="n">
        <v>0.3689956331877728</v>
      </c>
      <c r="R277" s="35" t="n">
        <v>-0.1609233857477417</v>
      </c>
      <c r="S277" s="35" t="n">
        <v>-0.1710643736159618</v>
      </c>
      <c r="T277" s="35" t="n">
        <v>-0.02518656716417911</v>
      </c>
      <c r="U277" s="30" t="n">
        <v>18970</v>
      </c>
      <c r="V277" s="30" t="n">
        <v>7900</v>
      </c>
      <c r="W277" s="35" t="n">
        <v>-0.3389562467053242</v>
      </c>
      <c r="X277" s="35" t="n">
        <v>0.5873417721518988</v>
      </c>
      <c r="Y277" s="30" t="n">
        <v>33416778</v>
      </c>
      <c r="Z277" s="30" t="n">
        <v>419046396120</v>
      </c>
      <c r="AA277" s="30" t="n">
        <v>18979540800</v>
      </c>
      <c r="AB277" s="30" t="n">
        <v>10583668678.5</v>
      </c>
      <c r="AC277" s="35" t="n">
        <v>0.04529221817854492</v>
      </c>
      <c r="AD277" s="24" t="inlineStr">
        <is>
          <t>yfinance_download</t>
        </is>
      </c>
      <c r="AE277" s="24" t="inlineStr">
        <is>
          <t>059090.KQ</t>
        </is>
      </c>
    </row>
    <row r="278" ht="24" customHeight="1">
      <c r="A278" s="29" t="inlineStr">
        <is>
          <t>2024-07-24</t>
        </is>
      </c>
      <c r="B278" s="31" t="n">
        <v>12760</v>
      </c>
      <c r="C278" s="31" t="n">
        <v>13140</v>
      </c>
      <c r="D278" s="31" t="n">
        <v>12550</v>
      </c>
      <c r="E278" s="31" t="n">
        <v>12750</v>
      </c>
      <c r="F278" s="31" t="n">
        <v>12750</v>
      </c>
      <c r="G278" s="31" t="n">
        <v>664529</v>
      </c>
      <c r="H278" s="36" t="n">
        <v>0.01674641148325362</v>
      </c>
      <c r="I278" s="36" t="n">
        <v>-0.3278861360042172</v>
      </c>
      <c r="J278" s="31" t="n">
        <v>14688.5</v>
      </c>
      <c r="K278" s="31" t="n">
        <v>15172.5</v>
      </c>
      <c r="L278" s="31" t="n">
        <v>12893.5</v>
      </c>
      <c r="M278" s="36" t="n">
        <v>0.5738731871582931</v>
      </c>
      <c r="N278" s="36" t="n">
        <v>0.8703400898290845</v>
      </c>
      <c r="O278" s="36" t="n">
        <v>-0.2869127516778524</v>
      </c>
      <c r="P278" s="36" t="n">
        <v>0.266137040714995</v>
      </c>
      <c r="Q278" s="36" t="n">
        <v>0.3843648208469055</v>
      </c>
      <c r="R278" s="36" t="n">
        <v>-0.1319739932600333</v>
      </c>
      <c r="S278" s="36" t="n">
        <v>-0.1596638655462185</v>
      </c>
      <c r="T278" s="36" t="n">
        <v>-0.01112963896537011</v>
      </c>
      <c r="U278" s="31" t="n">
        <v>18970</v>
      </c>
      <c r="V278" s="31" t="n">
        <v>7900</v>
      </c>
      <c r="W278" s="36" t="n">
        <v>-0.3278861360042172</v>
      </c>
      <c r="X278" s="36" t="n">
        <v>0.6139240506329113</v>
      </c>
      <c r="Y278" s="31" t="n">
        <v>33416778</v>
      </c>
      <c r="Z278" s="31" t="n">
        <v>426063919500</v>
      </c>
      <c r="AA278" s="31" t="n">
        <v>8472744750</v>
      </c>
      <c r="AB278" s="31" t="n">
        <v>10325315334</v>
      </c>
      <c r="AC278" s="36" t="n">
        <v>0.01988608835956596</v>
      </c>
      <c r="AD278" s="29" t="inlineStr">
        <is>
          <t>yfinance_download</t>
        </is>
      </c>
      <c r="AE278" s="29" t="inlineStr">
        <is>
          <t>059090.KQ</t>
        </is>
      </c>
    </row>
    <row r="279" ht="24" customHeight="1">
      <c r="A279" s="24" t="inlineStr">
        <is>
          <t>2024-07-25</t>
        </is>
      </c>
      <c r="B279" s="30" t="n">
        <v>12290</v>
      </c>
      <c r="C279" s="30" t="n">
        <v>12510</v>
      </c>
      <c r="D279" s="30" t="n">
        <v>12040</v>
      </c>
      <c r="E279" s="30" t="n">
        <v>12350</v>
      </c>
      <c r="F279" s="30" t="n">
        <v>12350</v>
      </c>
      <c r="G279" s="30" t="n">
        <v>548946</v>
      </c>
      <c r="H279" s="35" t="n">
        <v>-0.03137254901960784</v>
      </c>
      <c r="I279" s="35" t="n">
        <v>-0.3489720611491829</v>
      </c>
      <c r="J279" s="30" t="n">
        <v>14411.5</v>
      </c>
      <c r="K279" s="30" t="n">
        <v>15201.66666666667</v>
      </c>
      <c r="L279" s="30" t="n">
        <v>12921.33333333333</v>
      </c>
      <c r="M279" s="35" t="n">
        <v>0.5727459695163889</v>
      </c>
      <c r="N279" s="35" t="n">
        <v>0.8678532690837534</v>
      </c>
      <c r="O279" s="35" t="n">
        <v>-0.3096702068194522</v>
      </c>
      <c r="P279" s="35" t="n">
        <v>0.1650943396226414</v>
      </c>
      <c r="Q279" s="35" t="n">
        <v>0.3706992230854607</v>
      </c>
      <c r="R279" s="35" t="n">
        <v>-0.1430454845088991</v>
      </c>
      <c r="S279" s="35" t="n">
        <v>-0.187589080144721</v>
      </c>
      <c r="T279" s="35" t="n">
        <v>-0.04421628314931381</v>
      </c>
      <c r="U279" s="30" t="n">
        <v>18970</v>
      </c>
      <c r="V279" s="30" t="n">
        <v>7900</v>
      </c>
      <c r="W279" s="35" t="n">
        <v>-0.3489720611491829</v>
      </c>
      <c r="X279" s="35" t="n">
        <v>0.5632911392405062</v>
      </c>
      <c r="Y279" s="30" t="n">
        <v>33416778</v>
      </c>
      <c r="Z279" s="30" t="n">
        <v>412697208300</v>
      </c>
      <c r="AA279" s="30" t="n">
        <v>6779483100</v>
      </c>
      <c r="AB279" s="30" t="n">
        <v>10042824880</v>
      </c>
      <c r="AC279" s="35" t="n">
        <v>0.01642725699048544</v>
      </c>
      <c r="AD279" s="24" t="inlineStr">
        <is>
          <t>yfinance_download</t>
        </is>
      </c>
      <c r="AE279" s="24" t="inlineStr">
        <is>
          <t>059090.KQ</t>
        </is>
      </c>
    </row>
    <row r="280" ht="24" customHeight="1">
      <c r="A280" s="29" t="inlineStr">
        <is>
          <t>2024-07-26</t>
        </is>
      </c>
      <c r="B280" s="31" t="n">
        <v>12260</v>
      </c>
      <c r="C280" s="31" t="n">
        <v>12440</v>
      </c>
      <c r="D280" s="31" t="n">
        <v>12130</v>
      </c>
      <c r="E280" s="31" t="n">
        <v>12230</v>
      </c>
      <c r="F280" s="31" t="n">
        <v>12230</v>
      </c>
      <c r="G280" s="31" t="n">
        <v>264962</v>
      </c>
      <c r="H280" s="36" t="n">
        <v>-0.009716599190283448</v>
      </c>
      <c r="I280" s="36" t="n">
        <v>-0.3552978386926726</v>
      </c>
      <c r="J280" s="31" t="n">
        <v>14195.5</v>
      </c>
      <c r="K280" s="31" t="n">
        <v>15224.5</v>
      </c>
      <c r="L280" s="31" t="n">
        <v>12947.41666666667</v>
      </c>
      <c r="M280" s="36" t="n">
        <v>0.531714654163795</v>
      </c>
      <c r="N280" s="36" t="n">
        <v>0.8672150424447627</v>
      </c>
      <c r="O280" s="36" t="n">
        <v>-0.2610271903323262</v>
      </c>
      <c r="P280" s="36" t="n">
        <v>0.1261510128913443</v>
      </c>
      <c r="Q280" s="36" t="n">
        <v>0.3439560439560441</v>
      </c>
      <c r="R280" s="36" t="n">
        <v>-0.1384593709274066</v>
      </c>
      <c r="S280" s="36" t="n">
        <v>-0.1966895464547276</v>
      </c>
      <c r="T280" s="36" t="n">
        <v>-0.05541002387863725</v>
      </c>
      <c r="U280" s="31" t="n">
        <v>18970</v>
      </c>
      <c r="V280" s="31" t="n">
        <v>7900</v>
      </c>
      <c r="W280" s="36" t="n">
        <v>-0.3552978386926726</v>
      </c>
      <c r="X280" s="36" t="n">
        <v>0.5481012658227848</v>
      </c>
      <c r="Y280" s="31" t="n">
        <v>33416778</v>
      </c>
      <c r="Z280" s="31" t="n">
        <v>408687194940</v>
      </c>
      <c r="AA280" s="31" t="n">
        <v>3240485260</v>
      </c>
      <c r="AB280" s="31" t="n">
        <v>9326958530.5</v>
      </c>
      <c r="AC280" s="36" t="n">
        <v>0.007929010989629221</v>
      </c>
      <c r="AD280" s="29" t="inlineStr">
        <is>
          <t>yfinance_download</t>
        </is>
      </c>
      <c r="AE280" s="29" t="inlineStr">
        <is>
          <t>059090.KQ</t>
        </is>
      </c>
    </row>
    <row r="281" ht="24" customHeight="1">
      <c r="A281" s="24" t="inlineStr">
        <is>
          <t>2024-07-29</t>
        </is>
      </c>
      <c r="B281" s="30" t="n">
        <v>12230</v>
      </c>
      <c r="C281" s="30" t="n">
        <v>12390</v>
      </c>
      <c r="D281" s="30" t="n">
        <v>12100</v>
      </c>
      <c r="E281" s="30" t="n">
        <v>12320</v>
      </c>
      <c r="F281" s="30" t="n">
        <v>12320</v>
      </c>
      <c r="G281" s="30" t="n">
        <v>246547</v>
      </c>
      <c r="H281" s="35" t="n">
        <v>0.007358953393295176</v>
      </c>
      <c r="I281" s="35" t="n">
        <v>-0.3505535055350554</v>
      </c>
      <c r="J281" s="30" t="n">
        <v>14016.5</v>
      </c>
      <c r="K281" s="30" t="n">
        <v>15251.16666666667</v>
      </c>
      <c r="L281" s="30" t="n">
        <v>12975.16666666667</v>
      </c>
      <c r="M281" s="35" t="n">
        <v>0.5286204057074219</v>
      </c>
      <c r="N281" s="35" t="n">
        <v>0.8665894724640458</v>
      </c>
      <c r="O281" s="35" t="n">
        <v>-0.2251572327044025</v>
      </c>
      <c r="P281" s="35" t="n">
        <v>0.1492537313432836</v>
      </c>
      <c r="Q281" s="35" t="n">
        <v>0.3704115684093436</v>
      </c>
      <c r="R281" s="35" t="n">
        <v>-0.1210359219491314</v>
      </c>
      <c r="S281" s="35" t="n">
        <v>-0.1921929469876621</v>
      </c>
      <c r="T281" s="35" t="n">
        <v>-0.05049389217864886</v>
      </c>
      <c r="U281" s="30" t="n">
        <v>18970</v>
      </c>
      <c r="V281" s="30" t="n">
        <v>7900</v>
      </c>
      <c r="W281" s="35" t="n">
        <v>-0.3505535055350554</v>
      </c>
      <c r="X281" s="35" t="n">
        <v>0.559493670886076</v>
      </c>
      <c r="Y281" s="30" t="n">
        <v>33416778</v>
      </c>
      <c r="Z281" s="30" t="n">
        <v>411694704960</v>
      </c>
      <c r="AA281" s="30" t="n">
        <v>3037459040</v>
      </c>
      <c r="AB281" s="30" t="n">
        <v>8565396357.5</v>
      </c>
      <c r="AC281" s="35" t="n">
        <v>0.007377940506412677</v>
      </c>
      <c r="AD281" s="24" t="inlineStr">
        <is>
          <t>yfinance_download</t>
        </is>
      </c>
      <c r="AE281" s="24" t="inlineStr">
        <is>
          <t>059090.KQ</t>
        </is>
      </c>
    </row>
    <row r="282" ht="24" customHeight="1">
      <c r="A282" s="29" t="inlineStr">
        <is>
          <t>2024-07-30</t>
        </is>
      </c>
      <c r="B282" s="31" t="n">
        <v>12270</v>
      </c>
      <c r="C282" s="31" t="n">
        <v>12800</v>
      </c>
      <c r="D282" s="31" t="n">
        <v>11970</v>
      </c>
      <c r="E282" s="31" t="n">
        <v>12180</v>
      </c>
      <c r="F282" s="31" t="n">
        <v>12180</v>
      </c>
      <c r="G282" s="31" t="n">
        <v>528569</v>
      </c>
      <c r="H282" s="36" t="n">
        <v>-0.01136363636363635</v>
      </c>
      <c r="I282" s="36" t="n">
        <v>-0.3579335793357934</v>
      </c>
      <c r="J282" s="31" t="n">
        <v>13849</v>
      </c>
      <c r="K282" s="31" t="n">
        <v>15273.5</v>
      </c>
      <c r="L282" s="31" t="n">
        <v>13003.66666666667</v>
      </c>
      <c r="M282" s="36" t="n">
        <v>0.526982291861097</v>
      </c>
      <c r="N282" s="36" t="n">
        <v>0.8669862253387695</v>
      </c>
      <c r="O282" s="36" t="n">
        <v>-0.2157115260785576</v>
      </c>
      <c r="P282" s="36" t="n">
        <v>0.1236162361623616</v>
      </c>
      <c r="Q282" s="36" t="n">
        <v>0.3904109589041096</v>
      </c>
      <c r="R282" s="36" t="n">
        <v>-0.1205141165427107</v>
      </c>
      <c r="S282" s="36" t="n">
        <v>-0.2025403476609814</v>
      </c>
      <c r="T282" s="36" t="n">
        <v>-0.06334110891799749</v>
      </c>
      <c r="U282" s="31" t="n">
        <v>18970</v>
      </c>
      <c r="V282" s="31" t="n">
        <v>7900</v>
      </c>
      <c r="W282" s="36" t="n">
        <v>-0.3579335793357934</v>
      </c>
      <c r="X282" s="36" t="n">
        <v>0.5417721518987342</v>
      </c>
      <c r="Y282" s="31" t="n">
        <v>33416778</v>
      </c>
      <c r="Z282" s="31" t="n">
        <v>407016356040</v>
      </c>
      <c r="AA282" s="31" t="n">
        <v>6437970420</v>
      </c>
      <c r="AB282" s="31" t="n">
        <v>8090700611.5</v>
      </c>
      <c r="AC282" s="36" t="n">
        <v>0.01581747348592375</v>
      </c>
      <c r="AD282" s="29" t="inlineStr">
        <is>
          <t>yfinance_download</t>
        </is>
      </c>
      <c r="AE282" s="29" t="inlineStr">
        <is>
          <t>059090.KQ</t>
        </is>
      </c>
    </row>
    <row r="283" ht="24" customHeight="1">
      <c r="A283" s="24" t="inlineStr">
        <is>
          <t>2024-07-31</t>
        </is>
      </c>
      <c r="B283" s="30" t="n">
        <v>12010</v>
      </c>
      <c r="C283" s="30" t="n">
        <v>12480</v>
      </c>
      <c r="D283" s="30" t="n">
        <v>11780</v>
      </c>
      <c r="E283" s="30" t="n">
        <v>12410</v>
      </c>
      <c r="F283" s="30" t="n">
        <v>12410</v>
      </c>
      <c r="G283" s="30" t="n">
        <v>327478</v>
      </c>
      <c r="H283" s="35" t="n">
        <v>0.01888341543513961</v>
      </c>
      <c r="I283" s="35" t="n">
        <v>-0.345809172377438</v>
      </c>
      <c r="J283" s="30" t="n">
        <v>13727.5</v>
      </c>
      <c r="K283" s="30" t="n">
        <v>15307.33333333333</v>
      </c>
      <c r="L283" s="30" t="n">
        <v>13034</v>
      </c>
      <c r="M283" s="35" t="n">
        <v>0.5224827114462016</v>
      </c>
      <c r="N283" s="35" t="n">
        <v>0.8622658002528842</v>
      </c>
      <c r="O283" s="35" t="n">
        <v>-0.1637466307277629</v>
      </c>
      <c r="P283" s="35" t="n">
        <v>0.1955684007707128</v>
      </c>
      <c r="Q283" s="35" t="n">
        <v>0.4150513112884835</v>
      </c>
      <c r="R283" s="35" t="n">
        <v>-0.09597523219814241</v>
      </c>
      <c r="S283" s="35" t="n">
        <v>-0.1892774704934455</v>
      </c>
      <c r="T283" s="35" t="n">
        <v>-0.04787478901334974</v>
      </c>
      <c r="U283" s="30" t="n">
        <v>18970</v>
      </c>
      <c r="V283" s="30" t="n">
        <v>7900</v>
      </c>
      <c r="W283" s="35" t="n">
        <v>-0.345809172377438</v>
      </c>
      <c r="X283" s="35" t="n">
        <v>0.570886075949367</v>
      </c>
      <c r="Y283" s="30" t="n">
        <v>33416778</v>
      </c>
      <c r="Z283" s="30" t="n">
        <v>414702214980</v>
      </c>
      <c r="AA283" s="30" t="n">
        <v>4064001980</v>
      </c>
      <c r="AB283" s="30" t="n">
        <v>7581649716.5</v>
      </c>
      <c r="AC283" s="35" t="n">
        <v>0.009799807749268944</v>
      </c>
      <c r="AD283" s="24" t="inlineStr">
        <is>
          <t>yfinance_download</t>
        </is>
      </c>
      <c r="AE283" s="24" t="inlineStr">
        <is>
          <t>059090.KQ</t>
        </is>
      </c>
    </row>
    <row r="284" ht="24" customHeight="1">
      <c r="A284" s="29" t="inlineStr">
        <is>
          <t>2024-08-01</t>
        </is>
      </c>
      <c r="B284" s="31" t="n">
        <v>12750</v>
      </c>
      <c r="C284" s="31" t="n">
        <v>12840</v>
      </c>
      <c r="D284" s="31" t="n">
        <v>12220</v>
      </c>
      <c r="E284" s="31" t="n">
        <v>12280</v>
      </c>
      <c r="F284" s="31" t="n">
        <v>12280</v>
      </c>
      <c r="G284" s="31" t="n">
        <v>379740</v>
      </c>
      <c r="H284" s="36" t="n">
        <v>-0.01047542304593074</v>
      </c>
      <c r="I284" s="36" t="n">
        <v>-0.352662098049552</v>
      </c>
      <c r="J284" s="31" t="n">
        <v>13574</v>
      </c>
      <c r="K284" s="31" t="n">
        <v>15289.83333333333</v>
      </c>
      <c r="L284" s="31" t="n">
        <v>13064.5</v>
      </c>
      <c r="M284" s="36" t="n">
        <v>0.4974725644059697</v>
      </c>
      <c r="N284" s="36" t="n">
        <v>0.6353560333100146</v>
      </c>
      <c r="O284" s="36" t="n">
        <v>-0.2</v>
      </c>
      <c r="P284" s="36" t="n">
        <v>-0.07876969242310583</v>
      </c>
      <c r="Q284" s="36" t="n">
        <v>0.4245939675174013</v>
      </c>
      <c r="R284" s="36" t="n">
        <v>-0.09532930602622658</v>
      </c>
      <c r="S284" s="36" t="n">
        <v>-0.1968519386520455</v>
      </c>
      <c r="T284" s="36" t="n">
        <v>-0.06004822228175588</v>
      </c>
      <c r="U284" s="31" t="n">
        <v>18970</v>
      </c>
      <c r="V284" s="31" t="n">
        <v>7900</v>
      </c>
      <c r="W284" s="36" t="n">
        <v>-0.352662098049552</v>
      </c>
      <c r="X284" s="36" t="n">
        <v>0.5544303797468355</v>
      </c>
      <c r="Y284" s="31" t="n">
        <v>33416778</v>
      </c>
      <c r="Z284" s="31" t="n">
        <v>410358033840</v>
      </c>
      <c r="AA284" s="31" t="n">
        <v>4663207200</v>
      </c>
      <c r="AB284" s="31" t="n">
        <v>7197987211.5</v>
      </c>
      <c r="AC284" s="36" t="n">
        <v>0.01136375266340759</v>
      </c>
      <c r="AD284" s="29" t="inlineStr">
        <is>
          <t>yfinance_download</t>
        </is>
      </c>
      <c r="AE284" s="29" t="inlineStr">
        <is>
          <t>059090.KQ</t>
        </is>
      </c>
    </row>
    <row r="285" ht="24" customHeight="1">
      <c r="A285" s="24" t="inlineStr">
        <is>
          <t>2024-08-02</t>
        </is>
      </c>
      <c r="B285" s="30" t="n">
        <v>11800</v>
      </c>
      <c r="C285" s="30" t="n">
        <v>11930</v>
      </c>
      <c r="D285" s="30" t="n">
        <v>11040</v>
      </c>
      <c r="E285" s="30" t="n">
        <v>11070</v>
      </c>
      <c r="F285" s="30" t="n">
        <v>11070</v>
      </c>
      <c r="G285" s="30" t="n">
        <v>720320</v>
      </c>
      <c r="H285" s="35" t="n">
        <v>-0.09853420195439744</v>
      </c>
      <c r="I285" s="35" t="n">
        <v>-0.4164470216130732</v>
      </c>
      <c r="J285" s="30" t="n">
        <v>13379.5</v>
      </c>
      <c r="K285" s="30" t="n">
        <v>15252.66666666667</v>
      </c>
      <c r="L285" s="30" t="n">
        <v>13083.41666666667</v>
      </c>
      <c r="M285" s="35" t="n">
        <v>0.5861232299913048</v>
      </c>
      <c r="N285" s="35" t="n">
        <v>0.6663160840943269</v>
      </c>
      <c r="O285" s="35" t="n">
        <v>-0.2600267379679144</v>
      </c>
      <c r="P285" s="35" t="n">
        <v>-0.1676691729323309</v>
      </c>
      <c r="Q285" s="35" t="n">
        <v>0.2579545454545455</v>
      </c>
      <c r="R285" s="35" t="n">
        <v>-0.1726148211816585</v>
      </c>
      <c r="S285" s="35" t="n">
        <v>-0.2742252720835701</v>
      </c>
      <c r="T285" s="35" t="n">
        <v>-0.1538907395494296</v>
      </c>
      <c r="U285" s="30" t="n">
        <v>18970</v>
      </c>
      <c r="V285" s="30" t="n">
        <v>7900</v>
      </c>
      <c r="W285" s="35" t="n">
        <v>-0.4164470216130732</v>
      </c>
      <c r="X285" s="35" t="n">
        <v>0.40126582278481</v>
      </c>
      <c r="Y285" s="30" t="n">
        <v>33416778</v>
      </c>
      <c r="Z285" s="30" t="n">
        <v>369923732460</v>
      </c>
      <c r="AA285" s="30" t="n">
        <v>7973942400</v>
      </c>
      <c r="AB285" s="30" t="n">
        <v>7109318199.5</v>
      </c>
      <c r="AC285" s="35" t="n">
        <v>0.0215556389068988</v>
      </c>
      <c r="AD285" s="24" t="inlineStr">
        <is>
          <t>yfinance_download</t>
        </is>
      </c>
      <c r="AE285" s="24" t="inlineStr">
        <is>
          <t>059090.KQ</t>
        </is>
      </c>
    </row>
    <row r="286" ht="24" customHeight="1">
      <c r="A286" s="29" t="inlineStr">
        <is>
          <t>2024-08-05</t>
        </is>
      </c>
      <c r="B286" s="31" t="n">
        <v>10540</v>
      </c>
      <c r="C286" s="31" t="n">
        <v>10740</v>
      </c>
      <c r="D286" s="31" t="n">
        <v>8400</v>
      </c>
      <c r="E286" s="31" t="n">
        <v>9220</v>
      </c>
      <c r="F286" s="31" t="n">
        <v>9220</v>
      </c>
      <c r="G286" s="31" t="n">
        <v>1154697</v>
      </c>
      <c r="H286" s="36" t="n">
        <v>-0.1671183378500452</v>
      </c>
      <c r="I286" s="36" t="n">
        <v>-0.5139694254085398</v>
      </c>
      <c r="J286" s="31" t="n">
        <v>13050</v>
      </c>
      <c r="K286" s="31" t="n">
        <v>15195.83333333333</v>
      </c>
      <c r="L286" s="31" t="n">
        <v>13087.16666666667</v>
      </c>
      <c r="M286" s="36" t="n">
        <v>0.7436919165654645</v>
      </c>
      <c r="N286" s="36" t="n">
        <v>0.7411237325717812</v>
      </c>
      <c r="O286" s="36" t="n">
        <v>-0.4168247944339026</v>
      </c>
      <c r="P286" s="36" t="n">
        <v>-0.2699920823436263</v>
      </c>
      <c r="Q286" s="36" t="n">
        <v>0.05131128848346633</v>
      </c>
      <c r="R286" s="36" t="n">
        <v>-0.2934865900383141</v>
      </c>
      <c r="S286" s="36" t="n">
        <v>-0.3932547299149987</v>
      </c>
      <c r="T286" s="36" t="n">
        <v>-0.2954930402557212</v>
      </c>
      <c r="U286" s="31" t="n">
        <v>18970</v>
      </c>
      <c r="V286" s="31" t="n">
        <v>7900</v>
      </c>
      <c r="W286" s="36" t="n">
        <v>-0.5139694254085398</v>
      </c>
      <c r="X286" s="36" t="n">
        <v>0.1670886075949367</v>
      </c>
      <c r="Y286" s="31" t="n">
        <v>33416778</v>
      </c>
      <c r="Z286" s="31" t="n">
        <v>308102693160</v>
      </c>
      <c r="AA286" s="31" t="n">
        <v>10646306340</v>
      </c>
      <c r="AB286" s="31" t="n">
        <v>7007593229</v>
      </c>
      <c r="AC286" s="36" t="n">
        <v>0.03455440856685824</v>
      </c>
      <c r="AD286" s="29" t="inlineStr">
        <is>
          <t>yfinance_download</t>
        </is>
      </c>
      <c r="AE286" s="29" t="inlineStr">
        <is>
          <t>059090.KQ</t>
        </is>
      </c>
    </row>
    <row r="287" ht="24" customHeight="1">
      <c r="A287" s="24" t="inlineStr">
        <is>
          <t>2024-08-06</t>
        </is>
      </c>
      <c r="B287" s="30" t="n">
        <v>9320</v>
      </c>
      <c r="C287" s="30" t="n">
        <v>10000</v>
      </c>
      <c r="D287" s="30" t="n">
        <v>9320</v>
      </c>
      <c r="E287" s="30" t="n">
        <v>9810</v>
      </c>
      <c r="F287" s="30" t="n">
        <v>9810</v>
      </c>
      <c r="G287" s="30" t="n">
        <v>714135</v>
      </c>
      <c r="H287" s="35" t="n">
        <v>0.06399132321041212</v>
      </c>
      <c r="I287" s="35" t="n">
        <v>-0.4828676858197153</v>
      </c>
      <c r="J287" s="30" t="n">
        <v>12772</v>
      </c>
      <c r="K287" s="30" t="n">
        <v>15148.83333333333</v>
      </c>
      <c r="L287" s="30" t="n">
        <v>13093.58333333333</v>
      </c>
      <c r="M287" s="35" t="n">
        <v>0.80843797015286</v>
      </c>
      <c r="N287" s="35" t="n">
        <v>0.7541403850411319</v>
      </c>
      <c r="O287" s="35" t="n">
        <v>-0.3617436564736499</v>
      </c>
      <c r="P287" s="35" t="n">
        <v>-0.2232779097387173</v>
      </c>
      <c r="Q287" s="35" t="n">
        <v>0.08517699115044253</v>
      </c>
      <c r="R287" s="35" t="n">
        <v>-0.2319135609145004</v>
      </c>
      <c r="S287" s="35" t="n">
        <v>-0.3524253792921347</v>
      </c>
      <c r="T287" s="35" t="n">
        <v>-0.2507780528630437</v>
      </c>
      <c r="U287" s="30" t="n">
        <v>18970</v>
      </c>
      <c r="V287" s="30" t="n">
        <v>7900</v>
      </c>
      <c r="W287" s="35" t="n">
        <v>-0.4828676858197153</v>
      </c>
      <c r="X287" s="35" t="n">
        <v>0.2417721518987341</v>
      </c>
      <c r="Y287" s="30" t="n">
        <v>33416778</v>
      </c>
      <c r="Z287" s="30" t="n">
        <v>327818592180</v>
      </c>
      <c r="AA287" s="30" t="n">
        <v>7005664350</v>
      </c>
      <c r="AB287" s="30" t="n">
        <v>7068498540</v>
      </c>
      <c r="AC287" s="35" t="n">
        <v>0.02137055224175113</v>
      </c>
      <c r="AD287" s="24" t="inlineStr">
        <is>
          <t>yfinance_download</t>
        </is>
      </c>
      <c r="AE287" s="24" t="inlineStr">
        <is>
          <t>059090.KQ</t>
        </is>
      </c>
    </row>
    <row r="288" ht="24" customHeight="1">
      <c r="A288" s="29" t="inlineStr">
        <is>
          <t>2024-08-07</t>
        </is>
      </c>
      <c r="B288" s="31" t="n">
        <v>9940</v>
      </c>
      <c r="C288" s="31" t="n">
        <v>10440</v>
      </c>
      <c r="D288" s="31" t="n">
        <v>9720</v>
      </c>
      <c r="E288" s="31" t="n">
        <v>10170</v>
      </c>
      <c r="F288" s="31" t="n">
        <v>10170</v>
      </c>
      <c r="G288" s="31" t="n">
        <v>490089</v>
      </c>
      <c r="H288" s="36" t="n">
        <v>0.03669724770642202</v>
      </c>
      <c r="I288" s="36" t="n">
        <v>-0.4638903531892462</v>
      </c>
      <c r="J288" s="31" t="n">
        <v>12533.5</v>
      </c>
      <c r="K288" s="31" t="n">
        <v>15105.33333333333</v>
      </c>
      <c r="L288" s="31" t="n">
        <v>13101</v>
      </c>
      <c r="M288" s="36" t="n">
        <v>0.8331294108538385</v>
      </c>
      <c r="N288" s="36" t="n">
        <v>0.7579483462229689</v>
      </c>
      <c r="O288" s="36" t="n">
        <v>-0.3192771084337349</v>
      </c>
      <c r="P288" s="36" t="n">
        <v>-0.204225352112676</v>
      </c>
      <c r="Q288" s="36" t="n">
        <v>0.09590517241379315</v>
      </c>
      <c r="R288" s="36" t="n">
        <v>-0.1885746200183508</v>
      </c>
      <c r="S288" s="36" t="n">
        <v>-0.3267278665372054</v>
      </c>
      <c r="T288" s="36" t="n">
        <v>-0.2237233798946645</v>
      </c>
      <c r="U288" s="31" t="n">
        <v>18970</v>
      </c>
      <c r="V288" s="31" t="n">
        <v>7900</v>
      </c>
      <c r="W288" s="36" t="n">
        <v>-0.4638903531892462</v>
      </c>
      <c r="X288" s="36" t="n">
        <v>0.2873417721518987</v>
      </c>
      <c r="Y288" s="31" t="n">
        <v>33416778</v>
      </c>
      <c r="Z288" s="31" t="n">
        <v>339848632260</v>
      </c>
      <c r="AA288" s="31" t="n">
        <v>4984205130</v>
      </c>
      <c r="AB288" s="31" t="n">
        <v>7044033394.5</v>
      </c>
      <c r="AC288" s="36" t="n">
        <v>0.01466595612539306</v>
      </c>
      <c r="AD288" s="29" t="inlineStr">
        <is>
          <t>yfinance_download</t>
        </is>
      </c>
      <c r="AE288" s="29" t="inlineStr">
        <is>
          <t>059090.KQ</t>
        </is>
      </c>
    </row>
    <row r="289" ht="24" customHeight="1">
      <c r="A289" s="24" t="inlineStr">
        <is>
          <t>2024-08-08</t>
        </is>
      </c>
      <c r="B289" s="30" t="n">
        <v>9870</v>
      </c>
      <c r="C289" s="30" t="n">
        <v>10300</v>
      </c>
      <c r="D289" s="30" t="n">
        <v>9850</v>
      </c>
      <c r="E289" s="30" t="n">
        <v>10130</v>
      </c>
      <c r="F289" s="30" t="n">
        <v>10130</v>
      </c>
      <c r="G289" s="30" t="n">
        <v>315672</v>
      </c>
      <c r="H289" s="35" t="n">
        <v>-0.003933136676499527</v>
      </c>
      <c r="I289" s="35" t="n">
        <v>-0.4659989457037428</v>
      </c>
      <c r="J289" s="30" t="n">
        <v>12288.5</v>
      </c>
      <c r="K289" s="30" t="n">
        <v>15058.5</v>
      </c>
      <c r="L289" s="30" t="n">
        <v>13107.66666666667</v>
      </c>
      <c r="M289" s="35" t="n">
        <v>0.8301210926203106</v>
      </c>
      <c r="N289" s="35" t="n">
        <v>0.7572904151532748</v>
      </c>
      <c r="O289" s="35" t="n">
        <v>-0.3260146373918829</v>
      </c>
      <c r="P289" s="35" t="n">
        <v>-0.2171561051004637</v>
      </c>
      <c r="Q289" s="35" t="n">
        <v>0.08574490889603426</v>
      </c>
      <c r="R289" s="35" t="n">
        <v>-0.1756520323880051</v>
      </c>
      <c r="S289" s="35" t="n">
        <v>-0.3272902347511373</v>
      </c>
      <c r="T289" s="35" t="n">
        <v>-0.2271698497062787</v>
      </c>
      <c r="U289" s="30" t="n">
        <v>18970</v>
      </c>
      <c r="V289" s="30" t="n">
        <v>7900</v>
      </c>
      <c r="W289" s="35" t="n">
        <v>-0.4659989457037428</v>
      </c>
      <c r="X289" s="35" t="n">
        <v>0.2822784810126582</v>
      </c>
      <c r="Y289" s="30" t="n">
        <v>33416778</v>
      </c>
      <c r="Z289" s="30" t="n">
        <v>338511961140</v>
      </c>
      <c r="AA289" s="30" t="n">
        <v>3197757360</v>
      </c>
      <c r="AB289" s="30" t="n">
        <v>6932953659</v>
      </c>
      <c r="AC289" s="35" t="n">
        <v>0.009446512168228786</v>
      </c>
      <c r="AD289" s="24" t="inlineStr">
        <is>
          <t>yfinance_download</t>
        </is>
      </c>
      <c r="AE289" s="24" t="inlineStr">
        <is>
          <t>059090.KQ</t>
        </is>
      </c>
    </row>
    <row r="290" ht="24" customHeight="1">
      <c r="A290" s="29" t="inlineStr">
        <is>
          <t>2024-08-09</t>
        </is>
      </c>
      <c r="B290" s="31" t="n">
        <v>10540</v>
      </c>
      <c r="C290" s="31" t="n">
        <v>10720</v>
      </c>
      <c r="D290" s="31" t="n">
        <v>10190</v>
      </c>
      <c r="E290" s="31" t="n">
        <v>10270</v>
      </c>
      <c r="F290" s="31" t="n">
        <v>10270</v>
      </c>
      <c r="G290" s="31" t="n">
        <v>323418</v>
      </c>
      <c r="H290" s="36" t="n">
        <v>0.01382033563672258</v>
      </c>
      <c r="I290" s="36" t="n">
        <v>-0.4586188719030048</v>
      </c>
      <c r="J290" s="31" t="n">
        <v>12114</v>
      </c>
      <c r="K290" s="31" t="n">
        <v>14988</v>
      </c>
      <c r="L290" s="31" t="n">
        <v>13116.16666666667</v>
      </c>
      <c r="M290" s="36" t="n">
        <v>0.7986582810823744</v>
      </c>
      <c r="N290" s="36" t="n">
        <v>0.7132592552617315</v>
      </c>
      <c r="O290" s="36" t="n">
        <v>-0.2536337209302325</v>
      </c>
      <c r="P290" s="36" t="n">
        <v>-0.2917241379310345</v>
      </c>
      <c r="Q290" s="36" t="n">
        <v>0.1102702702702703</v>
      </c>
      <c r="R290" s="36" t="n">
        <v>-0.1522205712398877</v>
      </c>
      <c r="S290" s="36" t="n">
        <v>-0.3147851614625033</v>
      </c>
      <c r="T290" s="36" t="n">
        <v>-0.2169968359657928</v>
      </c>
      <c r="U290" s="31" t="n">
        <v>18970</v>
      </c>
      <c r="V290" s="31" t="n">
        <v>7900</v>
      </c>
      <c r="W290" s="36" t="n">
        <v>-0.4586188719030048</v>
      </c>
      <c r="X290" s="36" t="n">
        <v>0.3</v>
      </c>
      <c r="Y290" s="31" t="n">
        <v>33416778</v>
      </c>
      <c r="Z290" s="31" t="n">
        <v>343190310060</v>
      </c>
      <c r="AA290" s="31" t="n">
        <v>3321502860</v>
      </c>
      <c r="AB290" s="31" t="n">
        <v>6305287330</v>
      </c>
      <c r="AC290" s="36" t="n">
        <v>0.009678311894701518</v>
      </c>
      <c r="AD290" s="29" t="inlineStr">
        <is>
          <t>yfinance_download</t>
        </is>
      </c>
      <c r="AE290" s="29" t="inlineStr">
        <is>
          <t>059090.KQ</t>
        </is>
      </c>
    </row>
    <row r="291" ht="24" customHeight="1">
      <c r="A291" s="24" t="inlineStr">
        <is>
          <t>2024-08-12</t>
        </is>
      </c>
      <c r="B291" s="30" t="n">
        <v>10270</v>
      </c>
      <c r="C291" s="30" t="n">
        <v>10630</v>
      </c>
      <c r="D291" s="30" t="n">
        <v>10270</v>
      </c>
      <c r="E291" s="30" t="n">
        <v>10390</v>
      </c>
      <c r="F291" s="30" t="n">
        <v>10390</v>
      </c>
      <c r="G291" s="30" t="n">
        <v>185723</v>
      </c>
      <c r="H291" s="35" t="n">
        <v>0.01168451801363202</v>
      </c>
      <c r="I291" s="35" t="n">
        <v>-0.452293094359515</v>
      </c>
      <c r="J291" s="30" t="n">
        <v>11940.5</v>
      </c>
      <c r="K291" s="30" t="n">
        <v>14924.5</v>
      </c>
      <c r="L291" s="30" t="n">
        <v>13127.08333333333</v>
      </c>
      <c r="M291" s="35" t="n">
        <v>0.8003141224358927</v>
      </c>
      <c r="N291" s="35" t="n">
        <v>0.7132483470255039</v>
      </c>
      <c r="O291" s="35" t="n">
        <v>-0.2503607503607503</v>
      </c>
      <c r="P291" s="35" t="n">
        <v>-0.2683098591549296</v>
      </c>
      <c r="Q291" s="35" t="n">
        <v>0.144273127753304</v>
      </c>
      <c r="R291" s="35" t="n">
        <v>-0.1298521837443993</v>
      </c>
      <c r="S291" s="35" t="n">
        <v>-0.3038292740125297</v>
      </c>
      <c r="T291" s="35" t="n">
        <v>-0.2085065862561498</v>
      </c>
      <c r="U291" s="30" t="n">
        <v>18970</v>
      </c>
      <c r="V291" s="30" t="n">
        <v>7900</v>
      </c>
      <c r="W291" s="35" t="n">
        <v>-0.452293094359515</v>
      </c>
      <c r="X291" s="35" t="n">
        <v>0.3151898734177214</v>
      </c>
      <c r="Y291" s="30" t="n">
        <v>33416778</v>
      </c>
      <c r="Z291" s="30" t="n">
        <v>347200323420</v>
      </c>
      <c r="AA291" s="30" t="n">
        <v>1929661970</v>
      </c>
      <c r="AB291" s="30" t="n">
        <v>6064233690.5</v>
      </c>
      <c r="AC291" s="35" t="n">
        <v>0.005557776994538492</v>
      </c>
      <c r="AD291" s="24" t="inlineStr">
        <is>
          <t>yfinance_download</t>
        </is>
      </c>
      <c r="AE291" s="24" t="inlineStr">
        <is>
          <t>059090.KQ</t>
        </is>
      </c>
    </row>
    <row r="292" ht="24" customHeight="1">
      <c r="A292" s="29" t="inlineStr">
        <is>
          <t>2024-08-13</t>
        </is>
      </c>
      <c r="B292" s="31" t="n">
        <v>10590</v>
      </c>
      <c r="C292" s="31" t="n">
        <v>11600</v>
      </c>
      <c r="D292" s="31" t="n">
        <v>10360</v>
      </c>
      <c r="E292" s="31" t="n">
        <v>10500</v>
      </c>
      <c r="F292" s="31" t="n">
        <v>10500</v>
      </c>
      <c r="G292" s="31" t="n">
        <v>1944931</v>
      </c>
      <c r="H292" s="36" t="n">
        <v>0.01058710298363819</v>
      </c>
      <c r="I292" s="36" t="n">
        <v>-0.4464944649446494</v>
      </c>
      <c r="J292" s="31" t="n">
        <v>11760</v>
      </c>
      <c r="K292" s="31" t="n">
        <v>14853.5</v>
      </c>
      <c r="L292" s="31" t="n">
        <v>13137.91666666667</v>
      </c>
      <c r="M292" s="36" t="n">
        <v>0.7969103034328755</v>
      </c>
      <c r="N292" s="36" t="n">
        <v>0.7081459420744867</v>
      </c>
      <c r="O292" s="36" t="n">
        <v>-0.255846917080085</v>
      </c>
      <c r="P292" s="36" t="n">
        <v>-0.2886178861788617</v>
      </c>
      <c r="Q292" s="36" t="n">
        <v>0.1413043478260869</v>
      </c>
      <c r="R292" s="36" t="n">
        <v>-0.1071428571428571</v>
      </c>
      <c r="S292" s="36" t="n">
        <v>-0.2930959033224493</v>
      </c>
      <c r="T292" s="36" t="n">
        <v>-0.2007865275443215</v>
      </c>
      <c r="U292" s="31" t="n">
        <v>18970</v>
      </c>
      <c r="V292" s="31" t="n">
        <v>7900</v>
      </c>
      <c r="W292" s="36" t="n">
        <v>-0.4464944649446494</v>
      </c>
      <c r="X292" s="36" t="n">
        <v>0.3291139240506329</v>
      </c>
      <c r="Y292" s="31" t="n">
        <v>33416778</v>
      </c>
      <c r="Z292" s="31" t="n">
        <v>350876169000</v>
      </c>
      <c r="AA292" s="31" t="n">
        <v>20421775500</v>
      </c>
      <c r="AB292" s="31" t="n">
        <v>6828581844</v>
      </c>
      <c r="AC292" s="36" t="n">
        <v>0.058202230029478</v>
      </c>
      <c r="AD292" s="29" t="inlineStr">
        <is>
          <t>yfinance_download</t>
        </is>
      </c>
      <c r="AE292" s="29" t="inlineStr">
        <is>
          <t>059090.KQ</t>
        </is>
      </c>
    </row>
    <row r="293" ht="24" customHeight="1">
      <c r="A293" s="24" t="inlineStr">
        <is>
          <t>2024-08-14</t>
        </is>
      </c>
      <c r="B293" s="30" t="n">
        <v>10730</v>
      </c>
      <c r="C293" s="30" t="n">
        <v>11230</v>
      </c>
      <c r="D293" s="30" t="n">
        <v>10680</v>
      </c>
      <c r="E293" s="30" t="n">
        <v>10960</v>
      </c>
      <c r="F293" s="30" t="n">
        <v>10960</v>
      </c>
      <c r="G293" s="30" t="n">
        <v>619417</v>
      </c>
      <c r="H293" s="35" t="n">
        <v>0.04380952380952374</v>
      </c>
      <c r="I293" s="35" t="n">
        <v>-0.4222456510279389</v>
      </c>
      <c r="J293" s="30" t="n">
        <v>11625</v>
      </c>
      <c r="K293" s="30" t="n">
        <v>14790</v>
      </c>
      <c r="L293" s="30" t="n">
        <v>13151.25</v>
      </c>
      <c r="M293" s="35" t="n">
        <v>0.8185995814235072</v>
      </c>
      <c r="N293" s="35" t="n">
        <v>0.7150173822987885</v>
      </c>
      <c r="O293" s="35" t="n">
        <v>-0.1976573938506588</v>
      </c>
      <c r="P293" s="35" t="n">
        <v>-0.2579553148273528</v>
      </c>
      <c r="Q293" s="35" t="n">
        <v>0.170940170940171</v>
      </c>
      <c r="R293" s="35" t="n">
        <v>-0.05720430107526886</v>
      </c>
      <c r="S293" s="35" t="n">
        <v>-0.2589587559161596</v>
      </c>
      <c r="T293" s="35" t="n">
        <v>-0.1666191426670468</v>
      </c>
      <c r="U293" s="30" t="n">
        <v>18970</v>
      </c>
      <c r="V293" s="30" t="n">
        <v>7900</v>
      </c>
      <c r="W293" s="35" t="n">
        <v>-0.4222456510279389</v>
      </c>
      <c r="X293" s="35" t="n">
        <v>0.3873417721518988</v>
      </c>
      <c r="Y293" s="30" t="n">
        <v>33416778</v>
      </c>
      <c r="Z293" s="30" t="n">
        <v>366247886880</v>
      </c>
      <c r="AA293" s="30" t="n">
        <v>6788810320</v>
      </c>
      <c r="AB293" s="30" t="n">
        <v>6849900767</v>
      </c>
      <c r="AC293" s="35" t="n">
        <v>0.01853610781985026</v>
      </c>
      <c r="AD293" s="24" t="inlineStr">
        <is>
          <t>yfinance_download</t>
        </is>
      </c>
      <c r="AE293" s="24" t="inlineStr">
        <is>
          <t>059090.KQ</t>
        </is>
      </c>
    </row>
    <row r="294" ht="24" customHeight="1">
      <c r="A294" s="29" t="inlineStr">
        <is>
          <t>2024-08-16</t>
        </is>
      </c>
      <c r="B294" s="31" t="n">
        <v>11590</v>
      </c>
      <c r="C294" s="31" t="n">
        <v>11860</v>
      </c>
      <c r="D294" s="31" t="n">
        <v>11250</v>
      </c>
      <c r="E294" s="31" t="n">
        <v>11320</v>
      </c>
      <c r="F294" s="31" t="n">
        <v>11320</v>
      </c>
      <c r="G294" s="31" t="n">
        <v>760396</v>
      </c>
      <c r="H294" s="36" t="n">
        <v>0.03284671532846706</v>
      </c>
      <c r="I294" s="36" t="n">
        <v>-0.4032683183974697</v>
      </c>
      <c r="J294" s="31" t="n">
        <v>11496</v>
      </c>
      <c r="K294" s="31" t="n">
        <v>14712</v>
      </c>
      <c r="L294" s="31" t="n">
        <v>13167.91666666667</v>
      </c>
      <c r="M294" s="36" t="n">
        <v>0.8270764945577451</v>
      </c>
      <c r="N294" s="36" t="n">
        <v>0.6959594029117849</v>
      </c>
      <c r="O294" s="36" t="n">
        <v>-0.185611510791367</v>
      </c>
      <c r="P294" s="36" t="n">
        <v>-0.2925</v>
      </c>
      <c r="Q294" s="36" t="n">
        <v>0.2145922746781115</v>
      </c>
      <c r="R294" s="36" t="n">
        <v>-0.01530967292971464</v>
      </c>
      <c r="S294" s="36" t="n">
        <v>-0.2305600870038064</v>
      </c>
      <c r="T294" s="36" t="n">
        <v>-0.1403347783438281</v>
      </c>
      <c r="U294" s="31" t="n">
        <v>18970</v>
      </c>
      <c r="V294" s="31" t="n">
        <v>7900</v>
      </c>
      <c r="W294" s="36" t="n">
        <v>-0.4032683183974697</v>
      </c>
      <c r="X294" s="36" t="n">
        <v>0.4329113924050634</v>
      </c>
      <c r="Y294" s="31" t="n">
        <v>33416778</v>
      </c>
      <c r="Z294" s="31" t="n">
        <v>378277926960</v>
      </c>
      <c r="AA294" s="31" t="n">
        <v>8607682720</v>
      </c>
      <c r="AB294" s="31" t="n">
        <v>6981965883</v>
      </c>
      <c r="AC294" s="36" t="n">
        <v>0.02275491670681117</v>
      </c>
      <c r="AD294" s="29" t="inlineStr">
        <is>
          <t>yfinance_download</t>
        </is>
      </c>
      <c r="AE294" s="29" t="inlineStr">
        <is>
          <t>059090.KQ</t>
        </is>
      </c>
    </row>
    <row r="295" ht="24" customHeight="1">
      <c r="A295" s="24" t="inlineStr">
        <is>
          <t>2024-08-19</t>
        </is>
      </c>
      <c r="B295" s="30" t="n">
        <v>11450</v>
      </c>
      <c r="C295" s="30" t="n">
        <v>11450</v>
      </c>
      <c r="D295" s="30" t="n">
        <v>10900</v>
      </c>
      <c r="E295" s="30" t="n">
        <v>10910</v>
      </c>
      <c r="F295" s="30" t="n">
        <v>10910</v>
      </c>
      <c r="G295" s="30" t="n">
        <v>334813</v>
      </c>
      <c r="H295" s="35" t="n">
        <v>-0.03621908127208484</v>
      </c>
      <c r="I295" s="35" t="n">
        <v>-0.4248813916710595</v>
      </c>
      <c r="J295" s="30" t="n">
        <v>11350</v>
      </c>
      <c r="K295" s="30" t="n">
        <v>14631</v>
      </c>
      <c r="L295" s="30" t="n">
        <v>13178.33333333333</v>
      </c>
      <c r="M295" s="35" t="n">
        <v>0.8325658877762933</v>
      </c>
      <c r="N295" s="35" t="n">
        <v>0.6986803268690734</v>
      </c>
      <c r="O295" s="35" t="n">
        <v>-0.2111352133044107</v>
      </c>
      <c r="P295" s="35" t="n">
        <v>-0.3081800887761572</v>
      </c>
      <c r="Q295" s="35" t="n">
        <v>0.1293995859213251</v>
      </c>
      <c r="R295" s="35" t="n">
        <v>-0.03876651982378854</v>
      </c>
      <c r="S295" s="35" t="n">
        <v>-0.2543230127810813</v>
      </c>
      <c r="T295" s="35" t="n">
        <v>-0.1721259643353991</v>
      </c>
      <c r="U295" s="30" t="n">
        <v>18970</v>
      </c>
      <c r="V295" s="30" t="n">
        <v>7900</v>
      </c>
      <c r="W295" s="35" t="n">
        <v>-0.4248813916710595</v>
      </c>
      <c r="X295" s="35" t="n">
        <v>0.3810126582278481</v>
      </c>
      <c r="Y295" s="30" t="n">
        <v>33416778</v>
      </c>
      <c r="Z295" s="30" t="n">
        <v>364577047980</v>
      </c>
      <c r="AA295" s="30" t="n">
        <v>3652809830</v>
      </c>
      <c r="AB295" s="30" t="n">
        <v>6999806020</v>
      </c>
      <c r="AC295" s="35" t="n">
        <v>0.01001930826484827</v>
      </c>
      <c r="AD295" s="24" t="inlineStr">
        <is>
          <t>yfinance_download</t>
        </is>
      </c>
      <c r="AE295" s="24" t="inlineStr">
        <is>
          <t>059090.KQ</t>
        </is>
      </c>
    </row>
    <row r="296" ht="24" customHeight="1">
      <c r="A296" s="29" t="inlineStr">
        <is>
          <t>2024-08-20</t>
        </is>
      </c>
      <c r="B296" s="31" t="n">
        <v>11150</v>
      </c>
      <c r="C296" s="31" t="n">
        <v>12120</v>
      </c>
      <c r="D296" s="31" t="n">
        <v>11120</v>
      </c>
      <c r="E296" s="31" t="n">
        <v>11730</v>
      </c>
      <c r="F296" s="31" t="n">
        <v>11730</v>
      </c>
      <c r="G296" s="31" t="n">
        <v>702165</v>
      </c>
      <c r="H296" s="36" t="n">
        <v>0.07516040329972506</v>
      </c>
      <c r="I296" s="36" t="n">
        <v>-0.3816552451238798</v>
      </c>
      <c r="J296" s="31" t="n">
        <v>11277</v>
      </c>
      <c r="K296" s="31" t="n">
        <v>14553.5</v>
      </c>
      <c r="L296" s="31" t="n">
        <v>13196.5</v>
      </c>
      <c r="M296" s="36" t="n">
        <v>0.8737204714935338</v>
      </c>
      <c r="N296" s="36" t="n">
        <v>0.7123200122486359</v>
      </c>
      <c r="O296" s="36" t="n">
        <v>-0.1106899166034875</v>
      </c>
      <c r="P296" s="36" t="n">
        <v>-0.2838827838827839</v>
      </c>
      <c r="Q296" s="36" t="n">
        <v>0.2282722513089006</v>
      </c>
      <c r="R296" s="36" t="n">
        <v>0.04017025804735308</v>
      </c>
      <c r="S296" s="36" t="n">
        <v>-0.1940083141512351</v>
      </c>
      <c r="T296" s="36" t="n">
        <v>-0.1111279505929602</v>
      </c>
      <c r="U296" s="31" t="n">
        <v>18970</v>
      </c>
      <c r="V296" s="31" t="n">
        <v>7900</v>
      </c>
      <c r="W296" s="36" t="n">
        <v>-0.3816552451238798</v>
      </c>
      <c r="X296" s="36" t="n">
        <v>0.4848101265822784</v>
      </c>
      <c r="Y296" s="31" t="n">
        <v>33416778</v>
      </c>
      <c r="Z296" s="31" t="n">
        <v>391978805940</v>
      </c>
      <c r="AA296" s="31" t="n">
        <v>8236395450</v>
      </c>
      <c r="AB296" s="31" t="n">
        <v>7122070339</v>
      </c>
      <c r="AC296" s="36" t="n">
        <v>0.02101234894638855</v>
      </c>
      <c r="AD296" s="29" t="inlineStr">
        <is>
          <t>yfinance_download</t>
        </is>
      </c>
      <c r="AE296" s="29" t="inlineStr">
        <is>
          <t>059090.KQ</t>
        </is>
      </c>
    </row>
    <row r="297" ht="24" customHeight="1">
      <c r="A297" s="24" t="inlineStr">
        <is>
          <t>2024-08-21</t>
        </is>
      </c>
      <c r="B297" s="30" t="n">
        <v>11730</v>
      </c>
      <c r="C297" s="30" t="n">
        <v>11840</v>
      </c>
      <c r="D297" s="30" t="n">
        <v>11270</v>
      </c>
      <c r="E297" s="30" t="n">
        <v>11310</v>
      </c>
      <c r="F297" s="30" t="n">
        <v>11310</v>
      </c>
      <c r="G297" s="30" t="n">
        <v>315665</v>
      </c>
      <c r="H297" s="35" t="n">
        <v>-0.03580562659846542</v>
      </c>
      <c r="I297" s="35" t="n">
        <v>-0.4037954665260939</v>
      </c>
      <c r="J297" s="30" t="n">
        <v>11215.5</v>
      </c>
      <c r="K297" s="30" t="n">
        <v>14446</v>
      </c>
      <c r="L297" s="30" t="n">
        <v>13212.83333333333</v>
      </c>
      <c r="M297" s="35" t="n">
        <v>0.8657979122060123</v>
      </c>
      <c r="N297" s="35" t="n">
        <v>0.6905665771912689</v>
      </c>
      <c r="O297" s="35" t="n">
        <v>-0.09808612440191389</v>
      </c>
      <c r="P297" s="35" t="n">
        <v>-0.3631756756756757</v>
      </c>
      <c r="Q297" s="35" t="n">
        <v>0.2096256684491979</v>
      </c>
      <c r="R297" s="35" t="n">
        <v>0.00842583924033713</v>
      </c>
      <c r="S297" s="35" t="n">
        <v>-0.2170843139969542</v>
      </c>
      <c r="T297" s="35" t="n">
        <v>-0.144014026766906</v>
      </c>
      <c r="U297" s="30" t="n">
        <v>18970</v>
      </c>
      <c r="V297" s="30" t="n">
        <v>7900</v>
      </c>
      <c r="W297" s="35" t="n">
        <v>-0.4037954665260939</v>
      </c>
      <c r="X297" s="35" t="n">
        <v>0.4316455696202532</v>
      </c>
      <c r="Y297" s="30" t="n">
        <v>33416778</v>
      </c>
      <c r="Z297" s="30" t="n">
        <v>377943759180</v>
      </c>
      <c r="AA297" s="30" t="n">
        <v>3570171150</v>
      </c>
      <c r="AB297" s="30" t="n">
        <v>6351601856.5</v>
      </c>
      <c r="AC297" s="35" t="n">
        <v>0.009446302692617464</v>
      </c>
      <c r="AD297" s="24" t="inlineStr">
        <is>
          <t>yfinance_download</t>
        </is>
      </c>
      <c r="AE297" s="24" t="inlineStr">
        <is>
          <t>059090.KQ</t>
        </is>
      </c>
    </row>
    <row r="298" ht="24" customHeight="1">
      <c r="A298" s="29" t="inlineStr">
        <is>
          <t>2024-08-22</t>
        </is>
      </c>
      <c r="B298" s="31" t="n">
        <v>11450</v>
      </c>
      <c r="C298" s="31" t="n">
        <v>12590</v>
      </c>
      <c r="D298" s="31" t="n">
        <v>10900</v>
      </c>
      <c r="E298" s="31" t="n">
        <v>11020</v>
      </c>
      <c r="F298" s="31" t="n">
        <v>11020</v>
      </c>
      <c r="G298" s="31" t="n">
        <v>1576740</v>
      </c>
      <c r="H298" s="36" t="n">
        <v>-0.02564102564102566</v>
      </c>
      <c r="I298" s="36" t="n">
        <v>-0.419082762256194</v>
      </c>
      <c r="J298" s="31" t="n">
        <v>11129</v>
      </c>
      <c r="K298" s="31" t="n">
        <v>14342</v>
      </c>
      <c r="L298" s="31" t="n">
        <v>13228.16666666667</v>
      </c>
      <c r="M298" s="36" t="n">
        <v>0.8656290620274922</v>
      </c>
      <c r="N298" s="36" t="n">
        <v>0.6902498158080752</v>
      </c>
      <c r="O298" s="36" t="n">
        <v>-0.135686274509804</v>
      </c>
      <c r="P298" s="36" t="n">
        <v>-0.3615295480880649</v>
      </c>
      <c r="Q298" s="36" t="n">
        <v>0.2004357298474946</v>
      </c>
      <c r="R298" s="36" t="n">
        <v>-0.009794231287626909</v>
      </c>
      <c r="S298" s="36" t="n">
        <v>-0.2316273880909218</v>
      </c>
      <c r="T298" s="36" t="n">
        <v>-0.1669291536998072</v>
      </c>
      <c r="U298" s="31" t="n">
        <v>18970</v>
      </c>
      <c r="V298" s="31" t="n">
        <v>7900</v>
      </c>
      <c r="W298" s="36" t="n">
        <v>-0.419082762256194</v>
      </c>
      <c r="X298" s="36" t="n">
        <v>0.3949367088607596</v>
      </c>
      <c r="Y298" s="31" t="n">
        <v>33416778</v>
      </c>
      <c r="Z298" s="31" t="n">
        <v>368252893560</v>
      </c>
      <c r="AA298" s="31" t="n">
        <v>17375674800</v>
      </c>
      <c r="AB298" s="31" t="n">
        <v>6796748359</v>
      </c>
      <c r="AC298" s="36" t="n">
        <v>0.04718408219966629</v>
      </c>
      <c r="AD298" s="29" t="inlineStr">
        <is>
          <t>yfinance_download</t>
        </is>
      </c>
      <c r="AE298" s="29" t="inlineStr">
        <is>
          <t>059090.KQ</t>
        </is>
      </c>
    </row>
    <row r="299" ht="24" customHeight="1">
      <c r="A299" s="24" t="inlineStr">
        <is>
          <t>2024-08-23</t>
        </is>
      </c>
      <c r="B299" s="30" t="n">
        <v>10810</v>
      </c>
      <c r="C299" s="30" t="n">
        <v>11270</v>
      </c>
      <c r="D299" s="30" t="n">
        <v>10730</v>
      </c>
      <c r="E299" s="30" t="n">
        <v>11120</v>
      </c>
      <c r="F299" s="30" t="n">
        <v>11120</v>
      </c>
      <c r="G299" s="30" t="n">
        <v>319561</v>
      </c>
      <c r="H299" s="35" t="n">
        <v>0.009074410163339319</v>
      </c>
      <c r="I299" s="35" t="n">
        <v>-0.4138112809699526</v>
      </c>
      <c r="J299" s="30" t="n">
        <v>11067.5</v>
      </c>
      <c r="K299" s="30" t="n">
        <v>14254</v>
      </c>
      <c r="L299" s="30" t="n">
        <v>13241.5</v>
      </c>
      <c r="M299" s="35" t="n">
        <v>0.8616578845830452</v>
      </c>
      <c r="N299" s="35" t="n">
        <v>0.6849913930874557</v>
      </c>
      <c r="O299" s="35" t="n">
        <v>-0.09959514170040484</v>
      </c>
      <c r="P299" s="35" t="n">
        <v>-0.3219512195121951</v>
      </c>
      <c r="Q299" s="35" t="n">
        <v>0.1680672268907564</v>
      </c>
      <c r="R299" s="35" t="n">
        <v>0.00474361870341089</v>
      </c>
      <c r="S299" s="35" t="n">
        <v>-0.2198681071979796</v>
      </c>
      <c r="T299" s="35" t="n">
        <v>-0.1602159876146962</v>
      </c>
      <c r="U299" s="30" t="n">
        <v>18970</v>
      </c>
      <c r="V299" s="30" t="n">
        <v>7900</v>
      </c>
      <c r="W299" s="35" t="n">
        <v>-0.4138112809699526</v>
      </c>
      <c r="X299" s="35" t="n">
        <v>0.4075949367088607</v>
      </c>
      <c r="Y299" s="30" t="n">
        <v>33416778</v>
      </c>
      <c r="Z299" s="30" t="n">
        <v>371594571360</v>
      </c>
      <c r="AA299" s="30" t="n">
        <v>3553518320</v>
      </c>
      <c r="AB299" s="30" t="n">
        <v>6635450120</v>
      </c>
      <c r="AC299" s="35" t="n">
        <v>0.009562890832862462</v>
      </c>
      <c r="AD299" s="24" t="inlineStr">
        <is>
          <t>yfinance_download</t>
        </is>
      </c>
      <c r="AE299" s="24" t="inlineStr">
        <is>
          <t>059090.KQ</t>
        </is>
      </c>
    </row>
    <row r="300" ht="24" customHeight="1">
      <c r="A300" s="29" t="inlineStr">
        <is>
          <t>2024-08-26</t>
        </is>
      </c>
      <c r="B300" s="31" t="n">
        <v>11400</v>
      </c>
      <c r="C300" s="31" t="n">
        <v>11460</v>
      </c>
      <c r="D300" s="31" t="n">
        <v>10890</v>
      </c>
      <c r="E300" s="31" t="n">
        <v>11120</v>
      </c>
      <c r="F300" s="31" t="n">
        <v>11120</v>
      </c>
      <c r="G300" s="31" t="n">
        <v>318590</v>
      </c>
      <c r="H300" s="36" t="n">
        <v>0</v>
      </c>
      <c r="I300" s="36" t="n">
        <v>-0.4138112809699526</v>
      </c>
      <c r="J300" s="31" t="n">
        <v>11012</v>
      </c>
      <c r="K300" s="31" t="n">
        <v>14170.83333333333</v>
      </c>
      <c r="L300" s="31" t="n">
        <v>13256.25</v>
      </c>
      <c r="M300" s="36" t="n">
        <v>0.8614549686921794</v>
      </c>
      <c r="N300" s="36" t="n">
        <v>0.6846079785832929</v>
      </c>
      <c r="O300" s="36" t="n">
        <v>-0.09076042518397387</v>
      </c>
      <c r="P300" s="36" t="n">
        <v>-0.3097454996896337</v>
      </c>
      <c r="Q300" s="36" t="n">
        <v>0.1893048128342245</v>
      </c>
      <c r="R300" s="36" t="n">
        <v>0.00980748274609522</v>
      </c>
      <c r="S300" s="36" t="n">
        <v>-0.2152896206997942</v>
      </c>
      <c r="T300" s="36" t="n">
        <v>-0.1611504007543612</v>
      </c>
      <c r="U300" s="31" t="n">
        <v>18970</v>
      </c>
      <c r="V300" s="31" t="n">
        <v>7900</v>
      </c>
      <c r="W300" s="36" t="n">
        <v>-0.4138112809699526</v>
      </c>
      <c r="X300" s="36" t="n">
        <v>0.4075949367088607</v>
      </c>
      <c r="Y300" s="31" t="n">
        <v>33416778</v>
      </c>
      <c r="Z300" s="31" t="n">
        <v>371594571360</v>
      </c>
      <c r="AA300" s="31" t="n">
        <v>3542720800</v>
      </c>
      <c r="AB300" s="31" t="n">
        <v>6650561897</v>
      </c>
      <c r="AC300" s="36" t="n">
        <v>0.009533833573063208</v>
      </c>
      <c r="AD300" s="29" t="inlineStr">
        <is>
          <t>yfinance_download</t>
        </is>
      </c>
      <c r="AE300" s="29" t="inlineStr">
        <is>
          <t>059090.KQ</t>
        </is>
      </c>
    </row>
    <row r="301" ht="24" customHeight="1">
      <c r="A301" s="24" t="inlineStr">
        <is>
          <t>2024-08-27</t>
        </is>
      </c>
      <c r="B301" s="30" t="n">
        <v>10910</v>
      </c>
      <c r="C301" s="30" t="n">
        <v>11110</v>
      </c>
      <c r="D301" s="30" t="n">
        <v>10820</v>
      </c>
      <c r="E301" s="30" t="n">
        <v>10910</v>
      </c>
      <c r="F301" s="30" t="n">
        <v>10910</v>
      </c>
      <c r="G301" s="30" t="n">
        <v>139571</v>
      </c>
      <c r="H301" s="35" t="n">
        <v>-0.01888489208633093</v>
      </c>
      <c r="I301" s="35" t="n">
        <v>-0.4248813916710595</v>
      </c>
      <c r="J301" s="30" t="n">
        <v>10941.5</v>
      </c>
      <c r="K301" s="30" t="n">
        <v>14077.33333333333</v>
      </c>
      <c r="L301" s="30" t="n">
        <v>13258.41666666667</v>
      </c>
      <c r="M301" s="35" t="n">
        <v>0.8622013603650057</v>
      </c>
      <c r="N301" s="35" t="n">
        <v>0.682150195935931</v>
      </c>
      <c r="O301" s="35" t="n">
        <v>-0.114448051948052</v>
      </c>
      <c r="P301" s="35" t="n">
        <v>-0.339588377723971</v>
      </c>
      <c r="Q301" s="35" t="n">
        <v>0.02441314553990614</v>
      </c>
      <c r="R301" s="35" t="n">
        <v>-0.002878947127907483</v>
      </c>
      <c r="S301" s="35" t="n">
        <v>-0.2249952642545937</v>
      </c>
      <c r="T301" s="35" t="n">
        <v>-0.1771264794061633</v>
      </c>
      <c r="U301" s="30" t="n">
        <v>18970</v>
      </c>
      <c r="V301" s="30" t="n">
        <v>7900</v>
      </c>
      <c r="W301" s="35" t="n">
        <v>-0.4248813916710595</v>
      </c>
      <c r="X301" s="35" t="n">
        <v>0.3810126582278481</v>
      </c>
      <c r="Y301" s="30" t="n">
        <v>33416778</v>
      </c>
      <c r="Z301" s="30" t="n">
        <v>364577047980</v>
      </c>
      <c r="AA301" s="30" t="n">
        <v>1522719610</v>
      </c>
      <c r="AB301" s="30" t="n">
        <v>6574824925.5</v>
      </c>
      <c r="AC301" s="35" t="n">
        <v>0.00417667436399763</v>
      </c>
      <c r="AD301" s="24" t="inlineStr">
        <is>
          <t>yfinance_download</t>
        </is>
      </c>
      <c r="AE301" s="24" t="inlineStr">
        <is>
          <t>059090.KQ</t>
        </is>
      </c>
    </row>
    <row r="302" ht="24" customHeight="1">
      <c r="A302" s="29" t="inlineStr">
        <is>
          <t>2024-08-28</t>
        </is>
      </c>
      <c r="B302" s="31" t="n">
        <v>11120</v>
      </c>
      <c r="C302" s="31" t="n">
        <v>11310</v>
      </c>
      <c r="D302" s="31" t="n">
        <v>10920</v>
      </c>
      <c r="E302" s="31" t="n">
        <v>11120</v>
      </c>
      <c r="F302" s="31" t="n">
        <v>11120</v>
      </c>
      <c r="G302" s="31" t="n">
        <v>260405</v>
      </c>
      <c r="H302" s="36" t="n">
        <v>0.01924839596700267</v>
      </c>
      <c r="I302" s="36" t="n">
        <v>-0.4138112809699526</v>
      </c>
      <c r="J302" s="31" t="n">
        <v>10888.5</v>
      </c>
      <c r="K302" s="31" t="n">
        <v>13993.5</v>
      </c>
      <c r="L302" s="31" t="n">
        <v>13261.08333333333</v>
      </c>
      <c r="M302" s="36" t="n">
        <v>0.8658422663224307</v>
      </c>
      <c r="N302" s="36" t="n">
        <v>0.6832016010772785</v>
      </c>
      <c r="O302" s="36" t="n">
        <v>-0.08702791461412152</v>
      </c>
      <c r="P302" s="36" t="n">
        <v>-0.3114551083591331</v>
      </c>
      <c r="Q302" s="36" t="n">
        <v>0.02962962962962967</v>
      </c>
      <c r="R302" s="36" t="n">
        <v>0.02126096340175421</v>
      </c>
      <c r="S302" s="36" t="n">
        <v>-0.2053453389073499</v>
      </c>
      <c r="T302" s="36" t="n">
        <v>-0.1614561404611238</v>
      </c>
      <c r="U302" s="31" t="n">
        <v>18970</v>
      </c>
      <c r="V302" s="31" t="n">
        <v>7900</v>
      </c>
      <c r="W302" s="36" t="n">
        <v>-0.4138112809699526</v>
      </c>
      <c r="X302" s="36" t="n">
        <v>0.4075949367088607</v>
      </c>
      <c r="Y302" s="31" t="n">
        <v>33416778</v>
      </c>
      <c r="Z302" s="31" t="n">
        <v>371594571360</v>
      </c>
      <c r="AA302" s="31" t="n">
        <v>2895703600</v>
      </c>
      <c r="AB302" s="31" t="n">
        <v>6397711584.5</v>
      </c>
      <c r="AC302" s="36" t="n">
        <v>0.007792642366657851</v>
      </c>
      <c r="AD302" s="29" t="inlineStr">
        <is>
          <t>yfinance_download</t>
        </is>
      </c>
      <c r="AE302" s="29" t="inlineStr">
        <is>
          <t>059090.KQ</t>
        </is>
      </c>
    </row>
    <row r="303" ht="24" customHeight="1">
      <c r="A303" s="24" t="inlineStr">
        <is>
          <t>2024-08-29</t>
        </is>
      </c>
      <c r="B303" s="30" t="n">
        <v>10760</v>
      </c>
      <c r="C303" s="30" t="n">
        <v>10800</v>
      </c>
      <c r="D303" s="30" t="n">
        <v>10570</v>
      </c>
      <c r="E303" s="30" t="n">
        <v>10680</v>
      </c>
      <c r="F303" s="30" t="n">
        <v>10680</v>
      </c>
      <c r="G303" s="30" t="n">
        <v>293970</v>
      </c>
      <c r="H303" s="35" t="n">
        <v>-0.03956834532374098</v>
      </c>
      <c r="I303" s="35" t="n">
        <v>-0.4370057986294149</v>
      </c>
      <c r="J303" s="30" t="n">
        <v>10802</v>
      </c>
      <c r="K303" s="30" t="n">
        <v>13904.83333333333</v>
      </c>
      <c r="L303" s="30" t="n">
        <v>13252.75</v>
      </c>
      <c r="M303" s="35" t="n">
        <v>0.8710562422858831</v>
      </c>
      <c r="N303" s="35" t="n">
        <v>0.6867726397559788</v>
      </c>
      <c r="O303" s="35" t="n">
        <v>-0.1394037066881547</v>
      </c>
      <c r="P303" s="35" t="n">
        <v>-0.3325</v>
      </c>
      <c r="Q303" s="35" t="n">
        <v>-0.08561643835616439</v>
      </c>
      <c r="R303" s="35" t="n">
        <v>-0.01129420477689314</v>
      </c>
      <c r="S303" s="35" t="n">
        <v>-0.2319217538266071</v>
      </c>
      <c r="T303" s="35" t="n">
        <v>-0.194129520288242</v>
      </c>
      <c r="U303" s="30" t="n">
        <v>18970</v>
      </c>
      <c r="V303" s="30" t="n">
        <v>7900</v>
      </c>
      <c r="W303" s="35" t="n">
        <v>-0.4370057986294149</v>
      </c>
      <c r="X303" s="35" t="n">
        <v>0.3518987341772153</v>
      </c>
      <c r="Y303" s="30" t="n">
        <v>33416778</v>
      </c>
      <c r="Z303" s="30" t="n">
        <v>356891189040</v>
      </c>
      <c r="AA303" s="30" t="n">
        <v>3139599600</v>
      </c>
      <c r="AB303" s="30" t="n">
        <v>6351491465.5</v>
      </c>
      <c r="AC303" s="35" t="n">
        <v>0.008797077922952357</v>
      </c>
      <c r="AD303" s="24" t="inlineStr">
        <is>
          <t>yfinance_download</t>
        </is>
      </c>
      <c r="AE303" s="24" t="inlineStr">
        <is>
          <t>059090.KQ</t>
        </is>
      </c>
    </row>
    <row r="304" ht="24" customHeight="1">
      <c r="A304" s="29" t="inlineStr">
        <is>
          <t>2024-08-30</t>
        </is>
      </c>
      <c r="B304" s="31" t="n">
        <v>10810</v>
      </c>
      <c r="C304" s="31" t="n">
        <v>11010</v>
      </c>
      <c r="D304" s="31" t="n">
        <v>10760</v>
      </c>
      <c r="E304" s="31" t="n">
        <v>10930</v>
      </c>
      <c r="F304" s="31" t="n">
        <v>10930</v>
      </c>
      <c r="G304" s="31" t="n">
        <v>208172</v>
      </c>
      <c r="H304" s="36" t="n">
        <v>0.02340823970037453</v>
      </c>
      <c r="I304" s="36" t="n">
        <v>-0.4238270954138113</v>
      </c>
      <c r="J304" s="31" t="n">
        <v>10734.5</v>
      </c>
      <c r="K304" s="31" t="n">
        <v>13828.33333333333</v>
      </c>
      <c r="L304" s="31" t="n">
        <v>13249.08333333333</v>
      </c>
      <c r="M304" s="36" t="n">
        <v>0.8770115557816798</v>
      </c>
      <c r="N304" s="36" t="n">
        <v>0.6874453463755414</v>
      </c>
      <c r="O304" s="36" t="n">
        <v>-0.1099348534201955</v>
      </c>
      <c r="P304" s="36" t="n">
        <v>-0.2957474226804123</v>
      </c>
      <c r="Q304" s="36" t="n">
        <v>-0.03869832893579594</v>
      </c>
      <c r="R304" s="36" t="n">
        <v>0.01821230611579483</v>
      </c>
      <c r="S304" s="36" t="n">
        <v>-0.2095938290948536</v>
      </c>
      <c r="T304" s="36" t="n">
        <v>-0.1750372667291448</v>
      </c>
      <c r="U304" s="31" t="n">
        <v>18970</v>
      </c>
      <c r="V304" s="31" t="n">
        <v>7900</v>
      </c>
      <c r="W304" s="36" t="n">
        <v>-0.4238270954138113</v>
      </c>
      <c r="X304" s="36" t="n">
        <v>0.3835443037974684</v>
      </c>
      <c r="Y304" s="31" t="n">
        <v>33416778</v>
      </c>
      <c r="Z304" s="31" t="n">
        <v>365245383540</v>
      </c>
      <c r="AA304" s="31" t="n">
        <v>2275319960</v>
      </c>
      <c r="AB304" s="31" t="n">
        <v>6232097103.5</v>
      </c>
      <c r="AC304" s="36" t="n">
        <v>0.006229565280051835</v>
      </c>
      <c r="AD304" s="29" t="inlineStr">
        <is>
          <t>yfinance_download</t>
        </is>
      </c>
      <c r="AE304" s="29" t="inlineStr">
        <is>
          <t>059090.KQ</t>
        </is>
      </c>
    </row>
    <row r="305" ht="24" customHeight="1">
      <c r="A305" s="24" t="inlineStr">
        <is>
          <t>2024-09-02</t>
        </is>
      </c>
      <c r="B305" s="30" t="n">
        <v>11080</v>
      </c>
      <c r="C305" s="30" t="n">
        <v>11080</v>
      </c>
      <c r="D305" s="30" t="n">
        <v>10730</v>
      </c>
      <c r="E305" s="30" t="n">
        <v>10730</v>
      </c>
      <c r="F305" s="30" t="n">
        <v>10730</v>
      </c>
      <c r="G305" s="30" t="n">
        <v>142142</v>
      </c>
      <c r="H305" s="35" t="n">
        <v>-0.01829826166514181</v>
      </c>
      <c r="I305" s="35" t="n">
        <v>-0.4343700579862941</v>
      </c>
      <c r="J305" s="30" t="n">
        <v>10717.5</v>
      </c>
      <c r="K305" s="30" t="n">
        <v>13745.33333333333</v>
      </c>
      <c r="L305" s="30" t="n">
        <v>13236.58333333333</v>
      </c>
      <c r="M305" s="35" t="n">
        <v>0.8059991280177863</v>
      </c>
      <c r="N305" s="35" t="n">
        <v>0.6870460721326203</v>
      </c>
      <c r="O305" s="35" t="n">
        <v>-0.03071364046973801</v>
      </c>
      <c r="P305" s="35" t="n">
        <v>-0.316995544239338</v>
      </c>
      <c r="Q305" s="35" t="n">
        <v>-0.1226492232215862</v>
      </c>
      <c r="R305" s="35" t="n">
        <v>0.001166316771635145</v>
      </c>
      <c r="S305" s="35" t="n">
        <v>-0.2193714230284218</v>
      </c>
      <c r="T305" s="35" t="n">
        <v>-0.1893678504649362</v>
      </c>
      <c r="U305" s="30" t="n">
        <v>18970</v>
      </c>
      <c r="V305" s="30" t="n">
        <v>7900</v>
      </c>
      <c r="W305" s="35" t="n">
        <v>-0.4343700579862941</v>
      </c>
      <c r="X305" s="35" t="n">
        <v>0.3582278481012657</v>
      </c>
      <c r="Y305" s="30" t="n">
        <v>33416778</v>
      </c>
      <c r="Z305" s="30" t="n">
        <v>358562027940</v>
      </c>
      <c r="AA305" s="30" t="n">
        <v>1525183660</v>
      </c>
      <c r="AB305" s="30" t="n">
        <v>5909659166.5</v>
      </c>
      <c r="AC305" s="35" t="n">
        <v>0.00425361176352789</v>
      </c>
      <c r="AD305" s="24" t="inlineStr">
        <is>
          <t>yfinance_download</t>
        </is>
      </c>
      <c r="AE305" s="24" t="inlineStr">
        <is>
          <t>059090.KQ</t>
        </is>
      </c>
    </row>
    <row r="306" ht="24" customHeight="1">
      <c r="A306" s="29" t="inlineStr">
        <is>
          <t>2024-09-03</t>
        </is>
      </c>
      <c r="B306" s="31" t="n">
        <v>10850</v>
      </c>
      <c r="C306" s="31" t="n">
        <v>10860</v>
      </c>
      <c r="D306" s="31" t="n">
        <v>10310</v>
      </c>
      <c r="E306" s="31" t="n">
        <v>10310</v>
      </c>
      <c r="F306" s="31" t="n">
        <v>10310</v>
      </c>
      <c r="G306" s="31" t="n">
        <v>244440</v>
      </c>
      <c r="H306" s="36" t="n">
        <v>-0.03914259086672878</v>
      </c>
      <c r="I306" s="36" t="n">
        <v>-0.4565102793885082</v>
      </c>
      <c r="J306" s="31" t="n">
        <v>10772</v>
      </c>
      <c r="K306" s="31" t="n">
        <v>13631.5</v>
      </c>
      <c r="L306" s="31" t="n">
        <v>13220.16666666667</v>
      </c>
      <c r="M306" s="36" t="n">
        <v>0.5380952392556891</v>
      </c>
      <c r="N306" s="36" t="n">
        <v>0.6602970823705657</v>
      </c>
      <c r="O306" s="36" t="n">
        <v>0.1182212581344901</v>
      </c>
      <c r="P306" s="36" t="n">
        <v>-0.3984830805134189</v>
      </c>
      <c r="Q306" s="36" t="n">
        <v>-0.1604234527687296</v>
      </c>
      <c r="R306" s="36" t="n">
        <v>-0.04288897140735237</v>
      </c>
      <c r="S306" s="36" t="n">
        <v>-0.2436635733411584</v>
      </c>
      <c r="T306" s="36" t="n">
        <v>-0.2201308606800216</v>
      </c>
      <c r="U306" s="31" t="n">
        <v>18970</v>
      </c>
      <c r="V306" s="31" t="n">
        <v>7900</v>
      </c>
      <c r="W306" s="36" t="n">
        <v>-0.4565102793885082</v>
      </c>
      <c r="X306" s="36" t="n">
        <v>0.3050632911392406</v>
      </c>
      <c r="Y306" s="31" t="n">
        <v>33416778</v>
      </c>
      <c r="Z306" s="31" t="n">
        <v>344526981180</v>
      </c>
      <c r="AA306" s="31" t="n">
        <v>2520176400</v>
      </c>
      <c r="AB306" s="31" t="n">
        <v>5503352669.5</v>
      </c>
      <c r="AC306" s="36" t="n">
        <v>0.007314888347404408</v>
      </c>
      <c r="AD306" s="29" t="inlineStr">
        <is>
          <t>yfinance_download</t>
        </is>
      </c>
      <c r="AE306" s="29" t="inlineStr">
        <is>
          <t>059090.KQ</t>
        </is>
      </c>
    </row>
    <row r="307" ht="24" customHeight="1">
      <c r="A307" s="24" t="inlineStr">
        <is>
          <t>2024-09-04</t>
        </is>
      </c>
      <c r="B307" s="30" t="n">
        <v>9600</v>
      </c>
      <c r="C307" s="30" t="n">
        <v>9920</v>
      </c>
      <c r="D307" s="30" t="n">
        <v>9590</v>
      </c>
      <c r="E307" s="30" t="n">
        <v>9740</v>
      </c>
      <c r="F307" s="30" t="n">
        <v>9740</v>
      </c>
      <c r="G307" s="30" t="n">
        <v>301300</v>
      </c>
      <c r="H307" s="35" t="n">
        <v>-0.05528612997090199</v>
      </c>
      <c r="I307" s="35" t="n">
        <v>-0.4865577227200844</v>
      </c>
      <c r="J307" s="30" t="n">
        <v>10768.5</v>
      </c>
      <c r="K307" s="30" t="n">
        <v>13507.33333333333</v>
      </c>
      <c r="L307" s="30" t="n">
        <v>13207.58333333333</v>
      </c>
      <c r="M307" s="35" t="n">
        <v>0.5345770028520633</v>
      </c>
      <c r="N307" s="35" t="n">
        <v>0.667093165310939</v>
      </c>
      <c r="O307" s="35" t="n">
        <v>-0.007135575942915362</v>
      </c>
      <c r="P307" s="35" t="n">
        <v>-0.433391506689936</v>
      </c>
      <c r="Q307" s="35" t="n">
        <v>-0.1342222222222222</v>
      </c>
      <c r="R307" s="35" t="n">
        <v>-0.09551005246784605</v>
      </c>
      <c r="S307" s="35" t="n">
        <v>-0.2789102216080155</v>
      </c>
      <c r="T307" s="35" t="n">
        <v>-0.2625448763652195</v>
      </c>
      <c r="U307" s="30" t="n">
        <v>18970</v>
      </c>
      <c r="V307" s="30" t="n">
        <v>7900</v>
      </c>
      <c r="W307" s="35" t="n">
        <v>-0.4865577227200844</v>
      </c>
      <c r="X307" s="35" t="n">
        <v>0.2329113924050632</v>
      </c>
      <c r="Y307" s="30" t="n">
        <v>33416778</v>
      </c>
      <c r="Z307" s="30" t="n">
        <v>325479417720</v>
      </c>
      <c r="AA307" s="30" t="n">
        <v>2934662000</v>
      </c>
      <c r="AB307" s="30" t="n">
        <v>5299802552</v>
      </c>
      <c r="AC307" s="35" t="n">
        <v>0.009016428813095027</v>
      </c>
      <c r="AD307" s="24" t="inlineStr">
        <is>
          <t>yfinance_download</t>
        </is>
      </c>
      <c r="AE307" s="24" t="inlineStr">
        <is>
          <t>059090.KQ</t>
        </is>
      </c>
    </row>
    <row r="308" ht="24" customHeight="1">
      <c r="A308" s="29" t="inlineStr">
        <is>
          <t>2024-09-05</t>
        </is>
      </c>
      <c r="B308" s="31" t="n">
        <v>9750</v>
      </c>
      <c r="C308" s="31" t="n">
        <v>9910</v>
      </c>
      <c r="D308" s="31" t="n">
        <v>9390</v>
      </c>
      <c r="E308" s="31" t="n">
        <v>9510</v>
      </c>
      <c r="F308" s="31" t="n">
        <v>9510</v>
      </c>
      <c r="G308" s="31" t="n">
        <v>249423</v>
      </c>
      <c r="H308" s="36" t="n">
        <v>-0.02361396303901442</v>
      </c>
      <c r="I308" s="36" t="n">
        <v>-0.4986821296784396</v>
      </c>
      <c r="J308" s="31" t="n">
        <v>10735.5</v>
      </c>
      <c r="K308" s="31" t="n">
        <v>13375.16666666667</v>
      </c>
      <c r="L308" s="31" t="n">
        <v>13194.5</v>
      </c>
      <c r="M308" s="36" t="n">
        <v>0.5226656913774325</v>
      </c>
      <c r="N308" s="36" t="n">
        <v>0.6660397877031757</v>
      </c>
      <c r="O308" s="36" t="n">
        <v>-0.06489675516224191</v>
      </c>
      <c r="P308" s="36" t="n">
        <v>-0.4547018348623854</v>
      </c>
      <c r="Q308" s="36" t="n">
        <v>-0.1416967509025271</v>
      </c>
      <c r="R308" s="36" t="n">
        <v>-0.1141539751292441</v>
      </c>
      <c r="S308" s="36" t="n">
        <v>-0.2889808226688764</v>
      </c>
      <c r="T308" s="36" t="n">
        <v>-0.2792451400204631</v>
      </c>
      <c r="U308" s="31" t="n">
        <v>18970</v>
      </c>
      <c r="V308" s="31" t="n">
        <v>7900</v>
      </c>
      <c r="W308" s="36" t="n">
        <v>-0.4986821296784396</v>
      </c>
      <c r="X308" s="36" t="n">
        <v>0.2037974683544304</v>
      </c>
      <c r="Y308" s="31" t="n">
        <v>33416778</v>
      </c>
      <c r="Z308" s="31" t="n">
        <v>317793558780</v>
      </c>
      <c r="AA308" s="31" t="n">
        <v>2372012730</v>
      </c>
      <c r="AB308" s="31" t="n">
        <v>5169192932</v>
      </c>
      <c r="AC308" s="36" t="n">
        <v>0.007464005057579159</v>
      </c>
      <c r="AD308" s="29" t="inlineStr">
        <is>
          <t>yfinance_download</t>
        </is>
      </c>
      <c r="AE308" s="29" t="inlineStr">
        <is>
          <t>059090.KQ</t>
        </is>
      </c>
    </row>
    <row r="309" ht="24" customHeight="1">
      <c r="A309" s="24" t="inlineStr">
        <is>
          <t>2024-09-06</t>
        </is>
      </c>
      <c r="B309" s="30" t="n">
        <v>9430</v>
      </c>
      <c r="C309" s="30" t="n">
        <v>9610</v>
      </c>
      <c r="D309" s="30" t="n">
        <v>9100</v>
      </c>
      <c r="E309" s="30" t="n">
        <v>9240</v>
      </c>
      <c r="F309" s="30" t="n">
        <v>9240</v>
      </c>
      <c r="G309" s="30" t="n">
        <v>277706</v>
      </c>
      <c r="H309" s="35" t="n">
        <v>-0.02839116719242907</v>
      </c>
      <c r="I309" s="35" t="n">
        <v>-0.5129151291512914</v>
      </c>
      <c r="J309" s="30" t="n">
        <v>10691</v>
      </c>
      <c r="K309" s="30" t="n">
        <v>13246.66666666667</v>
      </c>
      <c r="L309" s="30" t="n">
        <v>13177.33333333333</v>
      </c>
      <c r="M309" s="35" t="n">
        <v>0.5304973170144096</v>
      </c>
      <c r="N309" s="35" t="n">
        <v>0.6660758614359525</v>
      </c>
      <c r="O309" s="35" t="n">
        <v>-0.08785784797630802</v>
      </c>
      <c r="P309" s="35" t="n">
        <v>-0.4548672566371681</v>
      </c>
      <c r="Q309" s="35" t="n">
        <v>-0.1823008849557523</v>
      </c>
      <c r="R309" s="35" t="n">
        <v>-0.1357216350201104</v>
      </c>
      <c r="S309" s="35" t="n">
        <v>-0.3024660291897332</v>
      </c>
      <c r="T309" s="35" t="n">
        <v>-0.2987959121724173</v>
      </c>
      <c r="U309" s="30" t="n">
        <v>18970</v>
      </c>
      <c r="V309" s="30" t="n">
        <v>7900</v>
      </c>
      <c r="W309" s="35" t="n">
        <v>-0.5129151291512914</v>
      </c>
      <c r="X309" s="35" t="n">
        <v>0.169620253164557</v>
      </c>
      <c r="Y309" s="30" t="n">
        <v>33416778</v>
      </c>
      <c r="Z309" s="30" t="n">
        <v>308771028720</v>
      </c>
      <c r="AA309" s="30" t="n">
        <v>2566003440</v>
      </c>
      <c r="AB309" s="30" t="n">
        <v>5137605236</v>
      </c>
      <c r="AC309" s="35" t="n">
        <v>0.008310376302586683</v>
      </c>
      <c r="AD309" s="24" t="inlineStr">
        <is>
          <t>yfinance_download</t>
        </is>
      </c>
      <c r="AE309" s="24" t="inlineStr">
        <is>
          <t>059090.KQ</t>
        </is>
      </c>
    </row>
    <row r="310" ht="24" customHeight="1">
      <c r="A310" s="29" t="inlineStr">
        <is>
          <t>2024-09-09</t>
        </is>
      </c>
      <c r="B310" s="31" t="n">
        <v>9030</v>
      </c>
      <c r="C310" s="31" t="n">
        <v>9710</v>
      </c>
      <c r="D310" s="31" t="n">
        <v>9010</v>
      </c>
      <c r="E310" s="31" t="n">
        <v>9650</v>
      </c>
      <c r="F310" s="31" t="n">
        <v>9650</v>
      </c>
      <c r="G310" s="31" t="n">
        <v>357553</v>
      </c>
      <c r="H310" s="36" t="n">
        <v>0.0443722943722944</v>
      </c>
      <c r="I310" s="36" t="n">
        <v>-0.4913020558777016</v>
      </c>
      <c r="J310" s="31" t="n">
        <v>10660</v>
      </c>
      <c r="K310" s="31" t="n">
        <v>13125.83333333333</v>
      </c>
      <c r="L310" s="31" t="n">
        <v>13165.33333333333</v>
      </c>
      <c r="M310" s="36" t="n">
        <v>0.5546888884546065</v>
      </c>
      <c r="N310" s="36" t="n">
        <v>0.6749633282910845</v>
      </c>
      <c r="O310" s="36" t="n">
        <v>-0.06037000973709838</v>
      </c>
      <c r="P310" s="36" t="n">
        <v>-0.4289940828402367</v>
      </c>
      <c r="Q310" s="36" t="n">
        <v>-0.1298467087466185</v>
      </c>
      <c r="R310" s="36" t="n">
        <v>-0.09474671669793622</v>
      </c>
      <c r="S310" s="36" t="n">
        <v>-0.2648085835819949</v>
      </c>
      <c r="T310" s="36" t="n">
        <v>-0.2670143812031599</v>
      </c>
      <c r="U310" s="31" t="n">
        <v>18970</v>
      </c>
      <c r="V310" s="31" t="n">
        <v>7900</v>
      </c>
      <c r="W310" s="36" t="n">
        <v>-0.4913020558777016</v>
      </c>
      <c r="X310" s="36" t="n">
        <v>0.2215189873417722</v>
      </c>
      <c r="Y310" s="31" t="n">
        <v>33416778</v>
      </c>
      <c r="Z310" s="31" t="n">
        <v>322471907700</v>
      </c>
      <c r="AA310" s="31" t="n">
        <v>3450386450</v>
      </c>
      <c r="AB310" s="31" t="n">
        <v>5144049415.5</v>
      </c>
      <c r="AC310" s="36" t="n">
        <v>0.01069980475077519</v>
      </c>
      <c r="AD310" s="29" t="inlineStr">
        <is>
          <t>yfinance_download</t>
        </is>
      </c>
      <c r="AE310" s="29" t="inlineStr">
        <is>
          <t>059090.KQ</t>
        </is>
      </c>
    </row>
    <row r="311" ht="24" customHeight="1">
      <c r="A311" s="24" t="inlineStr">
        <is>
          <t>2024-09-10</t>
        </is>
      </c>
      <c r="B311" s="30" t="n">
        <v>9790</v>
      </c>
      <c r="C311" s="30" t="n">
        <v>9790</v>
      </c>
      <c r="D311" s="30" t="n">
        <v>9520</v>
      </c>
      <c r="E311" s="30" t="n">
        <v>9570</v>
      </c>
      <c r="F311" s="30" t="n">
        <v>9570</v>
      </c>
      <c r="G311" s="30" t="n">
        <v>213899</v>
      </c>
      <c r="H311" s="35" t="n">
        <v>-0.008290155440414559</v>
      </c>
      <c r="I311" s="35" t="n">
        <v>-0.4955192409066947</v>
      </c>
      <c r="J311" s="30" t="n">
        <v>10619</v>
      </c>
      <c r="K311" s="30" t="n">
        <v>13005.16666666667</v>
      </c>
      <c r="L311" s="30" t="n">
        <v>13153.58333333333</v>
      </c>
      <c r="M311" s="35" t="n">
        <v>0.5524253835718799</v>
      </c>
      <c r="N311" s="35" t="n">
        <v>0.6749334105329298</v>
      </c>
      <c r="O311" s="35" t="n">
        <v>-0.07892204042348416</v>
      </c>
      <c r="P311" s="35" t="n">
        <v>-0.4306960142772159</v>
      </c>
      <c r="Q311" s="35" t="n">
        <v>-0.1284153005464481</v>
      </c>
      <c r="R311" s="35" t="n">
        <v>-0.098785196346172</v>
      </c>
      <c r="S311" s="35" t="n">
        <v>-0.26413861157745</v>
      </c>
      <c r="T311" s="35" t="n">
        <v>-0.2724416033653694</v>
      </c>
      <c r="U311" s="30" t="n">
        <v>18970</v>
      </c>
      <c r="V311" s="30" t="n">
        <v>7900</v>
      </c>
      <c r="W311" s="35" t="n">
        <v>-0.4955192409066947</v>
      </c>
      <c r="X311" s="35" t="n">
        <v>0.2113924050632912</v>
      </c>
      <c r="Y311" s="30" t="n">
        <v>33416778</v>
      </c>
      <c r="Z311" s="30" t="n">
        <v>319798565460</v>
      </c>
      <c r="AA311" s="30" t="n">
        <v>2047013430</v>
      </c>
      <c r="AB311" s="30" t="n">
        <v>5149916988.5</v>
      </c>
      <c r="AC311" s="35" t="n">
        <v>0.006400946255201504</v>
      </c>
      <c r="AD311" s="24" t="inlineStr">
        <is>
          <t>yfinance_download</t>
        </is>
      </c>
      <c r="AE311" s="24" t="inlineStr">
        <is>
          <t>059090.KQ</t>
        </is>
      </c>
    </row>
    <row r="312" ht="24" customHeight="1">
      <c r="A312" s="29" t="inlineStr">
        <is>
          <t>2024-09-11</t>
        </is>
      </c>
      <c r="B312" s="31" t="n">
        <v>9500</v>
      </c>
      <c r="C312" s="31" t="n">
        <v>9950</v>
      </c>
      <c r="D312" s="31" t="n">
        <v>9500</v>
      </c>
      <c r="E312" s="31" t="n">
        <v>9750</v>
      </c>
      <c r="F312" s="31" t="n">
        <v>9750</v>
      </c>
      <c r="G312" s="31" t="n">
        <v>225316</v>
      </c>
      <c r="H312" s="36" t="n">
        <v>0.01880877742946718</v>
      </c>
      <c r="I312" s="36" t="n">
        <v>-0.4860305745914602</v>
      </c>
      <c r="J312" s="31" t="n">
        <v>10581.5</v>
      </c>
      <c r="K312" s="31" t="n">
        <v>12865</v>
      </c>
      <c r="L312" s="31" t="n">
        <v>13142.16666666667</v>
      </c>
      <c r="M312" s="36" t="n">
        <v>0.5559718472206251</v>
      </c>
      <c r="N312" s="36" t="n">
        <v>0.6517684961027492</v>
      </c>
      <c r="O312" s="36" t="n">
        <v>-0.0714285714285714</v>
      </c>
      <c r="P312" s="36" t="n">
        <v>-0.4631057268722467</v>
      </c>
      <c r="Q312" s="36" t="n">
        <v>-0.1232014388489209</v>
      </c>
      <c r="R312" s="36" t="n">
        <v>-0.07858054151112792</v>
      </c>
      <c r="S312" s="36" t="n">
        <v>-0.242129809560824</v>
      </c>
      <c r="T312" s="36" t="n">
        <v>-0.2581131979759805</v>
      </c>
      <c r="U312" s="31" t="n">
        <v>18970</v>
      </c>
      <c r="V312" s="31" t="n">
        <v>7900</v>
      </c>
      <c r="W312" s="36" t="n">
        <v>-0.4860305745914602</v>
      </c>
      <c r="X312" s="36" t="n">
        <v>0.2341772151898733</v>
      </c>
      <c r="Y312" s="31" t="n">
        <v>33416778</v>
      </c>
      <c r="Z312" s="31" t="n">
        <v>325813585500</v>
      </c>
      <c r="AA312" s="31" t="n">
        <v>2196831000</v>
      </c>
      <c r="AB312" s="31" t="n">
        <v>4238669763.5</v>
      </c>
      <c r="AC312" s="36" t="n">
        <v>0.006742600977269562</v>
      </c>
      <c r="AD312" s="29" t="inlineStr">
        <is>
          <t>yfinance_download</t>
        </is>
      </c>
      <c r="AE312" s="29" t="inlineStr">
        <is>
          <t>059090.KQ</t>
        </is>
      </c>
    </row>
    <row r="313" ht="24" customHeight="1">
      <c r="A313" s="24" t="inlineStr">
        <is>
          <t>2024-09-12</t>
        </is>
      </c>
      <c r="B313" s="30" t="n">
        <v>10100</v>
      </c>
      <c r="C313" s="30" t="n">
        <v>10540</v>
      </c>
      <c r="D313" s="30" t="n">
        <v>10000</v>
      </c>
      <c r="E313" s="30" t="n">
        <v>10270</v>
      </c>
      <c r="F313" s="30" t="n">
        <v>10270</v>
      </c>
      <c r="G313" s="30" t="n">
        <v>699071</v>
      </c>
      <c r="H313" s="35" t="n">
        <v>0.05333333333333323</v>
      </c>
      <c r="I313" s="35" t="n">
        <v>-0.4586188719030048</v>
      </c>
      <c r="J313" s="30" t="n">
        <v>10547</v>
      </c>
      <c r="K313" s="30" t="n">
        <v>12724.5</v>
      </c>
      <c r="L313" s="30" t="n">
        <v>13131</v>
      </c>
      <c r="M313" s="35" t="n">
        <v>0.5675417071668147</v>
      </c>
      <c r="N313" s="35" t="n">
        <v>0.6595759431345289</v>
      </c>
      <c r="O313" s="35" t="n">
        <v>-0.06295620437956206</v>
      </c>
      <c r="P313" s="35" t="n">
        <v>-0.4508021390374332</v>
      </c>
      <c r="Q313" s="35" t="n">
        <v>-0.1154177433247201</v>
      </c>
      <c r="R313" s="35" t="n">
        <v>-0.02626339243386744</v>
      </c>
      <c r="S313" s="35" t="n">
        <v>-0.1928955951117922</v>
      </c>
      <c r="T313" s="35" t="n">
        <v>-0.2178813494783337</v>
      </c>
      <c r="U313" s="30" t="n">
        <v>18970</v>
      </c>
      <c r="V313" s="30" t="n">
        <v>7900</v>
      </c>
      <c r="W313" s="35" t="n">
        <v>-0.4586188719030048</v>
      </c>
      <c r="X313" s="35" t="n">
        <v>0.3</v>
      </c>
      <c r="Y313" s="30" t="n">
        <v>33416778</v>
      </c>
      <c r="Z313" s="30" t="n">
        <v>343190310060</v>
      </c>
      <c r="AA313" s="30" t="n">
        <v>7179459170</v>
      </c>
      <c r="AB313" s="30" t="n">
        <v>4258202206</v>
      </c>
      <c r="AC313" s="35" t="n">
        <v>0.02091976072618372</v>
      </c>
      <c r="AD313" s="24" t="inlineStr">
        <is>
          <t>yfinance_download</t>
        </is>
      </c>
      <c r="AE313" s="24" t="inlineStr">
        <is>
          <t>059090.KQ</t>
        </is>
      </c>
    </row>
    <row r="314" ht="24" customHeight="1">
      <c r="A314" s="29" t="inlineStr">
        <is>
          <t>2024-09-13</t>
        </is>
      </c>
      <c r="B314" s="31" t="n">
        <v>10200</v>
      </c>
      <c r="C314" s="31" t="n">
        <v>10200</v>
      </c>
      <c r="D314" s="31" t="n">
        <v>9790</v>
      </c>
      <c r="E314" s="31" t="n">
        <v>9810</v>
      </c>
      <c r="F314" s="31" t="n">
        <v>9810</v>
      </c>
      <c r="G314" s="31" t="n">
        <v>271555</v>
      </c>
      <c r="H314" s="36" t="n">
        <v>-0.0447906523855891</v>
      </c>
      <c r="I314" s="36" t="n">
        <v>-0.4828676858197153</v>
      </c>
      <c r="J314" s="31" t="n">
        <v>10471.5</v>
      </c>
      <c r="K314" s="31" t="n">
        <v>12586.33333333333</v>
      </c>
      <c r="L314" s="31" t="n">
        <v>13114.5</v>
      </c>
      <c r="M314" s="36" t="n">
        <v>0.5700519286922592</v>
      </c>
      <c r="N314" s="36" t="n">
        <v>0.6619799912522439</v>
      </c>
      <c r="O314" s="36" t="n">
        <v>-0.1333922261484098</v>
      </c>
      <c r="P314" s="36" t="n">
        <v>-0.4580110497237569</v>
      </c>
      <c r="Q314" s="36" t="n">
        <v>-0.1679389312977099</v>
      </c>
      <c r="R314" s="36" t="n">
        <v>-0.0631714654061023</v>
      </c>
      <c r="S314" s="36" t="n">
        <v>-0.2205831722238407</v>
      </c>
      <c r="T314" s="36" t="n">
        <v>-0.2519730069770102</v>
      </c>
      <c r="U314" s="31" t="n">
        <v>18970</v>
      </c>
      <c r="V314" s="31" t="n">
        <v>7900</v>
      </c>
      <c r="W314" s="36" t="n">
        <v>-0.4828676858197153</v>
      </c>
      <c r="X314" s="36" t="n">
        <v>0.2417721518987341</v>
      </c>
      <c r="Y314" s="31" t="n">
        <v>33416778</v>
      </c>
      <c r="Z314" s="31" t="n">
        <v>327818592180</v>
      </c>
      <c r="AA314" s="31" t="n">
        <v>2663954550</v>
      </c>
      <c r="AB314" s="31" t="n">
        <v>3961015797.5</v>
      </c>
      <c r="AC314" s="36" t="n">
        <v>0.008126307090408296</v>
      </c>
      <c r="AD314" s="29" t="inlineStr">
        <is>
          <t>yfinance_download</t>
        </is>
      </c>
      <c r="AE314" s="29" t="inlineStr">
        <is>
          <t>059090.KQ</t>
        </is>
      </c>
    </row>
    <row r="315" ht="24" customHeight="1">
      <c r="A315" s="24" t="inlineStr">
        <is>
          <t>2024-09-19</t>
        </is>
      </c>
      <c r="B315" s="30" t="n">
        <v>9850</v>
      </c>
      <c r="C315" s="30" t="n">
        <v>9860</v>
      </c>
      <c r="D315" s="30" t="n">
        <v>9190</v>
      </c>
      <c r="E315" s="30" t="n">
        <v>9360</v>
      </c>
      <c r="F315" s="30" t="n">
        <v>9360</v>
      </c>
      <c r="G315" s="30" t="n">
        <v>341629</v>
      </c>
      <c r="H315" s="35" t="n">
        <v>-0.04587155963302747</v>
      </c>
      <c r="I315" s="35" t="n">
        <v>-0.5065893516078017</v>
      </c>
      <c r="J315" s="30" t="n">
        <v>10394</v>
      </c>
      <c r="K315" s="30" t="n">
        <v>12426.16666666667</v>
      </c>
      <c r="L315" s="30" t="n">
        <v>13093.16666666667</v>
      </c>
      <c r="M315" s="35" t="n">
        <v>0.577698733030834</v>
      </c>
      <c r="N315" s="35" t="n">
        <v>0.655186621881631</v>
      </c>
      <c r="O315" s="35" t="n">
        <v>-0.1420714940421631</v>
      </c>
      <c r="P315" s="35" t="n">
        <v>-0.5065893516078017</v>
      </c>
      <c r="Q315" s="35" t="n">
        <v>-0.214765100671141</v>
      </c>
      <c r="R315" s="35" t="n">
        <v>-0.09948046950163558</v>
      </c>
      <c r="S315" s="35" t="n">
        <v>-0.2467508081065494</v>
      </c>
      <c r="T315" s="35" t="n">
        <v>-0.2851232831375144</v>
      </c>
      <c r="U315" s="30" t="n">
        <v>18970</v>
      </c>
      <c r="V315" s="30" t="n">
        <v>7900</v>
      </c>
      <c r="W315" s="35" t="n">
        <v>-0.5065893516078017</v>
      </c>
      <c r="X315" s="35" t="n">
        <v>0.1848101265822786</v>
      </c>
      <c r="Y315" s="30" t="n">
        <v>33416778</v>
      </c>
      <c r="Z315" s="30" t="n">
        <v>312781042080</v>
      </c>
      <c r="AA315" s="30" t="n">
        <v>3197647440</v>
      </c>
      <c r="AB315" s="30" t="n">
        <v>3938257678</v>
      </c>
      <c r="AC315" s="35" t="n">
        <v>0.01022327766010236</v>
      </c>
      <c r="AD315" s="24" t="inlineStr">
        <is>
          <t>yfinance_download</t>
        </is>
      </c>
      <c r="AE315" s="24" t="inlineStr">
        <is>
          <t>059090.KQ</t>
        </is>
      </c>
    </row>
    <row r="316" ht="24" customHeight="1">
      <c r="A316" s="29" t="inlineStr">
        <is>
          <t>2024-09-20</t>
        </is>
      </c>
      <c r="B316" s="31" t="n">
        <v>9600</v>
      </c>
      <c r="C316" s="31" t="n">
        <v>9700</v>
      </c>
      <c r="D316" s="31" t="n">
        <v>9230</v>
      </c>
      <c r="E316" s="31" t="n">
        <v>9250</v>
      </c>
      <c r="F316" s="31" t="n">
        <v>9250</v>
      </c>
      <c r="G316" s="31" t="n">
        <v>325811</v>
      </c>
      <c r="H316" s="36" t="n">
        <v>-0.01175213675213671</v>
      </c>
      <c r="I316" s="36" t="n">
        <v>-0.5123879810226674</v>
      </c>
      <c r="J316" s="31" t="n">
        <v>10270</v>
      </c>
      <c r="K316" s="31" t="n">
        <v>12264.16666666667</v>
      </c>
      <c r="L316" s="31" t="n">
        <v>13072.16666666667</v>
      </c>
      <c r="M316" s="36" t="n">
        <v>0.489361517353783</v>
      </c>
      <c r="N316" s="36" t="n">
        <v>0.6547989905041901</v>
      </c>
      <c r="O316" s="36" t="n">
        <v>-0.2114236999147485</v>
      </c>
      <c r="P316" s="36" t="n">
        <v>-0.5123879810226674</v>
      </c>
      <c r="Q316" s="36" t="n">
        <v>-0.2141036533559898</v>
      </c>
      <c r="R316" s="36" t="n">
        <v>-0.09931840311587148</v>
      </c>
      <c r="S316" s="36" t="n">
        <v>-0.2457701977305157</v>
      </c>
      <c r="T316" s="36" t="n">
        <v>-0.2923896829140795</v>
      </c>
      <c r="U316" s="31" t="n">
        <v>18970</v>
      </c>
      <c r="V316" s="31" t="n">
        <v>7900</v>
      </c>
      <c r="W316" s="36" t="n">
        <v>-0.5123879810226674</v>
      </c>
      <c r="X316" s="36" t="n">
        <v>0.1708860759493671</v>
      </c>
      <c r="Y316" s="31" t="n">
        <v>33416778</v>
      </c>
      <c r="Z316" s="31" t="n">
        <v>309105196500</v>
      </c>
      <c r="AA316" s="31" t="n">
        <v>3013751750</v>
      </c>
      <c r="AB316" s="31" t="n">
        <v>3677125493</v>
      </c>
      <c r="AC316" s="36" t="n">
        <v>0.009749922628686703</v>
      </c>
      <c r="AD316" s="29" t="inlineStr">
        <is>
          <t>yfinance_download</t>
        </is>
      </c>
      <c r="AE316" s="29" t="inlineStr">
        <is>
          <t>059090.KQ</t>
        </is>
      </c>
    </row>
    <row r="317" ht="24" customHeight="1">
      <c r="A317" s="24" t="inlineStr">
        <is>
          <t>2024-09-23</t>
        </is>
      </c>
      <c r="B317" s="30" t="n">
        <v>9250</v>
      </c>
      <c r="C317" s="30" t="n">
        <v>10420</v>
      </c>
      <c r="D317" s="30" t="n">
        <v>9160</v>
      </c>
      <c r="E317" s="30" t="n">
        <v>9960</v>
      </c>
      <c r="F317" s="30" t="n">
        <v>9960</v>
      </c>
      <c r="G317" s="30" t="n">
        <v>773111</v>
      </c>
      <c r="H317" s="35" t="n">
        <v>0.07675675675675686</v>
      </c>
      <c r="I317" s="35" t="n">
        <v>-0.4749604638903532</v>
      </c>
      <c r="J317" s="30" t="n">
        <v>10202.5</v>
      </c>
      <c r="K317" s="30" t="n">
        <v>12121</v>
      </c>
      <c r="L317" s="30" t="n">
        <v>13058.41666666667</v>
      </c>
      <c r="M317" s="35" t="n">
        <v>0.5710628135314598</v>
      </c>
      <c r="N317" s="35" t="n">
        <v>0.6785690917359133</v>
      </c>
      <c r="O317" s="35" t="n">
        <v>-0.1193633952254642</v>
      </c>
      <c r="P317" s="35" t="n">
        <v>-0.4630727762803234</v>
      </c>
      <c r="Q317" s="35" t="n">
        <v>-0.1421188630490956</v>
      </c>
      <c r="R317" s="35" t="n">
        <v>-0.02376868414604261</v>
      </c>
      <c r="S317" s="35" t="n">
        <v>-0.17828561999835</v>
      </c>
      <c r="T317" s="35" t="n">
        <v>-0.2372735336724079</v>
      </c>
      <c r="U317" s="30" t="n">
        <v>18970</v>
      </c>
      <c r="V317" s="30" t="n">
        <v>7900</v>
      </c>
      <c r="W317" s="35" t="n">
        <v>-0.4749604638903532</v>
      </c>
      <c r="X317" s="35" t="n">
        <v>0.2607594936708861</v>
      </c>
      <c r="Y317" s="30" t="n">
        <v>33416778</v>
      </c>
      <c r="Z317" s="30" t="n">
        <v>332831108880</v>
      </c>
      <c r="AA317" s="30" t="n">
        <v>7700185560</v>
      </c>
      <c r="AB317" s="30" t="n">
        <v>3883626213.5</v>
      </c>
      <c r="AC317" s="35" t="n">
        <v>0.02313541419223601</v>
      </c>
      <c r="AD317" s="24" t="inlineStr">
        <is>
          <t>yfinance_download</t>
        </is>
      </c>
      <c r="AE317" s="24" t="inlineStr">
        <is>
          <t>059090.KQ</t>
        </is>
      </c>
    </row>
    <row r="318" ht="24" customHeight="1">
      <c r="A318" s="29" t="inlineStr">
        <is>
          <t>2024-09-24</t>
        </is>
      </c>
      <c r="B318" s="31" t="n">
        <v>9910</v>
      </c>
      <c r="C318" s="31" t="n">
        <v>10100</v>
      </c>
      <c r="D318" s="31" t="n">
        <v>9750</v>
      </c>
      <c r="E318" s="31" t="n">
        <v>9920</v>
      </c>
      <c r="F318" s="31" t="n">
        <v>9920</v>
      </c>
      <c r="G318" s="31" t="n">
        <v>199009</v>
      </c>
      <c r="H318" s="36" t="n">
        <v>-0.004016064257028162</v>
      </c>
      <c r="I318" s="36" t="n">
        <v>-0.4770690564048498</v>
      </c>
      <c r="J318" s="31" t="n">
        <v>10147.5</v>
      </c>
      <c r="K318" s="31" t="n">
        <v>11988.33333333333</v>
      </c>
      <c r="L318" s="31" t="n">
        <v>13043</v>
      </c>
      <c r="M318" s="36" t="n">
        <v>0.5661990545384935</v>
      </c>
      <c r="N318" s="36" t="n">
        <v>0.6763526441556649</v>
      </c>
      <c r="O318" s="36" t="n">
        <v>-0.09981851179673318</v>
      </c>
      <c r="P318" s="36" t="n">
        <v>-0.4451901565995525</v>
      </c>
      <c r="Q318" s="36" t="n">
        <v>-0.157179269328802</v>
      </c>
      <c r="R318" s="36" t="n">
        <v>-0.02241931510224193</v>
      </c>
      <c r="S318" s="36" t="n">
        <v>-0.1725288474906159</v>
      </c>
      <c r="T318" s="36" t="n">
        <v>-0.2394387794219122</v>
      </c>
      <c r="U318" s="31" t="n">
        <v>18970</v>
      </c>
      <c r="V318" s="31" t="n">
        <v>7900</v>
      </c>
      <c r="W318" s="36" t="n">
        <v>-0.4770690564048498</v>
      </c>
      <c r="X318" s="36" t="n">
        <v>0.2556962025316456</v>
      </c>
      <c r="Y318" s="31" t="n">
        <v>33416778</v>
      </c>
      <c r="Z318" s="31" t="n">
        <v>331494437760</v>
      </c>
      <c r="AA318" s="31" t="n">
        <v>1974169280</v>
      </c>
      <c r="AB318" s="31" t="n">
        <v>3113550937.5</v>
      </c>
      <c r="AC318" s="36" t="n">
        <v>0.005955361704829831</v>
      </c>
      <c r="AD318" s="29" t="inlineStr">
        <is>
          <t>yfinance_download</t>
        </is>
      </c>
      <c r="AE318" s="29" t="inlineStr">
        <is>
          <t>059090.KQ</t>
        </is>
      </c>
    </row>
    <row r="319" ht="24" customHeight="1">
      <c r="A319" s="24" t="inlineStr">
        <is>
          <t>2024-09-25</t>
        </is>
      </c>
      <c r="B319" s="30" t="n">
        <v>10070</v>
      </c>
      <c r="C319" s="30" t="n">
        <v>10220</v>
      </c>
      <c r="D319" s="30" t="n">
        <v>9920</v>
      </c>
      <c r="E319" s="30" t="n">
        <v>9930</v>
      </c>
      <c r="F319" s="30" t="n">
        <v>9930</v>
      </c>
      <c r="G319" s="30" t="n">
        <v>226011</v>
      </c>
      <c r="H319" s="35" t="n">
        <v>0.001008064516129004</v>
      </c>
      <c r="I319" s="35" t="n">
        <v>-0.4765419082762257</v>
      </c>
      <c r="J319" s="30" t="n">
        <v>10088</v>
      </c>
      <c r="K319" s="30" t="n">
        <v>11855.66666666667</v>
      </c>
      <c r="L319" s="30" t="n">
        <v>13016</v>
      </c>
      <c r="M319" s="35" t="n">
        <v>0.564327575336861</v>
      </c>
      <c r="N319" s="35" t="n">
        <v>0.676379932052619</v>
      </c>
      <c r="O319" s="35" t="n">
        <v>-0.1070143884892086</v>
      </c>
      <c r="P319" s="35" t="n">
        <v>-0.4449413079932923</v>
      </c>
      <c r="Q319" s="35" t="n">
        <v>-0.2460136674259681</v>
      </c>
      <c r="R319" s="35" t="n">
        <v>-0.01566217287866778</v>
      </c>
      <c r="S319" s="35" t="n">
        <v>-0.162425844181404</v>
      </c>
      <c r="T319" s="35" t="n">
        <v>-0.2370928088506453</v>
      </c>
      <c r="U319" s="30" t="n">
        <v>18970</v>
      </c>
      <c r="V319" s="30" t="n">
        <v>7900</v>
      </c>
      <c r="W319" s="35" t="n">
        <v>-0.4765419082762257</v>
      </c>
      <c r="X319" s="35" t="n">
        <v>0.2569620253164557</v>
      </c>
      <c r="Y319" s="30" t="n">
        <v>33416778</v>
      </c>
      <c r="Z319" s="30" t="n">
        <v>331828605540</v>
      </c>
      <c r="AA319" s="30" t="n">
        <v>2244289230</v>
      </c>
      <c r="AB319" s="30" t="n">
        <v>3048089483</v>
      </c>
      <c r="AC319" s="35" t="n">
        <v>0.006763398912965218</v>
      </c>
      <c r="AD319" s="24" t="inlineStr">
        <is>
          <t>yfinance_download</t>
        </is>
      </c>
      <c r="AE319" s="24" t="inlineStr">
        <is>
          <t>059090.KQ</t>
        </is>
      </c>
    </row>
    <row r="320" ht="24" customHeight="1">
      <c r="A320" s="29" t="inlineStr">
        <is>
          <t>2024-09-26</t>
        </is>
      </c>
      <c r="B320" s="31" t="n">
        <v>10260</v>
      </c>
      <c r="C320" s="31" t="n">
        <v>10550</v>
      </c>
      <c r="D320" s="31" t="n">
        <v>10120</v>
      </c>
      <c r="E320" s="31" t="n">
        <v>10400</v>
      </c>
      <c r="F320" s="31" t="n">
        <v>10400</v>
      </c>
      <c r="G320" s="31" t="n">
        <v>450621</v>
      </c>
      <c r="H320" s="36" t="n">
        <v>0.04733131923464251</v>
      </c>
      <c r="I320" s="36" t="n">
        <v>-0.4517659462308908</v>
      </c>
      <c r="J320" s="31" t="n">
        <v>10052</v>
      </c>
      <c r="K320" s="31" t="n">
        <v>11753.16666666667</v>
      </c>
      <c r="L320" s="31" t="n">
        <v>12992.25</v>
      </c>
      <c r="M320" s="36" t="n">
        <v>0.5941643998595627</v>
      </c>
      <c r="N320" s="36" t="n">
        <v>0.6717616844645076</v>
      </c>
      <c r="O320" s="36" t="n">
        <v>-0.06474820143884896</v>
      </c>
      <c r="P320" s="36" t="n">
        <v>-0.3716012084592145</v>
      </c>
      <c r="Q320" s="36" t="n">
        <v>-0.2150943396226415</v>
      </c>
      <c r="R320" s="36" t="n">
        <v>0.03461997612415435</v>
      </c>
      <c r="S320" s="36" t="n">
        <v>-0.1151320920602957</v>
      </c>
      <c r="T320" s="36" t="n">
        <v>-0.199522792433951</v>
      </c>
      <c r="U320" s="31" t="n">
        <v>18970</v>
      </c>
      <c r="V320" s="31" t="n">
        <v>7900</v>
      </c>
      <c r="W320" s="36" t="n">
        <v>-0.4517659462308908</v>
      </c>
      <c r="X320" s="36" t="n">
        <v>0.3164556962025316</v>
      </c>
      <c r="Y320" s="31" t="n">
        <v>33416778</v>
      </c>
      <c r="Z320" s="31" t="n">
        <v>347534491200</v>
      </c>
      <c r="AA320" s="31" t="n">
        <v>4686458400</v>
      </c>
      <c r="AB320" s="31" t="n">
        <v>3105276363</v>
      </c>
      <c r="AC320" s="36" t="n">
        <v>0.01348487277857847</v>
      </c>
      <c r="AD320" s="29" t="inlineStr">
        <is>
          <t>yfinance_download</t>
        </is>
      </c>
      <c r="AE320" s="29" t="inlineStr">
        <is>
          <t>059090.KQ</t>
        </is>
      </c>
    </row>
    <row r="321" ht="24" customHeight="1">
      <c r="A321" s="24" t="inlineStr">
        <is>
          <t>2024-09-27</t>
        </is>
      </c>
      <c r="B321" s="30" t="n">
        <v>10410</v>
      </c>
      <c r="C321" s="30" t="n">
        <v>10510</v>
      </c>
      <c r="D321" s="30" t="n">
        <v>10120</v>
      </c>
      <c r="E321" s="30" t="n">
        <v>10330</v>
      </c>
      <c r="F321" s="30" t="n">
        <v>10330</v>
      </c>
      <c r="G321" s="30" t="n">
        <v>213927</v>
      </c>
      <c r="H321" s="35" t="n">
        <v>-0.006730769230769207</v>
      </c>
      <c r="I321" s="35" t="n">
        <v>-0.4554559831312599</v>
      </c>
      <c r="J321" s="30" t="n">
        <v>10023</v>
      </c>
      <c r="K321" s="30" t="n">
        <v>11660.33333333333</v>
      </c>
      <c r="L321" s="30" t="n">
        <v>12969.91666666667</v>
      </c>
      <c r="M321" s="35" t="n">
        <v>0.5913279469962117</v>
      </c>
      <c r="N321" s="35" t="n">
        <v>0.6683450047081412</v>
      </c>
      <c r="O321" s="35" t="n">
        <v>-0.05316223648029328</v>
      </c>
      <c r="P321" s="35" t="n">
        <v>-0.3503144654088051</v>
      </c>
      <c r="Q321" s="35" t="n">
        <v>-0.2059953881629516</v>
      </c>
      <c r="R321" s="35" t="n">
        <v>0.03062955203033013</v>
      </c>
      <c r="S321" s="35" t="n">
        <v>-0.114090506274835</v>
      </c>
      <c r="T321" s="35" t="n">
        <v>-0.2035415287941967</v>
      </c>
      <c r="U321" s="30" t="n">
        <v>18970</v>
      </c>
      <c r="V321" s="30" t="n">
        <v>7900</v>
      </c>
      <c r="W321" s="35" t="n">
        <v>-0.4554559831312599</v>
      </c>
      <c r="X321" s="35" t="n">
        <v>0.3075949367088608</v>
      </c>
      <c r="Y321" s="30" t="n">
        <v>33416778</v>
      </c>
      <c r="Z321" s="30" t="n">
        <v>345195316740</v>
      </c>
      <c r="AA321" s="30" t="n">
        <v>2209865910</v>
      </c>
      <c r="AB321" s="30" t="n">
        <v>3139633678</v>
      </c>
      <c r="AC321" s="35" t="n">
        <v>0.006401784157646796</v>
      </c>
      <c r="AD321" s="24" t="inlineStr">
        <is>
          <t>yfinance_download</t>
        </is>
      </c>
      <c r="AE321" s="24" t="inlineStr">
        <is>
          <t>059090.KQ</t>
        </is>
      </c>
    </row>
    <row r="322" ht="24" customHeight="1">
      <c r="A322" s="29" t="inlineStr">
        <is>
          <t>2024-09-30</t>
        </is>
      </c>
      <c r="B322" s="31" t="n">
        <v>10330</v>
      </c>
      <c r="C322" s="31" t="n">
        <v>10330</v>
      </c>
      <c r="D322" s="31" t="n">
        <v>10010</v>
      </c>
      <c r="E322" s="31" t="n">
        <v>10020</v>
      </c>
      <c r="F322" s="31" t="n">
        <v>10020</v>
      </c>
      <c r="G322" s="31" t="n">
        <v>119925</v>
      </c>
      <c r="H322" s="36" t="n">
        <v>-0.0300096805421104</v>
      </c>
      <c r="I322" s="36" t="n">
        <v>-0.4717975751186083</v>
      </c>
      <c r="J322" s="31" t="n">
        <v>9968</v>
      </c>
      <c r="K322" s="31" t="n">
        <v>11568.5</v>
      </c>
      <c r="L322" s="31" t="n">
        <v>12946.83333333333</v>
      </c>
      <c r="M322" s="36" t="n">
        <v>0.5936160008048438</v>
      </c>
      <c r="N322" s="36" t="n">
        <v>0.6692196769863697</v>
      </c>
      <c r="O322" s="36" t="n">
        <v>-0.09892086330935257</v>
      </c>
      <c r="P322" s="36" t="n">
        <v>-0.3547971667739859</v>
      </c>
      <c r="Q322" s="36" t="n">
        <v>-0.2165754495699765</v>
      </c>
      <c r="R322" s="36" t="n">
        <v>0.005216693418940599</v>
      </c>
      <c r="S322" s="36" t="n">
        <v>-0.1338548645027445</v>
      </c>
      <c r="T322" s="36" t="n">
        <v>-0.2260655758808461</v>
      </c>
      <c r="U322" s="31" t="n">
        <v>18970</v>
      </c>
      <c r="V322" s="31" t="n">
        <v>7900</v>
      </c>
      <c r="W322" s="36" t="n">
        <v>-0.4717975751186083</v>
      </c>
      <c r="X322" s="36" t="n">
        <v>0.2683544303797469</v>
      </c>
      <c r="Y322" s="31" t="n">
        <v>33416778</v>
      </c>
      <c r="Z322" s="31" t="n">
        <v>334836115560</v>
      </c>
      <c r="AA322" s="31" t="n">
        <v>1201648500</v>
      </c>
      <c r="AB322" s="31" t="n">
        <v>3054930923</v>
      </c>
      <c r="AC322" s="36" t="n">
        <v>0.003588766098275543</v>
      </c>
      <c r="AD322" s="29" t="inlineStr">
        <is>
          <t>yfinance_download</t>
        </is>
      </c>
      <c r="AE322" s="29" t="inlineStr">
        <is>
          <t>059090.KQ</t>
        </is>
      </c>
    </row>
    <row r="323" ht="24" customHeight="1">
      <c r="A323" s="24" t="inlineStr">
        <is>
          <t>2024-10-02</t>
        </is>
      </c>
      <c r="B323" s="30" t="n">
        <v>9750</v>
      </c>
      <c r="C323" s="30" t="n">
        <v>9950</v>
      </c>
      <c r="D323" s="30" t="n">
        <v>9650</v>
      </c>
      <c r="E323" s="30" t="n">
        <v>9750</v>
      </c>
      <c r="F323" s="30" t="n">
        <v>9750</v>
      </c>
      <c r="G323" s="30" t="n">
        <v>149724</v>
      </c>
      <c r="H323" s="35" t="n">
        <v>-0.02694610778443118</v>
      </c>
      <c r="I323" s="35" t="n">
        <v>-0.4860305745914602</v>
      </c>
      <c r="J323" s="30" t="n">
        <v>9921.5</v>
      </c>
      <c r="K323" s="30" t="n">
        <v>11483.66666666667</v>
      </c>
      <c r="L323" s="30" t="n">
        <v>12925.58333333333</v>
      </c>
      <c r="M323" s="35" t="n">
        <v>0.5853701379515992</v>
      </c>
      <c r="N323" s="35" t="n">
        <v>0.6659241738396462</v>
      </c>
      <c r="O323" s="35" t="n">
        <v>-0.0870786516853933</v>
      </c>
      <c r="P323" s="35" t="n">
        <v>-0.3429919137466307</v>
      </c>
      <c r="Q323" s="35" t="n">
        <v>-0.2073170731707317</v>
      </c>
      <c r="R323" s="35" t="n">
        <v>-0.01728569268759761</v>
      </c>
      <c r="S323" s="35" t="n">
        <v>-0.1509680415662825</v>
      </c>
      <c r="T323" s="35" t="n">
        <v>-0.2456820130619508</v>
      </c>
      <c r="U323" s="30" t="n">
        <v>18970</v>
      </c>
      <c r="V323" s="30" t="n">
        <v>7900</v>
      </c>
      <c r="W323" s="35" t="n">
        <v>-0.4860305745914602</v>
      </c>
      <c r="X323" s="35" t="n">
        <v>0.2341772151898733</v>
      </c>
      <c r="Y323" s="30" t="n">
        <v>33416778</v>
      </c>
      <c r="Z323" s="30" t="n">
        <v>325813585500</v>
      </c>
      <c r="AA323" s="30" t="n">
        <v>1459809000</v>
      </c>
      <c r="AB323" s="30" t="n">
        <v>2970941393</v>
      </c>
      <c r="AC323" s="35" t="n">
        <v>0.004480503775678194</v>
      </c>
      <c r="AD323" s="24" t="inlineStr">
        <is>
          <t>yfinance_download</t>
        </is>
      </c>
      <c r="AE323" s="24" t="inlineStr">
        <is>
          <t>059090.KQ</t>
        </is>
      </c>
    </row>
    <row r="324" ht="24" customHeight="1">
      <c r="A324" s="29" t="inlineStr">
        <is>
          <t>2024-10-04</t>
        </is>
      </c>
      <c r="B324" s="31" t="n">
        <v>9820</v>
      </c>
      <c r="C324" s="31" t="n">
        <v>10220</v>
      </c>
      <c r="D324" s="31" t="n">
        <v>9790</v>
      </c>
      <c r="E324" s="31" t="n">
        <v>9920</v>
      </c>
      <c r="F324" s="31" t="n">
        <v>9920</v>
      </c>
      <c r="G324" s="31" t="n">
        <v>199254</v>
      </c>
      <c r="H324" s="36" t="n">
        <v>0.01743589743589746</v>
      </c>
      <c r="I324" s="36" t="n">
        <v>-0.4770690564048498</v>
      </c>
      <c r="J324" s="31" t="n">
        <v>9871</v>
      </c>
      <c r="K324" s="31" t="n">
        <v>11393.16666666667</v>
      </c>
      <c r="L324" s="31" t="n">
        <v>12905</v>
      </c>
      <c r="M324" s="36" t="n">
        <v>0.5820484387242264</v>
      </c>
      <c r="N324" s="36" t="n">
        <v>0.6624264734053787</v>
      </c>
      <c r="O324" s="36" t="n">
        <v>-0.09240622140896615</v>
      </c>
      <c r="P324" s="36" t="n">
        <v>-0.3537459283387622</v>
      </c>
      <c r="Q324" s="36" t="n">
        <v>-0.1993543179983858</v>
      </c>
      <c r="R324" s="36" t="n">
        <v>0.00496403606524165</v>
      </c>
      <c r="S324" s="36" t="n">
        <v>-0.1293026521745491</v>
      </c>
      <c r="T324" s="36" t="n">
        <v>-0.2313056954668733</v>
      </c>
      <c r="U324" s="31" t="n">
        <v>18970</v>
      </c>
      <c r="V324" s="31" t="n">
        <v>7900</v>
      </c>
      <c r="W324" s="36" t="n">
        <v>-0.4770690564048498</v>
      </c>
      <c r="X324" s="36" t="n">
        <v>0.2556962025316456</v>
      </c>
      <c r="Y324" s="31" t="n">
        <v>33416778</v>
      </c>
      <c r="Z324" s="31" t="n">
        <v>331494437760</v>
      </c>
      <c r="AA324" s="31" t="n">
        <v>1976599680</v>
      </c>
      <c r="AB324" s="31" t="n">
        <v>2956005379</v>
      </c>
      <c r="AC324" s="36" t="n">
        <v>0.005962693351226142</v>
      </c>
      <c r="AD324" s="29" t="inlineStr">
        <is>
          <t>yfinance_download</t>
        </is>
      </c>
      <c r="AE324" s="29" t="inlineStr">
        <is>
          <t>059090.KQ</t>
        </is>
      </c>
    </row>
    <row r="325" ht="24" customHeight="1">
      <c r="A325" s="24" t="inlineStr">
        <is>
          <t>2024-10-07</t>
        </is>
      </c>
      <c r="B325" s="30" t="n">
        <v>10050</v>
      </c>
      <c r="C325" s="30" t="n">
        <v>10320</v>
      </c>
      <c r="D325" s="30" t="n">
        <v>9830</v>
      </c>
      <c r="E325" s="30" t="n">
        <v>10280</v>
      </c>
      <c r="F325" s="30" t="n">
        <v>10280</v>
      </c>
      <c r="G325" s="30" t="n">
        <v>169121</v>
      </c>
      <c r="H325" s="35" t="n">
        <v>0.03629032258064524</v>
      </c>
      <c r="I325" s="35" t="n">
        <v>-0.4580917237743806</v>
      </c>
      <c r="J325" s="30" t="n">
        <v>9848.5</v>
      </c>
      <c r="K325" s="30" t="n">
        <v>11315.16666666667</v>
      </c>
      <c r="L325" s="30" t="n">
        <v>12889.16666666667</v>
      </c>
      <c r="M325" s="35" t="n">
        <v>0.5965896843649957</v>
      </c>
      <c r="N325" s="35" t="n">
        <v>0.6669035343505453</v>
      </c>
      <c r="O325" s="35" t="n">
        <v>-0.04193849021435225</v>
      </c>
      <c r="P325" s="35" t="n">
        <v>-0.3128342245989305</v>
      </c>
      <c r="Q325" s="35" t="n">
        <v>-0.1559934318555009</v>
      </c>
      <c r="R325" s="35" t="n">
        <v>0.04381377874803261</v>
      </c>
      <c r="S325" s="35" t="n">
        <v>-0.09148488017557554</v>
      </c>
      <c r="T325" s="35" t="n">
        <v>-0.2024309820909032</v>
      </c>
      <c r="U325" s="30" t="n">
        <v>18970</v>
      </c>
      <c r="V325" s="30" t="n">
        <v>7900</v>
      </c>
      <c r="W325" s="35" t="n">
        <v>-0.4580917237743806</v>
      </c>
      <c r="X325" s="35" t="n">
        <v>0.3012658227848102</v>
      </c>
      <c r="Y325" s="30" t="n">
        <v>33416778</v>
      </c>
      <c r="Z325" s="30" t="n">
        <v>343524477840</v>
      </c>
      <c r="AA325" s="30" t="n">
        <v>1738563880</v>
      </c>
      <c r="AB325" s="30" t="n">
        <v>2966674390</v>
      </c>
      <c r="AC325" s="35" t="n">
        <v>0.005060960694654643</v>
      </c>
      <c r="AD325" s="24" t="inlineStr">
        <is>
          <t>yfinance_download</t>
        </is>
      </c>
      <c r="AE325" s="24" t="inlineStr">
        <is>
          <t>059090.KQ</t>
        </is>
      </c>
    </row>
    <row r="326" ht="24" customHeight="1">
      <c r="A326" s="29" t="inlineStr">
        <is>
          <t>2024-10-08</t>
        </is>
      </c>
      <c r="B326" s="31" t="n">
        <v>10120</v>
      </c>
      <c r="C326" s="31" t="n">
        <v>10320</v>
      </c>
      <c r="D326" s="31" t="n">
        <v>9980</v>
      </c>
      <c r="E326" s="31" t="n">
        <v>10010</v>
      </c>
      <c r="F326" s="31" t="n">
        <v>10010</v>
      </c>
      <c r="G326" s="31" t="n">
        <v>128450</v>
      </c>
      <c r="H326" s="36" t="n">
        <v>-0.02626459143968873</v>
      </c>
      <c r="I326" s="36" t="n">
        <v>-0.4723247232472325</v>
      </c>
      <c r="J326" s="31" t="n">
        <v>9833.5</v>
      </c>
      <c r="K326" s="31" t="n">
        <v>11218.5</v>
      </c>
      <c r="L326" s="31" t="n">
        <v>12877.58333333333</v>
      </c>
      <c r="M326" s="36" t="n">
        <v>0.5874874237527313</v>
      </c>
      <c r="N326" s="36" t="n">
        <v>0.6554686760707112</v>
      </c>
      <c r="O326" s="36" t="n">
        <v>-0.02909796314258006</v>
      </c>
      <c r="P326" s="36" t="n">
        <v>-0.3668564199873497</v>
      </c>
      <c r="Q326" s="36" t="n">
        <v>-0.1219298245614036</v>
      </c>
      <c r="R326" s="36" t="n">
        <v>0.01794884832460464</v>
      </c>
      <c r="S326" s="36" t="n">
        <v>-0.1077238489994206</v>
      </c>
      <c r="T326" s="36" t="n">
        <v>-0.2226802389164634</v>
      </c>
      <c r="U326" s="31" t="n">
        <v>18970</v>
      </c>
      <c r="V326" s="31" t="n">
        <v>7900</v>
      </c>
      <c r="W326" s="36" t="n">
        <v>-0.4723247232472325</v>
      </c>
      <c r="X326" s="36" t="n">
        <v>0.2670886075949368</v>
      </c>
      <c r="Y326" s="31" t="n">
        <v>33416778</v>
      </c>
      <c r="Z326" s="31" t="n">
        <v>334501947780</v>
      </c>
      <c r="AA326" s="31" t="n">
        <v>1285784500</v>
      </c>
      <c r="AB326" s="31" t="n">
        <v>2904954795</v>
      </c>
      <c r="AC326" s="36" t="n">
        <v>0.003843877467779808</v>
      </c>
      <c r="AD326" s="29" t="inlineStr">
        <is>
          <t>yfinance_download</t>
        </is>
      </c>
      <c r="AE326" s="29" t="inlineStr">
        <is>
          <t>059090.KQ</t>
        </is>
      </c>
    </row>
    <row r="327" ht="24" customHeight="1">
      <c r="A327" s="24" t="inlineStr">
        <is>
          <t>2024-10-10</t>
        </is>
      </c>
      <c r="B327" s="30" t="n">
        <v>10110</v>
      </c>
      <c r="C327" s="30" t="n">
        <v>10220</v>
      </c>
      <c r="D327" s="30" t="n">
        <v>9780</v>
      </c>
      <c r="E327" s="30" t="n">
        <v>9780</v>
      </c>
      <c r="F327" s="30" t="n">
        <v>9780</v>
      </c>
      <c r="G327" s="30" t="n">
        <v>216534</v>
      </c>
      <c r="H327" s="35" t="n">
        <v>-0.02297702297702298</v>
      </c>
      <c r="I327" s="35" t="n">
        <v>-0.4844491302055878</v>
      </c>
      <c r="J327" s="30" t="n">
        <v>9835.5</v>
      </c>
      <c r="K327" s="30" t="n">
        <v>11125.33333333333</v>
      </c>
      <c r="L327" s="30" t="n">
        <v>12865.91666666667</v>
      </c>
      <c r="M327" s="35" t="n">
        <v>0.5582331920282002</v>
      </c>
      <c r="N327" s="35" t="n">
        <v>0.6548762697785202</v>
      </c>
      <c r="O327" s="35" t="n">
        <v>0.004106776180698102</v>
      </c>
      <c r="P327" s="35" t="n">
        <v>-0.3636955107351985</v>
      </c>
      <c r="Q327" s="35" t="n">
        <v>-0.1252236135957067</v>
      </c>
      <c r="R327" s="35" t="n">
        <v>-0.005642824462406604</v>
      </c>
      <c r="S327" s="35" t="n">
        <v>-0.1209252157238735</v>
      </c>
      <c r="T327" s="35" t="n">
        <v>-0.2398520639156427</v>
      </c>
      <c r="U327" s="30" t="n">
        <v>18970</v>
      </c>
      <c r="V327" s="30" t="n">
        <v>7900</v>
      </c>
      <c r="W327" s="35" t="n">
        <v>-0.4844491302055878</v>
      </c>
      <c r="X327" s="35" t="n">
        <v>0.2379746835443037</v>
      </c>
      <c r="Y327" s="30" t="n">
        <v>33416778</v>
      </c>
      <c r="Z327" s="30" t="n">
        <v>326816088840</v>
      </c>
      <c r="AA327" s="30" t="n">
        <v>2117702520</v>
      </c>
      <c r="AB327" s="30" t="n">
        <v>2864106821</v>
      </c>
      <c r="AC327" s="35" t="n">
        <v>0.006479798860321004</v>
      </c>
      <c r="AD327" s="24" t="inlineStr">
        <is>
          <t>yfinance_download</t>
        </is>
      </c>
      <c r="AE327" s="24" t="inlineStr">
        <is>
          <t>059090.KQ</t>
        </is>
      </c>
    </row>
    <row r="328" ht="24" customHeight="1">
      <c r="A328" s="29" t="inlineStr">
        <is>
          <t>2024-10-11</t>
        </is>
      </c>
      <c r="B328" s="31" t="n">
        <v>9810</v>
      </c>
      <c r="C328" s="31" t="n">
        <v>10490</v>
      </c>
      <c r="D328" s="31" t="n">
        <v>9810</v>
      </c>
      <c r="E328" s="31" t="n">
        <v>10300</v>
      </c>
      <c r="F328" s="31" t="n">
        <v>10300</v>
      </c>
      <c r="G328" s="31" t="n">
        <v>365655</v>
      </c>
      <c r="H328" s="36" t="n">
        <v>0.05316973415132931</v>
      </c>
      <c r="I328" s="36" t="n">
        <v>-0.4570374275171323</v>
      </c>
      <c r="J328" s="31" t="n">
        <v>9875</v>
      </c>
      <c r="K328" s="31" t="n">
        <v>11048</v>
      </c>
      <c r="L328" s="31" t="n">
        <v>12858.41666666667</v>
      </c>
      <c r="M328" s="36" t="n">
        <v>0.5798420340411838</v>
      </c>
      <c r="N328" s="36" t="n">
        <v>0.6646268616997317</v>
      </c>
      <c r="O328" s="36" t="n">
        <v>0.08307045215562558</v>
      </c>
      <c r="P328" s="36" t="n">
        <v>-0.3105756358768407</v>
      </c>
      <c r="Q328" s="36" t="n">
        <v>-0.0803571428571429</v>
      </c>
      <c r="R328" s="36" t="n">
        <v>0.04303797468354431</v>
      </c>
      <c r="S328" s="36" t="n">
        <v>-0.06770456191165819</v>
      </c>
      <c r="T328" s="36" t="n">
        <v>-0.1989682503677876</v>
      </c>
      <c r="U328" s="31" t="n">
        <v>18970</v>
      </c>
      <c r="V328" s="31" t="n">
        <v>7900</v>
      </c>
      <c r="W328" s="36" t="n">
        <v>-0.4570374275171323</v>
      </c>
      <c r="X328" s="36" t="n">
        <v>0.3037974683544304</v>
      </c>
      <c r="Y328" s="31" t="n">
        <v>33416778</v>
      </c>
      <c r="Z328" s="31" t="n">
        <v>344192813400</v>
      </c>
      <c r="AA328" s="31" t="n">
        <v>3766246500</v>
      </c>
      <c r="AB328" s="31" t="n">
        <v>2933818509.5</v>
      </c>
      <c r="AC328" s="36" t="n">
        <v>0.01094225780833808</v>
      </c>
      <c r="AD328" s="29" t="inlineStr">
        <is>
          <t>yfinance_download</t>
        </is>
      </c>
      <c r="AE328" s="29" t="inlineStr">
        <is>
          <t>059090.KQ</t>
        </is>
      </c>
    </row>
    <row r="329" ht="24" customHeight="1">
      <c r="A329" s="24" t="inlineStr">
        <is>
          <t>2024-10-14</t>
        </is>
      </c>
      <c r="B329" s="30" t="n">
        <v>10300</v>
      </c>
      <c r="C329" s="30" t="n">
        <v>10780</v>
      </c>
      <c r="D329" s="30" t="n">
        <v>10220</v>
      </c>
      <c r="E329" s="30" t="n">
        <v>10510</v>
      </c>
      <c r="F329" s="30" t="n">
        <v>10510</v>
      </c>
      <c r="G329" s="30" t="n">
        <v>313853</v>
      </c>
      <c r="H329" s="35" t="n">
        <v>0.02038834951456314</v>
      </c>
      <c r="I329" s="35" t="n">
        <v>-0.4459673168160253</v>
      </c>
      <c r="J329" s="30" t="n">
        <v>9938.5</v>
      </c>
      <c r="K329" s="30" t="n">
        <v>10972.66666666667</v>
      </c>
      <c r="L329" s="30" t="n">
        <v>12852.75</v>
      </c>
      <c r="M329" s="35" t="n">
        <v>0.5687520880578106</v>
      </c>
      <c r="N329" s="35" t="n">
        <v>0.6663208641590886</v>
      </c>
      <c r="O329" s="35" t="n">
        <v>0.1374458874458875</v>
      </c>
      <c r="P329" s="35" t="n">
        <v>-0.300731869594145</v>
      </c>
      <c r="Q329" s="35" t="n">
        <v>-0.06076854334226989</v>
      </c>
      <c r="R329" s="35" t="n">
        <v>0.057503647431705</v>
      </c>
      <c r="S329" s="35" t="n">
        <v>-0.04216538064280939</v>
      </c>
      <c r="T329" s="35" t="n">
        <v>-0.1822761665791368</v>
      </c>
      <c r="U329" s="30" t="n">
        <v>18970</v>
      </c>
      <c r="V329" s="30" t="n">
        <v>7900</v>
      </c>
      <c r="W329" s="35" t="n">
        <v>-0.4459673168160253</v>
      </c>
      <c r="X329" s="35" t="n">
        <v>0.330379746835443</v>
      </c>
      <c r="Y329" s="30" t="n">
        <v>33416778</v>
      </c>
      <c r="Z329" s="30" t="n">
        <v>351210336780</v>
      </c>
      <c r="AA329" s="30" t="n">
        <v>3298595030</v>
      </c>
      <c r="AB329" s="30" t="n">
        <v>2970448089</v>
      </c>
      <c r="AC329" s="35" t="n">
        <v>0.009392078434372099</v>
      </c>
      <c r="AD329" s="24" t="inlineStr">
        <is>
          <t>yfinance_download</t>
        </is>
      </c>
      <c r="AE329" s="24" t="inlineStr">
        <is>
          <t>059090.KQ</t>
        </is>
      </c>
    </row>
    <row r="330" ht="24" customHeight="1">
      <c r="A330" s="29" t="inlineStr">
        <is>
          <t>2024-10-15</t>
        </is>
      </c>
      <c r="B330" s="31" t="n">
        <v>10790</v>
      </c>
      <c r="C330" s="31" t="n">
        <v>11010</v>
      </c>
      <c r="D330" s="31" t="n">
        <v>10550</v>
      </c>
      <c r="E330" s="31" t="n">
        <v>10600</v>
      </c>
      <c r="F330" s="31" t="n">
        <v>10600</v>
      </c>
      <c r="G330" s="31" t="n">
        <v>449019</v>
      </c>
      <c r="H330" s="36" t="n">
        <v>0.008563273073263655</v>
      </c>
      <c r="I330" s="36" t="n">
        <v>-0.4412229836584081</v>
      </c>
      <c r="J330" s="31" t="n">
        <v>9986</v>
      </c>
      <c r="K330" s="31" t="n">
        <v>10920</v>
      </c>
      <c r="L330" s="31" t="n">
        <v>12847</v>
      </c>
      <c r="M330" s="36" t="n">
        <v>0.5515393699175978</v>
      </c>
      <c r="N330" s="36" t="n">
        <v>0.6459085800629146</v>
      </c>
      <c r="O330" s="36" t="n">
        <v>0.09844559585492219</v>
      </c>
      <c r="P330" s="36" t="n">
        <v>-0.2296511627906976</v>
      </c>
      <c r="Q330" s="36" t="n">
        <v>-0.06111603188662529</v>
      </c>
      <c r="R330" s="36" t="n">
        <v>0.06148608051271776</v>
      </c>
      <c r="S330" s="36" t="n">
        <v>-0.02930402930402931</v>
      </c>
      <c r="T330" s="36" t="n">
        <v>-0.1749046469992994</v>
      </c>
      <c r="U330" s="31" t="n">
        <v>18970</v>
      </c>
      <c r="V330" s="31" t="n">
        <v>7900</v>
      </c>
      <c r="W330" s="36" t="n">
        <v>-0.4412229836584081</v>
      </c>
      <c r="X330" s="36" t="n">
        <v>0.3417721518987342</v>
      </c>
      <c r="Y330" s="31" t="n">
        <v>33416778</v>
      </c>
      <c r="Z330" s="31" t="n">
        <v>354217846800</v>
      </c>
      <c r="AA330" s="31" t="n">
        <v>4759601400</v>
      </c>
      <c r="AB330" s="31" t="n">
        <v>3035908836.5</v>
      </c>
      <c r="AC330" s="36" t="n">
        <v>0.0134369327886728</v>
      </c>
      <c r="AD330" s="29" t="inlineStr">
        <is>
          <t>yfinance_download</t>
        </is>
      </c>
      <c r="AE330" s="29" t="inlineStr">
        <is>
          <t>059090.KQ</t>
        </is>
      </c>
    </row>
    <row r="331" ht="24" customHeight="1">
      <c r="A331" s="24" t="inlineStr">
        <is>
          <t>2024-10-16</t>
        </is>
      </c>
      <c r="B331" s="30" t="n">
        <v>10140</v>
      </c>
      <c r="C331" s="30" t="n">
        <v>10730</v>
      </c>
      <c r="D331" s="30" t="n">
        <v>10070</v>
      </c>
      <c r="E331" s="30" t="n">
        <v>10580</v>
      </c>
      <c r="F331" s="30" t="n">
        <v>10580</v>
      </c>
      <c r="G331" s="30" t="n">
        <v>266856</v>
      </c>
      <c r="H331" s="35" t="n">
        <v>-0.001886792452830188</v>
      </c>
      <c r="I331" s="35" t="n">
        <v>-0.4422772799156564</v>
      </c>
      <c r="J331" s="30" t="n">
        <v>10036.5</v>
      </c>
      <c r="K331" s="30" t="n">
        <v>10865.33333333333</v>
      </c>
      <c r="L331" s="30" t="n">
        <v>12847</v>
      </c>
      <c r="M331" s="35" t="n">
        <v>0.5499169976146948</v>
      </c>
      <c r="N331" s="35" t="n">
        <v>0.645529278664239</v>
      </c>
      <c r="O331" s="35" t="n">
        <v>0.1055381400208986</v>
      </c>
      <c r="P331" s="35" t="n">
        <v>-0.2366522366522367</v>
      </c>
      <c r="Q331" s="35" t="n">
        <v>0</v>
      </c>
      <c r="R331" s="35" t="n">
        <v>0.05415234394460211</v>
      </c>
      <c r="S331" s="35" t="n">
        <v>-0.02626089090685979</v>
      </c>
      <c r="T331" s="35" t="n">
        <v>-0.1764614306842064</v>
      </c>
      <c r="U331" s="30" t="n">
        <v>18970</v>
      </c>
      <c r="V331" s="30" t="n">
        <v>7900</v>
      </c>
      <c r="W331" s="35" t="n">
        <v>-0.4422772799156564</v>
      </c>
      <c r="X331" s="35" t="n">
        <v>0.339240506329114</v>
      </c>
      <c r="Y331" s="30" t="n">
        <v>33416778</v>
      </c>
      <c r="Z331" s="30" t="n">
        <v>353549511240</v>
      </c>
      <c r="AA331" s="30" t="n">
        <v>2823336480</v>
      </c>
      <c r="AB331" s="30" t="n">
        <v>3074724989</v>
      </c>
      <c r="AC331" s="35" t="n">
        <v>0.0079856891050358</v>
      </c>
      <c r="AD331" s="24" t="inlineStr">
        <is>
          <t>yfinance_download</t>
        </is>
      </c>
      <c r="AE331" s="24" t="inlineStr">
        <is>
          <t>059090.KQ</t>
        </is>
      </c>
    </row>
    <row r="332" ht="24" customHeight="1">
      <c r="A332" s="29" t="inlineStr">
        <is>
          <t>2024-10-17</t>
        </is>
      </c>
      <c r="B332" s="31" t="n">
        <v>10590</v>
      </c>
      <c r="C332" s="31" t="n">
        <v>10900</v>
      </c>
      <c r="D332" s="31" t="n">
        <v>10320</v>
      </c>
      <c r="E332" s="31" t="n">
        <v>10810</v>
      </c>
      <c r="F332" s="31" t="n">
        <v>10810</v>
      </c>
      <c r="G332" s="31" t="n">
        <v>245856</v>
      </c>
      <c r="H332" s="36" t="n">
        <v>0.02173913043478271</v>
      </c>
      <c r="I332" s="36" t="n">
        <v>-0.430152872957301</v>
      </c>
      <c r="J332" s="31" t="n">
        <v>10089.5</v>
      </c>
      <c r="K332" s="31" t="n">
        <v>10810.33333333333</v>
      </c>
      <c r="L332" s="31" t="n">
        <v>12846.25</v>
      </c>
      <c r="M332" s="36" t="n">
        <v>0.5509485074379</v>
      </c>
      <c r="N332" s="36" t="n">
        <v>0.646104767350542</v>
      </c>
      <c r="O332" s="36" t="n">
        <v>0.1087179487179488</v>
      </c>
      <c r="P332" s="36" t="n">
        <v>-0.2338766832034018</v>
      </c>
      <c r="Q332" s="36" t="n">
        <v>-0.008256880733944927</v>
      </c>
      <c r="R332" s="36" t="n">
        <v>0.07141087268942958</v>
      </c>
      <c r="S332" s="36" t="n">
        <v>-3.083469519904458e-05</v>
      </c>
      <c r="T332" s="36" t="n">
        <v>-0.1585092925951153</v>
      </c>
      <c r="U332" s="31" t="n">
        <v>18970</v>
      </c>
      <c r="V332" s="31" t="n">
        <v>7900</v>
      </c>
      <c r="W332" s="36" t="n">
        <v>-0.430152872957301</v>
      </c>
      <c r="X332" s="36" t="n">
        <v>0.3683544303797468</v>
      </c>
      <c r="Y332" s="31" t="n">
        <v>33416778</v>
      </c>
      <c r="Z332" s="31" t="n">
        <v>361235370180</v>
      </c>
      <c r="AA332" s="31" t="n">
        <v>2657703360</v>
      </c>
      <c r="AB332" s="31" t="n">
        <v>3097768607</v>
      </c>
      <c r="AC332" s="36" t="n">
        <v>0.007357262271066349</v>
      </c>
      <c r="AD332" s="29" t="inlineStr">
        <is>
          <t>yfinance_download</t>
        </is>
      </c>
      <c r="AE332" s="29" t="inlineStr">
        <is>
          <t>059090.KQ</t>
        </is>
      </c>
    </row>
    <row r="333" ht="24" customHeight="1">
      <c r="A333" s="24" t="inlineStr">
        <is>
          <t>2024-10-18</t>
        </is>
      </c>
      <c r="B333" s="30" t="n">
        <v>11040</v>
      </c>
      <c r="C333" s="30" t="n">
        <v>11040</v>
      </c>
      <c r="D333" s="30" t="n">
        <v>10380</v>
      </c>
      <c r="E333" s="30" t="n">
        <v>10400</v>
      </c>
      <c r="F333" s="30" t="n">
        <v>10400</v>
      </c>
      <c r="G333" s="30" t="n">
        <v>343021</v>
      </c>
      <c r="H333" s="35" t="n">
        <v>-0.03792784458834408</v>
      </c>
      <c r="I333" s="35" t="n">
        <v>-0.4517659462308908</v>
      </c>
      <c r="J333" s="30" t="n">
        <v>10096</v>
      </c>
      <c r="K333" s="30" t="n">
        <v>10756</v>
      </c>
      <c r="L333" s="30" t="n">
        <v>12836.33333333333</v>
      </c>
      <c r="M333" s="35" t="n">
        <v>0.5415404776560129</v>
      </c>
      <c r="N333" s="35" t="n">
        <v>0.6473512683895101</v>
      </c>
      <c r="O333" s="35" t="n">
        <v>0.01265822784810133</v>
      </c>
      <c r="P333" s="35" t="n">
        <v>-0.2386530014641288</v>
      </c>
      <c r="Q333" s="35" t="n">
        <v>-0.1026747195858498</v>
      </c>
      <c r="R333" s="35" t="n">
        <v>0.03011093502377182</v>
      </c>
      <c r="S333" s="35" t="n">
        <v>-0.03309780587579025</v>
      </c>
      <c r="T333" s="35" t="n">
        <v>-0.1897997870627646</v>
      </c>
      <c r="U333" s="30" t="n">
        <v>18970</v>
      </c>
      <c r="V333" s="30" t="n">
        <v>7900</v>
      </c>
      <c r="W333" s="35" t="n">
        <v>-0.4517659462308908</v>
      </c>
      <c r="X333" s="35" t="n">
        <v>0.3164556962025316</v>
      </c>
      <c r="Y333" s="30" t="n">
        <v>33416778</v>
      </c>
      <c r="Z333" s="30" t="n">
        <v>347534491200</v>
      </c>
      <c r="AA333" s="30" t="n">
        <v>3567418400</v>
      </c>
      <c r="AB333" s="30" t="n">
        <v>2917166568.5</v>
      </c>
      <c r="AC333" s="35" t="n">
        <v>0.01026493338166833</v>
      </c>
      <c r="AD333" s="24" t="inlineStr">
        <is>
          <t>yfinance_download</t>
        </is>
      </c>
      <c r="AE333" s="24" t="inlineStr">
        <is>
          <t>059090.KQ</t>
        </is>
      </c>
    </row>
    <row r="334" ht="24" customHeight="1">
      <c r="A334" s="29" t="inlineStr">
        <is>
          <t>2024-10-21</t>
        </is>
      </c>
      <c r="B334" s="31" t="n">
        <v>10520</v>
      </c>
      <c r="C334" s="31" t="n">
        <v>10890</v>
      </c>
      <c r="D334" s="31" t="n">
        <v>10260</v>
      </c>
      <c r="E334" s="31" t="n">
        <v>10850</v>
      </c>
      <c r="F334" s="31" t="n">
        <v>10850</v>
      </c>
      <c r="G334" s="31" t="n">
        <v>269036</v>
      </c>
      <c r="H334" s="36" t="n">
        <v>0.04326923076923084</v>
      </c>
      <c r="I334" s="36" t="n">
        <v>-0.4280442804428044</v>
      </c>
      <c r="J334" s="31" t="n">
        <v>10148</v>
      </c>
      <c r="K334" s="31" t="n">
        <v>10705.16666666667</v>
      </c>
      <c r="L334" s="31" t="n">
        <v>12837.83333333333</v>
      </c>
      <c r="M334" s="36" t="n">
        <v>0.5325418698511697</v>
      </c>
      <c r="N334" s="36" t="n">
        <v>0.6530732455811472</v>
      </c>
      <c r="O334" s="36" t="n">
        <v>0.1060142711518859</v>
      </c>
      <c r="P334" s="36" t="n">
        <v>-0.2194244604316546</v>
      </c>
      <c r="Q334" s="36" t="n">
        <v>0.01686972820993438</v>
      </c>
      <c r="R334" s="36" t="n">
        <v>0.06917619235317307</v>
      </c>
      <c r="S334" s="36" t="n">
        <v>0.01352929270912795</v>
      </c>
      <c r="T334" s="36" t="n">
        <v>-0.1548418087164242</v>
      </c>
      <c r="U334" s="31" t="n">
        <v>18970</v>
      </c>
      <c r="V334" s="31" t="n">
        <v>7900</v>
      </c>
      <c r="W334" s="36" t="n">
        <v>-0.4280442804428044</v>
      </c>
      <c r="X334" s="36" t="n">
        <v>0.3734177215189873</v>
      </c>
      <c r="Y334" s="31" t="n">
        <v>33416778</v>
      </c>
      <c r="Z334" s="31" t="n">
        <v>362572041300</v>
      </c>
      <c r="AA334" s="31" t="n">
        <v>2919040600</v>
      </c>
      <c r="AB334" s="31" t="n">
        <v>2929920871</v>
      </c>
      <c r="AC334" s="36" t="n">
        <v>0.008050925795419295</v>
      </c>
      <c r="AD334" s="29" t="inlineStr">
        <is>
          <t>yfinance_download</t>
        </is>
      </c>
      <c r="AE334" s="29" t="inlineStr">
        <is>
          <t>059090.KQ</t>
        </is>
      </c>
    </row>
    <row r="335" ht="24" customHeight="1">
      <c r="A335" s="24" t="inlineStr">
        <is>
          <t>2024-10-22</t>
        </is>
      </c>
      <c r="B335" s="30" t="n">
        <v>10900</v>
      </c>
      <c r="C335" s="30" t="n">
        <v>10990</v>
      </c>
      <c r="D335" s="30" t="n">
        <v>10300</v>
      </c>
      <c r="E335" s="30" t="n">
        <v>10300</v>
      </c>
      <c r="F335" s="30" t="n">
        <v>10300</v>
      </c>
      <c r="G335" s="30" t="n">
        <v>308188</v>
      </c>
      <c r="H335" s="35" t="n">
        <v>-0.05069124423963134</v>
      </c>
      <c r="I335" s="35" t="n">
        <v>-0.4570374275171323</v>
      </c>
      <c r="J335" s="30" t="n">
        <v>10195</v>
      </c>
      <c r="K335" s="30" t="n">
        <v>10646.33333333333</v>
      </c>
      <c r="L335" s="30" t="n">
        <v>12838.91666666667</v>
      </c>
      <c r="M335" s="35" t="n">
        <v>0.5389539327670175</v>
      </c>
      <c r="N335" s="35" t="n">
        <v>0.6602662780998564</v>
      </c>
      <c r="O335" s="35" t="n">
        <v>0.1004273504273505</v>
      </c>
      <c r="P335" s="35" t="n">
        <v>-0.2552422270426609</v>
      </c>
      <c r="Q335" s="35" t="n">
        <v>0.01278269419862332</v>
      </c>
      <c r="R335" s="35" t="n">
        <v>0.01029916625796967</v>
      </c>
      <c r="S335" s="35" t="n">
        <v>-0.03253076176461389</v>
      </c>
      <c r="T335" s="35" t="n">
        <v>-0.1977516275386682</v>
      </c>
      <c r="U335" s="30" t="n">
        <v>18970</v>
      </c>
      <c r="V335" s="30" t="n">
        <v>7900</v>
      </c>
      <c r="W335" s="35" t="n">
        <v>-0.4570374275171323</v>
      </c>
      <c r="X335" s="35" t="n">
        <v>0.3037974683544304</v>
      </c>
      <c r="Y335" s="30" t="n">
        <v>33416778</v>
      </c>
      <c r="Z335" s="30" t="n">
        <v>344192813400</v>
      </c>
      <c r="AA335" s="30" t="n">
        <v>3174336400</v>
      </c>
      <c r="AB335" s="30" t="n">
        <v>2928755319</v>
      </c>
      <c r="AC335" s="35" t="n">
        <v>0.009222552814637007</v>
      </c>
      <c r="AD335" s="24" t="inlineStr">
        <is>
          <t>yfinance_download</t>
        </is>
      </c>
      <c r="AE335" s="24" t="inlineStr">
        <is>
          <t>059090.KQ</t>
        </is>
      </c>
    </row>
    <row r="336" ht="24" customHeight="1">
      <c r="A336" s="29" t="inlineStr">
        <is>
          <t>2024-10-23</t>
        </is>
      </c>
      <c r="B336" s="31" t="n">
        <v>10390</v>
      </c>
      <c r="C336" s="31" t="n">
        <v>10620</v>
      </c>
      <c r="D336" s="31" t="n">
        <v>10240</v>
      </c>
      <c r="E336" s="31" t="n">
        <v>10540</v>
      </c>
      <c r="F336" s="31" t="n">
        <v>10540</v>
      </c>
      <c r="G336" s="31" t="n">
        <v>221671</v>
      </c>
      <c r="H336" s="36" t="n">
        <v>0.02330097087378635</v>
      </c>
      <c r="I336" s="36" t="n">
        <v>-0.4443858724301529</v>
      </c>
      <c r="J336" s="31" t="n">
        <v>10259.5</v>
      </c>
      <c r="K336" s="31" t="n">
        <v>10602.16666666667</v>
      </c>
      <c r="L336" s="31" t="n">
        <v>12845.08333333333</v>
      </c>
      <c r="M336" s="36" t="n">
        <v>0.5385747605662895</v>
      </c>
      <c r="N336" s="36" t="n">
        <v>0.6566349412287474</v>
      </c>
      <c r="O336" s="36" t="n">
        <v>0.1394594594594594</v>
      </c>
      <c r="P336" s="36" t="n">
        <v>-0.200909780136467</v>
      </c>
      <c r="Q336" s="36" t="n">
        <v>0.07551020408163267</v>
      </c>
      <c r="R336" s="36" t="n">
        <v>0.02734051367025692</v>
      </c>
      <c r="S336" s="36" t="n">
        <v>-0.005863581343436008</v>
      </c>
      <c r="T336" s="36" t="n">
        <v>-0.1794525791320933</v>
      </c>
      <c r="U336" s="31" t="n">
        <v>18970</v>
      </c>
      <c r="V336" s="31" t="n">
        <v>7900</v>
      </c>
      <c r="W336" s="36" t="n">
        <v>-0.4443858724301529</v>
      </c>
      <c r="X336" s="36" t="n">
        <v>0.3341772151898734</v>
      </c>
      <c r="Y336" s="31" t="n">
        <v>33416778</v>
      </c>
      <c r="Z336" s="31" t="n">
        <v>352212840120</v>
      </c>
      <c r="AA336" s="31" t="n">
        <v>2336412340</v>
      </c>
      <c r="AB336" s="31" t="n">
        <v>2894888348.5</v>
      </c>
      <c r="AC336" s="36" t="n">
        <v>0.006633524033944864</v>
      </c>
      <c r="AD336" s="29" t="inlineStr">
        <is>
          <t>yfinance_download</t>
        </is>
      </c>
      <c r="AE336" s="29" t="inlineStr">
        <is>
          <t>059090.KQ</t>
        </is>
      </c>
    </row>
    <row r="337" ht="24" customHeight="1">
      <c r="A337" s="24" t="inlineStr">
        <is>
          <t>2024-10-24</t>
        </is>
      </c>
      <c r="B337" s="30" t="n">
        <v>10450</v>
      </c>
      <c r="C337" s="30" t="n">
        <v>10450</v>
      </c>
      <c r="D337" s="30" t="n">
        <v>10010</v>
      </c>
      <c r="E337" s="30" t="n">
        <v>10070</v>
      </c>
      <c r="F337" s="30" t="n">
        <v>10070</v>
      </c>
      <c r="G337" s="30" t="n">
        <v>267303</v>
      </c>
      <c r="H337" s="35" t="n">
        <v>-0.04459203036053128</v>
      </c>
      <c r="I337" s="35" t="n">
        <v>-0.4691618344754876</v>
      </c>
      <c r="J337" s="30" t="n">
        <v>10265</v>
      </c>
      <c r="K337" s="30" t="n">
        <v>10561</v>
      </c>
      <c r="L337" s="30" t="n">
        <v>12844.41666666667</v>
      </c>
      <c r="M337" s="35" t="n">
        <v>0.5013502273855426</v>
      </c>
      <c r="N337" s="35" t="n">
        <v>0.6552884628621523</v>
      </c>
      <c r="O337" s="35" t="n">
        <v>0.01104417670682722</v>
      </c>
      <c r="P337" s="35" t="n">
        <v>-0.196969696969697</v>
      </c>
      <c r="Q337" s="35" t="n">
        <v>-0.007881773399014746</v>
      </c>
      <c r="R337" s="35" t="n">
        <v>-0.01899659035557721</v>
      </c>
      <c r="S337" s="35" t="n">
        <v>-0.0464918094877379</v>
      </c>
      <c r="T337" s="35" t="n">
        <v>-0.2160017647096988</v>
      </c>
      <c r="U337" s="30" t="n">
        <v>18970</v>
      </c>
      <c r="V337" s="30" t="n">
        <v>7900</v>
      </c>
      <c r="W337" s="35" t="n">
        <v>-0.4691618344754876</v>
      </c>
      <c r="X337" s="35" t="n">
        <v>0.2746835443037974</v>
      </c>
      <c r="Y337" s="30" t="n">
        <v>33416778</v>
      </c>
      <c r="Z337" s="30" t="n">
        <v>336506954460</v>
      </c>
      <c r="AA337" s="30" t="n">
        <v>2691741210</v>
      </c>
      <c r="AB337" s="30" t="n">
        <v>2644466131</v>
      </c>
      <c r="AC337" s="35" t="n">
        <v>0.00799906561907315</v>
      </c>
      <c r="AD337" s="24" t="inlineStr">
        <is>
          <t>yfinance_download</t>
        </is>
      </c>
      <c r="AE337" s="24" t="inlineStr">
        <is>
          <t>059090.KQ</t>
        </is>
      </c>
    </row>
    <row r="338" ht="24" customHeight="1">
      <c r="A338" s="29" t="inlineStr">
        <is>
          <t>2024-10-25</t>
        </is>
      </c>
      <c r="B338" s="31" t="n">
        <v>10080</v>
      </c>
      <c r="C338" s="31" t="n">
        <v>10170</v>
      </c>
      <c r="D338" s="31" t="n">
        <v>9720</v>
      </c>
      <c r="E338" s="31" t="n">
        <v>9780</v>
      </c>
      <c r="F338" s="31" t="n">
        <v>9780</v>
      </c>
      <c r="G338" s="31" t="n">
        <v>254190</v>
      </c>
      <c r="H338" s="36" t="n">
        <v>-0.02879841112214498</v>
      </c>
      <c r="I338" s="36" t="n">
        <v>-0.4844491302055878</v>
      </c>
      <c r="J338" s="31" t="n">
        <v>10258</v>
      </c>
      <c r="K338" s="31" t="n">
        <v>10511.5</v>
      </c>
      <c r="L338" s="31" t="n">
        <v>12842</v>
      </c>
      <c r="M338" s="36" t="n">
        <v>0.5122528042778307</v>
      </c>
      <c r="N338" s="36" t="n">
        <v>0.656137732307821</v>
      </c>
      <c r="O338" s="36" t="n">
        <v>-0.01411290322580649</v>
      </c>
      <c r="P338" s="36" t="n">
        <v>-0.2329411764705882</v>
      </c>
      <c r="Q338" s="36" t="n">
        <v>-0.02879841112214498</v>
      </c>
      <c r="R338" s="36" t="n">
        <v>-0.04659777734451165</v>
      </c>
      <c r="S338" s="36" t="n">
        <v>-0.069590448556343</v>
      </c>
      <c r="T338" s="36" t="n">
        <v>-0.2384363806260708</v>
      </c>
      <c r="U338" s="31" t="n">
        <v>18970</v>
      </c>
      <c r="V338" s="31" t="n">
        <v>7900</v>
      </c>
      <c r="W338" s="36" t="n">
        <v>-0.4844491302055878</v>
      </c>
      <c r="X338" s="36" t="n">
        <v>0.2379746835443037</v>
      </c>
      <c r="Y338" s="31" t="n">
        <v>33416778</v>
      </c>
      <c r="Z338" s="31" t="n">
        <v>326816088840</v>
      </c>
      <c r="AA338" s="31" t="n">
        <v>2485978200</v>
      </c>
      <c r="AB338" s="31" t="n">
        <v>2670056577</v>
      </c>
      <c r="AC338" s="36" t="n">
        <v>0.007606657948890225</v>
      </c>
      <c r="AD338" s="29" t="inlineStr">
        <is>
          <t>yfinance_download</t>
        </is>
      </c>
      <c r="AE338" s="29" t="inlineStr">
        <is>
          <t>059090.KQ</t>
        </is>
      </c>
    </row>
    <row r="339" ht="24" customHeight="1">
      <c r="A339" s="24" t="inlineStr">
        <is>
          <t>2024-10-28</t>
        </is>
      </c>
      <c r="B339" s="30" t="n">
        <v>9720</v>
      </c>
      <c r="C339" s="30" t="n">
        <v>10220</v>
      </c>
      <c r="D339" s="30" t="n">
        <v>9720</v>
      </c>
      <c r="E339" s="30" t="n">
        <v>10180</v>
      </c>
      <c r="F339" s="30" t="n">
        <v>10180</v>
      </c>
      <c r="G339" s="30" t="n">
        <v>169902</v>
      </c>
      <c r="H339" s="35" t="n">
        <v>0.04089979550102241</v>
      </c>
      <c r="I339" s="35" t="n">
        <v>-0.463363205060622</v>
      </c>
      <c r="J339" s="30" t="n">
        <v>10270.5</v>
      </c>
      <c r="K339" s="30" t="n">
        <v>10475.33333333333</v>
      </c>
      <c r="L339" s="30" t="n">
        <v>12838.5</v>
      </c>
      <c r="M339" s="35" t="n">
        <v>0.5326815778495884</v>
      </c>
      <c r="N339" s="35" t="n">
        <v>0.6597523282013146</v>
      </c>
      <c r="O339" s="35" t="n">
        <v>0.02517623363544819</v>
      </c>
      <c r="P339" s="35" t="n">
        <v>-0.1757085020242914</v>
      </c>
      <c r="Q339" s="35" t="n">
        <v>-0.03962264150943395</v>
      </c>
      <c r="R339" s="35" t="n">
        <v>-0.008811645002677615</v>
      </c>
      <c r="S339" s="35" t="n">
        <v>-0.02819321580856626</v>
      </c>
      <c r="T339" s="35" t="n">
        <v>-0.207072477314328</v>
      </c>
      <c r="U339" s="30" t="n">
        <v>18970</v>
      </c>
      <c r="V339" s="30" t="n">
        <v>7900</v>
      </c>
      <c r="W339" s="35" t="n">
        <v>-0.463363205060622</v>
      </c>
      <c r="X339" s="35" t="n">
        <v>0.2886075949367088</v>
      </c>
      <c r="Y339" s="30" t="n">
        <v>33416778</v>
      </c>
      <c r="Z339" s="30" t="n">
        <v>340182800040</v>
      </c>
      <c r="AA339" s="30" t="n">
        <v>1729602360</v>
      </c>
      <c r="AB339" s="30" t="n">
        <v>2644322233.5</v>
      </c>
      <c r="AC339" s="35" t="n">
        <v>0.00508433218786084</v>
      </c>
      <c r="AD339" s="24" t="inlineStr">
        <is>
          <t>yfinance_download</t>
        </is>
      </c>
      <c r="AE339" s="24" t="inlineStr">
        <is>
          <t>059090.KQ</t>
        </is>
      </c>
    </row>
    <row r="340" ht="24" customHeight="1">
      <c r="A340" s="29" t="inlineStr">
        <is>
          <t>2024-10-29</t>
        </is>
      </c>
      <c r="B340" s="31" t="n">
        <v>10120</v>
      </c>
      <c r="C340" s="31" t="n">
        <v>10120</v>
      </c>
      <c r="D340" s="31" t="n">
        <v>9810</v>
      </c>
      <c r="E340" s="31" t="n">
        <v>9870</v>
      </c>
      <c r="F340" s="31" t="n">
        <v>9870</v>
      </c>
      <c r="G340" s="31" t="n">
        <v>256238</v>
      </c>
      <c r="H340" s="36" t="n">
        <v>-0.03045186640471509</v>
      </c>
      <c r="I340" s="36" t="n">
        <v>-0.4797047970479705</v>
      </c>
      <c r="J340" s="31" t="n">
        <v>10244</v>
      </c>
      <c r="K340" s="31" t="n">
        <v>10436</v>
      </c>
      <c r="L340" s="31" t="n">
        <v>12830.25</v>
      </c>
      <c r="M340" s="36" t="n">
        <v>0.5157447281053743</v>
      </c>
      <c r="N340" s="36" t="n">
        <v>0.6621071147524421</v>
      </c>
      <c r="O340" s="36" t="n">
        <v>-0.0509615384615385</v>
      </c>
      <c r="P340" s="36" t="n">
        <v>-0.1929681112019623</v>
      </c>
      <c r="Q340" s="36" t="n">
        <v>-0.09116022099447518</v>
      </c>
      <c r="R340" s="36" t="n">
        <v>-0.03650917610308468</v>
      </c>
      <c r="S340" s="36" t="n">
        <v>-0.05423533921042545</v>
      </c>
      <c r="T340" s="36" t="n">
        <v>-0.2307242649207927</v>
      </c>
      <c r="U340" s="31" t="n">
        <v>18970</v>
      </c>
      <c r="V340" s="31" t="n">
        <v>7900</v>
      </c>
      <c r="W340" s="36" t="n">
        <v>-0.4797047970479705</v>
      </c>
      <c r="X340" s="36" t="n">
        <v>0.2493670886075949</v>
      </c>
      <c r="Y340" s="31" t="n">
        <v>33416778</v>
      </c>
      <c r="Z340" s="31" t="n">
        <v>329823598860</v>
      </c>
      <c r="AA340" s="31" t="n">
        <v>2529069060</v>
      </c>
      <c r="AB340" s="31" t="n">
        <v>2536452766.5</v>
      </c>
      <c r="AC340" s="36" t="n">
        <v>0.007667944527745912</v>
      </c>
      <c r="AD340" s="29" t="inlineStr">
        <is>
          <t>yfinance_download</t>
        </is>
      </c>
      <c r="AE340" s="29" t="inlineStr">
        <is>
          <t>059090.KQ</t>
        </is>
      </c>
    </row>
    <row r="341" ht="24" customHeight="1">
      <c r="A341" s="24" t="inlineStr">
        <is>
          <t>2024-10-30</t>
        </is>
      </c>
      <c r="B341" s="30" t="n">
        <v>9900</v>
      </c>
      <c r="C341" s="30" t="n">
        <v>9960</v>
      </c>
      <c r="D341" s="30" t="n">
        <v>9370</v>
      </c>
      <c r="E341" s="30" t="n">
        <v>9490</v>
      </c>
      <c r="F341" s="30" t="n">
        <v>9490</v>
      </c>
      <c r="G341" s="30" t="n">
        <v>350810</v>
      </c>
      <c r="H341" s="35" t="n">
        <v>-0.03850050658561299</v>
      </c>
      <c r="I341" s="35" t="n">
        <v>-0.4997364259356879</v>
      </c>
      <c r="J341" s="30" t="n">
        <v>10202</v>
      </c>
      <c r="K341" s="30" t="n">
        <v>10388.83333333333</v>
      </c>
      <c r="L341" s="30" t="n">
        <v>12820</v>
      </c>
      <c r="M341" s="35" t="n">
        <v>0.5316044208752106</v>
      </c>
      <c r="N341" s="35" t="n">
        <v>0.6657961624227929</v>
      </c>
      <c r="O341" s="35" t="n">
        <v>-0.08131655372700874</v>
      </c>
      <c r="P341" s="35" t="n">
        <v>-0.2297077922077922</v>
      </c>
      <c r="Q341" s="35" t="n">
        <v>-0.1147388059701493</v>
      </c>
      <c r="R341" s="35" t="n">
        <v>-0.0697902372083905</v>
      </c>
      <c r="S341" s="35" t="n">
        <v>-0.08651917924694785</v>
      </c>
      <c r="T341" s="35" t="n">
        <v>-0.2597503900156006</v>
      </c>
      <c r="U341" s="30" t="n">
        <v>18970</v>
      </c>
      <c r="V341" s="30" t="n">
        <v>7900</v>
      </c>
      <c r="W341" s="35" t="n">
        <v>-0.4997364259356879</v>
      </c>
      <c r="X341" s="35" t="n">
        <v>0.2012658227848101</v>
      </c>
      <c r="Y341" s="30" t="n">
        <v>33416778</v>
      </c>
      <c r="Z341" s="30" t="n">
        <v>317125223220</v>
      </c>
      <c r="AA341" s="30" t="n">
        <v>3329186900</v>
      </c>
      <c r="AB341" s="30" t="n">
        <v>2592418816</v>
      </c>
      <c r="AC341" s="35" t="n">
        <v>0.01049801988689634</v>
      </c>
      <c r="AD341" s="24" t="inlineStr">
        <is>
          <t>yfinance_download</t>
        </is>
      </c>
      <c r="AE341" s="24" t="inlineStr">
        <is>
          <t>059090.KQ</t>
        </is>
      </c>
    </row>
    <row r="342" ht="24" customHeight="1">
      <c r="A342" s="29" t="inlineStr">
        <is>
          <t>2024-10-31</t>
        </is>
      </c>
      <c r="B342" s="31" t="n">
        <v>9410</v>
      </c>
      <c r="C342" s="31" t="n">
        <v>9790</v>
      </c>
      <c r="D342" s="31" t="n">
        <v>9380</v>
      </c>
      <c r="E342" s="31" t="n">
        <v>9600</v>
      </c>
      <c r="F342" s="31" t="n">
        <v>9600</v>
      </c>
      <c r="G342" s="31" t="n">
        <v>217814</v>
      </c>
      <c r="H342" s="36" t="n">
        <v>0.01159114857745003</v>
      </c>
      <c r="I342" s="36" t="n">
        <v>-0.4939377965208224</v>
      </c>
      <c r="J342" s="31" t="n">
        <v>10181</v>
      </c>
      <c r="K342" s="31" t="n">
        <v>10345.83333333333</v>
      </c>
      <c r="L342" s="31" t="n">
        <v>12809.66666666667</v>
      </c>
      <c r="M342" s="36" t="n">
        <v>0.5247622582194277</v>
      </c>
      <c r="N342" s="36" t="n">
        <v>0.6662923427277724</v>
      </c>
      <c r="O342" s="36" t="n">
        <v>-0.04191616766467066</v>
      </c>
      <c r="P342" s="36" t="n">
        <v>-0.2118226600985221</v>
      </c>
      <c r="Q342" s="36" t="n">
        <v>-0.1143911439114391</v>
      </c>
      <c r="R342" s="36" t="n">
        <v>-0.05706708574796193</v>
      </c>
      <c r="S342" s="36" t="n">
        <v>-0.07209021345147004</v>
      </c>
      <c r="T342" s="36" t="n">
        <v>-0.2505659788180801</v>
      </c>
      <c r="U342" s="31" t="n">
        <v>18970</v>
      </c>
      <c r="V342" s="31" t="n">
        <v>7900</v>
      </c>
      <c r="W342" s="36" t="n">
        <v>-0.4939377965208224</v>
      </c>
      <c r="X342" s="36" t="n">
        <v>0.2151898734177216</v>
      </c>
      <c r="Y342" s="31" t="n">
        <v>33416778</v>
      </c>
      <c r="Z342" s="31" t="n">
        <v>320801068800</v>
      </c>
      <c r="AA342" s="31" t="n">
        <v>2091014400</v>
      </c>
      <c r="AB342" s="31" t="n">
        <v>2636887111</v>
      </c>
      <c r="AC342" s="36" t="n">
        <v>0.006518102972105809</v>
      </c>
      <c r="AD342" s="29" t="inlineStr">
        <is>
          <t>yfinance_download</t>
        </is>
      </c>
      <c r="AE342" s="29" t="inlineStr">
        <is>
          <t>059090.KQ</t>
        </is>
      </c>
    </row>
    <row r="343" ht="24" customHeight="1">
      <c r="A343" s="24" t="inlineStr">
        <is>
          <t>2024-11-01</t>
        </is>
      </c>
      <c r="B343" s="30" t="n">
        <v>9420</v>
      </c>
      <c r="C343" s="30" t="n">
        <v>9620</v>
      </c>
      <c r="D343" s="30" t="n">
        <v>9360</v>
      </c>
      <c r="E343" s="30" t="n">
        <v>9360</v>
      </c>
      <c r="F343" s="30" t="n">
        <v>9360</v>
      </c>
      <c r="G343" s="30" t="n">
        <v>134156</v>
      </c>
      <c r="H343" s="35" t="n">
        <v>-0.02500000000000002</v>
      </c>
      <c r="I343" s="35" t="n">
        <v>-0.5065893516078017</v>
      </c>
      <c r="J343" s="30" t="n">
        <v>10161.5</v>
      </c>
      <c r="K343" s="30" t="n">
        <v>10295</v>
      </c>
      <c r="L343" s="30" t="n">
        <v>12801.16666666667</v>
      </c>
      <c r="M343" s="35" t="n">
        <v>0.523560605028166</v>
      </c>
      <c r="N343" s="35" t="n">
        <v>0.6661873884531538</v>
      </c>
      <c r="O343" s="35" t="n">
        <v>-0.04000000000000004</v>
      </c>
      <c r="P343" s="35" t="n">
        <v>-0.2457695406929895</v>
      </c>
      <c r="Q343" s="35" t="n">
        <v>-0.09826589595375723</v>
      </c>
      <c r="R343" s="35" t="n">
        <v>-0.07887615017467897</v>
      </c>
      <c r="S343" s="35" t="n">
        <v>-0.09082078678970373</v>
      </c>
      <c r="T343" s="35" t="n">
        <v>-0.2688166443162732</v>
      </c>
      <c r="U343" s="30" t="n">
        <v>18970</v>
      </c>
      <c r="V343" s="30" t="n">
        <v>7900</v>
      </c>
      <c r="W343" s="35" t="n">
        <v>-0.5065893516078017</v>
      </c>
      <c r="X343" s="35" t="n">
        <v>0.1848101265822786</v>
      </c>
      <c r="Y343" s="30" t="n">
        <v>33416778</v>
      </c>
      <c r="Z343" s="30" t="n">
        <v>312781042080</v>
      </c>
      <c r="AA343" s="30" t="n">
        <v>1255700160</v>
      </c>
      <c r="AB343" s="30" t="n">
        <v>2626681669</v>
      </c>
      <c r="AC343" s="35" t="n">
        <v>0.004014630016095508</v>
      </c>
      <c r="AD343" s="24" t="inlineStr">
        <is>
          <t>yfinance_download</t>
        </is>
      </c>
      <c r="AE343" s="24" t="inlineStr">
        <is>
          <t>059090.KQ</t>
        </is>
      </c>
    </row>
    <row r="344" ht="24" customHeight="1">
      <c r="A344" s="29" t="inlineStr">
        <is>
          <t>2024-11-04</t>
        </is>
      </c>
      <c r="B344" s="31" t="n">
        <v>9380</v>
      </c>
      <c r="C344" s="31" t="n">
        <v>9620</v>
      </c>
      <c r="D344" s="31" t="n">
        <v>9180</v>
      </c>
      <c r="E344" s="31" t="n">
        <v>9470</v>
      </c>
      <c r="F344" s="31" t="n">
        <v>9470</v>
      </c>
      <c r="G344" s="31" t="n">
        <v>159810</v>
      </c>
      <c r="H344" s="36" t="n">
        <v>0.01175213675213671</v>
      </c>
      <c r="I344" s="36" t="n">
        <v>-0.5007907221929362</v>
      </c>
      <c r="J344" s="31" t="n">
        <v>10139</v>
      </c>
      <c r="K344" s="31" t="n">
        <v>10248.16666666667</v>
      </c>
      <c r="L344" s="31" t="n">
        <v>12769</v>
      </c>
      <c r="M344" s="36" t="n">
        <v>0.5212144143320744</v>
      </c>
      <c r="N344" s="36" t="n">
        <v>0.6667928041272055</v>
      </c>
      <c r="O344" s="36" t="n">
        <v>-0.04536290322580649</v>
      </c>
      <c r="P344" s="36" t="n">
        <v>-0.2288273615635179</v>
      </c>
      <c r="Q344" s="36" t="n">
        <v>-0.2895723930982745</v>
      </c>
      <c r="R344" s="36" t="n">
        <v>-0.06598283854423515</v>
      </c>
      <c r="S344" s="36" t="n">
        <v>-0.07593228057050849</v>
      </c>
      <c r="T344" s="36" t="n">
        <v>-0.2583600908450153</v>
      </c>
      <c r="U344" s="31" t="n">
        <v>18970</v>
      </c>
      <c r="V344" s="31" t="n">
        <v>7900</v>
      </c>
      <c r="W344" s="36" t="n">
        <v>-0.5007907221929362</v>
      </c>
      <c r="X344" s="36" t="n">
        <v>0.1987341772151898</v>
      </c>
      <c r="Y344" s="31" t="n">
        <v>33416778</v>
      </c>
      <c r="Z344" s="31" t="n">
        <v>316456887660</v>
      </c>
      <c r="AA344" s="31" t="n">
        <v>1513400700</v>
      </c>
      <c r="AB344" s="31" t="n">
        <v>2603521720</v>
      </c>
      <c r="AC344" s="36" t="n">
        <v>0.004782328206507522</v>
      </c>
      <c r="AD344" s="29" t="inlineStr">
        <is>
          <t>yfinance_download</t>
        </is>
      </c>
      <c r="AE344" s="29" t="inlineStr">
        <is>
          <t>059090.KQ</t>
        </is>
      </c>
    </row>
    <row r="345" ht="24" customHeight="1">
      <c r="A345" s="24" t="inlineStr">
        <is>
          <t>2024-11-05</t>
        </is>
      </c>
      <c r="B345" s="30" t="n">
        <v>9530</v>
      </c>
      <c r="C345" s="30" t="n">
        <v>9640</v>
      </c>
      <c r="D345" s="30" t="n">
        <v>9410</v>
      </c>
      <c r="E345" s="30" t="n">
        <v>9530</v>
      </c>
      <c r="F345" s="30" t="n">
        <v>9530</v>
      </c>
      <c r="G345" s="30" t="n">
        <v>86676</v>
      </c>
      <c r="H345" s="35" t="n">
        <v>0.006335797254487963</v>
      </c>
      <c r="I345" s="35" t="n">
        <v>-0.4976278334211913</v>
      </c>
      <c r="J345" s="30" t="n">
        <v>10101.5</v>
      </c>
      <c r="K345" s="30" t="n">
        <v>10222.5</v>
      </c>
      <c r="L345" s="30" t="n">
        <v>12737.58333333333</v>
      </c>
      <c r="M345" s="35" t="n">
        <v>0.5026919216017397</v>
      </c>
      <c r="N345" s="35" t="n">
        <v>0.6368688884714603</v>
      </c>
      <c r="O345" s="35" t="n">
        <v>-0.07295719844357973</v>
      </c>
      <c r="P345" s="35" t="n">
        <v>-0.1391147244805782</v>
      </c>
      <c r="Q345" s="35" t="n">
        <v>-0.2834586466165413</v>
      </c>
      <c r="R345" s="35" t="n">
        <v>-0.05657575607583032</v>
      </c>
      <c r="S345" s="35" t="n">
        <v>-0.06774272438248963</v>
      </c>
      <c r="T345" s="35" t="n">
        <v>-0.2518204002590758</v>
      </c>
      <c r="U345" s="30" t="n">
        <v>18970</v>
      </c>
      <c r="V345" s="30" t="n">
        <v>7900</v>
      </c>
      <c r="W345" s="35" t="n">
        <v>-0.4976278334211913</v>
      </c>
      <c r="X345" s="35" t="n">
        <v>0.2063291139240506</v>
      </c>
      <c r="Y345" s="30" t="n">
        <v>33416778</v>
      </c>
      <c r="Z345" s="30" t="n">
        <v>318461894340</v>
      </c>
      <c r="AA345" s="30" t="n">
        <v>826022280</v>
      </c>
      <c r="AB345" s="30" t="n">
        <v>2557894640</v>
      </c>
      <c r="AC345" s="35" t="n">
        <v>0.002593786869577911</v>
      </c>
      <c r="AD345" s="24" t="inlineStr">
        <is>
          <t>yfinance_download</t>
        </is>
      </c>
      <c r="AE345" s="24" t="inlineStr">
        <is>
          <t>059090.KQ</t>
        </is>
      </c>
    </row>
    <row r="346" ht="24" customHeight="1">
      <c r="A346" s="29" t="inlineStr">
        <is>
          <t>2024-11-06</t>
        </is>
      </c>
      <c r="B346" s="31" t="n">
        <v>9630</v>
      </c>
      <c r="C346" s="31" t="n">
        <v>9700</v>
      </c>
      <c r="D346" s="31" t="n">
        <v>9110</v>
      </c>
      <c r="E346" s="31" t="n">
        <v>9130</v>
      </c>
      <c r="F346" s="31" t="n">
        <v>9130</v>
      </c>
      <c r="G346" s="31" t="n">
        <v>226711</v>
      </c>
      <c r="H346" s="36" t="n">
        <v>-0.04197271773347322</v>
      </c>
      <c r="I346" s="36" t="n">
        <v>-0.5187137585661571</v>
      </c>
      <c r="J346" s="31" t="n">
        <v>10057.5</v>
      </c>
      <c r="K346" s="31" t="n">
        <v>10221</v>
      </c>
      <c r="L346" s="31" t="n">
        <v>12708.41666666667</v>
      </c>
      <c r="M346" s="36" t="n">
        <v>0.5151459330084572</v>
      </c>
      <c r="N346" s="36" t="n">
        <v>0.5426954495827627</v>
      </c>
      <c r="O346" s="36" t="n">
        <v>-0.08791208791208793</v>
      </c>
      <c r="P346" s="36" t="n">
        <v>-0.009761388286334105</v>
      </c>
      <c r="Q346" s="36" t="n">
        <v>-0.2771179730799683</v>
      </c>
      <c r="R346" s="36" t="n">
        <v>-0.09221973651503856</v>
      </c>
      <c r="S346" s="36" t="n">
        <v>-0.1067410233832305</v>
      </c>
      <c r="T346" s="36" t="n">
        <v>-0.2815784814525806</v>
      </c>
      <c r="U346" s="31" t="n">
        <v>18970</v>
      </c>
      <c r="V346" s="31" t="n">
        <v>7900</v>
      </c>
      <c r="W346" s="36" t="n">
        <v>-0.5187137585661571</v>
      </c>
      <c r="X346" s="36" t="n">
        <v>0.1556962025316455</v>
      </c>
      <c r="Y346" s="31" t="n">
        <v>33416778</v>
      </c>
      <c r="Z346" s="31" t="n">
        <v>305095183140</v>
      </c>
      <c r="AA346" s="31" t="n">
        <v>2069871430</v>
      </c>
      <c r="AB346" s="31" t="n">
        <v>2597098986.5</v>
      </c>
      <c r="AC346" s="36" t="n">
        <v>0.006784346474097533</v>
      </c>
      <c r="AD346" s="29" t="inlineStr">
        <is>
          <t>yfinance_download</t>
        </is>
      </c>
      <c r="AE346" s="29" t="inlineStr">
        <is>
          <t>059090.KQ</t>
        </is>
      </c>
    </row>
    <row r="347" ht="24" customHeight="1">
      <c r="A347" s="24" t="inlineStr">
        <is>
          <t>2024-11-07</t>
        </is>
      </c>
      <c r="B347" s="30" t="n">
        <v>9140</v>
      </c>
      <c r="C347" s="30" t="n">
        <v>9220</v>
      </c>
      <c r="D347" s="30" t="n">
        <v>8880</v>
      </c>
      <c r="E347" s="30" t="n">
        <v>9040</v>
      </c>
      <c r="F347" s="30" t="n">
        <v>9040</v>
      </c>
      <c r="G347" s="30" t="n">
        <v>259508</v>
      </c>
      <c r="H347" s="35" t="n">
        <v>-0.009857612267250793</v>
      </c>
      <c r="I347" s="35" t="n">
        <v>-0.5234580917237743</v>
      </c>
      <c r="J347" s="30" t="n">
        <v>10020.5</v>
      </c>
      <c r="K347" s="30" t="n">
        <v>10208.16666666667</v>
      </c>
      <c r="L347" s="30" t="n">
        <v>12678.5</v>
      </c>
      <c r="M347" s="35" t="n">
        <v>0.5108531798134025</v>
      </c>
      <c r="N347" s="35" t="n">
        <v>0.5266041069457552</v>
      </c>
      <c r="O347" s="35" t="n">
        <v>-0.07566462167689159</v>
      </c>
      <c r="P347" s="35" t="n">
        <v>-0.07849133537206932</v>
      </c>
      <c r="Q347" s="35" t="n">
        <v>-0.2842438638163104</v>
      </c>
      <c r="R347" s="35" t="n">
        <v>-0.0978494087121401</v>
      </c>
      <c r="S347" s="35" t="n">
        <v>-0.1144345213799408</v>
      </c>
      <c r="T347" s="35" t="n">
        <v>-0.286981898489569</v>
      </c>
      <c r="U347" s="30" t="n">
        <v>18970</v>
      </c>
      <c r="V347" s="30" t="n">
        <v>7900</v>
      </c>
      <c r="W347" s="35" t="n">
        <v>-0.5234580917237743</v>
      </c>
      <c r="X347" s="35" t="n">
        <v>0.1443037974683545</v>
      </c>
      <c r="Y347" s="30" t="n">
        <v>33416778</v>
      </c>
      <c r="Z347" s="30" t="n">
        <v>302087673120</v>
      </c>
      <c r="AA347" s="30" t="n">
        <v>2345952320</v>
      </c>
      <c r="AB347" s="30" t="n">
        <v>2608511476.5</v>
      </c>
      <c r="AC347" s="35" t="n">
        <v>0.007765799563321156</v>
      </c>
      <c r="AD347" s="24" t="inlineStr">
        <is>
          <t>yfinance_download</t>
        </is>
      </c>
      <c r="AE347" s="24" t="inlineStr">
        <is>
          <t>059090.KQ</t>
        </is>
      </c>
    </row>
    <row r="348" ht="24" customHeight="1">
      <c r="A348" s="29" t="inlineStr">
        <is>
          <t>2024-11-08</t>
        </is>
      </c>
      <c r="B348" s="31" t="n">
        <v>9090</v>
      </c>
      <c r="C348" s="31" t="n">
        <v>9270</v>
      </c>
      <c r="D348" s="31" t="n">
        <v>9020</v>
      </c>
      <c r="E348" s="31" t="n">
        <v>9110</v>
      </c>
      <c r="F348" s="31" t="n">
        <v>9110</v>
      </c>
      <c r="G348" s="31" t="n">
        <v>144961</v>
      </c>
      <c r="H348" s="36" t="n">
        <v>0.007743362831858391</v>
      </c>
      <c r="I348" s="36" t="n">
        <v>-0.5197680548234054</v>
      </c>
      <c r="J348" s="31" t="n">
        <v>9961</v>
      </c>
      <c r="K348" s="31" t="n">
        <v>10190.5</v>
      </c>
      <c r="L348" s="31" t="n">
        <v>12647.91666666667</v>
      </c>
      <c r="M348" s="36" t="n">
        <v>0.4677234511233181</v>
      </c>
      <c r="N348" s="36" t="n">
        <v>0.5211070847078918</v>
      </c>
      <c r="O348" s="36" t="n">
        <v>-0.1155339805825243</v>
      </c>
      <c r="P348" s="36" t="n">
        <v>-0.104228121927237</v>
      </c>
      <c r="Q348" s="36" t="n">
        <v>-0.2871674491392802</v>
      </c>
      <c r="R348" s="36" t="n">
        <v>-0.0854331894388114</v>
      </c>
      <c r="S348" s="36" t="n">
        <v>-0.1060301260978362</v>
      </c>
      <c r="T348" s="36" t="n">
        <v>-0.2797232745840883</v>
      </c>
      <c r="U348" s="31" t="n">
        <v>18970</v>
      </c>
      <c r="V348" s="31" t="n">
        <v>7900</v>
      </c>
      <c r="W348" s="36" t="n">
        <v>-0.5197680548234054</v>
      </c>
      <c r="X348" s="36" t="n">
        <v>0.1531645569620252</v>
      </c>
      <c r="Y348" s="31" t="n">
        <v>33416778</v>
      </c>
      <c r="Z348" s="31" t="n">
        <v>304426847580</v>
      </c>
      <c r="AA348" s="31" t="n">
        <v>1320594710</v>
      </c>
      <c r="AB348" s="31" t="n">
        <v>2486228887</v>
      </c>
      <c r="AC348" s="36" t="n">
        <v>0.004337970584716456</v>
      </c>
      <c r="AD348" s="29" t="inlineStr">
        <is>
          <t>yfinance_download</t>
        </is>
      </c>
      <c r="AE348" s="29" t="inlineStr">
        <is>
          <t>059090.KQ</t>
        </is>
      </c>
    </row>
    <row r="349" ht="24" customHeight="1">
      <c r="A349" s="24" t="inlineStr">
        <is>
          <t>2024-11-11</t>
        </is>
      </c>
      <c r="B349" s="30" t="n">
        <v>9080</v>
      </c>
      <c r="C349" s="30" t="n">
        <v>9130</v>
      </c>
      <c r="D349" s="30" t="n">
        <v>8670</v>
      </c>
      <c r="E349" s="30" t="n">
        <v>8670</v>
      </c>
      <c r="F349" s="30" t="n">
        <v>8670</v>
      </c>
      <c r="G349" s="30" t="n">
        <v>266788</v>
      </c>
      <c r="H349" s="35" t="n">
        <v>-0.04829857299670692</v>
      </c>
      <c r="I349" s="35" t="n">
        <v>-0.5429625724828677</v>
      </c>
      <c r="J349" s="30" t="n">
        <v>9869</v>
      </c>
      <c r="K349" s="30" t="n">
        <v>10166.16666666667</v>
      </c>
      <c r="L349" s="30" t="n">
        <v>12612.33333333333</v>
      </c>
      <c r="M349" s="35" t="n">
        <v>0.4802798066958758</v>
      </c>
      <c r="N349" s="35" t="n">
        <v>0.529919734601604</v>
      </c>
      <c r="O349" s="35" t="n">
        <v>-0.1750713606089439</v>
      </c>
      <c r="P349" s="35" t="n">
        <v>-0.1441263573543929</v>
      </c>
      <c r="Q349" s="35" t="n">
        <v>-0.3299845440494591</v>
      </c>
      <c r="R349" s="35" t="n">
        <v>-0.1214915391630358</v>
      </c>
      <c r="S349" s="35" t="n">
        <v>-0.1471711723527386</v>
      </c>
      <c r="T349" s="35" t="n">
        <v>-0.3125776356476465</v>
      </c>
      <c r="U349" s="30" t="n">
        <v>18970</v>
      </c>
      <c r="V349" s="30" t="n">
        <v>7900</v>
      </c>
      <c r="W349" s="35" t="n">
        <v>-0.5429625724828677</v>
      </c>
      <c r="X349" s="35" t="n">
        <v>0.09746835443037982</v>
      </c>
      <c r="Y349" s="30" t="n">
        <v>33416778</v>
      </c>
      <c r="Z349" s="30" t="n">
        <v>289723465260</v>
      </c>
      <c r="AA349" s="30" t="n">
        <v>2313051960</v>
      </c>
      <c r="AB349" s="30" t="n">
        <v>2436951733.5</v>
      </c>
      <c r="AC349" s="35" t="n">
        <v>0.007983654199097232</v>
      </c>
      <c r="AD349" s="24" t="inlineStr">
        <is>
          <t>yfinance_download</t>
        </is>
      </c>
      <c r="AE349" s="24" t="inlineStr">
        <is>
          <t>059090.KQ</t>
        </is>
      </c>
    </row>
    <row r="350" ht="24" customHeight="1">
      <c r="A350" s="29" t="inlineStr">
        <is>
          <t>2024-11-12</t>
        </is>
      </c>
      <c r="B350" s="31" t="n">
        <v>8720</v>
      </c>
      <c r="C350" s="31" t="n">
        <v>8720</v>
      </c>
      <c r="D350" s="31" t="n">
        <v>8060</v>
      </c>
      <c r="E350" s="31" t="n">
        <v>8190</v>
      </c>
      <c r="F350" s="31" t="n">
        <v>8190</v>
      </c>
      <c r="G350" s="31" t="n">
        <v>382275</v>
      </c>
      <c r="H350" s="36" t="n">
        <v>-0.05536332179930792</v>
      </c>
      <c r="I350" s="36" t="n">
        <v>-0.5682656826568266</v>
      </c>
      <c r="J350" s="31" t="n">
        <v>9748.5</v>
      </c>
      <c r="K350" s="31" t="n">
        <v>10131.5</v>
      </c>
      <c r="L350" s="31" t="n">
        <v>12559.75</v>
      </c>
      <c r="M350" s="36" t="n">
        <v>0.5021367734364932</v>
      </c>
      <c r="N350" s="36" t="n">
        <v>0.5399453167547507</v>
      </c>
      <c r="O350" s="36" t="n">
        <v>-0.2273584905660377</v>
      </c>
      <c r="P350" s="36" t="n">
        <v>-0.2025316455696202</v>
      </c>
      <c r="Q350" s="36" t="n">
        <v>-0.4351724137931035</v>
      </c>
      <c r="R350" s="36" t="n">
        <v>-0.1598707493460533</v>
      </c>
      <c r="S350" s="36" t="n">
        <v>-0.1916300646498544</v>
      </c>
      <c r="T350" s="36" t="n">
        <v>-0.347916956945799</v>
      </c>
      <c r="U350" s="31" t="n">
        <v>18970</v>
      </c>
      <c r="V350" s="31" t="n">
        <v>7990</v>
      </c>
      <c r="W350" s="36" t="n">
        <v>-0.5682656826568266</v>
      </c>
      <c r="X350" s="36" t="n">
        <v>0.0250312891113893</v>
      </c>
      <c r="Y350" s="31" t="n">
        <v>33416778</v>
      </c>
      <c r="Z350" s="31" t="n">
        <v>273683411820</v>
      </c>
      <c r="AA350" s="31" t="n">
        <v>3130832250</v>
      </c>
      <c r="AB350" s="31" t="n">
        <v>2355513276</v>
      </c>
      <c r="AC350" s="36" t="n">
        <v>0.0114396127597939</v>
      </c>
      <c r="AD350" s="29" t="inlineStr">
        <is>
          <t>yfinance_download</t>
        </is>
      </c>
      <c r="AE350" s="29" t="inlineStr">
        <is>
          <t>059090.KQ</t>
        </is>
      </c>
    </row>
    <row r="351" ht="24" customHeight="1">
      <c r="A351" s="24" t="inlineStr">
        <is>
          <t>2024-11-13</t>
        </is>
      </c>
      <c r="B351" s="30" t="n">
        <v>8070</v>
      </c>
      <c r="C351" s="30" t="n">
        <v>8330</v>
      </c>
      <c r="D351" s="30" t="n">
        <v>7850</v>
      </c>
      <c r="E351" s="30" t="n">
        <v>7850</v>
      </c>
      <c r="F351" s="30" t="n">
        <v>7850</v>
      </c>
      <c r="G351" s="30" t="n">
        <v>249890</v>
      </c>
      <c r="H351" s="35" t="n">
        <v>-0.04151404151404148</v>
      </c>
      <c r="I351" s="35" t="n">
        <v>-0.5861887190300474</v>
      </c>
      <c r="J351" s="30" t="n">
        <v>9612</v>
      </c>
      <c r="K351" s="30" t="n">
        <v>10089.16666666667</v>
      </c>
      <c r="L351" s="30" t="n">
        <v>12506.83333333333</v>
      </c>
      <c r="M351" s="35" t="n">
        <v>0.510826855606333</v>
      </c>
      <c r="N351" s="35" t="n">
        <v>0.5446684103680166</v>
      </c>
      <c r="O351" s="35" t="n">
        <v>-0.2580340264650284</v>
      </c>
      <c r="P351" s="35" t="n">
        <v>-0.2444658325312801</v>
      </c>
      <c r="Q351" s="35" t="n">
        <v>-0.4471830985915493</v>
      </c>
      <c r="R351" s="35" t="n">
        <v>-0.1833125260091553</v>
      </c>
      <c r="S351" s="35" t="n">
        <v>-0.2219377219790204</v>
      </c>
      <c r="T351" s="35" t="n">
        <v>-0.3723431190948948</v>
      </c>
      <c r="U351" s="30" t="n">
        <v>18970</v>
      </c>
      <c r="V351" s="30" t="n">
        <v>7850</v>
      </c>
      <c r="W351" s="35" t="n">
        <v>-0.5861887190300474</v>
      </c>
      <c r="X351" s="35" t="n">
        <v>0</v>
      </c>
      <c r="Y351" s="30" t="n">
        <v>33416778</v>
      </c>
      <c r="Z351" s="30" t="n">
        <v>262321707300</v>
      </c>
      <c r="AA351" s="30" t="n">
        <v>1961636500</v>
      </c>
      <c r="AB351" s="30" t="n">
        <v>2312428277</v>
      </c>
      <c r="AC351" s="35" t="n">
        <v>0.007477980073363147</v>
      </c>
      <c r="AD351" s="24" t="inlineStr">
        <is>
          <t>yfinance_download</t>
        </is>
      </c>
      <c r="AE351" s="24" t="inlineStr">
        <is>
          <t>059090.KQ</t>
        </is>
      </c>
    </row>
    <row r="352" ht="24" customHeight="1">
      <c r="A352" s="29" t="inlineStr">
        <is>
          <t>2024-11-14</t>
        </is>
      </c>
      <c r="B352" s="31" t="n">
        <v>7820</v>
      </c>
      <c r="C352" s="31" t="n">
        <v>7950</v>
      </c>
      <c r="D352" s="31" t="n">
        <v>7400</v>
      </c>
      <c r="E352" s="31" t="n">
        <v>7400</v>
      </c>
      <c r="F352" s="31" t="n">
        <v>7400</v>
      </c>
      <c r="G352" s="31" t="n">
        <v>530295</v>
      </c>
      <c r="H352" s="36" t="n">
        <v>-0.0573248407643312</v>
      </c>
      <c r="I352" s="36" t="n">
        <v>-0.609910384818134</v>
      </c>
      <c r="J352" s="31" t="n">
        <v>9441.5</v>
      </c>
      <c r="K352" s="31" t="n">
        <v>10037.5</v>
      </c>
      <c r="L352" s="31" t="n">
        <v>12445.5</v>
      </c>
      <c r="M352" s="36" t="n">
        <v>0.5138956961162855</v>
      </c>
      <c r="N352" s="36" t="n">
        <v>0.5545468461229249</v>
      </c>
      <c r="O352" s="36" t="n">
        <v>-0.3154486586493987</v>
      </c>
      <c r="P352" s="36" t="n">
        <v>-0.2952380952380952</v>
      </c>
      <c r="Q352" s="36" t="n">
        <v>-0.4986449864498645</v>
      </c>
      <c r="R352" s="36" t="n">
        <v>-0.2162262352380449</v>
      </c>
      <c r="S352" s="36" t="n">
        <v>-0.2627646326276464</v>
      </c>
      <c r="T352" s="36" t="n">
        <v>-0.4054075770358764</v>
      </c>
      <c r="U352" s="31" t="n">
        <v>18970</v>
      </c>
      <c r="V352" s="31" t="n">
        <v>7400</v>
      </c>
      <c r="W352" s="36" t="n">
        <v>-0.609910384818134</v>
      </c>
      <c r="X352" s="36" t="n">
        <v>0</v>
      </c>
      <c r="Y352" s="31" t="n">
        <v>33416778</v>
      </c>
      <c r="Z352" s="31" t="n">
        <v>247284157200</v>
      </c>
      <c r="AA352" s="31" t="n">
        <v>3924183000</v>
      </c>
      <c r="AB352" s="31" t="n">
        <v>2375752259</v>
      </c>
      <c r="AC352" s="36" t="n">
        <v>0.01586912418665857</v>
      </c>
      <c r="AD352" s="29" t="inlineStr">
        <is>
          <t>yfinance_download</t>
        </is>
      </c>
      <c r="AE352" s="29" t="inlineStr">
        <is>
          <t>059090.KQ</t>
        </is>
      </c>
    </row>
    <row r="353" ht="24" customHeight="1">
      <c r="A353" s="24" t="inlineStr">
        <is>
          <t>2024-11-15</t>
        </is>
      </c>
      <c r="B353" s="30" t="n">
        <v>7390</v>
      </c>
      <c r="C353" s="30" t="n">
        <v>7830</v>
      </c>
      <c r="D353" s="30" t="n">
        <v>7370</v>
      </c>
      <c r="E353" s="30" t="n">
        <v>7790</v>
      </c>
      <c r="F353" s="30" t="n">
        <v>7790</v>
      </c>
      <c r="G353" s="30" t="n">
        <v>251093</v>
      </c>
      <c r="H353" s="35" t="n">
        <v>0.05270270270270272</v>
      </c>
      <c r="I353" s="35" t="n">
        <v>-0.5893516078017923</v>
      </c>
      <c r="J353" s="30" t="n">
        <v>9311</v>
      </c>
      <c r="K353" s="30" t="n">
        <v>9984.666666666666</v>
      </c>
      <c r="L353" s="30" t="n">
        <v>12387.33333333333</v>
      </c>
      <c r="M353" s="35" t="n">
        <v>0.565972286624279</v>
      </c>
      <c r="N353" s="35" t="n">
        <v>0.5581925237774339</v>
      </c>
      <c r="O353" s="35" t="n">
        <v>-0.2509615384615385</v>
      </c>
      <c r="P353" s="35" t="n">
        <v>-0.2892335766423357</v>
      </c>
      <c r="Q353" s="35" t="n">
        <v>-0.4725795531482735</v>
      </c>
      <c r="R353" s="35" t="n">
        <v>-0.1633551713027602</v>
      </c>
      <c r="S353" s="35" t="n">
        <v>-0.2198036990051412</v>
      </c>
      <c r="T353" s="35" t="n">
        <v>-0.3711318013024058</v>
      </c>
      <c r="U353" s="30" t="n">
        <v>18970</v>
      </c>
      <c r="V353" s="30" t="n">
        <v>7400</v>
      </c>
      <c r="W353" s="35" t="n">
        <v>-0.5893516078017923</v>
      </c>
      <c r="X353" s="35" t="n">
        <v>0.05270270270270272</v>
      </c>
      <c r="Y353" s="30" t="n">
        <v>33416778</v>
      </c>
      <c r="Z353" s="30" t="n">
        <v>260316700620</v>
      </c>
      <c r="AA353" s="30" t="n">
        <v>1956014470</v>
      </c>
      <c r="AB353" s="30" t="n">
        <v>2295182062.5</v>
      </c>
      <c r="AC353" s="35" t="n">
        <v>0.007513979953423397</v>
      </c>
      <c r="AD353" s="24" t="inlineStr">
        <is>
          <t>yfinance_download</t>
        </is>
      </c>
      <c r="AE353" s="24" t="inlineStr">
        <is>
          <t>059090.KQ</t>
        </is>
      </c>
    </row>
    <row r="354" ht="24" customHeight="1">
      <c r="A354" s="29" t="inlineStr">
        <is>
          <t>2024-11-18</t>
        </is>
      </c>
      <c r="B354" s="31" t="n">
        <v>8130</v>
      </c>
      <c r="C354" s="31" t="n">
        <v>8310</v>
      </c>
      <c r="D354" s="31" t="n">
        <v>7940</v>
      </c>
      <c r="E354" s="31" t="n">
        <v>8090</v>
      </c>
      <c r="F354" s="31" t="n">
        <v>8090</v>
      </c>
      <c r="G354" s="31" t="n">
        <v>421309</v>
      </c>
      <c r="H354" s="36" t="n">
        <v>0.03851091142490382</v>
      </c>
      <c r="I354" s="36" t="n">
        <v>-0.573537163943068</v>
      </c>
      <c r="J354" s="31" t="n">
        <v>9173</v>
      </c>
      <c r="K354" s="31" t="n">
        <v>9930.833333333334</v>
      </c>
      <c r="L354" s="31" t="n">
        <v>12321.41666666667</v>
      </c>
      <c r="M354" s="36" t="n">
        <v>0.559834224269272</v>
      </c>
      <c r="N354" s="36" t="n">
        <v>0.5599537726349433</v>
      </c>
      <c r="O354" s="36" t="n">
        <v>-0.2543778801843318</v>
      </c>
      <c r="P354" s="36" t="n">
        <v>-0.2853356890459364</v>
      </c>
      <c r="Q354" s="36" t="n">
        <v>-0.494375</v>
      </c>
      <c r="R354" s="36" t="n">
        <v>-0.1180638831352884</v>
      </c>
      <c r="S354" s="36" t="n">
        <v>-0.1853654443232358</v>
      </c>
      <c r="T354" s="36" t="n">
        <v>-0.343419655477928</v>
      </c>
      <c r="U354" s="31" t="n">
        <v>18970</v>
      </c>
      <c r="V354" s="31" t="n">
        <v>7400</v>
      </c>
      <c r="W354" s="36" t="n">
        <v>-0.573537163943068</v>
      </c>
      <c r="X354" s="36" t="n">
        <v>0.09324324324324329</v>
      </c>
      <c r="Y354" s="31" t="n">
        <v>33416778</v>
      </c>
      <c r="Z354" s="31" t="n">
        <v>270341734020</v>
      </c>
      <c r="AA354" s="31" t="n">
        <v>3408389810</v>
      </c>
      <c r="AB354" s="31" t="n">
        <v>2319649523</v>
      </c>
      <c r="AC354" s="36" t="n">
        <v>0.01260770861870645</v>
      </c>
      <c r="AD354" s="29" t="inlineStr">
        <is>
          <t>yfinance_download</t>
        </is>
      </c>
      <c r="AE354" s="29" t="inlineStr">
        <is>
          <t>059090.KQ</t>
        </is>
      </c>
    </row>
    <row r="355" ht="24" customHeight="1">
      <c r="A355" s="24" t="inlineStr">
        <is>
          <t>2024-11-19</t>
        </is>
      </c>
      <c r="B355" s="30" t="n">
        <v>8170</v>
      </c>
      <c r="C355" s="30" t="n">
        <v>8510</v>
      </c>
      <c r="D355" s="30" t="n">
        <v>8030</v>
      </c>
      <c r="E355" s="30" t="n">
        <v>8360</v>
      </c>
      <c r="F355" s="30" t="n">
        <v>8360</v>
      </c>
      <c r="G355" s="30" t="n">
        <v>322579</v>
      </c>
      <c r="H355" s="35" t="n">
        <v>0.03337453646477129</v>
      </c>
      <c r="I355" s="35" t="n">
        <v>-0.5593041644702161</v>
      </c>
      <c r="J355" s="30" t="n">
        <v>9076</v>
      </c>
      <c r="K355" s="30" t="n">
        <v>9888.333333333334</v>
      </c>
      <c r="L355" s="30" t="n">
        <v>12259.66666666667</v>
      </c>
      <c r="M355" s="35" t="n">
        <v>0.5662038756589669</v>
      </c>
      <c r="N355" s="35" t="n">
        <v>0.561529500363797</v>
      </c>
      <c r="O355" s="35" t="n">
        <v>-0.1883495145631068</v>
      </c>
      <c r="P355" s="35" t="n">
        <v>-0.233730522456462</v>
      </c>
      <c r="Q355" s="35" t="n">
        <v>-0.4698795180722891</v>
      </c>
      <c r="R355" s="35" t="n">
        <v>-0.07888937858087264</v>
      </c>
      <c r="S355" s="35" t="n">
        <v>-0.1545592449013991</v>
      </c>
      <c r="T355" s="35" t="n">
        <v>-0.3180891269474428</v>
      </c>
      <c r="U355" s="30" t="n">
        <v>18970</v>
      </c>
      <c r="V355" s="30" t="n">
        <v>7400</v>
      </c>
      <c r="W355" s="35" t="n">
        <v>-0.5593041644702161</v>
      </c>
      <c r="X355" s="35" t="n">
        <v>0.1297297297297297</v>
      </c>
      <c r="Y355" s="30" t="n">
        <v>33416778</v>
      </c>
      <c r="Z355" s="30" t="n">
        <v>279364264080</v>
      </c>
      <c r="AA355" s="30" t="n">
        <v>2696760440</v>
      </c>
      <c r="AB355" s="30" t="n">
        <v>2295770725</v>
      </c>
      <c r="AC355" s="35" t="n">
        <v>0.009653204746430073</v>
      </c>
      <c r="AD355" s="24" t="inlineStr">
        <is>
          <t>yfinance_download</t>
        </is>
      </c>
      <c r="AE355" s="24" t="inlineStr">
        <is>
          <t>059090.KQ</t>
        </is>
      </c>
    </row>
    <row r="356" ht="24" customHeight="1">
      <c r="A356" s="29" t="inlineStr">
        <is>
          <t>2024-11-20</t>
        </is>
      </c>
      <c r="B356" s="31" t="n">
        <v>8380</v>
      </c>
      <c r="C356" s="31" t="n">
        <v>8380</v>
      </c>
      <c r="D356" s="31" t="n">
        <v>8070</v>
      </c>
      <c r="E356" s="31" t="n">
        <v>8100</v>
      </c>
      <c r="F356" s="31" t="n">
        <v>8100</v>
      </c>
      <c r="G356" s="31" t="n">
        <v>172992</v>
      </c>
      <c r="H356" s="36" t="n">
        <v>-0.03110047846889952</v>
      </c>
      <c r="I356" s="36" t="n">
        <v>-0.5730100158144439</v>
      </c>
      <c r="J356" s="31" t="n">
        <v>8954</v>
      </c>
      <c r="K356" s="31" t="n">
        <v>9827.833333333334</v>
      </c>
      <c r="L356" s="31" t="n">
        <v>12190.66666666667</v>
      </c>
      <c r="M356" s="36" t="n">
        <v>0.5569097872143633</v>
      </c>
      <c r="N356" s="36" t="n">
        <v>0.5394921020127886</v>
      </c>
      <c r="O356" s="36" t="n">
        <v>-0.2314990512333965</v>
      </c>
      <c r="P356" s="36" t="n">
        <v>-0.309462915601023</v>
      </c>
      <c r="Q356" s="36" t="n">
        <v>-0.5054945054945055</v>
      </c>
      <c r="R356" s="36" t="n">
        <v>-0.09537636810364081</v>
      </c>
      <c r="S356" s="36" t="n">
        <v>-0.1758101989248224</v>
      </c>
      <c r="T356" s="36" t="n">
        <v>-0.3355572569178606</v>
      </c>
      <c r="U356" s="31" t="n">
        <v>18970</v>
      </c>
      <c r="V356" s="31" t="n">
        <v>7400</v>
      </c>
      <c r="W356" s="36" t="n">
        <v>-0.5730100158144439</v>
      </c>
      <c r="X356" s="36" t="n">
        <v>0.09459459459459452</v>
      </c>
      <c r="Y356" s="31" t="n">
        <v>33416778</v>
      </c>
      <c r="Z356" s="31" t="n">
        <v>270675901800</v>
      </c>
      <c r="AA356" s="31" t="n">
        <v>1401235200</v>
      </c>
      <c r="AB356" s="31" t="n">
        <v>2249011868</v>
      </c>
      <c r="AC356" s="36" t="n">
        <v>0.005176800707716345</v>
      </c>
      <c r="AD356" s="29" t="inlineStr">
        <is>
          <t>yfinance_download</t>
        </is>
      </c>
      <c r="AE356" s="29" t="inlineStr">
        <is>
          <t>059090.KQ</t>
        </is>
      </c>
    </row>
    <row r="357" ht="24" customHeight="1">
      <c r="A357" s="24" t="inlineStr">
        <is>
          <t>2024-11-21</t>
        </is>
      </c>
      <c r="B357" s="30" t="n">
        <v>8210</v>
      </c>
      <c r="C357" s="30" t="n">
        <v>8270</v>
      </c>
      <c r="D357" s="30" t="n">
        <v>8090</v>
      </c>
      <c r="E357" s="30" t="n">
        <v>8180</v>
      </c>
      <c r="F357" s="30" t="n">
        <v>8180</v>
      </c>
      <c r="G357" s="30" t="n">
        <v>119653</v>
      </c>
      <c r="H357" s="35" t="n">
        <v>0.009876543209876631</v>
      </c>
      <c r="I357" s="35" t="n">
        <v>-0.5687928307854507</v>
      </c>
      <c r="J357" s="30" t="n">
        <v>8859.5</v>
      </c>
      <c r="K357" s="30" t="n">
        <v>9775.666666666666</v>
      </c>
      <c r="L357" s="30" t="n">
        <v>12110.83333333333</v>
      </c>
      <c r="M357" s="35" t="n">
        <v>0.5487736321391082</v>
      </c>
      <c r="N357" s="35" t="n">
        <v>0.5366784530745812</v>
      </c>
      <c r="O357" s="35" t="n">
        <v>-0.1876861966236345</v>
      </c>
      <c r="P357" s="35" t="n">
        <v>-0.2767462422634837</v>
      </c>
      <c r="Q357" s="35" t="n">
        <v>-0.5394144144144144</v>
      </c>
      <c r="R357" s="35" t="n">
        <v>-0.07669733054912808</v>
      </c>
      <c r="S357" s="35" t="n">
        <v>-0.163228424318887</v>
      </c>
      <c r="T357" s="35" t="n">
        <v>-0.3245716644877177</v>
      </c>
      <c r="U357" s="30" t="n">
        <v>18970</v>
      </c>
      <c r="V357" s="30" t="n">
        <v>7400</v>
      </c>
      <c r="W357" s="35" t="n">
        <v>-0.5687928307854507</v>
      </c>
      <c r="X357" s="35" t="n">
        <v>0.1054054054054054</v>
      </c>
      <c r="Y357" s="30" t="n">
        <v>33416778</v>
      </c>
      <c r="Z357" s="30" t="n">
        <v>273349244040</v>
      </c>
      <c r="AA357" s="30" t="n">
        <v>978761540</v>
      </c>
      <c r="AB357" s="30" t="n">
        <v>2163362884.5</v>
      </c>
      <c r="AC357" s="35" t="n">
        <v>0.003580626474521272</v>
      </c>
      <c r="AD357" s="24" t="inlineStr">
        <is>
          <t>yfinance_download</t>
        </is>
      </c>
      <c r="AE357" s="24" t="inlineStr">
        <is>
          <t>059090.KQ</t>
        </is>
      </c>
    </row>
    <row r="358" ht="24" customHeight="1">
      <c r="A358" s="29" t="inlineStr">
        <is>
          <t>2024-11-22</t>
        </is>
      </c>
      <c r="B358" s="31" t="n">
        <v>8180</v>
      </c>
      <c r="C358" s="31" t="n">
        <v>8380</v>
      </c>
      <c r="D358" s="31" t="n">
        <v>8150</v>
      </c>
      <c r="E358" s="31" t="n">
        <v>8170</v>
      </c>
      <c r="F358" s="31" t="n">
        <v>8170</v>
      </c>
      <c r="G358" s="31" t="n">
        <v>159954</v>
      </c>
      <c r="H358" s="36" t="n">
        <v>-0.001222493887530596</v>
      </c>
      <c r="I358" s="36" t="n">
        <v>-0.5693199789140748</v>
      </c>
      <c r="J358" s="31" t="n">
        <v>8779</v>
      </c>
      <c r="K358" s="31" t="n">
        <v>9728.166666666666</v>
      </c>
      <c r="L358" s="31" t="n">
        <v>12035.08333333333</v>
      </c>
      <c r="M358" s="36" t="n">
        <v>0.5448070492963188</v>
      </c>
      <c r="N358" s="36" t="n">
        <v>0.5349634647553311</v>
      </c>
      <c r="O358" s="36" t="n">
        <v>-0.1646216768916156</v>
      </c>
      <c r="P358" s="36" t="n">
        <v>-0.2586206896551724</v>
      </c>
      <c r="Q358" s="36" t="n">
        <v>-0.5266512166859791</v>
      </c>
      <c r="R358" s="36" t="n">
        <v>-0.06937008770930631</v>
      </c>
      <c r="S358" s="36" t="n">
        <v>-0.1601706385238739</v>
      </c>
      <c r="T358" s="36" t="n">
        <v>-0.3211513561047217</v>
      </c>
      <c r="U358" s="31" t="n">
        <v>18970</v>
      </c>
      <c r="V358" s="31" t="n">
        <v>7400</v>
      </c>
      <c r="W358" s="36" t="n">
        <v>-0.5693199789140748</v>
      </c>
      <c r="X358" s="36" t="n">
        <v>0.104054054054054</v>
      </c>
      <c r="Y358" s="31" t="n">
        <v>33416778</v>
      </c>
      <c r="Z358" s="31" t="n">
        <v>273015076260</v>
      </c>
      <c r="AA358" s="31" t="n">
        <v>1306824180</v>
      </c>
      <c r="AB358" s="31" t="n">
        <v>2104405183.5</v>
      </c>
      <c r="AC358" s="36" t="n">
        <v>0.004786637419083312</v>
      </c>
      <c r="AD358" s="29" t="inlineStr">
        <is>
          <t>yfinance_download</t>
        </is>
      </c>
      <c r="AE358" s="29" t="inlineStr">
        <is>
          <t>059090.KQ</t>
        </is>
      </c>
    </row>
    <row r="359" ht="24" customHeight="1">
      <c r="A359" s="24" t="inlineStr">
        <is>
          <t>2024-11-25</t>
        </is>
      </c>
      <c r="B359" s="30" t="n">
        <v>8210</v>
      </c>
      <c r="C359" s="30" t="n">
        <v>8440</v>
      </c>
      <c r="D359" s="30" t="n">
        <v>8180</v>
      </c>
      <c r="E359" s="30" t="n">
        <v>8350</v>
      </c>
      <c r="F359" s="30" t="n">
        <v>8350</v>
      </c>
      <c r="G359" s="30" t="n">
        <v>157319</v>
      </c>
      <c r="H359" s="35" t="n">
        <v>0.02203182374541002</v>
      </c>
      <c r="I359" s="35" t="n">
        <v>-0.5598313125988403</v>
      </c>
      <c r="J359" s="30" t="n">
        <v>8687.5</v>
      </c>
      <c r="K359" s="30" t="n">
        <v>9682</v>
      </c>
      <c r="L359" s="30" t="n">
        <v>11968</v>
      </c>
      <c r="M359" s="35" t="n">
        <v>0.5259566559763086</v>
      </c>
      <c r="N359" s="35" t="n">
        <v>0.5370143836908501</v>
      </c>
      <c r="O359" s="35" t="n">
        <v>-0.1797642436149313</v>
      </c>
      <c r="P359" s="35" t="n">
        <v>-0.2491007194244604</v>
      </c>
      <c r="Q359" s="35" t="n">
        <v>-0.4908536585365854</v>
      </c>
      <c r="R359" s="35" t="n">
        <v>-0.03884892086330938</v>
      </c>
      <c r="S359" s="35" t="n">
        <v>-0.1375748812228879</v>
      </c>
      <c r="T359" s="35" t="n">
        <v>-0.3023061497326203</v>
      </c>
      <c r="U359" s="30" t="n">
        <v>18970</v>
      </c>
      <c r="V359" s="30" t="n">
        <v>7400</v>
      </c>
      <c r="W359" s="35" t="n">
        <v>-0.5598313125988403</v>
      </c>
      <c r="X359" s="35" t="n">
        <v>0.1283783783783783</v>
      </c>
      <c r="Y359" s="30" t="n">
        <v>33416778</v>
      </c>
      <c r="Z359" s="30" t="n">
        <v>279030096300</v>
      </c>
      <c r="AA359" s="30" t="n">
        <v>1313613650</v>
      </c>
      <c r="AB359" s="30" t="n">
        <v>2083605748</v>
      </c>
      <c r="AC359" s="35" t="n">
        <v>0.004707784813963812</v>
      </c>
      <c r="AD359" s="24" t="inlineStr">
        <is>
          <t>yfinance_download</t>
        </is>
      </c>
      <c r="AE359" s="24" t="inlineStr">
        <is>
          <t>059090.KQ</t>
        </is>
      </c>
    </row>
    <row r="360" ht="24" customHeight="1">
      <c r="A360" s="29" t="inlineStr">
        <is>
          <t>2024-11-26</t>
        </is>
      </c>
      <c r="B360" s="31" t="n">
        <v>8360</v>
      </c>
      <c r="C360" s="31" t="n">
        <v>8430</v>
      </c>
      <c r="D360" s="31" t="n">
        <v>8270</v>
      </c>
      <c r="E360" s="31" t="n">
        <v>8390</v>
      </c>
      <c r="F360" s="31" t="n">
        <v>8390</v>
      </c>
      <c r="G360" s="31" t="n">
        <v>102552</v>
      </c>
      <c r="H360" s="36" t="n">
        <v>0.004790419161676551</v>
      </c>
      <c r="I360" s="36" t="n">
        <v>-0.5577227200843438</v>
      </c>
      <c r="J360" s="31" t="n">
        <v>8613.5</v>
      </c>
      <c r="K360" s="31" t="n">
        <v>9636.5</v>
      </c>
      <c r="L360" s="31" t="n">
        <v>11903.66666666667</v>
      </c>
      <c r="M360" s="36" t="n">
        <v>0.5220519078306765</v>
      </c>
      <c r="N360" s="36" t="n">
        <v>0.5372641482505747</v>
      </c>
      <c r="O360" s="36" t="n">
        <v>-0.1499493414387031</v>
      </c>
      <c r="P360" s="36" t="n">
        <v>-0.2455035971223022</v>
      </c>
      <c r="Q360" s="36" t="n">
        <v>-0.479205462445686</v>
      </c>
      <c r="R360" s="36" t="n">
        <v>-0.02594764033203689</v>
      </c>
      <c r="S360" s="36" t="n">
        <v>-0.1293519431328802</v>
      </c>
      <c r="T360" s="36" t="n">
        <v>-0.2951751561143625</v>
      </c>
      <c r="U360" s="31" t="n">
        <v>18970</v>
      </c>
      <c r="V360" s="31" t="n">
        <v>7400</v>
      </c>
      <c r="W360" s="36" t="n">
        <v>-0.5577227200843438</v>
      </c>
      <c r="X360" s="36" t="n">
        <v>0.1337837837837839</v>
      </c>
      <c r="Y360" s="31" t="n">
        <v>33416778</v>
      </c>
      <c r="Z360" s="31" t="n">
        <v>280366767420</v>
      </c>
      <c r="AA360" s="31" t="n">
        <v>860411280</v>
      </c>
      <c r="AB360" s="31" t="n">
        <v>2000172859</v>
      </c>
      <c r="AC360" s="36" t="n">
        <v>0.003068877556058816</v>
      </c>
      <c r="AD360" s="29" t="inlineStr">
        <is>
          <t>yfinance_download</t>
        </is>
      </c>
      <c r="AE360" s="29" t="inlineStr">
        <is>
          <t>059090.KQ</t>
        </is>
      </c>
    </row>
    <row r="361" ht="24" customHeight="1">
      <c r="A361" s="24" t="inlineStr">
        <is>
          <t>2024-11-27</t>
        </is>
      </c>
      <c r="B361" s="30" t="n">
        <v>8400</v>
      </c>
      <c r="C361" s="30" t="n">
        <v>8410</v>
      </c>
      <c r="D361" s="30" t="n">
        <v>8050</v>
      </c>
      <c r="E361" s="30" t="n">
        <v>8050</v>
      </c>
      <c r="F361" s="30" t="n">
        <v>8050</v>
      </c>
      <c r="G361" s="30" t="n">
        <v>164907</v>
      </c>
      <c r="H361" s="35" t="n">
        <v>-0.04052443384982118</v>
      </c>
      <c r="I361" s="35" t="n">
        <v>-0.5756457564575646</v>
      </c>
      <c r="J361" s="30" t="n">
        <v>8541.5</v>
      </c>
      <c r="K361" s="30" t="n">
        <v>9588.833333333334</v>
      </c>
      <c r="L361" s="30" t="n">
        <v>11833.08333333333</v>
      </c>
      <c r="M361" s="35" t="n">
        <v>0.5236890897312956</v>
      </c>
      <c r="N361" s="35" t="n">
        <v>0.5416165746688621</v>
      </c>
      <c r="O361" s="35" t="n">
        <v>-0.1517386722866175</v>
      </c>
      <c r="P361" s="35" t="n">
        <v>-0.2621448212648946</v>
      </c>
      <c r="Q361" s="35" t="n">
        <v>-0.5127118644067796</v>
      </c>
      <c r="R361" s="35" t="n">
        <v>-0.05754258619680386</v>
      </c>
      <c r="S361" s="35" t="n">
        <v>-0.1604818104392263</v>
      </c>
      <c r="T361" s="35" t="n">
        <v>-0.3197039374071283</v>
      </c>
      <c r="U361" s="30" t="n">
        <v>18970</v>
      </c>
      <c r="V361" s="30" t="n">
        <v>7400</v>
      </c>
      <c r="W361" s="35" t="n">
        <v>-0.5756457564575646</v>
      </c>
      <c r="X361" s="35" t="n">
        <v>0.08783783783783794</v>
      </c>
      <c r="Y361" s="30" t="n">
        <v>33416778</v>
      </c>
      <c r="Z361" s="30" t="n">
        <v>269005062900</v>
      </c>
      <c r="AA361" s="30" t="n">
        <v>1327501350</v>
      </c>
      <c r="AB361" s="30" t="n">
        <v>1900088581.5</v>
      </c>
      <c r="AC361" s="35" t="n">
        <v>0.004934856376638107</v>
      </c>
      <c r="AD361" s="24" t="inlineStr">
        <is>
          <t>yfinance_download</t>
        </is>
      </c>
      <c r="AE361" s="24" t="inlineStr">
        <is>
          <t>059090.KQ</t>
        </is>
      </c>
    </row>
    <row r="362" ht="24" customHeight="1">
      <c r="A362" s="29" t="inlineStr">
        <is>
          <t>2024-11-28</t>
        </is>
      </c>
      <c r="B362" s="31" t="n">
        <v>8050</v>
      </c>
      <c r="C362" s="31" t="n">
        <v>8290</v>
      </c>
      <c r="D362" s="31" t="n">
        <v>8010</v>
      </c>
      <c r="E362" s="31" t="n">
        <v>8160</v>
      </c>
      <c r="F362" s="31" t="n">
        <v>8160</v>
      </c>
      <c r="G362" s="31" t="n">
        <v>98214</v>
      </c>
      <c r="H362" s="36" t="n">
        <v>0.01366459627329197</v>
      </c>
      <c r="I362" s="36" t="n">
        <v>-0.569847127042699</v>
      </c>
      <c r="J362" s="31" t="n">
        <v>8469.5</v>
      </c>
      <c r="K362" s="31" t="n">
        <v>9539.5</v>
      </c>
      <c r="L362" s="31" t="n">
        <v>11766.5</v>
      </c>
      <c r="M362" s="36" t="n">
        <v>0.5247513731337542</v>
      </c>
      <c r="N362" s="36" t="n">
        <v>0.5406917170050801</v>
      </c>
      <c r="O362" s="36" t="n">
        <v>-0.15</v>
      </c>
      <c r="P362" s="36" t="n">
        <v>-0.2661870503597122</v>
      </c>
      <c r="Q362" s="36" t="n">
        <v>-0.4947368421052631</v>
      </c>
      <c r="R362" s="36" t="n">
        <v>-0.03654288919062521</v>
      </c>
      <c r="S362" s="36" t="n">
        <v>-0.1446092562503276</v>
      </c>
      <c r="T362" s="36" t="n">
        <v>-0.3065057578719246</v>
      </c>
      <c r="U362" s="31" t="n">
        <v>18970</v>
      </c>
      <c r="V362" s="31" t="n">
        <v>7400</v>
      </c>
      <c r="W362" s="36" t="n">
        <v>-0.569847127042699</v>
      </c>
      <c r="X362" s="36" t="n">
        <v>0.1027027027027028</v>
      </c>
      <c r="Y362" s="31" t="n">
        <v>33416778</v>
      </c>
      <c r="Z362" s="31" t="n">
        <v>272680908480</v>
      </c>
      <c r="AA362" s="31" t="n">
        <v>801426240</v>
      </c>
      <c r="AB362" s="31" t="n">
        <v>1835609173.5</v>
      </c>
      <c r="AC362" s="36" t="n">
        <v>0.002939062527213126</v>
      </c>
      <c r="AD362" s="29" t="inlineStr">
        <is>
          <t>yfinance_download</t>
        </is>
      </c>
      <c r="AE362" s="29" t="inlineStr">
        <is>
          <t>059090.KQ</t>
        </is>
      </c>
    </row>
    <row r="363" ht="24" customHeight="1">
      <c r="A363" s="24" t="inlineStr">
        <is>
          <t>2024-11-29</t>
        </is>
      </c>
      <c r="B363" s="30" t="n">
        <v>8160</v>
      </c>
      <c r="C363" s="30" t="n">
        <v>8180</v>
      </c>
      <c r="D363" s="30" t="n">
        <v>7750</v>
      </c>
      <c r="E363" s="30" t="n">
        <v>7910</v>
      </c>
      <c r="F363" s="30" t="n">
        <v>7910</v>
      </c>
      <c r="G363" s="30" t="n">
        <v>250200</v>
      </c>
      <c r="H363" s="35" t="n">
        <v>-0.03063725490196079</v>
      </c>
      <c r="I363" s="35" t="n">
        <v>-0.5830258302583026</v>
      </c>
      <c r="J363" s="30" t="n">
        <v>8397</v>
      </c>
      <c r="K363" s="30" t="n">
        <v>9493.333333333334</v>
      </c>
      <c r="L363" s="30" t="n">
        <v>11699.08333333333</v>
      </c>
      <c r="M363" s="35" t="n">
        <v>0.5276086166392554</v>
      </c>
      <c r="N363" s="35" t="n">
        <v>0.5385284026993402</v>
      </c>
      <c r="O363" s="35" t="n">
        <v>-0.1549145299145299</v>
      </c>
      <c r="P363" s="35" t="n">
        <v>-0.2593632958801498</v>
      </c>
      <c r="Q363" s="35" t="n">
        <v>-0.505625</v>
      </c>
      <c r="R363" s="35" t="n">
        <v>-0.05799690365606769</v>
      </c>
      <c r="S363" s="35" t="n">
        <v>-0.1667837078651686</v>
      </c>
      <c r="T363" s="35" t="n">
        <v>-0.3238786514612969</v>
      </c>
      <c r="U363" s="30" t="n">
        <v>18970</v>
      </c>
      <c r="V363" s="30" t="n">
        <v>7400</v>
      </c>
      <c r="W363" s="35" t="n">
        <v>-0.5830258302583026</v>
      </c>
      <c r="X363" s="35" t="n">
        <v>0.06891891891891899</v>
      </c>
      <c r="Y363" s="30" t="n">
        <v>33416778</v>
      </c>
      <c r="Z363" s="30" t="n">
        <v>264326713980</v>
      </c>
      <c r="AA363" s="30" t="n">
        <v>1979082000</v>
      </c>
      <c r="AB363" s="30" t="n">
        <v>1871778265.5</v>
      </c>
      <c r="AC363" s="35" t="n">
        <v>0.007487256850436029</v>
      </c>
      <c r="AD363" s="24" t="inlineStr">
        <is>
          <t>yfinance_download</t>
        </is>
      </c>
      <c r="AE363" s="24" t="inlineStr">
        <is>
          <t>059090.KQ</t>
        </is>
      </c>
    </row>
    <row r="364" ht="24" customHeight="1">
      <c r="A364" s="29" t="inlineStr">
        <is>
          <t>2024-12-02</t>
        </is>
      </c>
      <c r="B364" s="31" t="n">
        <v>7940</v>
      </c>
      <c r="C364" s="31" t="n">
        <v>7990</v>
      </c>
      <c r="D364" s="31" t="n">
        <v>7590</v>
      </c>
      <c r="E364" s="31" t="n">
        <v>7620</v>
      </c>
      <c r="F364" s="31" t="n">
        <v>7620</v>
      </c>
      <c r="G364" s="31" t="n">
        <v>195239</v>
      </c>
      <c r="H364" s="36" t="n">
        <v>-0.03666245259165613</v>
      </c>
      <c r="I364" s="36" t="n">
        <v>-0.5983131259884027</v>
      </c>
      <c r="J364" s="31" t="n">
        <v>8304.5</v>
      </c>
      <c r="K364" s="31" t="n">
        <v>9438.166666666666</v>
      </c>
      <c r="L364" s="31" t="n">
        <v>11633.25</v>
      </c>
      <c r="M364" s="36" t="n">
        <v>0.5317222364214744</v>
      </c>
      <c r="N364" s="36" t="n">
        <v>0.5393376938614028</v>
      </c>
      <c r="O364" s="36" t="n">
        <v>-0.1953537486800423</v>
      </c>
      <c r="P364" s="36" t="n">
        <v>-0.3028362305580969</v>
      </c>
      <c r="Q364" s="36" t="n">
        <v>-0.509020618556701</v>
      </c>
      <c r="R364" s="36" t="n">
        <v>-0.08242519116141855</v>
      </c>
      <c r="S364" s="36" t="n">
        <v>-0.1926398135231064</v>
      </c>
      <c r="T364" s="36" t="n">
        <v>-0.3449809812391206</v>
      </c>
      <c r="U364" s="31" t="n">
        <v>18970</v>
      </c>
      <c r="V364" s="31" t="n">
        <v>7400</v>
      </c>
      <c r="W364" s="36" t="n">
        <v>-0.5983131259884027</v>
      </c>
      <c r="X364" s="36" t="n">
        <v>0.02972972972972965</v>
      </c>
      <c r="Y364" s="31" t="n">
        <v>33416778</v>
      </c>
      <c r="Z364" s="31" t="n">
        <v>254635848360</v>
      </c>
      <c r="AA364" s="31" t="n">
        <v>1487721180</v>
      </c>
      <c r="AB364" s="31" t="n">
        <v>1870494289.5</v>
      </c>
      <c r="AC364" s="36" t="n">
        <v>0.005842544125588649</v>
      </c>
      <c r="AD364" s="29" t="inlineStr">
        <is>
          <t>yfinance_download</t>
        </is>
      </c>
      <c r="AE364" s="29" t="inlineStr">
        <is>
          <t>059090.KQ</t>
        </is>
      </c>
    </row>
    <row r="365" ht="24" customHeight="1">
      <c r="A365" s="24" t="inlineStr">
        <is>
          <t>2024-12-03</t>
        </is>
      </c>
      <c r="B365" s="30" t="n">
        <v>7580</v>
      </c>
      <c r="C365" s="30" t="n">
        <v>7910</v>
      </c>
      <c r="D365" s="30" t="n">
        <v>7580</v>
      </c>
      <c r="E365" s="30" t="n">
        <v>7890</v>
      </c>
      <c r="F365" s="30" t="n">
        <v>7890</v>
      </c>
      <c r="G365" s="30" t="n">
        <v>105152</v>
      </c>
      <c r="H365" s="35" t="n">
        <v>0.03543307086614167</v>
      </c>
      <c r="I365" s="35" t="n">
        <v>-0.5840801265155509</v>
      </c>
      <c r="J365" s="30" t="n">
        <v>8222.5</v>
      </c>
      <c r="K365" s="30" t="n">
        <v>9390.833333333334</v>
      </c>
      <c r="L365" s="30" t="n">
        <v>11568.08333333333</v>
      </c>
      <c r="M365" s="35" t="n">
        <v>0.5533671961998855</v>
      </c>
      <c r="N365" s="35" t="n">
        <v>0.5450718481530096</v>
      </c>
      <c r="O365" s="35" t="n">
        <v>-0.1720881427072403</v>
      </c>
      <c r="P365" s="35" t="n">
        <v>-0.2646784715750233</v>
      </c>
      <c r="Q365" s="35" t="n">
        <v>-0.4977721196690006</v>
      </c>
      <c r="R365" s="35" t="n">
        <v>-0.04043782304651866</v>
      </c>
      <c r="S365" s="35" t="n">
        <v>-0.1598189724021652</v>
      </c>
      <c r="T365" s="35" t="n">
        <v>-0.3179509714228085</v>
      </c>
      <c r="U365" s="30" t="n">
        <v>18970</v>
      </c>
      <c r="V365" s="30" t="n">
        <v>7400</v>
      </c>
      <c r="W365" s="35" t="n">
        <v>-0.5840801265155509</v>
      </c>
      <c r="X365" s="35" t="n">
        <v>0.06621621621621632</v>
      </c>
      <c r="Y365" s="30" t="n">
        <v>33416778</v>
      </c>
      <c r="Z365" s="30" t="n">
        <v>263658378420</v>
      </c>
      <c r="AA365" s="30" t="n">
        <v>829649280</v>
      </c>
      <c r="AB365" s="30" t="n">
        <v>1870675639.5</v>
      </c>
      <c r="AC365" s="35" t="n">
        <v>0.0031466827831217</v>
      </c>
      <c r="AD365" s="24" t="inlineStr">
        <is>
          <t>yfinance_download</t>
        </is>
      </c>
      <c r="AE365" s="24" t="inlineStr">
        <is>
          <t>059090.KQ</t>
        </is>
      </c>
    </row>
    <row r="366" ht="24" customHeight="1">
      <c r="A366" s="29" t="inlineStr">
        <is>
          <t>2024-12-04</t>
        </is>
      </c>
      <c r="B366" s="31" t="n">
        <v>7600</v>
      </c>
      <c r="C366" s="31" t="n">
        <v>7800</v>
      </c>
      <c r="D366" s="31" t="n">
        <v>7530</v>
      </c>
      <c r="E366" s="31" t="n">
        <v>7650</v>
      </c>
      <c r="F366" s="31" t="n">
        <v>7650</v>
      </c>
      <c r="G366" s="31" t="n">
        <v>217936</v>
      </c>
      <c r="H366" s="36" t="n">
        <v>-0.03041825095057038</v>
      </c>
      <c r="I366" s="36" t="n">
        <v>-0.5967316816025303</v>
      </c>
      <c r="J366" s="31" t="n">
        <v>8148.5</v>
      </c>
      <c r="K366" s="31" t="n">
        <v>9346.5</v>
      </c>
      <c r="L366" s="31" t="n">
        <v>11489</v>
      </c>
      <c r="M366" s="36" t="n">
        <v>0.5456513909047939</v>
      </c>
      <c r="N366" s="36" t="n">
        <v>0.542995036210663</v>
      </c>
      <c r="O366" s="36" t="n">
        <v>-0.1621029572836802</v>
      </c>
      <c r="P366" s="36" t="n">
        <v>-0.2580019398642095</v>
      </c>
      <c r="Q366" s="36" t="n">
        <v>-0.5536756126021003</v>
      </c>
      <c r="R366" s="36" t="n">
        <v>-0.06117690372461193</v>
      </c>
      <c r="S366" s="36" t="n">
        <v>-0.1815117958594126</v>
      </c>
      <c r="T366" s="36" t="n">
        <v>-0.3341457045869962</v>
      </c>
      <c r="U366" s="31" t="n">
        <v>18970</v>
      </c>
      <c r="V366" s="31" t="n">
        <v>7400</v>
      </c>
      <c r="W366" s="36" t="n">
        <v>-0.5967316816025303</v>
      </c>
      <c r="X366" s="36" t="n">
        <v>0.03378378378378377</v>
      </c>
      <c r="Y366" s="31" t="n">
        <v>33416778</v>
      </c>
      <c r="Z366" s="31" t="n">
        <v>255638351700</v>
      </c>
      <c r="AA366" s="31" t="n">
        <v>1667210400</v>
      </c>
      <c r="AB366" s="31" t="n">
        <v>1850542588</v>
      </c>
      <c r="AC366" s="36" t="n">
        <v>0.006521753832760298</v>
      </c>
      <c r="AD366" s="29" t="inlineStr">
        <is>
          <t>yfinance_download</t>
        </is>
      </c>
      <c r="AE366" s="29" t="inlineStr">
        <is>
          <t>059090.KQ</t>
        </is>
      </c>
    </row>
    <row r="367" ht="24" customHeight="1">
      <c r="A367" s="24" t="inlineStr">
        <is>
          <t>2024-12-05</t>
        </is>
      </c>
      <c r="B367" s="30" t="n">
        <v>7670</v>
      </c>
      <c r="C367" s="30" t="n">
        <v>7850</v>
      </c>
      <c r="D367" s="30" t="n">
        <v>7500</v>
      </c>
      <c r="E367" s="30" t="n">
        <v>7670</v>
      </c>
      <c r="F367" s="30" t="n">
        <v>7670</v>
      </c>
      <c r="G367" s="30" t="n">
        <v>120040</v>
      </c>
      <c r="H367" s="35" t="n">
        <v>0.002614379084967311</v>
      </c>
      <c r="I367" s="35" t="n">
        <v>-0.595677385345282</v>
      </c>
      <c r="J367" s="30" t="n">
        <v>8080</v>
      </c>
      <c r="K367" s="30" t="n">
        <v>9312</v>
      </c>
      <c r="L367" s="30" t="n">
        <v>11409.66666666667</v>
      </c>
      <c r="M367" s="35" t="n">
        <v>0.5469553396117568</v>
      </c>
      <c r="N367" s="35" t="n">
        <v>0.5326807675359626</v>
      </c>
      <c r="O367" s="35" t="n">
        <v>-0.1515486725663717</v>
      </c>
      <c r="P367" s="35" t="n">
        <v>-0.2125256673511293</v>
      </c>
      <c r="Q367" s="35" t="n">
        <v>-0.5538103548574753</v>
      </c>
      <c r="R367" s="35" t="n">
        <v>-0.05074257425742579</v>
      </c>
      <c r="S367" s="35" t="n">
        <v>-0.176331615120275</v>
      </c>
      <c r="T367" s="35" t="n">
        <v>-0.3277630079756931</v>
      </c>
      <c r="U367" s="30" t="n">
        <v>18970</v>
      </c>
      <c r="V367" s="30" t="n">
        <v>7400</v>
      </c>
      <c r="W367" s="35" t="n">
        <v>-0.595677385345282</v>
      </c>
      <c r="X367" s="35" t="n">
        <v>0.03648648648648645</v>
      </c>
      <c r="Y367" s="30" t="n">
        <v>33416778</v>
      </c>
      <c r="Z367" s="30" t="n">
        <v>256306687260</v>
      </c>
      <c r="AA367" s="30" t="n">
        <v>920706800</v>
      </c>
      <c r="AB367" s="30" t="n">
        <v>1779280312</v>
      </c>
      <c r="AC367" s="35" t="n">
        <v>0.003592207483318709</v>
      </c>
      <c r="AD367" s="24" t="inlineStr">
        <is>
          <t>yfinance_download</t>
        </is>
      </c>
      <c r="AE367" s="24" t="inlineStr">
        <is>
          <t>059090.KQ</t>
        </is>
      </c>
    </row>
    <row r="368" ht="24" customHeight="1">
      <c r="A368" s="29" t="inlineStr">
        <is>
          <t>2024-12-06</t>
        </is>
      </c>
      <c r="B368" s="31" t="n">
        <v>7660</v>
      </c>
      <c r="C368" s="31" t="n">
        <v>7660</v>
      </c>
      <c r="D368" s="31" t="n">
        <v>7080</v>
      </c>
      <c r="E368" s="31" t="n">
        <v>7430</v>
      </c>
      <c r="F368" s="31" t="n">
        <v>7430</v>
      </c>
      <c r="G368" s="31" t="n">
        <v>224627</v>
      </c>
      <c r="H368" s="36" t="n">
        <v>-0.0312907431551499</v>
      </c>
      <c r="I368" s="36" t="n">
        <v>-0.6083289404322615</v>
      </c>
      <c r="J368" s="31" t="n">
        <v>7996</v>
      </c>
      <c r="K368" s="31" t="n">
        <v>9277.333333333334</v>
      </c>
      <c r="L368" s="31" t="n">
        <v>11326.25</v>
      </c>
      <c r="M368" s="36" t="n">
        <v>0.5499586532402969</v>
      </c>
      <c r="N368" s="36" t="n">
        <v>0.5341539814918198</v>
      </c>
      <c r="O368" s="36" t="n">
        <v>-0.1844127332601537</v>
      </c>
      <c r="P368" s="36" t="n">
        <v>-0.2187171398527865</v>
      </c>
      <c r="Q368" s="36" t="n">
        <v>-0.5739678899082569</v>
      </c>
      <c r="R368" s="36" t="n">
        <v>-0.0707853926963482</v>
      </c>
      <c r="S368" s="36" t="n">
        <v>-0.1991233112963495</v>
      </c>
      <c r="T368" s="36" t="n">
        <v>-0.3440017658095132</v>
      </c>
      <c r="U368" s="31" t="n">
        <v>18970</v>
      </c>
      <c r="V368" s="31" t="n">
        <v>7400</v>
      </c>
      <c r="W368" s="36" t="n">
        <v>-0.6083289404322615</v>
      </c>
      <c r="X368" s="36" t="n">
        <v>0.004054054054054124</v>
      </c>
      <c r="Y368" s="31" t="n">
        <v>33416778</v>
      </c>
      <c r="Z368" s="31" t="n">
        <v>248286660540</v>
      </c>
      <c r="AA368" s="31" t="n">
        <v>1668978610</v>
      </c>
      <c r="AB368" s="31" t="n">
        <v>1796699507</v>
      </c>
      <c r="AC368" s="36" t="n">
        <v>0.006721982592097897</v>
      </c>
      <c r="AD368" s="29" t="inlineStr">
        <is>
          <t>yfinance_download</t>
        </is>
      </c>
      <c r="AE368" s="29" t="inlineStr">
        <is>
          <t>059090.KQ</t>
        </is>
      </c>
    </row>
    <row r="369" ht="24" customHeight="1">
      <c r="A369" s="24" t="inlineStr">
        <is>
          <t>2024-12-09</t>
        </is>
      </c>
      <c r="B369" s="30" t="n">
        <v>7200</v>
      </c>
      <c r="C369" s="30" t="n">
        <v>8580</v>
      </c>
      <c r="D369" s="30" t="n">
        <v>6980</v>
      </c>
      <c r="E369" s="30" t="n">
        <v>7070</v>
      </c>
      <c r="F369" s="30" t="n">
        <v>7070</v>
      </c>
      <c r="G369" s="30" t="n">
        <v>2304620</v>
      </c>
      <c r="H369" s="35" t="n">
        <v>-0.04845222072678335</v>
      </c>
      <c r="I369" s="35" t="n">
        <v>-0.6273062730627306</v>
      </c>
      <c r="J369" s="30" t="n">
        <v>7916</v>
      </c>
      <c r="K369" s="30" t="n">
        <v>9241.166666666666</v>
      </c>
      <c r="L369" s="30" t="n">
        <v>11243.91666666667</v>
      </c>
      <c r="M369" s="35" t="n">
        <v>0.5501024201653587</v>
      </c>
      <c r="N369" s="35" t="n">
        <v>0.5396923116887657</v>
      </c>
      <c r="O369" s="35" t="n">
        <v>-0.1845444059976932</v>
      </c>
      <c r="P369" s="35" t="n">
        <v>-0.2348484848484849</v>
      </c>
      <c r="Q369" s="35" t="n">
        <v>-0.5828908554572272</v>
      </c>
      <c r="R369" s="35" t="n">
        <v>-0.1068721576553815</v>
      </c>
      <c r="S369" s="35" t="n">
        <v>-0.2349450826915793</v>
      </c>
      <c r="T369" s="35" t="n">
        <v>-0.3712155461842329</v>
      </c>
      <c r="U369" s="30" t="n">
        <v>18970</v>
      </c>
      <c r="V369" s="30" t="n">
        <v>7070</v>
      </c>
      <c r="W369" s="35" t="n">
        <v>-0.6273062730627306</v>
      </c>
      <c r="X369" s="35" t="n">
        <v>0</v>
      </c>
      <c r="Y369" s="30" t="n">
        <v>33416778</v>
      </c>
      <c r="Z369" s="30" t="n">
        <v>236256620460</v>
      </c>
      <c r="AA369" s="30" t="n">
        <v>16293663400</v>
      </c>
      <c r="AB369" s="30" t="n">
        <v>2495730079</v>
      </c>
      <c r="AC369" s="35" t="n">
        <v>0.0689659547667941</v>
      </c>
      <c r="AD369" s="24" t="inlineStr">
        <is>
          <t>yfinance_download</t>
        </is>
      </c>
      <c r="AE369" s="24" t="inlineStr">
        <is>
          <t>059090.KQ</t>
        </is>
      </c>
    </row>
    <row r="370" ht="24" customHeight="1">
      <c r="A370" s="29" t="inlineStr">
        <is>
          <t>2024-12-10</t>
        </is>
      </c>
      <c r="B370" s="31" t="n">
        <v>7030</v>
      </c>
      <c r="C370" s="31" t="n">
        <v>7470</v>
      </c>
      <c r="D370" s="31" t="n">
        <v>7000</v>
      </c>
      <c r="E370" s="31" t="n">
        <v>7400</v>
      </c>
      <c r="F370" s="31" t="n">
        <v>7400</v>
      </c>
      <c r="G370" s="31" t="n">
        <v>292476</v>
      </c>
      <c r="H370" s="36" t="n">
        <v>0.04667609618104662</v>
      </c>
      <c r="I370" s="36" t="n">
        <v>-0.609910384818134</v>
      </c>
      <c r="J370" s="31" t="n">
        <v>7876.5</v>
      </c>
      <c r="K370" s="31" t="n">
        <v>9203.666666666666</v>
      </c>
      <c r="L370" s="31" t="n">
        <v>11164.75</v>
      </c>
      <c r="M370" s="36" t="n">
        <v>0.556659104927741</v>
      </c>
      <c r="N370" s="36" t="n">
        <v>0.5405920515397787</v>
      </c>
      <c r="O370" s="36" t="n">
        <v>-0.09645909645909645</v>
      </c>
      <c r="P370" s="36" t="n">
        <v>-0.2331606217616581</v>
      </c>
      <c r="Q370" s="36" t="n">
        <v>-0.5621301775147929</v>
      </c>
      <c r="R370" s="36" t="n">
        <v>-0.06049641338157807</v>
      </c>
      <c r="S370" s="36" t="n">
        <v>-0.1959726196081272</v>
      </c>
      <c r="T370" s="36" t="n">
        <v>-0.3371996685998343</v>
      </c>
      <c r="U370" s="31" t="n">
        <v>18970</v>
      </c>
      <c r="V370" s="31" t="n">
        <v>7070</v>
      </c>
      <c r="W370" s="36" t="n">
        <v>-0.609910384818134</v>
      </c>
      <c r="X370" s="36" t="n">
        <v>0.04667609618104662</v>
      </c>
      <c r="Y370" s="31" t="n">
        <v>33416778</v>
      </c>
      <c r="Z370" s="31" t="n">
        <v>247284157200</v>
      </c>
      <c r="AA370" s="31" t="n">
        <v>2164322400</v>
      </c>
      <c r="AB370" s="31" t="n">
        <v>2447404586.5</v>
      </c>
      <c r="AC370" s="36" t="n">
        <v>0.008752369842478529</v>
      </c>
      <c r="AD370" s="29" t="inlineStr">
        <is>
          <t>yfinance_download</t>
        </is>
      </c>
      <c r="AE370" s="29" t="inlineStr">
        <is>
          <t>059090.KQ</t>
        </is>
      </c>
    </row>
    <row r="371" ht="24" customHeight="1">
      <c r="A371" s="24" t="inlineStr">
        <is>
          <t>2024-12-11</t>
        </is>
      </c>
      <c r="B371" s="30" t="n">
        <v>7380</v>
      </c>
      <c r="C371" s="30" t="n">
        <v>8050</v>
      </c>
      <c r="D371" s="30" t="n">
        <v>7350</v>
      </c>
      <c r="E371" s="30" t="n">
        <v>7900</v>
      </c>
      <c r="F371" s="30" t="n">
        <v>7900</v>
      </c>
      <c r="G371" s="30" t="n">
        <v>337891</v>
      </c>
      <c r="H371" s="35" t="n">
        <v>0.06756756756756754</v>
      </c>
      <c r="I371" s="35" t="n">
        <v>-0.5835529783869267</v>
      </c>
      <c r="J371" s="30" t="n">
        <v>7879</v>
      </c>
      <c r="K371" s="30" t="n">
        <v>9175.833333333334</v>
      </c>
      <c r="L371" s="30" t="n">
        <v>11090.5</v>
      </c>
      <c r="M371" s="35" t="n">
        <v>0.5938151886616969</v>
      </c>
      <c r="N371" s="35" t="n">
        <v>0.5599359054878542</v>
      </c>
      <c r="O371" s="35" t="n">
        <v>0.006369426751592355</v>
      </c>
      <c r="P371" s="35" t="n">
        <v>-0.1745036572622779</v>
      </c>
      <c r="Q371" s="35" t="n">
        <v>-0.5300416418798335</v>
      </c>
      <c r="R371" s="35" t="n">
        <v>0.002665312856961588</v>
      </c>
      <c r="S371" s="35" t="n">
        <v>-0.1390427754064119</v>
      </c>
      <c r="T371" s="35" t="n">
        <v>-0.2876786438844056</v>
      </c>
      <c r="U371" s="30" t="n">
        <v>18970</v>
      </c>
      <c r="V371" s="30" t="n">
        <v>7070</v>
      </c>
      <c r="W371" s="35" t="n">
        <v>-0.5835529783869267</v>
      </c>
      <c r="X371" s="35" t="n">
        <v>0.1173974540311173</v>
      </c>
      <c r="Y371" s="30" t="n">
        <v>33416778</v>
      </c>
      <c r="Z371" s="30" t="n">
        <v>263992546200</v>
      </c>
      <c r="AA371" s="30" t="n">
        <v>2669338900</v>
      </c>
      <c r="AB371" s="30" t="n">
        <v>2482789706.5</v>
      </c>
      <c r="AC371" s="35" t="n">
        <v>0.0101114176836558</v>
      </c>
      <c r="AD371" s="24" t="inlineStr">
        <is>
          <t>yfinance_download</t>
        </is>
      </c>
      <c r="AE371" s="24" t="inlineStr">
        <is>
          <t>059090.KQ</t>
        </is>
      </c>
    </row>
    <row r="372" ht="24" customHeight="1">
      <c r="A372" s="29" t="inlineStr">
        <is>
          <t>2024-12-12</t>
        </is>
      </c>
      <c r="B372" s="31" t="n">
        <v>8020</v>
      </c>
      <c r="C372" s="31" t="n">
        <v>8200</v>
      </c>
      <c r="D372" s="31" t="n">
        <v>7850</v>
      </c>
      <c r="E372" s="31" t="n">
        <v>7960</v>
      </c>
      <c r="F372" s="31" t="n">
        <v>7960</v>
      </c>
      <c r="G372" s="31" t="n">
        <v>192473</v>
      </c>
      <c r="H372" s="36" t="n">
        <v>0.0075949367088608</v>
      </c>
      <c r="I372" s="36" t="n">
        <v>-0.5803900896151819</v>
      </c>
      <c r="J372" s="31" t="n">
        <v>7907</v>
      </c>
      <c r="K372" s="31" t="n">
        <v>9146</v>
      </c>
      <c r="L372" s="31" t="n">
        <v>11005.5</v>
      </c>
      <c r="M372" s="36" t="n">
        <v>0.5525518906173813</v>
      </c>
      <c r="N372" s="36" t="n">
        <v>0.5585761718470352</v>
      </c>
      <c r="O372" s="36" t="n">
        <v>0.07567567567567557</v>
      </c>
      <c r="P372" s="36" t="n">
        <v>-0.1835897435897436</v>
      </c>
      <c r="Q372" s="36" t="n">
        <v>-0.5616740088105727</v>
      </c>
      <c r="R372" s="36" t="n">
        <v>0.006702921461995803</v>
      </c>
      <c r="S372" s="36" t="n">
        <v>-0.1296741745025147</v>
      </c>
      <c r="T372" s="36" t="n">
        <v>-0.276725273726773</v>
      </c>
      <c r="U372" s="31" t="n">
        <v>18970</v>
      </c>
      <c r="V372" s="31" t="n">
        <v>7070</v>
      </c>
      <c r="W372" s="36" t="n">
        <v>-0.5803900896151819</v>
      </c>
      <c r="X372" s="36" t="n">
        <v>0.1258840169731259</v>
      </c>
      <c r="Y372" s="31" t="n">
        <v>33416778</v>
      </c>
      <c r="Z372" s="31" t="n">
        <v>265997552880</v>
      </c>
      <c r="AA372" s="31" t="n">
        <v>1532085080</v>
      </c>
      <c r="AB372" s="31" t="n">
        <v>2363184810.5</v>
      </c>
      <c r="AC372" s="36" t="n">
        <v>0.005759771334028672</v>
      </c>
      <c r="AD372" s="29" t="inlineStr">
        <is>
          <t>yfinance_download</t>
        </is>
      </c>
      <c r="AE372" s="29" t="inlineStr">
        <is>
          <t>059090.KQ</t>
        </is>
      </c>
    </row>
    <row r="373" ht="24" customHeight="1">
      <c r="A373" s="24" t="inlineStr">
        <is>
          <t>2024-12-13</t>
        </is>
      </c>
      <c r="B373" s="30" t="n">
        <v>7910</v>
      </c>
      <c r="C373" s="30" t="n">
        <v>8150</v>
      </c>
      <c r="D373" s="30" t="n">
        <v>7800</v>
      </c>
      <c r="E373" s="30" t="n">
        <v>8120</v>
      </c>
      <c r="F373" s="30" t="n">
        <v>8120</v>
      </c>
      <c r="G373" s="30" t="n">
        <v>159351</v>
      </c>
      <c r="H373" s="35" t="n">
        <v>0.0201005025125629</v>
      </c>
      <c r="I373" s="35" t="n">
        <v>-0.5719557195571956</v>
      </c>
      <c r="J373" s="30" t="n">
        <v>7923.5</v>
      </c>
      <c r="K373" s="30" t="n">
        <v>9110.166666666666</v>
      </c>
      <c r="L373" s="30" t="n">
        <v>10917.33333333333</v>
      </c>
      <c r="M373" s="35" t="n">
        <v>0.5261018294568756</v>
      </c>
      <c r="N373" s="35" t="n">
        <v>0.5483788460795024</v>
      </c>
      <c r="O373" s="35" t="n">
        <v>0.04236200256739409</v>
      </c>
      <c r="P373" s="35" t="n">
        <v>-0.2093476144109055</v>
      </c>
      <c r="Q373" s="35" t="n">
        <v>-0.5657754010695187</v>
      </c>
      <c r="R373" s="35" t="n">
        <v>0.02479964662081158</v>
      </c>
      <c r="S373" s="35" t="n">
        <v>-0.1086880957172389</v>
      </c>
      <c r="T373" s="35" t="n">
        <v>-0.2562286272594041</v>
      </c>
      <c r="U373" s="30" t="n">
        <v>18970</v>
      </c>
      <c r="V373" s="30" t="n">
        <v>7070</v>
      </c>
      <c r="W373" s="35" t="n">
        <v>-0.5719557195571956</v>
      </c>
      <c r="X373" s="35" t="n">
        <v>0.1485148514851484</v>
      </c>
      <c r="Y373" s="30" t="n">
        <v>33416778</v>
      </c>
      <c r="Z373" s="30" t="n">
        <v>271344237360</v>
      </c>
      <c r="AA373" s="30" t="n">
        <v>1293930120</v>
      </c>
      <c r="AB373" s="30" t="n">
        <v>2330080593</v>
      </c>
      <c r="AC373" s="35" t="n">
        <v>0.004768592591422189</v>
      </c>
      <c r="AD373" s="24" t="inlineStr">
        <is>
          <t>yfinance_download</t>
        </is>
      </c>
      <c r="AE373" s="24" t="inlineStr">
        <is>
          <t>059090.KQ</t>
        </is>
      </c>
    </row>
    <row r="374" ht="24" customHeight="1">
      <c r="A374" s="29" t="inlineStr">
        <is>
          <t>2024-12-16</t>
        </is>
      </c>
      <c r="B374" s="31" t="n">
        <v>8270</v>
      </c>
      <c r="C374" s="31" t="n">
        <v>8410</v>
      </c>
      <c r="D374" s="31" t="n">
        <v>8230</v>
      </c>
      <c r="E374" s="31" t="n">
        <v>8310</v>
      </c>
      <c r="F374" s="31" t="n">
        <v>8310</v>
      </c>
      <c r="G374" s="31" t="n">
        <v>173641</v>
      </c>
      <c r="H374" s="36" t="n">
        <v>0.02339901477832518</v>
      </c>
      <c r="I374" s="36" t="n">
        <v>-0.5619399051133369</v>
      </c>
      <c r="J374" s="31" t="n">
        <v>7934.5</v>
      </c>
      <c r="K374" s="31" t="n">
        <v>9085.166666666666</v>
      </c>
      <c r="L374" s="31" t="n">
        <v>10835.75</v>
      </c>
      <c r="M374" s="36" t="n">
        <v>0.5150376432582054</v>
      </c>
      <c r="N374" s="36" t="n">
        <v>0.5441444867482421</v>
      </c>
      <c r="O374" s="36" t="n">
        <v>0.02719406674907288</v>
      </c>
      <c r="P374" s="36" t="n">
        <v>-0.1529051987767585</v>
      </c>
      <c r="Q374" s="36" t="n">
        <v>-0.5408839779005525</v>
      </c>
      <c r="R374" s="36" t="n">
        <v>0.04732497321822415</v>
      </c>
      <c r="S374" s="36" t="n">
        <v>-0.08532222854102833</v>
      </c>
      <c r="T374" s="36" t="n">
        <v>-0.2330941559190642</v>
      </c>
      <c r="U374" s="31" t="n">
        <v>18970</v>
      </c>
      <c r="V374" s="31" t="n">
        <v>7070</v>
      </c>
      <c r="W374" s="36" t="n">
        <v>-0.5619399051133369</v>
      </c>
      <c r="X374" s="36" t="n">
        <v>0.1753889674681754</v>
      </c>
      <c r="Y374" s="31" t="n">
        <v>33416778</v>
      </c>
      <c r="Z374" s="31" t="n">
        <v>277693425180</v>
      </c>
      <c r="AA374" s="31" t="n">
        <v>1442956710</v>
      </c>
      <c r="AB374" s="31" t="n">
        <v>2231808938</v>
      </c>
      <c r="AC374" s="36" t="n">
        <v>0.005196222089394735</v>
      </c>
      <c r="AD374" s="29" t="inlineStr">
        <is>
          <t>yfinance_download</t>
        </is>
      </c>
      <c r="AE374" s="29" t="inlineStr">
        <is>
          <t>059090.KQ</t>
        </is>
      </c>
    </row>
    <row r="375" ht="24" customHeight="1">
      <c r="A375" s="24" t="inlineStr">
        <is>
          <t>2024-12-17</t>
        </is>
      </c>
      <c r="B375" s="30" t="n">
        <v>8310</v>
      </c>
      <c r="C375" s="30" t="n">
        <v>8590</v>
      </c>
      <c r="D375" s="30" t="n">
        <v>8210</v>
      </c>
      <c r="E375" s="30" t="n">
        <v>8400</v>
      </c>
      <c r="F375" s="30" t="n">
        <v>8400</v>
      </c>
      <c r="G375" s="30" t="n">
        <v>161492</v>
      </c>
      <c r="H375" s="35" t="n">
        <v>0.01083032490974722</v>
      </c>
      <c r="I375" s="35" t="n">
        <v>-0.5571955719557196</v>
      </c>
      <c r="J375" s="30" t="n">
        <v>7936.5</v>
      </c>
      <c r="K375" s="30" t="n">
        <v>9069.166666666666</v>
      </c>
      <c r="L375" s="30" t="n">
        <v>10747.66666666667</v>
      </c>
      <c r="M375" s="35" t="n">
        <v>0.5028020961665511</v>
      </c>
      <c r="N375" s="35" t="n">
        <v>0.5370629489130636</v>
      </c>
      <c r="O375" s="35" t="n">
        <v>0.004784688995215225</v>
      </c>
      <c r="P375" s="35" t="n">
        <v>-0.1025641025641025</v>
      </c>
      <c r="Q375" s="35" t="n">
        <v>-0.5571955719557196</v>
      </c>
      <c r="R375" s="35" t="n">
        <v>0.05840105840105836</v>
      </c>
      <c r="S375" s="35" t="n">
        <v>-0.0737848019847468</v>
      </c>
      <c r="T375" s="35" t="n">
        <v>-0.2184350091492727</v>
      </c>
      <c r="U375" s="30" t="n">
        <v>18970</v>
      </c>
      <c r="V375" s="30" t="n">
        <v>7070</v>
      </c>
      <c r="W375" s="35" t="n">
        <v>-0.5571955719557196</v>
      </c>
      <c r="X375" s="35" t="n">
        <v>0.1881188118811881</v>
      </c>
      <c r="Y375" s="30" t="n">
        <v>33416778</v>
      </c>
      <c r="Z375" s="30" t="n">
        <v>280700935200</v>
      </c>
      <c r="AA375" s="30" t="n">
        <v>1356532800</v>
      </c>
      <c r="AB375" s="30" t="n">
        <v>2164797556</v>
      </c>
      <c r="AC375" s="35" t="n">
        <v>0.004832662203399741</v>
      </c>
      <c r="AD375" s="24" t="inlineStr">
        <is>
          <t>yfinance_download</t>
        </is>
      </c>
      <c r="AE375" s="24" t="inlineStr">
        <is>
          <t>059090.KQ</t>
        </is>
      </c>
    </row>
    <row r="376" ht="24" customHeight="1">
      <c r="A376" s="29" t="inlineStr">
        <is>
          <t>2024-12-18</t>
        </is>
      </c>
      <c r="B376" s="31" t="n">
        <v>8350</v>
      </c>
      <c r="C376" s="31" t="n">
        <v>8420</v>
      </c>
      <c r="D376" s="31" t="n">
        <v>8210</v>
      </c>
      <c r="E376" s="31" t="n">
        <v>8380</v>
      </c>
      <c r="F376" s="31" t="n">
        <v>8380</v>
      </c>
      <c r="G376" s="31" t="n">
        <v>127257</v>
      </c>
      <c r="H376" s="36" t="n">
        <v>-0.002380952380952372</v>
      </c>
      <c r="I376" s="36" t="n">
        <v>-0.5582498682129678</v>
      </c>
      <c r="J376" s="31" t="n">
        <v>7950.5</v>
      </c>
      <c r="K376" s="31" t="n">
        <v>9054.666666666666</v>
      </c>
      <c r="L376" s="31" t="n">
        <v>10659.41666666667</v>
      </c>
      <c r="M376" s="36" t="n">
        <v>0.488841390682214</v>
      </c>
      <c r="N376" s="36" t="n">
        <v>0.5366227612520426</v>
      </c>
      <c r="O376" s="36" t="n">
        <v>0.03456790123456788</v>
      </c>
      <c r="P376" s="36" t="n">
        <v>-0.09405405405405409</v>
      </c>
      <c r="Q376" s="36" t="n">
        <v>-0.5582498682129678</v>
      </c>
      <c r="R376" s="36" t="n">
        <v>0.05402175963775857</v>
      </c>
      <c r="S376" s="36" t="n">
        <v>-0.07451038138712995</v>
      </c>
      <c r="T376" s="36" t="n">
        <v>-0.2138406573217734</v>
      </c>
      <c r="U376" s="31" t="n">
        <v>18970</v>
      </c>
      <c r="V376" s="31" t="n">
        <v>7070</v>
      </c>
      <c r="W376" s="36" t="n">
        <v>-0.5582498682129678</v>
      </c>
      <c r="X376" s="36" t="n">
        <v>0.1852899575671854</v>
      </c>
      <c r="Y376" s="31" t="n">
        <v>33416778</v>
      </c>
      <c r="Z376" s="31" t="n">
        <v>280032599640</v>
      </c>
      <c r="AA376" s="31" t="n">
        <v>1066413660</v>
      </c>
      <c r="AB376" s="31" t="n">
        <v>2148056479</v>
      </c>
      <c r="AC376" s="36" t="n">
        <v>0.003808176838592877</v>
      </c>
      <c r="AD376" s="29" t="inlineStr">
        <is>
          <t>yfinance_download</t>
        </is>
      </c>
      <c r="AE376" s="29" t="inlineStr">
        <is>
          <t>059090.KQ</t>
        </is>
      </c>
    </row>
    <row r="377" ht="24" customHeight="1">
      <c r="A377" s="24" t="inlineStr">
        <is>
          <t>2024-12-19</t>
        </is>
      </c>
      <c r="B377" s="30" t="n">
        <v>8180</v>
      </c>
      <c r="C377" s="30" t="n">
        <v>8230</v>
      </c>
      <c r="D377" s="30" t="n">
        <v>7990</v>
      </c>
      <c r="E377" s="30" t="n">
        <v>8050</v>
      </c>
      <c r="F377" s="30" t="n">
        <v>8050</v>
      </c>
      <c r="G377" s="30" t="n">
        <v>128818</v>
      </c>
      <c r="H377" s="35" t="n">
        <v>-0.03937947494033411</v>
      </c>
      <c r="I377" s="35" t="n">
        <v>-0.5756457564575646</v>
      </c>
      <c r="J377" s="30" t="n">
        <v>7944</v>
      </c>
      <c r="K377" s="30" t="n">
        <v>9022.833333333334</v>
      </c>
      <c r="L377" s="30" t="n">
        <v>10571.91666666667</v>
      </c>
      <c r="M377" s="35" t="n">
        <v>0.5093520273191285</v>
      </c>
      <c r="N377" s="35" t="n">
        <v>0.5170950823136723</v>
      </c>
      <c r="O377" s="35" t="n">
        <v>-0.0158924205378973</v>
      </c>
      <c r="P377" s="35" t="n">
        <v>-0.1917670682730924</v>
      </c>
      <c r="Q377" s="35" t="n">
        <v>-0.5660377358490566</v>
      </c>
      <c r="R377" s="35" t="n">
        <v>0.01334340382678745</v>
      </c>
      <c r="S377" s="35" t="n">
        <v>-0.1078190516652198</v>
      </c>
      <c r="T377" s="35" t="n">
        <v>-0.2385486706131811</v>
      </c>
      <c r="U377" s="30" t="n">
        <v>18970</v>
      </c>
      <c r="V377" s="30" t="n">
        <v>7070</v>
      </c>
      <c r="W377" s="35" t="n">
        <v>-0.5756457564575646</v>
      </c>
      <c r="X377" s="35" t="n">
        <v>0.1386138613861385</v>
      </c>
      <c r="Y377" s="30" t="n">
        <v>33416778</v>
      </c>
      <c r="Z377" s="30" t="n">
        <v>269005062900</v>
      </c>
      <c r="AA377" s="30" t="n">
        <v>1036984900</v>
      </c>
      <c r="AB377" s="30" t="n">
        <v>2150967647</v>
      </c>
      <c r="AC377" s="35" t="n">
        <v>0.003854889899917939</v>
      </c>
      <c r="AD377" s="24" t="inlineStr">
        <is>
          <t>yfinance_download</t>
        </is>
      </c>
      <c r="AE377" s="24" t="inlineStr">
        <is>
          <t>059090.KQ</t>
        </is>
      </c>
    </row>
    <row r="378" ht="24" customHeight="1">
      <c r="A378" s="29" t="inlineStr">
        <is>
          <t>2024-12-20</t>
        </is>
      </c>
      <c r="B378" s="31" t="n">
        <v>8060</v>
      </c>
      <c r="C378" s="31" t="n">
        <v>8070</v>
      </c>
      <c r="D378" s="31" t="n">
        <v>7750</v>
      </c>
      <c r="E378" s="31" t="n">
        <v>7800</v>
      </c>
      <c r="F378" s="31" t="n">
        <v>7800</v>
      </c>
      <c r="G378" s="31" t="n">
        <v>156769</v>
      </c>
      <c r="H378" s="36" t="n">
        <v>-0.03105590062111796</v>
      </c>
      <c r="I378" s="36" t="n">
        <v>-0.5888244596731682</v>
      </c>
      <c r="J378" s="31" t="n">
        <v>7925.5</v>
      </c>
      <c r="K378" s="31" t="n">
        <v>8987.5</v>
      </c>
      <c r="L378" s="31" t="n">
        <v>10487.91666666667</v>
      </c>
      <c r="M378" s="36" t="n">
        <v>0.5209351399148002</v>
      </c>
      <c r="N378" s="36" t="n">
        <v>0.5202770556724027</v>
      </c>
      <c r="O378" s="36" t="n">
        <v>-0.04528763769889843</v>
      </c>
      <c r="P378" s="36" t="n">
        <v>-0.2137096774193549</v>
      </c>
      <c r="Q378" s="36" t="n">
        <v>-0.563758389261745</v>
      </c>
      <c r="R378" s="36" t="n">
        <v>-0.01583496309381116</v>
      </c>
      <c r="S378" s="36" t="n">
        <v>-0.1321279554937413</v>
      </c>
      <c r="T378" s="36" t="n">
        <v>-0.2562869969409241</v>
      </c>
      <c r="U378" s="31" t="n">
        <v>18970</v>
      </c>
      <c r="V378" s="31" t="n">
        <v>7070</v>
      </c>
      <c r="W378" s="36" t="n">
        <v>-0.5888244596731682</v>
      </c>
      <c r="X378" s="36" t="n">
        <v>0.1032531824611032</v>
      </c>
      <c r="Y378" s="31" t="n">
        <v>33416778</v>
      </c>
      <c r="Z378" s="31" t="n">
        <v>260650868400</v>
      </c>
      <c r="AA378" s="31" t="n">
        <v>1222798200</v>
      </c>
      <c r="AB378" s="31" t="n">
        <v>2146766348</v>
      </c>
      <c r="AC378" s="36" t="n">
        <v>0.004691326015931279</v>
      </c>
      <c r="AD378" s="29" t="inlineStr">
        <is>
          <t>yfinance_download</t>
        </is>
      </c>
      <c r="AE378" s="29" t="inlineStr">
        <is>
          <t>059090.KQ</t>
        </is>
      </c>
    </row>
    <row r="379" ht="24" customHeight="1">
      <c r="A379" s="24" t="inlineStr">
        <is>
          <t>2024-12-23</t>
        </is>
      </c>
      <c r="B379" s="30" t="n">
        <v>7910</v>
      </c>
      <c r="C379" s="30" t="n">
        <v>8150</v>
      </c>
      <c r="D379" s="30" t="n">
        <v>7910</v>
      </c>
      <c r="E379" s="30" t="n">
        <v>8090</v>
      </c>
      <c r="F379" s="30" t="n">
        <v>8090</v>
      </c>
      <c r="G379" s="30" t="n">
        <v>99943</v>
      </c>
      <c r="H379" s="35" t="n">
        <v>0.03717948717948727</v>
      </c>
      <c r="I379" s="35" t="n">
        <v>-0.573537163943068</v>
      </c>
      <c r="J379" s="30" t="n">
        <v>7912.5</v>
      </c>
      <c r="K379" s="30" t="n">
        <v>8956.833333333334</v>
      </c>
      <c r="L379" s="30" t="n">
        <v>10406.25</v>
      </c>
      <c r="M379" s="35" t="n">
        <v>0.5327686225979452</v>
      </c>
      <c r="N379" s="35" t="n">
        <v>0.5268465552855504</v>
      </c>
      <c r="O379" s="35" t="n">
        <v>-0.03113772455089825</v>
      </c>
      <c r="P379" s="35" t="n">
        <v>-0.1852970795568983</v>
      </c>
      <c r="Q379" s="35" t="n">
        <v>-0.5477920626048072</v>
      </c>
      <c r="R379" s="35" t="n">
        <v>0.02243285939968409</v>
      </c>
      <c r="S379" s="35" t="n">
        <v>-0.09677899555274383</v>
      </c>
      <c r="T379" s="35" t="n">
        <v>-0.2225825825825826</v>
      </c>
      <c r="U379" s="30" t="n">
        <v>18970</v>
      </c>
      <c r="V379" s="30" t="n">
        <v>7070</v>
      </c>
      <c r="W379" s="35" t="n">
        <v>-0.573537163943068</v>
      </c>
      <c r="X379" s="35" t="n">
        <v>0.1442715700141444</v>
      </c>
      <c r="Y379" s="30" t="n">
        <v>33416778</v>
      </c>
      <c r="Z379" s="30" t="n">
        <v>270341734020</v>
      </c>
      <c r="AA379" s="30" t="n">
        <v>808538870</v>
      </c>
      <c r="AB379" s="30" t="n">
        <v>2121512609</v>
      </c>
      <c r="AC379" s="35" t="n">
        <v>0.002990803003209944</v>
      </c>
      <c r="AD379" s="24" t="inlineStr">
        <is>
          <t>yfinance_download</t>
        </is>
      </c>
      <c r="AE379" s="24" t="inlineStr">
        <is>
          <t>059090.KQ</t>
        </is>
      </c>
    </row>
    <row r="380" ht="24" customHeight="1">
      <c r="A380" s="29" t="inlineStr">
        <is>
          <t>2024-12-24</t>
        </is>
      </c>
      <c r="B380" s="31" t="n">
        <v>8160</v>
      </c>
      <c r="C380" s="31" t="n">
        <v>8200</v>
      </c>
      <c r="D380" s="31" t="n">
        <v>7890</v>
      </c>
      <c r="E380" s="31" t="n">
        <v>7940</v>
      </c>
      <c r="F380" s="31" t="n">
        <v>7940</v>
      </c>
      <c r="G380" s="31" t="n">
        <v>118691</v>
      </c>
      <c r="H380" s="36" t="n">
        <v>-0.01854140914709523</v>
      </c>
      <c r="I380" s="36" t="n">
        <v>-0.5814443858724301</v>
      </c>
      <c r="J380" s="31" t="n">
        <v>7890</v>
      </c>
      <c r="K380" s="31" t="n">
        <v>8915.833333333334</v>
      </c>
      <c r="L380" s="31" t="n">
        <v>10334.5</v>
      </c>
      <c r="M380" s="36" t="n">
        <v>0.5358062604872555</v>
      </c>
      <c r="N380" s="36" t="n">
        <v>0.5172469591782862</v>
      </c>
      <c r="O380" s="36" t="n">
        <v>-0.05363528009535157</v>
      </c>
      <c r="P380" s="36" t="n">
        <v>-0.2365384615384616</v>
      </c>
      <c r="Q380" s="36" t="n">
        <v>-0.5202416918429003</v>
      </c>
      <c r="R380" s="36" t="n">
        <v>0.006337135614702172</v>
      </c>
      <c r="S380" s="36" t="n">
        <v>-0.1094494812599309</v>
      </c>
      <c r="T380" s="36" t="n">
        <v>-0.2316996468140694</v>
      </c>
      <c r="U380" s="31" t="n">
        <v>18970</v>
      </c>
      <c r="V380" s="31" t="n">
        <v>7070</v>
      </c>
      <c r="W380" s="36" t="n">
        <v>-0.5814443858724301</v>
      </c>
      <c r="X380" s="36" t="n">
        <v>0.123055162659123</v>
      </c>
      <c r="Y380" s="31" t="n">
        <v>33416778</v>
      </c>
      <c r="Z380" s="31" t="n">
        <v>265329217320</v>
      </c>
      <c r="AA380" s="31" t="n">
        <v>942406540</v>
      </c>
      <c r="AB380" s="31" t="n">
        <v>2125612372</v>
      </c>
      <c r="AC380" s="36" t="n">
        <v>0.003551838540508005</v>
      </c>
      <c r="AD380" s="29" t="inlineStr">
        <is>
          <t>yfinance_download</t>
        </is>
      </c>
      <c r="AE380" s="29" t="inlineStr">
        <is>
          <t>059090.KQ</t>
        </is>
      </c>
    </row>
    <row r="381" ht="24" customHeight="1">
      <c r="A381" s="24" t="inlineStr">
        <is>
          <t>2024-12-26</t>
        </is>
      </c>
      <c r="B381" s="30" t="n">
        <v>8290</v>
      </c>
      <c r="C381" s="30" t="n">
        <v>8290</v>
      </c>
      <c r="D381" s="30" t="n">
        <v>8030</v>
      </c>
      <c r="E381" s="30" t="n">
        <v>8100</v>
      </c>
      <c r="F381" s="30" t="n">
        <v>8100</v>
      </c>
      <c r="G381" s="30" t="n">
        <v>182243</v>
      </c>
      <c r="H381" s="35" t="n">
        <v>0.02015113350125941</v>
      </c>
      <c r="I381" s="35" t="n">
        <v>-0.5730100158144439</v>
      </c>
      <c r="J381" s="30" t="n">
        <v>7892.5</v>
      </c>
      <c r="K381" s="30" t="n">
        <v>8878.666666666666</v>
      </c>
      <c r="L381" s="30" t="n">
        <v>10269.5</v>
      </c>
      <c r="M381" s="35" t="n">
        <v>0.5213589867424976</v>
      </c>
      <c r="N381" s="35" t="n">
        <v>0.5195618889479552</v>
      </c>
      <c r="O381" s="35" t="n">
        <v>0.006211180124223503</v>
      </c>
      <c r="P381" s="35" t="n">
        <v>-0.2158760890609874</v>
      </c>
      <c r="Q381" s="35" t="n">
        <v>-0.4905660377358491</v>
      </c>
      <c r="R381" s="35" t="n">
        <v>0.02629078238834337</v>
      </c>
      <c r="S381" s="35" t="n">
        <v>-0.08770085598438193</v>
      </c>
      <c r="T381" s="35" t="n">
        <v>-0.2112566337212133</v>
      </c>
      <c r="U381" s="30" t="n">
        <v>18970</v>
      </c>
      <c r="V381" s="30" t="n">
        <v>7070</v>
      </c>
      <c r="W381" s="35" t="n">
        <v>-0.5730100158144439</v>
      </c>
      <c r="X381" s="35" t="n">
        <v>0.1456859971711457</v>
      </c>
      <c r="Y381" s="30" t="n">
        <v>33416778</v>
      </c>
      <c r="Z381" s="30" t="n">
        <v>270675901800</v>
      </c>
      <c r="AA381" s="30" t="n">
        <v>1476168300</v>
      </c>
      <c r="AB381" s="30" t="n">
        <v>2133045719.5</v>
      </c>
      <c r="AC381" s="35" t="n">
        <v>0.005453637690623555</v>
      </c>
      <c r="AD381" s="24" t="inlineStr">
        <is>
          <t>yfinance_download</t>
        </is>
      </c>
      <c r="AE381" s="24" t="inlineStr">
        <is>
          <t>059090.KQ</t>
        </is>
      </c>
    </row>
    <row r="382" ht="24" customHeight="1">
      <c r="A382" s="29" t="inlineStr">
        <is>
          <t>2024-12-27</t>
        </is>
      </c>
      <c r="B382" s="31" t="n">
        <v>8050</v>
      </c>
      <c r="C382" s="31" t="n">
        <v>8240</v>
      </c>
      <c r="D382" s="31" t="n">
        <v>7910</v>
      </c>
      <c r="E382" s="31" t="n">
        <v>7920</v>
      </c>
      <c r="F382" s="31" t="n">
        <v>7920</v>
      </c>
      <c r="G382" s="31" t="n">
        <v>133486</v>
      </c>
      <c r="H382" s="36" t="n">
        <v>-0.02222222222222225</v>
      </c>
      <c r="I382" s="36" t="n">
        <v>-0.5824986821296785</v>
      </c>
      <c r="J382" s="31" t="n">
        <v>7880.5</v>
      </c>
      <c r="K382" s="31" t="n">
        <v>8843.666666666666</v>
      </c>
      <c r="L382" s="31" t="n">
        <v>10206.08333333333</v>
      </c>
      <c r="M382" s="36" t="n">
        <v>0.5251805086088007</v>
      </c>
      <c r="N382" s="36" t="n">
        <v>0.5181089962529406</v>
      </c>
      <c r="O382" s="36" t="n">
        <v>-0.02941176470588236</v>
      </c>
      <c r="P382" s="36" t="n">
        <v>-0.2095808383233533</v>
      </c>
      <c r="Q382" s="36" t="n">
        <v>-0.4900193174500966</v>
      </c>
      <c r="R382" s="36" t="n">
        <v>0.005012372311401503</v>
      </c>
      <c r="S382" s="36" t="n">
        <v>-0.1044438581282273</v>
      </c>
      <c r="T382" s="36" t="n">
        <v>-0.2239922268581647</v>
      </c>
      <c r="U382" s="31" t="n">
        <v>18970</v>
      </c>
      <c r="V382" s="31" t="n">
        <v>7070</v>
      </c>
      <c r="W382" s="36" t="n">
        <v>-0.5824986821296785</v>
      </c>
      <c r="X382" s="36" t="n">
        <v>0.1202263083451203</v>
      </c>
      <c r="Y382" s="31" t="n">
        <v>33416778</v>
      </c>
      <c r="Z382" s="31" t="n">
        <v>264660881760</v>
      </c>
      <c r="AA382" s="31" t="n">
        <v>1057209120</v>
      </c>
      <c r="AB382" s="31" t="n">
        <v>2145834863.5</v>
      </c>
      <c r="AC382" s="36" t="n">
        <v>0.003994580207583149</v>
      </c>
      <c r="AD382" s="29" t="inlineStr">
        <is>
          <t>yfinance_download</t>
        </is>
      </c>
      <c r="AE382" s="29" t="inlineStr">
        <is>
          <t>059090.KQ</t>
        </is>
      </c>
    </row>
    <row r="383" ht="24" customHeight="1">
      <c r="A383" s="24" t="inlineStr">
        <is>
          <t>2024-12-30</t>
        </is>
      </c>
      <c r="B383" s="30" t="n">
        <v>7920</v>
      </c>
      <c r="C383" s="30" t="n">
        <v>8090</v>
      </c>
      <c r="D383" s="30" t="n">
        <v>7660</v>
      </c>
      <c r="E383" s="30" t="n">
        <v>8020</v>
      </c>
      <c r="F383" s="30" t="n">
        <v>8020</v>
      </c>
      <c r="G383" s="30" t="n">
        <v>74585</v>
      </c>
      <c r="H383" s="35" t="n">
        <v>0.01262626262626254</v>
      </c>
      <c r="I383" s="35" t="n">
        <v>-0.5772272008434369</v>
      </c>
      <c r="J383" s="30" t="n">
        <v>7886</v>
      </c>
      <c r="K383" s="30" t="n">
        <v>8814.833333333334</v>
      </c>
      <c r="L383" s="30" t="n">
        <v>10149.25</v>
      </c>
      <c r="M383" s="35" t="n">
        <v>0.5151281566738238</v>
      </c>
      <c r="N383" s="35" t="n">
        <v>0.5167691749285942</v>
      </c>
      <c r="O383" s="35" t="n">
        <v>0.01390644753476611</v>
      </c>
      <c r="P383" s="35" t="n">
        <v>-0.1774358974358974</v>
      </c>
      <c r="Q383" s="35" t="n">
        <v>-0.4595687331536388</v>
      </c>
      <c r="R383" s="35" t="n">
        <v>0.01699213796601562</v>
      </c>
      <c r="S383" s="35" t="n">
        <v>-0.09016997863449872</v>
      </c>
      <c r="T383" s="35" t="n">
        <v>-0.2097938271300835</v>
      </c>
      <c r="U383" s="30" t="n">
        <v>18970</v>
      </c>
      <c r="V383" s="30" t="n">
        <v>7070</v>
      </c>
      <c r="W383" s="35" t="n">
        <v>-0.5772272008434369</v>
      </c>
      <c r="X383" s="35" t="n">
        <v>0.1343705799151345</v>
      </c>
      <c r="Y383" s="30" t="n">
        <v>33416778</v>
      </c>
      <c r="Z383" s="30" t="n">
        <v>268002559560</v>
      </c>
      <c r="AA383" s="30" t="n">
        <v>598171700</v>
      </c>
      <c r="AB383" s="30" t="n">
        <v>2076789348.5</v>
      </c>
      <c r="AC383" s="35" t="n">
        <v>0.002231962638648167</v>
      </c>
      <c r="AD383" s="24" t="inlineStr">
        <is>
          <t>yfinance_download</t>
        </is>
      </c>
      <c r="AE383" s="24" t="inlineStr">
        <is>
          <t>059090.KQ</t>
        </is>
      </c>
    </row>
    <row r="384" ht="24" customHeight="1">
      <c r="A384" s="29" t="inlineStr">
        <is>
          <t>2025-01-02</t>
        </is>
      </c>
      <c r="B384" s="31" t="n">
        <v>8020</v>
      </c>
      <c r="C384" s="31" t="n">
        <v>8450</v>
      </c>
      <c r="D384" s="31" t="n">
        <v>8000</v>
      </c>
      <c r="E384" s="31" t="n">
        <v>8420</v>
      </c>
      <c r="F384" s="31" t="n">
        <v>8420</v>
      </c>
      <c r="G384" s="31" t="n">
        <v>171944</v>
      </c>
      <c r="H384" s="36" t="n">
        <v>0.04987531172069826</v>
      </c>
      <c r="I384" s="36" t="n">
        <v>-0.5561412756984713</v>
      </c>
      <c r="J384" s="31" t="n">
        <v>7926</v>
      </c>
      <c r="K384" s="31" t="n">
        <v>8789.833333333334</v>
      </c>
      <c r="L384" s="31" t="n">
        <v>10091.5</v>
      </c>
      <c r="M384" s="36" t="n">
        <v>0.5223292813460805</v>
      </c>
      <c r="N384" s="36" t="n">
        <v>0.5263628367368822</v>
      </c>
      <c r="O384" s="36" t="n">
        <v>0.1049868766404201</v>
      </c>
      <c r="P384" s="36" t="n">
        <v>-0.1512096774193549</v>
      </c>
      <c r="Q384" s="36" t="n">
        <v>-0.4514657980456026</v>
      </c>
      <c r="R384" s="36" t="n">
        <v>0.06232652031289421</v>
      </c>
      <c r="S384" s="36" t="n">
        <v>-0.04207512467054753</v>
      </c>
      <c r="T384" s="36" t="n">
        <v>-0.1656344448298073</v>
      </c>
      <c r="U384" s="31" t="n">
        <v>18970</v>
      </c>
      <c r="V384" s="31" t="n">
        <v>7070</v>
      </c>
      <c r="W384" s="36" t="n">
        <v>-0.5561412756984713</v>
      </c>
      <c r="X384" s="36" t="n">
        <v>0.190947666195191</v>
      </c>
      <c r="Y384" s="31" t="n">
        <v>33416778</v>
      </c>
      <c r="Z384" s="31" t="n">
        <v>281369270760</v>
      </c>
      <c r="AA384" s="31" t="n">
        <v>1447768480</v>
      </c>
      <c r="AB384" s="31" t="n">
        <v>2074791713.5</v>
      </c>
      <c r="AC384" s="36" t="n">
        <v>0.005145439216192537</v>
      </c>
      <c r="AD384" s="29" t="inlineStr">
        <is>
          <t>yfinance_download</t>
        </is>
      </c>
      <c r="AE384" s="29" t="inlineStr">
        <is>
          <t>059090.KQ</t>
        </is>
      </c>
    </row>
    <row r="385" ht="24" customHeight="1">
      <c r="A385" s="24" t="inlineStr">
        <is>
          <t>2025-01-03</t>
        </is>
      </c>
      <c r="B385" s="30" t="n">
        <v>8440</v>
      </c>
      <c r="C385" s="30" t="n">
        <v>8950</v>
      </c>
      <c r="D385" s="30" t="n">
        <v>8390</v>
      </c>
      <c r="E385" s="30" t="n">
        <v>8820</v>
      </c>
      <c r="F385" s="30" t="n">
        <v>8820</v>
      </c>
      <c r="G385" s="30" t="n">
        <v>348050</v>
      </c>
      <c r="H385" s="35" t="n">
        <v>0.04750593824228022</v>
      </c>
      <c r="I385" s="35" t="n">
        <v>-0.5350553505535056</v>
      </c>
      <c r="J385" s="30" t="n">
        <v>7972.5</v>
      </c>
      <c r="K385" s="30" t="n">
        <v>8765.5</v>
      </c>
      <c r="L385" s="30" t="n">
        <v>10040.33333333333</v>
      </c>
      <c r="M385" s="35" t="n">
        <v>0.533146783281091</v>
      </c>
      <c r="N385" s="35" t="n">
        <v>0.530351452372621</v>
      </c>
      <c r="O385" s="35" t="n">
        <v>0.1178707224334601</v>
      </c>
      <c r="P385" s="35" t="n">
        <v>-0.142023346303502</v>
      </c>
      <c r="Q385" s="35" t="n">
        <v>-0.410427807486631</v>
      </c>
      <c r="R385" s="35" t="n">
        <v>0.1063029162746942</v>
      </c>
      <c r="S385" s="35" t="n">
        <v>0.006217557469625268</v>
      </c>
      <c r="T385" s="35" t="n">
        <v>-0.1215431094585173</v>
      </c>
      <c r="U385" s="30" t="n">
        <v>18970</v>
      </c>
      <c r="V385" s="30" t="n">
        <v>7070</v>
      </c>
      <c r="W385" s="35" t="n">
        <v>-0.5350553505535056</v>
      </c>
      <c r="X385" s="35" t="n">
        <v>0.2475247524752475</v>
      </c>
      <c r="Y385" s="30" t="n">
        <v>33416778</v>
      </c>
      <c r="Z385" s="30" t="n">
        <v>294735981960</v>
      </c>
      <c r="AA385" s="30" t="n">
        <v>3069801000</v>
      </c>
      <c r="AB385" s="30" t="n">
        <v>2186799299.5</v>
      </c>
      <c r="AC385" s="35" t="n">
        <v>0.01041542664586035</v>
      </c>
      <c r="AD385" s="24" t="inlineStr">
        <is>
          <t>yfinance_download</t>
        </is>
      </c>
      <c r="AE385" s="24" t="inlineStr">
        <is>
          <t>059090.KQ</t>
        </is>
      </c>
    </row>
    <row r="386" ht="24" customHeight="1">
      <c r="A386" s="29" t="inlineStr">
        <is>
          <t>2025-01-06</t>
        </is>
      </c>
      <c r="B386" s="31" t="n">
        <v>8890</v>
      </c>
      <c r="C386" s="31" t="n">
        <v>9440</v>
      </c>
      <c r="D386" s="31" t="n">
        <v>8860</v>
      </c>
      <c r="E386" s="31" t="n">
        <v>9330</v>
      </c>
      <c r="F386" s="31" t="n">
        <v>9330</v>
      </c>
      <c r="G386" s="31" t="n">
        <v>334722</v>
      </c>
      <c r="H386" s="36" t="n">
        <v>0.05782312925170063</v>
      </c>
      <c r="I386" s="36" t="n">
        <v>-0.5081707959936742</v>
      </c>
      <c r="J386" s="31" t="n">
        <v>8056.5</v>
      </c>
      <c r="K386" s="31" t="n">
        <v>8754.166666666666</v>
      </c>
      <c r="L386" s="31" t="n">
        <v>9986.333333333334</v>
      </c>
      <c r="M386" s="36" t="n">
        <v>0.5448233749312895</v>
      </c>
      <c r="N386" s="36" t="n">
        <v>0.5417941841191377</v>
      </c>
      <c r="O386" s="36" t="n">
        <v>0.219607843137255</v>
      </c>
      <c r="P386" s="36" t="n">
        <v>-0.06793206793206796</v>
      </c>
      <c r="Q386" s="36" t="n">
        <v>-0.4098671726755219</v>
      </c>
      <c r="R386" s="36" t="n">
        <v>0.1580711226959597</v>
      </c>
      <c r="S386" s="36" t="n">
        <v>0.06577820085673491</v>
      </c>
      <c r="T386" s="36" t="n">
        <v>-0.06572315497847059</v>
      </c>
      <c r="U386" s="31" t="n">
        <v>18970</v>
      </c>
      <c r="V386" s="31" t="n">
        <v>7070</v>
      </c>
      <c r="W386" s="36" t="n">
        <v>-0.5081707959936742</v>
      </c>
      <c r="X386" s="36" t="n">
        <v>0.3196605374823196</v>
      </c>
      <c r="Y386" s="31" t="n">
        <v>33416778</v>
      </c>
      <c r="Z386" s="31" t="n">
        <v>311778538740</v>
      </c>
      <c r="AA386" s="31" t="n">
        <v>3122956260</v>
      </c>
      <c r="AB386" s="31" t="n">
        <v>2259586592.5</v>
      </c>
      <c r="AC386" s="36" t="n">
        <v>0.01001658508190107</v>
      </c>
      <c r="AD386" s="29" t="inlineStr">
        <is>
          <t>yfinance_download</t>
        </is>
      </c>
      <c r="AE386" s="29" t="inlineStr">
        <is>
          <t>059090.KQ</t>
        </is>
      </c>
    </row>
    <row r="387" ht="24" customHeight="1">
      <c r="A387" s="24" t="inlineStr">
        <is>
          <t>2025-01-07</t>
        </is>
      </c>
      <c r="B387" s="30" t="n">
        <v>9390</v>
      </c>
      <c r="C387" s="30" t="n">
        <v>9630</v>
      </c>
      <c r="D387" s="30" t="n">
        <v>9300</v>
      </c>
      <c r="E387" s="30" t="n">
        <v>9500</v>
      </c>
      <c r="F387" s="30" t="n">
        <v>9500</v>
      </c>
      <c r="G387" s="30" t="n">
        <v>413488</v>
      </c>
      <c r="H387" s="35" t="n">
        <v>0.01822079314040725</v>
      </c>
      <c r="I387" s="35" t="n">
        <v>-0.4992092778070638</v>
      </c>
      <c r="J387" s="30" t="n">
        <v>8148</v>
      </c>
      <c r="K387" s="30" t="n">
        <v>8749.5</v>
      </c>
      <c r="L387" s="30" t="n">
        <v>9937.416666666666</v>
      </c>
      <c r="M387" s="35" t="n">
        <v>0.5446320003809548</v>
      </c>
      <c r="N387" s="35" t="n">
        <v>0.5411045509790364</v>
      </c>
      <c r="O387" s="35" t="n">
        <v>0.2385919165580181</v>
      </c>
      <c r="P387" s="35" t="n">
        <v>-0.02862985685071573</v>
      </c>
      <c r="Q387" s="35" t="n">
        <v>-0.3819128171763175</v>
      </c>
      <c r="R387" s="35" t="n">
        <v>0.1659302896416299</v>
      </c>
      <c r="S387" s="35" t="n">
        <v>0.08577633007600438</v>
      </c>
      <c r="T387" s="35" t="n">
        <v>-0.04401714060495265</v>
      </c>
      <c r="U387" s="30" t="n">
        <v>18970</v>
      </c>
      <c r="V387" s="30" t="n">
        <v>7070</v>
      </c>
      <c r="W387" s="35" t="n">
        <v>-0.4992092778070638</v>
      </c>
      <c r="X387" s="35" t="n">
        <v>0.3437057991513437</v>
      </c>
      <c r="Y387" s="30" t="n">
        <v>33416778</v>
      </c>
      <c r="Z387" s="30" t="n">
        <v>317459391000</v>
      </c>
      <c r="AA387" s="30" t="n">
        <v>3928136000</v>
      </c>
      <c r="AB387" s="30" t="n">
        <v>2409958052.5</v>
      </c>
      <c r="AC387" s="35" t="n">
        <v>0.01237366451068382</v>
      </c>
      <c r="AD387" s="24" t="inlineStr">
        <is>
          <t>yfinance_download</t>
        </is>
      </c>
      <c r="AE387" s="24" t="inlineStr">
        <is>
          <t>059090.KQ</t>
        </is>
      </c>
    </row>
    <row r="388" ht="24" customHeight="1">
      <c r="A388" s="29" t="inlineStr">
        <is>
          <t>2025-01-08</t>
        </is>
      </c>
      <c r="B388" s="31" t="n">
        <v>9430</v>
      </c>
      <c r="C388" s="31" t="n">
        <v>9800</v>
      </c>
      <c r="D388" s="31" t="n">
        <v>9250</v>
      </c>
      <c r="E388" s="31" t="n">
        <v>9780</v>
      </c>
      <c r="F388" s="31" t="n">
        <v>9780</v>
      </c>
      <c r="G388" s="31" t="n">
        <v>300547</v>
      </c>
      <c r="H388" s="36" t="n">
        <v>0.02947368421052632</v>
      </c>
      <c r="I388" s="36" t="n">
        <v>-0.4844491302055878</v>
      </c>
      <c r="J388" s="31" t="n">
        <v>8265.5</v>
      </c>
      <c r="K388" s="31" t="n">
        <v>8740.833333333334</v>
      </c>
      <c r="L388" s="31" t="n">
        <v>9894.416666666666</v>
      </c>
      <c r="M388" s="36" t="n">
        <v>0.5239071391237777</v>
      </c>
      <c r="N388" s="36" t="n">
        <v>0.5332986609757567</v>
      </c>
      <c r="O388" s="36" t="n">
        <v>0.31628532974428</v>
      </c>
      <c r="P388" s="36" t="n">
        <v>-0.05048543689320384</v>
      </c>
      <c r="Q388" s="36" t="n">
        <v>-0.3453815261044176</v>
      </c>
      <c r="R388" s="36" t="n">
        <v>0.1832315044461921</v>
      </c>
      <c r="S388" s="36" t="n">
        <v>0.1188864524740203</v>
      </c>
      <c r="T388" s="36" t="n">
        <v>-0.01156376070679588</v>
      </c>
      <c r="U388" s="31" t="n">
        <v>18970</v>
      </c>
      <c r="V388" s="31" t="n">
        <v>7070</v>
      </c>
      <c r="W388" s="36" t="n">
        <v>-0.4844491302055878</v>
      </c>
      <c r="X388" s="36" t="n">
        <v>0.3833097595473833</v>
      </c>
      <c r="Y388" s="31" t="n">
        <v>33416778</v>
      </c>
      <c r="Z388" s="31" t="n">
        <v>326816088840</v>
      </c>
      <c r="AA388" s="31" t="n">
        <v>2939349660</v>
      </c>
      <c r="AB388" s="31" t="n">
        <v>2473476605</v>
      </c>
      <c r="AC388" s="36" t="n">
        <v>0.008993895222334122</v>
      </c>
      <c r="AD388" s="29" t="inlineStr">
        <is>
          <t>yfinance_download</t>
        </is>
      </c>
      <c r="AE388" s="29" t="inlineStr">
        <is>
          <t>059090.KQ</t>
        </is>
      </c>
    </row>
    <row r="389" ht="24" customHeight="1">
      <c r="A389" s="24" t="inlineStr">
        <is>
          <t>2025-01-09</t>
        </is>
      </c>
      <c r="B389" s="30" t="n">
        <v>9870</v>
      </c>
      <c r="C389" s="30" t="n">
        <v>10140</v>
      </c>
      <c r="D389" s="30" t="n">
        <v>9680</v>
      </c>
      <c r="E389" s="30" t="n">
        <v>9700</v>
      </c>
      <c r="F389" s="30" t="n">
        <v>9700</v>
      </c>
      <c r="G389" s="30" t="n">
        <v>374345</v>
      </c>
      <c r="H389" s="35" t="n">
        <v>-0.008179959100204526</v>
      </c>
      <c r="I389" s="35" t="n">
        <v>-0.4886663152345809</v>
      </c>
      <c r="J389" s="30" t="n">
        <v>8397</v>
      </c>
      <c r="K389" s="30" t="n">
        <v>8727.333333333334</v>
      </c>
      <c r="L389" s="30" t="n">
        <v>9850</v>
      </c>
      <c r="M389" s="35" t="n">
        <v>0.4773096122614809</v>
      </c>
      <c r="N389" s="35" t="n">
        <v>0.5317749504839451</v>
      </c>
      <c r="O389" s="35" t="n">
        <v>0.3719943422913721</v>
      </c>
      <c r="P389" s="35" t="n">
        <v>-0.07706945765937201</v>
      </c>
      <c r="Q389" s="35" t="n">
        <v>-0.3546240851630074</v>
      </c>
      <c r="R389" s="35" t="n">
        <v>0.1551744670715731</v>
      </c>
      <c r="S389" s="35" t="n">
        <v>0.1114506149262851</v>
      </c>
      <c r="T389" s="35" t="n">
        <v>-0.01522842639593913</v>
      </c>
      <c r="U389" s="30" t="n">
        <v>18970</v>
      </c>
      <c r="V389" s="30" t="n">
        <v>7070</v>
      </c>
      <c r="W389" s="35" t="n">
        <v>-0.4886663152345809</v>
      </c>
      <c r="X389" s="35" t="n">
        <v>0.3719943422913721</v>
      </c>
      <c r="Y389" s="30" t="n">
        <v>33416778</v>
      </c>
      <c r="Z389" s="30" t="n">
        <v>324142746600</v>
      </c>
      <c r="AA389" s="30" t="n">
        <v>3631146500</v>
      </c>
      <c r="AB389" s="30" t="n">
        <v>1840350760</v>
      </c>
      <c r="AC389" s="35" t="n">
        <v>0.0112023068172521</v>
      </c>
      <c r="AD389" s="24" t="inlineStr">
        <is>
          <t>yfinance_download</t>
        </is>
      </c>
      <c r="AE389" s="24" t="inlineStr">
        <is>
          <t>059090.KQ</t>
        </is>
      </c>
    </row>
    <row r="390" ht="24" customHeight="1">
      <c r="A390" s="29" t="inlineStr">
        <is>
          <t>2025-01-10</t>
        </is>
      </c>
      <c r="B390" s="31" t="n">
        <v>9680</v>
      </c>
      <c r="C390" s="31" t="n">
        <v>9840</v>
      </c>
      <c r="D390" s="31" t="n">
        <v>9600</v>
      </c>
      <c r="E390" s="31" t="n">
        <v>9670</v>
      </c>
      <c r="F390" s="31" t="n">
        <v>9670</v>
      </c>
      <c r="G390" s="31" t="n">
        <v>186324</v>
      </c>
      <c r="H390" s="36" t="n">
        <v>-0.003092783505154628</v>
      </c>
      <c r="I390" s="36" t="n">
        <v>-0.4902477596204533</v>
      </c>
      <c r="J390" s="31" t="n">
        <v>8510.5</v>
      </c>
      <c r="K390" s="31" t="n">
        <v>8711.833333333334</v>
      </c>
      <c r="L390" s="31" t="n">
        <v>9815.916666666666</v>
      </c>
      <c r="M390" s="36" t="n">
        <v>0.4679907193771983</v>
      </c>
      <c r="N390" s="36" t="n">
        <v>0.5314362899705213</v>
      </c>
      <c r="O390" s="36" t="n">
        <v>0.3067567567567568</v>
      </c>
      <c r="P390" s="36" t="n">
        <v>-0.08773584905660381</v>
      </c>
      <c r="Q390" s="36" t="n">
        <v>-0.2972383720930233</v>
      </c>
      <c r="R390" s="36" t="n">
        <v>0.1362434639562893</v>
      </c>
      <c r="S390" s="36" t="n">
        <v>0.1099845038357787</v>
      </c>
      <c r="T390" s="36" t="n">
        <v>-0.01486531229041266</v>
      </c>
      <c r="U390" s="31" t="n">
        <v>18970</v>
      </c>
      <c r="V390" s="31" t="n">
        <v>7070</v>
      </c>
      <c r="W390" s="36" t="n">
        <v>-0.4902477596204533</v>
      </c>
      <c r="X390" s="36" t="n">
        <v>0.3677510608203678</v>
      </c>
      <c r="Y390" s="31" t="n">
        <v>33416778</v>
      </c>
      <c r="Z390" s="31" t="n">
        <v>323140243260</v>
      </c>
      <c r="AA390" s="31" t="n">
        <v>1801753080</v>
      </c>
      <c r="AB390" s="31" t="n">
        <v>1822222294</v>
      </c>
      <c r="AC390" s="36" t="n">
        <v>0.005575761972024951</v>
      </c>
      <c r="AD390" s="29" t="inlineStr">
        <is>
          <t>yfinance_download</t>
        </is>
      </c>
      <c r="AE390" s="29" t="inlineStr">
        <is>
          <t>059090.KQ</t>
        </is>
      </c>
    </row>
    <row r="391" ht="24" customHeight="1">
      <c r="A391" s="24" t="inlineStr">
        <is>
          <t>2025-01-13</t>
        </is>
      </c>
      <c r="B391" s="30" t="n">
        <v>9600</v>
      </c>
      <c r="C391" s="30" t="n">
        <v>9620</v>
      </c>
      <c r="D391" s="30" t="n">
        <v>9270</v>
      </c>
      <c r="E391" s="30" t="n">
        <v>9350</v>
      </c>
      <c r="F391" s="30" t="n">
        <v>9350</v>
      </c>
      <c r="G391" s="30" t="n">
        <v>184605</v>
      </c>
      <c r="H391" s="35" t="n">
        <v>-0.03309203722854193</v>
      </c>
      <c r="I391" s="35" t="n">
        <v>-0.5071164997364259</v>
      </c>
      <c r="J391" s="30" t="n">
        <v>8583</v>
      </c>
      <c r="K391" s="30" t="n">
        <v>8691.333333333334</v>
      </c>
      <c r="L391" s="30" t="n">
        <v>9778.333333333334</v>
      </c>
      <c r="M391" s="35" t="n">
        <v>0.4509061214039116</v>
      </c>
      <c r="N391" s="35" t="n">
        <v>0.5354965731126875</v>
      </c>
      <c r="O391" s="35" t="n">
        <v>0.1835443037974684</v>
      </c>
      <c r="P391" s="35" t="n">
        <v>-0.1162570888468809</v>
      </c>
      <c r="Q391" s="35" t="n">
        <v>-0.3253968253968254</v>
      </c>
      <c r="R391" s="35" t="n">
        <v>0.08936269369684258</v>
      </c>
      <c r="S391" s="35" t="n">
        <v>0.07578430620541532</v>
      </c>
      <c r="T391" s="35" t="n">
        <v>-0.04380432929947164</v>
      </c>
      <c r="U391" s="30" t="n">
        <v>18970</v>
      </c>
      <c r="V391" s="30" t="n">
        <v>7070</v>
      </c>
      <c r="W391" s="35" t="n">
        <v>-0.5071164997364259</v>
      </c>
      <c r="X391" s="35" t="n">
        <v>0.3224893917963225</v>
      </c>
      <c r="Y391" s="30" t="n">
        <v>33416778</v>
      </c>
      <c r="Z391" s="30" t="n">
        <v>312446874300</v>
      </c>
      <c r="AA391" s="30" t="n">
        <v>1726056750</v>
      </c>
      <c r="AB391" s="30" t="n">
        <v>1775058186.5</v>
      </c>
      <c r="AC391" s="35" t="n">
        <v>0.005524320746901451</v>
      </c>
      <c r="AD391" s="24" t="inlineStr">
        <is>
          <t>yfinance_download</t>
        </is>
      </c>
      <c r="AE391" s="24" t="inlineStr">
        <is>
          <t>059090.KQ</t>
        </is>
      </c>
    </row>
    <row r="392" ht="24" customHeight="1">
      <c r="A392" s="29" t="inlineStr">
        <is>
          <t>2025-01-14</t>
        </is>
      </c>
      <c r="B392" s="31" t="n">
        <v>9420</v>
      </c>
      <c r="C392" s="31" t="n">
        <v>9590</v>
      </c>
      <c r="D392" s="31" t="n">
        <v>9260</v>
      </c>
      <c r="E392" s="31" t="n">
        <v>9290</v>
      </c>
      <c r="F392" s="31" t="n">
        <v>9290</v>
      </c>
      <c r="G392" s="31" t="n">
        <v>121757</v>
      </c>
      <c r="H392" s="36" t="n">
        <v>-0.006417112299465288</v>
      </c>
      <c r="I392" s="36" t="n">
        <v>-0.5102793885081708</v>
      </c>
      <c r="J392" s="31" t="n">
        <v>8649.5</v>
      </c>
      <c r="K392" s="31" t="n">
        <v>8666</v>
      </c>
      <c r="L392" s="31" t="n">
        <v>9738.166666666666</v>
      </c>
      <c r="M392" s="36" t="n">
        <v>0.4541515420126744</v>
      </c>
      <c r="N392" s="36" t="n">
        <v>0.5333827560390265</v>
      </c>
      <c r="O392" s="36" t="n">
        <v>0.1670854271356783</v>
      </c>
      <c r="P392" s="36" t="n">
        <v>-0.1406105457909343</v>
      </c>
      <c r="Q392" s="36" t="n">
        <v>-0.3416017009213324</v>
      </c>
      <c r="R392" s="36" t="n">
        <v>0.0740505231516273</v>
      </c>
      <c r="S392" s="36" t="n">
        <v>0.07200553888760663</v>
      </c>
      <c r="T392" s="36" t="n">
        <v>-0.04602166732273349</v>
      </c>
      <c r="U392" s="31" t="n">
        <v>18970</v>
      </c>
      <c r="V392" s="31" t="n">
        <v>7070</v>
      </c>
      <c r="W392" s="36" t="n">
        <v>-0.5102793885081708</v>
      </c>
      <c r="X392" s="36" t="n">
        <v>0.314002828854314</v>
      </c>
      <c r="Y392" s="31" t="n">
        <v>33416778</v>
      </c>
      <c r="Z392" s="31" t="n">
        <v>310441867620</v>
      </c>
      <c r="AA392" s="31" t="n">
        <v>1131122530</v>
      </c>
      <c r="AB392" s="31" t="n">
        <v>1755010059</v>
      </c>
      <c r="AC392" s="36" t="n">
        <v>0.003643588858267544</v>
      </c>
      <c r="AD392" s="29" t="inlineStr">
        <is>
          <t>yfinance_download</t>
        </is>
      </c>
      <c r="AE392" s="29" t="inlineStr">
        <is>
          <t>059090.KQ</t>
        </is>
      </c>
    </row>
    <row r="393" ht="24" customHeight="1">
      <c r="A393" s="24" t="inlineStr">
        <is>
          <t>2025-01-15</t>
        </is>
      </c>
      <c r="B393" s="30" t="n">
        <v>9410</v>
      </c>
      <c r="C393" s="30" t="n">
        <v>9520</v>
      </c>
      <c r="D393" s="30" t="n">
        <v>9300</v>
      </c>
      <c r="E393" s="30" t="n">
        <v>9390</v>
      </c>
      <c r="F393" s="30" t="n">
        <v>9390</v>
      </c>
      <c r="G393" s="30" t="n">
        <v>126104</v>
      </c>
      <c r="H393" s="35" t="n">
        <v>0.01076426264800867</v>
      </c>
      <c r="I393" s="35" t="n">
        <v>-0.5050079072219293</v>
      </c>
      <c r="J393" s="30" t="n">
        <v>8713</v>
      </c>
      <c r="K393" s="30" t="n">
        <v>8649.166666666666</v>
      </c>
      <c r="L393" s="30" t="n">
        <v>9702.583333333334</v>
      </c>
      <c r="M393" s="35" t="n">
        <v>0.4520952442961066</v>
      </c>
      <c r="N393" s="35" t="n">
        <v>0.5286751845646683</v>
      </c>
      <c r="O393" s="35" t="n">
        <v>0.1564039408866995</v>
      </c>
      <c r="P393" s="35" t="n">
        <v>-0.0971153846153846</v>
      </c>
      <c r="Q393" s="35" t="n">
        <v>-0.3125915080527086</v>
      </c>
      <c r="R393" s="35" t="n">
        <v>0.07769998852289683</v>
      </c>
      <c r="S393" s="35" t="n">
        <v>0.08565372386549774</v>
      </c>
      <c r="T393" s="35" t="n">
        <v>-0.03221650591337366</v>
      </c>
      <c r="U393" s="30" t="n">
        <v>18970</v>
      </c>
      <c r="V393" s="30" t="n">
        <v>7070</v>
      </c>
      <c r="W393" s="35" t="n">
        <v>-0.5050079072219293</v>
      </c>
      <c r="X393" s="35" t="n">
        <v>0.3281471004243282</v>
      </c>
      <c r="Y393" s="30" t="n">
        <v>33416778</v>
      </c>
      <c r="Z393" s="30" t="n">
        <v>313783545420</v>
      </c>
      <c r="AA393" s="30" t="n">
        <v>1184116560</v>
      </c>
      <c r="AB393" s="30" t="n">
        <v>1749519381</v>
      </c>
      <c r="AC393" s="35" t="n">
        <v>0.003773673212899221</v>
      </c>
      <c r="AD393" s="24" t="inlineStr">
        <is>
          <t>yfinance_download</t>
        </is>
      </c>
      <c r="AE393" s="24" t="inlineStr">
        <is>
          <t>059090.KQ</t>
        </is>
      </c>
    </row>
    <row r="394" ht="24" customHeight="1">
      <c r="A394" s="29" t="inlineStr">
        <is>
          <t>2025-01-16</t>
        </is>
      </c>
      <c r="B394" s="31" t="n">
        <v>9480</v>
      </c>
      <c r="C394" s="31" t="n">
        <v>9680</v>
      </c>
      <c r="D394" s="31" t="n">
        <v>9320</v>
      </c>
      <c r="E394" s="31" t="n">
        <v>9320</v>
      </c>
      <c r="F394" s="31" t="n">
        <v>9320</v>
      </c>
      <c r="G394" s="31" t="n">
        <v>164547</v>
      </c>
      <c r="H394" s="36" t="n">
        <v>-0.007454739084132078</v>
      </c>
      <c r="I394" s="36" t="n">
        <v>-0.5086979441222983</v>
      </c>
      <c r="J394" s="31" t="n">
        <v>8763.5</v>
      </c>
      <c r="K394" s="31" t="n">
        <v>8623.666666666666</v>
      </c>
      <c r="L394" s="31" t="n">
        <v>9664.416666666666</v>
      </c>
      <c r="M394" s="36" t="n">
        <v>0.4511264941057065</v>
      </c>
      <c r="N394" s="36" t="n">
        <v>0.5206286234087502</v>
      </c>
      <c r="O394" s="36" t="n">
        <v>0.121540312876053</v>
      </c>
      <c r="P394" s="36" t="n">
        <v>-0.1410138248847926</v>
      </c>
      <c r="Q394" s="36" t="n">
        <v>-0.3294964028776979</v>
      </c>
      <c r="R394" s="36" t="n">
        <v>0.063502025446454</v>
      </c>
      <c r="S394" s="36" t="n">
        <v>0.08074678211124442</v>
      </c>
      <c r="T394" s="36" t="n">
        <v>-0.03563760530468296</v>
      </c>
      <c r="U394" s="31" t="n">
        <v>18970</v>
      </c>
      <c r="V394" s="31" t="n">
        <v>7070</v>
      </c>
      <c r="W394" s="36" t="n">
        <v>-0.5086979441222983</v>
      </c>
      <c r="X394" s="36" t="n">
        <v>0.3182461103253182</v>
      </c>
      <c r="Y394" s="31" t="n">
        <v>33416778</v>
      </c>
      <c r="Z394" s="31" t="n">
        <v>311444370960</v>
      </c>
      <c r="AA394" s="31" t="n">
        <v>1533578040</v>
      </c>
      <c r="AB394" s="31" t="n">
        <v>1754050447.5</v>
      </c>
      <c r="AC394" s="36" t="n">
        <v>0.00492408334519863</v>
      </c>
      <c r="AD394" s="29" t="inlineStr">
        <is>
          <t>yfinance_download</t>
        </is>
      </c>
      <c r="AE394" s="29" t="inlineStr">
        <is>
          <t>059090.KQ</t>
        </is>
      </c>
    </row>
    <row r="395" ht="24" customHeight="1">
      <c r="A395" s="24" t="inlineStr">
        <is>
          <t>2025-01-17</t>
        </is>
      </c>
      <c r="B395" s="30" t="n">
        <v>9370</v>
      </c>
      <c r="C395" s="30" t="n">
        <v>9560</v>
      </c>
      <c r="D395" s="30" t="n">
        <v>9180</v>
      </c>
      <c r="E395" s="30" t="n">
        <v>9480</v>
      </c>
      <c r="F395" s="30" t="n">
        <v>9480</v>
      </c>
      <c r="G395" s="30" t="n">
        <v>201146</v>
      </c>
      <c r="H395" s="35" t="n">
        <v>0.01716738197424883</v>
      </c>
      <c r="I395" s="35" t="n">
        <v>-0.500263574064312</v>
      </c>
      <c r="J395" s="30" t="n">
        <v>8817.5</v>
      </c>
      <c r="K395" s="30" t="n">
        <v>8610</v>
      </c>
      <c r="L395" s="30" t="n">
        <v>9628.166666666666</v>
      </c>
      <c r="M395" s="35" t="n">
        <v>0.4525604307470309</v>
      </c>
      <c r="N395" s="35" t="n">
        <v>0.5120254184579842</v>
      </c>
      <c r="O395" s="35" t="n">
        <v>0.1285714285714286</v>
      </c>
      <c r="P395" s="35" t="n">
        <v>-0.07961165048543695</v>
      </c>
      <c r="Q395" s="35" t="n">
        <v>-0.3145336225596529</v>
      </c>
      <c r="R395" s="35" t="n">
        <v>0.07513467536149698</v>
      </c>
      <c r="S395" s="35" t="n">
        <v>0.1010452961672474</v>
      </c>
      <c r="T395" s="35" t="n">
        <v>-0.01538887638698949</v>
      </c>
      <c r="U395" s="30" t="n">
        <v>18970</v>
      </c>
      <c r="V395" s="30" t="n">
        <v>7070</v>
      </c>
      <c r="W395" s="35" t="n">
        <v>-0.500263574064312</v>
      </c>
      <c r="X395" s="35" t="n">
        <v>0.3408769448373408</v>
      </c>
      <c r="Y395" s="30" t="n">
        <v>33416778</v>
      </c>
      <c r="Z395" s="30" t="n">
        <v>316791055440</v>
      </c>
      <c r="AA395" s="30" t="n">
        <v>1906864080</v>
      </c>
      <c r="AB395" s="30" t="n">
        <v>1781567011.5</v>
      </c>
      <c r="AC395" s="35" t="n">
        <v>0.006019311616458056</v>
      </c>
      <c r="AD395" s="24" t="inlineStr">
        <is>
          <t>yfinance_download</t>
        </is>
      </c>
      <c r="AE395" s="24" t="inlineStr">
        <is>
          <t>059090.KQ</t>
        </is>
      </c>
    </row>
    <row r="396" ht="24" customHeight="1">
      <c r="A396" s="29" t="inlineStr">
        <is>
          <t>2025-01-20</t>
        </is>
      </c>
      <c r="B396" s="31" t="n">
        <v>9640</v>
      </c>
      <c r="C396" s="31" t="n">
        <v>9690</v>
      </c>
      <c r="D396" s="31" t="n">
        <v>9290</v>
      </c>
      <c r="E396" s="31" t="n">
        <v>9420</v>
      </c>
      <c r="F396" s="31" t="n">
        <v>9420</v>
      </c>
      <c r="G396" s="31" t="n">
        <v>134515</v>
      </c>
      <c r="H396" s="36" t="n">
        <v>-0.006329113924050667</v>
      </c>
      <c r="I396" s="36" t="n">
        <v>-0.503426462836057</v>
      </c>
      <c r="J396" s="31" t="n">
        <v>8869.5</v>
      </c>
      <c r="K396" s="31" t="n">
        <v>8591.333333333334</v>
      </c>
      <c r="L396" s="31" t="n">
        <v>9596.75</v>
      </c>
      <c r="M396" s="36" t="n">
        <v>0.4537973846489568</v>
      </c>
      <c r="N396" s="36" t="n">
        <v>0.5096463020285035</v>
      </c>
      <c r="O396" s="36" t="n">
        <v>0.1241050119331741</v>
      </c>
      <c r="P396" s="36" t="n">
        <v>-0.1062618595825426</v>
      </c>
      <c r="Q396" s="36" t="n">
        <v>-0.285822592873389</v>
      </c>
      <c r="R396" s="36" t="n">
        <v>0.06206663284288849</v>
      </c>
      <c r="S396" s="36" t="n">
        <v>0.09645379064173198</v>
      </c>
      <c r="T396" s="36" t="n">
        <v>-0.01841769348998357</v>
      </c>
      <c r="U396" s="31" t="n">
        <v>18970</v>
      </c>
      <c r="V396" s="31" t="n">
        <v>7070</v>
      </c>
      <c r="W396" s="36" t="n">
        <v>-0.503426462836057</v>
      </c>
      <c r="X396" s="36" t="n">
        <v>0.3323903818953324</v>
      </c>
      <c r="Y396" s="31" t="n">
        <v>33416778</v>
      </c>
      <c r="Z396" s="31" t="n">
        <v>314786048760</v>
      </c>
      <c r="AA396" s="31" t="n">
        <v>1267131300</v>
      </c>
      <c r="AB396" s="31" t="n">
        <v>1791602893.5</v>
      </c>
      <c r="AC396" s="36" t="n">
        <v>0.004025373122447651</v>
      </c>
      <c r="AD396" s="29" t="inlineStr">
        <is>
          <t>yfinance_download</t>
        </is>
      </c>
      <c r="AE396" s="29" t="inlineStr">
        <is>
          <t>059090.KQ</t>
        </is>
      </c>
    </row>
    <row r="397" ht="24" customHeight="1">
      <c r="A397" s="24" t="inlineStr">
        <is>
          <t>2025-01-21</t>
        </is>
      </c>
      <c r="B397" s="30" t="n">
        <v>9470</v>
      </c>
      <c r="C397" s="30" t="n">
        <v>9640</v>
      </c>
      <c r="D397" s="30" t="n">
        <v>9140</v>
      </c>
      <c r="E397" s="30" t="n">
        <v>9330</v>
      </c>
      <c r="F397" s="30" t="n">
        <v>9330</v>
      </c>
      <c r="G397" s="30" t="n">
        <v>186901</v>
      </c>
      <c r="H397" s="35" t="n">
        <v>-0.009554140127388533</v>
      </c>
      <c r="I397" s="35" t="n">
        <v>-0.5081707959936742</v>
      </c>
      <c r="J397" s="30" t="n">
        <v>8933.5</v>
      </c>
      <c r="K397" s="30" t="n">
        <v>8579</v>
      </c>
      <c r="L397" s="30" t="n">
        <v>9570</v>
      </c>
      <c r="M397" s="35" t="n">
        <v>0.4254873256286063</v>
      </c>
      <c r="N397" s="35" t="n">
        <v>0.5019532978249788</v>
      </c>
      <c r="O397" s="35" t="n">
        <v>0.1590062111801243</v>
      </c>
      <c r="P397" s="35" t="n">
        <v>-0.07348560079443889</v>
      </c>
      <c r="Q397" s="35" t="n">
        <v>-0.2559808612440191</v>
      </c>
      <c r="R397" s="35" t="n">
        <v>0.04438350030783011</v>
      </c>
      <c r="S397" s="35" t="n">
        <v>0.08753934024944643</v>
      </c>
      <c r="T397" s="35" t="n">
        <v>-0.02507836990595613</v>
      </c>
      <c r="U397" s="30" t="n">
        <v>18970</v>
      </c>
      <c r="V397" s="30" t="n">
        <v>7070</v>
      </c>
      <c r="W397" s="35" t="n">
        <v>-0.5081707959936742</v>
      </c>
      <c r="X397" s="35" t="n">
        <v>0.3196605374823196</v>
      </c>
      <c r="Y397" s="30" t="n">
        <v>33416778</v>
      </c>
      <c r="Z397" s="30" t="n">
        <v>311778538740</v>
      </c>
      <c r="AA397" s="30" t="n">
        <v>1743786330</v>
      </c>
      <c r="AB397" s="30" t="n">
        <v>1826942965</v>
      </c>
      <c r="AC397" s="35" t="n">
        <v>0.005593028747415445</v>
      </c>
      <c r="AD397" s="24" t="inlineStr">
        <is>
          <t>yfinance_download</t>
        </is>
      </c>
      <c r="AE397" s="24" t="inlineStr">
        <is>
          <t>059090.KQ</t>
        </is>
      </c>
    </row>
    <row r="398" ht="24" customHeight="1">
      <c r="A398" s="29" t="inlineStr">
        <is>
          <t>2025-01-22</t>
        </is>
      </c>
      <c r="B398" s="31" t="n">
        <v>9380</v>
      </c>
      <c r="C398" s="31" t="n">
        <v>9980</v>
      </c>
      <c r="D398" s="31" t="n">
        <v>9230</v>
      </c>
      <c r="E398" s="31" t="n">
        <v>9910</v>
      </c>
      <c r="F398" s="31" t="n">
        <v>9910</v>
      </c>
      <c r="G398" s="31" t="n">
        <v>471983</v>
      </c>
      <c r="H398" s="36" t="n">
        <v>0.06216505894962476</v>
      </c>
      <c r="I398" s="36" t="n">
        <v>-0.477596204533474</v>
      </c>
      <c r="J398" s="31" t="n">
        <v>9039</v>
      </c>
      <c r="K398" s="31" t="n">
        <v>8581.166666666666</v>
      </c>
      <c r="L398" s="31" t="n">
        <v>9546.333333333334</v>
      </c>
      <c r="M398" s="36" t="n">
        <v>0.4411287254816476</v>
      </c>
      <c r="N398" s="36" t="n">
        <v>0.5147213119432748</v>
      </c>
      <c r="O398" s="36" t="n">
        <v>0.2705128205128204</v>
      </c>
      <c r="P398" s="36" t="n">
        <v>0.01329243353783238</v>
      </c>
      <c r="Q398" s="36" t="n">
        <v>-0.2227450980392157</v>
      </c>
      <c r="R398" s="36" t="n">
        <v>0.09636021683814588</v>
      </c>
      <c r="S398" s="36" t="n">
        <v>0.1548546234971935</v>
      </c>
      <c r="T398" s="36" t="n">
        <v>0.03809490554837791</v>
      </c>
      <c r="U398" s="31" t="n">
        <v>18970</v>
      </c>
      <c r="V398" s="31" t="n">
        <v>7070</v>
      </c>
      <c r="W398" s="36" t="n">
        <v>-0.477596204533474</v>
      </c>
      <c r="X398" s="36" t="n">
        <v>0.4016973125884018</v>
      </c>
      <c r="Y398" s="31" t="n">
        <v>33416778</v>
      </c>
      <c r="Z398" s="31" t="n">
        <v>331160269980</v>
      </c>
      <c r="AA398" s="31" t="n">
        <v>4677351530</v>
      </c>
      <c r="AB398" s="31" t="n">
        <v>1999670631.5</v>
      </c>
      <c r="AC398" s="36" t="n">
        <v>0.01412413249416206</v>
      </c>
      <c r="AD398" s="29" t="inlineStr">
        <is>
          <t>yfinance_download</t>
        </is>
      </c>
      <c r="AE398" s="29" t="inlineStr">
        <is>
          <t>059090.KQ</t>
        </is>
      </c>
    </row>
    <row r="399" ht="24" customHeight="1">
      <c r="A399" s="24" t="inlineStr">
        <is>
          <t>2025-01-23</t>
        </is>
      </c>
      <c r="B399" s="30" t="n">
        <v>9890</v>
      </c>
      <c r="C399" s="30" t="n">
        <v>9890</v>
      </c>
      <c r="D399" s="30" t="n">
        <v>9210</v>
      </c>
      <c r="E399" s="30" t="n">
        <v>9210</v>
      </c>
      <c r="F399" s="30" t="n">
        <v>9210</v>
      </c>
      <c r="G399" s="30" t="n">
        <v>413827</v>
      </c>
      <c r="H399" s="35" t="n">
        <v>-0.07063572149344099</v>
      </c>
      <c r="I399" s="35" t="n">
        <v>-0.5144965735371639</v>
      </c>
      <c r="J399" s="30" t="n">
        <v>9095</v>
      </c>
      <c r="K399" s="30" t="n">
        <v>8565</v>
      </c>
      <c r="L399" s="30" t="n">
        <v>9520.166666666666</v>
      </c>
      <c r="M399" s="35" t="n">
        <v>0.5198080969465866</v>
      </c>
      <c r="N399" s="35" t="n">
        <v>0.5281282213323544</v>
      </c>
      <c r="O399" s="35" t="n">
        <v>0.1384425216316441</v>
      </c>
      <c r="P399" s="35" t="n">
        <v>-0.0952848722986247</v>
      </c>
      <c r="Q399" s="35" t="n">
        <v>-0.254251012145749</v>
      </c>
      <c r="R399" s="35" t="n">
        <v>0.01264431006047273</v>
      </c>
      <c r="S399" s="35" t="n">
        <v>0.07530647985989503</v>
      </c>
      <c r="T399" s="35" t="n">
        <v>-0.03257996183540202</v>
      </c>
      <c r="U399" s="30" t="n">
        <v>18970</v>
      </c>
      <c r="V399" s="30" t="n">
        <v>7070</v>
      </c>
      <c r="W399" s="35" t="n">
        <v>-0.5144965735371639</v>
      </c>
      <c r="X399" s="35" t="n">
        <v>0.3026874115983027</v>
      </c>
      <c r="Y399" s="30" t="n">
        <v>33416778</v>
      </c>
      <c r="Z399" s="30" t="n">
        <v>307768525380</v>
      </c>
      <c r="AA399" s="30" t="n">
        <v>3811346670</v>
      </c>
      <c r="AB399" s="30" t="n">
        <v>2149811021.5</v>
      </c>
      <c r="AC399" s="35" t="n">
        <v>0.01238380911528933</v>
      </c>
      <c r="AD399" s="24" t="inlineStr">
        <is>
          <t>yfinance_download</t>
        </is>
      </c>
      <c r="AE399" s="24" t="inlineStr">
        <is>
          <t>059090.KQ</t>
        </is>
      </c>
    </row>
    <row r="400" ht="24" customHeight="1">
      <c r="A400" s="29" t="inlineStr">
        <is>
          <t>2025-01-24</t>
        </is>
      </c>
      <c r="B400" s="31" t="n">
        <v>9210</v>
      </c>
      <c r="C400" s="31" t="n">
        <v>9750</v>
      </c>
      <c r="D400" s="31" t="n">
        <v>9210</v>
      </c>
      <c r="E400" s="31" t="n">
        <v>9660</v>
      </c>
      <c r="F400" s="31" t="n">
        <v>9660</v>
      </c>
      <c r="G400" s="31" t="n">
        <v>297984</v>
      </c>
      <c r="H400" s="36" t="n">
        <v>0.04885993485342022</v>
      </c>
      <c r="I400" s="36" t="n">
        <v>-0.4907749077490775</v>
      </c>
      <c r="J400" s="31" t="n">
        <v>9181</v>
      </c>
      <c r="K400" s="31" t="n">
        <v>8561.5</v>
      </c>
      <c r="L400" s="31" t="n">
        <v>9498.75</v>
      </c>
      <c r="M400" s="36" t="n">
        <v>0.5308042118547538</v>
      </c>
      <c r="N400" s="36" t="n">
        <v>0.5342923973993646</v>
      </c>
      <c r="O400" s="36" t="n">
        <v>0.2166246851385389</v>
      </c>
      <c r="P400" s="36" t="n">
        <v>-0.02127659574468088</v>
      </c>
      <c r="Q400" s="36" t="n">
        <v>-0.2101390024529844</v>
      </c>
      <c r="R400" s="36" t="n">
        <v>0.05217296590785314</v>
      </c>
      <c r="S400" s="36" t="n">
        <v>0.1283069555568535</v>
      </c>
      <c r="T400" s="36" t="n">
        <v>0.01697591788393216</v>
      </c>
      <c r="U400" s="31" t="n">
        <v>18970</v>
      </c>
      <c r="V400" s="31" t="n">
        <v>7070</v>
      </c>
      <c r="W400" s="36" t="n">
        <v>-0.4907749077490775</v>
      </c>
      <c r="X400" s="36" t="n">
        <v>0.3663366336633664</v>
      </c>
      <c r="Y400" s="31" t="n">
        <v>33416778</v>
      </c>
      <c r="Z400" s="31" t="n">
        <v>322806075480</v>
      </c>
      <c r="AA400" s="31" t="n">
        <v>2878525440</v>
      </c>
      <c r="AB400" s="31" t="n">
        <v>2246616966.5</v>
      </c>
      <c r="AC400" s="36" t="n">
        <v>0.008917197223502517</v>
      </c>
      <c r="AD400" s="29" t="inlineStr">
        <is>
          <t>yfinance_download</t>
        </is>
      </c>
      <c r="AE400" s="29" t="inlineStr">
        <is>
          <t>059090.KQ</t>
        </is>
      </c>
    </row>
    <row r="401" ht="24" customHeight="1">
      <c r="A401" s="24" t="inlineStr">
        <is>
          <t>2025-01-31</t>
        </is>
      </c>
      <c r="B401" s="30" t="n">
        <v>9270</v>
      </c>
      <c r="C401" s="30" t="n">
        <v>9520</v>
      </c>
      <c r="D401" s="30" t="n">
        <v>8950</v>
      </c>
      <c r="E401" s="30" t="n">
        <v>8970</v>
      </c>
      <c r="F401" s="30" t="n">
        <v>8970</v>
      </c>
      <c r="G401" s="30" t="n">
        <v>385318</v>
      </c>
      <c r="H401" s="35" t="n">
        <v>-0.0714285714285714</v>
      </c>
      <c r="I401" s="35" t="n">
        <v>-0.5271481286241434</v>
      </c>
      <c r="J401" s="30" t="n">
        <v>9224.5</v>
      </c>
      <c r="K401" s="30" t="n">
        <v>8552.833333333334</v>
      </c>
      <c r="L401" s="30" t="n">
        <v>9470.833333333334</v>
      </c>
      <c r="M401" s="35" t="n">
        <v>0.6030731882032229</v>
      </c>
      <c r="N401" s="35" t="n">
        <v>0.5485505716466844</v>
      </c>
      <c r="O401" s="35" t="n">
        <v>0.1074074074074074</v>
      </c>
      <c r="P401" s="35" t="n">
        <v>-0.0547945205479452</v>
      </c>
      <c r="Q401" s="35" t="n">
        <v>-0.2719155844155844</v>
      </c>
      <c r="R401" s="35" t="n">
        <v>-0.02758957125047423</v>
      </c>
      <c r="S401" s="35" t="n">
        <v>0.0487752596605413</v>
      </c>
      <c r="T401" s="35" t="n">
        <v>-0.05288165420149593</v>
      </c>
      <c r="U401" s="30" t="n">
        <v>18970</v>
      </c>
      <c r="V401" s="30" t="n">
        <v>7070</v>
      </c>
      <c r="W401" s="35" t="n">
        <v>-0.5271481286241434</v>
      </c>
      <c r="X401" s="35" t="n">
        <v>0.2687411598302687</v>
      </c>
      <c r="Y401" s="30" t="n">
        <v>33416778</v>
      </c>
      <c r="Z401" s="30" t="n">
        <v>299748498660</v>
      </c>
      <c r="AA401" s="30" t="n">
        <v>3456302460</v>
      </c>
      <c r="AB401" s="30" t="n">
        <v>2345623674.5</v>
      </c>
      <c r="AC401" s="35" t="n">
        <v>0.0115306748005448</v>
      </c>
      <c r="AD401" s="24" t="inlineStr">
        <is>
          <t>yfinance_download</t>
        </is>
      </c>
      <c r="AE401" s="24" t="inlineStr">
        <is>
          <t>059090.KQ</t>
        </is>
      </c>
    </row>
    <row r="402" ht="24" customHeight="1">
      <c r="A402" s="29" t="inlineStr">
        <is>
          <t>2025-02-03</t>
        </is>
      </c>
      <c r="B402" s="31" t="n">
        <v>8700</v>
      </c>
      <c r="C402" s="31" t="n">
        <v>8830</v>
      </c>
      <c r="D402" s="31" t="n">
        <v>8400</v>
      </c>
      <c r="E402" s="31" t="n">
        <v>8570</v>
      </c>
      <c r="F402" s="31" t="n">
        <v>8570</v>
      </c>
      <c r="G402" s="31" t="n">
        <v>248044</v>
      </c>
      <c r="H402" s="36" t="n">
        <v>-0.04459308807134899</v>
      </c>
      <c r="I402" s="36" t="n">
        <v>-0.5482340537691091</v>
      </c>
      <c r="J402" s="31" t="n">
        <v>9257</v>
      </c>
      <c r="K402" s="31" t="n">
        <v>8535.666666666666</v>
      </c>
      <c r="L402" s="31" t="n">
        <v>9440.75</v>
      </c>
      <c r="M402" s="36" t="n">
        <v>0.6217990837743461</v>
      </c>
      <c r="N402" s="36" t="n">
        <v>0.5553688969481032</v>
      </c>
      <c r="O402" s="36" t="n">
        <v>0.08207070707070696</v>
      </c>
      <c r="P402" s="36" t="n">
        <v>-0.1072916666666667</v>
      </c>
      <c r="Q402" s="36" t="n">
        <v>-0.2963875205254516</v>
      </c>
      <c r="R402" s="36" t="n">
        <v>-0.07421410824241115</v>
      </c>
      <c r="S402" s="36" t="n">
        <v>0.004022337642051177</v>
      </c>
      <c r="T402" s="36" t="n">
        <v>-0.09223313825702406</v>
      </c>
      <c r="U402" s="31" t="n">
        <v>18970</v>
      </c>
      <c r="V402" s="31" t="n">
        <v>7070</v>
      </c>
      <c r="W402" s="36" t="n">
        <v>-0.5482340537691091</v>
      </c>
      <c r="X402" s="36" t="n">
        <v>0.2121640735502122</v>
      </c>
      <c r="Y402" s="31" t="n">
        <v>33416778</v>
      </c>
      <c r="Z402" s="31" t="n">
        <v>286381787460</v>
      </c>
      <c r="AA402" s="31" t="n">
        <v>2125737080</v>
      </c>
      <c r="AB402" s="31" t="n">
        <v>2399050072.5</v>
      </c>
      <c r="AC402" s="36" t="n">
        <v>0.007422738362148499</v>
      </c>
      <c r="AD402" s="29" t="inlineStr">
        <is>
          <t>yfinance_download</t>
        </is>
      </c>
      <c r="AE402" s="29" t="inlineStr">
        <is>
          <t>059090.KQ</t>
        </is>
      </c>
    </row>
    <row r="403" ht="24" customHeight="1">
      <c r="A403" s="24" t="inlineStr">
        <is>
          <t>2025-02-04</t>
        </is>
      </c>
      <c r="B403" s="30" t="n">
        <v>8680</v>
      </c>
      <c r="C403" s="30" t="n">
        <v>8950</v>
      </c>
      <c r="D403" s="30" t="n">
        <v>8210</v>
      </c>
      <c r="E403" s="30" t="n">
        <v>8800</v>
      </c>
      <c r="F403" s="30" t="n">
        <v>8800</v>
      </c>
      <c r="G403" s="30" t="n">
        <v>129468</v>
      </c>
      <c r="H403" s="35" t="n">
        <v>0.02683780630105015</v>
      </c>
      <c r="I403" s="35" t="n">
        <v>-0.5361096468107538</v>
      </c>
      <c r="J403" s="30" t="n">
        <v>9296</v>
      </c>
      <c r="K403" s="30" t="n">
        <v>8526.333333333334</v>
      </c>
      <c r="L403" s="30" t="n">
        <v>9410.666666666666</v>
      </c>
      <c r="M403" s="35" t="n">
        <v>0.6262367832910242</v>
      </c>
      <c r="N403" s="35" t="n">
        <v>0.5560754280081009</v>
      </c>
      <c r="O403" s="35" t="n">
        <v>0.09725685785536164</v>
      </c>
      <c r="P403" s="35" t="n">
        <v>-0.05982905982905984</v>
      </c>
      <c r="Q403" s="35" t="n">
        <v>-0.290894439967768</v>
      </c>
      <c r="R403" s="35" t="n">
        <v>-0.05335628227194489</v>
      </c>
      <c r="S403" s="35" t="n">
        <v>0.03209664177645721</v>
      </c>
      <c r="T403" s="35" t="n">
        <v>-0.06489090393879282</v>
      </c>
      <c r="U403" s="30" t="n">
        <v>18970</v>
      </c>
      <c r="V403" s="30" t="n">
        <v>7070</v>
      </c>
      <c r="W403" s="35" t="n">
        <v>-0.5361096468107538</v>
      </c>
      <c r="X403" s="35" t="n">
        <v>0.2446958981612446</v>
      </c>
      <c r="Y403" s="30" t="n">
        <v>33416778</v>
      </c>
      <c r="Z403" s="30" t="n">
        <v>294067646400</v>
      </c>
      <c r="AA403" s="30" t="n">
        <v>1139318400</v>
      </c>
      <c r="AB403" s="30" t="n">
        <v>2426107407.5</v>
      </c>
      <c r="AC403" s="35" t="n">
        <v>0.003874341206683661</v>
      </c>
      <c r="AD403" s="24" t="inlineStr">
        <is>
          <t>yfinance_download</t>
        </is>
      </c>
      <c r="AE403" s="24" t="inlineStr">
        <is>
          <t>059090.KQ</t>
        </is>
      </c>
    </row>
    <row r="404" ht="24" customHeight="1">
      <c r="A404" s="29" t="inlineStr">
        <is>
          <t>2025-02-05</t>
        </is>
      </c>
      <c r="B404" s="31" t="n">
        <v>8860</v>
      </c>
      <c r="C404" s="31" t="n">
        <v>9130</v>
      </c>
      <c r="D404" s="31" t="n">
        <v>8790</v>
      </c>
      <c r="E404" s="31" t="n">
        <v>8790</v>
      </c>
      <c r="F404" s="31" t="n">
        <v>8790</v>
      </c>
      <c r="G404" s="31" t="n">
        <v>112674</v>
      </c>
      <c r="H404" s="36" t="n">
        <v>-0.001136363636363602</v>
      </c>
      <c r="I404" s="36" t="n">
        <v>-0.536636794939378</v>
      </c>
      <c r="J404" s="31" t="n">
        <v>9314.5</v>
      </c>
      <c r="K404" s="31" t="n">
        <v>8515</v>
      </c>
      <c r="L404" s="31" t="n">
        <v>9381.583333333334</v>
      </c>
      <c r="M404" s="36" t="n">
        <v>0.6039640603826445</v>
      </c>
      <c r="N404" s="36" t="n">
        <v>0.5554972137425506</v>
      </c>
      <c r="O404" s="36" t="n">
        <v>0.0439429928741093</v>
      </c>
      <c r="P404" s="36" t="n">
        <v>-0.07180570221752902</v>
      </c>
      <c r="Q404" s="36" t="n">
        <v>-0.2842019543973942</v>
      </c>
      <c r="R404" s="36" t="n">
        <v>-0.05631005421654411</v>
      </c>
      <c r="S404" s="36" t="n">
        <v>0.03229594832648264</v>
      </c>
      <c r="T404" s="36" t="n">
        <v>-0.06305794153438926</v>
      </c>
      <c r="U404" s="31" t="n">
        <v>18970</v>
      </c>
      <c r="V404" s="31" t="n">
        <v>7070</v>
      </c>
      <c r="W404" s="36" t="n">
        <v>-0.536636794939378</v>
      </c>
      <c r="X404" s="36" t="n">
        <v>0.2432814710042432</v>
      </c>
      <c r="Y404" s="31" t="n">
        <v>33416778</v>
      </c>
      <c r="Z404" s="31" t="n">
        <v>293733478620</v>
      </c>
      <c r="AA404" s="31" t="n">
        <v>990404460</v>
      </c>
      <c r="AB404" s="31" t="n">
        <v>2403239206.5</v>
      </c>
      <c r="AC404" s="36" t="n">
        <v>0.003371779290032091</v>
      </c>
      <c r="AD404" s="29" t="inlineStr">
        <is>
          <t>yfinance_download</t>
        </is>
      </c>
      <c r="AE404" s="29" t="inlineStr">
        <is>
          <t>059090.KQ</t>
        </is>
      </c>
    </row>
    <row r="405" ht="24" customHeight="1">
      <c r="A405" s="24" t="inlineStr">
        <is>
          <t>2025-02-06</t>
        </is>
      </c>
      <c r="B405" s="30" t="n">
        <v>8980</v>
      </c>
      <c r="C405" s="30" t="n">
        <v>9230</v>
      </c>
      <c r="D405" s="30" t="n">
        <v>8850</v>
      </c>
      <c r="E405" s="30" t="n">
        <v>9230</v>
      </c>
      <c r="F405" s="30" t="n">
        <v>9230</v>
      </c>
      <c r="G405" s="30" t="n">
        <v>193898</v>
      </c>
      <c r="H405" s="35" t="n">
        <v>0.05005688282138787</v>
      </c>
      <c r="I405" s="35" t="n">
        <v>-0.5134422772799156</v>
      </c>
      <c r="J405" s="30" t="n">
        <v>9335</v>
      </c>
      <c r="K405" s="30" t="n">
        <v>8510</v>
      </c>
      <c r="L405" s="30" t="n">
        <v>9366.25</v>
      </c>
      <c r="M405" s="35" t="n">
        <v>0.6065283526866277</v>
      </c>
      <c r="N405" s="35" t="n">
        <v>0.564986644613476</v>
      </c>
      <c r="O405" s="35" t="n">
        <v>0.04648526077097515</v>
      </c>
      <c r="P405" s="35" t="n">
        <v>-0.03147953830010497</v>
      </c>
      <c r="Q405" s="35" t="n">
        <v>-0.1662149954832882</v>
      </c>
      <c r="R405" s="35" t="n">
        <v>-0.0112479914301018</v>
      </c>
      <c r="S405" s="35" t="n">
        <v>0.08460634547591073</v>
      </c>
      <c r="T405" s="35" t="n">
        <v>-0.01454691044975309</v>
      </c>
      <c r="U405" s="30" t="n">
        <v>18970</v>
      </c>
      <c r="V405" s="30" t="n">
        <v>7070</v>
      </c>
      <c r="W405" s="35" t="n">
        <v>-0.5134422772799156</v>
      </c>
      <c r="X405" s="35" t="n">
        <v>0.3055162659123054</v>
      </c>
      <c r="Y405" s="30" t="n">
        <v>33416778</v>
      </c>
      <c r="Z405" s="30" t="n">
        <v>308436860940</v>
      </c>
      <c r="AA405" s="30" t="n">
        <v>1789678540</v>
      </c>
      <c r="AB405" s="30" t="n">
        <v>2339233083.5</v>
      </c>
      <c r="AC405" s="35" t="n">
        <v>0.0058024145834766</v>
      </c>
      <c r="AD405" s="24" t="inlineStr">
        <is>
          <t>yfinance_download</t>
        </is>
      </c>
      <c r="AE405" s="24" t="inlineStr">
        <is>
          <t>059090.KQ</t>
        </is>
      </c>
    </row>
    <row r="406" ht="24" customHeight="1">
      <c r="A406" s="29" t="inlineStr">
        <is>
          <t>2025-02-07</t>
        </is>
      </c>
      <c r="B406" s="31" t="n">
        <v>9260</v>
      </c>
      <c r="C406" s="31" t="n">
        <v>9260</v>
      </c>
      <c r="D406" s="31" t="n">
        <v>8990</v>
      </c>
      <c r="E406" s="31" t="n">
        <v>9040</v>
      </c>
      <c r="F406" s="31" t="n">
        <v>9040</v>
      </c>
      <c r="G406" s="31" t="n">
        <v>260295</v>
      </c>
      <c r="H406" s="36" t="n">
        <v>-0.02058504875406286</v>
      </c>
      <c r="I406" s="36" t="n">
        <v>-0.5234580917237743</v>
      </c>
      <c r="J406" s="31" t="n">
        <v>9320.5</v>
      </c>
      <c r="K406" s="31" t="n">
        <v>8508.5</v>
      </c>
      <c r="L406" s="31" t="n">
        <v>9364.75</v>
      </c>
      <c r="M406" s="36" t="n">
        <v>0.5755495430191041</v>
      </c>
      <c r="N406" s="36" t="n">
        <v>0.5598624358238647</v>
      </c>
      <c r="O406" s="36" t="n">
        <v>-0.03108252947481238</v>
      </c>
      <c r="P406" s="36" t="n">
        <v>-0.009857612267250793</v>
      </c>
      <c r="Q406" s="36" t="n">
        <v>-0.0195227765726681</v>
      </c>
      <c r="R406" s="36" t="n">
        <v>-0.0300949519875543</v>
      </c>
      <c r="S406" s="36" t="n">
        <v>0.06246694481988602</v>
      </c>
      <c r="T406" s="36" t="n">
        <v>-0.03467791451987501</v>
      </c>
      <c r="U406" s="31" t="n">
        <v>18970</v>
      </c>
      <c r="V406" s="31" t="n">
        <v>7070</v>
      </c>
      <c r="W406" s="36" t="n">
        <v>-0.5234580917237743</v>
      </c>
      <c r="X406" s="36" t="n">
        <v>0.2786421499292786</v>
      </c>
      <c r="Y406" s="31" t="n">
        <v>33416778</v>
      </c>
      <c r="Z406" s="31" t="n">
        <v>302087673120</v>
      </c>
      <c r="AA406" s="31" t="n">
        <v>2353066800</v>
      </c>
      <c r="AB406" s="31" t="n">
        <v>2300738610.5</v>
      </c>
      <c r="AC406" s="36" t="n">
        <v>0.007789350607051344</v>
      </c>
      <c r="AD406" s="29" t="inlineStr">
        <is>
          <t>yfinance_download</t>
        </is>
      </c>
      <c r="AE406" s="29" t="inlineStr">
        <is>
          <t>059090.KQ</t>
        </is>
      </c>
    </row>
    <row r="407" ht="24" customHeight="1">
      <c r="A407" s="24" t="inlineStr">
        <is>
          <t>2025-02-10</t>
        </is>
      </c>
      <c r="B407" s="30" t="n">
        <v>9000</v>
      </c>
      <c r="C407" s="30" t="n">
        <v>9520</v>
      </c>
      <c r="D407" s="30" t="n">
        <v>8720</v>
      </c>
      <c r="E407" s="30" t="n">
        <v>9440</v>
      </c>
      <c r="F407" s="30" t="n">
        <v>9440</v>
      </c>
      <c r="G407" s="30" t="n">
        <v>258329</v>
      </c>
      <c r="H407" s="35" t="n">
        <v>0.04424778761061954</v>
      </c>
      <c r="I407" s="35" t="n">
        <v>-0.5023721665788086</v>
      </c>
      <c r="J407" s="30" t="n">
        <v>9317.5</v>
      </c>
      <c r="K407" s="30" t="n">
        <v>8515.166666666666</v>
      </c>
      <c r="L407" s="30" t="n">
        <v>9361.666666666666</v>
      </c>
      <c r="M407" s="35" t="n">
        <v>0.5941603036835666</v>
      </c>
      <c r="N407" s="35" t="n">
        <v>0.5665491376579957</v>
      </c>
      <c r="O407" s="35" t="n">
        <v>-0.006315789473684164</v>
      </c>
      <c r="P407" s="35" t="n">
        <v>0.04424778761061954</v>
      </c>
      <c r="Q407" s="35" t="n">
        <v>-0.03771661569826712</v>
      </c>
      <c r="R407" s="35" t="n">
        <v>0.01314730346122883</v>
      </c>
      <c r="S407" s="35" t="n">
        <v>0.1086101270282438</v>
      </c>
      <c r="T407" s="35" t="n">
        <v>0.008367455937333235</v>
      </c>
      <c r="U407" s="30" t="n">
        <v>18970</v>
      </c>
      <c r="V407" s="30" t="n">
        <v>7070</v>
      </c>
      <c r="W407" s="35" t="n">
        <v>-0.5023721665788086</v>
      </c>
      <c r="X407" s="35" t="n">
        <v>0.3352192362093351</v>
      </c>
      <c r="Y407" s="30" t="n">
        <v>33416778</v>
      </c>
      <c r="Z407" s="30" t="n">
        <v>315454384320</v>
      </c>
      <c r="AA407" s="30" t="n">
        <v>2438625760</v>
      </c>
      <c r="AB407" s="30" t="n">
        <v>2226263098.5</v>
      </c>
      <c r="AC407" s="35" t="n">
        <v>0.00773051788535687</v>
      </c>
      <c r="AD407" s="24" t="inlineStr">
        <is>
          <t>yfinance_download</t>
        </is>
      </c>
      <c r="AE407" s="24" t="inlineStr">
        <is>
          <t>059090.KQ</t>
        </is>
      </c>
    </row>
    <row r="408" ht="24" customHeight="1">
      <c r="A408" s="29" t="inlineStr">
        <is>
          <t>2025-02-11</t>
        </is>
      </c>
      <c r="B408" s="31" t="n">
        <v>9500</v>
      </c>
      <c r="C408" s="31" t="n">
        <v>9530</v>
      </c>
      <c r="D408" s="31" t="n">
        <v>9190</v>
      </c>
      <c r="E408" s="31" t="n">
        <v>9200</v>
      </c>
      <c r="F408" s="31" t="n">
        <v>9200</v>
      </c>
      <c r="G408" s="31" t="n">
        <v>208096</v>
      </c>
      <c r="H408" s="36" t="n">
        <v>-0.02542372881355937</v>
      </c>
      <c r="I408" s="36" t="n">
        <v>-0.515023721665788</v>
      </c>
      <c r="J408" s="31" t="n">
        <v>9288.5</v>
      </c>
      <c r="K408" s="31" t="n">
        <v>8516.666666666666</v>
      </c>
      <c r="L408" s="31" t="n">
        <v>9353.583333333334</v>
      </c>
      <c r="M408" s="36" t="n">
        <v>0.5904186149453218</v>
      </c>
      <c r="N408" s="36" t="n">
        <v>0.5690225411332296</v>
      </c>
      <c r="O408" s="36" t="n">
        <v>-0.05930470347648265</v>
      </c>
      <c r="P408" s="36" t="n">
        <v>0.009879253567508295</v>
      </c>
      <c r="Q408" s="36" t="n">
        <v>-0.09537856440511305</v>
      </c>
      <c r="R408" s="36" t="n">
        <v>-0.009527910857511923</v>
      </c>
      <c r="S408" s="36" t="n">
        <v>0.08023483365949136</v>
      </c>
      <c r="T408" s="36" t="n">
        <v>-0.01641973218819892</v>
      </c>
      <c r="U408" s="31" t="n">
        <v>18970</v>
      </c>
      <c r="V408" s="31" t="n">
        <v>7070</v>
      </c>
      <c r="W408" s="36" t="n">
        <v>-0.515023721665788</v>
      </c>
      <c r="X408" s="36" t="n">
        <v>0.3012729844413014</v>
      </c>
      <c r="Y408" s="31" t="n">
        <v>33416778</v>
      </c>
      <c r="Z408" s="31" t="n">
        <v>307434357600</v>
      </c>
      <c r="AA408" s="31" t="n">
        <v>1914483200</v>
      </c>
      <c r="AB408" s="31" t="n">
        <v>2175019775.5</v>
      </c>
      <c r="AC408" s="36" t="n">
        <v>0.006227290973414612</v>
      </c>
      <c r="AD408" s="29" t="inlineStr">
        <is>
          <t>yfinance_download</t>
        </is>
      </c>
      <c r="AE408" s="29" t="inlineStr">
        <is>
          <t>059090.KQ</t>
        </is>
      </c>
    </row>
    <row r="409" ht="24" customHeight="1">
      <c r="A409" s="24" t="inlineStr">
        <is>
          <t>2025-02-12</t>
        </is>
      </c>
      <c r="B409" s="30" t="n">
        <v>9160</v>
      </c>
      <c r="C409" s="30" t="n">
        <v>9250</v>
      </c>
      <c r="D409" s="30" t="n">
        <v>8960</v>
      </c>
      <c r="E409" s="30" t="n">
        <v>9100</v>
      </c>
      <c r="F409" s="30" t="n">
        <v>9100</v>
      </c>
      <c r="G409" s="30" t="n">
        <v>191839</v>
      </c>
      <c r="H409" s="35" t="n">
        <v>-0.01086956521739135</v>
      </c>
      <c r="I409" s="35" t="n">
        <v>-0.5202952029520296</v>
      </c>
      <c r="J409" s="30" t="n">
        <v>9258.5</v>
      </c>
      <c r="K409" s="30" t="n">
        <v>8523.833333333334</v>
      </c>
      <c r="L409" s="30" t="n">
        <v>9345</v>
      </c>
      <c r="M409" s="35" t="n">
        <v>0.5908454049521872</v>
      </c>
      <c r="N409" s="35" t="n">
        <v>0.5603330773834029</v>
      </c>
      <c r="O409" s="35" t="n">
        <v>-0.06185567010309279</v>
      </c>
      <c r="P409" s="35" t="n">
        <v>0.04959630911188007</v>
      </c>
      <c r="Q409" s="35" t="n">
        <v>-0.1016781836130306</v>
      </c>
      <c r="R409" s="35" t="n">
        <v>-0.01711940379111088</v>
      </c>
      <c r="S409" s="35" t="n">
        <v>0.0675947832547954</v>
      </c>
      <c r="T409" s="35" t="n">
        <v>-0.02621722846441943</v>
      </c>
      <c r="U409" s="30" t="n">
        <v>18970</v>
      </c>
      <c r="V409" s="30" t="n">
        <v>7070</v>
      </c>
      <c r="W409" s="35" t="n">
        <v>-0.5202952029520296</v>
      </c>
      <c r="X409" s="35" t="n">
        <v>0.2871287128712872</v>
      </c>
      <c r="Y409" s="30" t="n">
        <v>33416778</v>
      </c>
      <c r="Z409" s="30" t="n">
        <v>304092679800</v>
      </c>
      <c r="AA409" s="30" t="n">
        <v>1745734900</v>
      </c>
      <c r="AB409" s="30" t="n">
        <v>2080749195.5</v>
      </c>
      <c r="AC409" s="35" t="n">
        <v>0.005740798828660262</v>
      </c>
      <c r="AD409" s="24" t="inlineStr">
        <is>
          <t>yfinance_download</t>
        </is>
      </c>
      <c r="AE409" s="24" t="inlineStr">
        <is>
          <t>059090.KQ</t>
        </is>
      </c>
    </row>
    <row r="410" ht="24" customHeight="1">
      <c r="A410" s="29" t="inlineStr">
        <is>
          <t>2025-02-13</t>
        </is>
      </c>
      <c r="B410" s="31" t="n">
        <v>9070</v>
      </c>
      <c r="C410" s="31" t="n">
        <v>9370</v>
      </c>
      <c r="D410" s="31" t="n">
        <v>9070</v>
      </c>
      <c r="E410" s="31" t="n">
        <v>9290</v>
      </c>
      <c r="F410" s="31" t="n">
        <v>9290</v>
      </c>
      <c r="G410" s="31" t="n">
        <v>201007</v>
      </c>
      <c r="H410" s="36" t="n">
        <v>0.0208791208791208</v>
      </c>
      <c r="I410" s="36" t="n">
        <v>-0.5102793885081708</v>
      </c>
      <c r="J410" s="31" t="n">
        <v>9239.5</v>
      </c>
      <c r="K410" s="31" t="n">
        <v>8542.166666666666</v>
      </c>
      <c r="L410" s="31" t="n">
        <v>9336.833333333334</v>
      </c>
      <c r="M410" s="36" t="n">
        <v>0.5966391494125481</v>
      </c>
      <c r="N410" s="36" t="n">
        <v>0.5490031511485023</v>
      </c>
      <c r="O410" s="36" t="n">
        <v>-0.03929679420889354</v>
      </c>
      <c r="P410" s="36" t="n">
        <v>0.1343101343101343</v>
      </c>
      <c r="Q410" s="36" t="n">
        <v>-0.0954235637779941</v>
      </c>
      <c r="R410" s="36" t="n">
        <v>0.005465663726392123</v>
      </c>
      <c r="S410" s="36" t="n">
        <v>0.08754609486273979</v>
      </c>
      <c r="T410" s="36" t="n">
        <v>-0.005015976151800272</v>
      </c>
      <c r="U410" s="31" t="n">
        <v>18970</v>
      </c>
      <c r="V410" s="31" t="n">
        <v>7070</v>
      </c>
      <c r="W410" s="36" t="n">
        <v>-0.5102793885081708</v>
      </c>
      <c r="X410" s="36" t="n">
        <v>0.314002828854314</v>
      </c>
      <c r="Y410" s="31" t="n">
        <v>33416778</v>
      </c>
      <c r="Z410" s="31" t="n">
        <v>310441867620</v>
      </c>
      <c r="AA410" s="31" t="n">
        <v>1867355030</v>
      </c>
      <c r="AB410" s="31" t="n">
        <v>2084029293</v>
      </c>
      <c r="AC410" s="36" t="n">
        <v>0.006015152029318925</v>
      </c>
      <c r="AD410" s="29" t="inlineStr">
        <is>
          <t>yfinance_download</t>
        </is>
      </c>
      <c r="AE410" s="29" t="inlineStr">
        <is>
          <t>059090.KQ</t>
        </is>
      </c>
    </row>
    <row r="411" ht="24" customHeight="1">
      <c r="A411" s="24" t="inlineStr">
        <is>
          <t>2025-02-14</t>
        </is>
      </c>
      <c r="B411" s="30" t="n">
        <v>9430</v>
      </c>
      <c r="C411" s="30" t="n">
        <v>9480</v>
      </c>
      <c r="D411" s="30" t="n">
        <v>9080</v>
      </c>
      <c r="E411" s="30" t="n">
        <v>9310</v>
      </c>
      <c r="F411" s="30" t="n">
        <v>9310</v>
      </c>
      <c r="G411" s="30" t="n">
        <v>294706</v>
      </c>
      <c r="H411" s="35" t="n">
        <v>0.002152852529601734</v>
      </c>
      <c r="I411" s="35" t="n">
        <v>-0.5092250922509225</v>
      </c>
      <c r="J411" s="30" t="n">
        <v>9237.5</v>
      </c>
      <c r="K411" s="30" t="n">
        <v>8566.5</v>
      </c>
      <c r="L411" s="30" t="n">
        <v>9327.833333333334</v>
      </c>
      <c r="M411" s="35" t="n">
        <v>0.584749855720663</v>
      </c>
      <c r="N411" s="35" t="n">
        <v>0.5412241273945033</v>
      </c>
      <c r="O411" s="35" t="n">
        <v>-0.004278074866310155</v>
      </c>
      <c r="P411" s="35" t="n">
        <v>0.1859872611464968</v>
      </c>
      <c r="Q411" s="35" t="n">
        <v>-0.1039461020211742</v>
      </c>
      <c r="R411" s="35" t="n">
        <v>0.007848443843031072</v>
      </c>
      <c r="S411" s="35" t="n">
        <v>0.08679157182046349</v>
      </c>
      <c r="T411" s="35" t="n">
        <v>-0.001911840906248408</v>
      </c>
      <c r="U411" s="30" t="n">
        <v>18970</v>
      </c>
      <c r="V411" s="30" t="n">
        <v>7070</v>
      </c>
      <c r="W411" s="35" t="n">
        <v>-0.5092250922509225</v>
      </c>
      <c r="X411" s="35" t="n">
        <v>0.3168316831683169</v>
      </c>
      <c r="Y411" s="30" t="n">
        <v>33416778</v>
      </c>
      <c r="Z411" s="30" t="n">
        <v>311110203180</v>
      </c>
      <c r="AA411" s="30" t="n">
        <v>2743712860</v>
      </c>
      <c r="AB411" s="30" t="n">
        <v>2134912098.5</v>
      </c>
      <c r="AC411" s="35" t="n">
        <v>0.00881910278722862</v>
      </c>
      <c r="AD411" s="24" t="inlineStr">
        <is>
          <t>yfinance_download</t>
        </is>
      </c>
      <c r="AE411" s="24" t="inlineStr">
        <is>
          <t>059090.KQ</t>
        </is>
      </c>
    </row>
    <row r="412" ht="24" customHeight="1">
      <c r="A412" s="29" t="inlineStr">
        <is>
          <t>2025-02-17</t>
        </is>
      </c>
      <c r="B412" s="31" t="n">
        <v>9410</v>
      </c>
      <c r="C412" s="31" t="n">
        <v>9670</v>
      </c>
      <c r="D412" s="31" t="n">
        <v>9310</v>
      </c>
      <c r="E412" s="31" t="n">
        <v>9550</v>
      </c>
      <c r="F412" s="31" t="n">
        <v>9550</v>
      </c>
      <c r="G412" s="31" t="n">
        <v>338295</v>
      </c>
      <c r="H412" s="36" t="n">
        <v>0.02577873254564977</v>
      </c>
      <c r="I412" s="36" t="n">
        <v>-0.496573537163943</v>
      </c>
      <c r="J412" s="31" t="n">
        <v>9250.5</v>
      </c>
      <c r="K412" s="31" t="n">
        <v>8602.333333333334</v>
      </c>
      <c r="L412" s="31" t="n">
        <v>9319.916666666666</v>
      </c>
      <c r="M412" s="36" t="n">
        <v>0.5908816138003044</v>
      </c>
      <c r="N412" s="36" t="n">
        <v>0.5280221090616635</v>
      </c>
      <c r="O412" s="36" t="n">
        <v>0.02798708288482232</v>
      </c>
      <c r="P412" s="36" t="n">
        <v>0.2905405405405406</v>
      </c>
      <c r="Q412" s="36" t="n">
        <v>-0.09047619047619049</v>
      </c>
      <c r="R412" s="36" t="n">
        <v>0.03237662829036259</v>
      </c>
      <c r="S412" s="36" t="n">
        <v>0.1101639090169333</v>
      </c>
      <c r="T412" s="36" t="n">
        <v>0.02468727367018664</v>
      </c>
      <c r="U412" s="31" t="n">
        <v>18970</v>
      </c>
      <c r="V412" s="31" t="n">
        <v>7070</v>
      </c>
      <c r="W412" s="36" t="n">
        <v>-0.496573537163943</v>
      </c>
      <c r="X412" s="36" t="n">
        <v>0.3507779349363507</v>
      </c>
      <c r="Y412" s="31" t="n">
        <v>33416778</v>
      </c>
      <c r="Z412" s="31" t="n">
        <v>319130229900</v>
      </c>
      <c r="AA412" s="31" t="n">
        <v>3230717250</v>
      </c>
      <c r="AB412" s="31" t="n">
        <v>2239891834.5</v>
      </c>
      <c r="AC412" s="36" t="n">
        <v>0.01012350741893788</v>
      </c>
      <c r="AD412" s="29" t="inlineStr">
        <is>
          <t>yfinance_download</t>
        </is>
      </c>
      <c r="AE412" s="29" t="inlineStr">
        <is>
          <t>059090.KQ</t>
        </is>
      </c>
    </row>
    <row r="413" ht="24" customHeight="1">
      <c r="A413" s="24" t="inlineStr">
        <is>
          <t>2025-02-18</t>
        </is>
      </c>
      <c r="B413" s="30" t="n">
        <v>9550</v>
      </c>
      <c r="C413" s="30" t="n">
        <v>9550</v>
      </c>
      <c r="D413" s="30" t="n">
        <v>9260</v>
      </c>
      <c r="E413" s="30" t="n">
        <v>9280</v>
      </c>
      <c r="F413" s="30" t="n">
        <v>9280</v>
      </c>
      <c r="G413" s="30" t="n">
        <v>281837</v>
      </c>
      <c r="H413" s="35" t="n">
        <v>-0.02827225130890054</v>
      </c>
      <c r="I413" s="35" t="n">
        <v>-0.5108065366367949</v>
      </c>
      <c r="J413" s="30" t="n">
        <v>9245</v>
      </c>
      <c r="K413" s="30" t="n">
        <v>8627.166666666666</v>
      </c>
      <c r="L413" s="30" t="n">
        <v>9305.916666666666</v>
      </c>
      <c r="M413" s="35" t="n">
        <v>0.5994270754957296</v>
      </c>
      <c r="N413" s="35" t="n">
        <v>0.5226990040615981</v>
      </c>
      <c r="O413" s="35" t="n">
        <v>-0.01171458998935038</v>
      </c>
      <c r="P413" s="35" t="n">
        <v>0.1912708600770219</v>
      </c>
      <c r="Q413" s="35" t="n">
        <v>-0.1532846715328468</v>
      </c>
      <c r="R413" s="35" t="n">
        <v>0.003785830178474781</v>
      </c>
      <c r="S413" s="35" t="n">
        <v>0.07567181191198347</v>
      </c>
      <c r="T413" s="35" t="n">
        <v>-0.002784966553536661</v>
      </c>
      <c r="U413" s="30" t="n">
        <v>18970</v>
      </c>
      <c r="V413" s="30" t="n">
        <v>7070</v>
      </c>
      <c r="W413" s="35" t="n">
        <v>-0.5108065366367949</v>
      </c>
      <c r="X413" s="35" t="n">
        <v>0.3125884016973126</v>
      </c>
      <c r="Y413" s="30" t="n">
        <v>33416778</v>
      </c>
      <c r="Z413" s="30" t="n">
        <v>310107699840</v>
      </c>
      <c r="AA413" s="30" t="n">
        <v>2615447360</v>
      </c>
      <c r="AB413" s="30" t="n">
        <v>2311458374.5</v>
      </c>
      <c r="AC413" s="35" t="n">
        <v>0.008433996838354673</v>
      </c>
      <c r="AD413" s="24" t="inlineStr">
        <is>
          <t>yfinance_download</t>
        </is>
      </c>
      <c r="AE413" s="24" t="inlineStr">
        <is>
          <t>059090.KQ</t>
        </is>
      </c>
    </row>
    <row r="414" ht="24" customHeight="1">
      <c r="A414" s="29" t="inlineStr">
        <is>
          <t>2025-02-19</t>
        </is>
      </c>
      <c r="B414" s="31" t="n">
        <v>9390</v>
      </c>
      <c r="C414" s="31" t="n">
        <v>9800</v>
      </c>
      <c r="D414" s="31" t="n">
        <v>9380</v>
      </c>
      <c r="E414" s="31" t="n">
        <v>9460</v>
      </c>
      <c r="F414" s="31" t="n">
        <v>9460</v>
      </c>
      <c r="G414" s="31" t="n">
        <v>371797</v>
      </c>
      <c r="H414" s="36" t="n">
        <v>0.0193965517241379</v>
      </c>
      <c r="I414" s="36" t="n">
        <v>-0.5013178703215604</v>
      </c>
      <c r="J414" s="31" t="n">
        <v>9252</v>
      </c>
      <c r="K414" s="31" t="n">
        <v>8650</v>
      </c>
      <c r="L414" s="31" t="n">
        <v>9290.416666666666</v>
      </c>
      <c r="M414" s="36" t="n">
        <v>0.6025124100565235</v>
      </c>
      <c r="N414" s="36" t="n">
        <v>0.5186759066951661</v>
      </c>
      <c r="O414" s="36" t="n">
        <v>0.01502145922746778</v>
      </c>
      <c r="P414" s="36" t="n">
        <v>0.1693448702101359</v>
      </c>
      <c r="Q414" s="36" t="n">
        <v>-0.1643109540636042</v>
      </c>
      <c r="R414" s="36" t="n">
        <v>0.02248162559446598</v>
      </c>
      <c r="S414" s="36" t="n">
        <v>0.09364161849710984</v>
      </c>
      <c r="T414" s="36" t="n">
        <v>0.01825357671435635</v>
      </c>
      <c r="U414" s="31" t="n">
        <v>18970</v>
      </c>
      <c r="V414" s="31" t="n">
        <v>7070</v>
      </c>
      <c r="W414" s="36" t="n">
        <v>-0.5013178703215604</v>
      </c>
      <c r="X414" s="36" t="n">
        <v>0.3380480905233381</v>
      </c>
      <c r="Y414" s="31" t="n">
        <v>33416778</v>
      </c>
      <c r="Z414" s="31" t="n">
        <v>316122719880</v>
      </c>
      <c r="AA414" s="31" t="n">
        <v>3517199620</v>
      </c>
      <c r="AB414" s="31" t="n">
        <v>2410639453.5</v>
      </c>
      <c r="AC414" s="36" t="n">
        <v>0.01112605769473047</v>
      </c>
      <c r="AD414" s="29" t="inlineStr">
        <is>
          <t>yfinance_download</t>
        </is>
      </c>
      <c r="AE414" s="29" t="inlineStr">
        <is>
          <t>059090.KQ</t>
        </is>
      </c>
    </row>
    <row r="415" ht="24" customHeight="1">
      <c r="A415" s="24" t="inlineStr">
        <is>
          <t>2025-02-20</t>
        </is>
      </c>
      <c r="B415" s="30" t="n">
        <v>9640</v>
      </c>
      <c r="C415" s="30" t="n">
        <v>9670</v>
      </c>
      <c r="D415" s="30" t="n">
        <v>9210</v>
      </c>
      <c r="E415" s="30" t="n">
        <v>9310</v>
      </c>
      <c r="F415" s="30" t="n">
        <v>9310</v>
      </c>
      <c r="G415" s="30" t="n">
        <v>284776</v>
      </c>
      <c r="H415" s="35" t="n">
        <v>-0.0158562367864693</v>
      </c>
      <c r="I415" s="35" t="n">
        <v>-0.5092250922509225</v>
      </c>
      <c r="J415" s="30" t="n">
        <v>9243.5</v>
      </c>
      <c r="K415" s="30" t="n">
        <v>8665.833333333334</v>
      </c>
      <c r="L415" s="30" t="n">
        <v>9277.083333333334</v>
      </c>
      <c r="M415" s="35" t="n">
        <v>0.6024793785032481</v>
      </c>
      <c r="N415" s="35" t="n">
        <v>0.516224162003881</v>
      </c>
      <c r="O415" s="35" t="n">
        <v>-0.01793248945147674</v>
      </c>
      <c r="P415" s="35" t="n">
        <v>0.1136363636363635</v>
      </c>
      <c r="Q415" s="35" t="n">
        <v>-0.1466544454628781</v>
      </c>
      <c r="R415" s="35" t="n">
        <v>0.007194244604316502</v>
      </c>
      <c r="S415" s="35" t="n">
        <v>0.07433407058370989</v>
      </c>
      <c r="T415" s="35" t="n">
        <v>0.003548169773186505</v>
      </c>
      <c r="U415" s="30" t="n">
        <v>18970</v>
      </c>
      <c r="V415" s="30" t="n">
        <v>7070</v>
      </c>
      <c r="W415" s="35" t="n">
        <v>-0.5092250922509225</v>
      </c>
      <c r="X415" s="35" t="n">
        <v>0.3168316831683169</v>
      </c>
      <c r="Y415" s="30" t="n">
        <v>33416778</v>
      </c>
      <c r="Z415" s="30" t="n">
        <v>311110203180</v>
      </c>
      <c r="AA415" s="30" t="n">
        <v>2651264560</v>
      </c>
      <c r="AB415" s="30" t="n">
        <v>2447859477.5</v>
      </c>
      <c r="AC415" s="35" t="n">
        <v>0.008521946670023064</v>
      </c>
      <c r="AD415" s="24" t="inlineStr">
        <is>
          <t>yfinance_download</t>
        </is>
      </c>
      <c r="AE415" s="24" t="inlineStr">
        <is>
          <t>059090.KQ</t>
        </is>
      </c>
    </row>
    <row r="416" ht="24" customHeight="1">
      <c r="A416" s="29" t="inlineStr">
        <is>
          <t>2025-02-21</t>
        </is>
      </c>
      <c r="B416" s="31" t="n">
        <v>9320</v>
      </c>
      <c r="C416" s="31" t="n">
        <v>9330</v>
      </c>
      <c r="D416" s="31" t="n">
        <v>9050</v>
      </c>
      <c r="E416" s="31" t="n">
        <v>9240</v>
      </c>
      <c r="F416" s="31" t="n">
        <v>9240</v>
      </c>
      <c r="G416" s="31" t="n">
        <v>258879</v>
      </c>
      <c r="H416" s="36" t="n">
        <v>-0.007518796992481258</v>
      </c>
      <c r="I416" s="36" t="n">
        <v>-0.5129151291512914</v>
      </c>
      <c r="J416" s="31" t="n">
        <v>9234.5</v>
      </c>
      <c r="K416" s="31" t="n">
        <v>8684.833333333334</v>
      </c>
      <c r="L416" s="31" t="n">
        <v>9256.333333333334</v>
      </c>
      <c r="M416" s="36" t="n">
        <v>0.602654270014896</v>
      </c>
      <c r="N416" s="36" t="n">
        <v>0.5119487731372035</v>
      </c>
      <c r="O416" s="36" t="n">
        <v>-0.01910828025477707</v>
      </c>
      <c r="P416" s="36" t="n">
        <v>0.1407407407407408</v>
      </c>
      <c r="Q416" s="36" t="n">
        <v>-0.2122762148337596</v>
      </c>
      <c r="R416" s="36" t="n">
        <v>0.0005955926146514745</v>
      </c>
      <c r="S416" s="36" t="n">
        <v>0.06392369840142775</v>
      </c>
      <c r="T416" s="36" t="n">
        <v>-0.001764557600201777</v>
      </c>
      <c r="U416" s="31" t="n">
        <v>18970</v>
      </c>
      <c r="V416" s="31" t="n">
        <v>7070</v>
      </c>
      <c r="W416" s="36" t="n">
        <v>-0.5129151291512914</v>
      </c>
      <c r="X416" s="36" t="n">
        <v>0.306930693069307</v>
      </c>
      <c r="Y416" s="31" t="n">
        <v>33416778</v>
      </c>
      <c r="Z416" s="31" t="n">
        <v>308771028720</v>
      </c>
      <c r="AA416" s="31" t="n">
        <v>2392041960</v>
      </c>
      <c r="AB416" s="31" t="n">
        <v>2504105010.5</v>
      </c>
      <c r="AC416" s="36" t="n">
        <v>0.007746976683389404</v>
      </c>
      <c r="AD416" s="29" t="inlineStr">
        <is>
          <t>yfinance_download</t>
        </is>
      </c>
      <c r="AE416" s="29" t="inlineStr">
        <is>
          <t>059090.KQ</t>
        </is>
      </c>
    </row>
    <row r="417" ht="24" customHeight="1">
      <c r="A417" s="24" t="inlineStr">
        <is>
          <t>2025-02-24</t>
        </is>
      </c>
      <c r="B417" s="30" t="n">
        <v>9080</v>
      </c>
      <c r="C417" s="30" t="n">
        <v>9110</v>
      </c>
      <c r="D417" s="30" t="n">
        <v>8940</v>
      </c>
      <c r="E417" s="30" t="n">
        <v>9100</v>
      </c>
      <c r="F417" s="30" t="n">
        <v>9100</v>
      </c>
      <c r="G417" s="30" t="n">
        <v>211374</v>
      </c>
      <c r="H417" s="35" t="n">
        <v>-0.01515151515151514</v>
      </c>
      <c r="I417" s="35" t="n">
        <v>-0.5202952029520296</v>
      </c>
      <c r="J417" s="30" t="n">
        <v>9223</v>
      </c>
      <c r="K417" s="30" t="n">
        <v>8700.166666666666</v>
      </c>
      <c r="L417" s="30" t="n">
        <v>9237.916666666666</v>
      </c>
      <c r="M417" s="35" t="n">
        <v>0.6041230748561662</v>
      </c>
      <c r="N417" s="35" t="n">
        <v>0.5130204057872451</v>
      </c>
      <c r="O417" s="35" t="n">
        <v>-0.02465166130760987</v>
      </c>
      <c r="P417" s="35" t="n">
        <v>0.1124694376528117</v>
      </c>
      <c r="Q417" s="35" t="n">
        <v>-0.1954022988505747</v>
      </c>
      <c r="R417" s="35" t="n">
        <v>-0.0133362246557519</v>
      </c>
      <c r="S417" s="35" t="n">
        <v>0.04595697400432952</v>
      </c>
      <c r="T417" s="35" t="n">
        <v>-0.01492941229534073</v>
      </c>
      <c r="U417" s="30" t="n">
        <v>18970</v>
      </c>
      <c r="V417" s="30" t="n">
        <v>7070</v>
      </c>
      <c r="W417" s="35" t="n">
        <v>-0.5202952029520296</v>
      </c>
      <c r="X417" s="35" t="n">
        <v>0.2871287128712872</v>
      </c>
      <c r="Y417" s="30" t="n">
        <v>33416778</v>
      </c>
      <c r="Z417" s="30" t="n">
        <v>304092679800</v>
      </c>
      <c r="AA417" s="30" t="n">
        <v>1923503400</v>
      </c>
      <c r="AB417" s="30" t="n">
        <v>2513090864</v>
      </c>
      <c r="AC417" s="35" t="n">
        <v>0.006325385409688511</v>
      </c>
      <c r="AD417" s="24" t="inlineStr">
        <is>
          <t>yfinance_download</t>
        </is>
      </c>
      <c r="AE417" s="24" t="inlineStr">
        <is>
          <t>059090.KQ</t>
        </is>
      </c>
    </row>
    <row r="418" ht="24" customHeight="1">
      <c r="A418" s="29" t="inlineStr">
        <is>
          <t>2025-02-25</t>
        </is>
      </c>
      <c r="B418" s="31" t="n">
        <v>9010</v>
      </c>
      <c r="C418" s="31" t="n">
        <v>9030</v>
      </c>
      <c r="D418" s="31" t="n">
        <v>8890</v>
      </c>
      <c r="E418" s="31" t="n">
        <v>8930</v>
      </c>
      <c r="F418" s="31" t="n">
        <v>8930</v>
      </c>
      <c r="G418" s="31" t="n">
        <v>172496</v>
      </c>
      <c r="H418" s="36" t="n">
        <v>-0.01868131868131873</v>
      </c>
      <c r="I418" s="36" t="n">
        <v>-0.52925672113864</v>
      </c>
      <c r="J418" s="31" t="n">
        <v>9174</v>
      </c>
      <c r="K418" s="31" t="n">
        <v>8712.833333333334</v>
      </c>
      <c r="L418" s="31" t="n">
        <v>9220.5</v>
      </c>
      <c r="M418" s="36" t="n">
        <v>0.5592975164787858</v>
      </c>
      <c r="N418" s="36" t="n">
        <v>0.5147758814708887</v>
      </c>
      <c r="O418" s="36" t="n">
        <v>-0.09889001009081733</v>
      </c>
      <c r="P418" s="36" t="n">
        <v>0.09302325581395343</v>
      </c>
      <c r="Q418" s="36" t="n">
        <v>-0.1896551724137931</v>
      </c>
      <c r="R418" s="36" t="n">
        <v>-0.02659690429474604</v>
      </c>
      <c r="S418" s="36" t="n">
        <v>0.02492491918051898</v>
      </c>
      <c r="T418" s="36" t="n">
        <v>-0.03150588362887041</v>
      </c>
      <c r="U418" s="31" t="n">
        <v>18970</v>
      </c>
      <c r="V418" s="31" t="n">
        <v>7070</v>
      </c>
      <c r="W418" s="36" t="n">
        <v>-0.52925672113864</v>
      </c>
      <c r="X418" s="36" t="n">
        <v>0.2630834512022631</v>
      </c>
      <c r="Y418" s="31" t="n">
        <v>33416778</v>
      </c>
      <c r="Z418" s="31" t="n">
        <v>298411827540</v>
      </c>
      <c r="AA418" s="31" t="n">
        <v>1540389280</v>
      </c>
      <c r="AB418" s="31" t="n">
        <v>2356242751.5</v>
      </c>
      <c r="AC418" s="36" t="n">
        <v>0.005161957864399733</v>
      </c>
      <c r="AD418" s="29" t="inlineStr">
        <is>
          <t>yfinance_download</t>
        </is>
      </c>
      <c r="AE418" s="29" t="inlineStr">
        <is>
          <t>059090.KQ</t>
        </is>
      </c>
    </row>
    <row r="419" ht="24" customHeight="1">
      <c r="A419" s="24" t="inlineStr">
        <is>
          <t>2025-02-26</t>
        </is>
      </c>
      <c r="B419" s="30" t="n">
        <v>8870</v>
      </c>
      <c r="C419" s="30" t="n">
        <v>9080</v>
      </c>
      <c r="D419" s="30" t="n">
        <v>8830</v>
      </c>
      <c r="E419" s="30" t="n">
        <v>8960</v>
      </c>
      <c r="F419" s="30" t="n">
        <v>8960</v>
      </c>
      <c r="G419" s="30" t="n">
        <v>141492</v>
      </c>
      <c r="H419" s="35" t="n">
        <v>0.003359462486002274</v>
      </c>
      <c r="I419" s="35" t="n">
        <v>-0.5276752767527675</v>
      </c>
      <c r="J419" s="30" t="n">
        <v>9161.5</v>
      </c>
      <c r="K419" s="30" t="n">
        <v>8723</v>
      </c>
      <c r="L419" s="30" t="n">
        <v>9202.5</v>
      </c>
      <c r="M419" s="35" t="n">
        <v>0.5021757483878828</v>
      </c>
      <c r="N419" s="35" t="n">
        <v>0.5130920378096989</v>
      </c>
      <c r="O419" s="35" t="n">
        <v>-0.02714440825190012</v>
      </c>
      <c r="P419" s="35" t="n">
        <v>0.07305389221556879</v>
      </c>
      <c r="Q419" s="35" t="n">
        <v>-0.1942446043165468</v>
      </c>
      <c r="R419" s="35" t="n">
        <v>-0.0219942149211374</v>
      </c>
      <c r="S419" s="35" t="n">
        <v>0.02716955175971569</v>
      </c>
      <c r="T419" s="35" t="n">
        <v>-0.02635153490899211</v>
      </c>
      <c r="U419" s="30" t="n">
        <v>18970</v>
      </c>
      <c r="V419" s="30" t="n">
        <v>7070</v>
      </c>
      <c r="W419" s="35" t="n">
        <v>-0.5276752767527675</v>
      </c>
      <c r="X419" s="35" t="n">
        <v>0.2673267326732673</v>
      </c>
      <c r="Y419" s="30" t="n">
        <v>33416778</v>
      </c>
      <c r="Z419" s="30" t="n">
        <v>299414330880</v>
      </c>
      <c r="AA419" s="30" t="n">
        <v>1267768320</v>
      </c>
      <c r="AB419" s="30" t="n">
        <v>2229063834</v>
      </c>
      <c r="AC419" s="35" t="n">
        <v>0.004234160456762169</v>
      </c>
      <c r="AD419" s="24" t="inlineStr">
        <is>
          <t>yfinance_download</t>
        </is>
      </c>
      <c r="AE419" s="24" t="inlineStr">
        <is>
          <t>059090.KQ</t>
        </is>
      </c>
    </row>
    <row r="420" ht="24" customHeight="1">
      <c r="A420" s="29" t="inlineStr">
        <is>
          <t>2025-02-27</t>
        </is>
      </c>
      <c r="B420" s="31" t="n">
        <v>9190</v>
      </c>
      <c r="C420" s="31" t="n">
        <v>9500</v>
      </c>
      <c r="D420" s="31" t="n">
        <v>9160</v>
      </c>
      <c r="E420" s="31" t="n">
        <v>9230</v>
      </c>
      <c r="F420" s="31" t="n">
        <v>9230</v>
      </c>
      <c r="G420" s="31" t="n">
        <v>491603</v>
      </c>
      <c r="H420" s="36" t="n">
        <v>0.0301339285714286</v>
      </c>
      <c r="I420" s="36" t="n">
        <v>-0.5134422772799156</v>
      </c>
      <c r="J420" s="31" t="n">
        <v>9140</v>
      </c>
      <c r="K420" s="31" t="n">
        <v>8737</v>
      </c>
      <c r="L420" s="31" t="n">
        <v>9186.75</v>
      </c>
      <c r="M420" s="36" t="n">
        <v>0.4815421038552528</v>
      </c>
      <c r="N420" s="36" t="n">
        <v>0.5163646532916418</v>
      </c>
      <c r="O420" s="36" t="n">
        <v>-0.04451345755693581</v>
      </c>
      <c r="P420" s="36" t="n">
        <v>0.1001191895113229</v>
      </c>
      <c r="Q420" s="36" t="n">
        <v>-0.1699640287769785</v>
      </c>
      <c r="R420" s="36" t="n">
        <v>0.009846827133479286</v>
      </c>
      <c r="S420" s="36" t="n">
        <v>0.05642669108389597</v>
      </c>
      <c r="T420" s="36" t="n">
        <v>0.004707867308896052</v>
      </c>
      <c r="U420" s="31" t="n">
        <v>18970</v>
      </c>
      <c r="V420" s="31" t="n">
        <v>7070</v>
      </c>
      <c r="W420" s="36" t="n">
        <v>-0.5134422772799156</v>
      </c>
      <c r="X420" s="36" t="n">
        <v>0.3055162659123054</v>
      </c>
      <c r="Y420" s="31" t="n">
        <v>33416778</v>
      </c>
      <c r="Z420" s="31" t="n">
        <v>308436860940</v>
      </c>
      <c r="AA420" s="31" t="n">
        <v>4537495690</v>
      </c>
      <c r="AB420" s="31" t="n">
        <v>2312012346.5</v>
      </c>
      <c r="AC420" s="36" t="n">
        <v>0.01471126270761352</v>
      </c>
      <c r="AD420" s="29" t="inlineStr">
        <is>
          <t>yfinance_download</t>
        </is>
      </c>
      <c r="AE420" s="29" t="inlineStr">
        <is>
          <t>059090.KQ</t>
        </is>
      </c>
    </row>
    <row r="421" ht="24" customHeight="1">
      <c r="A421" s="24" t="inlineStr">
        <is>
          <t>2025-02-28</t>
        </is>
      </c>
      <c r="B421" s="30" t="n">
        <v>8970</v>
      </c>
      <c r="C421" s="30" t="n">
        <v>9020</v>
      </c>
      <c r="D421" s="30" t="n">
        <v>8670</v>
      </c>
      <c r="E421" s="30" t="n">
        <v>8940</v>
      </c>
      <c r="F421" s="30" t="n">
        <v>8940</v>
      </c>
      <c r="G421" s="30" t="n">
        <v>386768</v>
      </c>
      <c r="H421" s="35" t="n">
        <v>-0.03141928494041168</v>
      </c>
      <c r="I421" s="35" t="n">
        <v>-0.5287295730100159</v>
      </c>
      <c r="J421" s="30" t="n">
        <v>9138.5</v>
      </c>
      <c r="K421" s="30" t="n">
        <v>8751.833333333334</v>
      </c>
      <c r="L421" s="30" t="n">
        <v>9170.333333333334</v>
      </c>
      <c r="M421" s="35" t="n">
        <v>0.422126948250345</v>
      </c>
      <c r="N421" s="35" t="n">
        <v>0.5134826528989574</v>
      </c>
      <c r="O421" s="35" t="n">
        <v>-0.003344481605351168</v>
      </c>
      <c r="P421" s="35" t="n">
        <v>0.1105590062111801</v>
      </c>
      <c r="Q421" s="35" t="n">
        <v>-0.1805682859761687</v>
      </c>
      <c r="R421" s="35" t="n">
        <v>-0.02172128905181381</v>
      </c>
      <c r="S421" s="35" t="n">
        <v>0.02150025708899084</v>
      </c>
      <c r="T421" s="35" t="n">
        <v>-0.02511722583693798</v>
      </c>
      <c r="U421" s="30" t="n">
        <v>18970</v>
      </c>
      <c r="V421" s="30" t="n">
        <v>7070</v>
      </c>
      <c r="W421" s="35" t="n">
        <v>-0.5287295730100159</v>
      </c>
      <c r="X421" s="35" t="n">
        <v>0.2644978783592644</v>
      </c>
      <c r="Y421" s="30" t="n">
        <v>33416778</v>
      </c>
      <c r="Z421" s="30" t="n">
        <v>298745995320</v>
      </c>
      <c r="AA421" s="30" t="n">
        <v>3457705920</v>
      </c>
      <c r="AB421" s="30" t="n">
        <v>2312082519.5</v>
      </c>
      <c r="AC421" s="35" t="n">
        <v>0.01157406617717603</v>
      </c>
      <c r="AD421" s="24" t="inlineStr">
        <is>
          <t>yfinance_download</t>
        </is>
      </c>
      <c r="AE421" s="24" t="inlineStr">
        <is>
          <t>059090.KQ</t>
        </is>
      </c>
    </row>
    <row r="422" ht="24" customHeight="1">
      <c r="A422" s="29" t="inlineStr">
        <is>
          <t>2025-03-04</t>
        </is>
      </c>
      <c r="B422" s="31" t="n">
        <v>8770</v>
      </c>
      <c r="C422" s="31" t="n">
        <v>8790</v>
      </c>
      <c r="D422" s="31" t="n">
        <v>8470</v>
      </c>
      <c r="E422" s="31" t="n">
        <v>8510</v>
      </c>
      <c r="F422" s="31" t="n">
        <v>8510</v>
      </c>
      <c r="G422" s="31" t="n">
        <v>252144</v>
      </c>
      <c r="H422" s="36" t="n">
        <v>-0.04809843400447422</v>
      </c>
      <c r="I422" s="36" t="n">
        <v>-0.551396942540854</v>
      </c>
      <c r="J422" s="31" t="n">
        <v>9135.5</v>
      </c>
      <c r="K422" s="31" t="n">
        <v>8757.666666666666</v>
      </c>
      <c r="L422" s="31" t="n">
        <v>9148.583333333334</v>
      </c>
      <c r="M422" s="36" t="n">
        <v>0.4272094703044039</v>
      </c>
      <c r="N422" s="36" t="n">
        <v>0.5231354996902728</v>
      </c>
      <c r="O422" s="36" t="n">
        <v>-0.007001166861143493</v>
      </c>
      <c r="P422" s="36" t="n">
        <v>0.04289215686274517</v>
      </c>
      <c r="Q422" s="36" t="n">
        <v>-0.2347122302158273</v>
      </c>
      <c r="R422" s="36" t="n">
        <v>-0.06846915877620274</v>
      </c>
      <c r="S422" s="36" t="n">
        <v>-0.02827998325276893</v>
      </c>
      <c r="T422" s="36" t="n">
        <v>-0.06980133536157695</v>
      </c>
      <c r="U422" s="31" t="n">
        <v>18970</v>
      </c>
      <c r="V422" s="31" t="n">
        <v>7070</v>
      </c>
      <c r="W422" s="36" t="n">
        <v>-0.551396942540854</v>
      </c>
      <c r="X422" s="36" t="n">
        <v>0.2036775106082036</v>
      </c>
      <c r="Y422" s="31" t="n">
        <v>33416778</v>
      </c>
      <c r="Z422" s="31" t="n">
        <v>284376780780</v>
      </c>
      <c r="AA422" s="31" t="n">
        <v>2145745440</v>
      </c>
      <c r="AB422" s="31" t="n">
        <v>2313082937.5</v>
      </c>
      <c r="AC422" s="36" t="n">
        <v>0.007545431220209202</v>
      </c>
      <c r="AD422" s="29" t="inlineStr">
        <is>
          <t>yfinance_download</t>
        </is>
      </c>
      <c r="AE422" s="29" t="inlineStr">
        <is>
          <t>059090.KQ</t>
        </is>
      </c>
    </row>
    <row r="423" ht="24" customHeight="1">
      <c r="A423" s="24" t="inlineStr">
        <is>
          <t>2025-03-05</t>
        </is>
      </c>
      <c r="B423" s="30" t="n">
        <v>8570</v>
      </c>
      <c r="C423" s="30" t="n">
        <v>9070</v>
      </c>
      <c r="D423" s="30" t="n">
        <v>8460</v>
      </c>
      <c r="E423" s="30" t="n">
        <v>8930</v>
      </c>
      <c r="F423" s="30" t="n">
        <v>8930</v>
      </c>
      <c r="G423" s="30" t="n">
        <v>323779</v>
      </c>
      <c r="H423" s="35" t="n">
        <v>0.04935370152761465</v>
      </c>
      <c r="I423" s="35" t="n">
        <v>-0.52925672113864</v>
      </c>
      <c r="J423" s="30" t="n">
        <v>9142</v>
      </c>
      <c r="K423" s="30" t="n">
        <v>8774.666666666666</v>
      </c>
      <c r="L423" s="30" t="n">
        <v>9134</v>
      </c>
      <c r="M423" s="35" t="n">
        <v>0.4526919542414365</v>
      </c>
      <c r="N423" s="35" t="n">
        <v>0.527983557284453</v>
      </c>
      <c r="O423" s="35" t="n">
        <v>0.01477272727272738</v>
      </c>
      <c r="P423" s="35" t="n">
        <v>0.1289506953223767</v>
      </c>
      <c r="Q423" s="35" t="n">
        <v>-0.1638576779026217</v>
      </c>
      <c r="R423" s="35" t="n">
        <v>-0.0231896740319405</v>
      </c>
      <c r="S423" s="35" t="n">
        <v>0.01770247682723003</v>
      </c>
      <c r="T423" s="35" t="n">
        <v>-0.02233413619443836</v>
      </c>
      <c r="U423" s="30" t="n">
        <v>18970</v>
      </c>
      <c r="V423" s="30" t="n">
        <v>7070</v>
      </c>
      <c r="W423" s="35" t="n">
        <v>-0.52925672113864</v>
      </c>
      <c r="X423" s="35" t="n">
        <v>0.2630834512022631</v>
      </c>
      <c r="Y423" s="30" t="n">
        <v>33416778</v>
      </c>
      <c r="Z423" s="30" t="n">
        <v>298411827540</v>
      </c>
      <c r="AA423" s="30" t="n">
        <v>2891346470</v>
      </c>
      <c r="AB423" s="30" t="n">
        <v>2400684341</v>
      </c>
      <c r="AC423" s="35" t="n">
        <v>0.009689114851228326</v>
      </c>
      <c r="AD423" s="24" t="inlineStr">
        <is>
          <t>yfinance_download</t>
        </is>
      </c>
      <c r="AE423" s="24" t="inlineStr">
        <is>
          <t>059090.KQ</t>
        </is>
      </c>
    </row>
    <row r="424" ht="24" customHeight="1">
      <c r="A424" s="29" t="inlineStr">
        <is>
          <t>2025-03-06</t>
        </is>
      </c>
      <c r="B424" s="31" t="n">
        <v>9470</v>
      </c>
      <c r="C424" s="31" t="n">
        <v>9730</v>
      </c>
      <c r="D424" s="31" t="n">
        <v>8800</v>
      </c>
      <c r="E424" s="31" t="n">
        <v>8880</v>
      </c>
      <c r="F424" s="31" t="n">
        <v>8880</v>
      </c>
      <c r="G424" s="31" t="n">
        <v>1159237</v>
      </c>
      <c r="H424" s="36" t="n">
        <v>-0.005599104143337086</v>
      </c>
      <c r="I424" s="36" t="n">
        <v>-0.5318924617817606</v>
      </c>
      <c r="J424" s="31" t="n">
        <v>9146.5</v>
      </c>
      <c r="K424" s="31" t="n">
        <v>8795.666666666666</v>
      </c>
      <c r="L424" s="31" t="n">
        <v>9116.916666666666</v>
      </c>
      <c r="M424" s="36" t="n">
        <v>0.453263432637065</v>
      </c>
      <c r="N424" s="36" t="n">
        <v>0.5219287098334064</v>
      </c>
      <c r="O424" s="36" t="n">
        <v>0.01023890784982928</v>
      </c>
      <c r="P424" s="36" t="n">
        <v>0.1653543307086613</v>
      </c>
      <c r="Q424" s="36" t="n">
        <v>-0.1875571820677036</v>
      </c>
      <c r="R424" s="36" t="n">
        <v>-0.02913682829497621</v>
      </c>
      <c r="S424" s="36" t="n">
        <v>0.009588054723917105</v>
      </c>
      <c r="T424" s="36" t="n">
        <v>-0.02598649031562195</v>
      </c>
      <c r="U424" s="31" t="n">
        <v>18970</v>
      </c>
      <c r="V424" s="31" t="n">
        <v>7070</v>
      </c>
      <c r="W424" s="36" t="n">
        <v>-0.5318924617817606</v>
      </c>
      <c r="X424" s="36" t="n">
        <v>0.2560113154172561</v>
      </c>
      <c r="Y424" s="31" t="n">
        <v>33416778</v>
      </c>
      <c r="Z424" s="31" t="n">
        <v>296740988640</v>
      </c>
      <c r="AA424" s="31" t="n">
        <v>10294024560</v>
      </c>
      <c r="AB424" s="31" t="n">
        <v>2865865346</v>
      </c>
      <c r="AC424" s="36" t="n">
        <v>0.03469026846334497</v>
      </c>
      <c r="AD424" s="29" t="inlineStr">
        <is>
          <t>yfinance_download</t>
        </is>
      </c>
      <c r="AE424" s="29" t="inlineStr">
        <is>
          <t>059090.KQ</t>
        </is>
      </c>
    </row>
    <row r="425" ht="24" customHeight="1">
      <c r="A425" s="24" t="inlineStr">
        <is>
          <t>2025-03-07</t>
        </is>
      </c>
      <c r="B425" s="30" t="n">
        <v>8840</v>
      </c>
      <c r="C425" s="30" t="n">
        <v>9050</v>
      </c>
      <c r="D425" s="30" t="n">
        <v>8600</v>
      </c>
      <c r="E425" s="30" t="n">
        <v>8850</v>
      </c>
      <c r="F425" s="30" t="n">
        <v>8850</v>
      </c>
      <c r="G425" s="30" t="n">
        <v>338264</v>
      </c>
      <c r="H425" s="35" t="n">
        <v>-0.003378378378378399</v>
      </c>
      <c r="I425" s="35" t="n">
        <v>-0.5334739061676331</v>
      </c>
      <c r="J425" s="30" t="n">
        <v>9127.5</v>
      </c>
      <c r="K425" s="30" t="n">
        <v>8811.666666666666</v>
      </c>
      <c r="L425" s="30" t="n">
        <v>9101.25</v>
      </c>
      <c r="M425" s="35" t="n">
        <v>0.4144148396681908</v>
      </c>
      <c r="N425" s="35" t="n">
        <v>0.5176981656366266</v>
      </c>
      <c r="O425" s="35" t="n">
        <v>-0.04117009750812572</v>
      </c>
      <c r="P425" s="35" t="n">
        <v>0.1216730038022813</v>
      </c>
      <c r="Q425" s="35" t="n">
        <v>-0.1752096924510718</v>
      </c>
      <c r="R425" s="35" t="n">
        <v>-0.03040262941659821</v>
      </c>
      <c r="S425" s="35" t="n">
        <v>0.004350293171931252</v>
      </c>
      <c r="T425" s="35" t="n">
        <v>-0.02760609806345282</v>
      </c>
      <c r="U425" s="30" t="n">
        <v>18970</v>
      </c>
      <c r="V425" s="30" t="n">
        <v>7070</v>
      </c>
      <c r="W425" s="35" t="n">
        <v>-0.5334739061676331</v>
      </c>
      <c r="X425" s="35" t="n">
        <v>0.2517680339462518</v>
      </c>
      <c r="Y425" s="30" t="n">
        <v>33416778</v>
      </c>
      <c r="Z425" s="30" t="n">
        <v>295738485300</v>
      </c>
      <c r="AA425" s="30" t="n">
        <v>2993636400</v>
      </c>
      <c r="AB425" s="30" t="n">
        <v>2926063239</v>
      </c>
      <c r="AC425" s="35" t="n">
        <v>0.01012257974123059</v>
      </c>
      <c r="AD425" s="24" t="inlineStr">
        <is>
          <t>yfinance_download</t>
        </is>
      </c>
      <c r="AE425" s="24" t="inlineStr">
        <is>
          <t>059090.KQ</t>
        </is>
      </c>
    </row>
    <row r="426" ht="24" customHeight="1">
      <c r="A426" s="29" t="inlineStr">
        <is>
          <t>2025-03-10</t>
        </is>
      </c>
      <c r="B426" s="31" t="n">
        <v>8880</v>
      </c>
      <c r="C426" s="31" t="n">
        <v>9080</v>
      </c>
      <c r="D426" s="31" t="n">
        <v>8730</v>
      </c>
      <c r="E426" s="31" t="n">
        <v>8800</v>
      </c>
      <c r="F426" s="31" t="n">
        <v>8800</v>
      </c>
      <c r="G426" s="31" t="n">
        <v>195865</v>
      </c>
      <c r="H426" s="36" t="n">
        <v>-0.005649717514124242</v>
      </c>
      <c r="I426" s="36" t="n">
        <v>-0.5361096468107538</v>
      </c>
      <c r="J426" s="31" t="n">
        <v>9115.5</v>
      </c>
      <c r="K426" s="31" t="n">
        <v>8830.833333333334</v>
      </c>
      <c r="L426" s="31" t="n">
        <v>9088.666666666666</v>
      </c>
      <c r="M426" s="36" t="n">
        <v>0.4087776115588401</v>
      </c>
      <c r="N426" s="36" t="n">
        <v>0.5134551609610424</v>
      </c>
      <c r="O426" s="36" t="n">
        <v>-0.02654867256637172</v>
      </c>
      <c r="P426" s="36" t="n">
        <v>0.1503267973856208</v>
      </c>
      <c r="Q426" s="36" t="n">
        <v>-0.1464597478176528</v>
      </c>
      <c r="R426" s="36" t="n">
        <v>-0.03461137622730515</v>
      </c>
      <c r="S426" s="36" t="n">
        <v>-0.003491554213456705</v>
      </c>
      <c r="T426" s="36" t="n">
        <v>-0.03176116775471272</v>
      </c>
      <c r="U426" s="31" t="n">
        <v>18970</v>
      </c>
      <c r="V426" s="31" t="n">
        <v>7070</v>
      </c>
      <c r="W426" s="36" t="n">
        <v>-0.5361096468107538</v>
      </c>
      <c r="X426" s="36" t="n">
        <v>0.2446958981612446</v>
      </c>
      <c r="Y426" s="31" t="n">
        <v>33416778</v>
      </c>
      <c r="Z426" s="31" t="n">
        <v>294067646400</v>
      </c>
      <c r="AA426" s="31" t="n">
        <v>1723612000</v>
      </c>
      <c r="AB426" s="31" t="n">
        <v>2894590499</v>
      </c>
      <c r="AC426" s="36" t="n">
        <v>0.005861277230258405</v>
      </c>
      <c r="AD426" s="29" t="inlineStr">
        <is>
          <t>yfinance_download</t>
        </is>
      </c>
      <c r="AE426" s="29" t="inlineStr">
        <is>
          <t>059090.KQ</t>
        </is>
      </c>
    </row>
    <row r="427" ht="24" customHeight="1">
      <c r="A427" s="24" t="inlineStr">
        <is>
          <t>2025-03-11</t>
        </is>
      </c>
      <c r="B427" s="30" t="n">
        <v>8390</v>
      </c>
      <c r="C427" s="30" t="n">
        <v>8630</v>
      </c>
      <c r="D427" s="30" t="n">
        <v>8360</v>
      </c>
      <c r="E427" s="30" t="n">
        <v>8620</v>
      </c>
      <c r="F427" s="30" t="n">
        <v>8620</v>
      </c>
      <c r="G427" s="30" t="n">
        <v>280020</v>
      </c>
      <c r="H427" s="35" t="n">
        <v>-0.0204545454545455</v>
      </c>
      <c r="I427" s="35" t="n">
        <v>-0.5455983131259884</v>
      </c>
      <c r="J427" s="30" t="n">
        <v>9074.5</v>
      </c>
      <c r="K427" s="30" t="n">
        <v>8846.666666666666</v>
      </c>
      <c r="L427" s="30" t="n">
        <v>9079.333333333334</v>
      </c>
      <c r="M427" s="35" t="n">
        <v>0.377008434553896</v>
      </c>
      <c r="N427" s="35" t="n">
        <v>0.5156723202128524</v>
      </c>
      <c r="O427" s="35" t="n">
        <v>-0.08686440677966101</v>
      </c>
      <c r="P427" s="35" t="n">
        <v>0.1238591916558018</v>
      </c>
      <c r="Q427" s="35" t="n">
        <v>-0.1149897330595483</v>
      </c>
      <c r="R427" s="35" t="n">
        <v>-0.05008540415449891</v>
      </c>
      <c r="S427" s="35" t="n">
        <v>-0.02562170308967593</v>
      </c>
      <c r="T427" s="35" t="n">
        <v>-0.05059108598281814</v>
      </c>
      <c r="U427" s="30" t="n">
        <v>18970</v>
      </c>
      <c r="V427" s="30" t="n">
        <v>7070</v>
      </c>
      <c r="W427" s="35" t="n">
        <v>-0.5455983131259884</v>
      </c>
      <c r="X427" s="35" t="n">
        <v>0.2192362093352191</v>
      </c>
      <c r="Y427" s="30" t="n">
        <v>33416778</v>
      </c>
      <c r="Z427" s="30" t="n">
        <v>288052626360</v>
      </c>
      <c r="AA427" s="30" t="n">
        <v>2413772400</v>
      </c>
      <c r="AB427" s="30" t="n">
        <v>2893347831</v>
      </c>
      <c r="AC427" s="35" t="n">
        <v>0.00837962295467265</v>
      </c>
      <c r="AD427" s="24" t="inlineStr">
        <is>
          <t>yfinance_download</t>
        </is>
      </c>
      <c r="AE427" s="24" t="inlineStr">
        <is>
          <t>059090.KQ</t>
        </is>
      </c>
    </row>
    <row r="428" ht="24" customHeight="1">
      <c r="A428" s="29" t="inlineStr">
        <is>
          <t>2025-03-12</t>
        </is>
      </c>
      <c r="B428" s="31" t="n">
        <v>8620</v>
      </c>
      <c r="C428" s="31" t="n">
        <v>8940</v>
      </c>
      <c r="D428" s="31" t="n">
        <v>8600</v>
      </c>
      <c r="E428" s="31" t="n">
        <v>8900</v>
      </c>
      <c r="F428" s="31" t="n">
        <v>8900</v>
      </c>
      <c r="G428" s="31" t="n">
        <v>179700</v>
      </c>
      <c r="H428" s="36" t="n">
        <v>0.03248259860788871</v>
      </c>
      <c r="I428" s="36" t="n">
        <v>-0.5308381655245125</v>
      </c>
      <c r="J428" s="31" t="n">
        <v>9059.5</v>
      </c>
      <c r="K428" s="31" t="n">
        <v>8871.166666666666</v>
      </c>
      <c r="L428" s="31" t="n">
        <v>9074.25</v>
      </c>
      <c r="M428" s="36" t="n">
        <v>0.389725153461327</v>
      </c>
      <c r="N428" s="36" t="n">
        <v>0.5144020252343608</v>
      </c>
      <c r="O428" s="36" t="n">
        <v>-0.03260869565217395</v>
      </c>
      <c r="P428" s="36" t="n">
        <v>0.1978465679676986</v>
      </c>
      <c r="Q428" s="36" t="n">
        <v>-0.06414300736067302</v>
      </c>
      <c r="R428" s="36" t="n">
        <v>-0.01760582813621059</v>
      </c>
      <c r="S428" s="36" t="n">
        <v>0.003250230146354394</v>
      </c>
      <c r="T428" s="36" t="n">
        <v>-0.01920268892745958</v>
      </c>
      <c r="U428" s="31" t="n">
        <v>18970</v>
      </c>
      <c r="V428" s="31" t="n">
        <v>7070</v>
      </c>
      <c r="W428" s="36" t="n">
        <v>-0.5308381655245125</v>
      </c>
      <c r="X428" s="36" t="n">
        <v>0.2588401697312588</v>
      </c>
      <c r="Y428" s="31" t="n">
        <v>33416778</v>
      </c>
      <c r="Z428" s="31" t="n">
        <v>297409324200</v>
      </c>
      <c r="AA428" s="31" t="n">
        <v>1599330000</v>
      </c>
      <c r="AB428" s="31" t="n">
        <v>2877590171</v>
      </c>
      <c r="AC428" s="36" t="n">
        <v>0.005377538193538587</v>
      </c>
      <c r="AD428" s="29" t="inlineStr">
        <is>
          <t>yfinance_download</t>
        </is>
      </c>
      <c r="AE428" s="29" t="inlineStr">
        <is>
          <t>059090.KQ</t>
        </is>
      </c>
    </row>
    <row r="429" ht="24" customHeight="1">
      <c r="A429" s="24" t="inlineStr">
        <is>
          <t>2025-03-13</t>
        </is>
      </c>
      <c r="B429" s="30" t="n">
        <v>9020</v>
      </c>
      <c r="C429" s="30" t="n">
        <v>9810</v>
      </c>
      <c r="D429" s="30" t="n">
        <v>8990</v>
      </c>
      <c r="E429" s="30" t="n">
        <v>9430</v>
      </c>
      <c r="F429" s="30" t="n">
        <v>9430</v>
      </c>
      <c r="G429" s="30" t="n">
        <v>1238263</v>
      </c>
      <c r="H429" s="35" t="n">
        <v>0.05955056179775275</v>
      </c>
      <c r="I429" s="35" t="n">
        <v>-0.5028993147074328</v>
      </c>
      <c r="J429" s="30" t="n">
        <v>9076</v>
      </c>
      <c r="K429" s="30" t="n">
        <v>8910.5</v>
      </c>
      <c r="L429" s="30" t="n">
        <v>9075.833333333334</v>
      </c>
      <c r="M429" s="35" t="n">
        <v>0.4434242921670835</v>
      </c>
      <c r="N429" s="35" t="n">
        <v>0.5154053139787161</v>
      </c>
      <c r="O429" s="35" t="n">
        <v>0.03626373626373636</v>
      </c>
      <c r="P429" s="35" t="n">
        <v>0.3338048090523338</v>
      </c>
      <c r="Q429" s="35" t="n">
        <v>0.02056277056277067</v>
      </c>
      <c r="R429" s="35" t="n">
        <v>0.03900396650506832</v>
      </c>
      <c r="S429" s="35" t="n">
        <v>0.05830200325458734</v>
      </c>
      <c r="T429" s="35" t="n">
        <v>0.03902304655219901</v>
      </c>
      <c r="U429" s="30" t="n">
        <v>18970</v>
      </c>
      <c r="V429" s="30" t="n">
        <v>7070</v>
      </c>
      <c r="W429" s="35" t="n">
        <v>-0.5028993147074328</v>
      </c>
      <c r="X429" s="35" t="n">
        <v>0.3338048090523338</v>
      </c>
      <c r="Y429" s="30" t="n">
        <v>33416778</v>
      </c>
      <c r="Z429" s="30" t="n">
        <v>315120216540</v>
      </c>
      <c r="AA429" s="30" t="n">
        <v>11676820090</v>
      </c>
      <c r="AB429" s="30" t="n">
        <v>3374144430.5</v>
      </c>
      <c r="AC429" s="35" t="n">
        <v>0.03705512841483401</v>
      </c>
      <c r="AD429" s="24" t="inlineStr">
        <is>
          <t>yfinance_download</t>
        </is>
      </c>
      <c r="AE429" s="24" t="inlineStr">
        <is>
          <t>059090.KQ</t>
        </is>
      </c>
    </row>
    <row r="430" ht="24" customHeight="1">
      <c r="A430" s="29" t="inlineStr">
        <is>
          <t>2025-03-14</t>
        </is>
      </c>
      <c r="B430" s="31" t="n">
        <v>9470</v>
      </c>
      <c r="C430" s="31" t="n">
        <v>10040</v>
      </c>
      <c r="D430" s="31" t="n">
        <v>9390</v>
      </c>
      <c r="E430" s="31" t="n">
        <v>9890</v>
      </c>
      <c r="F430" s="31" t="n">
        <v>9890</v>
      </c>
      <c r="G430" s="31" t="n">
        <v>800152</v>
      </c>
      <c r="H430" s="36" t="n">
        <v>0.04878048780487809</v>
      </c>
      <c r="I430" s="36" t="n">
        <v>-0.4786505007907222</v>
      </c>
      <c r="J430" s="31" t="n">
        <v>9106</v>
      </c>
      <c r="K430" s="31" t="n">
        <v>8952</v>
      </c>
      <c r="L430" s="31" t="n">
        <v>9077.833333333334</v>
      </c>
      <c r="M430" s="36" t="n">
        <v>0.4693565194556887</v>
      </c>
      <c r="N430" s="36" t="n">
        <v>0.5161438824937192</v>
      </c>
      <c r="O430" s="36" t="n">
        <v>0.06458557588805158</v>
      </c>
      <c r="P430" s="36" t="n">
        <v>0.3364864864864865</v>
      </c>
      <c r="Q430" s="36" t="n">
        <v>0.02487046632124357</v>
      </c>
      <c r="R430" s="36" t="n">
        <v>0.08609707884911044</v>
      </c>
      <c r="S430" s="36" t="n">
        <v>0.1047810545129579</v>
      </c>
      <c r="T430" s="36" t="n">
        <v>0.08946701672572366</v>
      </c>
      <c r="U430" s="31" t="n">
        <v>18970</v>
      </c>
      <c r="V430" s="31" t="n">
        <v>7070</v>
      </c>
      <c r="W430" s="36" t="n">
        <v>-0.4786505007907222</v>
      </c>
      <c r="X430" s="36" t="n">
        <v>0.3988684582743989</v>
      </c>
      <c r="Y430" s="31" t="n">
        <v>33416778</v>
      </c>
      <c r="Z430" s="31" t="n">
        <v>330491934420</v>
      </c>
      <c r="AA430" s="31" t="n">
        <v>7913503280</v>
      </c>
      <c r="AB430" s="31" t="n">
        <v>3676451843</v>
      </c>
      <c r="AC430" s="36" t="n">
        <v>0.02394461847877734</v>
      </c>
      <c r="AD430" s="29" t="inlineStr">
        <is>
          <t>yfinance_download</t>
        </is>
      </c>
      <c r="AE430" s="29" t="inlineStr">
        <is>
          <t>059090.KQ</t>
        </is>
      </c>
    </row>
    <row r="431" ht="24" customHeight="1">
      <c r="A431" s="24" t="inlineStr">
        <is>
          <t>2025-03-17</t>
        </is>
      </c>
      <c r="B431" s="30" t="n">
        <v>9970</v>
      </c>
      <c r="C431" s="30" t="n">
        <v>10260</v>
      </c>
      <c r="D431" s="30" t="n">
        <v>9850</v>
      </c>
      <c r="E431" s="30" t="n">
        <v>10180</v>
      </c>
      <c r="F431" s="30" t="n">
        <v>10180</v>
      </c>
      <c r="G431" s="30" t="n">
        <v>672702</v>
      </c>
      <c r="H431" s="35" t="n">
        <v>0.02932254802831147</v>
      </c>
      <c r="I431" s="35" t="n">
        <v>-0.463363205060622</v>
      </c>
      <c r="J431" s="30" t="n">
        <v>9149.5</v>
      </c>
      <c r="K431" s="30" t="n">
        <v>8990</v>
      </c>
      <c r="L431" s="30" t="n">
        <v>9082.916666666666</v>
      </c>
      <c r="M431" s="35" t="n">
        <v>0.4781141012415823</v>
      </c>
      <c r="N431" s="35" t="n">
        <v>0.5022208608784595</v>
      </c>
      <c r="O431" s="35" t="n">
        <v>0.09344790547798065</v>
      </c>
      <c r="P431" s="35" t="n">
        <v>0.2886075949367088</v>
      </c>
      <c r="Q431" s="35" t="n">
        <v>0.06374085684430519</v>
      </c>
      <c r="R431" s="35" t="n">
        <v>0.1126291054155966</v>
      </c>
      <c r="S431" s="35" t="n">
        <v>0.132369299221357</v>
      </c>
      <c r="T431" s="35" t="n">
        <v>0.1207853571264739</v>
      </c>
      <c r="U431" s="30" t="n">
        <v>18970</v>
      </c>
      <c r="V431" s="30" t="n">
        <v>7070</v>
      </c>
      <c r="W431" s="35" t="n">
        <v>-0.463363205060622</v>
      </c>
      <c r="X431" s="35" t="n">
        <v>0.4398868458274399</v>
      </c>
      <c r="Y431" s="30" t="n">
        <v>33416778</v>
      </c>
      <c r="Z431" s="30" t="n">
        <v>340182800040</v>
      </c>
      <c r="AA431" s="30" t="n">
        <v>6848106360</v>
      </c>
      <c r="AB431" s="30" t="n">
        <v>3881671518</v>
      </c>
      <c r="AC431" s="35" t="n">
        <v>0.02013066609832941</v>
      </c>
      <c r="AD431" s="24" t="inlineStr">
        <is>
          <t>yfinance_download</t>
        </is>
      </c>
      <c r="AE431" s="24" t="inlineStr">
        <is>
          <t>059090.KQ</t>
        </is>
      </c>
    </row>
    <row r="432" ht="24" customHeight="1">
      <c r="A432" s="29" t="inlineStr">
        <is>
          <t>2025-03-18</t>
        </is>
      </c>
      <c r="B432" s="31" t="n">
        <v>10300</v>
      </c>
      <c r="C432" s="31" t="n">
        <v>10300</v>
      </c>
      <c r="D432" s="31" t="n">
        <v>9860</v>
      </c>
      <c r="E432" s="31" t="n">
        <v>9900</v>
      </c>
      <c r="F432" s="31" t="n">
        <v>9900</v>
      </c>
      <c r="G432" s="31" t="n">
        <v>368009</v>
      </c>
      <c r="H432" s="36" t="n">
        <v>-0.0275049115913556</v>
      </c>
      <c r="I432" s="36" t="n">
        <v>-0.478123352662098</v>
      </c>
      <c r="J432" s="31" t="n">
        <v>9167</v>
      </c>
      <c r="K432" s="31" t="n">
        <v>9022.333333333334</v>
      </c>
      <c r="L432" s="31" t="n">
        <v>9084.166666666666</v>
      </c>
      <c r="M432" s="36" t="n">
        <v>0.484625146297955</v>
      </c>
      <c r="N432" s="36" t="n">
        <v>0.5064980484214142</v>
      </c>
      <c r="O432" s="36" t="n">
        <v>0.03664921465968596</v>
      </c>
      <c r="P432" s="36" t="n">
        <v>0.243718592964824</v>
      </c>
      <c r="Q432" s="36" t="n">
        <v>0.01538461538461533</v>
      </c>
      <c r="R432" s="36" t="n">
        <v>0.07996072870077442</v>
      </c>
      <c r="S432" s="36" t="n">
        <v>0.09727712712897607</v>
      </c>
      <c r="T432" s="36" t="n">
        <v>0.08980827447023221</v>
      </c>
      <c r="U432" s="31" t="n">
        <v>18970</v>
      </c>
      <c r="V432" s="31" t="n">
        <v>7070</v>
      </c>
      <c r="W432" s="36" t="n">
        <v>-0.478123352662098</v>
      </c>
      <c r="X432" s="36" t="n">
        <v>0.4002828854314002</v>
      </c>
      <c r="Y432" s="31" t="n">
        <v>33416778</v>
      </c>
      <c r="Z432" s="31" t="n">
        <v>330826102200</v>
      </c>
      <c r="AA432" s="31" t="n">
        <v>3643289100</v>
      </c>
      <c r="AB432" s="31" t="n">
        <v>3902300110.5</v>
      </c>
      <c r="AC432" s="36" t="n">
        <v>0.01101270146391732</v>
      </c>
      <c r="AD432" s="29" t="inlineStr">
        <is>
          <t>yfinance_download</t>
        </is>
      </c>
      <c r="AE432" s="29" t="inlineStr">
        <is>
          <t>059090.KQ</t>
        </is>
      </c>
    </row>
    <row r="433" ht="24" customHeight="1">
      <c r="A433" s="24" t="inlineStr">
        <is>
          <t>2025-03-19</t>
        </is>
      </c>
      <c r="B433" s="30" t="n">
        <v>9820</v>
      </c>
      <c r="C433" s="30" t="n">
        <v>10000</v>
      </c>
      <c r="D433" s="30" t="n">
        <v>9700</v>
      </c>
      <c r="E433" s="30" t="n">
        <v>9760</v>
      </c>
      <c r="F433" s="30" t="n">
        <v>9760</v>
      </c>
      <c r="G433" s="30" t="n">
        <v>222857</v>
      </c>
      <c r="H433" s="35" t="n">
        <v>-0.01414141414141412</v>
      </c>
      <c r="I433" s="35" t="n">
        <v>-0.4855034264628361</v>
      </c>
      <c r="J433" s="30" t="n">
        <v>9191</v>
      </c>
      <c r="K433" s="30" t="n">
        <v>9049.666666666666</v>
      </c>
      <c r="L433" s="30" t="n">
        <v>9079.916666666666</v>
      </c>
      <c r="M433" s="35" t="n">
        <v>0.475331896084387</v>
      </c>
      <c r="N433" s="35" t="n">
        <v>0.5067512479246629</v>
      </c>
      <c r="O433" s="35" t="n">
        <v>0.05172413793103448</v>
      </c>
      <c r="P433" s="35" t="n">
        <v>0.2019704433497538</v>
      </c>
      <c r="Q433" s="35" t="n">
        <v>-0.04965920155793568</v>
      </c>
      <c r="R433" s="35" t="n">
        <v>0.06190838864106185</v>
      </c>
      <c r="S433" s="35" t="n">
        <v>0.0784927621643523</v>
      </c>
      <c r="T433" s="35" t="n">
        <v>0.07489973292706442</v>
      </c>
      <c r="U433" s="30" t="n">
        <v>18970</v>
      </c>
      <c r="V433" s="30" t="n">
        <v>7070</v>
      </c>
      <c r="W433" s="35" t="n">
        <v>-0.4855034264628361</v>
      </c>
      <c r="X433" s="35" t="n">
        <v>0.3804809052333804</v>
      </c>
      <c r="Y433" s="30" t="n">
        <v>33416778</v>
      </c>
      <c r="Z433" s="30" t="n">
        <v>326147753280</v>
      </c>
      <c r="AA433" s="30" t="n">
        <v>2175084320</v>
      </c>
      <c r="AB433" s="30" t="n">
        <v>3880281958.5</v>
      </c>
      <c r="AC433" s="35" t="n">
        <v>0.006669015187520473</v>
      </c>
      <c r="AD433" s="24" t="inlineStr">
        <is>
          <t>yfinance_download</t>
        </is>
      </c>
      <c r="AE433" s="24" t="inlineStr">
        <is>
          <t>059090.KQ</t>
        </is>
      </c>
    </row>
    <row r="434" ht="24" customHeight="1">
      <c r="A434" s="29" t="inlineStr">
        <is>
          <t>2025-03-20</t>
        </is>
      </c>
      <c r="B434" s="31" t="n">
        <v>9880</v>
      </c>
      <c r="C434" s="31" t="n">
        <v>9950</v>
      </c>
      <c r="D434" s="31" t="n">
        <v>9610</v>
      </c>
      <c r="E434" s="31" t="n">
        <v>9690</v>
      </c>
      <c r="F434" s="31" t="n">
        <v>9690</v>
      </c>
      <c r="G434" s="31" t="n">
        <v>215726</v>
      </c>
      <c r="H434" s="36" t="n">
        <v>-0.007172131147541005</v>
      </c>
      <c r="I434" s="36" t="n">
        <v>-0.489193463363205</v>
      </c>
      <c r="J434" s="31" t="n">
        <v>9202.5</v>
      </c>
      <c r="K434" s="31" t="n">
        <v>9072.666666666666</v>
      </c>
      <c r="L434" s="31" t="n">
        <v>9078.916666666666</v>
      </c>
      <c r="M434" s="36" t="n">
        <v>0.4724839275621409</v>
      </c>
      <c r="N434" s="36" t="n">
        <v>0.5055137100821998</v>
      </c>
      <c r="O434" s="36" t="n">
        <v>0.0243128964059196</v>
      </c>
      <c r="P434" s="36" t="n">
        <v>0.1660649819494584</v>
      </c>
      <c r="Q434" s="36" t="n">
        <v>-0.01223241590214064</v>
      </c>
      <c r="R434" s="36" t="n">
        <v>0.05297473512632433</v>
      </c>
      <c r="S434" s="36" t="n">
        <v>0.06804320670144759</v>
      </c>
      <c r="T434" s="36" t="n">
        <v>0.06730795708004811</v>
      </c>
      <c r="U434" s="31" t="n">
        <v>18970</v>
      </c>
      <c r="V434" s="31" t="n">
        <v>7070</v>
      </c>
      <c r="W434" s="36" t="n">
        <v>-0.489193463363205</v>
      </c>
      <c r="X434" s="36" t="n">
        <v>0.3705799151343705</v>
      </c>
      <c r="Y434" s="31" t="n">
        <v>33416778</v>
      </c>
      <c r="Z434" s="31" t="n">
        <v>323808578820</v>
      </c>
      <c r="AA434" s="31" t="n">
        <v>2090384940</v>
      </c>
      <c r="AB434" s="31" t="n">
        <v>3808941224.5</v>
      </c>
      <c r="AC434" s="36" t="n">
        <v>0.006455619389756846</v>
      </c>
      <c r="AD434" s="29" t="inlineStr">
        <is>
          <t>yfinance_download</t>
        </is>
      </c>
      <c r="AE434" s="29" t="inlineStr">
        <is>
          <t>059090.KQ</t>
        </is>
      </c>
    </row>
    <row r="435" ht="24" customHeight="1">
      <c r="A435" s="24" t="inlineStr">
        <is>
          <t>2025-03-21</t>
        </is>
      </c>
      <c r="B435" s="30" t="n">
        <v>9600</v>
      </c>
      <c r="C435" s="30" t="n">
        <v>9890</v>
      </c>
      <c r="D435" s="30" t="n">
        <v>9090</v>
      </c>
      <c r="E435" s="30" t="n">
        <v>9620</v>
      </c>
      <c r="F435" s="30" t="n">
        <v>9620</v>
      </c>
      <c r="G435" s="30" t="n">
        <v>259683</v>
      </c>
      <c r="H435" s="35" t="n">
        <v>-0.007223942208462342</v>
      </c>
      <c r="I435" s="35" t="n">
        <v>-0.4928835002635741</v>
      </c>
      <c r="J435" s="30" t="n">
        <v>9218</v>
      </c>
      <c r="K435" s="30" t="n">
        <v>9093</v>
      </c>
      <c r="L435" s="30" t="n">
        <v>9081.083333333334</v>
      </c>
      <c r="M435" s="35" t="n">
        <v>0.4692320276562775</v>
      </c>
      <c r="N435" s="35" t="n">
        <v>0.5056827188596278</v>
      </c>
      <c r="O435" s="35" t="n">
        <v>0.03329752953813103</v>
      </c>
      <c r="P435" s="35" t="n">
        <v>0.1452380952380952</v>
      </c>
      <c r="Q435" s="35" t="n">
        <v>0.02777777777777768</v>
      </c>
      <c r="R435" s="35" t="n">
        <v>0.04361032761987427</v>
      </c>
      <c r="S435" s="35" t="n">
        <v>0.05795666996590776</v>
      </c>
      <c r="T435" s="35" t="n">
        <v>0.05934497536086925</v>
      </c>
      <c r="U435" s="30" t="n">
        <v>18970</v>
      </c>
      <c r="V435" s="30" t="n">
        <v>7070</v>
      </c>
      <c r="W435" s="35" t="n">
        <v>-0.4928835002635741</v>
      </c>
      <c r="X435" s="35" t="n">
        <v>0.3606789250353606</v>
      </c>
      <c r="Y435" s="30" t="n">
        <v>33416778</v>
      </c>
      <c r="Z435" s="30" t="n">
        <v>321469404360</v>
      </c>
      <c r="AA435" s="30" t="n">
        <v>2498150460</v>
      </c>
      <c r="AB435" s="30" t="n">
        <v>3801285519.5</v>
      </c>
      <c r="AC435" s="35" t="n">
        <v>0.007771036453604234</v>
      </c>
      <c r="AD435" s="24" t="inlineStr">
        <is>
          <t>yfinance_download</t>
        </is>
      </c>
      <c r="AE435" s="24" t="inlineStr">
        <is>
          <t>059090.KQ</t>
        </is>
      </c>
    </row>
    <row r="436" ht="24" customHeight="1">
      <c r="A436" s="29" t="inlineStr">
        <is>
          <t>2025-03-24</t>
        </is>
      </c>
      <c r="B436" s="31" t="n">
        <v>9450</v>
      </c>
      <c r="C436" s="31" t="n">
        <v>9740</v>
      </c>
      <c r="D436" s="31" t="n">
        <v>9410</v>
      </c>
      <c r="E436" s="31" t="n">
        <v>9600</v>
      </c>
      <c r="F436" s="31" t="n">
        <v>9600</v>
      </c>
      <c r="G436" s="31" t="n">
        <v>168080</v>
      </c>
      <c r="H436" s="36" t="n">
        <v>-0.002079002079002024</v>
      </c>
      <c r="I436" s="36" t="n">
        <v>-0.4939377965208224</v>
      </c>
      <c r="J436" s="31" t="n">
        <v>9236</v>
      </c>
      <c r="K436" s="31" t="n">
        <v>9113.333333333334</v>
      </c>
      <c r="L436" s="31" t="n">
        <v>9084</v>
      </c>
      <c r="M436" s="36" t="n">
        <v>0.4681568808514466</v>
      </c>
      <c r="N436" s="36" t="n">
        <v>0.5056699837261515</v>
      </c>
      <c r="O436" s="36" t="n">
        <v>0.03896103896103886</v>
      </c>
      <c r="P436" s="36" t="n">
        <v>0.1455847255369929</v>
      </c>
      <c r="Q436" s="36" t="n">
        <v>0.0378378378378379</v>
      </c>
      <c r="R436" s="36" t="n">
        <v>0.03941100043308787</v>
      </c>
      <c r="S436" s="36" t="n">
        <v>0.05340160936356986</v>
      </c>
      <c r="T436" s="36" t="n">
        <v>0.05680317040951133</v>
      </c>
      <c r="U436" s="31" t="n">
        <v>18970</v>
      </c>
      <c r="V436" s="31" t="n">
        <v>7070</v>
      </c>
      <c r="W436" s="36" t="n">
        <v>-0.4939377965208224</v>
      </c>
      <c r="X436" s="36" t="n">
        <v>0.3578500707213579</v>
      </c>
      <c r="Y436" s="31" t="n">
        <v>33416778</v>
      </c>
      <c r="Z436" s="31" t="n">
        <v>320801068800</v>
      </c>
      <c r="AA436" s="31" t="n">
        <v>1613568000</v>
      </c>
      <c r="AB436" s="31" t="n">
        <v>3762361821.5</v>
      </c>
      <c r="AC436" s="36" t="n">
        <v>0.005029808678742157</v>
      </c>
      <c r="AD436" s="29" t="inlineStr">
        <is>
          <t>yfinance_download</t>
        </is>
      </c>
      <c r="AE436" s="29" t="inlineStr">
        <is>
          <t>059090.KQ</t>
        </is>
      </c>
    </row>
    <row r="437" ht="24" customHeight="1">
      <c r="A437" s="24" t="inlineStr">
        <is>
          <t>2025-03-25</t>
        </is>
      </c>
      <c r="B437" s="30" t="n">
        <v>9680</v>
      </c>
      <c r="C437" s="30" t="n">
        <v>9680</v>
      </c>
      <c r="D437" s="30" t="n">
        <v>9240</v>
      </c>
      <c r="E437" s="30" t="n">
        <v>9290</v>
      </c>
      <c r="F437" s="30" t="n">
        <v>9290</v>
      </c>
      <c r="G437" s="30" t="n">
        <v>228270</v>
      </c>
      <c r="H437" s="35" t="n">
        <v>-0.03229166666666672</v>
      </c>
      <c r="I437" s="35" t="n">
        <v>-0.5102793885081708</v>
      </c>
      <c r="J437" s="30" t="n">
        <v>9245.5</v>
      </c>
      <c r="K437" s="30" t="n">
        <v>9134</v>
      </c>
      <c r="L437" s="30" t="n">
        <v>9078.416666666666</v>
      </c>
      <c r="M437" s="35" t="n">
        <v>0.4804340889714657</v>
      </c>
      <c r="N437" s="35" t="n">
        <v>0.5033501416471516</v>
      </c>
      <c r="O437" s="35" t="n">
        <v>0.0208791208791208</v>
      </c>
      <c r="P437" s="35" t="n">
        <v>0.1540372670807453</v>
      </c>
      <c r="Q437" s="35" t="n">
        <v>-0.06726907630522083</v>
      </c>
      <c r="R437" s="35" t="n">
        <v>0.004813152344383731</v>
      </c>
      <c r="S437" s="35" t="n">
        <v>0.0170790453251588</v>
      </c>
      <c r="T437" s="35" t="n">
        <v>0.02330619326057226</v>
      </c>
      <c r="U437" s="30" t="n">
        <v>18970</v>
      </c>
      <c r="V437" s="30" t="n">
        <v>7070</v>
      </c>
      <c r="W437" s="35" t="n">
        <v>-0.5102793885081708</v>
      </c>
      <c r="X437" s="35" t="n">
        <v>0.314002828854314</v>
      </c>
      <c r="Y437" s="30" t="n">
        <v>33416778</v>
      </c>
      <c r="Z437" s="30" t="n">
        <v>310441867620</v>
      </c>
      <c r="AA437" s="30" t="n">
        <v>2120628300</v>
      </c>
      <c r="AB437" s="30" t="n">
        <v>3772218066.5</v>
      </c>
      <c r="AC437" s="35" t="n">
        <v>0.006830999685247931</v>
      </c>
      <c r="AD437" s="24" t="inlineStr">
        <is>
          <t>yfinance_download</t>
        </is>
      </c>
      <c r="AE437" s="24" t="inlineStr">
        <is>
          <t>059090.KQ</t>
        </is>
      </c>
    </row>
    <row r="438" ht="24" customHeight="1">
      <c r="A438" s="29" t="inlineStr">
        <is>
          <t>2025-03-26</t>
        </is>
      </c>
      <c r="B438" s="31" t="n">
        <v>9290</v>
      </c>
      <c r="C438" s="31" t="n">
        <v>9480</v>
      </c>
      <c r="D438" s="31" t="n">
        <v>9130</v>
      </c>
      <c r="E438" s="31" t="n">
        <v>9450</v>
      </c>
      <c r="F438" s="31" t="n">
        <v>9450</v>
      </c>
      <c r="G438" s="31" t="n">
        <v>165168</v>
      </c>
      <c r="H438" s="36" t="n">
        <v>0.01722282023681387</v>
      </c>
      <c r="I438" s="36" t="n">
        <v>-0.5018450184501845</v>
      </c>
      <c r="J438" s="31" t="n">
        <v>9271.5</v>
      </c>
      <c r="K438" s="31" t="n">
        <v>9161.5</v>
      </c>
      <c r="L438" s="31" t="n">
        <v>9074.5</v>
      </c>
      <c r="M438" s="36" t="n">
        <v>0.4773601599554722</v>
      </c>
      <c r="N438" s="36" t="n">
        <v>0.4991528268180097</v>
      </c>
      <c r="O438" s="36" t="n">
        <v>0.05823068309070556</v>
      </c>
      <c r="P438" s="36" t="n">
        <v>0.2115384615384615</v>
      </c>
      <c r="Q438" s="36" t="n">
        <v>-0.0473790322580645</v>
      </c>
      <c r="R438" s="36" t="n">
        <v>0.01925254813137034</v>
      </c>
      <c r="S438" s="36" t="n">
        <v>0.03149047645036296</v>
      </c>
      <c r="T438" s="36" t="n">
        <v>0.0413796903410657</v>
      </c>
      <c r="U438" s="31" t="n">
        <v>18970</v>
      </c>
      <c r="V438" s="31" t="n">
        <v>7070</v>
      </c>
      <c r="W438" s="36" t="n">
        <v>-0.5018450184501845</v>
      </c>
      <c r="X438" s="36" t="n">
        <v>0.3366336633663367</v>
      </c>
      <c r="Y438" s="31" t="n">
        <v>33416778</v>
      </c>
      <c r="Z438" s="31" t="n">
        <v>315788552100</v>
      </c>
      <c r="AA438" s="31" t="n">
        <v>1560837600</v>
      </c>
      <c r="AB438" s="31" t="n">
        <v>3773240482.5</v>
      </c>
      <c r="AC438" s="36" t="n">
        <v>0.004942666824431727</v>
      </c>
      <c r="AD438" s="29" t="inlineStr">
        <is>
          <t>yfinance_download</t>
        </is>
      </c>
      <c r="AE438" s="29" t="inlineStr">
        <is>
          <t>059090.KQ</t>
        </is>
      </c>
    </row>
    <row r="439" ht="24" customHeight="1">
      <c r="A439" s="24" t="inlineStr">
        <is>
          <t>2025-03-27</t>
        </is>
      </c>
      <c r="B439" s="30" t="n">
        <v>9300</v>
      </c>
      <c r="C439" s="30" t="n">
        <v>9330</v>
      </c>
      <c r="D439" s="30" t="n">
        <v>9090</v>
      </c>
      <c r="E439" s="30" t="n">
        <v>9200</v>
      </c>
      <c r="F439" s="30" t="n">
        <v>9200</v>
      </c>
      <c r="G439" s="30" t="n">
        <v>230289</v>
      </c>
      <c r="H439" s="35" t="n">
        <v>-0.02645502645502651</v>
      </c>
      <c r="I439" s="35" t="n">
        <v>-0.515023721665788</v>
      </c>
      <c r="J439" s="30" t="n">
        <v>9283.5</v>
      </c>
      <c r="K439" s="30" t="n">
        <v>9180</v>
      </c>
      <c r="L439" s="30" t="n">
        <v>9068.416666666666</v>
      </c>
      <c r="M439" s="35" t="n">
        <v>0.4888701195873193</v>
      </c>
      <c r="N439" s="35" t="n">
        <v>0.4979513563081025</v>
      </c>
      <c r="O439" s="35" t="n">
        <v>0.02678571428571419</v>
      </c>
      <c r="P439" s="35" t="n">
        <v>0.1372064276885043</v>
      </c>
      <c r="Q439" s="35" t="n">
        <v>-0.07351460221550854</v>
      </c>
      <c r="R439" s="35" t="n">
        <v>-0.008994452523294005</v>
      </c>
      <c r="S439" s="35" t="n">
        <v>0.002178649237472685</v>
      </c>
      <c r="T439" s="35" t="n">
        <v>0.01451006699074631</v>
      </c>
      <c r="U439" s="30" t="n">
        <v>18970</v>
      </c>
      <c r="V439" s="30" t="n">
        <v>7070</v>
      </c>
      <c r="W439" s="35" t="n">
        <v>-0.515023721665788</v>
      </c>
      <c r="X439" s="35" t="n">
        <v>0.3012729844413014</v>
      </c>
      <c r="Y439" s="30" t="n">
        <v>33416778</v>
      </c>
      <c r="Z439" s="30" t="n">
        <v>307434357600</v>
      </c>
      <c r="AA439" s="30" t="n">
        <v>2118658800</v>
      </c>
      <c r="AB439" s="30" t="n">
        <v>3815785006.5</v>
      </c>
      <c r="AC439" s="35" t="n">
        <v>0.006891418436570994</v>
      </c>
      <c r="AD439" s="24" t="inlineStr">
        <is>
          <t>yfinance_download</t>
        </is>
      </c>
      <c r="AE439" s="24" t="inlineStr">
        <is>
          <t>059090.KQ</t>
        </is>
      </c>
    </row>
    <row r="440" ht="24" customHeight="1">
      <c r="A440" s="29" t="inlineStr">
        <is>
          <t>2025-03-28</t>
        </is>
      </c>
      <c r="B440" s="31" t="n">
        <v>9200</v>
      </c>
      <c r="C440" s="31" t="n">
        <v>9250</v>
      </c>
      <c r="D440" s="31" t="n">
        <v>8980</v>
      </c>
      <c r="E440" s="31" t="n">
        <v>9050</v>
      </c>
      <c r="F440" s="31" t="n">
        <v>9050</v>
      </c>
      <c r="G440" s="31" t="n">
        <v>238295</v>
      </c>
      <c r="H440" s="36" t="n">
        <v>-0.01630434782608692</v>
      </c>
      <c r="I440" s="36" t="n">
        <v>-0.5229309435951502</v>
      </c>
      <c r="J440" s="31" t="n">
        <v>9274.5</v>
      </c>
      <c r="K440" s="31" t="n">
        <v>9198.5</v>
      </c>
      <c r="L440" s="31" t="n">
        <v>9057.166666666666</v>
      </c>
      <c r="M440" s="36" t="n">
        <v>0.480858666215092</v>
      </c>
      <c r="N440" s="36" t="n">
        <v>0.4975661028911413</v>
      </c>
      <c r="O440" s="36" t="n">
        <v>-0.01950162513542797</v>
      </c>
      <c r="P440" s="36" t="n">
        <v>0.1397984886649875</v>
      </c>
      <c r="Q440" s="36" t="n">
        <v>-0.1298076923076923</v>
      </c>
      <c r="R440" s="36" t="n">
        <v>-0.02420615666612758</v>
      </c>
      <c r="S440" s="36" t="n">
        <v>-0.01614393651138768</v>
      </c>
      <c r="T440" s="36" t="n">
        <v>-0.0007912702647994152</v>
      </c>
      <c r="U440" s="31" t="n">
        <v>18970</v>
      </c>
      <c r="V440" s="31" t="n">
        <v>7070</v>
      </c>
      <c r="W440" s="36" t="n">
        <v>-0.5229309435951502</v>
      </c>
      <c r="X440" s="36" t="n">
        <v>0.28005657708628</v>
      </c>
      <c r="Y440" s="31" t="n">
        <v>33416778</v>
      </c>
      <c r="Z440" s="31" t="n">
        <v>302421840900</v>
      </c>
      <c r="AA440" s="31" t="n">
        <v>2156569750</v>
      </c>
      <c r="AB440" s="31" t="n">
        <v>3696738709.5</v>
      </c>
      <c r="AC440" s="36" t="n">
        <v>0.007130998685750014</v>
      </c>
      <c r="AD440" s="29" t="inlineStr">
        <is>
          <t>yfinance_download</t>
        </is>
      </c>
      <c r="AE440" s="29" t="inlineStr">
        <is>
          <t>059090.KQ</t>
        </is>
      </c>
    </row>
    <row r="441" ht="24" customHeight="1">
      <c r="A441" s="24" t="inlineStr">
        <is>
          <t>2025-03-31</t>
        </is>
      </c>
      <c r="B441" s="30" t="n">
        <v>8870</v>
      </c>
      <c r="C441" s="30" t="n">
        <v>8910</v>
      </c>
      <c r="D441" s="30" t="n">
        <v>8620</v>
      </c>
      <c r="E441" s="30" t="n">
        <v>8810</v>
      </c>
      <c r="F441" s="30" t="n">
        <v>8810</v>
      </c>
      <c r="G441" s="30" t="n">
        <v>215822</v>
      </c>
      <c r="H441" s="35" t="n">
        <v>-0.02651933701657461</v>
      </c>
      <c r="I441" s="35" t="n">
        <v>-0.5355824986821297</v>
      </c>
      <c r="J441" s="30" t="n">
        <v>9268</v>
      </c>
      <c r="K441" s="30" t="n">
        <v>9210.333333333334</v>
      </c>
      <c r="L441" s="30" t="n">
        <v>9044.5</v>
      </c>
      <c r="M441" s="35" t="n">
        <v>0.4769860025020717</v>
      </c>
      <c r="N441" s="35" t="n">
        <v>0.4997489595783188</v>
      </c>
      <c r="O441" s="35" t="n">
        <v>-0.0145413870246085</v>
      </c>
      <c r="P441" s="35" t="n">
        <v>0.08765432098765435</v>
      </c>
      <c r="Q441" s="35" t="n">
        <v>-0.1471442400774443</v>
      </c>
      <c r="R441" s="35" t="n">
        <v>-0.04941735002157965</v>
      </c>
      <c r="S441" s="35" t="n">
        <v>-0.04346567261409295</v>
      </c>
      <c r="T441" s="35" t="n">
        <v>-0.02592735916855549</v>
      </c>
      <c r="U441" s="30" t="n">
        <v>18970</v>
      </c>
      <c r="V441" s="30" t="n">
        <v>7070</v>
      </c>
      <c r="W441" s="35" t="n">
        <v>-0.5355824986821297</v>
      </c>
      <c r="X441" s="35" t="n">
        <v>0.2461103253182462</v>
      </c>
      <c r="Y441" s="30" t="n">
        <v>33416778</v>
      </c>
      <c r="Z441" s="30" t="n">
        <v>294401814180</v>
      </c>
      <c r="AA441" s="30" t="n">
        <v>1901391820</v>
      </c>
      <c r="AB441" s="30" t="n">
        <v>3618923004.5</v>
      </c>
      <c r="AC441" s="35" t="n">
        <v>0.006458492198140707</v>
      </c>
      <c r="AD441" s="24" t="inlineStr">
        <is>
          <t>yfinance_download</t>
        </is>
      </c>
      <c r="AE441" s="24" t="inlineStr">
        <is>
          <t>059090.KQ</t>
        </is>
      </c>
    </row>
    <row r="442" ht="24" customHeight="1">
      <c r="A442" s="29" t="inlineStr">
        <is>
          <t>2025-04-01</t>
        </is>
      </c>
      <c r="B442" s="31" t="n">
        <v>8810</v>
      </c>
      <c r="C442" s="31" t="n">
        <v>8960</v>
      </c>
      <c r="D442" s="31" t="n">
        <v>8600</v>
      </c>
      <c r="E442" s="31" t="n">
        <v>8830</v>
      </c>
      <c r="F442" s="31" t="n">
        <v>8830</v>
      </c>
      <c r="G442" s="31" t="n">
        <v>228712</v>
      </c>
      <c r="H442" s="36" t="n">
        <v>0.002270147559591429</v>
      </c>
      <c r="I442" s="36" t="n">
        <v>-0.5345282024248814</v>
      </c>
      <c r="J442" s="31" t="n">
        <v>9284</v>
      </c>
      <c r="K442" s="31" t="n">
        <v>9225.5</v>
      </c>
      <c r="L442" s="31" t="n">
        <v>9034.583333333334</v>
      </c>
      <c r="M442" s="36" t="n">
        <v>0.4422999669697873</v>
      </c>
      <c r="N442" s="36" t="n">
        <v>0.4972164398740003</v>
      </c>
      <c r="O442" s="36" t="n">
        <v>0.03760282021151595</v>
      </c>
      <c r="P442" s="36" t="n">
        <v>0.1148989898989898</v>
      </c>
      <c r="Q442" s="36" t="n">
        <v>-0.1187624750499002</v>
      </c>
      <c r="R442" s="36" t="n">
        <v>-0.04890133563119348</v>
      </c>
      <c r="S442" s="36" t="n">
        <v>-0.04287030513251311</v>
      </c>
      <c r="T442" s="36" t="n">
        <v>-0.02264446801641851</v>
      </c>
      <c r="U442" s="31" t="n">
        <v>18970</v>
      </c>
      <c r="V442" s="31" t="n">
        <v>7070</v>
      </c>
      <c r="W442" s="36" t="n">
        <v>-0.5345282024248814</v>
      </c>
      <c r="X442" s="36" t="n">
        <v>0.2489391796322489</v>
      </c>
      <c r="Y442" s="31" t="n">
        <v>33416778</v>
      </c>
      <c r="Z442" s="31" t="n">
        <v>295070149740</v>
      </c>
      <c r="AA442" s="31" t="n">
        <v>2019526960</v>
      </c>
      <c r="AB442" s="31" t="n">
        <v>3612612080.5</v>
      </c>
      <c r="AC442" s="36" t="n">
        <v>0.006844226573848622</v>
      </c>
      <c r="AD442" s="29" t="inlineStr">
        <is>
          <t>yfinance_download</t>
        </is>
      </c>
      <c r="AE442" s="29" t="inlineStr">
        <is>
          <t>059090.KQ</t>
        </is>
      </c>
    </row>
    <row r="443" ht="24" customHeight="1">
      <c r="A443" s="24" t="inlineStr">
        <is>
          <t>2025-04-02</t>
        </is>
      </c>
      <c r="B443" s="30" t="n">
        <v>8870</v>
      </c>
      <c r="C443" s="30" t="n">
        <v>8950</v>
      </c>
      <c r="D443" s="30" t="n">
        <v>8710</v>
      </c>
      <c r="E443" s="30" t="n">
        <v>8840</v>
      </c>
      <c r="F443" s="30" t="n">
        <v>8840</v>
      </c>
      <c r="G443" s="30" t="n">
        <v>137804</v>
      </c>
      <c r="H443" s="35" t="n">
        <v>0.001132502831256987</v>
      </c>
      <c r="I443" s="35" t="n">
        <v>-0.5340010542962572</v>
      </c>
      <c r="J443" s="30" t="n">
        <v>9279.5</v>
      </c>
      <c r="K443" s="30" t="n">
        <v>9239.166666666666</v>
      </c>
      <c r="L443" s="30" t="n">
        <v>9027</v>
      </c>
      <c r="M443" s="35" t="n">
        <v>0.4057406543782037</v>
      </c>
      <c r="N443" s="35" t="n">
        <v>0.4967542084526499</v>
      </c>
      <c r="O443" s="35" t="n">
        <v>-0.01007838745800671</v>
      </c>
      <c r="P443" s="35" t="n">
        <v>0.1022443890274314</v>
      </c>
      <c r="Q443" s="35" t="n">
        <v>-0.09333333333333338</v>
      </c>
      <c r="R443" s="35" t="n">
        <v>-0.04736246565008895</v>
      </c>
      <c r="S443" s="35" t="n">
        <v>-0.04320375214214844</v>
      </c>
      <c r="T443" s="35" t="n">
        <v>-0.0207156308851224</v>
      </c>
      <c r="U443" s="30" t="n">
        <v>18970</v>
      </c>
      <c r="V443" s="30" t="n">
        <v>7070</v>
      </c>
      <c r="W443" s="35" t="n">
        <v>-0.5340010542962572</v>
      </c>
      <c r="X443" s="35" t="n">
        <v>0.2503536067892504</v>
      </c>
      <c r="Y443" s="30" t="n">
        <v>33416778</v>
      </c>
      <c r="Z443" s="30" t="n">
        <v>295404317520</v>
      </c>
      <c r="AA443" s="30" t="n">
        <v>1218187360</v>
      </c>
      <c r="AB443" s="30" t="n">
        <v>3528954125</v>
      </c>
      <c r="AC443" s="35" t="n">
        <v>0.0041237967346822</v>
      </c>
      <c r="AD443" s="24" t="inlineStr">
        <is>
          <t>yfinance_download</t>
        </is>
      </c>
      <c r="AE443" s="24" t="inlineStr">
        <is>
          <t>059090.KQ</t>
        </is>
      </c>
    </row>
    <row r="444" ht="24" customHeight="1">
      <c r="A444" s="29" t="inlineStr">
        <is>
          <t>2025-04-03</t>
        </is>
      </c>
      <c r="B444" s="31" t="n">
        <v>8700</v>
      </c>
      <c r="C444" s="31" t="n">
        <v>8840</v>
      </c>
      <c r="D444" s="31" t="n">
        <v>8510</v>
      </c>
      <c r="E444" s="31" t="n">
        <v>8730</v>
      </c>
      <c r="F444" s="31" t="n">
        <v>8730</v>
      </c>
      <c r="G444" s="31" t="n">
        <v>143482</v>
      </c>
      <c r="H444" s="36" t="n">
        <v>-0.01244343891402711</v>
      </c>
      <c r="I444" s="36" t="n">
        <v>-0.5397996837111227</v>
      </c>
      <c r="J444" s="31" t="n">
        <v>9272</v>
      </c>
      <c r="K444" s="31" t="n">
        <v>9244.333333333334</v>
      </c>
      <c r="L444" s="31" t="n">
        <v>9017.083333333334</v>
      </c>
      <c r="M444" s="36" t="n">
        <v>0.4076712538559275</v>
      </c>
      <c r="N444" s="36" t="n">
        <v>0.4874884738591364</v>
      </c>
      <c r="O444" s="36" t="n">
        <v>-0.01689189189189189</v>
      </c>
      <c r="P444" s="36" t="n">
        <v>0.03681710213776723</v>
      </c>
      <c r="Q444" s="36" t="n">
        <v>-0.1199596774193549</v>
      </c>
      <c r="R444" s="36" t="n">
        <v>-0.05845556514236405</v>
      </c>
      <c r="S444" s="36" t="n">
        <v>-0.0556376879529803</v>
      </c>
      <c r="T444" s="36" t="n">
        <v>-0.03183771544753022</v>
      </c>
      <c r="U444" s="31" t="n">
        <v>18970</v>
      </c>
      <c r="V444" s="31" t="n">
        <v>7070</v>
      </c>
      <c r="W444" s="36" t="n">
        <v>-0.5397996837111227</v>
      </c>
      <c r="X444" s="36" t="n">
        <v>0.2347949080622347</v>
      </c>
      <c r="Y444" s="31" t="n">
        <v>33416778</v>
      </c>
      <c r="Z444" s="31" t="n">
        <v>291728471940</v>
      </c>
      <c r="AA444" s="31" t="n">
        <v>1252597860</v>
      </c>
      <c r="AB444" s="31" t="n">
        <v>3076882790</v>
      </c>
      <c r="AC444" s="36" t="n">
        <v>0.004293711380552607</v>
      </c>
      <c r="AD444" s="29" t="inlineStr">
        <is>
          <t>yfinance_download</t>
        </is>
      </c>
      <c r="AE444" s="29" t="inlineStr">
        <is>
          <t>059090.KQ</t>
        </is>
      </c>
    </row>
    <row r="445" ht="24" customHeight="1">
      <c r="A445" s="24" t="inlineStr">
        <is>
          <t>2025-04-04</t>
        </is>
      </c>
      <c r="B445" s="30" t="n">
        <v>8630</v>
      </c>
      <c r="C445" s="30" t="n">
        <v>8990</v>
      </c>
      <c r="D445" s="30" t="n">
        <v>8500</v>
      </c>
      <c r="E445" s="30" t="n">
        <v>8830</v>
      </c>
      <c r="F445" s="30" t="n">
        <v>8830</v>
      </c>
      <c r="G445" s="30" t="n">
        <v>193710</v>
      </c>
      <c r="H445" s="35" t="n">
        <v>0.01145475372279492</v>
      </c>
      <c r="I445" s="35" t="n">
        <v>-0.5345282024248814</v>
      </c>
      <c r="J445" s="30" t="n">
        <v>9271</v>
      </c>
      <c r="K445" s="30" t="n">
        <v>9244.5</v>
      </c>
      <c r="L445" s="30" t="n">
        <v>9005</v>
      </c>
      <c r="M445" s="35" t="n">
        <v>0.4096979612504954</v>
      </c>
      <c r="N445" s="35" t="n">
        <v>0.4783323009971373</v>
      </c>
      <c r="O445" s="35" t="n">
        <v>-0.002259887005649719</v>
      </c>
      <c r="P445" s="35" t="n">
        <v>0.001133786848072527</v>
      </c>
      <c r="Q445" s="35" t="n">
        <v>-0.1410505836575876</v>
      </c>
      <c r="R445" s="35" t="n">
        <v>-0.04756768417646429</v>
      </c>
      <c r="S445" s="35" t="n">
        <v>-0.04483747092866031</v>
      </c>
      <c r="T445" s="35" t="n">
        <v>-0.01943364797334812</v>
      </c>
      <c r="U445" s="30" t="n">
        <v>18970</v>
      </c>
      <c r="V445" s="30" t="n">
        <v>7070</v>
      </c>
      <c r="W445" s="35" t="n">
        <v>-0.5345282024248814</v>
      </c>
      <c r="X445" s="35" t="n">
        <v>0.2489391796322489</v>
      </c>
      <c r="Y445" s="30" t="n">
        <v>33416778</v>
      </c>
      <c r="Z445" s="30" t="n">
        <v>295070149740</v>
      </c>
      <c r="AA445" s="30" t="n">
        <v>1710459300</v>
      </c>
      <c r="AB445" s="30" t="n">
        <v>3012723935</v>
      </c>
      <c r="AC445" s="35" t="n">
        <v>0.005796788667058206</v>
      </c>
      <c r="AD445" s="24" t="inlineStr">
        <is>
          <t>yfinance_download</t>
        </is>
      </c>
      <c r="AE445" s="24" t="inlineStr">
        <is>
          <t>059090.KQ</t>
        </is>
      </c>
    </row>
    <row r="446" ht="24" customHeight="1">
      <c r="A446" s="29" t="inlineStr">
        <is>
          <t>2025-04-07</t>
        </is>
      </c>
      <c r="B446" s="31" t="n">
        <v>8590</v>
      </c>
      <c r="C446" s="31" t="n">
        <v>8590</v>
      </c>
      <c r="D446" s="31" t="n">
        <v>8200</v>
      </c>
      <c r="E446" s="31" t="n">
        <v>8280</v>
      </c>
      <c r="F446" s="31" t="n">
        <v>8280</v>
      </c>
      <c r="G446" s="31" t="n">
        <v>342996</v>
      </c>
      <c r="H446" s="36" t="n">
        <v>-0.0622876557191393</v>
      </c>
      <c r="I446" s="36" t="n">
        <v>-0.5635213494992093</v>
      </c>
      <c r="J446" s="31" t="n">
        <v>9245</v>
      </c>
      <c r="K446" s="31" t="n">
        <v>9227</v>
      </c>
      <c r="L446" s="31" t="n">
        <v>8990.583333333334</v>
      </c>
      <c r="M446" s="36" t="n">
        <v>0.4658951218251465</v>
      </c>
      <c r="N446" s="36" t="n">
        <v>0.4801478502475786</v>
      </c>
      <c r="O446" s="36" t="n">
        <v>-0.05909090909090908</v>
      </c>
      <c r="P446" s="36" t="n">
        <v>-0.112540192926045</v>
      </c>
      <c r="Q446" s="36" t="n">
        <v>-0.1728271728271729</v>
      </c>
      <c r="R446" s="36" t="n">
        <v>-0.104380746349378</v>
      </c>
      <c r="S446" s="36" t="n">
        <v>-0.1026335753766121</v>
      </c>
      <c r="T446" s="36" t="n">
        <v>-0.07903639919545458</v>
      </c>
      <c r="U446" s="31" t="n">
        <v>18970</v>
      </c>
      <c r="V446" s="31" t="n">
        <v>7070</v>
      </c>
      <c r="W446" s="36" t="n">
        <v>-0.5635213494992093</v>
      </c>
      <c r="X446" s="36" t="n">
        <v>0.1711456859971712</v>
      </c>
      <c r="Y446" s="31" t="n">
        <v>33416778</v>
      </c>
      <c r="Z446" s="31" t="n">
        <v>276690921840</v>
      </c>
      <c r="AA446" s="31" t="n">
        <v>2840006880</v>
      </c>
      <c r="AB446" s="31" t="n">
        <v>3068543679</v>
      </c>
      <c r="AC446" s="36" t="n">
        <v>0.01026418525448504</v>
      </c>
      <c r="AD446" s="29" t="inlineStr">
        <is>
          <t>yfinance_download</t>
        </is>
      </c>
      <c r="AE446" s="29" t="inlineStr">
        <is>
          <t>059090.KQ</t>
        </is>
      </c>
    </row>
    <row r="447" ht="24" customHeight="1">
      <c r="A447" s="24" t="inlineStr">
        <is>
          <t>2025-04-08</t>
        </is>
      </c>
      <c r="B447" s="30" t="n">
        <v>8500</v>
      </c>
      <c r="C447" s="30" t="n">
        <v>8630</v>
      </c>
      <c r="D447" s="30" t="n">
        <v>8350</v>
      </c>
      <c r="E447" s="30" t="n">
        <v>8370</v>
      </c>
      <c r="F447" s="30" t="n">
        <v>8370</v>
      </c>
      <c r="G447" s="30" t="n">
        <v>153931</v>
      </c>
      <c r="H447" s="35" t="n">
        <v>0.01086956521739135</v>
      </c>
      <c r="I447" s="35" t="n">
        <v>-0.5587770163415919</v>
      </c>
      <c r="J447" s="30" t="n">
        <v>9232.5</v>
      </c>
      <c r="K447" s="30" t="n">
        <v>9208.166666666666</v>
      </c>
      <c r="L447" s="30" t="n">
        <v>8978.833333333334</v>
      </c>
      <c r="M447" s="35" t="n">
        <v>0.4632637117312167</v>
      </c>
      <c r="N447" s="35" t="n">
        <v>0.479091002969281</v>
      </c>
      <c r="O447" s="35" t="n">
        <v>-0.02900232018561488</v>
      </c>
      <c r="P447" s="35" t="n">
        <v>-0.1189473684210526</v>
      </c>
      <c r="Q447" s="35" t="n">
        <v>-0.1441717791411042</v>
      </c>
      <c r="R447" s="35" t="n">
        <v>-0.09341998375304628</v>
      </c>
      <c r="S447" s="35" t="n">
        <v>-0.0910242719325236</v>
      </c>
      <c r="T447" s="35" t="n">
        <v>-0.06780762162864518</v>
      </c>
      <c r="U447" s="30" t="n">
        <v>18970</v>
      </c>
      <c r="V447" s="30" t="n">
        <v>7070</v>
      </c>
      <c r="W447" s="35" t="n">
        <v>-0.5587770163415919</v>
      </c>
      <c r="X447" s="35" t="n">
        <v>0.1838755304101838</v>
      </c>
      <c r="Y447" s="30" t="n">
        <v>33416778</v>
      </c>
      <c r="Z447" s="30" t="n">
        <v>279698431860</v>
      </c>
      <c r="AA447" s="30" t="n">
        <v>1288402470</v>
      </c>
      <c r="AB447" s="30" t="n">
        <v>3012275182.5</v>
      </c>
      <c r="AC447" s="35" t="n">
        <v>0.004606398618083407</v>
      </c>
      <c r="AD447" s="24" t="inlineStr">
        <is>
          <t>yfinance_download</t>
        </is>
      </c>
      <c r="AE447" s="24" t="inlineStr">
        <is>
          <t>059090.KQ</t>
        </is>
      </c>
    </row>
    <row r="448" ht="24" customHeight="1">
      <c r="A448" s="29" t="inlineStr">
        <is>
          <t>2025-04-09</t>
        </is>
      </c>
      <c r="B448" s="31" t="n">
        <v>8270</v>
      </c>
      <c r="C448" s="31" t="n">
        <v>8530</v>
      </c>
      <c r="D448" s="31" t="n">
        <v>8190</v>
      </c>
      <c r="E448" s="31" t="n">
        <v>8300</v>
      </c>
      <c r="F448" s="31" t="n">
        <v>8300</v>
      </c>
      <c r="G448" s="31" t="n">
        <v>210652</v>
      </c>
      <c r="H448" s="36" t="n">
        <v>-0.008363201911589013</v>
      </c>
      <c r="I448" s="36" t="n">
        <v>-0.562467053241961</v>
      </c>
      <c r="J448" s="31" t="n">
        <v>9202.5</v>
      </c>
      <c r="K448" s="31" t="n">
        <v>9183.5</v>
      </c>
      <c r="L448" s="31" t="n">
        <v>8962.166666666666</v>
      </c>
      <c r="M448" s="36" t="n">
        <v>0.4464128225730582</v>
      </c>
      <c r="N448" s="36" t="n">
        <v>0.4748454550896193</v>
      </c>
      <c r="O448" s="36" t="n">
        <v>-0.06741573033707871</v>
      </c>
      <c r="P448" s="36" t="n">
        <v>-0.1513292433537833</v>
      </c>
      <c r="Q448" s="36" t="n">
        <v>-0.1941747572815534</v>
      </c>
      <c r="R448" s="36" t="n">
        <v>-0.0980711763107851</v>
      </c>
      <c r="S448" s="36" t="n">
        <v>-0.09620515054173251</v>
      </c>
      <c r="T448" s="36" t="n">
        <v>-0.07388466330686394</v>
      </c>
      <c r="U448" s="31" t="n">
        <v>18970</v>
      </c>
      <c r="V448" s="31" t="n">
        <v>7070</v>
      </c>
      <c r="W448" s="36" t="n">
        <v>-0.562467053241961</v>
      </c>
      <c r="X448" s="36" t="n">
        <v>0.1739745403111739</v>
      </c>
      <c r="Y448" s="31" t="n">
        <v>33416778</v>
      </c>
      <c r="Z448" s="31" t="n">
        <v>277359257400</v>
      </c>
      <c r="AA448" s="31" t="n">
        <v>1748411600</v>
      </c>
      <c r="AB448" s="31" t="n">
        <v>3019729262.5</v>
      </c>
      <c r="AC448" s="36" t="n">
        <v>0.006303779496634894</v>
      </c>
      <c r="AD448" s="29" t="inlineStr">
        <is>
          <t>yfinance_download</t>
        </is>
      </c>
      <c r="AE448" s="29" t="inlineStr">
        <is>
          <t>059090.KQ</t>
        </is>
      </c>
    </row>
    <row r="449" ht="24" customHeight="1">
      <c r="A449" s="24" t="inlineStr">
        <is>
          <t>2025-04-10</t>
        </is>
      </c>
      <c r="B449" s="30" t="n">
        <v>8850</v>
      </c>
      <c r="C449" s="30" t="n">
        <v>9490</v>
      </c>
      <c r="D449" s="30" t="n">
        <v>8610</v>
      </c>
      <c r="E449" s="30" t="n">
        <v>8830</v>
      </c>
      <c r="F449" s="30" t="n">
        <v>8830</v>
      </c>
      <c r="G449" s="30" t="n">
        <v>498508</v>
      </c>
      <c r="H449" s="35" t="n">
        <v>0.06385542168674707</v>
      </c>
      <c r="I449" s="35" t="n">
        <v>-0.5345282024248814</v>
      </c>
      <c r="J449" s="30" t="n">
        <v>9172.5</v>
      </c>
      <c r="K449" s="30" t="n">
        <v>9169</v>
      </c>
      <c r="L449" s="30" t="n">
        <v>8948.166666666666</v>
      </c>
      <c r="M449" s="35" t="n">
        <v>0.4546131868613058</v>
      </c>
      <c r="N449" s="35" t="n">
        <v>0.4936073254528856</v>
      </c>
      <c r="O449" s="35" t="n">
        <v>-0.06362672322375396</v>
      </c>
      <c r="P449" s="35" t="n">
        <v>-0.08969072164948455</v>
      </c>
      <c r="Q449" s="35" t="n">
        <v>-0.159847764034253</v>
      </c>
      <c r="R449" s="35" t="n">
        <v>-0.03733987462523847</v>
      </c>
      <c r="S449" s="35" t="n">
        <v>-0.03697240702366666</v>
      </c>
      <c r="T449" s="35" t="n">
        <v>-0.01320568459088445</v>
      </c>
      <c r="U449" s="30" t="n">
        <v>18970</v>
      </c>
      <c r="V449" s="30" t="n">
        <v>7070</v>
      </c>
      <c r="W449" s="35" t="n">
        <v>-0.5345282024248814</v>
      </c>
      <c r="X449" s="35" t="n">
        <v>0.2489391796322489</v>
      </c>
      <c r="Y449" s="30" t="n">
        <v>33416778</v>
      </c>
      <c r="Z449" s="30" t="n">
        <v>295070149740</v>
      </c>
      <c r="AA449" s="30" t="n">
        <v>4401825640</v>
      </c>
      <c r="AB449" s="30" t="n">
        <v>2655979540</v>
      </c>
      <c r="AC449" s="35" t="n">
        <v>0.01491789543564014</v>
      </c>
      <c r="AD449" s="24" t="inlineStr">
        <is>
          <t>yfinance_download</t>
        </is>
      </c>
      <c r="AE449" s="24" t="inlineStr">
        <is>
          <t>059090.KQ</t>
        </is>
      </c>
    </row>
    <row r="450" ht="24" customHeight="1">
      <c r="A450" s="29" t="inlineStr">
        <is>
          <t>2025-04-11</t>
        </is>
      </c>
      <c r="B450" s="31" t="n">
        <v>8700</v>
      </c>
      <c r="C450" s="31" t="n">
        <v>9420</v>
      </c>
      <c r="D450" s="31" t="n">
        <v>8660</v>
      </c>
      <c r="E450" s="31" t="n">
        <v>9210</v>
      </c>
      <c r="F450" s="31" t="n">
        <v>9210</v>
      </c>
      <c r="G450" s="31" t="n">
        <v>276530</v>
      </c>
      <c r="H450" s="36" t="n">
        <v>0.04303510758776907</v>
      </c>
      <c r="I450" s="36" t="n">
        <v>-0.5144965735371639</v>
      </c>
      <c r="J450" s="31" t="n">
        <v>9138.5</v>
      </c>
      <c r="K450" s="31" t="n">
        <v>9161.333333333334</v>
      </c>
      <c r="L450" s="31" t="n">
        <v>8936.583333333334</v>
      </c>
      <c r="M450" s="36" t="n">
        <v>0.4463336171793618</v>
      </c>
      <c r="N450" s="36" t="n">
        <v>0.501792371888409</v>
      </c>
      <c r="O450" s="36" t="n">
        <v>-0.06875631951466132</v>
      </c>
      <c r="P450" s="36" t="n">
        <v>-0.04756980351602891</v>
      </c>
      <c r="Q450" s="36" t="n">
        <v>-0.1311320754716981</v>
      </c>
      <c r="R450" s="36" t="n">
        <v>0.007824041144607996</v>
      </c>
      <c r="S450" s="36" t="n">
        <v>0.005312181632949997</v>
      </c>
      <c r="T450" s="36" t="n">
        <v>0.03059521256259368</v>
      </c>
      <c r="U450" s="31" t="n">
        <v>18970</v>
      </c>
      <c r="V450" s="31" t="n">
        <v>7070</v>
      </c>
      <c r="W450" s="36" t="n">
        <v>-0.5144965735371639</v>
      </c>
      <c r="X450" s="36" t="n">
        <v>0.3026874115983027</v>
      </c>
      <c r="Y450" s="31" t="n">
        <v>33416778</v>
      </c>
      <c r="Z450" s="31" t="n">
        <v>307768525380</v>
      </c>
      <c r="AA450" s="31" t="n">
        <v>2546841300</v>
      </c>
      <c r="AB450" s="31" t="n">
        <v>2387646441</v>
      </c>
      <c r="AC450" s="36" t="n">
        <v>0.008275184399884393</v>
      </c>
      <c r="AD450" s="29" t="inlineStr">
        <is>
          <t>yfinance_download</t>
        </is>
      </c>
      <c r="AE450" s="29" t="inlineStr">
        <is>
          <t>059090.KQ</t>
        </is>
      </c>
    </row>
    <row r="451" ht="24" customHeight="1">
      <c r="A451" s="24" t="inlineStr">
        <is>
          <t>2025-04-14</t>
        </is>
      </c>
      <c r="B451" s="30" t="n">
        <v>9410</v>
      </c>
      <c r="C451" s="30" t="n">
        <v>9810</v>
      </c>
      <c r="D451" s="30" t="n">
        <v>9200</v>
      </c>
      <c r="E451" s="30" t="n">
        <v>9380</v>
      </c>
      <c r="F451" s="30" t="n">
        <v>9380</v>
      </c>
      <c r="G451" s="30" t="n">
        <v>393729</v>
      </c>
      <c r="H451" s="35" t="n">
        <v>0.01845819761129208</v>
      </c>
      <c r="I451" s="35" t="n">
        <v>-0.5055350553505535</v>
      </c>
      <c r="J451" s="30" t="n">
        <v>9098.5</v>
      </c>
      <c r="K451" s="30" t="n">
        <v>9161.833333333334</v>
      </c>
      <c r="L451" s="30" t="n">
        <v>8926.583333333334</v>
      </c>
      <c r="M451" s="35" t="n">
        <v>0.4374170152005058</v>
      </c>
      <c r="N451" s="35" t="n">
        <v>0.4985234616650421</v>
      </c>
      <c r="O451" s="35" t="n">
        <v>-0.07858546168958747</v>
      </c>
      <c r="P451" s="35" t="n">
        <v>0.003208556149732589</v>
      </c>
      <c r="Q451" s="35" t="n">
        <v>-0.1134215500945179</v>
      </c>
      <c r="R451" s="35" t="n">
        <v>0.03093916579655986</v>
      </c>
      <c r="S451" s="35" t="n">
        <v>0.02381255571119301</v>
      </c>
      <c r="T451" s="35" t="n">
        <v>0.05079397679216568</v>
      </c>
      <c r="U451" s="30" t="n">
        <v>18970</v>
      </c>
      <c r="V451" s="30" t="n">
        <v>7070</v>
      </c>
      <c r="W451" s="35" t="n">
        <v>-0.5055350553505535</v>
      </c>
      <c r="X451" s="35" t="n">
        <v>0.3267326732673268</v>
      </c>
      <c r="Y451" s="30" t="n">
        <v>33416778</v>
      </c>
      <c r="Z451" s="30" t="n">
        <v>313449377640</v>
      </c>
      <c r="AA451" s="30" t="n">
        <v>3693178020</v>
      </c>
      <c r="AB451" s="30" t="n">
        <v>2229900024</v>
      </c>
      <c r="AC451" s="35" t="n">
        <v>0.01178237471009324</v>
      </c>
      <c r="AD451" s="24" t="inlineStr">
        <is>
          <t>yfinance_download</t>
        </is>
      </c>
      <c r="AE451" s="24" t="inlineStr">
        <is>
          <t>059090.KQ</t>
        </is>
      </c>
    </row>
    <row r="452" ht="24" customHeight="1">
      <c r="A452" s="29" t="inlineStr">
        <is>
          <t>2025-04-15</t>
        </is>
      </c>
      <c r="B452" s="31" t="n">
        <v>9480</v>
      </c>
      <c r="C452" s="31" t="n">
        <v>9930</v>
      </c>
      <c r="D452" s="31" t="n">
        <v>9340</v>
      </c>
      <c r="E452" s="31" t="n">
        <v>9750</v>
      </c>
      <c r="F452" s="31" t="n">
        <v>9750</v>
      </c>
      <c r="G452" s="31" t="n">
        <v>277788</v>
      </c>
      <c r="H452" s="36" t="n">
        <v>0.03944562899786774</v>
      </c>
      <c r="I452" s="36" t="n">
        <v>-0.4860305745914602</v>
      </c>
      <c r="J452" s="31" t="n">
        <v>9091</v>
      </c>
      <c r="K452" s="31" t="n">
        <v>9169.5</v>
      </c>
      <c r="L452" s="31" t="n">
        <v>8917.75</v>
      </c>
      <c r="M452" s="36" t="n">
        <v>0.4534076553527309</v>
      </c>
      <c r="N452" s="36" t="n">
        <v>0.5046136478643609</v>
      </c>
      <c r="O452" s="36" t="n">
        <v>-0.01515151515151514</v>
      </c>
      <c r="P452" s="36" t="n">
        <v>0.04951560818083967</v>
      </c>
      <c r="Q452" s="36" t="n">
        <v>-0.09805735430157259</v>
      </c>
      <c r="R452" s="36" t="n">
        <v>0.07248927510724901</v>
      </c>
      <c r="S452" s="36" t="n">
        <v>0.0633077048912154</v>
      </c>
      <c r="T452" s="36" t="n">
        <v>0.09332511003336053</v>
      </c>
      <c r="U452" s="31" t="n">
        <v>18970</v>
      </c>
      <c r="V452" s="31" t="n">
        <v>7070</v>
      </c>
      <c r="W452" s="36" t="n">
        <v>-0.4860305745914602</v>
      </c>
      <c r="X452" s="36" t="n">
        <v>0.3790664780763791</v>
      </c>
      <c r="Y452" s="31" t="n">
        <v>33416778</v>
      </c>
      <c r="Z452" s="31" t="n">
        <v>325813585500</v>
      </c>
      <c r="AA452" s="31" t="n">
        <v>2708433000</v>
      </c>
      <c r="AB452" s="31" t="n">
        <v>2183157219</v>
      </c>
      <c r="AC452" s="36" t="n">
        <v>0.008312830159747897</v>
      </c>
      <c r="AD452" s="29" t="inlineStr">
        <is>
          <t>yfinance_download</t>
        </is>
      </c>
      <c r="AE452" s="29" t="inlineStr">
        <is>
          <t>059090.KQ</t>
        </is>
      </c>
    </row>
    <row r="453" ht="24" customHeight="1">
      <c r="A453" s="24" t="inlineStr">
        <is>
          <t>2025-04-16</t>
        </is>
      </c>
      <c r="B453" s="30" t="n">
        <v>9640</v>
      </c>
      <c r="C453" s="30" t="n">
        <v>9810</v>
      </c>
      <c r="D453" s="30" t="n">
        <v>9300</v>
      </c>
      <c r="E453" s="30" t="n">
        <v>9330</v>
      </c>
      <c r="F453" s="30" t="n">
        <v>9330</v>
      </c>
      <c r="G453" s="30" t="n">
        <v>151160</v>
      </c>
      <c r="H453" s="35" t="n">
        <v>-0.04307692307692312</v>
      </c>
      <c r="I453" s="35" t="n">
        <v>-0.5081707959936742</v>
      </c>
      <c r="J453" s="30" t="n">
        <v>9069.5</v>
      </c>
      <c r="K453" s="30" t="n">
        <v>9168.5</v>
      </c>
      <c r="L453" s="30" t="n">
        <v>8908.833333333334</v>
      </c>
      <c r="M453" s="35" t="n">
        <v>0.4761229341758956</v>
      </c>
      <c r="N453" s="35" t="n">
        <v>0.5123070375137062</v>
      </c>
      <c r="O453" s="35" t="n">
        <v>-0.04405737704918034</v>
      </c>
      <c r="P453" s="35" t="n">
        <v>-0.006389776357827448</v>
      </c>
      <c r="Q453" s="35" t="n">
        <v>-0.1028846153846154</v>
      </c>
      <c r="R453" s="35" t="n">
        <v>0.02872264182148965</v>
      </c>
      <c r="S453" s="35" t="n">
        <v>0.01761465888640457</v>
      </c>
      <c r="T453" s="35" t="n">
        <v>0.04727517632312495</v>
      </c>
      <c r="U453" s="30" t="n">
        <v>18970</v>
      </c>
      <c r="V453" s="30" t="n">
        <v>7070</v>
      </c>
      <c r="W453" s="35" t="n">
        <v>-0.5081707959936742</v>
      </c>
      <c r="X453" s="35" t="n">
        <v>0.3196605374823196</v>
      </c>
      <c r="Y453" s="30" t="n">
        <v>33416778</v>
      </c>
      <c r="Z453" s="30" t="n">
        <v>311778538740</v>
      </c>
      <c r="AA453" s="30" t="n">
        <v>1410322800</v>
      </c>
      <c r="AB453" s="30" t="n">
        <v>2144919143</v>
      </c>
      <c r="AC453" s="35" t="n">
        <v>0.004523476201086772</v>
      </c>
      <c r="AD453" s="24" t="inlineStr">
        <is>
          <t>yfinance_download</t>
        </is>
      </c>
      <c r="AE453" s="24" t="inlineStr">
        <is>
          <t>059090.KQ</t>
        </is>
      </c>
    </row>
    <row r="454" ht="24" customHeight="1">
      <c r="A454" s="29" t="inlineStr">
        <is>
          <t>2025-04-17</t>
        </is>
      </c>
      <c r="B454" s="31" t="n">
        <v>9220</v>
      </c>
      <c r="C454" s="31" t="n">
        <v>9510</v>
      </c>
      <c r="D454" s="31" t="n">
        <v>9220</v>
      </c>
      <c r="E454" s="31" t="n">
        <v>9450</v>
      </c>
      <c r="F454" s="31" t="n">
        <v>9450</v>
      </c>
      <c r="G454" s="31" t="n">
        <v>55799</v>
      </c>
      <c r="H454" s="36" t="n">
        <v>0.01286173633440524</v>
      </c>
      <c r="I454" s="36" t="n">
        <v>-0.5018450184501845</v>
      </c>
      <c r="J454" s="31" t="n">
        <v>9057.5</v>
      </c>
      <c r="K454" s="31" t="n">
        <v>9170.666666666666</v>
      </c>
      <c r="L454" s="31" t="n">
        <v>8897.166666666666</v>
      </c>
      <c r="M454" s="36" t="n">
        <v>0.4784431048663752</v>
      </c>
      <c r="N454" s="36" t="n">
        <v>0.5126675097211917</v>
      </c>
      <c r="O454" s="36" t="n">
        <v>-0.02476780185758509</v>
      </c>
      <c r="P454" s="36" t="n">
        <v>0.01394849785407715</v>
      </c>
      <c r="Q454" s="36" t="n">
        <v>-0.1290322580645161</v>
      </c>
      <c r="R454" s="36" t="n">
        <v>0.0433342533811758</v>
      </c>
      <c r="S454" s="36" t="n">
        <v>0.03045943588252409</v>
      </c>
      <c r="T454" s="36" t="n">
        <v>0.06213588595620334</v>
      </c>
      <c r="U454" s="31" t="n">
        <v>18970</v>
      </c>
      <c r="V454" s="31" t="n">
        <v>7070</v>
      </c>
      <c r="W454" s="36" t="n">
        <v>-0.5018450184501845</v>
      </c>
      <c r="X454" s="36" t="n">
        <v>0.3366336633663367</v>
      </c>
      <c r="Y454" s="31" t="n">
        <v>33416778</v>
      </c>
      <c r="Z454" s="31" t="n">
        <v>315788552100</v>
      </c>
      <c r="AA454" s="31" t="n">
        <v>527300550</v>
      </c>
      <c r="AB454" s="31" t="n">
        <v>2066764923.5</v>
      </c>
      <c r="AC454" s="36" t="n">
        <v>0.001669789948031495</v>
      </c>
      <c r="AD454" s="29" t="inlineStr">
        <is>
          <t>yfinance_download</t>
        </is>
      </c>
      <c r="AE454" s="29" t="inlineStr">
        <is>
          <t>059090.KQ</t>
        </is>
      </c>
    </row>
    <row r="455" ht="24" customHeight="1">
      <c r="A455" s="24" t="inlineStr">
        <is>
          <t>2025-04-18</t>
        </is>
      </c>
      <c r="B455" s="30" t="n">
        <v>9800</v>
      </c>
      <c r="C455" s="30" t="n">
        <v>9920</v>
      </c>
      <c r="D455" s="30" t="n">
        <v>9560</v>
      </c>
      <c r="E455" s="30" t="n">
        <v>9710</v>
      </c>
      <c r="F455" s="30" t="n">
        <v>9710</v>
      </c>
      <c r="G455" s="30" t="n">
        <v>247267</v>
      </c>
      <c r="H455" s="35" t="n">
        <v>0.02751322751322749</v>
      </c>
      <c r="I455" s="35" t="n">
        <v>-0.4881391671059567</v>
      </c>
      <c r="J455" s="30" t="n">
        <v>9062</v>
      </c>
      <c r="K455" s="30" t="n">
        <v>9174.5</v>
      </c>
      <c r="L455" s="30" t="n">
        <v>8892.25</v>
      </c>
      <c r="M455" s="35" t="n">
        <v>0.4880704179304172</v>
      </c>
      <c r="N455" s="35" t="n">
        <v>0.5145182265962561</v>
      </c>
      <c r="O455" s="35" t="n">
        <v>0.009355509355509328</v>
      </c>
      <c r="P455" s="35" t="n">
        <v>0.02426160337552741</v>
      </c>
      <c r="Q455" s="35" t="n">
        <v>-0.05728155339805829</v>
      </c>
      <c r="R455" s="35" t="n">
        <v>0.07150739351136615</v>
      </c>
      <c r="S455" s="35" t="n">
        <v>0.05836830344977928</v>
      </c>
      <c r="T455" s="35" t="n">
        <v>0.09196210183024545</v>
      </c>
      <c r="U455" s="30" t="n">
        <v>18970</v>
      </c>
      <c r="V455" s="30" t="n">
        <v>7070</v>
      </c>
      <c r="W455" s="35" t="n">
        <v>-0.4881391671059567</v>
      </c>
      <c r="X455" s="35" t="n">
        <v>0.3734087694483734</v>
      </c>
      <c r="Y455" s="30" t="n">
        <v>33416778</v>
      </c>
      <c r="Z455" s="30" t="n">
        <v>324476914380</v>
      </c>
      <c r="AA455" s="30" t="n">
        <v>2400962570</v>
      </c>
      <c r="AB455" s="30" t="n">
        <v>2061905529</v>
      </c>
      <c r="AC455" s="35" t="n">
        <v>0.00739948656929163</v>
      </c>
      <c r="AD455" s="24" t="inlineStr">
        <is>
          <t>yfinance_download</t>
        </is>
      </c>
      <c r="AE455" s="24" t="inlineStr">
        <is>
          <t>059090.KQ</t>
        </is>
      </c>
    </row>
    <row r="456" ht="24" customHeight="1">
      <c r="A456" s="29" t="inlineStr">
        <is>
          <t>2025-04-21</t>
        </is>
      </c>
      <c r="B456" s="31" t="n">
        <v>9710</v>
      </c>
      <c r="C456" s="31" t="n">
        <v>9940</v>
      </c>
      <c r="D456" s="31" t="n">
        <v>9630</v>
      </c>
      <c r="E456" s="31" t="n">
        <v>9710</v>
      </c>
      <c r="F456" s="31" t="n">
        <v>9710</v>
      </c>
      <c r="G456" s="31" t="n">
        <v>100998</v>
      </c>
      <c r="H456" s="36" t="n">
        <v>0</v>
      </c>
      <c r="I456" s="36" t="n">
        <v>-0.4881391671059567</v>
      </c>
      <c r="J456" s="31" t="n">
        <v>9067.5</v>
      </c>
      <c r="K456" s="31" t="n">
        <v>9179.333333333334</v>
      </c>
      <c r="L456" s="31" t="n">
        <v>8885.333333333334</v>
      </c>
      <c r="M456" s="36" t="n">
        <v>0.4879570506630316</v>
      </c>
      <c r="N456" s="36" t="n">
        <v>0.5143010000604538</v>
      </c>
      <c r="O456" s="36" t="n">
        <v>0.01145833333333335</v>
      </c>
      <c r="P456" s="36" t="n">
        <v>0.03078556263269649</v>
      </c>
      <c r="Q456" s="36" t="n">
        <v>-0.07874762808349145</v>
      </c>
      <c r="R456" s="36" t="n">
        <v>0.07085745795423204</v>
      </c>
      <c r="S456" s="36" t="n">
        <v>0.05781102476577815</v>
      </c>
      <c r="T456" s="36" t="n">
        <v>0.09281212484993984</v>
      </c>
      <c r="U456" s="31" t="n">
        <v>18970</v>
      </c>
      <c r="V456" s="31" t="n">
        <v>7070</v>
      </c>
      <c r="W456" s="36" t="n">
        <v>-0.4881391671059567</v>
      </c>
      <c r="X456" s="36" t="n">
        <v>0.3734087694483734</v>
      </c>
      <c r="Y456" s="31" t="n">
        <v>33416778</v>
      </c>
      <c r="Z456" s="31" t="n">
        <v>324476914380</v>
      </c>
      <c r="AA456" s="31" t="n">
        <v>980690580</v>
      </c>
      <c r="AB456" s="31" t="n">
        <v>2030261658</v>
      </c>
      <c r="AC456" s="36" t="n">
        <v>0.003022373970345076</v>
      </c>
      <c r="AD456" s="29" t="inlineStr">
        <is>
          <t>yfinance_download</t>
        </is>
      </c>
      <c r="AE456" s="29" t="inlineStr">
        <is>
          <t>059090.KQ</t>
        </is>
      </c>
    </row>
    <row r="457" ht="24" customHeight="1">
      <c r="A457" s="24" t="inlineStr">
        <is>
          <t>2025-04-22</t>
        </is>
      </c>
      <c r="B457" s="30" t="n">
        <v>9510</v>
      </c>
      <c r="C457" s="30" t="n">
        <v>9660</v>
      </c>
      <c r="D457" s="30" t="n">
        <v>9510</v>
      </c>
      <c r="E457" s="30" t="n">
        <v>9580</v>
      </c>
      <c r="F457" s="30" t="n">
        <v>9580</v>
      </c>
      <c r="G457" s="30" t="n">
        <v>79233</v>
      </c>
      <c r="H457" s="35" t="n">
        <v>-0.01338825952626155</v>
      </c>
      <c r="I457" s="35" t="n">
        <v>-0.4949920927780707</v>
      </c>
      <c r="J457" s="30" t="n">
        <v>9082</v>
      </c>
      <c r="K457" s="30" t="n">
        <v>9183.5</v>
      </c>
      <c r="L457" s="30" t="n">
        <v>8881.25</v>
      </c>
      <c r="M457" s="35" t="n">
        <v>0.475290846663815</v>
      </c>
      <c r="N457" s="35" t="n">
        <v>0.5146976287671255</v>
      </c>
      <c r="O457" s="35" t="n">
        <v>0.03121636167922492</v>
      </c>
      <c r="P457" s="35" t="n">
        <v>0.02679528403001075</v>
      </c>
      <c r="Q457" s="35" t="n">
        <v>-0.04865938430983119</v>
      </c>
      <c r="R457" s="35" t="n">
        <v>0.05483373706232109</v>
      </c>
      <c r="S457" s="35" t="n">
        <v>0.0431752599771329</v>
      </c>
      <c r="T457" s="35" t="n">
        <v>0.07867698803659384</v>
      </c>
      <c r="U457" s="30" t="n">
        <v>18970</v>
      </c>
      <c r="V457" s="30" t="n">
        <v>7070</v>
      </c>
      <c r="W457" s="35" t="n">
        <v>-0.4949920927780707</v>
      </c>
      <c r="X457" s="35" t="n">
        <v>0.355021216407355</v>
      </c>
      <c r="Y457" s="30" t="n">
        <v>33416778</v>
      </c>
      <c r="Z457" s="30" t="n">
        <v>320132733240</v>
      </c>
      <c r="AA457" s="30" t="n">
        <v>759052140</v>
      </c>
      <c r="AB457" s="30" t="n">
        <v>1962182850</v>
      </c>
      <c r="AC457" s="35" t="n">
        <v>0.002371054444566739</v>
      </c>
      <c r="AD457" s="24" t="inlineStr">
        <is>
          <t>yfinance_download</t>
        </is>
      </c>
      <c r="AE457" s="24" t="inlineStr">
        <is>
          <t>059090.KQ</t>
        </is>
      </c>
    </row>
    <row r="458" ht="24" customHeight="1">
      <c r="A458" s="29" t="inlineStr">
        <is>
          <t>2025-04-23</t>
        </is>
      </c>
      <c r="B458" s="31" t="n">
        <v>9850</v>
      </c>
      <c r="C458" s="31" t="n">
        <v>10090</v>
      </c>
      <c r="D458" s="31" t="n">
        <v>9710</v>
      </c>
      <c r="E458" s="31" t="n">
        <v>10030</v>
      </c>
      <c r="F458" s="31" t="n">
        <v>10030</v>
      </c>
      <c r="G458" s="31" t="n">
        <v>255902</v>
      </c>
      <c r="H458" s="36" t="n">
        <v>0.04697286012526103</v>
      </c>
      <c r="I458" s="36" t="n">
        <v>-0.4712704269899842</v>
      </c>
      <c r="J458" s="31" t="n">
        <v>9111</v>
      </c>
      <c r="K458" s="31" t="n">
        <v>9185.5</v>
      </c>
      <c r="L458" s="31" t="n">
        <v>8883.333333333334</v>
      </c>
      <c r="M458" s="36" t="n">
        <v>0.499093983804886</v>
      </c>
      <c r="N458" s="36" t="n">
        <v>0.5078776565958</v>
      </c>
      <c r="O458" s="36" t="n">
        <v>0.06137566137566131</v>
      </c>
      <c r="P458" s="36" t="n">
        <v>0.01210898082744705</v>
      </c>
      <c r="Q458" s="36" t="n">
        <v>0.02556237218813906</v>
      </c>
      <c r="R458" s="36" t="n">
        <v>0.1008670837449237</v>
      </c>
      <c r="S458" s="36" t="n">
        <v>0.09193838114419473</v>
      </c>
      <c r="T458" s="36" t="n">
        <v>0.1290806754221387</v>
      </c>
      <c r="U458" s="31" t="n">
        <v>18970</v>
      </c>
      <c r="V458" s="31" t="n">
        <v>7070</v>
      </c>
      <c r="W458" s="36" t="n">
        <v>-0.4712704269899842</v>
      </c>
      <c r="X458" s="36" t="n">
        <v>0.4186704384724187</v>
      </c>
      <c r="Y458" s="31" t="n">
        <v>33416778</v>
      </c>
      <c r="Z458" s="31" t="n">
        <v>335170283340</v>
      </c>
      <c r="AA458" s="31" t="n">
        <v>2566697060</v>
      </c>
      <c r="AB458" s="31" t="n">
        <v>2012475823</v>
      </c>
      <c r="AC458" s="36" t="n">
        <v>0.007657889698402401</v>
      </c>
      <c r="AD458" s="29" t="inlineStr">
        <is>
          <t>yfinance_download</t>
        </is>
      </c>
      <c r="AE458" s="29" t="inlineStr">
        <is>
          <t>059090.KQ</t>
        </is>
      </c>
    </row>
    <row r="459" ht="24" customHeight="1">
      <c r="A459" s="24" t="inlineStr">
        <is>
          <t>2025-04-24</t>
        </is>
      </c>
      <c r="B459" s="30" t="n">
        <v>10040</v>
      </c>
      <c r="C459" s="30" t="n">
        <v>10100</v>
      </c>
      <c r="D459" s="30" t="n">
        <v>9910</v>
      </c>
      <c r="E459" s="30" t="n">
        <v>10090</v>
      </c>
      <c r="F459" s="30" t="n">
        <v>10090</v>
      </c>
      <c r="G459" s="30" t="n">
        <v>103376</v>
      </c>
      <c r="H459" s="35" t="n">
        <v>0.005982053838484491</v>
      </c>
      <c r="I459" s="35" t="n">
        <v>-0.4681075382182394</v>
      </c>
      <c r="J459" s="30" t="n">
        <v>9155.5</v>
      </c>
      <c r="K459" s="30" t="n">
        <v>9200.166666666666</v>
      </c>
      <c r="L459" s="30" t="n">
        <v>8882.583333333334</v>
      </c>
      <c r="M459" s="35" t="n">
        <v>0.4864353739566086</v>
      </c>
      <c r="N459" s="35" t="n">
        <v>0.4856982290250506</v>
      </c>
      <c r="O459" s="35" t="n">
        <v>0.09673913043478266</v>
      </c>
      <c r="P459" s="35" t="n">
        <v>0.09554831704668842</v>
      </c>
      <c r="Q459" s="35" t="n">
        <v>-0.008840864440078589</v>
      </c>
      <c r="R459" s="35" t="n">
        <v>0.1020697941128283</v>
      </c>
      <c r="S459" s="35" t="n">
        <v>0.09671926233220418</v>
      </c>
      <c r="T459" s="35" t="n">
        <v>0.1359308009118969</v>
      </c>
      <c r="U459" s="30" t="n">
        <v>18970</v>
      </c>
      <c r="V459" s="30" t="n">
        <v>7070</v>
      </c>
      <c r="W459" s="35" t="n">
        <v>-0.4681075382182394</v>
      </c>
      <c r="X459" s="35" t="n">
        <v>0.4271570014144273</v>
      </c>
      <c r="Y459" s="30" t="n">
        <v>33416778</v>
      </c>
      <c r="Z459" s="30" t="n">
        <v>337175290020</v>
      </c>
      <c r="AA459" s="30" t="n">
        <v>1043063840</v>
      </c>
      <c r="AB459" s="30" t="n">
        <v>1958696075</v>
      </c>
      <c r="AC459" s="35" t="n">
        <v>0.003093535828020284</v>
      </c>
      <c r="AD459" s="24" t="inlineStr">
        <is>
          <t>yfinance_download</t>
        </is>
      </c>
      <c r="AE459" s="24" t="inlineStr">
        <is>
          <t>059090.KQ</t>
        </is>
      </c>
    </row>
    <row r="460" ht="24" customHeight="1">
      <c r="A460" s="29" t="inlineStr">
        <is>
          <t>2025-04-25</t>
        </is>
      </c>
      <c r="B460" s="31" t="n">
        <v>10180</v>
      </c>
      <c r="C460" s="31" t="n">
        <v>10400</v>
      </c>
      <c r="D460" s="31" t="n">
        <v>10080</v>
      </c>
      <c r="E460" s="31" t="n">
        <v>10210</v>
      </c>
      <c r="F460" s="31" t="n">
        <v>10210</v>
      </c>
      <c r="G460" s="31" t="n">
        <v>246146</v>
      </c>
      <c r="H460" s="36" t="n">
        <v>0.01189296333002976</v>
      </c>
      <c r="I460" s="36" t="n">
        <v>-0.4617817606747496</v>
      </c>
      <c r="J460" s="31" t="n">
        <v>9213.5</v>
      </c>
      <c r="K460" s="31" t="n">
        <v>9209.333333333334</v>
      </c>
      <c r="L460" s="31" t="n">
        <v>8885.416666666666</v>
      </c>
      <c r="M460" s="36" t="n">
        <v>0.48025779967469</v>
      </c>
      <c r="N460" s="36" t="n">
        <v>0.4762759947675935</v>
      </c>
      <c r="O460" s="36" t="n">
        <v>0.1281767955801105</v>
      </c>
      <c r="P460" s="36" t="n">
        <v>0.05693581780538293</v>
      </c>
      <c r="Q460" s="36" t="n">
        <v>0.03444782168186422</v>
      </c>
      <c r="R460" s="36" t="n">
        <v>0.1081565094697998</v>
      </c>
      <c r="S460" s="36" t="n">
        <v>0.1086578833067902</v>
      </c>
      <c r="T460" s="36" t="n">
        <v>0.1490738569753811</v>
      </c>
      <c r="U460" s="31" t="n">
        <v>18970</v>
      </c>
      <c r="V460" s="31" t="n">
        <v>7070</v>
      </c>
      <c r="W460" s="36" t="n">
        <v>-0.4617817606747496</v>
      </c>
      <c r="X460" s="36" t="n">
        <v>0.4441301272984441</v>
      </c>
      <c r="Y460" s="31" t="n">
        <v>33416778</v>
      </c>
      <c r="Z460" s="31" t="n">
        <v>341185303380</v>
      </c>
      <c r="AA460" s="31" t="n">
        <v>2513150660</v>
      </c>
      <c r="AB460" s="31" t="n">
        <v>1976525120.5</v>
      </c>
      <c r="AC460" s="36" t="n">
        <v>0.007365940546392593</v>
      </c>
      <c r="AD460" s="29" t="inlineStr">
        <is>
          <t>yfinance_download</t>
        </is>
      </c>
      <c r="AE460" s="29" t="inlineStr">
        <is>
          <t>059090.KQ</t>
        </is>
      </c>
    </row>
    <row r="461" ht="24" customHeight="1">
      <c r="A461" s="24" t="inlineStr">
        <is>
          <t>2025-04-28</t>
        </is>
      </c>
      <c r="B461" s="30" t="n">
        <v>10240</v>
      </c>
      <c r="C461" s="30" t="n">
        <v>10320</v>
      </c>
      <c r="D461" s="30" t="n">
        <v>9930</v>
      </c>
      <c r="E461" s="30" t="n">
        <v>10040</v>
      </c>
      <c r="F461" s="30" t="n">
        <v>10040</v>
      </c>
      <c r="G461" s="30" t="n">
        <v>141496</v>
      </c>
      <c r="H461" s="35" t="n">
        <v>-0.01665034280117528</v>
      </c>
      <c r="I461" s="35" t="n">
        <v>-0.47074327886136</v>
      </c>
      <c r="J461" s="30" t="n">
        <v>9275</v>
      </c>
      <c r="K461" s="30" t="n">
        <v>9227.166666666666</v>
      </c>
      <c r="L461" s="30" t="n">
        <v>8890</v>
      </c>
      <c r="M461" s="35" t="n">
        <v>0.472477585945406</v>
      </c>
      <c r="N461" s="35" t="n">
        <v>0.4531871345688332</v>
      </c>
      <c r="O461" s="35" t="n">
        <v>0.1396140749148695</v>
      </c>
      <c r="P461" s="35" t="n">
        <v>0.1192865105908585</v>
      </c>
      <c r="Q461" s="35" t="n">
        <v>0.05795574288724969</v>
      </c>
      <c r="R461" s="35" t="n">
        <v>0.08247978436657677</v>
      </c>
      <c r="S461" s="35" t="n">
        <v>0.08809132453082391</v>
      </c>
      <c r="T461" s="35" t="n">
        <v>0.1293588301462316</v>
      </c>
      <c r="U461" s="30" t="n">
        <v>18970</v>
      </c>
      <c r="V461" s="30" t="n">
        <v>7070</v>
      </c>
      <c r="W461" s="35" t="n">
        <v>-0.47074327886136</v>
      </c>
      <c r="X461" s="35" t="n">
        <v>0.42008486562942</v>
      </c>
      <c r="Y461" s="30" t="n">
        <v>33416778</v>
      </c>
      <c r="Z461" s="30" t="n">
        <v>335504451120</v>
      </c>
      <c r="AA461" s="30" t="n">
        <v>1420619840</v>
      </c>
      <c r="AB461" s="30" t="n">
        <v>1952486521.5</v>
      </c>
      <c r="AC461" s="35" t="n">
        <v>0.004234280157111497</v>
      </c>
      <c r="AD461" s="24" t="inlineStr">
        <is>
          <t>yfinance_download</t>
        </is>
      </c>
      <c r="AE461" s="24" t="inlineStr">
        <is>
          <t>059090.KQ</t>
        </is>
      </c>
    </row>
    <row r="462" ht="24" customHeight="1">
      <c r="A462" s="29" t="inlineStr">
        <is>
          <t>2025-04-29</t>
        </is>
      </c>
      <c r="B462" s="31" t="n">
        <v>10150</v>
      </c>
      <c r="C462" s="31" t="n">
        <v>10410</v>
      </c>
      <c r="D462" s="31" t="n">
        <v>10120</v>
      </c>
      <c r="E462" s="31" t="n">
        <v>10380</v>
      </c>
      <c r="F462" s="31" t="n">
        <v>10380</v>
      </c>
      <c r="G462" s="31" t="n">
        <v>176609</v>
      </c>
      <c r="H462" s="36" t="n">
        <v>0.03386454183266929</v>
      </c>
      <c r="I462" s="36" t="n">
        <v>-0.4528202424881391</v>
      </c>
      <c r="J462" s="31" t="n">
        <v>9352.5</v>
      </c>
      <c r="K462" s="31" t="n">
        <v>9257.333333333334</v>
      </c>
      <c r="L462" s="31" t="n">
        <v>8896.5</v>
      </c>
      <c r="M462" s="36" t="n">
        <v>0.481526703527072</v>
      </c>
      <c r="N462" s="36" t="n">
        <v>0.4470101521502798</v>
      </c>
      <c r="O462" s="36" t="n">
        <v>0.175537938844847</v>
      </c>
      <c r="P462" s="36" t="n">
        <v>0.2112018669778297</v>
      </c>
      <c r="Q462" s="36" t="n">
        <v>0.08125000000000004</v>
      </c>
      <c r="R462" s="36" t="n">
        <v>0.1098636728147555</v>
      </c>
      <c r="S462" s="36" t="n">
        <v>0.1212732248307646</v>
      </c>
      <c r="T462" s="36" t="n">
        <v>0.1667509694823808</v>
      </c>
      <c r="U462" s="31" t="n">
        <v>18970</v>
      </c>
      <c r="V462" s="31" t="n">
        <v>7070</v>
      </c>
      <c r="W462" s="36" t="n">
        <v>-0.4528202424881391</v>
      </c>
      <c r="X462" s="36" t="n">
        <v>0.4681753889674682</v>
      </c>
      <c r="Y462" s="31" t="n">
        <v>33416778</v>
      </c>
      <c r="Z462" s="31" t="n">
        <v>346866155640</v>
      </c>
      <c r="AA462" s="31" t="n">
        <v>1833201420</v>
      </c>
      <c r="AB462" s="31" t="n">
        <v>1943170244.5</v>
      </c>
      <c r="AC462" s="36" t="n">
        <v>0.005285039748595751</v>
      </c>
      <c r="AD462" s="29" t="inlineStr">
        <is>
          <t>yfinance_download</t>
        </is>
      </c>
      <c r="AE462" s="29" t="inlineStr">
        <is>
          <t>059090.KQ</t>
        </is>
      </c>
    </row>
    <row r="463" ht="24" customHeight="1">
      <c r="A463" s="24" t="inlineStr">
        <is>
          <t>2025-04-30</t>
        </is>
      </c>
      <c r="B463" s="30" t="n">
        <v>10470</v>
      </c>
      <c r="C463" s="30" t="n">
        <v>10660</v>
      </c>
      <c r="D463" s="30" t="n">
        <v>10240</v>
      </c>
      <c r="E463" s="30" t="n">
        <v>10380</v>
      </c>
      <c r="F463" s="30" t="n">
        <v>10380</v>
      </c>
      <c r="G463" s="30" t="n">
        <v>169374</v>
      </c>
      <c r="H463" s="35" t="n">
        <v>0</v>
      </c>
      <c r="I463" s="35" t="n">
        <v>-0.4528202424881391</v>
      </c>
      <c r="J463" s="30" t="n">
        <v>9429.5</v>
      </c>
      <c r="K463" s="30" t="n">
        <v>9283.666666666666</v>
      </c>
      <c r="L463" s="30" t="n">
        <v>8905</v>
      </c>
      <c r="M463" s="35" t="n">
        <v>0.4817749991976259</v>
      </c>
      <c r="N463" s="35" t="n">
        <v>0.4444238504036038</v>
      </c>
      <c r="O463" s="35" t="n">
        <v>0.1742081447963801</v>
      </c>
      <c r="P463" s="35" t="n">
        <v>0.1795454545454545</v>
      </c>
      <c r="Q463" s="35" t="n">
        <v>0.108974358974359</v>
      </c>
      <c r="R463" s="35" t="n">
        <v>0.1008006787210352</v>
      </c>
      <c r="S463" s="35" t="n">
        <v>0.1180927076227065</v>
      </c>
      <c r="T463" s="35" t="n">
        <v>0.1656372824256036</v>
      </c>
      <c r="U463" s="30" t="n">
        <v>18970</v>
      </c>
      <c r="V463" s="30" t="n">
        <v>7070</v>
      </c>
      <c r="W463" s="35" t="n">
        <v>-0.4528202424881391</v>
      </c>
      <c r="X463" s="35" t="n">
        <v>0.4681753889674682</v>
      </c>
      <c r="Y463" s="30" t="n">
        <v>33416778</v>
      </c>
      <c r="Z463" s="30" t="n">
        <v>346866155640</v>
      </c>
      <c r="AA463" s="30" t="n">
        <v>1758102120</v>
      </c>
      <c r="AB463" s="30" t="n">
        <v>1970165982.5</v>
      </c>
      <c r="AC463" s="35" t="n">
        <v>0.005068531741749608</v>
      </c>
      <c r="AD463" s="24" t="inlineStr">
        <is>
          <t>yfinance_download</t>
        </is>
      </c>
      <c r="AE463" s="24" t="inlineStr">
        <is>
          <t>059090.KQ</t>
        </is>
      </c>
    </row>
    <row r="464" ht="24" customHeight="1">
      <c r="A464" s="29" t="inlineStr">
        <is>
          <t>2025-05-02</t>
        </is>
      </c>
      <c r="B464" s="31" t="n">
        <v>10280</v>
      </c>
      <c r="C464" s="31" t="n">
        <v>10420</v>
      </c>
      <c r="D464" s="31" t="n">
        <v>9950</v>
      </c>
      <c r="E464" s="31" t="n">
        <v>10100</v>
      </c>
      <c r="F464" s="31" t="n">
        <v>10100</v>
      </c>
      <c r="G464" s="31" t="n">
        <v>118037</v>
      </c>
      <c r="H464" s="36" t="n">
        <v>-0.02697495183044318</v>
      </c>
      <c r="I464" s="36" t="n">
        <v>-0.4675803900896152</v>
      </c>
      <c r="J464" s="31" t="n">
        <v>9498</v>
      </c>
      <c r="K464" s="31" t="n">
        <v>9305.5</v>
      </c>
      <c r="L464" s="31" t="n">
        <v>8910.25</v>
      </c>
      <c r="M464" s="36" t="n">
        <v>0.4927887678171197</v>
      </c>
      <c r="N464" s="36" t="n">
        <v>0.4486203882121773</v>
      </c>
      <c r="O464" s="36" t="n">
        <v>0.1569301260022911</v>
      </c>
      <c r="P464" s="36" t="n">
        <v>0.1490329920364051</v>
      </c>
      <c r="Q464" s="36" t="n">
        <v>0.06652587117212239</v>
      </c>
      <c r="R464" s="36" t="n">
        <v>0.06338176458201716</v>
      </c>
      <c r="S464" s="36" t="n">
        <v>0.08537961420665208</v>
      </c>
      <c r="T464" s="36" t="n">
        <v>0.1335259953424426</v>
      </c>
      <c r="U464" s="31" t="n">
        <v>18970</v>
      </c>
      <c r="V464" s="31" t="n">
        <v>7070</v>
      </c>
      <c r="W464" s="36" t="n">
        <v>-0.4675803900896152</v>
      </c>
      <c r="X464" s="36" t="n">
        <v>0.4285714285714286</v>
      </c>
      <c r="Y464" s="31" t="n">
        <v>33416778</v>
      </c>
      <c r="Z464" s="31" t="n">
        <v>337509457800</v>
      </c>
      <c r="AA464" s="31" t="n">
        <v>1192173700</v>
      </c>
      <c r="AB464" s="31" t="n">
        <v>1967144774.5</v>
      </c>
      <c r="AC464" s="36" t="n">
        <v>0.003532267533392956</v>
      </c>
      <c r="AD464" s="29" t="inlineStr">
        <is>
          <t>yfinance_download</t>
        </is>
      </c>
      <c r="AE464" s="29" t="inlineStr">
        <is>
          <t>059090.KQ</t>
        </is>
      </c>
    </row>
    <row r="465" ht="24" customHeight="1">
      <c r="A465" s="24" t="inlineStr">
        <is>
          <t>2025-05-07</t>
        </is>
      </c>
      <c r="B465" s="30" t="n">
        <v>10230</v>
      </c>
      <c r="C465" s="30" t="n">
        <v>11360</v>
      </c>
      <c r="D465" s="30" t="n">
        <v>10200</v>
      </c>
      <c r="E465" s="30" t="n">
        <v>11060</v>
      </c>
      <c r="F465" s="30" t="n">
        <v>11060</v>
      </c>
      <c r="G465" s="30" t="n">
        <v>636850</v>
      </c>
      <c r="H465" s="35" t="n">
        <v>0.09504950495049513</v>
      </c>
      <c r="I465" s="35" t="n">
        <v>-0.4169741697416974</v>
      </c>
      <c r="J465" s="30" t="n">
        <v>9609.5</v>
      </c>
      <c r="K465" s="30" t="n">
        <v>9336</v>
      </c>
      <c r="L465" s="30" t="n">
        <v>8923</v>
      </c>
      <c r="M465" s="35" t="n">
        <v>0.5822836328949282</v>
      </c>
      <c r="N465" s="35" t="n">
        <v>0.477452231080268</v>
      </c>
      <c r="O465" s="35" t="n">
        <v>0.2525481313703284</v>
      </c>
      <c r="P465" s="35" t="n">
        <v>0.1982665222101843</v>
      </c>
      <c r="Q465" s="35" t="n">
        <v>0.1605456453305352</v>
      </c>
      <c r="R465" s="35" t="n">
        <v>0.1509443779593111</v>
      </c>
      <c r="S465" s="35" t="n">
        <v>0.1846615252784918</v>
      </c>
      <c r="T465" s="35" t="n">
        <v>0.2394934439089993</v>
      </c>
      <c r="U465" s="30" t="n">
        <v>18970</v>
      </c>
      <c r="V465" s="30" t="n">
        <v>7070</v>
      </c>
      <c r="W465" s="35" t="n">
        <v>-0.4169741697416974</v>
      </c>
      <c r="X465" s="35" t="n">
        <v>0.5643564356435644</v>
      </c>
      <c r="Y465" s="30" t="n">
        <v>33416778</v>
      </c>
      <c r="Z465" s="30" t="n">
        <v>369589564680</v>
      </c>
      <c r="AA465" s="30" t="n">
        <v>7043561000</v>
      </c>
      <c r="AB465" s="30" t="n">
        <v>2233799859.5</v>
      </c>
      <c r="AC465" s="35" t="n">
        <v>0.0190577918673069</v>
      </c>
      <c r="AD465" s="24" t="inlineStr">
        <is>
          <t>yfinance_download</t>
        </is>
      </c>
      <c r="AE465" s="24" t="inlineStr">
        <is>
          <t>059090.KQ</t>
        </is>
      </c>
    </row>
    <row r="466" ht="24" customHeight="1">
      <c r="A466" s="29" t="inlineStr">
        <is>
          <t>2025-05-08</t>
        </is>
      </c>
      <c r="B466" s="31" t="n">
        <v>11310</v>
      </c>
      <c r="C466" s="31" t="n">
        <v>11830</v>
      </c>
      <c r="D466" s="31" t="n">
        <v>11140</v>
      </c>
      <c r="E466" s="31" t="n">
        <v>11180</v>
      </c>
      <c r="F466" s="31" t="n">
        <v>11180</v>
      </c>
      <c r="G466" s="31" t="n">
        <v>585024</v>
      </c>
      <c r="H466" s="36" t="n">
        <v>0.01084990958408683</v>
      </c>
      <c r="I466" s="36" t="n">
        <v>-0.4106483921982077</v>
      </c>
      <c r="J466" s="31" t="n">
        <v>9754.5</v>
      </c>
      <c r="K466" s="31" t="n">
        <v>9371.666666666666</v>
      </c>
      <c r="L466" s="31" t="n">
        <v>8940.083333333334</v>
      </c>
      <c r="M466" s="36" t="n">
        <v>0.5122703421045458</v>
      </c>
      <c r="N466" s="36" t="n">
        <v>0.4750311671137847</v>
      </c>
      <c r="O466" s="36" t="n">
        <v>0.3502415458937198</v>
      </c>
      <c r="P466" s="36" t="n">
        <v>0.2367256637168142</v>
      </c>
      <c r="Q466" s="36" t="n">
        <v>0.2245345016429354</v>
      </c>
      <c r="R466" s="36" t="n">
        <v>0.1461376800451073</v>
      </c>
      <c r="S466" s="36" t="n">
        <v>0.1929574959985774</v>
      </c>
      <c r="T466" s="36" t="n">
        <v>0.2505476272592537</v>
      </c>
      <c r="U466" s="31" t="n">
        <v>18970</v>
      </c>
      <c r="V466" s="31" t="n">
        <v>7070</v>
      </c>
      <c r="W466" s="36" t="n">
        <v>-0.4106483921982077</v>
      </c>
      <c r="X466" s="36" t="n">
        <v>0.5813295615275813</v>
      </c>
      <c r="Y466" s="31" t="n">
        <v>33416778</v>
      </c>
      <c r="Z466" s="31" t="n">
        <v>373599578040</v>
      </c>
      <c r="AA466" s="31" t="n">
        <v>6540568320</v>
      </c>
      <c r="AB466" s="31" t="n">
        <v>2418827931.5</v>
      </c>
      <c r="AC466" s="36" t="n">
        <v>0.01750689429124495</v>
      </c>
      <c r="AD466" s="29" t="inlineStr">
        <is>
          <t>yfinance_download</t>
        </is>
      </c>
      <c r="AE466" s="29" t="inlineStr">
        <is>
          <t>059090.KQ</t>
        </is>
      </c>
    </row>
    <row r="467" ht="24" customHeight="1">
      <c r="A467" s="24" t="inlineStr">
        <is>
          <t>2025-05-09</t>
        </is>
      </c>
      <c r="B467" s="30" t="n">
        <v>11100</v>
      </c>
      <c r="C467" s="30" t="n">
        <v>11210</v>
      </c>
      <c r="D467" s="30" t="n">
        <v>10900</v>
      </c>
      <c r="E467" s="30" t="n">
        <v>10950</v>
      </c>
      <c r="F467" s="30" t="n">
        <v>10950</v>
      </c>
      <c r="G467" s="30" t="n">
        <v>176706</v>
      </c>
      <c r="H467" s="35" t="n">
        <v>-0.02057245080500891</v>
      </c>
      <c r="I467" s="35" t="n">
        <v>-0.422772799156563</v>
      </c>
      <c r="J467" s="30" t="n">
        <v>9883.5</v>
      </c>
      <c r="K467" s="30" t="n">
        <v>9396.833333333334</v>
      </c>
      <c r="L467" s="30" t="n">
        <v>8956</v>
      </c>
      <c r="M467" s="35" t="n">
        <v>0.5280443739477449</v>
      </c>
      <c r="N467" s="35" t="n">
        <v>0.4701124086660889</v>
      </c>
      <c r="O467" s="35" t="n">
        <v>0.3082437275985663</v>
      </c>
      <c r="P467" s="35" t="n">
        <v>0.159957627118644</v>
      </c>
      <c r="Q467" s="35" t="n">
        <v>0.211283185840708</v>
      </c>
      <c r="R467" s="35" t="n">
        <v>0.1079071179238125</v>
      </c>
      <c r="S467" s="35" t="n">
        <v>0.165286177967755</v>
      </c>
      <c r="T467" s="35" t="n">
        <v>0.2226440375167484</v>
      </c>
      <c r="U467" s="30" t="n">
        <v>18970</v>
      </c>
      <c r="V467" s="30" t="n">
        <v>7070</v>
      </c>
      <c r="W467" s="35" t="n">
        <v>-0.422772799156563</v>
      </c>
      <c r="X467" s="35" t="n">
        <v>0.5487977369165489</v>
      </c>
      <c r="Y467" s="30" t="n">
        <v>33416778</v>
      </c>
      <c r="Z467" s="30" t="n">
        <v>365913719100</v>
      </c>
      <c r="AA467" s="30" t="n">
        <v>1934930700</v>
      </c>
      <c r="AB467" s="30" t="n">
        <v>2451154343</v>
      </c>
      <c r="AC467" s="35" t="n">
        <v>0.005287942482066942</v>
      </c>
      <c r="AD467" s="24" t="inlineStr">
        <is>
          <t>yfinance_download</t>
        </is>
      </c>
      <c r="AE467" s="24" t="inlineStr">
        <is>
          <t>059090.KQ</t>
        </is>
      </c>
    </row>
    <row r="468" ht="24" customHeight="1">
      <c r="A468" s="29" t="inlineStr">
        <is>
          <t>2025-05-12</t>
        </is>
      </c>
      <c r="B468" s="31" t="n">
        <v>11110</v>
      </c>
      <c r="C468" s="31" t="n">
        <v>11580</v>
      </c>
      <c r="D468" s="31" t="n">
        <v>10850</v>
      </c>
      <c r="E468" s="31" t="n">
        <v>11490</v>
      </c>
      <c r="F468" s="31" t="n">
        <v>11490</v>
      </c>
      <c r="G468" s="31" t="n">
        <v>215569</v>
      </c>
      <c r="H468" s="36" t="n">
        <v>0.0493150684931507</v>
      </c>
      <c r="I468" s="36" t="n">
        <v>-0.3943068002108593</v>
      </c>
      <c r="J468" s="31" t="n">
        <v>10043</v>
      </c>
      <c r="K468" s="31" t="n">
        <v>9435</v>
      </c>
      <c r="L468" s="31" t="n">
        <v>8975.833333333334</v>
      </c>
      <c r="M468" s="36" t="n">
        <v>0.535233636612482</v>
      </c>
      <c r="N468" s="36" t="n">
        <v>0.475796337979109</v>
      </c>
      <c r="O468" s="36" t="n">
        <v>0.3843373493975903</v>
      </c>
      <c r="P468" s="36" t="n">
        <v>0.2489130434782609</v>
      </c>
      <c r="Q468" s="36" t="n">
        <v>0.261251372118551</v>
      </c>
      <c r="R468" s="36" t="n">
        <v>0.1440804540475953</v>
      </c>
      <c r="S468" s="36" t="n">
        <v>0.217806041335453</v>
      </c>
      <c r="T468" s="36" t="n">
        <v>0.2801039829170922</v>
      </c>
      <c r="U468" s="31" t="n">
        <v>18970</v>
      </c>
      <c r="V468" s="31" t="n">
        <v>7070</v>
      </c>
      <c r="W468" s="36" t="n">
        <v>-0.3943068002108593</v>
      </c>
      <c r="X468" s="36" t="n">
        <v>0.6251768033946252</v>
      </c>
      <c r="Y468" s="31" t="n">
        <v>33416778</v>
      </c>
      <c r="Z468" s="31" t="n">
        <v>383958779220</v>
      </c>
      <c r="AA468" s="31" t="n">
        <v>2476887810</v>
      </c>
      <c r="AB468" s="31" t="n">
        <v>2487578153.5</v>
      </c>
      <c r="AC468" s="36" t="n">
        <v>0.006450921151045741</v>
      </c>
      <c r="AD468" s="29" t="inlineStr">
        <is>
          <t>yfinance_download</t>
        </is>
      </c>
      <c r="AE468" s="29" t="inlineStr">
        <is>
          <t>059090.KQ</t>
        </is>
      </c>
    </row>
    <row r="469" ht="24" customHeight="1">
      <c r="A469" s="24" t="inlineStr">
        <is>
          <t>2025-05-13</t>
        </is>
      </c>
      <c r="B469" s="30" t="n">
        <v>11680</v>
      </c>
      <c r="C469" s="30" t="n">
        <v>11680</v>
      </c>
      <c r="D469" s="30" t="n">
        <v>11110</v>
      </c>
      <c r="E469" s="30" t="n">
        <v>11290</v>
      </c>
      <c r="F469" s="30" t="n">
        <v>11290</v>
      </c>
      <c r="G469" s="30" t="n">
        <v>245210</v>
      </c>
      <c r="H469" s="35" t="n">
        <v>-0.0174064403829417</v>
      </c>
      <c r="I469" s="35" t="n">
        <v>-0.4048497627833422</v>
      </c>
      <c r="J469" s="30" t="n">
        <v>10166</v>
      </c>
      <c r="K469" s="30" t="n">
        <v>9471.5</v>
      </c>
      <c r="L469" s="30" t="n">
        <v>8997.666666666666</v>
      </c>
      <c r="M469" s="35" t="n">
        <v>0.5181791748756502</v>
      </c>
      <c r="N469" s="35" t="n">
        <v>0.4768649419332829</v>
      </c>
      <c r="O469" s="35" t="n">
        <v>0.2785956964892413</v>
      </c>
      <c r="P469" s="35" t="n">
        <v>0.2406593406593407</v>
      </c>
      <c r="Q469" s="35" t="n">
        <v>0.3021914648212225</v>
      </c>
      <c r="R469" s="35" t="n">
        <v>0.1105646271886682</v>
      </c>
      <c r="S469" s="35" t="n">
        <v>0.1919970437628675</v>
      </c>
      <c r="T469" s="35" t="n">
        <v>0.2547697551216983</v>
      </c>
      <c r="U469" s="30" t="n">
        <v>18970</v>
      </c>
      <c r="V469" s="30" t="n">
        <v>7070</v>
      </c>
      <c r="W469" s="35" t="n">
        <v>-0.4048497627833422</v>
      </c>
      <c r="X469" s="35" t="n">
        <v>0.5968882602545968</v>
      </c>
      <c r="Y469" s="30" t="n">
        <v>33416778</v>
      </c>
      <c r="Z469" s="30" t="n">
        <v>377275423620</v>
      </c>
      <c r="AA469" s="30" t="n">
        <v>2768420900</v>
      </c>
      <c r="AB469" s="30" t="n">
        <v>2405907916.5</v>
      </c>
      <c r="AC469" s="35" t="n">
        <v>0.007337930664649955</v>
      </c>
      <c r="AD469" s="24" t="inlineStr">
        <is>
          <t>yfinance_download</t>
        </is>
      </c>
      <c r="AE469" s="24" t="inlineStr">
        <is>
          <t>059090.KQ</t>
        </is>
      </c>
    </row>
    <row r="470" ht="24" customHeight="1">
      <c r="A470" s="29" t="inlineStr">
        <is>
          <t>2025-05-14</t>
        </is>
      </c>
      <c r="B470" s="31" t="n">
        <v>11460</v>
      </c>
      <c r="C470" s="31" t="n">
        <v>11500</v>
      </c>
      <c r="D470" s="31" t="n">
        <v>11260</v>
      </c>
      <c r="E470" s="31" t="n">
        <v>11300</v>
      </c>
      <c r="F470" s="31" t="n">
        <v>11300</v>
      </c>
      <c r="G470" s="31" t="n">
        <v>148130</v>
      </c>
      <c r="H470" s="36" t="n">
        <v>0.0008857395925598865</v>
      </c>
      <c r="I470" s="36" t="n">
        <v>-0.404322614654718</v>
      </c>
      <c r="J470" s="31" t="n">
        <v>10270.5</v>
      </c>
      <c r="K470" s="31" t="n">
        <v>9505</v>
      </c>
      <c r="L470" s="31" t="n">
        <v>9023.583333333334</v>
      </c>
      <c r="M470" s="36" t="n">
        <v>0.5071045522873069</v>
      </c>
      <c r="N470" s="36" t="n">
        <v>0.475607834118758</v>
      </c>
      <c r="O470" s="36" t="n">
        <v>0.226927252985885</v>
      </c>
      <c r="P470" s="36" t="n">
        <v>0.2163616792249732</v>
      </c>
      <c r="Q470" s="36" t="n">
        <v>0.3797313797313797</v>
      </c>
      <c r="R470" s="36" t="n">
        <v>0.1002385472956526</v>
      </c>
      <c r="S470" s="36" t="n">
        <v>0.1888479747501315</v>
      </c>
      <c r="T470" s="36" t="n">
        <v>0.2522741335204972</v>
      </c>
      <c r="U470" s="31" t="n">
        <v>18970</v>
      </c>
      <c r="V470" s="31" t="n">
        <v>7070</v>
      </c>
      <c r="W470" s="36" t="n">
        <v>-0.404322614654718</v>
      </c>
      <c r="X470" s="36" t="n">
        <v>0.5983026874115982</v>
      </c>
      <c r="Y470" s="31" t="n">
        <v>33416778</v>
      </c>
      <c r="Z470" s="31" t="n">
        <v>377609591400</v>
      </c>
      <c r="AA470" s="31" t="n">
        <v>1673869000</v>
      </c>
      <c r="AB470" s="31" t="n">
        <v>2362259301.5</v>
      </c>
      <c r="AC470" s="36" t="n">
        <v>0.00443280318647118</v>
      </c>
      <c r="AD470" s="29" t="inlineStr">
        <is>
          <t>yfinance_download</t>
        </is>
      </c>
      <c r="AE470" s="29" t="inlineStr">
        <is>
          <t>059090.KQ</t>
        </is>
      </c>
    </row>
    <row r="471" ht="24" customHeight="1">
      <c r="A471" s="24" t="inlineStr">
        <is>
          <t>2025-05-15</t>
        </is>
      </c>
      <c r="B471" s="30" t="n">
        <v>11460</v>
      </c>
      <c r="C471" s="30" t="n">
        <v>11710</v>
      </c>
      <c r="D471" s="30" t="n">
        <v>11000</v>
      </c>
      <c r="E471" s="30" t="n">
        <v>11240</v>
      </c>
      <c r="F471" s="30" t="n">
        <v>11240</v>
      </c>
      <c r="G471" s="30" t="n">
        <v>222244</v>
      </c>
      <c r="H471" s="35" t="n">
        <v>-0.005309734513274322</v>
      </c>
      <c r="I471" s="35" t="n">
        <v>-0.4074855034264628</v>
      </c>
      <c r="J471" s="30" t="n">
        <v>10363.5</v>
      </c>
      <c r="K471" s="30" t="n">
        <v>9537.166666666666</v>
      </c>
      <c r="L471" s="30" t="n">
        <v>9051.833333333334</v>
      </c>
      <c r="M471" s="35" t="n">
        <v>0.5093268256576067</v>
      </c>
      <c r="N471" s="35" t="n">
        <v>0.4759576304727127</v>
      </c>
      <c r="O471" s="35" t="n">
        <v>0.1982942430703625</v>
      </c>
      <c r="P471" s="35" t="n">
        <v>0.2073039742212675</v>
      </c>
      <c r="Q471" s="35" t="n">
        <v>0.4318471337579617</v>
      </c>
      <c r="R471" s="35" t="n">
        <v>0.08457567424132773</v>
      </c>
      <c r="S471" s="35" t="n">
        <v>0.1785470877094875</v>
      </c>
      <c r="T471" s="35" t="n">
        <v>0.2417374012630957</v>
      </c>
      <c r="U471" s="30" t="n">
        <v>18970</v>
      </c>
      <c r="V471" s="30" t="n">
        <v>7070</v>
      </c>
      <c r="W471" s="35" t="n">
        <v>-0.4074855034264628</v>
      </c>
      <c r="X471" s="35" t="n">
        <v>0.5898161244695899</v>
      </c>
      <c r="Y471" s="30" t="n">
        <v>33416778</v>
      </c>
      <c r="Z471" s="30" t="n">
        <v>375604584720</v>
      </c>
      <c r="AA471" s="30" t="n">
        <v>2498022560</v>
      </c>
      <c r="AB471" s="30" t="n">
        <v>2302501528.5</v>
      </c>
      <c r="AC471" s="35" t="n">
        <v>0.006650671108986031</v>
      </c>
      <c r="AD471" s="24" t="inlineStr">
        <is>
          <t>yfinance_download</t>
        </is>
      </c>
      <c r="AE471" s="24" t="inlineStr">
        <is>
          <t>059090.KQ</t>
        </is>
      </c>
    </row>
    <row r="472" ht="24" customHeight="1">
      <c r="A472" s="29" t="inlineStr">
        <is>
          <t>2025-05-16</t>
        </is>
      </c>
      <c r="B472" s="31" t="n">
        <v>11850</v>
      </c>
      <c r="C472" s="31" t="n">
        <v>12940</v>
      </c>
      <c r="D472" s="31" t="n">
        <v>11510</v>
      </c>
      <c r="E472" s="31" t="n">
        <v>12840</v>
      </c>
      <c r="F472" s="31" t="n">
        <v>12840</v>
      </c>
      <c r="G472" s="31" t="n">
        <v>1189219</v>
      </c>
      <c r="H472" s="36" t="n">
        <v>0.1423487544483986</v>
      </c>
      <c r="I472" s="36" t="n">
        <v>-0.3231418028465999</v>
      </c>
      <c r="J472" s="31" t="n">
        <v>10518</v>
      </c>
      <c r="K472" s="31" t="n">
        <v>9592</v>
      </c>
      <c r="L472" s="31" t="n">
        <v>9097.166666666666</v>
      </c>
      <c r="M472" s="36" t="n">
        <v>0.688771028928152</v>
      </c>
      <c r="N472" s="36" t="n">
        <v>0.5529123436280788</v>
      </c>
      <c r="O472" s="36" t="n">
        <v>0.3169230769230769</v>
      </c>
      <c r="P472" s="36" t="n">
        <v>0.3445026178010471</v>
      </c>
      <c r="Q472" s="36" t="n">
        <v>0.7351351351351352</v>
      </c>
      <c r="R472" s="36" t="n">
        <v>0.2207644038790644</v>
      </c>
      <c r="S472" s="36" t="n">
        <v>0.3386155129274395</v>
      </c>
      <c r="T472" s="36" t="n">
        <v>0.4114284667387282</v>
      </c>
      <c r="U472" s="31" t="n">
        <v>18970</v>
      </c>
      <c r="V472" s="31" t="n">
        <v>7070</v>
      </c>
      <c r="W472" s="36" t="n">
        <v>-0.3231418028465999</v>
      </c>
      <c r="X472" s="36" t="n">
        <v>0.8161244695898162</v>
      </c>
      <c r="Y472" s="31" t="n">
        <v>33416778</v>
      </c>
      <c r="Z472" s="31" t="n">
        <v>429071429520</v>
      </c>
      <c r="AA472" s="31" t="n">
        <v>15269571960</v>
      </c>
      <c r="AB472" s="31" t="n">
        <v>2930558476.5</v>
      </c>
      <c r="AC472" s="36" t="n">
        <v>0.03558748243172936</v>
      </c>
      <c r="AD472" s="29" t="inlineStr">
        <is>
          <t>yfinance_download</t>
        </is>
      </c>
      <c r="AE472" s="29" t="inlineStr">
        <is>
          <t>059090.KQ</t>
        </is>
      </c>
    </row>
    <row r="473" ht="24" customHeight="1">
      <c r="A473" s="24" t="inlineStr">
        <is>
          <t>2025-05-19</t>
        </is>
      </c>
      <c r="B473" s="30" t="n">
        <v>12650</v>
      </c>
      <c r="C473" s="30" t="n">
        <v>12830</v>
      </c>
      <c r="D473" s="30" t="n">
        <v>12350</v>
      </c>
      <c r="E473" s="30" t="n">
        <v>12570</v>
      </c>
      <c r="F473" s="30" t="n">
        <v>12570</v>
      </c>
      <c r="G473" s="30" t="n">
        <v>461406</v>
      </c>
      <c r="H473" s="35" t="n">
        <v>-0.0210280373831776</v>
      </c>
      <c r="I473" s="35" t="n">
        <v>-0.3373748023194517</v>
      </c>
      <c r="J473" s="30" t="n">
        <v>10680</v>
      </c>
      <c r="K473" s="30" t="n">
        <v>9646.833333333334</v>
      </c>
      <c r="L473" s="30" t="n">
        <v>9137</v>
      </c>
      <c r="M473" s="35" t="n">
        <v>0.6683817361634369</v>
      </c>
      <c r="N473" s="35" t="n">
        <v>0.5512178238390727</v>
      </c>
      <c r="O473" s="35" t="n">
        <v>0.347266881028939</v>
      </c>
      <c r="P473" s="35" t="n">
        <v>0.3545258620689655</v>
      </c>
      <c r="Q473" s="35" t="n">
        <v>0.613607188703466</v>
      </c>
      <c r="R473" s="35" t="n">
        <v>0.1769662921348314</v>
      </c>
      <c r="S473" s="35" t="n">
        <v>0.3030182616057082</v>
      </c>
      <c r="T473" s="35" t="n">
        <v>0.3757250738754514</v>
      </c>
      <c r="U473" s="30" t="n">
        <v>18970</v>
      </c>
      <c r="V473" s="30" t="n">
        <v>7070</v>
      </c>
      <c r="W473" s="35" t="n">
        <v>-0.3373748023194517</v>
      </c>
      <c r="X473" s="35" t="n">
        <v>0.7779349363507779</v>
      </c>
      <c r="Y473" s="30" t="n">
        <v>33416778</v>
      </c>
      <c r="Z473" s="30" t="n">
        <v>420048899460</v>
      </c>
      <c r="AA473" s="30" t="n">
        <v>5799873420</v>
      </c>
      <c r="AB473" s="30" t="n">
        <v>3150036007.5</v>
      </c>
      <c r="AC473" s="35" t="n">
        <v>0.01380761484545278</v>
      </c>
      <c r="AD473" s="24" t="inlineStr">
        <is>
          <t>yfinance_download</t>
        </is>
      </c>
      <c r="AE473" s="24" t="inlineStr">
        <is>
          <t>059090.KQ</t>
        </is>
      </c>
    </row>
    <row r="474" ht="24" customHeight="1">
      <c r="A474" s="29" t="inlineStr">
        <is>
          <t>2025-05-20</t>
        </is>
      </c>
      <c r="B474" s="31" t="n">
        <v>12720</v>
      </c>
      <c r="C474" s="31" t="n">
        <v>13900</v>
      </c>
      <c r="D474" s="31" t="n">
        <v>12720</v>
      </c>
      <c r="E474" s="31" t="n">
        <v>12840</v>
      </c>
      <c r="F474" s="31" t="n">
        <v>12840</v>
      </c>
      <c r="G474" s="31" t="n">
        <v>432407</v>
      </c>
      <c r="H474" s="36" t="n">
        <v>0.02147971360381851</v>
      </c>
      <c r="I474" s="36" t="n">
        <v>-0.3231418028465999</v>
      </c>
      <c r="J474" s="31" t="n">
        <v>10849.5</v>
      </c>
      <c r="K474" s="31" t="n">
        <v>9703.166666666666</v>
      </c>
      <c r="L474" s="31" t="n">
        <v>9176.583333333334</v>
      </c>
      <c r="M474" s="36" t="n">
        <v>0.6685775113335355</v>
      </c>
      <c r="N474" s="36" t="n">
        <v>0.5514562886322208</v>
      </c>
      <c r="O474" s="36" t="n">
        <v>0.3587301587301588</v>
      </c>
      <c r="P474" s="36" t="n">
        <v>0.3572938689217759</v>
      </c>
      <c r="Q474" s="36" t="n">
        <v>0.5871446229913473</v>
      </c>
      <c r="R474" s="36" t="n">
        <v>0.183464675791511</v>
      </c>
      <c r="S474" s="36" t="n">
        <v>0.3232793417956339</v>
      </c>
      <c r="T474" s="36" t="n">
        <v>0.3992135780383039</v>
      </c>
      <c r="U474" s="31" t="n">
        <v>18970</v>
      </c>
      <c r="V474" s="31" t="n">
        <v>7070</v>
      </c>
      <c r="W474" s="36" t="n">
        <v>-0.3231418028465999</v>
      </c>
      <c r="X474" s="36" t="n">
        <v>0.8161244695898162</v>
      </c>
      <c r="Y474" s="31" t="n">
        <v>33416778</v>
      </c>
      <c r="Z474" s="31" t="n">
        <v>429071429520</v>
      </c>
      <c r="AA474" s="31" t="n">
        <v>5552105880</v>
      </c>
      <c r="AB474" s="31" t="n">
        <v>3401276274</v>
      </c>
      <c r="AC474" s="36" t="n">
        <v>0.01293981723791564</v>
      </c>
      <c r="AD474" s="29" t="inlineStr">
        <is>
          <t>yfinance_download</t>
        </is>
      </c>
      <c r="AE474" s="29" t="inlineStr">
        <is>
          <t>059090.KQ</t>
        </is>
      </c>
    </row>
    <row r="475" ht="24" customHeight="1">
      <c r="A475" s="24" t="inlineStr">
        <is>
          <t>2025-05-21</t>
        </is>
      </c>
      <c r="B475" s="30" t="n">
        <v>13400</v>
      </c>
      <c r="C475" s="30" t="n">
        <v>14350</v>
      </c>
      <c r="D475" s="30" t="n">
        <v>13170</v>
      </c>
      <c r="E475" s="30" t="n">
        <v>14000</v>
      </c>
      <c r="F475" s="30" t="n">
        <v>14000</v>
      </c>
      <c r="G475" s="30" t="n">
        <v>996567</v>
      </c>
      <c r="H475" s="35" t="n">
        <v>0.09034267912772576</v>
      </c>
      <c r="I475" s="35" t="n">
        <v>-0.2619926199261993</v>
      </c>
      <c r="J475" s="30" t="n">
        <v>11064</v>
      </c>
      <c r="K475" s="30" t="n">
        <v>9781.333333333334</v>
      </c>
      <c r="L475" s="30" t="n">
        <v>9223.583333333334</v>
      </c>
      <c r="M475" s="35" t="n">
        <v>0.7179980678374719</v>
      </c>
      <c r="N475" s="35" t="n">
        <v>0.5761387914823265</v>
      </c>
      <c r="O475" s="35" t="n">
        <v>0.4418125643666324</v>
      </c>
      <c r="P475" s="35" t="n">
        <v>0.5037593984962405</v>
      </c>
      <c r="Q475" s="35" t="n">
        <v>0.6746411483253589</v>
      </c>
      <c r="R475" s="35" t="n">
        <v>0.2653651482284889</v>
      </c>
      <c r="S475" s="35" t="n">
        <v>0.4312977099236641</v>
      </c>
      <c r="T475" s="35" t="n">
        <v>0.5178482693819284</v>
      </c>
      <c r="U475" s="30" t="n">
        <v>18970</v>
      </c>
      <c r="V475" s="30" t="n">
        <v>7070</v>
      </c>
      <c r="W475" s="35" t="n">
        <v>-0.2619926199261993</v>
      </c>
      <c r="X475" s="35" t="n">
        <v>0.9801980198019802</v>
      </c>
      <c r="Y475" s="30" t="n">
        <v>33416778</v>
      </c>
      <c r="Z475" s="30" t="n">
        <v>467834892000</v>
      </c>
      <c r="AA475" s="30" t="n">
        <v>13951938000</v>
      </c>
      <c r="AB475" s="30" t="n">
        <v>3978825045.5</v>
      </c>
      <c r="AC475" s="35" t="n">
        <v>0.02982235450706828</v>
      </c>
      <c r="AD475" s="24" t="inlineStr">
        <is>
          <t>yfinance_download</t>
        </is>
      </c>
      <c r="AE475" s="24" t="inlineStr">
        <is>
          <t>059090.KQ</t>
        </is>
      </c>
    </row>
    <row r="476" ht="24" customHeight="1">
      <c r="A476" s="29" t="inlineStr">
        <is>
          <t>2025-05-22</t>
        </is>
      </c>
      <c r="B476" s="31" t="n">
        <v>14000</v>
      </c>
      <c r="C476" s="31" t="n">
        <v>14380</v>
      </c>
      <c r="D476" s="31" t="n">
        <v>13820</v>
      </c>
      <c r="E476" s="31" t="n">
        <v>13890</v>
      </c>
      <c r="F476" s="31" t="n">
        <v>13890</v>
      </c>
      <c r="G476" s="31" t="n">
        <v>354562</v>
      </c>
      <c r="H476" s="36" t="n">
        <v>-0.007857142857142896</v>
      </c>
      <c r="I476" s="36" t="n">
        <v>-0.2677912493410648</v>
      </c>
      <c r="J476" s="31" t="n">
        <v>11273</v>
      </c>
      <c r="K476" s="31" t="n">
        <v>9858.833333333334</v>
      </c>
      <c r="L476" s="31" t="n">
        <v>9271.833333333334</v>
      </c>
      <c r="M476" s="36" t="n">
        <v>0.7213451606786746</v>
      </c>
      <c r="N476" s="36" t="n">
        <v>0.5761767515449069</v>
      </c>
      <c r="O476" s="36" t="n">
        <v>0.4304840370751801</v>
      </c>
      <c r="P476" s="36" t="n">
        <v>0.5032467532467533</v>
      </c>
      <c r="Q476" s="36" t="n">
        <v>0.7148148148148148</v>
      </c>
      <c r="R476" s="36" t="n">
        <v>0.2321476093320323</v>
      </c>
      <c r="S476" s="36" t="n">
        <v>0.4088888137541629</v>
      </c>
      <c r="T476" s="36" t="n">
        <v>0.4980855997555318</v>
      </c>
      <c r="U476" s="31" t="n">
        <v>18970</v>
      </c>
      <c r="V476" s="31" t="n">
        <v>7070</v>
      </c>
      <c r="W476" s="36" t="n">
        <v>-0.2677912493410648</v>
      </c>
      <c r="X476" s="36" t="n">
        <v>0.9646393210749646</v>
      </c>
      <c r="Y476" s="31" t="n">
        <v>33416778</v>
      </c>
      <c r="Z476" s="31" t="n">
        <v>464159046420</v>
      </c>
      <c r="AA476" s="31" t="n">
        <v>4924866180</v>
      </c>
      <c r="AB476" s="31" t="n">
        <v>4176033825.5</v>
      </c>
      <c r="AC476" s="36" t="n">
        <v>0.01061029881456555</v>
      </c>
      <c r="AD476" s="29" t="inlineStr">
        <is>
          <t>yfinance_download</t>
        </is>
      </c>
      <c r="AE476" s="29" t="inlineStr">
        <is>
          <t>059090.KQ</t>
        </is>
      </c>
    </row>
    <row r="477" ht="24" customHeight="1">
      <c r="A477" s="24" t="inlineStr">
        <is>
          <t>2025-05-23</t>
        </is>
      </c>
      <c r="B477" s="30" t="n">
        <v>14600</v>
      </c>
      <c r="C477" s="30" t="n">
        <v>14950</v>
      </c>
      <c r="D477" s="30" t="n">
        <v>14040</v>
      </c>
      <c r="E477" s="30" t="n">
        <v>14320</v>
      </c>
      <c r="F477" s="30" t="n">
        <v>14320</v>
      </c>
      <c r="G477" s="30" t="n">
        <v>898140</v>
      </c>
      <c r="H477" s="35" t="n">
        <v>0.03095752339812807</v>
      </c>
      <c r="I477" s="35" t="n">
        <v>-0.2451238798102267</v>
      </c>
      <c r="J477" s="30" t="n">
        <v>11510</v>
      </c>
      <c r="K477" s="30" t="n">
        <v>9945.833333333334</v>
      </c>
      <c r="L477" s="30" t="n">
        <v>9323</v>
      </c>
      <c r="M477" s="35" t="n">
        <v>0.7120604157355139</v>
      </c>
      <c r="N477" s="35" t="n">
        <v>0.576202512828478</v>
      </c>
      <c r="O477" s="35" t="n">
        <v>0.4947807933194155</v>
      </c>
      <c r="P477" s="35" t="n">
        <v>0.5736263736263736</v>
      </c>
      <c r="Q477" s="35" t="n">
        <v>0.7506112469437654</v>
      </c>
      <c r="R477" s="35" t="n">
        <v>0.2441355343179843</v>
      </c>
      <c r="S477" s="35" t="n">
        <v>0.4397989107666527</v>
      </c>
      <c r="T477" s="35" t="n">
        <v>0.5359862705137832</v>
      </c>
      <c r="U477" s="30" t="n">
        <v>18970</v>
      </c>
      <c r="V477" s="30" t="n">
        <v>7070</v>
      </c>
      <c r="W477" s="35" t="n">
        <v>-0.2451238798102267</v>
      </c>
      <c r="X477" s="35" t="n">
        <v>1.025459688826026</v>
      </c>
      <c r="Y477" s="30" t="n">
        <v>33416778</v>
      </c>
      <c r="Z477" s="30" t="n">
        <v>478528260960</v>
      </c>
      <c r="AA477" s="30" t="n">
        <v>12861364800</v>
      </c>
      <c r="AB477" s="30" t="n">
        <v>4781149458.5</v>
      </c>
      <c r="AC477" s="35" t="n">
        <v>0.02687691793625346</v>
      </c>
      <c r="AD477" s="24" t="inlineStr">
        <is>
          <t>yfinance_download</t>
        </is>
      </c>
      <c r="AE477" s="24" t="inlineStr">
        <is>
          <t>059090.KQ</t>
        </is>
      </c>
    </row>
    <row r="478" ht="24" customHeight="1">
      <c r="A478" s="29" t="inlineStr">
        <is>
          <t>2025-05-26</t>
        </is>
      </c>
      <c r="B478" s="31" t="n">
        <v>14360</v>
      </c>
      <c r="C478" s="31" t="n">
        <v>14360</v>
      </c>
      <c r="D478" s="31" t="n">
        <v>13600</v>
      </c>
      <c r="E478" s="31" t="n">
        <v>13830</v>
      </c>
      <c r="F478" s="31" t="n">
        <v>13830</v>
      </c>
      <c r="G478" s="31" t="n">
        <v>504920</v>
      </c>
      <c r="H478" s="36" t="n">
        <v>-0.03421787709497204</v>
      </c>
      <c r="I478" s="36" t="n">
        <v>-0.2709541381128097</v>
      </c>
      <c r="J478" s="31" t="n">
        <v>11700</v>
      </c>
      <c r="K478" s="31" t="n">
        <v>10027.5</v>
      </c>
      <c r="L478" s="31" t="n">
        <v>9370.166666666666</v>
      </c>
      <c r="M478" s="36" t="n">
        <v>0.7311613778846924</v>
      </c>
      <c r="N478" s="36" t="n">
        <v>0.5801658308245958</v>
      </c>
      <c r="O478" s="36" t="n">
        <v>0.378863409770688</v>
      </c>
      <c r="P478" s="36" t="n">
        <v>0.5487122060470324</v>
      </c>
      <c r="Q478" s="36" t="n">
        <v>0.6927784577723379</v>
      </c>
      <c r="R478" s="36" t="n">
        <v>0.1820512820512821</v>
      </c>
      <c r="S478" s="36" t="n">
        <v>0.3792071802543007</v>
      </c>
      <c r="T478" s="36" t="n">
        <v>0.475960939862329</v>
      </c>
      <c r="U478" s="31" t="n">
        <v>18970</v>
      </c>
      <c r="V478" s="31" t="n">
        <v>7070</v>
      </c>
      <c r="W478" s="36" t="n">
        <v>-0.2709541381128097</v>
      </c>
      <c r="X478" s="36" t="n">
        <v>0.9561527581329561</v>
      </c>
      <c r="Y478" s="31" t="n">
        <v>33416778</v>
      </c>
      <c r="Z478" s="31" t="n">
        <v>462154039740</v>
      </c>
      <c r="AA478" s="31" t="n">
        <v>6983043600</v>
      </c>
      <c r="AB478" s="31" t="n">
        <v>5001966785.5</v>
      </c>
      <c r="AC478" s="36" t="n">
        <v>0.01510977509561215</v>
      </c>
      <c r="AD478" s="29" t="inlineStr">
        <is>
          <t>yfinance_download</t>
        </is>
      </c>
      <c r="AE478" s="29" t="inlineStr">
        <is>
          <t>059090.KQ</t>
        </is>
      </c>
    </row>
    <row r="479" ht="24" customHeight="1">
      <c r="A479" s="24" t="inlineStr">
        <is>
          <t>2025-05-27</t>
        </is>
      </c>
      <c r="B479" s="30" t="n">
        <v>13820</v>
      </c>
      <c r="C479" s="30" t="n">
        <v>13880</v>
      </c>
      <c r="D479" s="30" t="n">
        <v>13330</v>
      </c>
      <c r="E479" s="30" t="n">
        <v>13480</v>
      </c>
      <c r="F479" s="30" t="n">
        <v>13480</v>
      </c>
      <c r="G479" s="30" t="n">
        <v>340771</v>
      </c>
      <c r="H479" s="35" t="n">
        <v>-0.02530730296456973</v>
      </c>
      <c r="I479" s="35" t="n">
        <v>-0.2894043226146548</v>
      </c>
      <c r="J479" s="30" t="n">
        <v>11869.5</v>
      </c>
      <c r="K479" s="30" t="n">
        <v>10102.83333333333</v>
      </c>
      <c r="L479" s="30" t="n">
        <v>9412.916666666666</v>
      </c>
      <c r="M479" s="35" t="n">
        <v>0.7457881375028161</v>
      </c>
      <c r="N479" s="35" t="n">
        <v>0.5840965168506546</v>
      </c>
      <c r="O479" s="35" t="n">
        <v>0.33597621407334</v>
      </c>
      <c r="P479" s="35" t="n">
        <v>0.5044642857142858</v>
      </c>
      <c r="Q479" s="35" t="n">
        <v>0.61437125748503</v>
      </c>
      <c r="R479" s="35" t="n">
        <v>0.1356838956990607</v>
      </c>
      <c r="S479" s="35" t="n">
        <v>0.3342791626111485</v>
      </c>
      <c r="T479" s="35" t="n">
        <v>0.4320747200212476</v>
      </c>
      <c r="U479" s="30" t="n">
        <v>18970</v>
      </c>
      <c r="V479" s="30" t="n">
        <v>7070</v>
      </c>
      <c r="W479" s="35" t="n">
        <v>-0.2894043226146548</v>
      </c>
      <c r="X479" s="35" t="n">
        <v>0.9066478076379068</v>
      </c>
      <c r="Y479" s="30" t="n">
        <v>33416778</v>
      </c>
      <c r="Z479" s="30" t="n">
        <v>450458167440</v>
      </c>
      <c r="AA479" s="30" t="n">
        <v>4593593080</v>
      </c>
      <c r="AB479" s="30" t="n">
        <v>5179493247.5</v>
      </c>
      <c r="AC479" s="35" t="n">
        <v>0.01019760193517161</v>
      </c>
      <c r="AD479" s="24" t="inlineStr">
        <is>
          <t>yfinance_download</t>
        </is>
      </c>
      <c r="AE479" s="24" t="inlineStr">
        <is>
          <t>059090.KQ</t>
        </is>
      </c>
    </row>
    <row r="480" ht="24" customHeight="1">
      <c r="A480" s="29" t="inlineStr">
        <is>
          <t>2025-05-28</t>
        </is>
      </c>
      <c r="B480" s="31" t="n">
        <v>13580</v>
      </c>
      <c r="C480" s="31" t="n">
        <v>13780</v>
      </c>
      <c r="D480" s="31" t="n">
        <v>12990</v>
      </c>
      <c r="E480" s="31" t="n">
        <v>13070</v>
      </c>
      <c r="F480" s="31" t="n">
        <v>13070</v>
      </c>
      <c r="G480" s="31" t="n">
        <v>374965</v>
      </c>
      <c r="H480" s="36" t="n">
        <v>-0.03041543026706228</v>
      </c>
      <c r="I480" s="36" t="n">
        <v>-0.3110173958882446</v>
      </c>
      <c r="J480" s="31" t="n">
        <v>12012.5</v>
      </c>
      <c r="K480" s="31" t="n">
        <v>10166.83333333333</v>
      </c>
      <c r="L480" s="31" t="n">
        <v>9451.916666666666</v>
      </c>
      <c r="M480" s="36" t="n">
        <v>0.7634758298669145</v>
      </c>
      <c r="N480" s="36" t="n">
        <v>0.5872367236582057</v>
      </c>
      <c r="O480" s="36" t="n">
        <v>0.2801175318315376</v>
      </c>
      <c r="P480" s="36" t="n">
        <v>0.4160346695557964</v>
      </c>
      <c r="Q480" s="36" t="n">
        <v>0.5578069129916567</v>
      </c>
      <c r="R480" s="36" t="n">
        <v>0.08803329864724252</v>
      </c>
      <c r="S480" s="36" t="n">
        <v>0.2855526958574448</v>
      </c>
      <c r="T480" s="36" t="n">
        <v>0.3827883233559333</v>
      </c>
      <c r="U480" s="31" t="n">
        <v>18970</v>
      </c>
      <c r="V480" s="31" t="n">
        <v>7070</v>
      </c>
      <c r="W480" s="36" t="n">
        <v>-0.3110173958882446</v>
      </c>
      <c r="X480" s="36" t="n">
        <v>0.8486562942008486</v>
      </c>
      <c r="Y480" s="31" t="n">
        <v>33416778</v>
      </c>
      <c r="Z480" s="31" t="n">
        <v>436757288460</v>
      </c>
      <c r="AA480" s="31" t="n">
        <v>4900792550</v>
      </c>
      <c r="AB480" s="31" t="n">
        <v>5298875342</v>
      </c>
      <c r="AC480" s="36" t="n">
        <v>0.01122086037139786</v>
      </c>
      <c r="AD480" s="29" t="inlineStr">
        <is>
          <t>yfinance_download</t>
        </is>
      </c>
      <c r="AE480" s="29" t="inlineStr">
        <is>
          <t>059090.KQ</t>
        </is>
      </c>
    </row>
    <row r="481" ht="24" customHeight="1">
      <c r="A481" s="24" t="inlineStr">
        <is>
          <t>2025-05-29</t>
        </is>
      </c>
      <c r="B481" s="30" t="n">
        <v>13300</v>
      </c>
      <c r="C481" s="30" t="n">
        <v>13300</v>
      </c>
      <c r="D481" s="30" t="n">
        <v>12650</v>
      </c>
      <c r="E481" s="30" t="n">
        <v>13090</v>
      </c>
      <c r="F481" s="30" t="n">
        <v>13090</v>
      </c>
      <c r="G481" s="30" t="n">
        <v>426385</v>
      </c>
      <c r="H481" s="35" t="n">
        <v>0.001530221882172889</v>
      </c>
      <c r="I481" s="35" t="n">
        <v>-0.3099630996309963</v>
      </c>
      <c r="J481" s="30" t="n">
        <v>12165</v>
      </c>
      <c r="K481" s="30" t="n">
        <v>10236</v>
      </c>
      <c r="L481" s="30" t="n">
        <v>9493.916666666666</v>
      </c>
      <c r="M481" s="35" t="n">
        <v>0.7566605808852113</v>
      </c>
      <c r="N481" s="35" t="n">
        <v>0.5820166042771817</v>
      </c>
      <c r="O481" s="35" t="n">
        <v>0.3037848605577689</v>
      </c>
      <c r="P481" s="35" t="n">
        <v>0.4642058165548097</v>
      </c>
      <c r="Q481" s="35" t="n">
        <v>0.6260869565217391</v>
      </c>
      <c r="R481" s="35" t="n">
        <v>0.07603781339909577</v>
      </c>
      <c r="S481" s="35" t="n">
        <v>0.278819851504494</v>
      </c>
      <c r="T481" s="35" t="n">
        <v>0.3787776383122528</v>
      </c>
      <c r="U481" s="30" t="n">
        <v>18970</v>
      </c>
      <c r="V481" s="30" t="n">
        <v>7070</v>
      </c>
      <c r="W481" s="35" t="n">
        <v>-0.3099630996309963</v>
      </c>
      <c r="X481" s="35" t="n">
        <v>0.8514851485148516</v>
      </c>
      <c r="Y481" s="30" t="n">
        <v>33416778</v>
      </c>
      <c r="Z481" s="30" t="n">
        <v>437425624020</v>
      </c>
      <c r="AA481" s="30" t="n">
        <v>5581379650</v>
      </c>
      <c r="AB481" s="30" t="n">
        <v>5506913332.5</v>
      </c>
      <c r="AC481" s="35" t="n">
        <v>0.01275960836200306</v>
      </c>
      <c r="AD481" s="24" t="inlineStr">
        <is>
          <t>yfinance_download</t>
        </is>
      </c>
      <c r="AE481" s="24" t="inlineStr">
        <is>
          <t>059090.KQ</t>
        </is>
      </c>
    </row>
    <row r="482" ht="24" customHeight="1">
      <c r="A482" s="29" t="inlineStr">
        <is>
          <t>2025-05-30</t>
        </is>
      </c>
      <c r="B482" s="31" t="n">
        <v>13040</v>
      </c>
      <c r="C482" s="31" t="n">
        <v>13340</v>
      </c>
      <c r="D482" s="31" t="n">
        <v>12850</v>
      </c>
      <c r="E482" s="31" t="n">
        <v>12980</v>
      </c>
      <c r="F482" s="31" t="n">
        <v>12980</v>
      </c>
      <c r="G482" s="31" t="n">
        <v>203645</v>
      </c>
      <c r="H482" s="36" t="n">
        <v>-0.008403361344537785</v>
      </c>
      <c r="I482" s="36" t="n">
        <v>-0.3157617290458619</v>
      </c>
      <c r="J482" s="31" t="n">
        <v>12295</v>
      </c>
      <c r="K482" s="31" t="n">
        <v>10310.5</v>
      </c>
      <c r="L482" s="31" t="n">
        <v>9534.083333333334</v>
      </c>
      <c r="M482" s="36" t="n">
        <v>0.7570971580405261</v>
      </c>
      <c r="N482" s="36" t="n">
        <v>0.5715529625359349</v>
      </c>
      <c r="O482" s="36" t="n">
        <v>0.2504816955684008</v>
      </c>
      <c r="P482" s="36" t="n">
        <v>0.5252643948296123</v>
      </c>
      <c r="Q482" s="36" t="n">
        <v>0.5906862745098038</v>
      </c>
      <c r="R482" s="36" t="n">
        <v>0.05571370475803161</v>
      </c>
      <c r="S482" s="36" t="n">
        <v>0.2589108190679406</v>
      </c>
      <c r="T482" s="36" t="n">
        <v>0.3614313559247961</v>
      </c>
      <c r="U482" s="31" t="n">
        <v>18970</v>
      </c>
      <c r="V482" s="31" t="n">
        <v>7070</v>
      </c>
      <c r="W482" s="36" t="n">
        <v>-0.3157617290458619</v>
      </c>
      <c r="X482" s="36" t="n">
        <v>0.835926449787836</v>
      </c>
      <c r="Y482" s="31" t="n">
        <v>33416778</v>
      </c>
      <c r="Z482" s="31" t="n">
        <v>433749778440</v>
      </c>
      <c r="AA482" s="31" t="n">
        <v>2643312100</v>
      </c>
      <c r="AB482" s="31" t="n">
        <v>5547418866.5</v>
      </c>
      <c r="AC482" s="36" t="n">
        <v>0.006094094409700421</v>
      </c>
      <c r="AD482" s="29" t="inlineStr">
        <is>
          <t>yfinance_download</t>
        </is>
      </c>
      <c r="AE482" s="29" t="inlineStr">
        <is>
          <t>059090.KQ</t>
        </is>
      </c>
    </row>
    <row r="483" ht="24" customHeight="1">
      <c r="A483" s="24" t="inlineStr">
        <is>
          <t>2025-06-02</t>
        </is>
      </c>
      <c r="B483" s="30" t="n">
        <v>12910</v>
      </c>
      <c r="C483" s="30" t="n">
        <v>13340</v>
      </c>
      <c r="D483" s="30" t="n">
        <v>12620</v>
      </c>
      <c r="E483" s="30" t="n">
        <v>13030</v>
      </c>
      <c r="F483" s="30" t="n">
        <v>13030</v>
      </c>
      <c r="G483" s="30" t="n">
        <v>401456</v>
      </c>
      <c r="H483" s="35" t="n">
        <v>0.003852080123266655</v>
      </c>
      <c r="I483" s="35" t="n">
        <v>-0.3131259884027412</v>
      </c>
      <c r="J483" s="30" t="n">
        <v>12427.5</v>
      </c>
      <c r="K483" s="30" t="n">
        <v>10378.83333333333</v>
      </c>
      <c r="L483" s="30" t="n">
        <v>9576.75</v>
      </c>
      <c r="M483" s="35" t="n">
        <v>0.7563927470553902</v>
      </c>
      <c r="N483" s="35" t="n">
        <v>0.5649504095278416</v>
      </c>
      <c r="O483" s="35" t="n">
        <v>0.2552986512524085</v>
      </c>
      <c r="P483" s="35" t="n">
        <v>0.4591265397536395</v>
      </c>
      <c r="Q483" s="35" t="n">
        <v>0.6472819216182049</v>
      </c>
      <c r="R483" s="35" t="n">
        <v>0.04848119090726222</v>
      </c>
      <c r="S483" s="35" t="n">
        <v>0.2554397571981435</v>
      </c>
      <c r="T483" s="35" t="n">
        <v>0.3605868379147414</v>
      </c>
      <c r="U483" s="30" t="n">
        <v>18970</v>
      </c>
      <c r="V483" s="30" t="n">
        <v>7070</v>
      </c>
      <c r="W483" s="35" t="n">
        <v>-0.3131259884027412</v>
      </c>
      <c r="X483" s="35" t="n">
        <v>0.842998585572843</v>
      </c>
      <c r="Y483" s="30" t="n">
        <v>33416778</v>
      </c>
      <c r="Z483" s="30" t="n">
        <v>435420617340</v>
      </c>
      <c r="AA483" s="30" t="n">
        <v>5230971680</v>
      </c>
      <c r="AB483" s="30" t="n">
        <v>5721062344.5</v>
      </c>
      <c r="AC483" s="35" t="n">
        <v>0.01201360585990666</v>
      </c>
      <c r="AD483" s="24" t="inlineStr">
        <is>
          <t>yfinance_download</t>
        </is>
      </c>
      <c r="AE483" s="24" t="inlineStr">
        <is>
          <t>059090.KQ</t>
        </is>
      </c>
    </row>
    <row r="484" ht="24" customHeight="1">
      <c r="A484" s="29" t="inlineStr">
        <is>
          <t>2025-06-04</t>
        </is>
      </c>
      <c r="B484" s="31" t="n">
        <v>13400</v>
      </c>
      <c r="C484" s="31" t="n">
        <v>13940</v>
      </c>
      <c r="D484" s="31" t="n">
        <v>13080</v>
      </c>
      <c r="E484" s="31" t="n">
        <v>13850</v>
      </c>
      <c r="F484" s="31" t="n">
        <v>13850</v>
      </c>
      <c r="G484" s="31" t="n">
        <v>629585</v>
      </c>
      <c r="H484" s="36" t="n">
        <v>0.06293169608595539</v>
      </c>
      <c r="I484" s="36" t="n">
        <v>-0.2698998418555614</v>
      </c>
      <c r="J484" s="31" t="n">
        <v>12615</v>
      </c>
      <c r="K484" s="31" t="n">
        <v>10461.66666666667</v>
      </c>
      <c r="L484" s="31" t="n">
        <v>9628.666666666666</v>
      </c>
      <c r="M484" s="36" t="n">
        <v>0.7615379118347845</v>
      </c>
      <c r="N484" s="36" t="n">
        <v>0.5758178619366133</v>
      </c>
      <c r="O484" s="36" t="n">
        <v>0.3712871287128714</v>
      </c>
      <c r="P484" s="36" t="n">
        <v>0.5596846846846846</v>
      </c>
      <c r="Q484" s="36" t="n">
        <v>0.8175853018372703</v>
      </c>
      <c r="R484" s="36" t="n">
        <v>0.09789932619896957</v>
      </c>
      <c r="S484" s="36" t="n">
        <v>0.3238808347936912</v>
      </c>
      <c r="T484" s="36" t="n">
        <v>0.4384130720764385</v>
      </c>
      <c r="U484" s="31" t="n">
        <v>18970</v>
      </c>
      <c r="V484" s="31" t="n">
        <v>7070</v>
      </c>
      <c r="W484" s="36" t="n">
        <v>-0.2698998418555614</v>
      </c>
      <c r="X484" s="36" t="n">
        <v>0.958981612446959</v>
      </c>
      <c r="Y484" s="31" t="n">
        <v>33416778</v>
      </c>
      <c r="Z484" s="31" t="n">
        <v>462822375300</v>
      </c>
      <c r="AA484" s="31" t="n">
        <v>8719752250</v>
      </c>
      <c r="AB484" s="31" t="n">
        <v>6097441272</v>
      </c>
      <c r="AC484" s="36" t="n">
        <v>0.0188403861078408</v>
      </c>
      <c r="AD484" s="29" t="inlineStr">
        <is>
          <t>yfinance_download</t>
        </is>
      </c>
      <c r="AE484" s="29" t="inlineStr">
        <is>
          <t>059090.KQ</t>
        </is>
      </c>
    </row>
    <row r="485" ht="24" customHeight="1">
      <c r="A485" s="24" t="inlineStr">
        <is>
          <t>2025-06-05</t>
        </is>
      </c>
      <c r="B485" s="30" t="n">
        <v>14270</v>
      </c>
      <c r="C485" s="30" t="n">
        <v>14340</v>
      </c>
      <c r="D485" s="30" t="n">
        <v>13350</v>
      </c>
      <c r="E485" s="30" t="n">
        <v>13440</v>
      </c>
      <c r="F485" s="30" t="n">
        <v>13440</v>
      </c>
      <c r="G485" s="30" t="n">
        <v>474869</v>
      </c>
      <c r="H485" s="35" t="n">
        <v>-0.02960288808664258</v>
      </c>
      <c r="I485" s="35" t="n">
        <v>-0.2915129151291513</v>
      </c>
      <c r="J485" s="30" t="n">
        <v>12734</v>
      </c>
      <c r="K485" s="30" t="n">
        <v>10538.16666666667</v>
      </c>
      <c r="L485" s="30" t="n">
        <v>9674.916666666666</v>
      </c>
      <c r="M485" s="35" t="n">
        <v>0.7193638313775367</v>
      </c>
      <c r="N485" s="35" t="n">
        <v>0.5805318256818396</v>
      </c>
      <c r="O485" s="35" t="n">
        <v>0.2151898734177216</v>
      </c>
      <c r="P485" s="35" t="n">
        <v>0.5186440677966102</v>
      </c>
      <c r="Q485" s="35" t="n">
        <v>0.7034220532319391</v>
      </c>
      <c r="R485" s="35" t="n">
        <v>0.0554421234490341</v>
      </c>
      <c r="S485" s="35" t="n">
        <v>0.2753641525249491</v>
      </c>
      <c r="T485" s="35" t="n">
        <v>0.3891592520176748</v>
      </c>
      <c r="U485" s="30" t="n">
        <v>18970</v>
      </c>
      <c r="V485" s="30" t="n">
        <v>7070</v>
      </c>
      <c r="W485" s="35" t="n">
        <v>-0.2915129151291513</v>
      </c>
      <c r="X485" s="35" t="n">
        <v>0.9009900990099009</v>
      </c>
      <c r="Y485" s="30" t="n">
        <v>33416778</v>
      </c>
      <c r="Z485" s="30" t="n">
        <v>449121496320</v>
      </c>
      <c r="AA485" s="30" t="n">
        <v>6382239360</v>
      </c>
      <c r="AB485" s="30" t="n">
        <v>6064375190</v>
      </c>
      <c r="AC485" s="35" t="n">
        <v>0.01421049629620187</v>
      </c>
      <c r="AD485" s="24" t="inlineStr">
        <is>
          <t>yfinance_download</t>
        </is>
      </c>
      <c r="AE485" s="24" t="inlineStr">
        <is>
          <t>059090.KQ</t>
        </is>
      </c>
    </row>
    <row r="486" ht="24" customHeight="1">
      <c r="A486" s="29" t="inlineStr">
        <is>
          <t>2025-06-09</t>
        </is>
      </c>
      <c r="B486" s="31" t="n">
        <v>13700</v>
      </c>
      <c r="C486" s="31" t="n">
        <v>13790</v>
      </c>
      <c r="D486" s="31" t="n">
        <v>13160</v>
      </c>
      <c r="E486" s="31" t="n">
        <v>13580</v>
      </c>
      <c r="F486" s="31" t="n">
        <v>13580</v>
      </c>
      <c r="G486" s="31" t="n">
        <v>376277</v>
      </c>
      <c r="H486" s="36" t="n">
        <v>0.01041666666666674</v>
      </c>
      <c r="I486" s="36" t="n">
        <v>-0.2841328413284133</v>
      </c>
      <c r="J486" s="31" t="n">
        <v>12854</v>
      </c>
      <c r="K486" s="31" t="n">
        <v>10617.83333333333</v>
      </c>
      <c r="L486" s="31" t="n">
        <v>9724.333333333334</v>
      </c>
      <c r="M486" s="36" t="n">
        <v>0.7193644266064601</v>
      </c>
      <c r="N486" s="36" t="n">
        <v>0.5798962491890222</v>
      </c>
      <c r="O486" s="36" t="n">
        <v>0.2146690518783543</v>
      </c>
      <c r="P486" s="36" t="n">
        <v>0.5431818181818182</v>
      </c>
      <c r="Q486" s="36" t="n">
        <v>0.7751633986928104</v>
      </c>
      <c r="R486" s="36" t="n">
        <v>0.05648047300451231</v>
      </c>
      <c r="S486" s="36" t="n">
        <v>0.2789803318316668</v>
      </c>
      <c r="T486" s="36" t="n">
        <v>0.39649676070339</v>
      </c>
      <c r="U486" s="31" t="n">
        <v>18970</v>
      </c>
      <c r="V486" s="31" t="n">
        <v>7070</v>
      </c>
      <c r="W486" s="36" t="n">
        <v>-0.2841328413284133</v>
      </c>
      <c r="X486" s="36" t="n">
        <v>0.9207920792079207</v>
      </c>
      <c r="Y486" s="31" t="n">
        <v>33416778</v>
      </c>
      <c r="Z486" s="31" t="n">
        <v>453799845240</v>
      </c>
      <c r="AA486" s="31" t="n">
        <v>5109841660</v>
      </c>
      <c r="AB486" s="31" t="n">
        <v>5992838857</v>
      </c>
      <c r="AC486" s="36" t="n">
        <v>0.01126012208597729</v>
      </c>
      <c r="AD486" s="29" t="inlineStr">
        <is>
          <t>yfinance_download</t>
        </is>
      </c>
      <c r="AE486" s="29" t="inlineStr">
        <is>
          <t>059090.KQ</t>
        </is>
      </c>
    </row>
    <row r="487" ht="24" customHeight="1">
      <c r="A487" s="24" t="inlineStr">
        <is>
          <t>2025-06-10</t>
        </is>
      </c>
      <c r="B487" s="30" t="n">
        <v>13630</v>
      </c>
      <c r="C487" s="30" t="n">
        <v>13650</v>
      </c>
      <c r="D487" s="30" t="n">
        <v>12950</v>
      </c>
      <c r="E487" s="30" t="n">
        <v>13260</v>
      </c>
      <c r="F487" s="30" t="n">
        <v>13260</v>
      </c>
      <c r="G487" s="30" t="n">
        <v>431951</v>
      </c>
      <c r="H487" s="35" t="n">
        <v>-0.02356406480117823</v>
      </c>
      <c r="I487" s="35" t="n">
        <v>-0.3010015814443858</v>
      </c>
      <c r="J487" s="30" t="n">
        <v>12969.5</v>
      </c>
      <c r="K487" s="30" t="n">
        <v>10695.16666666667</v>
      </c>
      <c r="L487" s="30" t="n">
        <v>9770.916666666666</v>
      </c>
      <c r="M487" s="35" t="n">
        <v>0.7211652911753024</v>
      </c>
      <c r="N487" s="35" t="n">
        <v>0.5805800637586764</v>
      </c>
      <c r="O487" s="35" t="n">
        <v>0.210958904109589</v>
      </c>
      <c r="P487" s="35" t="n">
        <v>0.5382830626450117</v>
      </c>
      <c r="Q487" s="35" t="n">
        <v>0.728813559322034</v>
      </c>
      <c r="R487" s="35" t="n">
        <v>0.0223987046532248</v>
      </c>
      <c r="S487" s="35" t="n">
        <v>0.2398123763070548</v>
      </c>
      <c r="T487" s="35" t="n">
        <v>0.3570886389028667</v>
      </c>
      <c r="U487" s="30" t="n">
        <v>18970</v>
      </c>
      <c r="V487" s="30" t="n">
        <v>7070</v>
      </c>
      <c r="W487" s="35" t="n">
        <v>-0.3010015814443858</v>
      </c>
      <c r="X487" s="35" t="n">
        <v>0.8755304101838755</v>
      </c>
      <c r="Y487" s="30" t="n">
        <v>33416778</v>
      </c>
      <c r="Z487" s="30" t="n">
        <v>443106476280</v>
      </c>
      <c r="AA487" s="30" t="n">
        <v>5727670260</v>
      </c>
      <c r="AB487" s="30" t="n">
        <v>6182475835</v>
      </c>
      <c r="AC487" s="35" t="n">
        <v>0.0129261713980923</v>
      </c>
      <c r="AD487" s="24" t="inlineStr">
        <is>
          <t>yfinance_download</t>
        </is>
      </c>
      <c r="AE487" s="24" t="inlineStr">
        <is>
          <t>059090.KQ</t>
        </is>
      </c>
    </row>
    <row r="488" ht="24" customHeight="1">
      <c r="A488" s="29" t="inlineStr">
        <is>
          <t>2025-06-11</t>
        </is>
      </c>
      <c r="B488" s="31" t="n">
        <v>13320</v>
      </c>
      <c r="C488" s="31" t="n">
        <v>13900</v>
      </c>
      <c r="D488" s="31" t="n">
        <v>13240</v>
      </c>
      <c r="E488" s="31" t="n">
        <v>13750</v>
      </c>
      <c r="F488" s="31" t="n">
        <v>13750</v>
      </c>
      <c r="G488" s="31" t="n">
        <v>428745</v>
      </c>
      <c r="H488" s="36" t="n">
        <v>0.03695324283559587</v>
      </c>
      <c r="I488" s="36" t="n">
        <v>-0.2751713231418028</v>
      </c>
      <c r="J488" s="31" t="n">
        <v>13082.5</v>
      </c>
      <c r="K488" s="31" t="n">
        <v>10776</v>
      </c>
      <c r="L488" s="31" t="n">
        <v>9823.583333333334</v>
      </c>
      <c r="M488" s="36" t="n">
        <v>0.7136472457264152</v>
      </c>
      <c r="N488" s="36" t="n">
        <v>0.5814621867929223</v>
      </c>
      <c r="O488" s="36" t="n">
        <v>0.196692776327241</v>
      </c>
      <c r="P488" s="36" t="n">
        <v>0.5449438202247192</v>
      </c>
      <c r="Q488" s="36" t="n">
        <v>0.8506056527590848</v>
      </c>
      <c r="R488" s="36" t="n">
        <v>0.05102235811198175</v>
      </c>
      <c r="S488" s="36" t="n">
        <v>0.2759836674090572</v>
      </c>
      <c r="T488" s="36" t="n">
        <v>0.3996929158572482</v>
      </c>
      <c r="U488" s="31" t="n">
        <v>18970</v>
      </c>
      <c r="V488" s="31" t="n">
        <v>7070</v>
      </c>
      <c r="W488" s="36" t="n">
        <v>-0.2751713231418028</v>
      </c>
      <c r="X488" s="36" t="n">
        <v>0.9448373408769448</v>
      </c>
      <c r="Y488" s="31" t="n">
        <v>33416778</v>
      </c>
      <c r="Z488" s="31" t="n">
        <v>459480697500</v>
      </c>
      <c r="AA488" s="31" t="n">
        <v>5895243750</v>
      </c>
      <c r="AB488" s="31" t="n">
        <v>6353393632</v>
      </c>
      <c r="AC488" s="36" t="n">
        <v>0.0128302315681063</v>
      </c>
      <c r="AD488" s="29" t="inlineStr">
        <is>
          <t>yfinance_download</t>
        </is>
      </c>
      <c r="AE488" s="29" t="inlineStr">
        <is>
          <t>059090.KQ</t>
        </is>
      </c>
    </row>
    <row r="489" ht="24" customHeight="1">
      <c r="A489" s="24" t="inlineStr">
        <is>
          <t>2025-06-12</t>
        </is>
      </c>
      <c r="B489" s="30" t="n">
        <v>13620</v>
      </c>
      <c r="C489" s="30" t="n">
        <v>15270</v>
      </c>
      <c r="D489" s="30" t="n">
        <v>13580</v>
      </c>
      <c r="E489" s="30" t="n">
        <v>14840</v>
      </c>
      <c r="F489" s="30" t="n">
        <v>14840</v>
      </c>
      <c r="G489" s="30" t="n">
        <v>1209832</v>
      </c>
      <c r="H489" s="35" t="n">
        <v>0.07927272727272738</v>
      </c>
      <c r="I489" s="35" t="n">
        <v>-0.2177121771217713</v>
      </c>
      <c r="J489" s="30" t="n">
        <v>13260</v>
      </c>
      <c r="K489" s="30" t="n">
        <v>10866.16666666667</v>
      </c>
      <c r="L489" s="30" t="n">
        <v>9888.333333333334</v>
      </c>
      <c r="M489" s="35" t="n">
        <v>0.7462969803784424</v>
      </c>
      <c r="N489" s="35" t="n">
        <v>0.5902807424768637</v>
      </c>
      <c r="O489" s="35" t="n">
        <v>0.3144375553587246</v>
      </c>
      <c r="P489" s="35" t="n">
        <v>0.5737009544008485</v>
      </c>
      <c r="Q489" s="35" t="n">
        <v>1.099009900990099</v>
      </c>
      <c r="R489" s="35" t="n">
        <v>0.1191553544494721</v>
      </c>
      <c r="S489" s="35" t="n">
        <v>0.3657070110587912</v>
      </c>
      <c r="T489" s="35" t="n">
        <v>0.5007584695769425</v>
      </c>
      <c r="U489" s="30" t="n">
        <v>18970</v>
      </c>
      <c r="V489" s="30" t="n">
        <v>7070</v>
      </c>
      <c r="W489" s="35" t="n">
        <v>-0.2177121771217713</v>
      </c>
      <c r="X489" s="35" t="n">
        <v>1.099009900990099</v>
      </c>
      <c r="Y489" s="30" t="n">
        <v>33416778</v>
      </c>
      <c r="Z489" s="30" t="n">
        <v>495904985520</v>
      </c>
      <c r="AA489" s="30" t="n">
        <v>17953906880</v>
      </c>
      <c r="AB489" s="30" t="n">
        <v>7112667931</v>
      </c>
      <c r="AC489" s="35" t="n">
        <v>0.03620432825690137</v>
      </c>
      <c r="AD489" s="24" t="inlineStr">
        <is>
          <t>yfinance_download</t>
        </is>
      </c>
      <c r="AE489" s="24" t="inlineStr">
        <is>
          <t>059090.KQ</t>
        </is>
      </c>
    </row>
    <row r="490" ht="24" customHeight="1">
      <c r="A490" s="29" t="inlineStr">
        <is>
          <t>2025-06-13</t>
        </is>
      </c>
      <c r="B490" s="31" t="n">
        <v>15270</v>
      </c>
      <c r="C490" s="31" t="n">
        <v>15300</v>
      </c>
      <c r="D490" s="31" t="n">
        <v>13800</v>
      </c>
      <c r="E490" s="31" t="n">
        <v>14140</v>
      </c>
      <c r="F490" s="31" t="n">
        <v>14140</v>
      </c>
      <c r="G490" s="31" t="n">
        <v>753807</v>
      </c>
      <c r="H490" s="36" t="n">
        <v>-0.04716981132075471</v>
      </c>
      <c r="I490" s="36" t="n">
        <v>-0.2546125461254612</v>
      </c>
      <c r="J490" s="31" t="n">
        <v>13402</v>
      </c>
      <c r="K490" s="31" t="n">
        <v>10937</v>
      </c>
      <c r="L490" s="31" t="n">
        <v>9944.5</v>
      </c>
      <c r="M490" s="36" t="n">
        <v>0.7770115838168099</v>
      </c>
      <c r="N490" s="36" t="n">
        <v>0.5948713469924383</v>
      </c>
      <c r="O490" s="36" t="n">
        <v>0.2513274336283187</v>
      </c>
      <c r="P490" s="36" t="n">
        <v>0.4297269969666329</v>
      </c>
      <c r="Q490" s="36" t="n">
        <v>0.9108108108108108</v>
      </c>
      <c r="R490" s="36" t="n">
        <v>0.05506640799880613</v>
      </c>
      <c r="S490" s="36" t="n">
        <v>0.292859102130383</v>
      </c>
      <c r="T490" s="36" t="n">
        <v>0.4218914978128614</v>
      </c>
      <c r="U490" s="31" t="n">
        <v>18970</v>
      </c>
      <c r="V490" s="31" t="n">
        <v>7070</v>
      </c>
      <c r="W490" s="36" t="n">
        <v>-0.2546125461254612</v>
      </c>
      <c r="X490" s="36" t="n">
        <v>1</v>
      </c>
      <c r="Y490" s="31" t="n">
        <v>33416778</v>
      </c>
      <c r="Z490" s="31" t="n">
        <v>472513240920</v>
      </c>
      <c r="AA490" s="31" t="n">
        <v>10658830980</v>
      </c>
      <c r="AB490" s="31" t="n">
        <v>7561916030</v>
      </c>
      <c r="AC490" s="36" t="n">
        <v>0.02255774030638142</v>
      </c>
      <c r="AD490" s="29" t="inlineStr">
        <is>
          <t>yfinance_download</t>
        </is>
      </c>
      <c r="AE490" s="29" t="inlineStr">
        <is>
          <t>059090.KQ</t>
        </is>
      </c>
    </row>
    <row r="491" ht="24" customHeight="1">
      <c r="A491" s="24" t="inlineStr">
        <is>
          <t>2025-06-16</t>
        </is>
      </c>
      <c r="B491" s="30" t="n">
        <v>14140</v>
      </c>
      <c r="C491" s="30" t="n">
        <v>14800</v>
      </c>
      <c r="D491" s="30" t="n">
        <v>13900</v>
      </c>
      <c r="E491" s="30" t="n">
        <v>14800</v>
      </c>
      <c r="F491" s="30" t="n">
        <v>14800</v>
      </c>
      <c r="G491" s="30" t="n">
        <v>574344</v>
      </c>
      <c r="H491" s="35" t="n">
        <v>0.04667609618104662</v>
      </c>
      <c r="I491" s="35" t="n">
        <v>-0.2198207696362678</v>
      </c>
      <c r="J491" s="30" t="n">
        <v>13580</v>
      </c>
      <c r="K491" s="30" t="n">
        <v>11014</v>
      </c>
      <c r="L491" s="30" t="n">
        <v>10002</v>
      </c>
      <c r="M491" s="35" t="n">
        <v>0.783218831682805</v>
      </c>
      <c r="N491" s="35" t="n">
        <v>0.5987475993781817</v>
      </c>
      <c r="O491" s="35" t="n">
        <v>0.3167259786476868</v>
      </c>
      <c r="P491" s="35" t="n">
        <v>0.4538310412573674</v>
      </c>
      <c r="Q491" s="35" t="n">
        <v>0.8734177215189873</v>
      </c>
      <c r="R491" s="35" t="n">
        <v>0.0898379970544918</v>
      </c>
      <c r="S491" s="35" t="n">
        <v>0.3437443254040313</v>
      </c>
      <c r="T491" s="35" t="n">
        <v>0.4797040591881623</v>
      </c>
      <c r="U491" s="30" t="n">
        <v>18970</v>
      </c>
      <c r="V491" s="30" t="n">
        <v>7070</v>
      </c>
      <c r="W491" s="35" t="n">
        <v>-0.2198207696362678</v>
      </c>
      <c r="X491" s="35" t="n">
        <v>1.093352192362093</v>
      </c>
      <c r="Y491" s="30" t="n">
        <v>33416778</v>
      </c>
      <c r="Z491" s="30" t="n">
        <v>494568314400</v>
      </c>
      <c r="AA491" s="30" t="n">
        <v>8500291200</v>
      </c>
      <c r="AB491" s="30" t="n">
        <v>7862029462</v>
      </c>
      <c r="AC491" s="35" t="n">
        <v>0.01718729435854049</v>
      </c>
      <c r="AD491" s="24" t="inlineStr">
        <is>
          <t>yfinance_download</t>
        </is>
      </c>
      <c r="AE491" s="24" t="inlineStr">
        <is>
          <t>059090.KQ</t>
        </is>
      </c>
    </row>
    <row r="492" ht="24" customHeight="1">
      <c r="A492" s="29" t="inlineStr">
        <is>
          <t>2025-06-17</t>
        </is>
      </c>
      <c r="B492" s="31" t="n">
        <v>15010</v>
      </c>
      <c r="C492" s="31" t="n">
        <v>15600</v>
      </c>
      <c r="D492" s="31" t="n">
        <v>14010</v>
      </c>
      <c r="E492" s="31" t="n">
        <v>14650</v>
      </c>
      <c r="F492" s="31" t="n">
        <v>14650</v>
      </c>
      <c r="G492" s="31" t="n">
        <v>657528</v>
      </c>
      <c r="H492" s="36" t="n">
        <v>-0.01013513513513509</v>
      </c>
      <c r="I492" s="36" t="n">
        <v>-0.22772799156563</v>
      </c>
      <c r="J492" s="31" t="n">
        <v>13670.5</v>
      </c>
      <c r="K492" s="31" t="n">
        <v>11093.16666666667</v>
      </c>
      <c r="L492" s="31" t="n">
        <v>10057.75</v>
      </c>
      <c r="M492" s="36" t="n">
        <v>0.6254047255227967</v>
      </c>
      <c r="N492" s="36" t="n">
        <v>0.5955300529057126</v>
      </c>
      <c r="O492" s="36" t="n">
        <v>0.1409657320872275</v>
      </c>
      <c r="P492" s="36" t="n">
        <v>0.4797979797979799</v>
      </c>
      <c r="Q492" s="36" t="n">
        <v>0.8404522613065326</v>
      </c>
      <c r="R492" s="36" t="n">
        <v>0.07165063457810605</v>
      </c>
      <c r="S492" s="36" t="n">
        <v>0.3206328220075423</v>
      </c>
      <c r="T492" s="36" t="n">
        <v>0.4565882031269419</v>
      </c>
      <c r="U492" s="31" t="n">
        <v>18970</v>
      </c>
      <c r="V492" s="31" t="n">
        <v>7070</v>
      </c>
      <c r="W492" s="36" t="n">
        <v>-0.22772799156563</v>
      </c>
      <c r="X492" s="36" t="n">
        <v>1.072135785007072</v>
      </c>
      <c r="Y492" s="31" t="n">
        <v>33416778</v>
      </c>
      <c r="Z492" s="31" t="n">
        <v>489555797700</v>
      </c>
      <c r="AA492" s="31" t="n">
        <v>9632785200</v>
      </c>
      <c r="AB492" s="31" t="n">
        <v>7580190124</v>
      </c>
      <c r="AC492" s="36" t="n">
        <v>0.01967658282315548</v>
      </c>
      <c r="AD492" s="29" t="inlineStr">
        <is>
          <t>yfinance_download</t>
        </is>
      </c>
      <c r="AE492" s="29" t="inlineStr">
        <is>
          <t>059090.KQ</t>
        </is>
      </c>
    </row>
    <row r="493" ht="24" customHeight="1">
      <c r="A493" s="24" t="inlineStr">
        <is>
          <t>2025-06-18</t>
        </is>
      </c>
      <c r="B493" s="30" t="n">
        <v>14760</v>
      </c>
      <c r="C493" s="30" t="n">
        <v>15320</v>
      </c>
      <c r="D493" s="30" t="n">
        <v>14460</v>
      </c>
      <c r="E493" s="30" t="n">
        <v>15090</v>
      </c>
      <c r="F493" s="30" t="n">
        <v>15090</v>
      </c>
      <c r="G493" s="30" t="n">
        <v>432277</v>
      </c>
      <c r="H493" s="35" t="n">
        <v>0.03003412969283281</v>
      </c>
      <c r="I493" s="35" t="n">
        <v>-0.2045334739061676</v>
      </c>
      <c r="J493" s="30" t="n">
        <v>13796.5</v>
      </c>
      <c r="K493" s="30" t="n">
        <v>11182</v>
      </c>
      <c r="L493" s="30" t="n">
        <v>10115.83333333333</v>
      </c>
      <c r="M493" s="35" t="n">
        <v>0.6209390852127955</v>
      </c>
      <c r="N493" s="35" t="n">
        <v>0.5956428436455067</v>
      </c>
      <c r="O493" s="35" t="n">
        <v>0.2004773269689737</v>
      </c>
      <c r="P493" s="35" t="n">
        <v>0.5461065573770492</v>
      </c>
      <c r="Q493" s="35" t="n">
        <v>0.8583743842364533</v>
      </c>
      <c r="R493" s="35" t="n">
        <v>0.09375566266806801</v>
      </c>
      <c r="S493" s="35" t="n">
        <v>0.3494902521910213</v>
      </c>
      <c r="T493" s="35" t="n">
        <v>0.4917208995798665</v>
      </c>
      <c r="U493" s="30" t="n">
        <v>18970</v>
      </c>
      <c r="V493" s="30" t="n">
        <v>7070</v>
      </c>
      <c r="W493" s="35" t="n">
        <v>-0.2045334739061676</v>
      </c>
      <c r="X493" s="35" t="n">
        <v>1.134370579915134</v>
      </c>
      <c r="Y493" s="30" t="n">
        <v>33416778</v>
      </c>
      <c r="Z493" s="30" t="n">
        <v>504259180020</v>
      </c>
      <c r="AA493" s="30" t="n">
        <v>6523059930</v>
      </c>
      <c r="AB493" s="30" t="n">
        <v>7616349449.5</v>
      </c>
      <c r="AC493" s="35" t="n">
        <v>0.01293592697656249</v>
      </c>
      <c r="AD493" s="24" t="inlineStr">
        <is>
          <t>yfinance_download</t>
        </is>
      </c>
      <c r="AE493" s="24" t="inlineStr">
        <is>
          <t>059090.KQ</t>
        </is>
      </c>
    </row>
    <row r="494" ht="24" customHeight="1">
      <c r="A494" s="29" t="inlineStr">
        <is>
          <t>2025-06-19</t>
        </is>
      </c>
      <c r="B494" s="31" t="n">
        <v>15270</v>
      </c>
      <c r="C494" s="31" t="n">
        <v>15270</v>
      </c>
      <c r="D494" s="31" t="n">
        <v>14550</v>
      </c>
      <c r="E494" s="31" t="n">
        <v>14730</v>
      </c>
      <c r="F494" s="31" t="n">
        <v>14730</v>
      </c>
      <c r="G494" s="31" t="n">
        <v>454596</v>
      </c>
      <c r="H494" s="36" t="n">
        <v>-0.02385685884691846</v>
      </c>
      <c r="I494" s="36" t="n">
        <v>-0.2235108065366368</v>
      </c>
      <c r="J494" s="31" t="n">
        <v>13891</v>
      </c>
      <c r="K494" s="31" t="n">
        <v>11266</v>
      </c>
      <c r="L494" s="31" t="n">
        <v>10169.33333333333</v>
      </c>
      <c r="M494" s="36" t="n">
        <v>0.6304949952118044</v>
      </c>
      <c r="N494" s="36" t="n">
        <v>0.5984280353627809</v>
      </c>
      <c r="O494" s="36" t="n">
        <v>0.1471962616822431</v>
      </c>
      <c r="P494" s="36" t="n">
        <v>0.5201238390092879</v>
      </c>
      <c r="Q494" s="36" t="n">
        <v>0.772563176895307</v>
      </c>
      <c r="R494" s="36" t="n">
        <v>0.06039881937945424</v>
      </c>
      <c r="S494" s="36" t="n">
        <v>0.3074738150186402</v>
      </c>
      <c r="T494" s="36" t="n">
        <v>0.448472531794939</v>
      </c>
      <c r="U494" s="31" t="n">
        <v>18970</v>
      </c>
      <c r="V494" s="31" t="n">
        <v>7070</v>
      </c>
      <c r="W494" s="36" t="n">
        <v>-0.2235108065366368</v>
      </c>
      <c r="X494" s="36" t="n">
        <v>1.083451202263083</v>
      </c>
      <c r="Y494" s="31" t="n">
        <v>33416778</v>
      </c>
      <c r="Z494" s="31" t="n">
        <v>492229139940</v>
      </c>
      <c r="AA494" s="31" t="n">
        <v>6696199080</v>
      </c>
      <c r="AB494" s="31" t="n">
        <v>7673554109.5</v>
      </c>
      <c r="AC494" s="36" t="n">
        <v>0.01360382500072269</v>
      </c>
      <c r="AD494" s="29" t="inlineStr">
        <is>
          <t>yfinance_download</t>
        </is>
      </c>
      <c r="AE494" s="29" t="inlineStr">
        <is>
          <t>059090.KQ</t>
        </is>
      </c>
    </row>
    <row r="495" ht="24" customHeight="1">
      <c r="A495" s="24" t="inlineStr">
        <is>
          <t>2025-06-20</t>
        </is>
      </c>
      <c r="B495" s="30" t="n">
        <v>14900</v>
      </c>
      <c r="C495" s="30" t="n">
        <v>15820</v>
      </c>
      <c r="D495" s="30" t="n">
        <v>14500</v>
      </c>
      <c r="E495" s="30" t="n">
        <v>14670</v>
      </c>
      <c r="F495" s="30" t="n">
        <v>14670</v>
      </c>
      <c r="G495" s="30" t="n">
        <v>1016996</v>
      </c>
      <c r="H495" s="35" t="n">
        <v>-0.004073319755600768</v>
      </c>
      <c r="I495" s="35" t="n">
        <v>-0.2266736953083817</v>
      </c>
      <c r="J495" s="30" t="n">
        <v>13924.5</v>
      </c>
      <c r="K495" s="30" t="n">
        <v>11350.16666666667</v>
      </c>
      <c r="L495" s="30" t="n">
        <v>10221.58333333333</v>
      </c>
      <c r="M495" s="35" t="n">
        <v>0.5501546449733412</v>
      </c>
      <c r="N495" s="35" t="n">
        <v>0.5981276391557954</v>
      </c>
      <c r="O495" s="35" t="n">
        <v>0.04785714285714282</v>
      </c>
      <c r="P495" s="35" t="n">
        <v>0.5249480249480249</v>
      </c>
      <c r="Q495" s="35" t="n">
        <v>0.7464285714285714</v>
      </c>
      <c r="R495" s="35" t="n">
        <v>0.05353872670472914</v>
      </c>
      <c r="S495" s="35" t="n">
        <v>0.2924920338908388</v>
      </c>
      <c r="T495" s="35" t="n">
        <v>0.4351983955518959</v>
      </c>
      <c r="U495" s="30" t="n">
        <v>18970</v>
      </c>
      <c r="V495" s="30" t="n">
        <v>7070</v>
      </c>
      <c r="W495" s="35" t="n">
        <v>-0.2266736953083817</v>
      </c>
      <c r="X495" s="35" t="n">
        <v>1.074964639321075</v>
      </c>
      <c r="Y495" s="30" t="n">
        <v>33416778</v>
      </c>
      <c r="Z495" s="30" t="n">
        <v>490224133260</v>
      </c>
      <c r="AA495" s="30" t="n">
        <v>14919331320</v>
      </c>
      <c r="AB495" s="30" t="n">
        <v>7721923775.5</v>
      </c>
      <c r="AC495" s="35" t="n">
        <v>0.03043369411617122</v>
      </c>
      <c r="AD495" s="24" t="inlineStr">
        <is>
          <t>yfinance_download</t>
        </is>
      </c>
      <c r="AE495" s="24" t="inlineStr">
        <is>
          <t>059090.KQ</t>
        </is>
      </c>
    </row>
    <row r="496" ht="24" customHeight="1">
      <c r="A496" s="29" t="inlineStr">
        <is>
          <t>2025-06-23</t>
        </is>
      </c>
      <c r="B496" s="31" t="n">
        <v>14260</v>
      </c>
      <c r="C496" s="31" t="n">
        <v>14500</v>
      </c>
      <c r="D496" s="31" t="n">
        <v>14150</v>
      </c>
      <c r="E496" s="31" t="n">
        <v>14280</v>
      </c>
      <c r="F496" s="31" t="n">
        <v>14280</v>
      </c>
      <c r="G496" s="31" t="n">
        <v>247779</v>
      </c>
      <c r="H496" s="36" t="n">
        <v>-0.02658486707566465</v>
      </c>
      <c r="I496" s="36" t="n">
        <v>-0.2472324723247232</v>
      </c>
      <c r="J496" s="31" t="n">
        <v>13944</v>
      </c>
      <c r="K496" s="31" t="n">
        <v>11428.16666666667</v>
      </c>
      <c r="L496" s="31" t="n">
        <v>10270.75</v>
      </c>
      <c r="M496" s="36" t="n">
        <v>0.5589577220422265</v>
      </c>
      <c r="N496" s="36" t="n">
        <v>0.6019409718776901</v>
      </c>
      <c r="O496" s="36" t="n">
        <v>0.02807775377969768</v>
      </c>
      <c r="P496" s="36" t="n">
        <v>0.4875</v>
      </c>
      <c r="Q496" s="36" t="n">
        <v>0.7040572792362769</v>
      </c>
      <c r="R496" s="36" t="n">
        <v>0.02409638554216875</v>
      </c>
      <c r="S496" s="36" t="n">
        <v>0.2495442546923539</v>
      </c>
      <c r="T496" s="36" t="n">
        <v>0.3903561083659908</v>
      </c>
      <c r="U496" s="31" t="n">
        <v>18970</v>
      </c>
      <c r="V496" s="31" t="n">
        <v>7070</v>
      </c>
      <c r="W496" s="36" t="n">
        <v>-0.2472324723247232</v>
      </c>
      <c r="X496" s="36" t="n">
        <v>1.01980198019802</v>
      </c>
      <c r="Y496" s="31" t="n">
        <v>33416778</v>
      </c>
      <c r="Z496" s="31" t="n">
        <v>477191589840</v>
      </c>
      <c r="AA496" s="31" t="n">
        <v>3538284120</v>
      </c>
      <c r="AB496" s="31" t="n">
        <v>7652594672.5</v>
      </c>
      <c r="AC496" s="36" t="n">
        <v>0.007414808214005551</v>
      </c>
      <c r="AD496" s="29" t="inlineStr">
        <is>
          <t>yfinance_download</t>
        </is>
      </c>
      <c r="AE496" s="29" t="inlineStr">
        <is>
          <t>059090.KQ</t>
        </is>
      </c>
    </row>
    <row r="497" ht="24" customHeight="1">
      <c r="A497" s="24" t="inlineStr">
        <is>
          <t>2025-06-24</t>
        </is>
      </c>
      <c r="B497" s="30" t="n">
        <v>14610</v>
      </c>
      <c r="C497" s="30" t="n">
        <v>15090</v>
      </c>
      <c r="D497" s="30" t="n">
        <v>14480</v>
      </c>
      <c r="E497" s="30" t="n">
        <v>14500</v>
      </c>
      <c r="F497" s="30" t="n">
        <v>14500</v>
      </c>
      <c r="G497" s="30" t="n">
        <v>614087</v>
      </c>
      <c r="H497" s="35" t="n">
        <v>0.01540616246498594</v>
      </c>
      <c r="I497" s="35" t="n">
        <v>-0.2356352134949921</v>
      </c>
      <c r="J497" s="30" t="n">
        <v>13953</v>
      </c>
      <c r="K497" s="30" t="n">
        <v>11515</v>
      </c>
      <c r="L497" s="30" t="n">
        <v>10324.5</v>
      </c>
      <c r="M497" s="35" t="n">
        <v>0.55092725503264</v>
      </c>
      <c r="N497" s="35" t="n">
        <v>0.5964449577674409</v>
      </c>
      <c r="O497" s="35" t="n">
        <v>0.01256983240223453</v>
      </c>
      <c r="P497" s="35" t="n">
        <v>0.5608180839612487</v>
      </c>
      <c r="Q497" s="35" t="n">
        <v>0.8012422360248448</v>
      </c>
      <c r="R497" s="35" t="n">
        <v>0.03920303877302378</v>
      </c>
      <c r="S497" s="35" t="n">
        <v>0.2592270950933564</v>
      </c>
      <c r="T497" s="35" t="n">
        <v>0.4044263644728558</v>
      </c>
      <c r="U497" s="30" t="n">
        <v>18970</v>
      </c>
      <c r="V497" s="30" t="n">
        <v>7070</v>
      </c>
      <c r="W497" s="35" t="n">
        <v>-0.2356352134949921</v>
      </c>
      <c r="X497" s="35" t="n">
        <v>1.050919377652051</v>
      </c>
      <c r="Y497" s="30" t="n">
        <v>33416778</v>
      </c>
      <c r="Z497" s="30" t="n">
        <v>484543281000</v>
      </c>
      <c r="AA497" s="30" t="n">
        <v>8904261500</v>
      </c>
      <c r="AB497" s="30" t="n">
        <v>7454739507.5</v>
      </c>
      <c r="AC497" s="35" t="n">
        <v>0.01837660710437134</v>
      </c>
      <c r="AD497" s="24" t="inlineStr">
        <is>
          <t>yfinance_download</t>
        </is>
      </c>
      <c r="AE497" s="24" t="inlineStr">
        <is>
          <t>059090.KQ</t>
        </is>
      </c>
    </row>
    <row r="498" ht="24" customHeight="1">
      <c r="A498" s="29" t="inlineStr">
        <is>
          <t>2025-06-25</t>
        </is>
      </c>
      <c r="B498" s="31" t="n">
        <v>14850</v>
      </c>
      <c r="C498" s="31" t="n">
        <v>14930</v>
      </c>
      <c r="D498" s="31" t="n">
        <v>14060</v>
      </c>
      <c r="E498" s="31" t="n">
        <v>14260</v>
      </c>
      <c r="F498" s="31" t="n">
        <v>14260</v>
      </c>
      <c r="G498" s="31" t="n">
        <v>332638</v>
      </c>
      <c r="H498" s="36" t="n">
        <v>-0.01655172413793105</v>
      </c>
      <c r="I498" s="36" t="n">
        <v>-0.2482867685819715</v>
      </c>
      <c r="J498" s="31" t="n">
        <v>13974.5</v>
      </c>
      <c r="K498" s="31" t="n">
        <v>11595.16666666667</v>
      </c>
      <c r="L498" s="31" t="n">
        <v>10378.33333333333</v>
      </c>
      <c r="M498" s="36" t="n">
        <v>0.5393160495300442</v>
      </c>
      <c r="N498" s="36" t="n">
        <v>0.5982567558531359</v>
      </c>
      <c r="O498" s="36" t="n">
        <v>0.03109182935647148</v>
      </c>
      <c r="P498" s="36" t="n">
        <v>0.5089947089947089</v>
      </c>
      <c r="Q498" s="36" t="n">
        <v>0.8282051282051281</v>
      </c>
      <c r="R498" s="36" t="n">
        <v>0.02043006905434908</v>
      </c>
      <c r="S498" s="36" t="n">
        <v>0.2298227709821621</v>
      </c>
      <c r="T498" s="36" t="n">
        <v>0.3740163802794283</v>
      </c>
      <c r="U498" s="31" t="n">
        <v>18970</v>
      </c>
      <c r="V498" s="31" t="n">
        <v>7070</v>
      </c>
      <c r="W498" s="36" t="n">
        <v>-0.2482867685819715</v>
      </c>
      <c r="X498" s="36" t="n">
        <v>1.016973125884017</v>
      </c>
      <c r="Y498" s="31" t="n">
        <v>33416778</v>
      </c>
      <c r="Z498" s="31" t="n">
        <v>476523254280</v>
      </c>
      <c r="AA498" s="31" t="n">
        <v>4743417880</v>
      </c>
      <c r="AB498" s="31" t="n">
        <v>7342758221.5</v>
      </c>
      <c r="AC498" s="36" t="n">
        <v>0.009954221199901438</v>
      </c>
      <c r="AD498" s="29" t="inlineStr">
        <is>
          <t>yfinance_download</t>
        </is>
      </c>
      <c r="AE498" s="29" t="inlineStr">
        <is>
          <t>059090.KQ</t>
        </is>
      </c>
    </row>
    <row r="499" ht="24" customHeight="1">
      <c r="A499" s="24" t="inlineStr">
        <is>
          <t>2025-06-26</t>
        </is>
      </c>
      <c r="B499" s="30" t="n">
        <v>14450</v>
      </c>
      <c r="C499" s="30" t="n">
        <v>14600</v>
      </c>
      <c r="D499" s="30" t="n">
        <v>13610</v>
      </c>
      <c r="E499" s="30" t="n">
        <v>13850</v>
      </c>
      <c r="F499" s="30" t="n">
        <v>13850</v>
      </c>
      <c r="G499" s="30" t="n">
        <v>402075</v>
      </c>
      <c r="H499" s="35" t="n">
        <v>-0.02875175315568024</v>
      </c>
      <c r="I499" s="35" t="n">
        <v>-0.2698998418555614</v>
      </c>
      <c r="J499" s="30" t="n">
        <v>13993</v>
      </c>
      <c r="K499" s="30" t="n">
        <v>11672.66666666667</v>
      </c>
      <c r="L499" s="30" t="n">
        <v>10426.33333333333</v>
      </c>
      <c r="M499" s="35" t="n">
        <v>0.5417681732245624</v>
      </c>
      <c r="N499" s="35" t="n">
        <v>0.5988326894538865</v>
      </c>
      <c r="O499" s="35" t="n">
        <v>0.02744807121661719</v>
      </c>
      <c r="P499" s="35" t="n">
        <v>0.5054347826086956</v>
      </c>
      <c r="Q499" s="35" t="n">
        <v>0.7119901112484548</v>
      </c>
      <c r="R499" s="35" t="n">
        <v>-0.01021939541199168</v>
      </c>
      <c r="S499" s="35" t="n">
        <v>0.1865326403563883</v>
      </c>
      <c r="T499" s="35" t="n">
        <v>0.3283672751686435</v>
      </c>
      <c r="U499" s="30" t="n">
        <v>18970</v>
      </c>
      <c r="V499" s="30" t="n">
        <v>7070</v>
      </c>
      <c r="W499" s="35" t="n">
        <v>-0.2698998418555614</v>
      </c>
      <c r="X499" s="35" t="n">
        <v>0.958981612446959</v>
      </c>
      <c r="Y499" s="30" t="n">
        <v>33416778</v>
      </c>
      <c r="Z499" s="30" t="n">
        <v>462822375300</v>
      </c>
      <c r="AA499" s="30" t="n">
        <v>5568738750</v>
      </c>
      <c r="AB499" s="30" t="n">
        <v>7391515505</v>
      </c>
      <c r="AC499" s="35" t="n">
        <v>0.01203212948896509</v>
      </c>
      <c r="AD499" s="24" t="inlineStr">
        <is>
          <t>yfinance_download</t>
        </is>
      </c>
      <c r="AE499" s="24" t="inlineStr">
        <is>
          <t>059090.KQ</t>
        </is>
      </c>
    </row>
    <row r="500" ht="24" customHeight="1">
      <c r="A500" s="29" t="inlineStr">
        <is>
          <t>2025-06-27</t>
        </is>
      </c>
      <c r="B500" s="31" t="n">
        <v>14040</v>
      </c>
      <c r="C500" s="31" t="n">
        <v>14040</v>
      </c>
      <c r="D500" s="31" t="n">
        <v>13290</v>
      </c>
      <c r="E500" s="31" t="n">
        <v>13500</v>
      </c>
      <c r="F500" s="31" t="n">
        <v>13500</v>
      </c>
      <c r="G500" s="31" t="n">
        <v>248620</v>
      </c>
      <c r="H500" s="36" t="n">
        <v>-0.02527075812274371</v>
      </c>
      <c r="I500" s="36" t="n">
        <v>-0.2883500263574065</v>
      </c>
      <c r="J500" s="31" t="n">
        <v>14014.5</v>
      </c>
      <c r="K500" s="31" t="n">
        <v>11746.83333333333</v>
      </c>
      <c r="L500" s="31" t="n">
        <v>10472.66666666667</v>
      </c>
      <c r="M500" s="36" t="n">
        <v>0.5379929665192199</v>
      </c>
      <c r="N500" s="36" t="n">
        <v>0.6006354402322835</v>
      </c>
      <c r="O500" s="36" t="n">
        <v>0.03289977046671777</v>
      </c>
      <c r="P500" s="36" t="n">
        <v>0.4917127071823204</v>
      </c>
      <c r="Q500" s="36" t="n">
        <v>0.7002518891687657</v>
      </c>
      <c r="R500" s="36" t="n">
        <v>-0.0367119768810874</v>
      </c>
      <c r="S500" s="36" t="n">
        <v>0.1492458960570933</v>
      </c>
      <c r="T500" s="36" t="n">
        <v>0.2890699598956012</v>
      </c>
      <c r="U500" s="31" t="n">
        <v>18970</v>
      </c>
      <c r="V500" s="31" t="n">
        <v>7070</v>
      </c>
      <c r="W500" s="36" t="n">
        <v>-0.2883500263574065</v>
      </c>
      <c r="X500" s="36" t="n">
        <v>0.9094766619519095</v>
      </c>
      <c r="Y500" s="31" t="n">
        <v>33416778</v>
      </c>
      <c r="Z500" s="31" t="n">
        <v>451126503000</v>
      </c>
      <c r="AA500" s="31" t="n">
        <v>3356370000</v>
      </c>
      <c r="AB500" s="31" t="n">
        <v>7314294377.5</v>
      </c>
      <c r="AC500" s="36" t="n">
        <v>0.007439975212451661</v>
      </c>
      <c r="AD500" s="29" t="inlineStr">
        <is>
          <t>yfinance_download</t>
        </is>
      </c>
      <c r="AE500" s="29" t="inlineStr">
        <is>
          <t>059090.KQ</t>
        </is>
      </c>
    </row>
    <row r="501" ht="24" customHeight="1">
      <c r="A501" s="24" t="inlineStr">
        <is>
          <t>2025-06-30</t>
        </is>
      </c>
      <c r="B501" s="30" t="n">
        <v>13500</v>
      </c>
      <c r="C501" s="30" t="n">
        <v>13670</v>
      </c>
      <c r="D501" s="30" t="n">
        <v>13410</v>
      </c>
      <c r="E501" s="30" t="n">
        <v>13480</v>
      </c>
      <c r="F501" s="30" t="n">
        <v>13480</v>
      </c>
      <c r="G501" s="30" t="n">
        <v>118663</v>
      </c>
      <c r="H501" s="35" t="n">
        <v>-0.001481481481481528</v>
      </c>
      <c r="I501" s="35" t="n">
        <v>-0.2894043226146548</v>
      </c>
      <c r="J501" s="30" t="n">
        <v>14034</v>
      </c>
      <c r="K501" s="30" t="n">
        <v>11824.66666666667</v>
      </c>
      <c r="L501" s="30" t="n">
        <v>10517.5</v>
      </c>
      <c r="M501" s="35" t="n">
        <v>0.5381455802555261</v>
      </c>
      <c r="N501" s="35" t="n">
        <v>0.5967812020733386</v>
      </c>
      <c r="O501" s="35" t="n">
        <v>0.02979373567608867</v>
      </c>
      <c r="P501" s="35" t="n">
        <v>0.5300794551645858</v>
      </c>
      <c r="Q501" s="35" t="n">
        <v>0.6641975308641976</v>
      </c>
      <c r="R501" s="35" t="n">
        <v>-0.03947555935585012</v>
      </c>
      <c r="S501" s="35" t="n">
        <v>0.1399898517223883</v>
      </c>
      <c r="T501" s="35" t="n">
        <v>0.2816734014737343</v>
      </c>
      <c r="U501" s="30" t="n">
        <v>18970</v>
      </c>
      <c r="V501" s="30" t="n">
        <v>7070</v>
      </c>
      <c r="W501" s="35" t="n">
        <v>-0.2894043226146548</v>
      </c>
      <c r="X501" s="35" t="n">
        <v>0.9066478076379068</v>
      </c>
      <c r="Y501" s="30" t="n">
        <v>33416778</v>
      </c>
      <c r="Z501" s="30" t="n">
        <v>450458167440</v>
      </c>
      <c r="AA501" s="30" t="n">
        <v>1599577240</v>
      </c>
      <c r="AB501" s="30" t="n">
        <v>7115204257</v>
      </c>
      <c r="AC501" s="35" t="n">
        <v>0.003551000638062712</v>
      </c>
      <c r="AD501" s="24" t="inlineStr">
        <is>
          <t>yfinance_download</t>
        </is>
      </c>
      <c r="AE501" s="24" t="inlineStr">
        <is>
          <t>059090.KQ</t>
        </is>
      </c>
    </row>
    <row r="502" ht="24" customHeight="1">
      <c r="A502" s="29" t="inlineStr">
        <is>
          <t>2025-07-01</t>
        </is>
      </c>
      <c r="B502" s="31" t="n">
        <v>13610</v>
      </c>
      <c r="C502" s="31" t="n">
        <v>14040</v>
      </c>
      <c r="D502" s="31" t="n">
        <v>13420</v>
      </c>
      <c r="E502" s="31" t="n">
        <v>13440</v>
      </c>
      <c r="F502" s="31" t="n">
        <v>13440</v>
      </c>
      <c r="G502" s="31" t="n">
        <v>271616</v>
      </c>
      <c r="H502" s="36" t="n">
        <v>-0.002967359050445095</v>
      </c>
      <c r="I502" s="36" t="n">
        <v>-0.2915129151291513</v>
      </c>
      <c r="J502" s="31" t="n">
        <v>14057</v>
      </c>
      <c r="K502" s="31" t="n">
        <v>11901.5</v>
      </c>
      <c r="L502" s="31" t="n">
        <v>10563.5</v>
      </c>
      <c r="M502" s="36" t="n">
        <v>0.5370960478724023</v>
      </c>
      <c r="N502" s="36" t="n">
        <v>0.5970844183776991</v>
      </c>
      <c r="O502" s="36" t="n">
        <v>0.03543913713405233</v>
      </c>
      <c r="P502" s="36" t="n">
        <v>0.5220838052095129</v>
      </c>
      <c r="Q502" s="36" t="n">
        <v>0.696969696969697</v>
      </c>
      <c r="R502" s="36" t="n">
        <v>-0.04389272248701714</v>
      </c>
      <c r="S502" s="36" t="n">
        <v>0.1292694198210309</v>
      </c>
      <c r="T502" s="36" t="n">
        <v>0.272305580536754</v>
      </c>
      <c r="U502" s="31" t="n">
        <v>18970</v>
      </c>
      <c r="V502" s="31" t="n">
        <v>7070</v>
      </c>
      <c r="W502" s="36" t="n">
        <v>-0.2915129151291513</v>
      </c>
      <c r="X502" s="36" t="n">
        <v>0.9009900990099009</v>
      </c>
      <c r="Y502" s="31" t="n">
        <v>33416778</v>
      </c>
      <c r="Z502" s="31" t="n">
        <v>449121496320</v>
      </c>
      <c r="AA502" s="31" t="n">
        <v>3650519040</v>
      </c>
      <c r="AB502" s="31" t="n">
        <v>7165564604</v>
      </c>
      <c r="AC502" s="36" t="n">
        <v>0.008128132520735541</v>
      </c>
      <c r="AD502" s="29" t="inlineStr">
        <is>
          <t>yfinance_download</t>
        </is>
      </c>
      <c r="AE502" s="29" t="inlineStr">
        <is>
          <t>059090.KQ</t>
        </is>
      </c>
    </row>
    <row r="503" ht="24" customHeight="1">
      <c r="A503" s="24" t="inlineStr">
        <is>
          <t>2025-07-02</t>
        </is>
      </c>
      <c r="B503" s="30" t="n">
        <v>13360</v>
      </c>
      <c r="C503" s="30" t="n">
        <v>13490</v>
      </c>
      <c r="D503" s="30" t="n">
        <v>13170</v>
      </c>
      <c r="E503" s="30" t="n">
        <v>13410</v>
      </c>
      <c r="F503" s="30" t="n">
        <v>13410</v>
      </c>
      <c r="G503" s="30" t="n">
        <v>203393</v>
      </c>
      <c r="H503" s="35" t="n">
        <v>-0.002232142857142905</v>
      </c>
      <c r="I503" s="35" t="n">
        <v>-0.2930943595150237</v>
      </c>
      <c r="J503" s="30" t="n">
        <v>14076</v>
      </c>
      <c r="K503" s="30" t="n">
        <v>11977.66666666667</v>
      </c>
      <c r="L503" s="30" t="n">
        <v>10608.41666666667</v>
      </c>
      <c r="M503" s="35" t="n">
        <v>0.5372935183960621</v>
      </c>
      <c r="N503" s="35" t="n">
        <v>0.597282244042919</v>
      </c>
      <c r="O503" s="35" t="n">
        <v>0.02916346891788191</v>
      </c>
      <c r="P503" s="35" t="n">
        <v>0.5169683257918551</v>
      </c>
      <c r="Q503" s="35" t="n">
        <v>0.672069825436409</v>
      </c>
      <c r="R503" s="35" t="n">
        <v>-0.04731457800511507</v>
      </c>
      <c r="S503" s="35" t="n">
        <v>0.1195836696073247</v>
      </c>
      <c r="T503" s="35" t="n">
        <v>0.2640906198694433</v>
      </c>
      <c r="U503" s="30" t="n">
        <v>18970</v>
      </c>
      <c r="V503" s="30" t="n">
        <v>7070</v>
      </c>
      <c r="W503" s="35" t="n">
        <v>-0.2930943595150237</v>
      </c>
      <c r="X503" s="35" t="n">
        <v>0.8967468175388968</v>
      </c>
      <c r="Y503" s="30" t="n">
        <v>33416778</v>
      </c>
      <c r="Z503" s="30" t="n">
        <v>448118992980</v>
      </c>
      <c r="AA503" s="30" t="n">
        <v>2727500130</v>
      </c>
      <c r="AB503" s="30" t="n">
        <v>7040391026.5</v>
      </c>
      <c r="AC503" s="35" t="n">
        <v>0.006086553287692787</v>
      </c>
      <c r="AD503" s="24" t="inlineStr">
        <is>
          <t>yfinance_download</t>
        </is>
      </c>
      <c r="AE503" s="24" t="inlineStr">
        <is>
          <t>059090.KQ</t>
        </is>
      </c>
    </row>
    <row r="504" ht="24" customHeight="1">
      <c r="A504" s="29" t="inlineStr">
        <is>
          <t>2025-07-03</t>
        </is>
      </c>
      <c r="B504" s="31" t="n">
        <v>13700</v>
      </c>
      <c r="C504" s="31" t="n">
        <v>14440</v>
      </c>
      <c r="D504" s="31" t="n">
        <v>13620</v>
      </c>
      <c r="E504" s="31" t="n">
        <v>14360</v>
      </c>
      <c r="F504" s="31" t="n">
        <v>14360</v>
      </c>
      <c r="G504" s="31" t="n">
        <v>366719</v>
      </c>
      <c r="H504" s="36" t="n">
        <v>0.07084265473527229</v>
      </c>
      <c r="I504" s="36" t="n">
        <v>-0.2430152872957301</v>
      </c>
      <c r="J504" s="31" t="n">
        <v>14101.5</v>
      </c>
      <c r="K504" s="31" t="n">
        <v>12071.5</v>
      </c>
      <c r="L504" s="31" t="n">
        <v>10657.91666666667</v>
      </c>
      <c r="M504" s="36" t="n">
        <v>0.5497864043349164</v>
      </c>
      <c r="N504" s="36" t="n">
        <v>0.6095811435392741</v>
      </c>
      <c r="O504" s="36" t="n">
        <v>0.03682310469314087</v>
      </c>
      <c r="P504" s="36" t="n">
        <v>0.6449026345933562</v>
      </c>
      <c r="Q504" s="36" t="n">
        <v>0.7054631828978621</v>
      </c>
      <c r="R504" s="36" t="n">
        <v>0.01833138318618577</v>
      </c>
      <c r="S504" s="36" t="n">
        <v>0.1895787598889946</v>
      </c>
      <c r="T504" s="36" t="n">
        <v>0.347355252355448</v>
      </c>
      <c r="U504" s="31" t="n">
        <v>18970</v>
      </c>
      <c r="V504" s="31" t="n">
        <v>7070</v>
      </c>
      <c r="W504" s="36" t="n">
        <v>-0.2430152872957301</v>
      </c>
      <c r="X504" s="36" t="n">
        <v>1.031117397454031</v>
      </c>
      <c r="Y504" s="31" t="n">
        <v>33416778</v>
      </c>
      <c r="Z504" s="31" t="n">
        <v>479864932080</v>
      </c>
      <c r="AA504" s="31" t="n">
        <v>5266084840</v>
      </c>
      <c r="AB504" s="31" t="n">
        <v>6867707656</v>
      </c>
      <c r="AC504" s="36" t="n">
        <v>0.01097409810125919</v>
      </c>
      <c r="AD504" s="29" t="inlineStr">
        <is>
          <t>yfinance_download</t>
        </is>
      </c>
      <c r="AE504" s="29" t="inlineStr">
        <is>
          <t>059090.KQ</t>
        </is>
      </c>
    </row>
    <row r="505" ht="24" customHeight="1">
      <c r="A505" s="24" t="inlineStr">
        <is>
          <t>2025-07-04</t>
        </is>
      </c>
      <c r="B505" s="30" t="n">
        <v>14150</v>
      </c>
      <c r="C505" s="30" t="n">
        <v>14300</v>
      </c>
      <c r="D505" s="30" t="n">
        <v>13760</v>
      </c>
      <c r="E505" s="30" t="n">
        <v>13850</v>
      </c>
      <c r="F505" s="30" t="n">
        <v>13850</v>
      </c>
      <c r="G505" s="30" t="n">
        <v>186906</v>
      </c>
      <c r="H505" s="35" t="n">
        <v>-0.03551532033426186</v>
      </c>
      <c r="I505" s="35" t="n">
        <v>-0.2698998418555614</v>
      </c>
      <c r="J505" s="30" t="n">
        <v>14122</v>
      </c>
      <c r="K505" s="30" t="n">
        <v>12155.16666666667</v>
      </c>
      <c r="L505" s="30" t="n">
        <v>10699.83333333333</v>
      </c>
      <c r="M505" s="35" t="n">
        <v>0.554724885540912</v>
      </c>
      <c r="N505" s="35" t="n">
        <v>0.6163461619751236</v>
      </c>
      <c r="O505" s="35" t="n">
        <v>0.03050595238095233</v>
      </c>
      <c r="P505" s="35" t="n">
        <v>0.5685164212910532</v>
      </c>
      <c r="Q505" s="35" t="n">
        <v>0.5702947845804989</v>
      </c>
      <c r="R505" s="35" t="n">
        <v>-0.01926072794221778</v>
      </c>
      <c r="S505" s="35" t="n">
        <v>0.1394331628525594</v>
      </c>
      <c r="T505" s="35" t="n">
        <v>0.2944126855558498</v>
      </c>
      <c r="U505" s="30" t="n">
        <v>18970</v>
      </c>
      <c r="V505" s="30" t="n">
        <v>7070</v>
      </c>
      <c r="W505" s="35" t="n">
        <v>-0.2698998418555614</v>
      </c>
      <c r="X505" s="35" t="n">
        <v>0.958981612446959</v>
      </c>
      <c r="Y505" s="30" t="n">
        <v>33416778</v>
      </c>
      <c r="Z505" s="30" t="n">
        <v>462822375300</v>
      </c>
      <c r="AA505" s="30" t="n">
        <v>2588648100</v>
      </c>
      <c r="AB505" s="30" t="n">
        <v>6678028093</v>
      </c>
      <c r="AC505" s="35" t="n">
        <v>0.005593178372852104</v>
      </c>
      <c r="AD505" s="24" t="inlineStr">
        <is>
          <t>yfinance_download</t>
        </is>
      </c>
      <c r="AE505" s="24" t="inlineStr">
        <is>
          <t>059090.KQ</t>
        </is>
      </c>
    </row>
    <row r="506" ht="24" customHeight="1">
      <c r="A506" s="29" t="inlineStr">
        <is>
          <t>2025-07-07</t>
        </is>
      </c>
      <c r="B506" s="31" t="n">
        <v>13620</v>
      </c>
      <c r="C506" s="31" t="n">
        <v>13850</v>
      </c>
      <c r="D506" s="31" t="n">
        <v>13400</v>
      </c>
      <c r="E506" s="31" t="n">
        <v>13590</v>
      </c>
      <c r="F506" s="31" t="n">
        <v>13590</v>
      </c>
      <c r="G506" s="31" t="n">
        <v>131380</v>
      </c>
      <c r="H506" s="36" t="n">
        <v>-0.01877256317689535</v>
      </c>
      <c r="I506" s="36" t="n">
        <v>-0.2836056931997891</v>
      </c>
      <c r="J506" s="31" t="n">
        <v>14122.5</v>
      </c>
      <c r="K506" s="31" t="n">
        <v>12243.66666666667</v>
      </c>
      <c r="L506" s="31" t="n">
        <v>10735.33333333333</v>
      </c>
      <c r="M506" s="36" t="n">
        <v>0.5585643937410257</v>
      </c>
      <c r="N506" s="36" t="n">
        <v>0.6013450725469811</v>
      </c>
      <c r="O506" s="36" t="n">
        <v>0.0007363770250368162</v>
      </c>
      <c r="P506" s="36" t="n">
        <v>0.6413043478260869</v>
      </c>
      <c r="Q506" s="36" t="n">
        <v>0.4565916398713827</v>
      </c>
      <c r="R506" s="36" t="n">
        <v>-0.03770578863515661</v>
      </c>
      <c r="S506" s="36" t="n">
        <v>0.1099616128066212</v>
      </c>
      <c r="T506" s="36" t="n">
        <v>0.2659131838787803</v>
      </c>
      <c r="U506" s="31" t="n">
        <v>18970</v>
      </c>
      <c r="V506" s="31" t="n">
        <v>7070</v>
      </c>
      <c r="W506" s="36" t="n">
        <v>-0.2836056931997891</v>
      </c>
      <c r="X506" s="36" t="n">
        <v>0.9222065063649223</v>
      </c>
      <c r="Y506" s="31" t="n">
        <v>33416778</v>
      </c>
      <c r="Z506" s="31" t="n">
        <v>454134013020</v>
      </c>
      <c r="AA506" s="31" t="n">
        <v>1785454200</v>
      </c>
      <c r="AB506" s="31" t="n">
        <v>6511808720</v>
      </c>
      <c r="AC506" s="36" t="n">
        <v>0.003931557973662212</v>
      </c>
      <c r="AD506" s="29" t="inlineStr">
        <is>
          <t>yfinance_download</t>
        </is>
      </c>
      <c r="AE506" s="29" t="inlineStr">
        <is>
          <t>059090.KQ</t>
        </is>
      </c>
    </row>
    <row r="507" ht="24" customHeight="1">
      <c r="A507" s="24" t="inlineStr">
        <is>
          <t>2025-07-08</t>
        </is>
      </c>
      <c r="B507" s="30" t="n">
        <v>13450</v>
      </c>
      <c r="C507" s="30" t="n">
        <v>14140</v>
      </c>
      <c r="D507" s="30" t="n">
        <v>13430</v>
      </c>
      <c r="E507" s="30" t="n">
        <v>14030</v>
      </c>
      <c r="F507" s="30" t="n">
        <v>14030</v>
      </c>
      <c r="G507" s="30" t="n">
        <v>164447</v>
      </c>
      <c r="H507" s="35" t="n">
        <v>0.03237674760853571</v>
      </c>
      <c r="I507" s="35" t="n">
        <v>-0.2604111755403268</v>
      </c>
      <c r="J507" s="30" t="n">
        <v>14161</v>
      </c>
      <c r="K507" s="30" t="n">
        <v>12338</v>
      </c>
      <c r="L507" s="30" t="n">
        <v>10773.08333333333</v>
      </c>
      <c r="M507" s="35" t="n">
        <v>0.5617366152905707</v>
      </c>
      <c r="N507" s="35" t="n">
        <v>0.6032470812923749</v>
      </c>
      <c r="O507" s="35" t="n">
        <v>0.05806938159879338</v>
      </c>
      <c r="P507" s="35" t="n">
        <v>0.6762246117084827</v>
      </c>
      <c r="Q507" s="35" t="n">
        <v>0.476842105263158</v>
      </c>
      <c r="R507" s="35" t="n">
        <v>-0.009250759127180319</v>
      </c>
      <c r="S507" s="35" t="n">
        <v>0.1371372994002269</v>
      </c>
      <c r="T507" s="35" t="n">
        <v>0.3023198248721737</v>
      </c>
      <c r="U507" s="30" t="n">
        <v>18970</v>
      </c>
      <c r="V507" s="30" t="n">
        <v>7070</v>
      </c>
      <c r="W507" s="35" t="n">
        <v>-0.2604111755403268</v>
      </c>
      <c r="X507" s="35" t="n">
        <v>0.9844413012729845</v>
      </c>
      <c r="Y507" s="30" t="n">
        <v>33416778</v>
      </c>
      <c r="Z507" s="30" t="n">
        <v>468837395340</v>
      </c>
      <c r="AA507" s="30" t="n">
        <v>2307191410</v>
      </c>
      <c r="AB507" s="30" t="n">
        <v>6340784777.5</v>
      </c>
      <c r="AC507" s="35" t="n">
        <v>0.004921090836465442</v>
      </c>
      <c r="AD507" s="24" t="inlineStr">
        <is>
          <t>yfinance_download</t>
        </is>
      </c>
      <c r="AE507" s="24" t="inlineStr">
        <is>
          <t>059090.KQ</t>
        </is>
      </c>
    </row>
    <row r="508" ht="24" customHeight="1">
      <c r="A508" s="29" t="inlineStr">
        <is>
          <t>2025-07-09</t>
        </is>
      </c>
      <c r="B508" s="31" t="n">
        <v>14060</v>
      </c>
      <c r="C508" s="31" t="n">
        <v>14110</v>
      </c>
      <c r="D508" s="31" t="n">
        <v>13680</v>
      </c>
      <c r="E508" s="31" t="n">
        <v>13790</v>
      </c>
      <c r="F508" s="31" t="n">
        <v>13790</v>
      </c>
      <c r="G508" s="31" t="n">
        <v>109958</v>
      </c>
      <c r="H508" s="36" t="n">
        <v>-0.01710620099786175</v>
      </c>
      <c r="I508" s="36" t="n">
        <v>-0.2730627306273062</v>
      </c>
      <c r="J508" s="31" t="n">
        <v>14163</v>
      </c>
      <c r="K508" s="31" t="n">
        <v>12429.5</v>
      </c>
      <c r="L508" s="31" t="n">
        <v>10806.5</v>
      </c>
      <c r="M508" s="36" t="n">
        <v>0.5516063142868699</v>
      </c>
      <c r="N508" s="36" t="n">
        <v>0.6046070206149705</v>
      </c>
      <c r="O508" s="36" t="n">
        <v>0.002909090909090972</v>
      </c>
      <c r="P508" s="36" t="n">
        <v>0.6614457831325302</v>
      </c>
      <c r="Q508" s="36" t="n">
        <v>0.4100204498977504</v>
      </c>
      <c r="R508" s="36" t="n">
        <v>-0.02633622820024006</v>
      </c>
      <c r="S508" s="36" t="n">
        <v>0.1094573393941831</v>
      </c>
      <c r="T508" s="36" t="n">
        <v>0.2760838384305742</v>
      </c>
      <c r="U508" s="31" t="n">
        <v>18550</v>
      </c>
      <c r="V508" s="31" t="n">
        <v>7070</v>
      </c>
      <c r="W508" s="36" t="n">
        <v>-0.2566037735849057</v>
      </c>
      <c r="X508" s="36" t="n">
        <v>0.9504950495049505</v>
      </c>
      <c r="Y508" s="31" t="n">
        <v>33416778</v>
      </c>
      <c r="Z508" s="31" t="n">
        <v>460817368620</v>
      </c>
      <c r="AA508" s="31" t="n">
        <v>1516320820</v>
      </c>
      <c r="AB508" s="31" t="n">
        <v>6121838631</v>
      </c>
      <c r="AC508" s="36" t="n">
        <v>0.003290502752838709</v>
      </c>
      <c r="AD508" s="29" t="inlineStr">
        <is>
          <t>yfinance_download</t>
        </is>
      </c>
      <c r="AE508" s="29" t="inlineStr">
        <is>
          <t>059090.KQ</t>
        </is>
      </c>
    </row>
    <row r="509" ht="24" customHeight="1">
      <c r="A509" s="24" t="inlineStr">
        <is>
          <t>2025-07-10</t>
        </is>
      </c>
      <c r="B509" s="30" t="n">
        <v>14010</v>
      </c>
      <c r="C509" s="30" t="n">
        <v>14200</v>
      </c>
      <c r="D509" s="30" t="n">
        <v>13440</v>
      </c>
      <c r="E509" s="30" t="n">
        <v>13510</v>
      </c>
      <c r="F509" s="30" t="n">
        <v>13510</v>
      </c>
      <c r="G509" s="30" t="n">
        <v>241234</v>
      </c>
      <c r="H509" s="35" t="n">
        <v>-0.02030456852791873</v>
      </c>
      <c r="I509" s="35" t="n">
        <v>-0.2878228782287823</v>
      </c>
      <c r="J509" s="30" t="n">
        <v>14096.5</v>
      </c>
      <c r="K509" s="30" t="n">
        <v>12507.5</v>
      </c>
      <c r="L509" s="30" t="n">
        <v>10838.25</v>
      </c>
      <c r="M509" s="35" t="n">
        <v>0.4708306186684165</v>
      </c>
      <c r="N509" s="35" t="n">
        <v>0.5966527960320031</v>
      </c>
      <c r="O509" s="35" t="n">
        <v>-0.089622641509434</v>
      </c>
      <c r="P509" s="35" t="n">
        <v>0.5300113250283125</v>
      </c>
      <c r="Q509" s="35" t="n">
        <v>0.3927835051546391</v>
      </c>
      <c r="R509" s="35" t="n">
        <v>-0.04160607242932646</v>
      </c>
      <c r="S509" s="35" t="n">
        <v>0.08015190885468715</v>
      </c>
      <c r="T509" s="35" t="n">
        <v>0.2465111987636381</v>
      </c>
      <c r="U509" s="30" t="n">
        <v>17890</v>
      </c>
      <c r="V509" s="30" t="n">
        <v>7070</v>
      </c>
      <c r="W509" s="35" t="n">
        <v>-0.2448295136948015</v>
      </c>
      <c r="X509" s="35" t="n">
        <v>0.9108910891089108</v>
      </c>
      <c r="Y509" s="30" t="n">
        <v>33416778</v>
      </c>
      <c r="Z509" s="30" t="n">
        <v>451460670780</v>
      </c>
      <c r="AA509" s="30" t="n">
        <v>3259071340</v>
      </c>
      <c r="AB509" s="30" t="n">
        <v>5387096854</v>
      </c>
      <c r="AC509" s="35" t="n">
        <v>0.007218948517418406</v>
      </c>
      <c r="AD509" s="24" t="inlineStr">
        <is>
          <t>yfinance_download</t>
        </is>
      </c>
      <c r="AE509" s="24" t="inlineStr">
        <is>
          <t>059090.KQ</t>
        </is>
      </c>
    </row>
    <row r="510" ht="24" customHeight="1">
      <c r="A510" s="29" t="inlineStr">
        <is>
          <t>2025-07-11</t>
        </is>
      </c>
      <c r="B510" s="31" t="n">
        <v>13520</v>
      </c>
      <c r="C510" s="31" t="n">
        <v>13580</v>
      </c>
      <c r="D510" s="31" t="n">
        <v>13320</v>
      </c>
      <c r="E510" s="31" t="n">
        <v>13460</v>
      </c>
      <c r="F510" s="31" t="n">
        <v>13460</v>
      </c>
      <c r="G510" s="31" t="n">
        <v>184612</v>
      </c>
      <c r="H510" s="36" t="n">
        <v>-0.003700962250185014</v>
      </c>
      <c r="I510" s="36" t="n">
        <v>-0.2904586188719031</v>
      </c>
      <c r="J510" s="31" t="n">
        <v>14062.5</v>
      </c>
      <c r="K510" s="31" t="n">
        <v>12578.33333333333</v>
      </c>
      <c r="L510" s="31" t="n">
        <v>10869.83333333333</v>
      </c>
      <c r="M510" s="36" t="n">
        <v>0.4427476296500071</v>
      </c>
      <c r="N510" s="36" t="n">
        <v>0.5925323890496766</v>
      </c>
      <c r="O510" s="36" t="n">
        <v>-0.04809052333804809</v>
      </c>
      <c r="P510" s="36" t="n">
        <v>0.4614549402823018</v>
      </c>
      <c r="Q510" s="36" t="n">
        <v>0.391933815925543</v>
      </c>
      <c r="R510" s="36" t="n">
        <v>-0.04284444444444446</v>
      </c>
      <c r="S510" s="36" t="n">
        <v>0.0700940771167351</v>
      </c>
      <c r="T510" s="36" t="n">
        <v>0.2382894555267636</v>
      </c>
      <c r="U510" s="31" t="n">
        <v>17890</v>
      </c>
      <c r="V510" s="31" t="n">
        <v>7070</v>
      </c>
      <c r="W510" s="36" t="n">
        <v>-0.247624371157071</v>
      </c>
      <c r="X510" s="36" t="n">
        <v>0.9038189533239038</v>
      </c>
      <c r="Y510" s="31" t="n">
        <v>33416778</v>
      </c>
      <c r="Z510" s="31" t="n">
        <v>449789831880</v>
      </c>
      <c r="AA510" s="31" t="n">
        <v>2484877520</v>
      </c>
      <c r="AB510" s="31" t="n">
        <v>4978399181</v>
      </c>
      <c r="AC510" s="36" t="n">
        <v>0.005524530222512775</v>
      </c>
      <c r="AD510" s="29" t="inlineStr">
        <is>
          <t>yfinance_download</t>
        </is>
      </c>
      <c r="AE510" s="29" t="inlineStr">
        <is>
          <t>059090.KQ</t>
        </is>
      </c>
    </row>
    <row r="511" ht="24" customHeight="1">
      <c r="A511" s="24" t="inlineStr">
        <is>
          <t>2025-07-14</t>
        </is>
      </c>
      <c r="B511" s="30" t="n">
        <v>13460</v>
      </c>
      <c r="C511" s="30" t="n">
        <v>13480</v>
      </c>
      <c r="D511" s="30" t="n">
        <v>12650</v>
      </c>
      <c r="E511" s="30" t="n">
        <v>12760</v>
      </c>
      <c r="F511" s="30" t="n">
        <v>12760</v>
      </c>
      <c r="G511" s="30" t="n">
        <v>432565</v>
      </c>
      <c r="H511" s="35" t="n">
        <v>-0.0520059435364042</v>
      </c>
      <c r="I511" s="35" t="n">
        <v>-0.327358987875593</v>
      </c>
      <c r="J511" s="30" t="n">
        <v>13960.5</v>
      </c>
      <c r="K511" s="30" t="n">
        <v>12634.66666666667</v>
      </c>
      <c r="L511" s="30" t="n">
        <v>10898.25</v>
      </c>
      <c r="M511" s="35" t="n">
        <v>0.4370930658228702</v>
      </c>
      <c r="N511" s="35" t="n">
        <v>0.6041970218958728</v>
      </c>
      <c r="O511" s="35" t="n">
        <v>-0.1378378378378379</v>
      </c>
      <c r="P511" s="35" t="n">
        <v>0.3603411513859276</v>
      </c>
      <c r="Q511" s="35" t="n">
        <v>0.3647058823529412</v>
      </c>
      <c r="R511" s="35" t="n">
        <v>-0.08599262204075786</v>
      </c>
      <c r="S511" s="35" t="n">
        <v>0.009919797382861972</v>
      </c>
      <c r="T511" s="35" t="n">
        <v>0.1708301791572042</v>
      </c>
      <c r="U511" s="30" t="n">
        <v>16550</v>
      </c>
      <c r="V511" s="30" t="n">
        <v>7070</v>
      </c>
      <c r="W511" s="35" t="n">
        <v>-0.2290030211480363</v>
      </c>
      <c r="X511" s="35" t="n">
        <v>0.8048090523338047</v>
      </c>
      <c r="Y511" s="30" t="n">
        <v>33416778</v>
      </c>
      <c r="Z511" s="30" t="n">
        <v>426398087280</v>
      </c>
      <c r="AA511" s="30" t="n">
        <v>5519529400</v>
      </c>
      <c r="AB511" s="30" t="n">
        <v>4829361091</v>
      </c>
      <c r="AC511" s="35" t="n">
        <v>0.01294454540171407</v>
      </c>
      <c r="AD511" s="24" t="inlineStr">
        <is>
          <t>yfinance_download</t>
        </is>
      </c>
      <c r="AE511" s="24" t="inlineStr">
        <is>
          <t>059090.KQ</t>
        </is>
      </c>
    </row>
    <row r="512" ht="24" customHeight="1">
      <c r="A512" s="29" t="inlineStr">
        <is>
          <t>2025-07-15</t>
        </is>
      </c>
      <c r="B512" s="31" t="n">
        <v>12780</v>
      </c>
      <c r="C512" s="31" t="n">
        <v>13310</v>
      </c>
      <c r="D512" s="31" t="n">
        <v>12600</v>
      </c>
      <c r="E512" s="31" t="n">
        <v>12980</v>
      </c>
      <c r="F512" s="31" t="n">
        <v>12980</v>
      </c>
      <c r="G512" s="31" t="n">
        <v>279088</v>
      </c>
      <c r="H512" s="36" t="n">
        <v>0.01724137931034475</v>
      </c>
      <c r="I512" s="36" t="n">
        <v>-0.3157617290458619</v>
      </c>
      <c r="J512" s="31" t="n">
        <v>13877</v>
      </c>
      <c r="K512" s="31" t="n">
        <v>12688.5</v>
      </c>
      <c r="L512" s="31" t="n">
        <v>10929</v>
      </c>
      <c r="M512" s="36" t="n">
        <v>0.4452422184487246</v>
      </c>
      <c r="N512" s="36" t="n">
        <v>0.6006235473385519</v>
      </c>
      <c r="O512" s="36" t="n">
        <v>-0.1139931740614335</v>
      </c>
      <c r="P512" s="36" t="n">
        <v>0.3312820512820513</v>
      </c>
      <c r="Q512" s="36" t="n">
        <v>0.3972012917115177</v>
      </c>
      <c r="R512" s="36" t="n">
        <v>-0.06463933126756505</v>
      </c>
      <c r="S512" s="36" t="n">
        <v>0.02297355873428697</v>
      </c>
      <c r="T512" s="36" t="n">
        <v>0.1876658431695488</v>
      </c>
      <c r="U512" s="31" t="n">
        <v>15900</v>
      </c>
      <c r="V512" s="31" t="n">
        <v>7070</v>
      </c>
      <c r="W512" s="36" t="n">
        <v>-0.1836477987421383</v>
      </c>
      <c r="X512" s="36" t="n">
        <v>0.835926449787836</v>
      </c>
      <c r="Y512" s="31" t="n">
        <v>33416778</v>
      </c>
      <c r="Z512" s="31" t="n">
        <v>433749778440</v>
      </c>
      <c r="AA512" s="31" t="n">
        <v>3622562240</v>
      </c>
      <c r="AB512" s="31" t="n">
        <v>4528849943</v>
      </c>
      <c r="AC512" s="36" t="n">
        <v>0.008351732773279339</v>
      </c>
      <c r="AD512" s="29" t="inlineStr">
        <is>
          <t>yfinance_download</t>
        </is>
      </c>
      <c r="AE512" s="29" t="inlineStr">
        <is>
          <t>059090.KQ</t>
        </is>
      </c>
    </row>
    <row r="513" ht="24" customHeight="1">
      <c r="A513" s="24" t="inlineStr">
        <is>
          <t>2025-07-16</t>
        </is>
      </c>
      <c r="B513" s="30" t="n">
        <v>12980</v>
      </c>
      <c r="C513" s="30" t="n">
        <v>13730</v>
      </c>
      <c r="D513" s="30" t="n">
        <v>12860</v>
      </c>
      <c r="E513" s="30" t="n">
        <v>13730</v>
      </c>
      <c r="F513" s="30" t="n">
        <v>13730</v>
      </c>
      <c r="G513" s="30" t="n">
        <v>313172</v>
      </c>
      <c r="H513" s="35" t="n">
        <v>0.05778120184899849</v>
      </c>
      <c r="I513" s="35" t="n">
        <v>-0.2762256193990511</v>
      </c>
      <c r="J513" s="30" t="n">
        <v>13809</v>
      </c>
      <c r="K513" s="30" t="n">
        <v>12761.83333333333</v>
      </c>
      <c r="L513" s="30" t="n">
        <v>10965.16666666667</v>
      </c>
      <c r="M513" s="35" t="n">
        <v>0.4839586642368218</v>
      </c>
      <c r="N513" s="35" t="n">
        <v>0.6013774208340619</v>
      </c>
      <c r="O513" s="35" t="n">
        <v>-0.09012591119946989</v>
      </c>
      <c r="P513" s="35" t="n">
        <v>0.4715969989281887</v>
      </c>
      <c r="Q513" s="35" t="n">
        <v>0.4621938232161875</v>
      </c>
      <c r="R513" s="35" t="n">
        <v>-0.005720906655080071</v>
      </c>
      <c r="S513" s="35" t="n">
        <v>0.0758642305833801</v>
      </c>
      <c r="T513" s="35" t="n">
        <v>0.2521469501907556</v>
      </c>
      <c r="U513" s="30" t="n">
        <v>15810</v>
      </c>
      <c r="V513" s="30" t="n">
        <v>7070</v>
      </c>
      <c r="W513" s="35" t="n">
        <v>-0.131562302340291</v>
      </c>
      <c r="X513" s="35" t="n">
        <v>0.9420084865629421</v>
      </c>
      <c r="Y513" s="30" t="n">
        <v>33416778</v>
      </c>
      <c r="Z513" s="30" t="n">
        <v>458812361940</v>
      </c>
      <c r="AA513" s="30" t="n">
        <v>4299851560</v>
      </c>
      <c r="AB513" s="30" t="n">
        <v>4417689524.5</v>
      </c>
      <c r="AC513" s="35" t="n">
        <v>0.009371699449899089</v>
      </c>
      <c r="AD513" s="24" t="inlineStr">
        <is>
          <t>yfinance_download</t>
        </is>
      </c>
      <c r="AE513" s="24" t="inlineStr">
        <is>
          <t>059090.KQ</t>
        </is>
      </c>
    </row>
    <row r="514" ht="24" customHeight="1">
      <c r="A514" s="29" t="inlineStr">
        <is>
          <t>2025-07-17</t>
        </is>
      </c>
      <c r="B514" s="31" t="n">
        <v>13600</v>
      </c>
      <c r="C514" s="31" t="n">
        <v>13710</v>
      </c>
      <c r="D514" s="31" t="n">
        <v>13210</v>
      </c>
      <c r="E514" s="31" t="n">
        <v>13420</v>
      </c>
      <c r="F514" s="31" t="n">
        <v>13420</v>
      </c>
      <c r="G514" s="31" t="n">
        <v>232271</v>
      </c>
      <c r="H514" s="36" t="n">
        <v>-0.02257829570284053</v>
      </c>
      <c r="I514" s="36" t="n">
        <v>-0.2925672113863996</v>
      </c>
      <c r="J514" s="31" t="n">
        <v>13743.5</v>
      </c>
      <c r="K514" s="31" t="n">
        <v>12828</v>
      </c>
      <c r="L514" s="31" t="n">
        <v>10999.33333333333</v>
      </c>
      <c r="M514" s="36" t="n">
        <v>0.4832933925106057</v>
      </c>
      <c r="N514" s="36" t="n">
        <v>0.6043161744930181</v>
      </c>
      <c r="O514" s="36" t="n">
        <v>-0.0889341479972845</v>
      </c>
      <c r="P514" s="36" t="n">
        <v>0.4201058201058201</v>
      </c>
      <c r="Q514" s="36" t="n">
        <v>0.4399141630901287</v>
      </c>
      <c r="R514" s="36" t="n">
        <v>-0.02353839997089535</v>
      </c>
      <c r="S514" s="36" t="n">
        <v>0.04614904895540994</v>
      </c>
      <c r="T514" s="36" t="n">
        <v>0.2200739438753863</v>
      </c>
      <c r="U514" s="31" t="n">
        <v>15810</v>
      </c>
      <c r="V514" s="31" t="n">
        <v>7070</v>
      </c>
      <c r="W514" s="36" t="n">
        <v>-0.1511701454775458</v>
      </c>
      <c r="X514" s="36" t="n">
        <v>0.8981612446958982</v>
      </c>
      <c r="Y514" s="31" t="n">
        <v>33416778</v>
      </c>
      <c r="Z514" s="31" t="n">
        <v>448453160760</v>
      </c>
      <c r="AA514" s="31" t="n">
        <v>3117076820</v>
      </c>
      <c r="AB514" s="31" t="n">
        <v>4238733411.5</v>
      </c>
      <c r="AC514" s="36" t="n">
        <v>0.006950729959662778</v>
      </c>
      <c r="AD514" s="29" t="inlineStr">
        <is>
          <t>yfinance_download</t>
        </is>
      </c>
      <c r="AE514" s="29" t="inlineStr">
        <is>
          <t>059090.KQ</t>
        </is>
      </c>
    </row>
    <row r="515" ht="24" customHeight="1">
      <c r="A515" s="24" t="inlineStr">
        <is>
          <t>2025-07-18</t>
        </is>
      </c>
      <c r="B515" s="30" t="n">
        <v>13390</v>
      </c>
      <c r="C515" s="30" t="n">
        <v>13440</v>
      </c>
      <c r="D515" s="30" t="n">
        <v>13080</v>
      </c>
      <c r="E515" s="30" t="n">
        <v>13270</v>
      </c>
      <c r="F515" s="30" t="n">
        <v>13270</v>
      </c>
      <c r="G515" s="30" t="n">
        <v>135402</v>
      </c>
      <c r="H515" s="35" t="n">
        <v>-0.01117734724292097</v>
      </c>
      <c r="I515" s="35" t="n">
        <v>-0.3004744333157617</v>
      </c>
      <c r="J515" s="30" t="n">
        <v>13673.5</v>
      </c>
      <c r="K515" s="30" t="n">
        <v>12887.33333333333</v>
      </c>
      <c r="L515" s="30" t="n">
        <v>11030.91666666667</v>
      </c>
      <c r="M515" s="35" t="n">
        <v>0.483923724109584</v>
      </c>
      <c r="N515" s="35" t="n">
        <v>0.6037853909745216</v>
      </c>
      <c r="O515" s="35" t="n">
        <v>-0.0954328561690525</v>
      </c>
      <c r="P515" s="35" t="n">
        <v>0.3666323377960865</v>
      </c>
      <c r="Q515" s="35" t="n">
        <v>0.399789029535865</v>
      </c>
      <c r="R515" s="35" t="n">
        <v>-0.02950963542618934</v>
      </c>
      <c r="S515" s="35" t="n">
        <v>0.02969323883917019</v>
      </c>
      <c r="T515" s="35" t="n">
        <v>0.2029825263841778</v>
      </c>
      <c r="U515" s="30" t="n">
        <v>15810</v>
      </c>
      <c r="V515" s="30" t="n">
        <v>7070</v>
      </c>
      <c r="W515" s="35" t="n">
        <v>-0.1606578115117014</v>
      </c>
      <c r="X515" s="35" t="n">
        <v>0.876944837340877</v>
      </c>
      <c r="Y515" s="30" t="n">
        <v>33416778</v>
      </c>
      <c r="Z515" s="30" t="n">
        <v>443440644060</v>
      </c>
      <c r="AA515" s="30" t="n">
        <v>1796784540</v>
      </c>
      <c r="AB515" s="30" t="n">
        <v>3582606072.5</v>
      </c>
      <c r="AC515" s="35" t="n">
        <v>0.004051916674911028</v>
      </c>
      <c r="AD515" s="24" t="inlineStr">
        <is>
          <t>yfinance_download</t>
        </is>
      </c>
      <c r="AE515" s="24" t="inlineStr">
        <is>
          <t>059090.KQ</t>
        </is>
      </c>
    </row>
    <row r="516" ht="24" customHeight="1">
      <c r="A516" s="29" t="inlineStr">
        <is>
          <t>2025-07-21</t>
        </is>
      </c>
      <c r="B516" s="31" t="n">
        <v>13150</v>
      </c>
      <c r="C516" s="31" t="n">
        <v>13690</v>
      </c>
      <c r="D516" s="31" t="n">
        <v>13050</v>
      </c>
      <c r="E516" s="31" t="n">
        <v>13500</v>
      </c>
      <c r="F516" s="31" t="n">
        <v>13500</v>
      </c>
      <c r="G516" s="31" t="n">
        <v>116254</v>
      </c>
      <c r="H516" s="36" t="n">
        <v>0.01733232856066325</v>
      </c>
      <c r="I516" s="36" t="n">
        <v>-0.2883500263574065</v>
      </c>
      <c r="J516" s="31" t="n">
        <v>13634.5</v>
      </c>
      <c r="K516" s="31" t="n">
        <v>12950.5</v>
      </c>
      <c r="L516" s="31" t="n">
        <v>11064.91666666667</v>
      </c>
      <c r="M516" s="36" t="n">
        <v>0.4825296300681061</v>
      </c>
      <c r="N516" s="36" t="n">
        <v>0.6041060964101885</v>
      </c>
      <c r="O516" s="36" t="n">
        <v>-0.05462184873949583</v>
      </c>
      <c r="P516" s="36" t="n">
        <v>0.3903192584963955</v>
      </c>
      <c r="Q516" s="36" t="n">
        <v>0.4331210191082802</v>
      </c>
      <c r="R516" s="36" t="n">
        <v>-0.009864681506472572</v>
      </c>
      <c r="S516" s="36" t="n">
        <v>0.04243079417783102</v>
      </c>
      <c r="T516" s="36" t="n">
        <v>0.2200724512159302</v>
      </c>
      <c r="U516" s="31" t="n">
        <v>15810</v>
      </c>
      <c r="V516" s="31" t="n">
        <v>7070</v>
      </c>
      <c r="W516" s="36" t="n">
        <v>-0.1461100569259962</v>
      </c>
      <c r="X516" s="36" t="n">
        <v>0.9094766619519095</v>
      </c>
      <c r="Y516" s="31" t="n">
        <v>33416778</v>
      </c>
      <c r="Z516" s="31" t="n">
        <v>451126503000</v>
      </c>
      <c r="AA516" s="31" t="n">
        <v>1569429000</v>
      </c>
      <c r="AB516" s="31" t="n">
        <v>3484163316.5</v>
      </c>
      <c r="AC516" s="36" t="n">
        <v>0.003478911102680217</v>
      </c>
      <c r="AD516" s="29" t="inlineStr">
        <is>
          <t>yfinance_download</t>
        </is>
      </c>
      <c r="AE516" s="29" t="inlineStr">
        <is>
          <t>059090.KQ</t>
        </is>
      </c>
    </row>
    <row r="517" ht="24" customHeight="1">
      <c r="A517" s="24" t="inlineStr">
        <is>
          <t>2025-07-22</t>
        </is>
      </c>
      <c r="B517" s="30" t="n">
        <v>13500</v>
      </c>
      <c r="C517" s="30" t="n">
        <v>13510</v>
      </c>
      <c r="D517" s="30" t="n">
        <v>12900</v>
      </c>
      <c r="E517" s="30" t="n">
        <v>12950</v>
      </c>
      <c r="F517" s="30" t="n">
        <v>12950</v>
      </c>
      <c r="G517" s="30" t="n">
        <v>170603</v>
      </c>
      <c r="H517" s="35" t="n">
        <v>-0.04074074074074074</v>
      </c>
      <c r="I517" s="35" t="n">
        <v>-0.3173431734317343</v>
      </c>
      <c r="J517" s="30" t="n">
        <v>13557</v>
      </c>
      <c r="K517" s="30" t="n">
        <v>13006.66666666667</v>
      </c>
      <c r="L517" s="30" t="n">
        <v>11095.08333333333</v>
      </c>
      <c r="M517" s="35" t="n">
        <v>0.4960625535665734</v>
      </c>
      <c r="N517" s="35" t="n">
        <v>0.6104604731605858</v>
      </c>
      <c r="O517" s="35" t="n">
        <v>-0.1068965517241379</v>
      </c>
      <c r="P517" s="35" t="n">
        <v>0.3517745302713988</v>
      </c>
      <c r="Q517" s="35" t="n">
        <v>0.3879957127545552</v>
      </c>
      <c r="R517" s="35" t="n">
        <v>-0.04477391753337756</v>
      </c>
      <c r="S517" s="35" t="n">
        <v>-0.004356740133264925</v>
      </c>
      <c r="T517" s="35" t="n">
        <v>0.1671836624330596</v>
      </c>
      <c r="U517" s="30" t="n">
        <v>15810</v>
      </c>
      <c r="V517" s="30" t="n">
        <v>7070</v>
      </c>
      <c r="W517" s="35" t="n">
        <v>-0.1808981657179001</v>
      </c>
      <c r="X517" s="35" t="n">
        <v>0.8316831683168318</v>
      </c>
      <c r="Y517" s="30" t="n">
        <v>33416778</v>
      </c>
      <c r="Z517" s="30" t="n">
        <v>432747275100</v>
      </c>
      <c r="AA517" s="30" t="n">
        <v>2209308850</v>
      </c>
      <c r="AB517" s="30" t="n">
        <v>3149415684</v>
      </c>
      <c r="AC517" s="35" t="n">
        <v>0.005105309674080487</v>
      </c>
      <c r="AD517" s="24" t="inlineStr">
        <is>
          <t>yfinance_download</t>
        </is>
      </c>
      <c r="AE517" s="24" t="inlineStr">
        <is>
          <t>059090.KQ</t>
        </is>
      </c>
    </row>
    <row r="518" ht="24" customHeight="1">
      <c r="A518" s="29" t="inlineStr">
        <is>
          <t>2025-07-23</t>
        </is>
      </c>
      <c r="B518" s="31" t="n">
        <v>13020</v>
      </c>
      <c r="C518" s="31" t="n">
        <v>13120</v>
      </c>
      <c r="D518" s="31" t="n">
        <v>12690</v>
      </c>
      <c r="E518" s="31" t="n">
        <v>12940</v>
      </c>
      <c r="F518" s="31" t="n">
        <v>12940</v>
      </c>
      <c r="G518" s="31" t="n">
        <v>186216</v>
      </c>
      <c r="H518" s="36" t="n">
        <v>-0.0007722007722007485</v>
      </c>
      <c r="I518" s="36" t="n">
        <v>-0.3178703215603584</v>
      </c>
      <c r="J518" s="31" t="n">
        <v>13491</v>
      </c>
      <c r="K518" s="31" t="n">
        <v>13055.16666666667</v>
      </c>
      <c r="L518" s="31" t="n">
        <v>11120.33333333333</v>
      </c>
      <c r="M518" s="36" t="n">
        <v>0.4944240306169976</v>
      </c>
      <c r="N518" s="36" t="n">
        <v>0.6044985748280884</v>
      </c>
      <c r="O518" s="36" t="n">
        <v>-0.09256661991584858</v>
      </c>
      <c r="P518" s="36" t="n">
        <v>0.2901296111665006</v>
      </c>
      <c r="Q518" s="36" t="n">
        <v>0.3057517658930373</v>
      </c>
      <c r="R518" s="36" t="n">
        <v>-0.04084204284337711</v>
      </c>
      <c r="S518" s="36" t="n">
        <v>-0.008821539365002296</v>
      </c>
      <c r="T518" s="36" t="n">
        <v>0.163634183627589</v>
      </c>
      <c r="U518" s="31" t="n">
        <v>15370</v>
      </c>
      <c r="V518" s="31" t="n">
        <v>7070</v>
      </c>
      <c r="W518" s="36" t="n">
        <v>-0.1581001951854262</v>
      </c>
      <c r="X518" s="36" t="n">
        <v>0.8302687411598302</v>
      </c>
      <c r="Y518" s="31" t="n">
        <v>33416778</v>
      </c>
      <c r="Z518" s="31" t="n">
        <v>432413107320</v>
      </c>
      <c r="AA518" s="31" t="n">
        <v>2409635040</v>
      </c>
      <c r="AB518" s="31" t="n">
        <v>3032726542</v>
      </c>
      <c r="AC518" s="36" t="n">
        <v>0.005572530062593108</v>
      </c>
      <c r="AD518" s="29" t="inlineStr">
        <is>
          <t>yfinance_download</t>
        </is>
      </c>
      <c r="AE518" s="29" t="inlineStr">
        <is>
          <t>059090.KQ</t>
        </is>
      </c>
    </row>
    <row r="519" ht="24" customHeight="1">
      <c r="A519" s="24" t="inlineStr">
        <is>
          <t>2025-07-24</t>
        </is>
      </c>
      <c r="B519" s="30" t="n">
        <v>13140</v>
      </c>
      <c r="C519" s="30" t="n">
        <v>14400</v>
      </c>
      <c r="D519" s="30" t="n">
        <v>13140</v>
      </c>
      <c r="E519" s="30" t="n">
        <v>14120</v>
      </c>
      <c r="F519" s="30" t="n">
        <v>14120</v>
      </c>
      <c r="G519" s="30" t="n">
        <v>993591</v>
      </c>
      <c r="H519" s="35" t="n">
        <v>0.09119010819165374</v>
      </c>
      <c r="I519" s="35" t="n">
        <v>-0.2556668423827095</v>
      </c>
      <c r="J519" s="30" t="n">
        <v>13504.5</v>
      </c>
      <c r="K519" s="30" t="n">
        <v>13122.33333333333</v>
      </c>
      <c r="L519" s="30" t="n">
        <v>11161.25</v>
      </c>
      <c r="M519" s="35" t="n">
        <v>0.5900933369833123</v>
      </c>
      <c r="N519" s="35" t="n">
        <v>0.6298165218715446</v>
      </c>
      <c r="O519" s="35" t="n">
        <v>0.01949458483754518</v>
      </c>
      <c r="P519" s="35" t="n">
        <v>0.3994053518334986</v>
      </c>
      <c r="Q519" s="35" t="n">
        <v>0.5331161780673181</v>
      </c>
      <c r="R519" s="35" t="n">
        <v>0.04557740012588396</v>
      </c>
      <c r="S519" s="35" t="n">
        <v>0.07602814540097036</v>
      </c>
      <c r="T519" s="35" t="n">
        <v>0.2650912756187702</v>
      </c>
      <c r="U519" s="30" t="n">
        <v>15090</v>
      </c>
      <c r="V519" s="30" t="n">
        <v>7070</v>
      </c>
      <c r="W519" s="35" t="n">
        <v>-0.06428098078197486</v>
      </c>
      <c r="X519" s="35" t="n">
        <v>0.9971711456859971</v>
      </c>
      <c r="Y519" s="30" t="n">
        <v>33416778</v>
      </c>
      <c r="Z519" s="30" t="n">
        <v>471844905360</v>
      </c>
      <c r="AA519" s="30" t="n">
        <v>14029504920</v>
      </c>
      <c r="AB519" s="30" t="n">
        <v>3455764850.5</v>
      </c>
      <c r="AC519" s="35" t="n">
        <v>0.02973329744716861</v>
      </c>
      <c r="AD519" s="24" t="inlineStr">
        <is>
          <t>yfinance_download</t>
        </is>
      </c>
      <c r="AE519" s="24" t="inlineStr">
        <is>
          <t>059090.KQ</t>
        </is>
      </c>
    </row>
    <row r="520" ht="24" customHeight="1">
      <c r="A520" s="29" t="inlineStr">
        <is>
          <t>2025-07-25</t>
        </is>
      </c>
      <c r="B520" s="31" t="n">
        <v>14950</v>
      </c>
      <c r="C520" s="31" t="n">
        <v>15150</v>
      </c>
      <c r="D520" s="31" t="n">
        <v>13780</v>
      </c>
      <c r="E520" s="31" t="n">
        <v>13980</v>
      </c>
      <c r="F520" s="31" t="n">
        <v>13980</v>
      </c>
      <c r="G520" s="31" t="n">
        <v>832168</v>
      </c>
      <c r="H520" s="36" t="n">
        <v>-0.009915014164305958</v>
      </c>
      <c r="I520" s="36" t="n">
        <v>-0.2630469161834476</v>
      </c>
      <c r="J520" s="31" t="n">
        <v>13528.5</v>
      </c>
      <c r="K520" s="31" t="n">
        <v>13185.16666666667</v>
      </c>
      <c r="L520" s="31" t="n">
        <v>11197.25</v>
      </c>
      <c r="M520" s="36" t="n">
        <v>0.5832950277993225</v>
      </c>
      <c r="N520" s="36" t="n">
        <v>0.6305839237136035</v>
      </c>
      <c r="O520" s="36" t="n">
        <v>0.03555555555555556</v>
      </c>
      <c r="P520" s="36" t="n">
        <v>0.3692458374142997</v>
      </c>
      <c r="Q520" s="36" t="n">
        <v>0.4472049689440993</v>
      </c>
      <c r="R520" s="36" t="n">
        <v>0.03337398824703408</v>
      </c>
      <c r="S520" s="36" t="n">
        <v>0.06028238803706198</v>
      </c>
      <c r="T520" s="36" t="n">
        <v>0.2485208421710687</v>
      </c>
      <c r="U520" s="31" t="n">
        <v>15090</v>
      </c>
      <c r="V520" s="31" t="n">
        <v>7070</v>
      </c>
      <c r="W520" s="36" t="n">
        <v>-0.07355864811133206</v>
      </c>
      <c r="X520" s="36" t="n">
        <v>0.9773691654879775</v>
      </c>
      <c r="Y520" s="31" t="n">
        <v>33416778</v>
      </c>
      <c r="Z520" s="31" t="n">
        <v>467166556440</v>
      </c>
      <c r="AA520" s="31" t="n">
        <v>11633708640</v>
      </c>
      <c r="AB520" s="31" t="n">
        <v>3869631782.5</v>
      </c>
      <c r="AC520" s="36" t="n">
        <v>0.02490270007479476</v>
      </c>
      <c r="AD520" s="29" t="inlineStr">
        <is>
          <t>yfinance_download</t>
        </is>
      </c>
      <c r="AE520" s="29" t="inlineStr">
        <is>
          <t>059090.KQ</t>
        </is>
      </c>
    </row>
    <row r="521" ht="24" customHeight="1">
      <c r="A521" s="24" t="inlineStr">
        <is>
          <t>2025-07-28</t>
        </is>
      </c>
      <c r="B521" s="30" t="n">
        <v>13900</v>
      </c>
      <c r="C521" s="30" t="n">
        <v>14410</v>
      </c>
      <c r="D521" s="30" t="n">
        <v>13780</v>
      </c>
      <c r="E521" s="30" t="n">
        <v>14240</v>
      </c>
      <c r="F521" s="30" t="n">
        <v>14240</v>
      </c>
      <c r="G521" s="30" t="n">
        <v>311669</v>
      </c>
      <c r="H521" s="35" t="n">
        <v>0.01859799713876975</v>
      </c>
      <c r="I521" s="35" t="n">
        <v>-0.2493410648392198</v>
      </c>
      <c r="J521" s="30" t="n">
        <v>13566.5</v>
      </c>
      <c r="K521" s="30" t="n">
        <v>13255.16666666667</v>
      </c>
      <c r="L521" s="30" t="n">
        <v>11241.16666666667</v>
      </c>
      <c r="M521" s="35" t="n">
        <v>0.5858833358148954</v>
      </c>
      <c r="N521" s="35" t="n">
        <v>0.6293126845052295</v>
      </c>
      <c r="O521" s="35" t="n">
        <v>0.05637982195845703</v>
      </c>
      <c r="P521" s="35" t="n">
        <v>0.4183266932270917</v>
      </c>
      <c r="Q521" s="35" t="n">
        <v>0.5875139353400223</v>
      </c>
      <c r="R521" s="35" t="n">
        <v>0.04964434452511712</v>
      </c>
      <c r="S521" s="35" t="n">
        <v>0.07429807244973663</v>
      </c>
      <c r="T521" s="35" t="n">
        <v>0.2667724287218112</v>
      </c>
      <c r="U521" s="30" t="n">
        <v>15090</v>
      </c>
      <c r="V521" s="30" t="n">
        <v>7070</v>
      </c>
      <c r="W521" s="35" t="n">
        <v>-0.05632869449966871</v>
      </c>
      <c r="X521" s="35" t="n">
        <v>1.014144271570014</v>
      </c>
      <c r="Y521" s="30" t="n">
        <v>33416778</v>
      </c>
      <c r="Z521" s="30" t="n">
        <v>475854918720</v>
      </c>
      <c r="AA521" s="30" t="n">
        <v>4438166560</v>
      </c>
      <c r="AB521" s="30" t="n">
        <v>4011561248.5</v>
      </c>
      <c r="AC521" s="35" t="n">
        <v>0.009326722043639275</v>
      </c>
      <c r="AD521" s="24" t="inlineStr">
        <is>
          <t>yfinance_download</t>
        </is>
      </c>
      <c r="AE521" s="24" t="inlineStr">
        <is>
          <t>059090.KQ</t>
        </is>
      </c>
    </row>
    <row r="522" ht="24" customHeight="1">
      <c r="A522" s="29" t="inlineStr">
        <is>
          <t>2025-07-29</t>
        </is>
      </c>
      <c r="B522" s="31" t="n">
        <v>14370</v>
      </c>
      <c r="C522" s="31" t="n">
        <v>14410</v>
      </c>
      <c r="D522" s="31" t="n">
        <v>13920</v>
      </c>
      <c r="E522" s="31" t="n">
        <v>14100</v>
      </c>
      <c r="F522" s="31" t="n">
        <v>14100</v>
      </c>
      <c r="G522" s="31" t="n">
        <v>230152</v>
      </c>
      <c r="H522" s="36" t="n">
        <v>-0.0098314606741573</v>
      </c>
      <c r="I522" s="36" t="n">
        <v>-0.2567211386399578</v>
      </c>
      <c r="J522" s="31" t="n">
        <v>13599.5</v>
      </c>
      <c r="K522" s="31" t="n">
        <v>13317.16666666667</v>
      </c>
      <c r="L522" s="31" t="n">
        <v>11287.25</v>
      </c>
      <c r="M522" s="36" t="n">
        <v>0.5873741800364207</v>
      </c>
      <c r="N522" s="36" t="n">
        <v>0.6275920410718479</v>
      </c>
      <c r="O522" s="36" t="n">
        <v>0.04910714285714279</v>
      </c>
      <c r="P522" s="36" t="n">
        <v>0.3583815028901733</v>
      </c>
      <c r="Q522" s="36" t="n">
        <v>0.6452742123687281</v>
      </c>
      <c r="R522" s="36" t="n">
        <v>0.03680282363322185</v>
      </c>
      <c r="S522" s="36" t="n">
        <v>0.05878377532758483</v>
      </c>
      <c r="T522" s="36" t="n">
        <v>0.2491971029258677</v>
      </c>
      <c r="U522" s="31" t="n">
        <v>15090</v>
      </c>
      <c r="V522" s="31" t="n">
        <v>7070</v>
      </c>
      <c r="W522" s="36" t="n">
        <v>-0.06560636182902579</v>
      </c>
      <c r="X522" s="36" t="n">
        <v>0.9943422913719944</v>
      </c>
      <c r="Y522" s="31" t="n">
        <v>33416778</v>
      </c>
      <c r="Z522" s="31" t="n">
        <v>471176569800</v>
      </c>
      <c r="AA522" s="31" t="n">
        <v>3245143200</v>
      </c>
      <c r="AB522" s="31" t="n">
        <v>3991292456.5</v>
      </c>
      <c r="AC522" s="36" t="n">
        <v>0.006887318699606527</v>
      </c>
      <c r="AD522" s="29" t="inlineStr">
        <is>
          <t>yfinance_download</t>
        </is>
      </c>
      <c r="AE522" s="29" t="inlineStr">
        <is>
          <t>059090.KQ</t>
        </is>
      </c>
    </row>
    <row r="523" ht="24" customHeight="1">
      <c r="A523" s="24" t="inlineStr">
        <is>
          <t>2025-07-30</t>
        </is>
      </c>
      <c r="B523" s="30" t="n">
        <v>14110</v>
      </c>
      <c r="C523" s="30" t="n">
        <v>14500</v>
      </c>
      <c r="D523" s="30" t="n">
        <v>14060</v>
      </c>
      <c r="E523" s="30" t="n">
        <v>14240</v>
      </c>
      <c r="F523" s="30" t="n">
        <v>14240</v>
      </c>
      <c r="G523" s="30" t="n">
        <v>178480</v>
      </c>
      <c r="H523" s="35" t="n">
        <v>0.0099290780141843</v>
      </c>
      <c r="I523" s="35" t="n">
        <v>-0.2493410648392198</v>
      </c>
      <c r="J523" s="30" t="n">
        <v>13641</v>
      </c>
      <c r="K523" s="30" t="n">
        <v>13381.5</v>
      </c>
      <c r="L523" s="30" t="n">
        <v>11332.58333333333</v>
      </c>
      <c r="M523" s="35" t="n">
        <v>0.5875139250557294</v>
      </c>
      <c r="N523" s="35" t="n">
        <v>0.6275260391176497</v>
      </c>
      <c r="O523" s="35" t="n">
        <v>0.06189410887397462</v>
      </c>
      <c r="P523" s="35" t="n">
        <v>0.371868978805395</v>
      </c>
      <c r="Q523" s="35" t="n">
        <v>0.6181818181818182</v>
      </c>
      <c r="R523" s="35" t="n">
        <v>0.04391173667619674</v>
      </c>
      <c r="S523" s="35" t="n">
        <v>0.06415573739864744</v>
      </c>
      <c r="T523" s="35" t="n">
        <v>0.256553742527079</v>
      </c>
      <c r="U523" s="30" t="n">
        <v>15090</v>
      </c>
      <c r="V523" s="30" t="n">
        <v>7070</v>
      </c>
      <c r="W523" s="35" t="n">
        <v>-0.05632869449966871</v>
      </c>
      <c r="X523" s="35" t="n">
        <v>1.014144271570014</v>
      </c>
      <c r="Y523" s="30" t="n">
        <v>33416778</v>
      </c>
      <c r="Z523" s="30" t="n">
        <v>475854918720</v>
      </c>
      <c r="AA523" s="30" t="n">
        <v>2541555200</v>
      </c>
      <c r="AB523" s="30" t="n">
        <v>3981995210</v>
      </c>
      <c r="AC523" s="35" t="n">
        <v>0.005341029586993696</v>
      </c>
      <c r="AD523" s="24" t="inlineStr">
        <is>
          <t>yfinance_download</t>
        </is>
      </c>
      <c r="AE523" s="24" t="inlineStr">
        <is>
          <t>059090.KQ</t>
        </is>
      </c>
    </row>
    <row r="524" ht="24" customHeight="1">
      <c r="A524" s="29" t="inlineStr">
        <is>
          <t>2025-07-31</t>
        </is>
      </c>
      <c r="B524" s="31" t="n">
        <v>14490</v>
      </c>
      <c r="C524" s="31" t="n">
        <v>14870</v>
      </c>
      <c r="D524" s="31" t="n">
        <v>14330</v>
      </c>
      <c r="E524" s="31" t="n">
        <v>14510</v>
      </c>
      <c r="F524" s="31" t="n">
        <v>14510</v>
      </c>
      <c r="G524" s="31" t="n">
        <v>320851</v>
      </c>
      <c r="H524" s="36" t="n">
        <v>0.0189606741573034</v>
      </c>
      <c r="I524" s="36" t="n">
        <v>-0.235108065366368</v>
      </c>
      <c r="J524" s="31" t="n">
        <v>13648.5</v>
      </c>
      <c r="K524" s="31" t="n">
        <v>13455</v>
      </c>
      <c r="L524" s="31" t="n">
        <v>11380.25</v>
      </c>
      <c r="M524" s="36" t="n">
        <v>0.5353564965862102</v>
      </c>
      <c r="N524" s="36" t="n">
        <v>0.624261582175629</v>
      </c>
      <c r="O524" s="36" t="n">
        <v>0.01044568245125355</v>
      </c>
      <c r="P524" s="36" t="n">
        <v>0.4366336633663366</v>
      </c>
      <c r="Q524" s="36" t="n">
        <v>0.6507394766780432</v>
      </c>
      <c r="R524" s="36" t="n">
        <v>0.06312048943107307</v>
      </c>
      <c r="S524" s="36" t="n">
        <v>0.07840951319212186</v>
      </c>
      <c r="T524" s="36" t="n">
        <v>0.2750159267151424</v>
      </c>
      <c r="U524" s="31" t="n">
        <v>15090</v>
      </c>
      <c r="V524" s="31" t="n">
        <v>7070</v>
      </c>
      <c r="W524" s="36" t="n">
        <v>-0.03843605036447983</v>
      </c>
      <c r="X524" s="36" t="n">
        <v>1.052333804809052</v>
      </c>
      <c r="Y524" s="31" t="n">
        <v>33416778</v>
      </c>
      <c r="Z524" s="31" t="n">
        <v>484877448780</v>
      </c>
      <c r="AA524" s="31" t="n">
        <v>4655548010</v>
      </c>
      <c r="AB524" s="31" t="n">
        <v>3951468368.5</v>
      </c>
      <c r="AC524" s="36" t="n">
        <v>0.009601494195520586</v>
      </c>
      <c r="AD524" s="29" t="inlineStr">
        <is>
          <t>yfinance_download</t>
        </is>
      </c>
      <c r="AE524" s="29" t="inlineStr">
        <is>
          <t>059090.KQ</t>
        </is>
      </c>
    </row>
    <row r="525" ht="24" customHeight="1">
      <c r="A525" s="24" t="inlineStr">
        <is>
          <t>2025-08-01</t>
        </is>
      </c>
      <c r="B525" s="30" t="n">
        <v>14270</v>
      </c>
      <c r="C525" s="30" t="n">
        <v>14320</v>
      </c>
      <c r="D525" s="30" t="n">
        <v>13600</v>
      </c>
      <c r="E525" s="30" t="n">
        <v>14320</v>
      </c>
      <c r="F525" s="30" t="n">
        <v>14320</v>
      </c>
      <c r="G525" s="30" t="n">
        <v>316573</v>
      </c>
      <c r="H525" s="35" t="n">
        <v>-0.01309441764300479</v>
      </c>
      <c r="I525" s="35" t="n">
        <v>-0.2451238798102267</v>
      </c>
      <c r="J525" s="30" t="n">
        <v>13672</v>
      </c>
      <c r="K525" s="30" t="n">
        <v>13509.33333333333</v>
      </c>
      <c r="L525" s="30" t="n">
        <v>11422.66666666667</v>
      </c>
      <c r="M525" s="35" t="n">
        <v>0.5207627928392231</v>
      </c>
      <c r="N525" s="35" t="n">
        <v>0.5977348359991449</v>
      </c>
      <c r="O525" s="35" t="n">
        <v>0.03393501805054155</v>
      </c>
      <c r="P525" s="35" t="n">
        <v>0.2947558770343581</v>
      </c>
      <c r="Q525" s="35" t="n">
        <v>0.551462621885157</v>
      </c>
      <c r="R525" s="35" t="n">
        <v>0.04739613809245169</v>
      </c>
      <c r="S525" s="35" t="n">
        <v>0.06000789577575993</v>
      </c>
      <c r="T525" s="35" t="n">
        <v>0.2536477179876271</v>
      </c>
      <c r="U525" s="30" t="n">
        <v>15090</v>
      </c>
      <c r="V525" s="30" t="n">
        <v>7070</v>
      </c>
      <c r="W525" s="35" t="n">
        <v>-0.05102717031146453</v>
      </c>
      <c r="X525" s="35" t="n">
        <v>1.025459688826026</v>
      </c>
      <c r="Y525" s="30" t="n">
        <v>33416778</v>
      </c>
      <c r="Z525" s="30" t="n">
        <v>478528260960</v>
      </c>
      <c r="AA525" s="30" t="n">
        <v>4533325360</v>
      </c>
      <c r="AB525" s="30" t="n">
        <v>4048702231.5</v>
      </c>
      <c r="AC525" s="35" t="n">
        <v>0.009473474671914809</v>
      </c>
      <c r="AD525" s="24" t="inlineStr">
        <is>
          <t>yfinance_download</t>
        </is>
      </c>
      <c r="AE525" s="24" t="inlineStr">
        <is>
          <t>059090.KQ</t>
        </is>
      </c>
    </row>
    <row r="526" ht="24" customHeight="1">
      <c r="A526" s="29" t="inlineStr">
        <is>
          <t>2025-08-04</t>
        </is>
      </c>
      <c r="B526" s="31" t="n">
        <v>14610</v>
      </c>
      <c r="C526" s="31" t="n">
        <v>14980</v>
      </c>
      <c r="D526" s="31" t="n">
        <v>14210</v>
      </c>
      <c r="E526" s="31" t="n">
        <v>14450</v>
      </c>
      <c r="F526" s="31" t="n">
        <v>14450</v>
      </c>
      <c r="G526" s="31" t="n">
        <v>395055</v>
      </c>
      <c r="H526" s="36" t="n">
        <v>0.009078212290502874</v>
      </c>
      <c r="I526" s="36" t="n">
        <v>-0.2382709541381128</v>
      </c>
      <c r="J526" s="31" t="n">
        <v>13715</v>
      </c>
      <c r="K526" s="31" t="n">
        <v>13563.83333333333</v>
      </c>
      <c r="L526" s="31" t="n">
        <v>11467.75</v>
      </c>
      <c r="M526" s="36" t="n">
        <v>0.5152620668115138</v>
      </c>
      <c r="N526" s="36" t="n">
        <v>0.5976716387935184</v>
      </c>
      <c r="O526" s="36" t="n">
        <v>0.0632818248712288</v>
      </c>
      <c r="P526" s="36" t="n">
        <v>0.2924865831842576</v>
      </c>
      <c r="Q526" s="36" t="n">
        <v>0.5984513274336283</v>
      </c>
      <c r="R526" s="36" t="n">
        <v>0.05359095880422893</v>
      </c>
      <c r="S526" s="36" t="n">
        <v>0.0653330548148876</v>
      </c>
      <c r="T526" s="36" t="n">
        <v>0.2600553726755466</v>
      </c>
      <c r="U526" s="31" t="n">
        <v>15090</v>
      </c>
      <c r="V526" s="31" t="n">
        <v>7070</v>
      </c>
      <c r="W526" s="36" t="n">
        <v>-0.04241219350563286</v>
      </c>
      <c r="X526" s="36" t="n">
        <v>1.043847241867044</v>
      </c>
      <c r="Y526" s="31" t="n">
        <v>33416778</v>
      </c>
      <c r="Z526" s="31" t="n">
        <v>482872442100</v>
      </c>
      <c r="AA526" s="31" t="n">
        <v>5708544750</v>
      </c>
      <c r="AB526" s="31" t="n">
        <v>4244856759</v>
      </c>
      <c r="AC526" s="36" t="n">
        <v>0.01182205537589531</v>
      </c>
      <c r="AD526" s="29" t="inlineStr">
        <is>
          <t>yfinance_download</t>
        </is>
      </c>
      <c r="AE526" s="29" t="inlineStr">
        <is>
          <t>059090.KQ</t>
        </is>
      </c>
    </row>
    <row r="527" ht="24" customHeight="1">
      <c r="A527" s="24" t="inlineStr">
        <is>
          <t>2025-08-05</t>
        </is>
      </c>
      <c r="B527" s="30" t="n">
        <v>14700</v>
      </c>
      <c r="C527" s="30" t="n">
        <v>15600</v>
      </c>
      <c r="D527" s="30" t="n">
        <v>14690</v>
      </c>
      <c r="E527" s="30" t="n">
        <v>15210</v>
      </c>
      <c r="F527" s="30" t="n">
        <v>15210</v>
      </c>
      <c r="G527" s="30" t="n">
        <v>1226890</v>
      </c>
      <c r="H527" s="35" t="n">
        <v>0.05259515570934248</v>
      </c>
      <c r="I527" s="35" t="n">
        <v>-0.1982076963626779</v>
      </c>
      <c r="J527" s="30" t="n">
        <v>13774</v>
      </c>
      <c r="K527" s="30" t="n">
        <v>13634.83333333333</v>
      </c>
      <c r="L527" s="30" t="n">
        <v>11515.83333333333</v>
      </c>
      <c r="M527" s="35" t="n">
        <v>0.5348822734133265</v>
      </c>
      <c r="N527" s="35" t="n">
        <v>0.6031079031349874</v>
      </c>
      <c r="O527" s="35" t="n">
        <v>0.08410548823948671</v>
      </c>
      <c r="P527" s="35" t="n">
        <v>0.3890410958904109</v>
      </c>
      <c r="Q527" s="35" t="n">
        <v>0.611228813559322</v>
      </c>
      <c r="R527" s="35" t="n">
        <v>0.1042543923333816</v>
      </c>
      <c r="S527" s="35" t="n">
        <v>0.1155251867153979</v>
      </c>
      <c r="T527" s="35" t="n">
        <v>0.3207902163687675</v>
      </c>
      <c r="U527" s="30" t="n">
        <v>15210</v>
      </c>
      <c r="V527" s="30" t="n">
        <v>7070</v>
      </c>
      <c r="W527" s="35" t="n">
        <v>0</v>
      </c>
      <c r="X527" s="35" t="n">
        <v>1.151343705799151</v>
      </c>
      <c r="Y527" s="30" t="n">
        <v>33416778</v>
      </c>
      <c r="Z527" s="30" t="n">
        <v>508269193380</v>
      </c>
      <c r="AA527" s="30" t="n">
        <v>18660996900</v>
      </c>
      <c r="AB527" s="30" t="n">
        <v>5062547033.5</v>
      </c>
      <c r="AC527" s="35" t="n">
        <v>0.03671479039660856</v>
      </c>
      <c r="AD527" s="24" t="inlineStr">
        <is>
          <t>yfinance_download</t>
        </is>
      </c>
      <c r="AE527" s="24" t="inlineStr">
        <is>
          <t>059090.KQ</t>
        </is>
      </c>
    </row>
    <row r="528" ht="24" customHeight="1">
      <c r="A528" s="29" t="inlineStr">
        <is>
          <t>2025-08-06</t>
        </is>
      </c>
      <c r="B528" s="31" t="n">
        <v>15010</v>
      </c>
      <c r="C528" s="31" t="n">
        <v>15020</v>
      </c>
      <c r="D528" s="31" t="n">
        <v>14650</v>
      </c>
      <c r="E528" s="31" t="n">
        <v>14910</v>
      </c>
      <c r="F528" s="31" t="n">
        <v>14910</v>
      </c>
      <c r="G528" s="31" t="n">
        <v>270042</v>
      </c>
      <c r="H528" s="36" t="n">
        <v>-0.01972386587771202</v>
      </c>
      <c r="I528" s="36" t="n">
        <v>-0.2140221402214022</v>
      </c>
      <c r="J528" s="31" t="n">
        <v>13830</v>
      </c>
      <c r="K528" s="31" t="n">
        <v>13691.83333333333</v>
      </c>
      <c r="L528" s="31" t="n">
        <v>11563.41666666667</v>
      </c>
      <c r="M528" s="36" t="n">
        <v>0.536368146374972</v>
      </c>
      <c r="N528" s="36" t="n">
        <v>0.5985958746794662</v>
      </c>
      <c r="O528" s="36" t="n">
        <v>0.08121827411167515</v>
      </c>
      <c r="P528" s="36" t="n">
        <v>0.2976501305483028</v>
      </c>
      <c r="Q528" s="36" t="n">
        <v>0.6206521739130435</v>
      </c>
      <c r="R528" s="36" t="n">
        <v>0.0780911062906724</v>
      </c>
      <c r="S528" s="36" t="n">
        <v>0.08897031076919326</v>
      </c>
      <c r="T528" s="36" t="n">
        <v>0.2894112899157546</v>
      </c>
      <c r="U528" s="31" t="n">
        <v>15210</v>
      </c>
      <c r="V528" s="31" t="n">
        <v>7070</v>
      </c>
      <c r="W528" s="36" t="n">
        <v>-0.01972386587771202</v>
      </c>
      <c r="X528" s="36" t="n">
        <v>1.108910891089109</v>
      </c>
      <c r="Y528" s="31" t="n">
        <v>33416778</v>
      </c>
      <c r="Z528" s="31" t="n">
        <v>498244159980</v>
      </c>
      <c r="AA528" s="31" t="n">
        <v>4026326220</v>
      </c>
      <c r="AB528" s="31" t="n">
        <v>5188047303.5</v>
      </c>
      <c r="AC528" s="36" t="n">
        <v>0.008081030433275165</v>
      </c>
      <c r="AD528" s="29" t="inlineStr">
        <is>
          <t>yfinance_download</t>
        </is>
      </c>
      <c r="AE528" s="29" t="inlineStr">
        <is>
          <t>059090.KQ</t>
        </is>
      </c>
    </row>
    <row r="529" ht="24" customHeight="1">
      <c r="A529" s="24" t="inlineStr">
        <is>
          <t>2025-08-07</t>
        </is>
      </c>
      <c r="B529" s="30" t="n">
        <v>15350</v>
      </c>
      <c r="C529" s="30" t="n">
        <v>16270</v>
      </c>
      <c r="D529" s="30" t="n">
        <v>15050</v>
      </c>
      <c r="E529" s="30" t="n">
        <v>15550</v>
      </c>
      <c r="F529" s="30" t="n">
        <v>15550</v>
      </c>
      <c r="G529" s="30" t="n">
        <v>808480</v>
      </c>
      <c r="H529" s="35" t="n">
        <v>0.04292421193829643</v>
      </c>
      <c r="I529" s="35" t="n">
        <v>-0.1802846599894571</v>
      </c>
      <c r="J529" s="30" t="n">
        <v>13932</v>
      </c>
      <c r="K529" s="30" t="n">
        <v>13762.83333333333</v>
      </c>
      <c r="L529" s="30" t="n">
        <v>11617.16666666667</v>
      </c>
      <c r="M529" s="35" t="n">
        <v>0.5445701691295447</v>
      </c>
      <c r="N529" s="35" t="n">
        <v>0.6017000606220769</v>
      </c>
      <c r="O529" s="35" t="n">
        <v>0.15099925980755</v>
      </c>
      <c r="P529" s="35" t="n">
        <v>0.3773250664304695</v>
      </c>
      <c r="Q529" s="35" t="n">
        <v>0.7087912087912087</v>
      </c>
      <c r="R529" s="35" t="n">
        <v>0.1161355153603216</v>
      </c>
      <c r="S529" s="35" t="n">
        <v>0.1298545599864369</v>
      </c>
      <c r="T529" s="35" t="n">
        <v>0.3385363614191643</v>
      </c>
      <c r="U529" s="30" t="n">
        <v>15550</v>
      </c>
      <c r="V529" s="30" t="n">
        <v>7070</v>
      </c>
      <c r="W529" s="35" t="n">
        <v>0</v>
      </c>
      <c r="X529" s="35" t="n">
        <v>1.1994342291372</v>
      </c>
      <c r="Y529" s="30" t="n">
        <v>33416778</v>
      </c>
      <c r="Z529" s="30" t="n">
        <v>519630897900</v>
      </c>
      <c r="AA529" s="30" t="n">
        <v>12571864000</v>
      </c>
      <c r="AB529" s="30" t="n">
        <v>5653686936.5</v>
      </c>
      <c r="AC529" s="35" t="n">
        <v>0.02419383460607722</v>
      </c>
      <c r="AD529" s="24" t="inlineStr">
        <is>
          <t>yfinance_download</t>
        </is>
      </c>
      <c r="AE529" s="24" t="inlineStr">
        <is>
          <t>059090.KQ</t>
        </is>
      </c>
    </row>
    <row r="530" ht="24" customHeight="1">
      <c r="A530" s="29" t="inlineStr">
        <is>
          <t>2025-08-08</t>
        </is>
      </c>
      <c r="B530" s="31" t="n">
        <v>15620</v>
      </c>
      <c r="C530" s="31" t="n">
        <v>16130</v>
      </c>
      <c r="D530" s="31" t="n">
        <v>15460</v>
      </c>
      <c r="E530" s="31" t="n">
        <v>15600</v>
      </c>
      <c r="F530" s="31" t="n">
        <v>15600</v>
      </c>
      <c r="G530" s="31" t="n">
        <v>447865</v>
      </c>
      <c r="H530" s="36" t="n">
        <v>0.003215434083601254</v>
      </c>
      <c r="I530" s="36" t="n">
        <v>-0.1776489193463363</v>
      </c>
      <c r="J530" s="31" t="n">
        <v>14039</v>
      </c>
      <c r="K530" s="31" t="n">
        <v>13834.5</v>
      </c>
      <c r="L530" s="31" t="n">
        <v>11669.75</v>
      </c>
      <c r="M530" s="36" t="n">
        <v>0.5432174839266432</v>
      </c>
      <c r="N530" s="36" t="n">
        <v>0.6016338944333444</v>
      </c>
      <c r="O530" s="36" t="n">
        <v>0.1589895988112928</v>
      </c>
      <c r="P530" s="36" t="n">
        <v>0.3805309734513274</v>
      </c>
      <c r="Q530" s="36" t="n">
        <v>0.6792249730893434</v>
      </c>
      <c r="R530" s="36" t="n">
        <v>0.1111902557162192</v>
      </c>
      <c r="S530" s="36" t="n">
        <v>0.1276157432505691</v>
      </c>
      <c r="T530" s="36" t="n">
        <v>0.3367895627584139</v>
      </c>
      <c r="U530" s="31" t="n">
        <v>15600</v>
      </c>
      <c r="V530" s="31" t="n">
        <v>7070</v>
      </c>
      <c r="W530" s="36" t="n">
        <v>0</v>
      </c>
      <c r="X530" s="36" t="n">
        <v>1.206506364922206</v>
      </c>
      <c r="Y530" s="31" t="n">
        <v>33416778</v>
      </c>
      <c r="Z530" s="31" t="n">
        <v>521301736800</v>
      </c>
      <c r="AA530" s="31" t="n">
        <v>6986694000</v>
      </c>
      <c r="AB530" s="31" t="n">
        <v>5878777760.5</v>
      </c>
      <c r="AC530" s="36" t="n">
        <v>0.01340239923789182</v>
      </c>
      <c r="AD530" s="29" t="inlineStr">
        <is>
          <t>yfinance_download</t>
        </is>
      </c>
      <c r="AE530" s="29" t="inlineStr">
        <is>
          <t>059090.KQ</t>
        </is>
      </c>
    </row>
    <row r="531" ht="24" customHeight="1">
      <c r="A531" s="24" t="inlineStr">
        <is>
          <t>2025-08-11</t>
        </is>
      </c>
      <c r="B531" s="30" t="n">
        <v>15610</v>
      </c>
      <c r="C531" s="30" t="n">
        <v>15870</v>
      </c>
      <c r="D531" s="30" t="n">
        <v>15470</v>
      </c>
      <c r="E531" s="30" t="n">
        <v>15680</v>
      </c>
      <c r="F531" s="30" t="n">
        <v>15680</v>
      </c>
      <c r="G531" s="30" t="n">
        <v>301266</v>
      </c>
      <c r="H531" s="35" t="n">
        <v>0.00512820512820511</v>
      </c>
      <c r="I531" s="35" t="n">
        <v>-0.1734317343173432</v>
      </c>
      <c r="J531" s="30" t="n">
        <v>14185</v>
      </c>
      <c r="K531" s="30" t="n">
        <v>13908.5</v>
      </c>
      <c r="L531" s="30" t="n">
        <v>11722.83333333333</v>
      </c>
      <c r="M531" s="35" t="n">
        <v>0.4953264807379479</v>
      </c>
      <c r="N531" s="35" t="n">
        <v>0.6011706864188694</v>
      </c>
      <c r="O531" s="35" t="n">
        <v>0.2288401253918495</v>
      </c>
      <c r="P531" s="35" t="n">
        <v>0.395017793594306</v>
      </c>
      <c r="Q531" s="35" t="n">
        <v>0.6842105263157894</v>
      </c>
      <c r="R531" s="35" t="n">
        <v>0.1053930207966161</v>
      </c>
      <c r="S531" s="35" t="n">
        <v>0.1273681561634972</v>
      </c>
      <c r="T531" s="35" t="n">
        <v>0.3375606011061034</v>
      </c>
      <c r="U531" s="30" t="n">
        <v>15680</v>
      </c>
      <c r="V531" s="30" t="n">
        <v>7070</v>
      </c>
      <c r="W531" s="35" t="n">
        <v>0</v>
      </c>
      <c r="X531" s="35" t="n">
        <v>1.217821782178218</v>
      </c>
      <c r="Y531" s="30" t="n">
        <v>33416778</v>
      </c>
      <c r="Z531" s="30" t="n">
        <v>523975079040</v>
      </c>
      <c r="AA531" s="30" t="n">
        <v>4723850880</v>
      </c>
      <c r="AB531" s="30" t="n">
        <v>5838993834.5</v>
      </c>
      <c r="AC531" s="35" t="n">
        <v>0.009015411360125743</v>
      </c>
      <c r="AD531" s="24" t="inlineStr">
        <is>
          <t>yfinance_download</t>
        </is>
      </c>
      <c r="AE531" s="24" t="inlineStr">
        <is>
          <t>059090.KQ</t>
        </is>
      </c>
    </row>
    <row r="532" ht="24" customHeight="1">
      <c r="A532" s="29" t="inlineStr">
        <is>
          <t>2025-08-12</t>
        </is>
      </c>
      <c r="B532" s="31" t="n">
        <v>15540</v>
      </c>
      <c r="C532" s="31" t="n">
        <v>15590</v>
      </c>
      <c r="D532" s="31" t="n">
        <v>15030</v>
      </c>
      <c r="E532" s="31" t="n">
        <v>15080</v>
      </c>
      <c r="F532" s="31" t="n">
        <v>15080</v>
      </c>
      <c r="G532" s="31" t="n">
        <v>277073</v>
      </c>
      <c r="H532" s="36" t="n">
        <v>-0.03826530612244894</v>
      </c>
      <c r="I532" s="36" t="n">
        <v>-0.2050606220347918</v>
      </c>
      <c r="J532" s="31" t="n">
        <v>14290</v>
      </c>
      <c r="K532" s="31" t="n">
        <v>13945.83333333333</v>
      </c>
      <c r="L532" s="31" t="n">
        <v>11768.91666666667</v>
      </c>
      <c r="M532" s="36" t="n">
        <v>0.5241135074433456</v>
      </c>
      <c r="N532" s="36" t="n">
        <v>0.537052220543596</v>
      </c>
      <c r="O532" s="36" t="n">
        <v>0.1617873651771957</v>
      </c>
      <c r="P532" s="36" t="n">
        <v>0.1744548286604362</v>
      </c>
      <c r="Q532" s="36" t="n">
        <v>0.5790575916230367</v>
      </c>
      <c r="R532" s="36" t="n">
        <v>0.05528341497550726</v>
      </c>
      <c r="S532" s="36" t="n">
        <v>0.08132656109949199</v>
      </c>
      <c r="T532" s="36" t="n">
        <v>0.2813413865620598</v>
      </c>
      <c r="U532" s="31" t="n">
        <v>15680</v>
      </c>
      <c r="V532" s="31" t="n">
        <v>7070</v>
      </c>
      <c r="W532" s="36" t="n">
        <v>-0.03826530612244894</v>
      </c>
      <c r="X532" s="36" t="n">
        <v>1.132956152758133</v>
      </c>
      <c r="Y532" s="31" t="n">
        <v>33416778</v>
      </c>
      <c r="Z532" s="31" t="n">
        <v>503925012240</v>
      </c>
      <c r="AA532" s="31" t="n">
        <v>4178260840</v>
      </c>
      <c r="AB532" s="31" t="n">
        <v>5866778764.5</v>
      </c>
      <c r="AC532" s="36" t="n">
        <v>0.008291433722305603</v>
      </c>
      <c r="AD532" s="29" t="inlineStr">
        <is>
          <t>yfinance_download</t>
        </is>
      </c>
      <c r="AE532" s="29" t="inlineStr">
        <is>
          <t>059090.KQ</t>
        </is>
      </c>
    </row>
    <row r="533" ht="24" customHeight="1">
      <c r="A533" s="24" t="inlineStr">
        <is>
          <t>2025-08-13</t>
        </is>
      </c>
      <c r="B533" s="30" t="n">
        <v>15230</v>
      </c>
      <c r="C533" s="30" t="n">
        <v>15580</v>
      </c>
      <c r="D533" s="30" t="n">
        <v>14820</v>
      </c>
      <c r="E533" s="30" t="n">
        <v>15100</v>
      </c>
      <c r="F533" s="30" t="n">
        <v>15100</v>
      </c>
      <c r="G533" s="30" t="n">
        <v>242821</v>
      </c>
      <c r="H533" s="35" t="n">
        <v>0.001326259946949682</v>
      </c>
      <c r="I533" s="35" t="n">
        <v>-0.2040063257775435</v>
      </c>
      <c r="J533" s="30" t="n">
        <v>14358.5</v>
      </c>
      <c r="K533" s="30" t="n">
        <v>13988</v>
      </c>
      <c r="L533" s="30" t="n">
        <v>11817.41666666667</v>
      </c>
      <c r="M533" s="35" t="n">
        <v>0.4902562982536863</v>
      </c>
      <c r="N533" s="35" t="n">
        <v>0.5346875187814888</v>
      </c>
      <c r="O533" s="35" t="n">
        <v>0.099781500364166</v>
      </c>
      <c r="P533" s="35" t="n">
        <v>0.2012728719172634</v>
      </c>
      <c r="Q533" s="35" t="n">
        <v>0.6271551724137931</v>
      </c>
      <c r="R533" s="35" t="n">
        <v>0.05164188459797336</v>
      </c>
      <c r="S533" s="35" t="n">
        <v>0.07949671146697179</v>
      </c>
      <c r="T533" s="35" t="n">
        <v>0.2777750354349866</v>
      </c>
      <c r="U533" s="30" t="n">
        <v>15680</v>
      </c>
      <c r="V533" s="30" t="n">
        <v>7070</v>
      </c>
      <c r="W533" s="35" t="n">
        <v>-0.03698979591836737</v>
      </c>
      <c r="X533" s="35" t="n">
        <v>1.135785007072136</v>
      </c>
      <c r="Y533" s="30" t="n">
        <v>33416778</v>
      </c>
      <c r="Z533" s="30" t="n">
        <v>504593347800</v>
      </c>
      <c r="AA533" s="30" t="n">
        <v>3666597100</v>
      </c>
      <c r="AB533" s="30" t="n">
        <v>5835116041.5</v>
      </c>
      <c r="AC533" s="35" t="n">
        <v>0.007266439631014097</v>
      </c>
      <c r="AD533" s="24" t="inlineStr">
        <is>
          <t>yfinance_download</t>
        </is>
      </c>
      <c r="AE533" s="24" t="inlineStr">
        <is>
          <t>059090.KQ</t>
        </is>
      </c>
    </row>
    <row r="534" ht="24" customHeight="1">
      <c r="A534" s="29" t="inlineStr">
        <is>
          <t>2025-08-14</t>
        </is>
      </c>
      <c r="B534" s="31" t="n">
        <v>15100</v>
      </c>
      <c r="C534" s="31" t="n">
        <v>15870</v>
      </c>
      <c r="D534" s="31" t="n">
        <v>15010</v>
      </c>
      <c r="E534" s="31" t="n">
        <v>15170</v>
      </c>
      <c r="F534" s="31" t="n">
        <v>15170</v>
      </c>
      <c r="G534" s="31" t="n">
        <v>341673</v>
      </c>
      <c r="H534" s="36" t="n">
        <v>0.004635761589403931</v>
      </c>
      <c r="I534" s="36" t="n">
        <v>-0.2003162888771745</v>
      </c>
      <c r="J534" s="31" t="n">
        <v>14446</v>
      </c>
      <c r="K534" s="31" t="n">
        <v>14026.83333333333</v>
      </c>
      <c r="L534" s="31" t="n">
        <v>11865</v>
      </c>
      <c r="M534" s="36" t="n">
        <v>0.4791905270937267</v>
      </c>
      <c r="N534" s="36" t="n">
        <v>0.5333954600063713</v>
      </c>
      <c r="O534" s="36" t="n">
        <v>0.1304023845007451</v>
      </c>
      <c r="P534" s="36" t="n">
        <v>0.1814641744548287</v>
      </c>
      <c r="Q534" s="36" t="n">
        <v>0.6035940803382664</v>
      </c>
      <c r="R534" s="36" t="n">
        <v>0.05011767963450087</v>
      </c>
      <c r="S534" s="36" t="n">
        <v>0.08149855633844649</v>
      </c>
      <c r="T534" s="36" t="n">
        <v>0.278550358196376</v>
      </c>
      <c r="U534" s="31" t="n">
        <v>15680</v>
      </c>
      <c r="V534" s="31" t="n">
        <v>7070</v>
      </c>
      <c r="W534" s="36" t="n">
        <v>-0.03252551020408168</v>
      </c>
      <c r="X534" s="36" t="n">
        <v>1.145685997171145</v>
      </c>
      <c r="Y534" s="31" t="n">
        <v>33416778</v>
      </c>
      <c r="Z534" s="31" t="n">
        <v>506932522260</v>
      </c>
      <c r="AA534" s="31" t="n">
        <v>5183179410</v>
      </c>
      <c r="AB534" s="31" t="n">
        <v>5938421171</v>
      </c>
      <c r="AC534" s="36" t="n">
        <v>0.01022459436394496</v>
      </c>
      <c r="AD534" s="29" t="inlineStr">
        <is>
          <t>yfinance_download</t>
        </is>
      </c>
      <c r="AE534" s="29" t="inlineStr">
        <is>
          <t>059090.KQ</t>
        </is>
      </c>
    </row>
    <row r="535" ht="24" customHeight="1">
      <c r="A535" s="24" t="inlineStr">
        <is>
          <t>2025-08-18</t>
        </is>
      </c>
      <c r="B535" s="30" t="n">
        <v>14790</v>
      </c>
      <c r="C535" s="30" t="n">
        <v>14790</v>
      </c>
      <c r="D535" s="30" t="n">
        <v>14100</v>
      </c>
      <c r="E535" s="30" t="n">
        <v>14250</v>
      </c>
      <c r="F535" s="30" t="n">
        <v>14250</v>
      </c>
      <c r="G535" s="30" t="n">
        <v>412089</v>
      </c>
      <c r="H535" s="35" t="n">
        <v>-0.0606460118655241</v>
      </c>
      <c r="I535" s="35" t="n">
        <v>-0.2488139167105957</v>
      </c>
      <c r="J535" s="30" t="n">
        <v>14495</v>
      </c>
      <c r="K535" s="30" t="n">
        <v>14031</v>
      </c>
      <c r="L535" s="30" t="n">
        <v>11906.16666666667</v>
      </c>
      <c r="M535" s="35" t="n">
        <v>0.5326777924928732</v>
      </c>
      <c r="N535" s="35" t="n">
        <v>0.5177130160536679</v>
      </c>
      <c r="O535" s="35" t="n">
        <v>0.07385079125847782</v>
      </c>
      <c r="P535" s="35" t="n">
        <v>0.01785714285714279</v>
      </c>
      <c r="Q535" s="35" t="n">
        <v>0.5306122448979591</v>
      </c>
      <c r="R535" s="35" t="n">
        <v>-0.0169023801310797</v>
      </c>
      <c r="S535" s="35" t="n">
        <v>0.01560829591618562</v>
      </c>
      <c r="T535" s="35" t="n">
        <v>0.1968587706650615</v>
      </c>
      <c r="U535" s="30" t="n">
        <v>15680</v>
      </c>
      <c r="V535" s="30" t="n">
        <v>7070</v>
      </c>
      <c r="W535" s="35" t="n">
        <v>-0.09119897959183676</v>
      </c>
      <c r="X535" s="35" t="n">
        <v>1.015558698727016</v>
      </c>
      <c r="Y535" s="30" t="n">
        <v>33416778</v>
      </c>
      <c r="Z535" s="30" t="n">
        <v>476189086500</v>
      </c>
      <c r="AA535" s="30" t="n">
        <v>5872268250</v>
      </c>
      <c r="AB535" s="30" t="n">
        <v>6142195356.5</v>
      </c>
      <c r="AC535" s="35" t="n">
        <v>0.01233179931350653</v>
      </c>
      <c r="AD535" s="24" t="inlineStr">
        <is>
          <t>yfinance_download</t>
        </is>
      </c>
      <c r="AE535" s="24" t="inlineStr">
        <is>
          <t>059090.KQ</t>
        </is>
      </c>
    </row>
    <row r="536" ht="24" customHeight="1">
      <c r="A536" s="29" t="inlineStr">
        <is>
          <t>2025-08-19</t>
        </is>
      </c>
      <c r="B536" s="31" t="n">
        <v>14320</v>
      </c>
      <c r="C536" s="31" t="n">
        <v>14400</v>
      </c>
      <c r="D536" s="31" t="n">
        <v>13790</v>
      </c>
      <c r="E536" s="31" t="n">
        <v>13960</v>
      </c>
      <c r="F536" s="31" t="n">
        <v>13960</v>
      </c>
      <c r="G536" s="31" t="n">
        <v>193947</v>
      </c>
      <c r="H536" s="36" t="n">
        <v>-0.02035087719298245</v>
      </c>
      <c r="I536" s="36" t="n">
        <v>-0.2641012124406958</v>
      </c>
      <c r="J536" s="31" t="n">
        <v>14518</v>
      </c>
      <c r="K536" s="31" t="n">
        <v>14032.16666666667</v>
      </c>
      <c r="L536" s="31" t="n">
        <v>11945.5</v>
      </c>
      <c r="M536" s="36" t="n">
        <v>0.5370355333532173</v>
      </c>
      <c r="N536" s="36" t="n">
        <v>0.5192372834522264</v>
      </c>
      <c r="O536" s="36" t="n">
        <v>0.03407407407407415</v>
      </c>
      <c r="P536" s="36" t="n">
        <v>0.005039596832253412</v>
      </c>
      <c r="Q536" s="36" t="n">
        <v>0.5108225108225108</v>
      </c>
      <c r="R536" s="36" t="n">
        <v>-0.03843504614960735</v>
      </c>
      <c r="S536" s="36" t="n">
        <v>-0.005142945375506192</v>
      </c>
      <c r="T536" s="36" t="n">
        <v>0.1686409108032314</v>
      </c>
      <c r="U536" s="31" t="n">
        <v>15680</v>
      </c>
      <c r="V536" s="31" t="n">
        <v>7070</v>
      </c>
      <c r="W536" s="36" t="n">
        <v>-0.1096938775510204</v>
      </c>
      <c r="X536" s="36" t="n">
        <v>0.9745403111739745</v>
      </c>
      <c r="Y536" s="31" t="n">
        <v>33416778</v>
      </c>
      <c r="Z536" s="31" t="n">
        <v>466498220880</v>
      </c>
      <c r="AA536" s="31" t="n">
        <v>2707500120</v>
      </c>
      <c r="AB536" s="31" t="n">
        <v>6199098912.5</v>
      </c>
      <c r="AC536" s="36" t="n">
        <v>0.005803880912755861</v>
      </c>
      <c r="AD536" s="29" t="inlineStr">
        <is>
          <t>yfinance_download</t>
        </is>
      </c>
      <c r="AE536" s="29" t="inlineStr">
        <is>
          <t>059090.KQ</t>
        </is>
      </c>
    </row>
    <row r="537" ht="24" customHeight="1">
      <c r="A537" s="24" t="inlineStr">
        <is>
          <t>2025-08-20</t>
        </is>
      </c>
      <c r="B537" s="30" t="n">
        <v>13440</v>
      </c>
      <c r="C537" s="30" t="n">
        <v>13520</v>
      </c>
      <c r="D537" s="30" t="n">
        <v>12880</v>
      </c>
      <c r="E537" s="30" t="n">
        <v>13160</v>
      </c>
      <c r="F537" s="30" t="n">
        <v>13160</v>
      </c>
      <c r="G537" s="30" t="n">
        <v>515693</v>
      </c>
      <c r="H537" s="35" t="n">
        <v>-0.05730659025787965</v>
      </c>
      <c r="I537" s="35" t="n">
        <v>-0.3062730627306273</v>
      </c>
      <c r="J537" s="30" t="n">
        <v>14528.5</v>
      </c>
      <c r="K537" s="30" t="n">
        <v>14012.83333333333</v>
      </c>
      <c r="L537" s="30" t="n">
        <v>11979.33333333333</v>
      </c>
      <c r="M537" s="35" t="n">
        <v>0.5574403459505107</v>
      </c>
      <c r="N537" s="35" t="n">
        <v>0.5286206641199004</v>
      </c>
      <c r="O537" s="35" t="n">
        <v>0.01621621621621627</v>
      </c>
      <c r="P537" s="35" t="n">
        <v>-0.08100558659217882</v>
      </c>
      <c r="Q537" s="35" t="n">
        <v>0.4461538461538461</v>
      </c>
      <c r="R537" s="35" t="n">
        <v>-0.09419417007949893</v>
      </c>
      <c r="S537" s="35" t="n">
        <v>-0.06086087752893188</v>
      </c>
      <c r="T537" s="35" t="n">
        <v>0.09855862874951304</v>
      </c>
      <c r="U537" s="30" t="n">
        <v>15680</v>
      </c>
      <c r="V537" s="30" t="n">
        <v>7070</v>
      </c>
      <c r="W537" s="35" t="n">
        <v>-0.1607142857142857</v>
      </c>
      <c r="X537" s="35" t="n">
        <v>0.8613861386138615</v>
      </c>
      <c r="Y537" s="30" t="n">
        <v>33416778</v>
      </c>
      <c r="Z537" s="30" t="n">
        <v>439764798480</v>
      </c>
      <c r="AA537" s="30" t="n">
        <v>6786519880</v>
      </c>
      <c r="AB537" s="30" t="n">
        <v>6427959464</v>
      </c>
      <c r="AC537" s="35" t="n">
        <v>0.01543215806143848</v>
      </c>
      <c r="AD537" s="24" t="inlineStr">
        <is>
          <t>yfinance_download</t>
        </is>
      </c>
      <c r="AE537" s="24" t="inlineStr">
        <is>
          <t>059090.KQ</t>
        </is>
      </c>
    </row>
    <row r="538" ht="24" customHeight="1">
      <c r="A538" s="29" t="inlineStr">
        <is>
          <t>2025-08-21</t>
        </is>
      </c>
      <c r="B538" s="31" t="n">
        <v>13330</v>
      </c>
      <c r="C538" s="31" t="n">
        <v>13330</v>
      </c>
      <c r="D538" s="31" t="n">
        <v>12990</v>
      </c>
      <c r="E538" s="31" t="n">
        <v>13050</v>
      </c>
      <c r="F538" s="31" t="n">
        <v>13050</v>
      </c>
      <c r="G538" s="31" t="n">
        <v>206879</v>
      </c>
      <c r="H538" s="36" t="n">
        <v>-0.008358662613981771</v>
      </c>
      <c r="I538" s="36" t="n">
        <v>-0.3120716921454929</v>
      </c>
      <c r="J538" s="31" t="n">
        <v>14534</v>
      </c>
      <c r="K538" s="31" t="n">
        <v>13999.83333333333</v>
      </c>
      <c r="L538" s="31" t="n">
        <v>12013.66666666667</v>
      </c>
      <c r="M538" s="36" t="n">
        <v>0.5584790002936036</v>
      </c>
      <c r="N538" s="36" t="n">
        <v>0.5242916176563555</v>
      </c>
      <c r="O538" s="36" t="n">
        <v>0.008500772797527034</v>
      </c>
      <c r="P538" s="36" t="n">
        <v>-0.05639913232104121</v>
      </c>
      <c r="Q538" s="36" t="n">
        <v>0.4613661814109742</v>
      </c>
      <c r="R538" s="36" t="n">
        <v>-0.102105408008807</v>
      </c>
      <c r="S538" s="36" t="n">
        <v>-0.06784604578625941</v>
      </c>
      <c r="T538" s="36" t="n">
        <v>0.08626286729003074</v>
      </c>
      <c r="U538" s="31" t="n">
        <v>15680</v>
      </c>
      <c r="V538" s="31" t="n">
        <v>7070</v>
      </c>
      <c r="W538" s="36" t="n">
        <v>-0.1677295918367347</v>
      </c>
      <c r="X538" s="36" t="n">
        <v>0.8458274398868457</v>
      </c>
      <c r="Y538" s="31" t="n">
        <v>33416778</v>
      </c>
      <c r="Z538" s="31" t="n">
        <v>436088952900</v>
      </c>
      <c r="AA538" s="31" t="n">
        <v>2699770950</v>
      </c>
      <c r="AB538" s="31" t="n">
        <v>6442466259.5</v>
      </c>
      <c r="AC538" s="36" t="n">
        <v>0.006190872142131716</v>
      </c>
      <c r="AD538" s="29" t="inlineStr">
        <is>
          <t>yfinance_download</t>
        </is>
      </c>
      <c r="AE538" s="29" t="inlineStr">
        <is>
          <t>059090.KQ</t>
        </is>
      </c>
    </row>
    <row r="539" ht="24" customHeight="1">
      <c r="A539" s="24" t="inlineStr">
        <is>
          <t>2025-08-22</t>
        </is>
      </c>
      <c r="B539" s="30" t="n">
        <v>13000</v>
      </c>
      <c r="C539" s="30" t="n">
        <v>13400</v>
      </c>
      <c r="D539" s="30" t="n">
        <v>12940</v>
      </c>
      <c r="E539" s="30" t="n">
        <v>13100</v>
      </c>
      <c r="F539" s="30" t="n">
        <v>13100</v>
      </c>
      <c r="G539" s="30" t="n">
        <v>171468</v>
      </c>
      <c r="H539" s="35" t="n">
        <v>0.003831417624521105</v>
      </c>
      <c r="I539" s="35" t="n">
        <v>-0.3094359515023721</v>
      </c>
      <c r="J539" s="30" t="n">
        <v>14483</v>
      </c>
      <c r="K539" s="30" t="n">
        <v>13993.5</v>
      </c>
      <c r="L539" s="30" t="n">
        <v>12048.16666666667</v>
      </c>
      <c r="M539" s="35" t="n">
        <v>0.4461710320686625</v>
      </c>
      <c r="N539" s="35" t="n">
        <v>0.5217830669671347</v>
      </c>
      <c r="O539" s="35" t="n">
        <v>-0.07223796033994334</v>
      </c>
      <c r="P539" s="35" t="n">
        <v>-0.02818991097922852</v>
      </c>
      <c r="Q539" s="35" t="n">
        <v>0.4620535714285714</v>
      </c>
      <c r="R539" s="35" t="n">
        <v>-0.09549126562176347</v>
      </c>
      <c r="S539" s="35" t="n">
        <v>-0.06385107371279519</v>
      </c>
      <c r="T539" s="35" t="n">
        <v>0.08730235582177093</v>
      </c>
      <c r="U539" s="30" t="n">
        <v>15680</v>
      </c>
      <c r="V539" s="30" t="n">
        <v>7070</v>
      </c>
      <c r="W539" s="35" t="n">
        <v>-0.1645408163265306</v>
      </c>
      <c r="X539" s="35" t="n">
        <v>0.8528995756718529</v>
      </c>
      <c r="Y539" s="30" t="n">
        <v>33416778</v>
      </c>
      <c r="Z539" s="30" t="n">
        <v>437759791800</v>
      </c>
      <c r="AA539" s="30" t="n">
        <v>2246230800</v>
      </c>
      <c r="AB539" s="30" t="n">
        <v>5853302553.5</v>
      </c>
      <c r="AC539" s="35" t="n">
        <v>0.005131194874622562</v>
      </c>
      <c r="AD539" s="24" t="inlineStr">
        <is>
          <t>yfinance_download</t>
        </is>
      </c>
      <c r="AE539" s="24" t="inlineStr">
        <is>
          <t>059090.KQ</t>
        </is>
      </c>
    </row>
    <row r="540" ht="24" customHeight="1">
      <c r="A540" s="29" t="inlineStr">
        <is>
          <t>2025-08-25</t>
        </is>
      </c>
      <c r="B540" s="31" t="n">
        <v>13430</v>
      </c>
      <c r="C540" s="31" t="n">
        <v>13510</v>
      </c>
      <c r="D540" s="31" t="n">
        <v>13160</v>
      </c>
      <c r="E540" s="31" t="n">
        <v>13190</v>
      </c>
      <c r="F540" s="31" t="n">
        <v>13190</v>
      </c>
      <c r="G540" s="31" t="n">
        <v>127641</v>
      </c>
      <c r="H540" s="36" t="n">
        <v>0.006870229007633677</v>
      </c>
      <c r="I540" s="36" t="n">
        <v>-0.3046916183447549</v>
      </c>
      <c r="J540" s="31" t="n">
        <v>14443.5</v>
      </c>
      <c r="K540" s="31" t="n">
        <v>13995.5</v>
      </c>
      <c r="L540" s="31" t="n">
        <v>12081.16666666667</v>
      </c>
      <c r="M540" s="36" t="n">
        <v>0.4468797362364957</v>
      </c>
      <c r="N540" s="36" t="n">
        <v>0.5180674667650741</v>
      </c>
      <c r="O540" s="36" t="n">
        <v>-0.05650929899856938</v>
      </c>
      <c r="P540" s="36" t="n">
        <v>0.009181331293037553</v>
      </c>
      <c r="Q540" s="36" t="n">
        <v>0.4290357529794149</v>
      </c>
      <c r="R540" s="36" t="n">
        <v>-0.08678644372901301</v>
      </c>
      <c r="S540" s="36" t="n">
        <v>-0.05755421385445325</v>
      </c>
      <c r="T540" s="36" t="n">
        <v>0.09178197469891169</v>
      </c>
      <c r="U540" s="31" t="n">
        <v>15680</v>
      </c>
      <c r="V540" s="31" t="n">
        <v>7070</v>
      </c>
      <c r="W540" s="36" t="n">
        <v>-0.1588010204081632</v>
      </c>
      <c r="X540" s="36" t="n">
        <v>0.8656294200848655</v>
      </c>
      <c r="Y540" s="31" t="n">
        <v>33416778</v>
      </c>
      <c r="Z540" s="31" t="n">
        <v>440767301820</v>
      </c>
      <c r="AA540" s="31" t="n">
        <v>1683584790</v>
      </c>
      <c r="AB540" s="31" t="n">
        <v>5355796361</v>
      </c>
      <c r="AC540" s="36" t="n">
        <v>0.003819668072128318</v>
      </c>
      <c r="AD540" s="29" t="inlineStr">
        <is>
          <t>yfinance_download</t>
        </is>
      </c>
      <c r="AE540" s="29" t="inlineStr">
        <is>
          <t>059090.KQ</t>
        </is>
      </c>
    </row>
    <row r="541" ht="24" customHeight="1">
      <c r="A541" s="24" t="inlineStr">
        <is>
          <t>2025-08-26</t>
        </is>
      </c>
      <c r="B541" s="30" t="n">
        <v>13280</v>
      </c>
      <c r="C541" s="30" t="n">
        <v>13780</v>
      </c>
      <c r="D541" s="30" t="n">
        <v>13160</v>
      </c>
      <c r="E541" s="30" t="n">
        <v>13630</v>
      </c>
      <c r="F541" s="30" t="n">
        <v>13630</v>
      </c>
      <c r="G541" s="30" t="n">
        <v>173966</v>
      </c>
      <c r="H541" s="35" t="n">
        <v>0.03335860500379084</v>
      </c>
      <c r="I541" s="35" t="n">
        <v>-0.2814971006852925</v>
      </c>
      <c r="J541" s="30" t="n">
        <v>14413</v>
      </c>
      <c r="K541" s="30" t="n">
        <v>14004.5</v>
      </c>
      <c r="L541" s="30" t="n">
        <v>12120.25</v>
      </c>
      <c r="M541" s="35" t="n">
        <v>0.4590392384923292</v>
      </c>
      <c r="N541" s="35" t="n">
        <v>0.5223819957773004</v>
      </c>
      <c r="O541" s="35" t="n">
        <v>-0.0428370786516854</v>
      </c>
      <c r="P541" s="35" t="n">
        <v>0.04125286478227652</v>
      </c>
      <c r="Q541" s="35" t="n">
        <v>0.5246085011185682</v>
      </c>
      <c r="R541" s="35" t="n">
        <v>-0.05432595573440646</v>
      </c>
      <c r="S541" s="35" t="n">
        <v>-0.02674140454853802</v>
      </c>
      <c r="T541" s="35" t="n">
        <v>0.1245642622883192</v>
      </c>
      <c r="U541" s="30" t="n">
        <v>15680</v>
      </c>
      <c r="V541" s="30" t="n">
        <v>7070</v>
      </c>
      <c r="W541" s="35" t="n">
        <v>-0.1307397959183674</v>
      </c>
      <c r="X541" s="35" t="n">
        <v>0.9278642149929279</v>
      </c>
      <c r="Y541" s="30" t="n">
        <v>33416778</v>
      </c>
      <c r="Z541" s="30" t="n">
        <v>455470684140</v>
      </c>
      <c r="AA541" s="30" t="n">
        <v>2371156580</v>
      </c>
      <c r="AB541" s="30" t="n">
        <v>5252445862</v>
      </c>
      <c r="AC541" s="35" t="n">
        <v>0.005205947742777595</v>
      </c>
      <c r="AD541" s="24" t="inlineStr">
        <is>
          <t>yfinance_download</t>
        </is>
      </c>
      <c r="AE541" s="24" t="inlineStr">
        <is>
          <t>059090.KQ</t>
        </is>
      </c>
    </row>
    <row r="542" ht="24" customHeight="1">
      <c r="A542" s="29" t="inlineStr">
        <is>
          <t>2025-08-27</t>
        </is>
      </c>
      <c r="B542" s="31" t="n">
        <v>13890</v>
      </c>
      <c r="C542" s="31" t="n">
        <v>16890</v>
      </c>
      <c r="D542" s="31" t="n">
        <v>13790</v>
      </c>
      <c r="E542" s="31" t="n">
        <v>16550</v>
      </c>
      <c r="F542" s="31" t="n">
        <v>16550</v>
      </c>
      <c r="G542" s="31" t="n">
        <v>4777211</v>
      </c>
      <c r="H542" s="36" t="n">
        <v>0.2142333088774762</v>
      </c>
      <c r="I542" s="36" t="n">
        <v>-0.1275698471270427</v>
      </c>
      <c r="J542" s="31" t="n">
        <v>14535.5</v>
      </c>
      <c r="K542" s="31" t="n">
        <v>14064</v>
      </c>
      <c r="L542" s="31" t="n">
        <v>12187.25</v>
      </c>
      <c r="M542" s="36" t="n">
        <v>0.8918981760117944</v>
      </c>
      <c r="N542" s="36" t="n">
        <v>0.6802957434106643</v>
      </c>
      <c r="O542" s="36" t="n">
        <v>0.1737588652482269</v>
      </c>
      <c r="P542" s="36" t="n">
        <v>0.2750385208012327</v>
      </c>
      <c r="Q542" s="36" t="n">
        <v>0.9447708578143361</v>
      </c>
      <c r="R542" s="36" t="n">
        <v>0.1385917237109147</v>
      </c>
      <c r="S542" s="36" t="n">
        <v>0.1767633674630262</v>
      </c>
      <c r="T542" s="36" t="n">
        <v>0.3579765738784386</v>
      </c>
      <c r="U542" s="31" t="n">
        <v>16550</v>
      </c>
      <c r="V542" s="31" t="n">
        <v>7070</v>
      </c>
      <c r="W542" s="36" t="n">
        <v>0</v>
      </c>
      <c r="X542" s="36" t="n">
        <v>1.340876944837341</v>
      </c>
      <c r="Y542" s="31" t="n">
        <v>33416778</v>
      </c>
      <c r="Z542" s="31" t="n">
        <v>553047675900</v>
      </c>
      <c r="AA542" s="31" t="n">
        <v>79062842050</v>
      </c>
      <c r="AB542" s="31" t="n">
        <v>9043330804.5</v>
      </c>
      <c r="AC542" s="36" t="n">
        <v>0.1429584563778112</v>
      </c>
      <c r="AD542" s="29" t="inlineStr">
        <is>
          <t>yfinance_download</t>
        </is>
      </c>
      <c r="AE542" s="29" t="inlineStr">
        <is>
          <t>059090.KQ</t>
        </is>
      </c>
    </row>
    <row r="543" ht="24" customHeight="1">
      <c r="A543" s="24" t="inlineStr">
        <is>
          <t>2025-08-28</t>
        </is>
      </c>
      <c r="B543" s="30" t="n">
        <v>16210</v>
      </c>
      <c r="C543" s="30" t="n">
        <v>16680</v>
      </c>
      <c r="D543" s="30" t="n">
        <v>15730</v>
      </c>
      <c r="E543" s="30" t="n">
        <v>16390</v>
      </c>
      <c r="F543" s="30" t="n">
        <v>16390</v>
      </c>
      <c r="G543" s="30" t="n">
        <v>1006869</v>
      </c>
      <c r="H543" s="35" t="n">
        <v>-0.009667673716012071</v>
      </c>
      <c r="I543" s="35" t="n">
        <v>-0.136004217185029</v>
      </c>
      <c r="J543" s="30" t="n">
        <v>14643</v>
      </c>
      <c r="K543" s="30" t="n">
        <v>14120</v>
      </c>
      <c r="L543" s="30" t="n">
        <v>12249.41666666667</v>
      </c>
      <c r="M543" s="35" t="n">
        <v>0.8944579342587471</v>
      </c>
      <c r="N543" s="35" t="n">
        <v>0.6809494386461259</v>
      </c>
      <c r="O543" s="35" t="n">
        <v>0.1509831460674158</v>
      </c>
      <c r="P543" s="35" t="n">
        <v>0.2578664620107445</v>
      </c>
      <c r="Q543" s="35" t="n">
        <v>0.8353863381858904</v>
      </c>
      <c r="R543" s="35" t="n">
        <v>0.1193061531107014</v>
      </c>
      <c r="S543" s="35" t="n">
        <v>0.1607648725212465</v>
      </c>
      <c r="T543" s="35" t="n">
        <v>0.3380228990496146</v>
      </c>
      <c r="U543" s="30" t="n">
        <v>16550</v>
      </c>
      <c r="V543" s="30" t="n">
        <v>7070</v>
      </c>
      <c r="W543" s="35" t="n">
        <v>-0.009667673716012071</v>
      </c>
      <c r="X543" s="35" t="n">
        <v>1.318246110325318</v>
      </c>
      <c r="Y543" s="30" t="n">
        <v>33416778</v>
      </c>
      <c r="Z543" s="30" t="n">
        <v>547700991420</v>
      </c>
      <c r="AA543" s="30" t="n">
        <v>16502582910</v>
      </c>
      <c r="AB543" s="30" t="n">
        <v>9741382190</v>
      </c>
      <c r="AC543" s="35" t="n">
        <v>0.03013064275676129</v>
      </c>
      <c r="AD543" s="24" t="inlineStr">
        <is>
          <t>yfinance_download</t>
        </is>
      </c>
      <c r="AE543" s="24" t="inlineStr">
        <is>
          <t>059090.KQ</t>
        </is>
      </c>
    </row>
    <row r="544" ht="24" customHeight="1">
      <c r="A544" s="29" t="inlineStr">
        <is>
          <t>2025-08-29</t>
        </is>
      </c>
      <c r="B544" s="31" t="n">
        <v>16520</v>
      </c>
      <c r="C544" s="31" t="n">
        <v>17030</v>
      </c>
      <c r="D544" s="31" t="n">
        <v>16140</v>
      </c>
      <c r="E544" s="31" t="n">
        <v>16360</v>
      </c>
      <c r="F544" s="31" t="n">
        <v>16360</v>
      </c>
      <c r="G544" s="31" t="n">
        <v>860370</v>
      </c>
      <c r="H544" s="36" t="n">
        <v>-0.001830384380719918</v>
      </c>
      <c r="I544" s="36" t="n">
        <v>-0.1375856615709015</v>
      </c>
      <c r="J544" s="31" t="n">
        <v>14735.5</v>
      </c>
      <c r="K544" s="31" t="n">
        <v>14161.83333333333</v>
      </c>
      <c r="L544" s="31" t="n">
        <v>12311.75</v>
      </c>
      <c r="M544" s="36" t="n">
        <v>0.8942582251052809</v>
      </c>
      <c r="N544" s="36" t="n">
        <v>0.6701371432726911</v>
      </c>
      <c r="O544" s="36" t="n">
        <v>0.1274982770503101</v>
      </c>
      <c r="P544" s="36" t="n">
        <v>0.1812274368231046</v>
      </c>
      <c r="Q544" s="36" t="n">
        <v>0.8423423423423424</v>
      </c>
      <c r="R544" s="36" t="n">
        <v>0.1102439686471446</v>
      </c>
      <c r="S544" s="36" t="n">
        <v>0.1552176624966164</v>
      </c>
      <c r="T544" s="36" t="n">
        <v>0.3288119073243041</v>
      </c>
      <c r="U544" s="31" t="n">
        <v>16550</v>
      </c>
      <c r="V544" s="31" t="n">
        <v>7070</v>
      </c>
      <c r="W544" s="36" t="n">
        <v>-0.0114803625377643</v>
      </c>
      <c r="X544" s="36" t="n">
        <v>1.314002828854314</v>
      </c>
      <c r="Y544" s="31" t="n">
        <v>33416778</v>
      </c>
      <c r="Z544" s="31" t="n">
        <v>546698488080</v>
      </c>
      <c r="AA544" s="31" t="n">
        <v>14075653200</v>
      </c>
      <c r="AB544" s="31" t="n">
        <v>10212387449.5</v>
      </c>
      <c r="AC544" s="36" t="n">
        <v>0.0257466473877284</v>
      </c>
      <c r="AD544" s="29" t="inlineStr">
        <is>
          <t>yfinance_download</t>
        </is>
      </c>
      <c r="AE544" s="29" t="inlineStr">
        <is>
          <t>059090.KQ</t>
        </is>
      </c>
    </row>
    <row r="545" ht="24" customHeight="1">
      <c r="A545" s="24" t="inlineStr">
        <is>
          <t>2025-09-01</t>
        </is>
      </c>
      <c r="B545" s="30" t="n">
        <v>16340</v>
      </c>
      <c r="C545" s="30" t="n">
        <v>16340</v>
      </c>
      <c r="D545" s="30" t="n">
        <v>15480</v>
      </c>
      <c r="E545" s="30" t="n">
        <v>15680</v>
      </c>
      <c r="F545" s="30" t="n">
        <v>15680</v>
      </c>
      <c r="G545" s="30" t="n">
        <v>439384</v>
      </c>
      <c r="H545" s="35" t="n">
        <v>-0.04156479217603914</v>
      </c>
      <c r="I545" s="35" t="n">
        <v>-0.1734317343173432</v>
      </c>
      <c r="J545" s="30" t="n">
        <v>14803.5</v>
      </c>
      <c r="K545" s="30" t="n">
        <v>14199.16666666667</v>
      </c>
      <c r="L545" s="30" t="n">
        <v>12368.66666666667</v>
      </c>
      <c r="M545" s="35" t="n">
        <v>0.9085079840082612</v>
      </c>
      <c r="N545" s="35" t="n">
        <v>0.6731107207384662</v>
      </c>
      <c r="O545" s="35" t="n">
        <v>0.0949720670391061</v>
      </c>
      <c r="P545" s="35" t="n">
        <v>0.1666666666666667</v>
      </c>
      <c r="Q545" s="35" t="n">
        <v>0.7717514124293785</v>
      </c>
      <c r="R545" s="35" t="n">
        <v>0.0592089708514878</v>
      </c>
      <c r="S545" s="35" t="n">
        <v>0.1042901578731146</v>
      </c>
      <c r="T545" s="35" t="n">
        <v>0.2677195062793081</v>
      </c>
      <c r="U545" s="30" t="n">
        <v>16550</v>
      </c>
      <c r="V545" s="30" t="n">
        <v>7070</v>
      </c>
      <c r="W545" s="35" t="n">
        <v>-0.05256797583081574</v>
      </c>
      <c r="X545" s="35" t="n">
        <v>1.217821782178218</v>
      </c>
      <c r="Y545" s="30" t="n">
        <v>33416778</v>
      </c>
      <c r="Z545" s="30" t="n">
        <v>523975079040</v>
      </c>
      <c r="AA545" s="30" t="n">
        <v>6889541120</v>
      </c>
      <c r="AB545" s="30" t="n">
        <v>10330198237.5</v>
      </c>
      <c r="AC545" s="35" t="n">
        <v>0.01314860457223015</v>
      </c>
      <c r="AD545" s="24" t="inlineStr">
        <is>
          <t>yfinance_download</t>
        </is>
      </c>
      <c r="AE545" s="24" t="inlineStr">
        <is>
          <t>059090.KQ</t>
        </is>
      </c>
    </row>
    <row r="546" ht="24" customHeight="1">
      <c r="A546" s="29" t="inlineStr">
        <is>
          <t>2025-09-02</t>
        </is>
      </c>
      <c r="B546" s="31" t="n">
        <v>15910</v>
      </c>
      <c r="C546" s="31" t="n">
        <v>16480</v>
      </c>
      <c r="D546" s="31" t="n">
        <v>15720</v>
      </c>
      <c r="E546" s="31" t="n">
        <v>16090</v>
      </c>
      <c r="F546" s="31" t="n">
        <v>16090</v>
      </c>
      <c r="G546" s="31" t="n">
        <v>555485</v>
      </c>
      <c r="H546" s="36" t="n">
        <v>0.02614795918367352</v>
      </c>
      <c r="I546" s="36" t="n">
        <v>-0.1518186610437533</v>
      </c>
      <c r="J546" s="31" t="n">
        <v>14885.5</v>
      </c>
      <c r="K546" s="31" t="n">
        <v>14241</v>
      </c>
      <c r="L546" s="31" t="n">
        <v>12429.41666666667</v>
      </c>
      <c r="M546" s="36" t="n">
        <v>0.9112977656741503</v>
      </c>
      <c r="N546" s="36" t="n">
        <v>0.6745810467185848</v>
      </c>
      <c r="O546" s="36" t="n">
        <v>0.1134948096885813</v>
      </c>
      <c r="P546" s="36" t="n">
        <v>0.1848306332842415</v>
      </c>
      <c r="Q546" s="36" t="n">
        <v>0.8284090909090909</v>
      </c>
      <c r="R546" s="36" t="n">
        <v>0.08091767155957141</v>
      </c>
      <c r="S546" s="36" t="n">
        <v>0.1298363878941085</v>
      </c>
      <c r="T546" s="36" t="n">
        <v>0.2945096645726202</v>
      </c>
      <c r="U546" s="31" t="n">
        <v>16550</v>
      </c>
      <c r="V546" s="31" t="n">
        <v>7070</v>
      </c>
      <c r="W546" s="36" t="n">
        <v>-0.02779456193353469</v>
      </c>
      <c r="X546" s="36" t="n">
        <v>1.275813295615276</v>
      </c>
      <c r="Y546" s="31" t="n">
        <v>33416778</v>
      </c>
      <c r="Z546" s="31" t="n">
        <v>537675958020</v>
      </c>
      <c r="AA546" s="31" t="n">
        <v>8937753650</v>
      </c>
      <c r="AB546" s="31" t="n">
        <v>10491658682.5</v>
      </c>
      <c r="AC546" s="36" t="n">
        <v>0.01662293713654859</v>
      </c>
      <c r="AD546" s="29" t="inlineStr">
        <is>
          <t>yfinance_download</t>
        </is>
      </c>
      <c r="AE546" s="29" t="inlineStr">
        <is>
          <t>059090.KQ</t>
        </is>
      </c>
    </row>
    <row r="547" ht="24" customHeight="1">
      <c r="A547" s="24" t="inlineStr">
        <is>
          <t>2025-09-03</t>
        </is>
      </c>
      <c r="B547" s="30" t="n">
        <v>15990</v>
      </c>
      <c r="C547" s="30" t="n">
        <v>16010</v>
      </c>
      <c r="D547" s="30" t="n">
        <v>15630</v>
      </c>
      <c r="E547" s="30" t="n">
        <v>15820</v>
      </c>
      <c r="F547" s="30" t="n">
        <v>15820</v>
      </c>
      <c r="G547" s="30" t="n">
        <v>235533</v>
      </c>
      <c r="H547" s="35" t="n">
        <v>-0.01678060907395895</v>
      </c>
      <c r="I547" s="35" t="n">
        <v>-0.1660516605166051</v>
      </c>
      <c r="J547" s="30" t="n">
        <v>14916</v>
      </c>
      <c r="K547" s="30" t="n">
        <v>14283.66666666667</v>
      </c>
      <c r="L547" s="30" t="n">
        <v>12489.41666666667</v>
      </c>
      <c r="M547" s="35" t="n">
        <v>0.8982661837567391</v>
      </c>
      <c r="N547" s="35" t="n">
        <v>0.6735538956671685</v>
      </c>
      <c r="O547" s="35" t="n">
        <v>0.04010519395134771</v>
      </c>
      <c r="P547" s="35" t="n">
        <v>0.1930618401206636</v>
      </c>
      <c r="Q547" s="35" t="n">
        <v>0.8352668213457077</v>
      </c>
      <c r="R547" s="35" t="n">
        <v>0.06060606060606055</v>
      </c>
      <c r="S547" s="35" t="n">
        <v>0.1075587500875126</v>
      </c>
      <c r="T547" s="35" t="n">
        <v>0.2666724493404415</v>
      </c>
      <c r="U547" s="30" t="n">
        <v>16550</v>
      </c>
      <c r="V547" s="30" t="n">
        <v>7070</v>
      </c>
      <c r="W547" s="35" t="n">
        <v>-0.04410876132930519</v>
      </c>
      <c r="X547" s="35" t="n">
        <v>1.237623762376238</v>
      </c>
      <c r="Y547" s="30" t="n">
        <v>33416778</v>
      </c>
      <c r="Z547" s="30" t="n">
        <v>528653427960</v>
      </c>
      <c r="AA547" s="30" t="n">
        <v>3726132060</v>
      </c>
      <c r="AB547" s="30" t="n">
        <v>9744915440.5</v>
      </c>
      <c r="AC547" s="35" t="n">
        <v>0.007048345594539366</v>
      </c>
      <c r="AD547" s="24" t="inlineStr">
        <is>
          <t>yfinance_download</t>
        </is>
      </c>
      <c r="AE547" s="24" t="inlineStr">
        <is>
          <t>059090.KQ</t>
        </is>
      </c>
    </row>
    <row r="548" ht="24" customHeight="1">
      <c r="A548" s="29" t="inlineStr">
        <is>
          <t>2025-09-04</t>
        </is>
      </c>
      <c r="B548" s="31" t="n">
        <v>15850</v>
      </c>
      <c r="C548" s="31" t="n">
        <v>16180</v>
      </c>
      <c r="D548" s="31" t="n">
        <v>15700</v>
      </c>
      <c r="E548" s="31" t="n">
        <v>15830</v>
      </c>
      <c r="F548" s="31" t="n">
        <v>15830</v>
      </c>
      <c r="G548" s="31" t="n">
        <v>203705</v>
      </c>
      <c r="H548" s="36" t="n">
        <v>0.0006321112515803584</v>
      </c>
      <c r="I548" s="36" t="n">
        <v>-0.165524512387981</v>
      </c>
      <c r="J548" s="31" t="n">
        <v>14962</v>
      </c>
      <c r="K548" s="31" t="n">
        <v>14318.33333333333</v>
      </c>
      <c r="L548" s="31" t="n">
        <v>12547.16666666667</v>
      </c>
      <c r="M548" s="36" t="n">
        <v>0.8942254768829507</v>
      </c>
      <c r="N548" s="36" t="n">
        <v>0.6700173557926534</v>
      </c>
      <c r="O548" s="36" t="n">
        <v>0.06170355466130117</v>
      </c>
      <c r="P548" s="36" t="n">
        <v>0.1512727272727272</v>
      </c>
      <c r="Q548" s="36" t="n">
        <v>0.7786516853932584</v>
      </c>
      <c r="R548" s="36" t="n">
        <v>0.05801363454083686</v>
      </c>
      <c r="S548" s="36" t="n">
        <v>0.105575602374578</v>
      </c>
      <c r="T548" s="36" t="n">
        <v>0.2616394139447153</v>
      </c>
      <c r="U548" s="31" t="n">
        <v>16550</v>
      </c>
      <c r="V548" s="31" t="n">
        <v>7070</v>
      </c>
      <c r="W548" s="36" t="n">
        <v>-0.04350453172205437</v>
      </c>
      <c r="X548" s="36" t="n">
        <v>1.239038189533239</v>
      </c>
      <c r="Y548" s="31" t="n">
        <v>33416778</v>
      </c>
      <c r="Z548" s="31" t="n">
        <v>528987595740</v>
      </c>
      <c r="AA548" s="31" t="n">
        <v>3224650150</v>
      </c>
      <c r="AB548" s="31" t="n">
        <v>9704831637</v>
      </c>
      <c r="AC548" s="36" t="n">
        <v>0.006095889914940333</v>
      </c>
      <c r="AD548" s="29" t="inlineStr">
        <is>
          <t>yfinance_download</t>
        </is>
      </c>
      <c r="AE548" s="29" t="inlineStr">
        <is>
          <t>059090.KQ</t>
        </is>
      </c>
    </row>
    <row r="549" ht="24" customHeight="1">
      <c r="A549" s="24" t="inlineStr">
        <is>
          <t>2025-09-05</t>
        </is>
      </c>
      <c r="B549" s="30" t="n">
        <v>16000</v>
      </c>
      <c r="C549" s="30" t="n">
        <v>16220</v>
      </c>
      <c r="D549" s="30" t="n">
        <v>15320</v>
      </c>
      <c r="E549" s="30" t="n">
        <v>15490</v>
      </c>
      <c r="F549" s="30" t="n">
        <v>15490</v>
      </c>
      <c r="G549" s="30" t="n">
        <v>511357</v>
      </c>
      <c r="H549" s="35" t="n">
        <v>-0.02147820593809224</v>
      </c>
      <c r="I549" s="35" t="n">
        <v>-0.183447548761202</v>
      </c>
      <c r="J549" s="30" t="n">
        <v>14959</v>
      </c>
      <c r="K549" s="30" t="n">
        <v>14329.16666666667</v>
      </c>
      <c r="L549" s="30" t="n">
        <v>12597.66666666667</v>
      </c>
      <c r="M549" s="35" t="n">
        <v>0.8865927811001224</v>
      </c>
      <c r="N549" s="35" t="n">
        <v>0.6527351840341772</v>
      </c>
      <c r="O549" s="35" t="n">
        <v>-0.003858520900321571</v>
      </c>
      <c r="P549" s="35" t="n">
        <v>0.04380053908355785</v>
      </c>
      <c r="Q549" s="35" t="n">
        <v>0.6426299045599151</v>
      </c>
      <c r="R549" s="35" t="n">
        <v>0.03549702520221931</v>
      </c>
      <c r="S549" s="35" t="n">
        <v>0.08101192207036934</v>
      </c>
      <c r="T549" s="35" t="n">
        <v>0.2295927817320669</v>
      </c>
      <c r="U549" s="30" t="n">
        <v>16550</v>
      </c>
      <c r="V549" s="30" t="n">
        <v>7070</v>
      </c>
      <c r="W549" s="35" t="n">
        <v>-0.06404833836858004</v>
      </c>
      <c r="X549" s="35" t="n">
        <v>1.190947666195191</v>
      </c>
      <c r="Y549" s="30" t="n">
        <v>33416778</v>
      </c>
      <c r="Z549" s="30" t="n">
        <v>517625891220</v>
      </c>
      <c r="AA549" s="30" t="n">
        <v>7920919930</v>
      </c>
      <c r="AB549" s="30" t="n">
        <v>9472284433.5</v>
      </c>
      <c r="AC549" s="35" t="n">
        <v>0.01530240288276745</v>
      </c>
      <c r="AD549" s="24" t="inlineStr">
        <is>
          <t>yfinance_download</t>
        </is>
      </c>
      <c r="AE549" s="24" t="inlineStr">
        <is>
          <t>059090.KQ</t>
        </is>
      </c>
    </row>
    <row r="550" ht="24" customHeight="1">
      <c r="A550" s="29" t="inlineStr">
        <is>
          <t>2025-09-08</t>
        </is>
      </c>
      <c r="B550" s="31" t="n">
        <v>15360</v>
      </c>
      <c r="C550" s="31" t="n">
        <v>15400</v>
      </c>
      <c r="D550" s="31" t="n">
        <v>15010</v>
      </c>
      <c r="E550" s="31" t="n">
        <v>15360</v>
      </c>
      <c r="F550" s="31" t="n">
        <v>15360</v>
      </c>
      <c r="G550" s="31" t="n">
        <v>188945</v>
      </c>
      <c r="H550" s="36" t="n">
        <v>-0.008392511297611316</v>
      </c>
      <c r="I550" s="36" t="n">
        <v>-0.1903004744333158</v>
      </c>
      <c r="J550" s="31" t="n">
        <v>14947</v>
      </c>
      <c r="K550" s="31" t="n">
        <v>14349.5</v>
      </c>
      <c r="L550" s="31" t="n">
        <v>12643.25</v>
      </c>
      <c r="M550" s="36" t="n">
        <v>0.8871925173465149</v>
      </c>
      <c r="N550" s="36" t="n">
        <v>0.6451805887370996</v>
      </c>
      <c r="O550" s="36" t="n">
        <v>-0.01538461538461533</v>
      </c>
      <c r="P550" s="36" t="n">
        <v>0.08628005657708626</v>
      </c>
      <c r="Q550" s="36" t="n">
        <v>0.5530839231547018</v>
      </c>
      <c r="R550" s="36" t="n">
        <v>0.0276309627349971</v>
      </c>
      <c r="S550" s="36" t="n">
        <v>0.07042057214537101</v>
      </c>
      <c r="T550" s="36" t="n">
        <v>0.2148775038063788</v>
      </c>
      <c r="U550" s="31" t="n">
        <v>16550</v>
      </c>
      <c r="V550" s="31" t="n">
        <v>7070</v>
      </c>
      <c r="W550" s="36" t="n">
        <v>-0.07190332326283988</v>
      </c>
      <c r="X550" s="36" t="n">
        <v>1.172560113154173</v>
      </c>
      <c r="Y550" s="31" t="n">
        <v>33416778</v>
      </c>
      <c r="Z550" s="31" t="n">
        <v>513281710080</v>
      </c>
      <c r="AA550" s="31" t="n">
        <v>2902195200</v>
      </c>
      <c r="AB550" s="31" t="n">
        <v>9268059493.5</v>
      </c>
      <c r="AC550" s="36" t="n">
        <v>0.005654195625921805</v>
      </c>
      <c r="AD550" s="29" t="inlineStr">
        <is>
          <t>yfinance_download</t>
        </is>
      </c>
      <c r="AE550" s="29" t="inlineStr">
        <is>
          <t>059090.KQ</t>
        </is>
      </c>
    </row>
    <row r="551" ht="24" customHeight="1">
      <c r="A551" s="24" t="inlineStr">
        <is>
          <t>2025-09-09</t>
        </is>
      </c>
      <c r="B551" s="30" t="n">
        <v>15470</v>
      </c>
      <c r="C551" s="30" t="n">
        <v>15570</v>
      </c>
      <c r="D551" s="30" t="n">
        <v>15170</v>
      </c>
      <c r="E551" s="30" t="n">
        <v>15480</v>
      </c>
      <c r="F551" s="30" t="n">
        <v>15480</v>
      </c>
      <c r="G551" s="30" t="n">
        <v>219963</v>
      </c>
      <c r="H551" s="35" t="n">
        <v>0.0078125</v>
      </c>
      <c r="I551" s="35" t="n">
        <v>-0.183974696889826</v>
      </c>
      <c r="J551" s="30" t="n">
        <v>14937</v>
      </c>
      <c r="K551" s="30" t="n">
        <v>14360.83333333333</v>
      </c>
      <c r="L551" s="30" t="n">
        <v>12687.41666666667</v>
      </c>
      <c r="M551" s="35" t="n">
        <v>0.8874263240938562</v>
      </c>
      <c r="N551" s="35" t="n">
        <v>0.6386055490102545</v>
      </c>
      <c r="O551" s="35" t="n">
        <v>-0.01275510204081631</v>
      </c>
      <c r="P551" s="35" t="n">
        <v>0.04594594594594592</v>
      </c>
      <c r="Q551" s="35" t="n">
        <v>0.5206286836935168</v>
      </c>
      <c r="R551" s="35" t="n">
        <v>0.03635268126129754</v>
      </c>
      <c r="S551" s="35" t="n">
        <v>0.07793187489119702</v>
      </c>
      <c r="T551" s="35" t="n">
        <v>0.2201065360035206</v>
      </c>
      <c r="U551" s="30" t="n">
        <v>16550</v>
      </c>
      <c r="V551" s="30" t="n">
        <v>7070</v>
      </c>
      <c r="W551" s="35" t="n">
        <v>-0.06465256797583085</v>
      </c>
      <c r="X551" s="35" t="n">
        <v>1.18953323903819</v>
      </c>
      <c r="Y551" s="30" t="n">
        <v>33416778</v>
      </c>
      <c r="Z551" s="30" t="n">
        <v>517291723440</v>
      </c>
      <c r="AA551" s="30" t="n">
        <v>3405027240</v>
      </c>
      <c r="AB551" s="30" t="n">
        <v>9202118311.5</v>
      </c>
      <c r="AC551" s="35" t="n">
        <v>0.006582411984782016</v>
      </c>
      <c r="AD551" s="24" t="inlineStr">
        <is>
          <t>yfinance_download</t>
        </is>
      </c>
      <c r="AE551" s="24" t="inlineStr">
        <is>
          <t>059090.KQ</t>
        </is>
      </c>
    </row>
    <row r="552" ht="24" customHeight="1">
      <c r="A552" s="29" t="inlineStr">
        <is>
          <t>2025-09-10</t>
        </is>
      </c>
      <c r="B552" s="31" t="n">
        <v>15880</v>
      </c>
      <c r="C552" s="31" t="n">
        <v>16250</v>
      </c>
      <c r="D552" s="31" t="n">
        <v>15310</v>
      </c>
      <c r="E552" s="31" t="n">
        <v>16040</v>
      </c>
      <c r="F552" s="31" t="n">
        <v>16040</v>
      </c>
      <c r="G552" s="31" t="n">
        <v>554939</v>
      </c>
      <c r="H552" s="36" t="n">
        <v>0.03617571059431524</v>
      </c>
      <c r="I552" s="36" t="n">
        <v>-0.154454401686874</v>
      </c>
      <c r="J552" s="31" t="n">
        <v>14985</v>
      </c>
      <c r="K552" s="31" t="n">
        <v>14384</v>
      </c>
      <c r="L552" s="31" t="n">
        <v>12738.58333333333</v>
      </c>
      <c r="M552" s="36" t="n">
        <v>0.8833939470597518</v>
      </c>
      <c r="N552" s="36" t="n">
        <v>0.6420466158178513</v>
      </c>
      <c r="O552" s="36" t="n">
        <v>0.06366047745358094</v>
      </c>
      <c r="P552" s="36" t="n">
        <v>0.09488054607508523</v>
      </c>
      <c r="Q552" s="36" t="n">
        <v>0.6202020202020202</v>
      </c>
      <c r="R552" s="36" t="n">
        <v>0.07040373707040382</v>
      </c>
      <c r="S552" s="36" t="n">
        <v>0.1151279199110122</v>
      </c>
      <c r="T552" s="36" t="n">
        <v>0.2591667048271982</v>
      </c>
      <c r="U552" s="31" t="n">
        <v>16550</v>
      </c>
      <c r="V552" s="31" t="n">
        <v>7070</v>
      </c>
      <c r="W552" s="36" t="n">
        <v>-0.03081570996978855</v>
      </c>
      <c r="X552" s="36" t="n">
        <v>1.268741159830269</v>
      </c>
      <c r="Y552" s="31" t="n">
        <v>33416778</v>
      </c>
      <c r="Z552" s="31" t="n">
        <v>536005119120</v>
      </c>
      <c r="AA552" s="31" t="n">
        <v>8901221560</v>
      </c>
      <c r="AB552" s="31" t="n">
        <v>9438266347.5</v>
      </c>
      <c r="AC552" s="36" t="n">
        <v>0.01660659803886539</v>
      </c>
      <c r="AD552" s="29" t="inlineStr">
        <is>
          <t>yfinance_download</t>
        </is>
      </c>
      <c r="AE552" s="29" t="inlineStr">
        <is>
          <t>059090.KQ</t>
        </is>
      </c>
    </row>
    <row r="553" ht="24" customHeight="1">
      <c r="A553" s="24" t="inlineStr">
        <is>
          <t>2025-09-11</t>
        </is>
      </c>
      <c r="B553" s="30" t="n">
        <v>17040</v>
      </c>
      <c r="C553" s="30" t="n">
        <v>17050</v>
      </c>
      <c r="D553" s="30" t="n">
        <v>16170</v>
      </c>
      <c r="E553" s="30" t="n">
        <v>16420</v>
      </c>
      <c r="F553" s="30" t="n">
        <v>16420</v>
      </c>
      <c r="G553" s="30" t="n">
        <v>1351611</v>
      </c>
      <c r="H553" s="35" t="n">
        <v>0.02369077306733169</v>
      </c>
      <c r="I553" s="35" t="n">
        <v>-0.1344227727991566</v>
      </c>
      <c r="J553" s="30" t="n">
        <v>15051</v>
      </c>
      <c r="K553" s="30" t="n">
        <v>14406.16666666667</v>
      </c>
      <c r="L553" s="30" t="n">
        <v>12794.08333333333</v>
      </c>
      <c r="M553" s="35" t="n">
        <v>0.8859144019843869</v>
      </c>
      <c r="N553" s="35" t="n">
        <v>0.6410056309983045</v>
      </c>
      <c r="O553" s="35" t="n">
        <v>0.0874172185430464</v>
      </c>
      <c r="P553" s="35" t="n">
        <v>0.08813783962889321</v>
      </c>
      <c r="Q553" s="35" t="n">
        <v>0.6823770491803278</v>
      </c>
      <c r="R553" s="35" t="n">
        <v>0.09095741146767655</v>
      </c>
      <c r="S553" s="35" t="n">
        <v>0.1397896734037507</v>
      </c>
      <c r="T553" s="35" t="n">
        <v>0.2834057409349373</v>
      </c>
      <c r="U553" s="30" t="n">
        <v>16550</v>
      </c>
      <c r="V553" s="30" t="n">
        <v>7070</v>
      </c>
      <c r="W553" s="35" t="n">
        <v>-0.007854984894259842</v>
      </c>
      <c r="X553" s="35" t="n">
        <v>1.322489391796323</v>
      </c>
      <c r="Y553" s="30" t="n">
        <v>33416778</v>
      </c>
      <c r="Z553" s="30" t="n">
        <v>548703494760</v>
      </c>
      <c r="AA553" s="30" t="n">
        <v>22193452620</v>
      </c>
      <c r="AB553" s="30" t="n">
        <v>10364609123.5</v>
      </c>
      <c r="AC553" s="35" t="n">
        <v>0.04044707721372778</v>
      </c>
      <c r="AD553" s="24" t="inlineStr">
        <is>
          <t>yfinance_download</t>
        </is>
      </c>
      <c r="AE553" s="24" t="inlineStr">
        <is>
          <t>059090.KQ</t>
        </is>
      </c>
    </row>
    <row r="554" ht="24" customHeight="1">
      <c r="A554" s="29" t="inlineStr">
        <is>
          <t>2025-09-12</t>
        </is>
      </c>
      <c r="B554" s="31" t="n">
        <v>17100</v>
      </c>
      <c r="C554" s="31" t="n">
        <v>17350</v>
      </c>
      <c r="D554" s="31" t="n">
        <v>16710</v>
      </c>
      <c r="E554" s="31" t="n">
        <v>17170</v>
      </c>
      <c r="F554" s="31" t="n">
        <v>17170</v>
      </c>
      <c r="G554" s="31" t="n">
        <v>1184698</v>
      </c>
      <c r="H554" s="36" t="n">
        <v>0.04567600487210721</v>
      </c>
      <c r="I554" s="36" t="n">
        <v>-0.09488666315234584</v>
      </c>
      <c r="J554" s="31" t="n">
        <v>15151</v>
      </c>
      <c r="K554" s="31" t="n">
        <v>14446.83333333333</v>
      </c>
      <c r="L554" s="31" t="n">
        <v>12856.41666666667</v>
      </c>
      <c r="M554" s="36" t="n">
        <v>0.8972572589162265</v>
      </c>
      <c r="N554" s="36" t="n">
        <v>0.6447793817405023</v>
      </c>
      <c r="O554" s="36" t="n">
        <v>0.1318391562294001</v>
      </c>
      <c r="P554" s="36" t="n">
        <v>0.1656483367277664</v>
      </c>
      <c r="Q554" s="36" t="n">
        <v>0.7719298245614035</v>
      </c>
      <c r="R554" s="36" t="n">
        <v>0.1332585307900469</v>
      </c>
      <c r="S554" s="36" t="n">
        <v>0.1884957487800094</v>
      </c>
      <c r="T554" s="36" t="n">
        <v>0.335519876585622</v>
      </c>
      <c r="U554" s="31" t="n">
        <v>17170</v>
      </c>
      <c r="V554" s="31" t="n">
        <v>7070</v>
      </c>
      <c r="W554" s="36" t="n">
        <v>0</v>
      </c>
      <c r="X554" s="36" t="n">
        <v>1.428571428571428</v>
      </c>
      <c r="Y554" s="31" t="n">
        <v>33416778</v>
      </c>
      <c r="Z554" s="31" t="n">
        <v>573766078260</v>
      </c>
      <c r="AA554" s="31" t="n">
        <v>20341264660</v>
      </c>
      <c r="AB554" s="31" t="n">
        <v>11122513386</v>
      </c>
      <c r="AC554" s="36" t="n">
        <v>0.03545219111190193</v>
      </c>
      <c r="AD554" s="29" t="inlineStr">
        <is>
          <t>yfinance_download</t>
        </is>
      </c>
      <c r="AE554" s="29" t="inlineStr">
        <is>
          <t>059090.KQ</t>
        </is>
      </c>
    </row>
    <row r="555" ht="24" customHeight="1">
      <c r="A555" s="24" t="inlineStr">
        <is>
          <t>2025-09-15</t>
        </is>
      </c>
      <c r="B555" s="30" t="n">
        <v>17450</v>
      </c>
      <c r="C555" s="30" t="n">
        <v>17620</v>
      </c>
      <c r="D555" s="30" t="n">
        <v>16550</v>
      </c>
      <c r="E555" s="30" t="n">
        <v>17080</v>
      </c>
      <c r="F555" s="30" t="n">
        <v>17080</v>
      </c>
      <c r="G555" s="30" t="n">
        <v>592708</v>
      </c>
      <c r="H555" s="35" t="n">
        <v>-0.005241700640652325</v>
      </c>
      <c r="I555" s="35" t="n">
        <v>-0.09963099630996308</v>
      </c>
      <c r="J555" s="30" t="n">
        <v>15292.5</v>
      </c>
      <c r="K555" s="30" t="n">
        <v>14487</v>
      </c>
      <c r="L555" s="30" t="n">
        <v>12918.58333333333</v>
      </c>
      <c r="M555" s="35" t="n">
        <v>0.862232515198309</v>
      </c>
      <c r="N555" s="35" t="n">
        <v>0.6448410461613764</v>
      </c>
      <c r="O555" s="35" t="n">
        <v>0.1985964912280702</v>
      </c>
      <c r="P555" s="35" t="n">
        <v>0.1642808452624402</v>
      </c>
      <c r="Q555" s="35" t="n">
        <v>0.7754677754677755</v>
      </c>
      <c r="R555" s="35" t="n">
        <v>0.1168873630864804</v>
      </c>
      <c r="S555" s="35" t="n">
        <v>0.1789880582591288</v>
      </c>
      <c r="T555" s="35" t="n">
        <v>0.3221263941479651</v>
      </c>
      <c r="U555" s="30" t="n">
        <v>17170</v>
      </c>
      <c r="V555" s="30" t="n">
        <v>7070</v>
      </c>
      <c r="W555" s="35" t="n">
        <v>-0.005241700640652325</v>
      </c>
      <c r="X555" s="35" t="n">
        <v>1.415841584158416</v>
      </c>
      <c r="Y555" s="30" t="n">
        <v>33416778</v>
      </c>
      <c r="Z555" s="30" t="n">
        <v>570758568240</v>
      </c>
      <c r="AA555" s="30" t="n">
        <v>10123452640</v>
      </c>
      <c r="AB555" s="30" t="n">
        <v>11335072605.5</v>
      </c>
      <c r="AC555" s="35" t="n">
        <v>0.01773683866230311</v>
      </c>
      <c r="AD555" s="24" t="inlineStr">
        <is>
          <t>yfinance_download</t>
        </is>
      </c>
      <c r="AE555" s="24" t="inlineStr">
        <is>
          <t>059090.KQ</t>
        </is>
      </c>
    </row>
    <row r="556" ht="24" customHeight="1">
      <c r="A556" s="29" t="inlineStr">
        <is>
          <t>2025-09-16</t>
        </is>
      </c>
      <c r="B556" s="31" t="n">
        <v>17140</v>
      </c>
      <c r="C556" s="31" t="n">
        <v>17140</v>
      </c>
      <c r="D556" s="31" t="n">
        <v>16590</v>
      </c>
      <c r="E556" s="31" t="n">
        <v>16610</v>
      </c>
      <c r="F556" s="31" t="n">
        <v>16610</v>
      </c>
      <c r="G556" s="31" t="n">
        <v>321218</v>
      </c>
      <c r="H556" s="36" t="n">
        <v>-0.02751756440281028</v>
      </c>
      <c r="I556" s="36" t="n">
        <v>-0.1244069583552978</v>
      </c>
      <c r="J556" s="31" t="n">
        <v>15425</v>
      </c>
      <c r="K556" s="31" t="n">
        <v>14525.83333333333</v>
      </c>
      <c r="L556" s="31" t="n">
        <v>12977</v>
      </c>
      <c r="M556" s="36" t="n">
        <v>0.8659866161060037</v>
      </c>
      <c r="N556" s="36" t="n">
        <v>0.6450284786997337</v>
      </c>
      <c r="O556" s="36" t="n">
        <v>0.1898280802292263</v>
      </c>
      <c r="P556" s="36" t="n">
        <v>0.1631652661064427</v>
      </c>
      <c r="Q556" s="36" t="n">
        <v>0.7302083333333333</v>
      </c>
      <c r="R556" s="36" t="n">
        <v>0.07682333873581837</v>
      </c>
      <c r="S556" s="36" t="n">
        <v>0.1434800068842865</v>
      </c>
      <c r="T556" s="36" t="n">
        <v>0.279956846728828</v>
      </c>
      <c r="U556" s="31" t="n">
        <v>17170</v>
      </c>
      <c r="V556" s="31" t="n">
        <v>7070</v>
      </c>
      <c r="W556" s="36" t="n">
        <v>-0.03261502620850321</v>
      </c>
      <c r="X556" s="36" t="n">
        <v>1.34936350777935</v>
      </c>
      <c r="Y556" s="31" t="n">
        <v>33416778</v>
      </c>
      <c r="Z556" s="31" t="n">
        <v>555052682580</v>
      </c>
      <c r="AA556" s="31" t="n">
        <v>5335430980</v>
      </c>
      <c r="AB556" s="31" t="n">
        <v>11466469148.5</v>
      </c>
      <c r="AC556" s="36" t="n">
        <v>0.009612476702571385</v>
      </c>
      <c r="AD556" s="29" t="inlineStr">
        <is>
          <t>yfinance_download</t>
        </is>
      </c>
      <c r="AE556" s="29" t="inlineStr">
        <is>
          <t>059090.KQ</t>
        </is>
      </c>
    </row>
    <row r="557" ht="24" customHeight="1">
      <c r="A557" s="24" t="inlineStr">
        <is>
          <t>2025-09-17</t>
        </is>
      </c>
      <c r="B557" s="30" t="n">
        <v>16610</v>
      </c>
      <c r="C557" s="30" t="n">
        <v>16670</v>
      </c>
      <c r="D557" s="30" t="n">
        <v>16020</v>
      </c>
      <c r="E557" s="30" t="n">
        <v>16070</v>
      </c>
      <c r="F557" s="30" t="n">
        <v>16070</v>
      </c>
      <c r="G557" s="30" t="n">
        <v>313415</v>
      </c>
      <c r="H557" s="35" t="n">
        <v>-0.03251053582179408</v>
      </c>
      <c r="I557" s="35" t="n">
        <v>-0.1528729573010016</v>
      </c>
      <c r="J557" s="30" t="n">
        <v>15570.5</v>
      </c>
      <c r="K557" s="30" t="n">
        <v>14552</v>
      </c>
      <c r="L557" s="30" t="n">
        <v>13033.5</v>
      </c>
      <c r="M557" s="35" t="n">
        <v>0.8446298299506714</v>
      </c>
      <c r="N557" s="35" t="n">
        <v>0.6486474275073829</v>
      </c>
      <c r="O557" s="35" t="n">
        <v>0.2211246200607904</v>
      </c>
      <c r="P557" s="35" t="n">
        <v>0.1082758620689654</v>
      </c>
      <c r="Q557" s="35" t="n">
        <v>0.7298170075349839</v>
      </c>
      <c r="R557" s="35" t="n">
        <v>0.03207989467261818</v>
      </c>
      <c r="S557" s="35" t="n">
        <v>0.1043155579989006</v>
      </c>
      <c r="T557" s="35" t="n">
        <v>0.2329765604020408</v>
      </c>
      <c r="U557" s="30" t="n">
        <v>17170</v>
      </c>
      <c r="V557" s="30" t="n">
        <v>7070</v>
      </c>
      <c r="W557" s="35" t="n">
        <v>-0.06406523005241704</v>
      </c>
      <c r="X557" s="35" t="n">
        <v>1.272984441301273</v>
      </c>
      <c r="Y557" s="30" t="n">
        <v>33416778</v>
      </c>
      <c r="Z557" s="30" t="n">
        <v>537007622460</v>
      </c>
      <c r="AA557" s="30" t="n">
        <v>5036579050</v>
      </c>
      <c r="AB557" s="30" t="n">
        <v>11378972107</v>
      </c>
      <c r="AC557" s="35" t="n">
        <v>0.009378971246120736</v>
      </c>
      <c r="AD557" s="24" t="inlineStr">
        <is>
          <t>yfinance_download</t>
        </is>
      </c>
      <c r="AE557" s="24" t="inlineStr">
        <is>
          <t>059090.KQ</t>
        </is>
      </c>
    </row>
    <row r="558" ht="24" customHeight="1">
      <c r="A558" s="29" t="inlineStr">
        <is>
          <t>2025-09-18</t>
        </is>
      </c>
      <c r="B558" s="31" t="n">
        <v>16420</v>
      </c>
      <c r="C558" s="31" t="n">
        <v>16630</v>
      </c>
      <c r="D558" s="31" t="n">
        <v>16130</v>
      </c>
      <c r="E558" s="31" t="n">
        <v>16240</v>
      </c>
      <c r="F558" s="31" t="n">
        <v>16240</v>
      </c>
      <c r="G558" s="31" t="n">
        <v>375219</v>
      </c>
      <c r="H558" s="36" t="n">
        <v>0.01057871810827637</v>
      </c>
      <c r="I558" s="36" t="n">
        <v>-0.1439114391143912</v>
      </c>
      <c r="J558" s="31" t="n">
        <v>15730</v>
      </c>
      <c r="K558" s="31" t="n">
        <v>14585</v>
      </c>
      <c r="L558" s="31" t="n">
        <v>13090.08333333333</v>
      </c>
      <c r="M558" s="36" t="n">
        <v>0.8414664952221427</v>
      </c>
      <c r="N558" s="36" t="n">
        <v>0.647628533936593</v>
      </c>
      <c r="O558" s="36" t="n">
        <v>0.2444444444444445</v>
      </c>
      <c r="P558" s="36" t="n">
        <v>0.1388499298737729</v>
      </c>
      <c r="Q558" s="36" t="n">
        <v>0.7185185185185186</v>
      </c>
      <c r="R558" s="36" t="n">
        <v>0.0324221233312143</v>
      </c>
      <c r="S558" s="36" t="n">
        <v>0.1134727459718889</v>
      </c>
      <c r="T558" s="36" t="n">
        <v>0.2406338131282586</v>
      </c>
      <c r="U558" s="31" t="n">
        <v>17170</v>
      </c>
      <c r="V558" s="31" t="n">
        <v>7070</v>
      </c>
      <c r="W558" s="36" t="n">
        <v>-0.05416423995340713</v>
      </c>
      <c r="X558" s="36" t="n">
        <v>1.297029702970297</v>
      </c>
      <c r="Y558" s="31" t="n">
        <v>33416778</v>
      </c>
      <c r="Z558" s="31" t="n">
        <v>542688474720</v>
      </c>
      <c r="AA558" s="31" t="n">
        <v>6093556560</v>
      </c>
      <c r="AB558" s="31" t="n">
        <v>11548661387.5</v>
      </c>
      <c r="AC558" s="36" t="n">
        <v>0.01122846134358016</v>
      </c>
      <c r="AD558" s="29" t="inlineStr">
        <is>
          <t>yfinance_download</t>
        </is>
      </c>
      <c r="AE558" s="29" t="inlineStr">
        <is>
          <t>059090.KQ</t>
        </is>
      </c>
    </row>
    <row r="559" ht="24" customHeight="1">
      <c r="A559" s="24" t="inlineStr">
        <is>
          <t>2025-09-19</t>
        </is>
      </c>
      <c r="B559" s="30" t="n">
        <v>16660</v>
      </c>
      <c r="C559" s="30" t="n">
        <v>16680</v>
      </c>
      <c r="D559" s="30" t="n">
        <v>16280</v>
      </c>
      <c r="E559" s="30" t="n">
        <v>16500</v>
      </c>
      <c r="F559" s="30" t="n">
        <v>16500</v>
      </c>
      <c r="G559" s="30" t="n">
        <v>276802</v>
      </c>
      <c r="H559" s="35" t="n">
        <v>0.01600985221674867</v>
      </c>
      <c r="I559" s="35" t="n">
        <v>-0.1302055877701634</v>
      </c>
      <c r="J559" s="30" t="n">
        <v>15900</v>
      </c>
      <c r="K559" s="30" t="n">
        <v>14629.16666666667</v>
      </c>
      <c r="L559" s="30" t="n">
        <v>13150.91666666667</v>
      </c>
      <c r="M559" s="35" t="n">
        <v>0.8409701438611031</v>
      </c>
      <c r="N559" s="35" t="n">
        <v>0.6447638621820592</v>
      </c>
      <c r="O559" s="35" t="n">
        <v>0.2595419847328244</v>
      </c>
      <c r="P559" s="35" t="n">
        <v>0.1913357400722022</v>
      </c>
      <c r="Q559" s="35" t="n">
        <v>0.7934782608695652</v>
      </c>
      <c r="R559" s="35" t="n">
        <v>0.03773584905660377</v>
      </c>
      <c r="S559" s="35" t="n">
        <v>0.1278837937909427</v>
      </c>
      <c r="T559" s="35" t="n">
        <v>0.2546653908789629</v>
      </c>
      <c r="U559" s="30" t="n">
        <v>17170</v>
      </c>
      <c r="V559" s="30" t="n">
        <v>7070</v>
      </c>
      <c r="W559" s="35" t="n">
        <v>-0.0390215492137449</v>
      </c>
      <c r="X559" s="35" t="n">
        <v>1.333804809052334</v>
      </c>
      <c r="Y559" s="30" t="n">
        <v>33416778</v>
      </c>
      <c r="Z559" s="30" t="n">
        <v>551376837000</v>
      </c>
      <c r="AA559" s="30" t="n">
        <v>4567233000</v>
      </c>
      <c r="AB559" s="30" t="n">
        <v>11664711497.5</v>
      </c>
      <c r="AC559" s="35" t="n">
        <v>0.008283324023638664</v>
      </c>
      <c r="AD559" s="24" t="inlineStr">
        <is>
          <t>yfinance_download</t>
        </is>
      </c>
      <c r="AE559" s="24" t="inlineStr">
        <is>
          <t>059090.KQ</t>
        </is>
      </c>
    </row>
    <row r="560" ht="24" customHeight="1">
      <c r="A560" s="29" t="inlineStr">
        <is>
          <t>2025-09-22</t>
        </is>
      </c>
      <c r="B560" s="31" t="n">
        <v>16450</v>
      </c>
      <c r="C560" s="31" t="n">
        <v>16740</v>
      </c>
      <c r="D560" s="31" t="n">
        <v>16100</v>
      </c>
      <c r="E560" s="31" t="n">
        <v>16200</v>
      </c>
      <c r="F560" s="31" t="n">
        <v>16200</v>
      </c>
      <c r="G560" s="31" t="n">
        <v>599723</v>
      </c>
      <c r="H560" s="36" t="n">
        <v>-0.01818181818181819</v>
      </c>
      <c r="I560" s="36" t="n">
        <v>-0.1460200316288878</v>
      </c>
      <c r="J560" s="31" t="n">
        <v>16050.5</v>
      </c>
      <c r="K560" s="31" t="n">
        <v>14674.16666666667</v>
      </c>
      <c r="L560" s="31" t="n">
        <v>13210.5</v>
      </c>
      <c r="M560" s="36" t="n">
        <v>0.8479893118165772</v>
      </c>
      <c r="N560" s="36" t="n">
        <v>0.6435666826802585</v>
      </c>
      <c r="O560" s="36" t="n">
        <v>0.2282031842304777</v>
      </c>
      <c r="P560" s="36" t="n">
        <v>0.2</v>
      </c>
      <c r="Q560" s="36" t="n">
        <v>0.7900552486187846</v>
      </c>
      <c r="R560" s="36" t="n">
        <v>0.009314351577832447</v>
      </c>
      <c r="S560" s="36" t="n">
        <v>0.1039809188483163</v>
      </c>
      <c r="T560" s="36" t="n">
        <v>0.2262972635403657</v>
      </c>
      <c r="U560" s="31" t="n">
        <v>17170</v>
      </c>
      <c r="V560" s="31" t="n">
        <v>7070</v>
      </c>
      <c r="W560" s="36" t="n">
        <v>-0.05649388468258587</v>
      </c>
      <c r="X560" s="36" t="n">
        <v>1.291371994342291</v>
      </c>
      <c r="Y560" s="31" t="n">
        <v>33416778</v>
      </c>
      <c r="Z560" s="31" t="n">
        <v>541351803600</v>
      </c>
      <c r="AA560" s="31" t="n">
        <v>9715512600</v>
      </c>
      <c r="AB560" s="31" t="n">
        <v>12066307888</v>
      </c>
      <c r="AC560" s="36" t="n">
        <v>0.01794676314993624</v>
      </c>
      <c r="AD560" s="29" t="inlineStr">
        <is>
          <t>yfinance_download</t>
        </is>
      </c>
      <c r="AE560" s="29" t="inlineStr">
        <is>
          <t>059090.KQ</t>
        </is>
      </c>
    </row>
    <row r="561" ht="24" customHeight="1">
      <c r="A561" s="24" t="inlineStr">
        <is>
          <t>2025-09-23</t>
        </is>
      </c>
      <c r="B561" s="30" t="n">
        <v>16400</v>
      </c>
      <c r="C561" s="30" t="n">
        <v>16400</v>
      </c>
      <c r="D561" s="30" t="n">
        <v>15390</v>
      </c>
      <c r="E561" s="30" t="n">
        <v>15550</v>
      </c>
      <c r="F561" s="30" t="n">
        <v>15550</v>
      </c>
      <c r="G561" s="30" t="n">
        <v>793416</v>
      </c>
      <c r="H561" s="35" t="n">
        <v>-0.04012345679012341</v>
      </c>
      <c r="I561" s="35" t="n">
        <v>-0.1802846599894571</v>
      </c>
      <c r="J561" s="30" t="n">
        <v>16146.5</v>
      </c>
      <c r="K561" s="30" t="n">
        <v>14708.66666666667</v>
      </c>
      <c r="L561" s="30" t="n">
        <v>13266.66666666667</v>
      </c>
      <c r="M561" s="35" t="n">
        <v>0.8629171923077954</v>
      </c>
      <c r="N561" s="35" t="n">
        <v>0.6497644096720312</v>
      </c>
      <c r="O561" s="35" t="n">
        <v>0.1408657373440938</v>
      </c>
      <c r="P561" s="35" t="n">
        <v>0.1535608308605341</v>
      </c>
      <c r="Q561" s="35" t="n">
        <v>0.7650397275822929</v>
      </c>
      <c r="R561" s="35" t="n">
        <v>-0.03694299074102747</v>
      </c>
      <c r="S561" s="35" t="n">
        <v>0.05719983683089347</v>
      </c>
      <c r="T561" s="35" t="n">
        <v>0.1721105527638191</v>
      </c>
      <c r="U561" s="30" t="n">
        <v>17170</v>
      </c>
      <c r="V561" s="30" t="n">
        <v>7070</v>
      </c>
      <c r="W561" s="35" t="n">
        <v>-0.0943506115317414</v>
      </c>
      <c r="X561" s="35" t="n">
        <v>1.1994342291372</v>
      </c>
      <c r="Y561" s="30" t="n">
        <v>33416778</v>
      </c>
      <c r="Z561" s="30" t="n">
        <v>519630897900</v>
      </c>
      <c r="AA561" s="30" t="n">
        <v>12337618800</v>
      </c>
      <c r="AB561" s="30" t="n">
        <v>12564630999</v>
      </c>
      <c r="AC561" s="35" t="n">
        <v>0.0237430430905098</v>
      </c>
      <c r="AD561" s="24" t="inlineStr">
        <is>
          <t>yfinance_download</t>
        </is>
      </c>
      <c r="AE561" s="24" t="inlineStr">
        <is>
          <t>059090.KQ</t>
        </is>
      </c>
    </row>
    <row r="562" ht="24" customHeight="1">
      <c r="A562" s="29" t="inlineStr">
        <is>
          <t>2025-09-24</t>
        </is>
      </c>
      <c r="B562" s="31" t="n">
        <v>15800</v>
      </c>
      <c r="C562" s="31" t="n">
        <v>15800</v>
      </c>
      <c r="D562" s="31" t="n">
        <v>15050</v>
      </c>
      <c r="E562" s="31" t="n">
        <v>15380</v>
      </c>
      <c r="F562" s="31" t="n">
        <v>15380</v>
      </c>
      <c r="G562" s="31" t="n">
        <v>666449</v>
      </c>
      <c r="H562" s="36" t="n">
        <v>-0.0109324758842444</v>
      </c>
      <c r="I562" s="36" t="n">
        <v>-0.1892461781760675</v>
      </c>
      <c r="J562" s="31" t="n">
        <v>16088</v>
      </c>
      <c r="K562" s="31" t="n">
        <v>14741</v>
      </c>
      <c r="L562" s="31" t="n">
        <v>13321.25</v>
      </c>
      <c r="M562" s="36" t="n">
        <v>0.3885237907294452</v>
      </c>
      <c r="N562" s="36" t="n">
        <v>0.650289986930943</v>
      </c>
      <c r="O562" s="36" t="n">
        <v>-0.07069486404833836</v>
      </c>
      <c r="P562" s="36" t="n">
        <v>0.1443452380952381</v>
      </c>
      <c r="Q562" s="36" t="n">
        <v>0.7417893544733862</v>
      </c>
      <c r="R562" s="36" t="n">
        <v>-0.04400795624067633</v>
      </c>
      <c r="S562" s="36" t="n">
        <v>0.04334848382063639</v>
      </c>
      <c r="T562" s="36" t="n">
        <v>0.1545463075912545</v>
      </c>
      <c r="U562" s="31" t="n">
        <v>17170</v>
      </c>
      <c r="V562" s="31" t="n">
        <v>7070</v>
      </c>
      <c r="W562" s="36" t="n">
        <v>-0.1042516016307513</v>
      </c>
      <c r="X562" s="36" t="n">
        <v>1.175388967468175</v>
      </c>
      <c r="Y562" s="31" t="n">
        <v>33416778</v>
      </c>
      <c r="Z562" s="31" t="n">
        <v>513950045640</v>
      </c>
      <c r="AA562" s="31" t="n">
        <v>10249985620</v>
      </c>
      <c r="AB562" s="31" t="n">
        <v>9123988177.5</v>
      </c>
      <c r="AC562" s="36" t="n">
        <v>0.01994354452724317</v>
      </c>
      <c r="AD562" s="29" t="inlineStr">
        <is>
          <t>yfinance_download</t>
        </is>
      </c>
      <c r="AE562" s="29" t="inlineStr">
        <is>
          <t>059090.KQ</t>
        </is>
      </c>
    </row>
    <row r="563" ht="24" customHeight="1">
      <c r="A563" s="24" t="inlineStr">
        <is>
          <t>2025-09-25</t>
        </is>
      </c>
      <c r="B563" s="30" t="n">
        <v>15360</v>
      </c>
      <c r="C563" s="30" t="n">
        <v>15360</v>
      </c>
      <c r="D563" s="30" t="n">
        <v>14820</v>
      </c>
      <c r="E563" s="30" t="n">
        <v>14870</v>
      </c>
      <c r="F563" s="30" t="n">
        <v>14870</v>
      </c>
      <c r="G563" s="30" t="n">
        <v>568923</v>
      </c>
      <c r="H563" s="35" t="n">
        <v>-0.03315994798439537</v>
      </c>
      <c r="I563" s="35" t="n">
        <v>-0.2161307327358988</v>
      </c>
      <c r="J563" s="30" t="n">
        <v>16012</v>
      </c>
      <c r="K563" s="30" t="n">
        <v>14765.33333333333</v>
      </c>
      <c r="L563" s="30" t="n">
        <v>13371.5</v>
      </c>
      <c r="M563" s="35" t="n">
        <v>0.4022759441679021</v>
      </c>
      <c r="N563" s="35" t="n">
        <v>0.6544338321321712</v>
      </c>
      <c r="O563" s="35" t="n">
        <v>-0.09273947528981086</v>
      </c>
      <c r="P563" s="35" t="n">
        <v>0.1088739746457867</v>
      </c>
      <c r="Q563" s="35" t="n">
        <v>0.6821266968325792</v>
      </c>
      <c r="R563" s="35" t="n">
        <v>-0.07132150886834876</v>
      </c>
      <c r="S563" s="35" t="n">
        <v>0.007088676178435893</v>
      </c>
      <c r="T563" s="35" t="n">
        <v>0.1120667090453578</v>
      </c>
      <c r="U563" s="30" t="n">
        <v>17170</v>
      </c>
      <c r="V563" s="30" t="n">
        <v>7070</v>
      </c>
      <c r="W563" s="35" t="n">
        <v>-0.133954571927781</v>
      </c>
      <c r="X563" s="35" t="n">
        <v>1.103253182461103</v>
      </c>
      <c r="Y563" s="30" t="n">
        <v>33416778</v>
      </c>
      <c r="Z563" s="30" t="n">
        <v>496907488860</v>
      </c>
      <c r="AA563" s="30" t="n">
        <v>8459885010</v>
      </c>
      <c r="AB563" s="30" t="n">
        <v>8721853282.5</v>
      </c>
      <c r="AC563" s="35" t="n">
        <v>0.01702507046011438</v>
      </c>
      <c r="AD563" s="24" t="inlineStr">
        <is>
          <t>yfinance_download</t>
        </is>
      </c>
      <c r="AE563" s="24" t="inlineStr">
        <is>
          <t>059090.KQ</t>
        </is>
      </c>
    </row>
    <row r="564" ht="24" customHeight="1">
      <c r="A564" s="29" t="inlineStr">
        <is>
          <t>2025-09-26</t>
        </is>
      </c>
      <c r="B564" s="31" t="n">
        <v>14750</v>
      </c>
      <c r="C564" s="31" t="n">
        <v>14750</v>
      </c>
      <c r="D564" s="31" t="n">
        <v>14140</v>
      </c>
      <c r="E564" s="31" t="n">
        <v>14270</v>
      </c>
      <c r="F564" s="31" t="n">
        <v>14270</v>
      </c>
      <c r="G564" s="31" t="n">
        <v>509022</v>
      </c>
      <c r="H564" s="36" t="n">
        <v>-0.04034969737726968</v>
      </c>
      <c r="I564" s="36" t="n">
        <v>-0.2477596204533474</v>
      </c>
      <c r="J564" s="31" t="n">
        <v>15907.5</v>
      </c>
      <c r="K564" s="31" t="n">
        <v>14763.83333333333</v>
      </c>
      <c r="L564" s="31" t="n">
        <v>13417.66666666667</v>
      </c>
      <c r="M564" s="36" t="n">
        <v>0.4215954017071921</v>
      </c>
      <c r="N564" s="36" t="n">
        <v>0.6444425489997765</v>
      </c>
      <c r="O564" s="36" t="n">
        <v>-0.1277506112469438</v>
      </c>
      <c r="P564" s="36" t="n">
        <v>-0.006267409470752106</v>
      </c>
      <c r="Q564" s="36" t="n">
        <v>0.6345933562428407</v>
      </c>
      <c r="R564" s="36" t="n">
        <v>-0.102938865315103</v>
      </c>
      <c r="S564" s="36" t="n">
        <v>-0.0334488558752809</v>
      </c>
      <c r="T564" s="36" t="n">
        <v>0.06352321566094465</v>
      </c>
      <c r="U564" s="31" t="n">
        <v>17170</v>
      </c>
      <c r="V564" s="31" t="n">
        <v>7070</v>
      </c>
      <c r="W564" s="36" t="n">
        <v>-0.168899242865463</v>
      </c>
      <c r="X564" s="36" t="n">
        <v>1.018387553041018</v>
      </c>
      <c r="Y564" s="31" t="n">
        <v>33416778</v>
      </c>
      <c r="Z564" s="31" t="n">
        <v>476857422060</v>
      </c>
      <c r="AA564" s="31" t="n">
        <v>7263743940</v>
      </c>
      <c r="AB564" s="31" t="n">
        <v>8381257819.5</v>
      </c>
      <c r="AC564" s="36" t="n">
        <v>0.01523252780384752</v>
      </c>
      <c r="AD564" s="29" t="inlineStr">
        <is>
          <t>yfinance_download</t>
        </is>
      </c>
      <c r="AE564" s="29" t="inlineStr">
        <is>
          <t>059090.KQ</t>
        </is>
      </c>
    </row>
    <row r="565" ht="24" customHeight="1">
      <c r="A565" s="24" t="inlineStr">
        <is>
          <t>2025-09-29</t>
        </is>
      </c>
      <c r="B565" s="30" t="n">
        <v>14270</v>
      </c>
      <c r="C565" s="30" t="n">
        <v>14470</v>
      </c>
      <c r="D565" s="30" t="n">
        <v>14140</v>
      </c>
      <c r="E565" s="30" t="n">
        <v>14380</v>
      </c>
      <c r="F565" s="30" t="n">
        <v>14380</v>
      </c>
      <c r="G565" s="30" t="n">
        <v>374520</v>
      </c>
      <c r="H565" s="35" t="n">
        <v>0.007708479327259932</v>
      </c>
      <c r="I565" s="35" t="n">
        <v>-0.2419609910384818</v>
      </c>
      <c r="J565" s="30" t="n">
        <v>15842.5</v>
      </c>
      <c r="K565" s="30" t="n">
        <v>14772.66666666667</v>
      </c>
      <c r="L565" s="30" t="n">
        <v>13463.91666666667</v>
      </c>
      <c r="M565" s="35" t="n">
        <v>0.4030764045804785</v>
      </c>
      <c r="N565" s="35" t="n">
        <v>0.6401538305348454</v>
      </c>
      <c r="O565" s="35" t="n">
        <v>-0.08290816326530615</v>
      </c>
      <c r="P565" s="35" t="n">
        <v>0.03826714801444053</v>
      </c>
      <c r="Q565" s="35" t="n">
        <v>0.6285390713476784</v>
      </c>
      <c r="R565" s="35" t="n">
        <v>-0.09231497554047652</v>
      </c>
      <c r="S565" s="35" t="n">
        <v>-0.02658062186921784</v>
      </c>
      <c r="T565" s="35" t="n">
        <v>0.06803988438233066</v>
      </c>
      <c r="U565" s="30" t="n">
        <v>17170</v>
      </c>
      <c r="V565" s="30" t="n">
        <v>7070</v>
      </c>
      <c r="W565" s="35" t="n">
        <v>-0.1624927198602213</v>
      </c>
      <c r="X565" s="35" t="n">
        <v>1.033946251768034</v>
      </c>
      <c r="Y565" s="30" t="n">
        <v>33416778</v>
      </c>
      <c r="Z565" s="30" t="n">
        <v>480533267640</v>
      </c>
      <c r="AA565" s="30" t="n">
        <v>5385597600</v>
      </c>
      <c r="AB565" s="30" t="n">
        <v>8306060643.5</v>
      </c>
      <c r="AC565" s="35" t="n">
        <v>0.01120754370753518</v>
      </c>
      <c r="AD565" s="24" t="inlineStr">
        <is>
          <t>yfinance_download</t>
        </is>
      </c>
      <c r="AE565" s="24" t="inlineStr">
        <is>
          <t>059090.KQ</t>
        </is>
      </c>
    </row>
    <row r="566" ht="24" customHeight="1">
      <c r="A566" s="29" t="inlineStr">
        <is>
          <t>2025-09-30</t>
        </is>
      </c>
      <c r="B566" s="31" t="n">
        <v>14560</v>
      </c>
      <c r="C566" s="31" t="n">
        <v>14850</v>
      </c>
      <c r="D566" s="31" t="n">
        <v>14310</v>
      </c>
      <c r="E566" s="31" t="n">
        <v>14400</v>
      </c>
      <c r="F566" s="31" t="n">
        <v>14400</v>
      </c>
      <c r="G566" s="31" t="n">
        <v>336595</v>
      </c>
      <c r="H566" s="36" t="n">
        <v>0.001390820584144636</v>
      </c>
      <c r="I566" s="36" t="n">
        <v>-0.2409066947812335</v>
      </c>
      <c r="J566" s="31" t="n">
        <v>15758</v>
      </c>
      <c r="K566" s="31" t="n">
        <v>14786.16666666667</v>
      </c>
      <c r="L566" s="31" t="n">
        <v>13514.91666666667</v>
      </c>
      <c r="M566" s="36" t="n">
        <v>0.3877975349848954</v>
      </c>
      <c r="N566" s="36" t="n">
        <v>0.6387752029030572</v>
      </c>
      <c r="O566" s="36" t="n">
        <v>-0.1050341827221877</v>
      </c>
      <c r="P566" s="36" t="n">
        <v>0.0596026490066226</v>
      </c>
      <c r="Q566" s="36" t="n">
        <v>0.7391304347826086</v>
      </c>
      <c r="R566" s="36" t="n">
        <v>-0.08617844904175653</v>
      </c>
      <c r="S566" s="36" t="n">
        <v>-0.02611675327163898</v>
      </c>
      <c r="T566" s="36" t="n">
        <v>0.06548936668742567</v>
      </c>
      <c r="U566" s="31" t="n">
        <v>17170</v>
      </c>
      <c r="V566" s="31" t="n">
        <v>7070</v>
      </c>
      <c r="W566" s="36" t="n">
        <v>-0.1613278974956319</v>
      </c>
      <c r="X566" s="36" t="n">
        <v>1.036775106082037</v>
      </c>
      <c r="Y566" s="31" t="n">
        <v>33416778</v>
      </c>
      <c r="Z566" s="31" t="n">
        <v>481201603200</v>
      </c>
      <c r="AA566" s="31" t="n">
        <v>4846968000</v>
      </c>
      <c r="AB566" s="31" t="n">
        <v>8101521361</v>
      </c>
      <c r="AC566" s="36" t="n">
        <v>0.01007263477047368</v>
      </c>
      <c r="AD566" s="29" t="inlineStr">
        <is>
          <t>yfinance_download</t>
        </is>
      </c>
      <c r="AE566" s="29" t="inlineStr">
        <is>
          <t>059090.KQ</t>
        </is>
      </c>
    </row>
    <row r="567" ht="24" customHeight="1">
      <c r="A567" s="24" t="inlineStr">
        <is>
          <t>2025-10-01</t>
        </is>
      </c>
      <c r="B567" s="30" t="n">
        <v>14410</v>
      </c>
      <c r="C567" s="30" t="n">
        <v>15200</v>
      </c>
      <c r="D567" s="30" t="n">
        <v>14410</v>
      </c>
      <c r="E567" s="30" t="n">
        <v>15050</v>
      </c>
      <c r="F567" s="30" t="n">
        <v>15050</v>
      </c>
      <c r="G567" s="30" t="n">
        <v>663037</v>
      </c>
      <c r="H567" s="35" t="n">
        <v>0.04513888888888884</v>
      </c>
      <c r="I567" s="35" t="n">
        <v>-0.2066420664206642</v>
      </c>
      <c r="J567" s="30" t="n">
        <v>15719.5</v>
      </c>
      <c r="K567" s="30" t="n">
        <v>14803.16666666667</v>
      </c>
      <c r="L567" s="30" t="n">
        <v>13570.58333333333</v>
      </c>
      <c r="M567" s="35" t="n">
        <v>0.4239765593740824</v>
      </c>
      <c r="N567" s="35" t="n">
        <v>0.6419195291179149</v>
      </c>
      <c r="O567" s="35" t="n">
        <v>-0.04867256637168138</v>
      </c>
      <c r="P567" s="35" t="n">
        <v>0.07270135424091229</v>
      </c>
      <c r="Q567" s="35" t="n">
        <v>0.7980884109916369</v>
      </c>
      <c r="R567" s="35" t="n">
        <v>-0.04259041318108081</v>
      </c>
      <c r="S567" s="35" t="n">
        <v>0.01667436021571955</v>
      </c>
      <c r="T567" s="35" t="n">
        <v>0.1090164387431147</v>
      </c>
      <c r="U567" s="30" t="n">
        <v>17170</v>
      </c>
      <c r="V567" s="30" t="n">
        <v>7070</v>
      </c>
      <c r="W567" s="35" t="n">
        <v>-0.1234711706464764</v>
      </c>
      <c r="X567" s="35" t="n">
        <v>1.128712871287129</v>
      </c>
      <c r="Y567" s="30" t="n">
        <v>33416778</v>
      </c>
      <c r="Z567" s="30" t="n">
        <v>502922508900</v>
      </c>
      <c r="AA567" s="30" t="n">
        <v>9978706850</v>
      </c>
      <c r="AB567" s="30" t="n">
        <v>8414150100.5</v>
      </c>
      <c r="AC567" s="35" t="n">
        <v>0.0198414401292668</v>
      </c>
      <c r="AD567" s="24" t="inlineStr">
        <is>
          <t>yfinance_download</t>
        </is>
      </c>
      <c r="AE567" s="24" t="inlineStr">
        <is>
          <t>059090.KQ</t>
        </is>
      </c>
    </row>
    <row r="568" ht="24" customHeight="1">
      <c r="A568" s="29" t="inlineStr">
        <is>
          <t>2025-10-02</t>
        </is>
      </c>
      <c r="B568" s="31" t="n">
        <v>15300</v>
      </c>
      <c r="C568" s="31" t="n">
        <v>16730</v>
      </c>
      <c r="D568" s="31" t="n">
        <v>15280</v>
      </c>
      <c r="E568" s="31" t="n">
        <v>16090</v>
      </c>
      <c r="F568" s="31" t="n">
        <v>16090</v>
      </c>
      <c r="G568" s="31" t="n">
        <v>1670555</v>
      </c>
      <c r="H568" s="36" t="n">
        <v>0.06910299003322251</v>
      </c>
      <c r="I568" s="36" t="n">
        <v>-0.1518186610437533</v>
      </c>
      <c r="J568" s="31" t="n">
        <v>15732.5</v>
      </c>
      <c r="K568" s="31" t="n">
        <v>14841.5</v>
      </c>
      <c r="L568" s="31" t="n">
        <v>13635.5</v>
      </c>
      <c r="M568" s="36" t="n">
        <v>0.49385021337938</v>
      </c>
      <c r="N568" s="36" t="n">
        <v>0.6551786145227537</v>
      </c>
      <c r="O568" s="36" t="n">
        <v>0.016424510423247</v>
      </c>
      <c r="P568" s="36" t="n">
        <v>0.1667875271936186</v>
      </c>
      <c r="Q568" s="36" t="n">
        <v>0.9385542168674699</v>
      </c>
      <c r="R568" s="36" t="n">
        <v>0.02272366121086922</v>
      </c>
      <c r="S568" s="36" t="n">
        <v>0.08412222484250242</v>
      </c>
      <c r="T568" s="36" t="n">
        <v>0.1800080671775879</v>
      </c>
      <c r="U568" s="31" t="n">
        <v>17170</v>
      </c>
      <c r="V568" s="31" t="n">
        <v>7070</v>
      </c>
      <c r="W568" s="36" t="n">
        <v>-0.06290040768782756</v>
      </c>
      <c r="X568" s="36" t="n">
        <v>1.275813295615276</v>
      </c>
      <c r="Y568" s="31" t="n">
        <v>33416778</v>
      </c>
      <c r="Z568" s="31" t="n">
        <v>537675958020</v>
      </c>
      <c r="AA568" s="31" t="n">
        <v>26879229950</v>
      </c>
      <c r="AB568" s="31" t="n">
        <v>9596879090.5</v>
      </c>
      <c r="AC568" s="36" t="n">
        <v>0.04999150426770648</v>
      </c>
      <c r="AD568" s="29" t="inlineStr">
        <is>
          <t>yfinance_download</t>
        </is>
      </c>
      <c r="AE568" s="29" t="inlineStr">
        <is>
          <t>059090.KQ</t>
        </is>
      </c>
    </row>
    <row r="569" ht="24" customHeight="1">
      <c r="A569" s="24" t="inlineStr">
        <is>
          <t>2025-10-10</t>
        </is>
      </c>
      <c r="B569" s="30" t="n">
        <v>16600</v>
      </c>
      <c r="C569" s="30" t="n">
        <v>16680</v>
      </c>
      <c r="D569" s="30" t="n">
        <v>16110</v>
      </c>
      <c r="E569" s="30" t="n">
        <v>16270</v>
      </c>
      <c r="F569" s="30" t="n">
        <v>16270</v>
      </c>
      <c r="G569" s="30" t="n">
        <v>802183</v>
      </c>
      <c r="H569" s="35" t="n">
        <v>0.01118707271597263</v>
      </c>
      <c r="I569" s="35" t="n">
        <v>-0.1423299947285187</v>
      </c>
      <c r="J569" s="30" t="n">
        <v>15771.5</v>
      </c>
      <c r="K569" s="30" t="n">
        <v>14887.5</v>
      </c>
      <c r="L569" s="30" t="n">
        <v>13697.5</v>
      </c>
      <c r="M569" s="35" t="n">
        <v>0.4874644056477393</v>
      </c>
      <c r="N569" s="35" t="n">
        <v>0.6534962246571746</v>
      </c>
      <c r="O569" s="35" t="n">
        <v>0.05035506778566812</v>
      </c>
      <c r="P569" s="35" t="n">
        <v>0.2042931162102146</v>
      </c>
      <c r="Q569" s="35" t="n">
        <v>0.8425821064552661</v>
      </c>
      <c r="R569" s="35" t="n">
        <v>0.03160764670449856</v>
      </c>
      <c r="S569" s="35" t="n">
        <v>0.092863140218304</v>
      </c>
      <c r="T569" s="35" t="n">
        <v>0.1878079941595181</v>
      </c>
      <c r="U569" s="30" t="n">
        <v>17170</v>
      </c>
      <c r="V569" s="30" t="n">
        <v>7070</v>
      </c>
      <c r="W569" s="35" t="n">
        <v>-0.05241700640652303</v>
      </c>
      <c r="X569" s="35" t="n">
        <v>1.301272984441301</v>
      </c>
      <c r="Y569" s="30" t="n">
        <v>33416778</v>
      </c>
      <c r="Z569" s="30" t="n">
        <v>543690978060</v>
      </c>
      <c r="AA569" s="30" t="n">
        <v>13051517410</v>
      </c>
      <c r="AB569" s="30" t="n">
        <v>9853408964.5</v>
      </c>
      <c r="AC569" s="35" t="n">
        <v>0.02400539633114838</v>
      </c>
      <c r="AD569" s="24" t="inlineStr">
        <is>
          <t>yfinance_download</t>
        </is>
      </c>
      <c r="AE569" s="24" t="inlineStr">
        <is>
          <t>059090.KQ</t>
        </is>
      </c>
    </row>
    <row r="570" ht="24" customHeight="1">
      <c r="A570" s="29" t="inlineStr">
        <is>
          <t>2025-10-13</t>
        </is>
      </c>
      <c r="B570" s="31" t="n">
        <v>15750</v>
      </c>
      <c r="C570" s="31" t="n">
        <v>15970</v>
      </c>
      <c r="D570" s="31" t="n">
        <v>15590</v>
      </c>
      <c r="E570" s="31" t="n">
        <v>15870</v>
      </c>
      <c r="F570" s="31" t="n">
        <v>15870</v>
      </c>
      <c r="G570" s="31" t="n">
        <v>477713</v>
      </c>
      <c r="H570" s="36" t="n">
        <v>-0.02458512599877072</v>
      </c>
      <c r="I570" s="36" t="n">
        <v>-0.1634159198734845</v>
      </c>
      <c r="J570" s="31" t="n">
        <v>15797</v>
      </c>
      <c r="K570" s="31" t="n">
        <v>14927.66666666667</v>
      </c>
      <c r="L570" s="31" t="n">
        <v>13753</v>
      </c>
      <c r="M570" s="36" t="n">
        <v>0.4957591020252949</v>
      </c>
      <c r="N570" s="36" t="n">
        <v>0.6559291263577017</v>
      </c>
      <c r="O570" s="36" t="n">
        <v>0.033203125</v>
      </c>
      <c r="P570" s="36" t="n">
        <v>0.1790490341753344</v>
      </c>
      <c r="Q570" s="36" t="n">
        <v>0.723127035830619</v>
      </c>
      <c r="R570" s="36" t="n">
        <v>0.0046211305944166</v>
      </c>
      <c r="S570" s="36" t="n">
        <v>0.06312663287408182</v>
      </c>
      <c r="T570" s="36" t="n">
        <v>0.1539300516250999</v>
      </c>
      <c r="U570" s="31" t="n">
        <v>17170</v>
      </c>
      <c r="V570" s="31" t="n">
        <v>7070</v>
      </c>
      <c r="W570" s="36" t="n">
        <v>-0.07571345369831106</v>
      </c>
      <c r="X570" s="36" t="n">
        <v>1.244695898161245</v>
      </c>
      <c r="Y570" s="31" t="n">
        <v>33416778</v>
      </c>
      <c r="Z570" s="31" t="n">
        <v>530324266860</v>
      </c>
      <c r="AA570" s="31" t="n">
        <v>7581305310</v>
      </c>
      <c r="AB570" s="31" t="n">
        <v>10087364470</v>
      </c>
      <c r="AC570" s="36" t="n">
        <v>0.01429560324457373</v>
      </c>
      <c r="AD570" s="29" t="inlineStr">
        <is>
          <t>yfinance_download</t>
        </is>
      </c>
      <c r="AE570" s="29" t="inlineStr">
        <is>
          <t>059090.KQ</t>
        </is>
      </c>
    </row>
    <row r="571" ht="24" customHeight="1">
      <c r="A571" s="24" t="inlineStr">
        <is>
          <t>2025-10-14</t>
        </is>
      </c>
      <c r="B571" s="30" t="n">
        <v>16400</v>
      </c>
      <c r="C571" s="30" t="n">
        <v>16860</v>
      </c>
      <c r="D571" s="30" t="n">
        <v>15330</v>
      </c>
      <c r="E571" s="30" t="n">
        <v>15420</v>
      </c>
      <c r="F571" s="30" t="n">
        <v>15420</v>
      </c>
      <c r="G571" s="30" t="n">
        <v>1004624</v>
      </c>
      <c r="H571" s="35" t="n">
        <v>-0.02835538752362954</v>
      </c>
      <c r="I571" s="35" t="n">
        <v>-0.1871375856615709</v>
      </c>
      <c r="J571" s="30" t="n">
        <v>15794</v>
      </c>
      <c r="K571" s="30" t="n">
        <v>14972</v>
      </c>
      <c r="L571" s="30" t="n">
        <v>13803.33333333333</v>
      </c>
      <c r="M571" s="35" t="n">
        <v>0.5067272561712903</v>
      </c>
      <c r="N571" s="35" t="n">
        <v>0.6491303713608912</v>
      </c>
      <c r="O571" s="35" t="n">
        <v>-0.003875968992248069</v>
      </c>
      <c r="P571" s="35" t="n">
        <v>0.2084639498432601</v>
      </c>
      <c r="Q571" s="35" t="n">
        <v>0.6439232409381663</v>
      </c>
      <c r="R571" s="35" t="n">
        <v>-0.02367987843484864</v>
      </c>
      <c r="S571" s="35" t="n">
        <v>0.02992252204114343</v>
      </c>
      <c r="T571" s="35" t="n">
        <v>0.1171214682443853</v>
      </c>
      <c r="U571" s="30" t="n">
        <v>17170</v>
      </c>
      <c r="V571" s="30" t="n">
        <v>7070</v>
      </c>
      <c r="W571" s="35" t="n">
        <v>-0.1019219569015725</v>
      </c>
      <c r="X571" s="35" t="n">
        <v>1.181046676096181</v>
      </c>
      <c r="Y571" s="30" t="n">
        <v>33416778</v>
      </c>
      <c r="Z571" s="30" t="n">
        <v>515286716760</v>
      </c>
      <c r="AA571" s="30" t="n">
        <v>15491302080</v>
      </c>
      <c r="AB571" s="30" t="n">
        <v>10691678212</v>
      </c>
      <c r="AC571" s="35" t="n">
        <v>0.03006346093570122</v>
      </c>
      <c r="AD571" s="24" t="inlineStr">
        <is>
          <t>yfinance_download</t>
        </is>
      </c>
      <c r="AE571" s="24" t="inlineStr">
        <is>
          <t>059090.KQ</t>
        </is>
      </c>
    </row>
    <row r="572" ht="24" customHeight="1">
      <c r="A572" s="29" t="inlineStr">
        <is>
          <t>2025-10-15</t>
        </is>
      </c>
      <c r="B572" s="31" t="n">
        <v>15440</v>
      </c>
      <c r="C572" s="31" t="n">
        <v>15940</v>
      </c>
      <c r="D572" s="31" t="n">
        <v>15440</v>
      </c>
      <c r="E572" s="31" t="n">
        <v>15920</v>
      </c>
      <c r="F572" s="31" t="n">
        <v>15920</v>
      </c>
      <c r="G572" s="31" t="n">
        <v>358348</v>
      </c>
      <c r="H572" s="36" t="n">
        <v>0.03242542153048</v>
      </c>
      <c r="I572" s="36" t="n">
        <v>-0.1607801792303637</v>
      </c>
      <c r="J572" s="31" t="n">
        <v>15788</v>
      </c>
      <c r="K572" s="31" t="n">
        <v>15021</v>
      </c>
      <c r="L572" s="31" t="n">
        <v>13854.75</v>
      </c>
      <c r="M572" s="36" t="n">
        <v>0.5033679355178544</v>
      </c>
      <c r="N572" s="36" t="n">
        <v>0.6512024430828262</v>
      </c>
      <c r="O572" s="36" t="n">
        <v>-0.007481296758104716</v>
      </c>
      <c r="P572" s="36" t="n">
        <v>0.226502311248074</v>
      </c>
      <c r="Q572" s="36" t="n">
        <v>0.6328205128205129</v>
      </c>
      <c r="R572" s="36" t="n">
        <v>0.008360780339498275</v>
      </c>
      <c r="S572" s="36" t="n">
        <v>0.05984954397177278</v>
      </c>
      <c r="T572" s="36" t="n">
        <v>0.1490644002959274</v>
      </c>
      <c r="U572" s="31" t="n">
        <v>17170</v>
      </c>
      <c r="V572" s="31" t="n">
        <v>7070</v>
      </c>
      <c r="W572" s="36" t="n">
        <v>-0.07280139778683747</v>
      </c>
      <c r="X572" s="36" t="n">
        <v>1.251768033946252</v>
      </c>
      <c r="Y572" s="31" t="n">
        <v>33416778</v>
      </c>
      <c r="Z572" s="31" t="n">
        <v>531995105760</v>
      </c>
      <c r="AA572" s="31" t="n">
        <v>5704900160</v>
      </c>
      <c r="AB572" s="31" t="n">
        <v>10531862142</v>
      </c>
      <c r="AC572" s="36" t="n">
        <v>0.01072359519520404</v>
      </c>
      <c r="AD572" s="29" t="inlineStr">
        <is>
          <t>yfinance_download</t>
        </is>
      </c>
      <c r="AE572" s="29" t="inlineStr">
        <is>
          <t>059090.KQ</t>
        </is>
      </c>
    </row>
    <row r="573" ht="24" customHeight="1">
      <c r="A573" s="24" t="inlineStr">
        <is>
          <t>2025-10-16</t>
        </is>
      </c>
      <c r="B573" s="30" t="n">
        <v>15980</v>
      </c>
      <c r="C573" s="30" t="n">
        <v>16000</v>
      </c>
      <c r="D573" s="30" t="n">
        <v>15390</v>
      </c>
      <c r="E573" s="30" t="n">
        <v>15420</v>
      </c>
      <c r="F573" s="30" t="n">
        <v>15420</v>
      </c>
      <c r="G573" s="30" t="n">
        <v>589287</v>
      </c>
      <c r="H573" s="35" t="n">
        <v>-0.03140703517587939</v>
      </c>
      <c r="I573" s="35" t="n">
        <v>-0.1871375856615709</v>
      </c>
      <c r="J573" s="30" t="n">
        <v>15738</v>
      </c>
      <c r="K573" s="30" t="n">
        <v>15049.16666666667</v>
      </c>
      <c r="L573" s="30" t="n">
        <v>13905.5</v>
      </c>
      <c r="M573" s="35" t="n">
        <v>0.5070971315581168</v>
      </c>
      <c r="N573" s="35" t="n">
        <v>0.6454777711031445</v>
      </c>
      <c r="O573" s="35" t="n">
        <v>-0.06090133982947621</v>
      </c>
      <c r="P573" s="35" t="n">
        <v>0.1230881281864531</v>
      </c>
      <c r="Q573" s="35" t="n">
        <v>0.652733118971061</v>
      </c>
      <c r="R573" s="35" t="n">
        <v>-0.02020587113991612</v>
      </c>
      <c r="S573" s="35" t="n">
        <v>0.02464145301511711</v>
      </c>
      <c r="T573" s="35" t="n">
        <v>0.1089137391679551</v>
      </c>
      <c r="U573" s="30" t="n">
        <v>17170</v>
      </c>
      <c r="V573" s="30" t="n">
        <v>7070</v>
      </c>
      <c r="W573" s="35" t="n">
        <v>-0.1019219569015725</v>
      </c>
      <c r="X573" s="35" t="n">
        <v>1.181046676096181</v>
      </c>
      <c r="Y573" s="30" t="n">
        <v>33416778</v>
      </c>
      <c r="Z573" s="30" t="n">
        <v>515286716760</v>
      </c>
      <c r="AA573" s="30" t="n">
        <v>9086805540</v>
      </c>
      <c r="AB573" s="30" t="n">
        <v>9876529788</v>
      </c>
      <c r="AC573" s="35" t="n">
        <v>0.01763446493854075</v>
      </c>
      <c r="AD573" s="24" t="inlineStr">
        <is>
          <t>yfinance_download</t>
        </is>
      </c>
      <c r="AE573" s="24" t="inlineStr">
        <is>
          <t>059090.KQ</t>
        </is>
      </c>
    </row>
    <row r="574" ht="24" customHeight="1">
      <c r="A574" s="29" t="inlineStr">
        <is>
          <t>2025-10-17</t>
        </is>
      </c>
      <c r="B574" s="31" t="n">
        <v>15420</v>
      </c>
      <c r="C574" s="31" t="n">
        <v>15960</v>
      </c>
      <c r="D574" s="31" t="n">
        <v>14950</v>
      </c>
      <c r="E574" s="31" t="n">
        <v>15000</v>
      </c>
      <c r="F574" s="31" t="n">
        <v>15000</v>
      </c>
      <c r="G574" s="31" t="n">
        <v>574062</v>
      </c>
      <c r="H574" s="36" t="n">
        <v>-0.02723735408560313</v>
      </c>
      <c r="I574" s="36" t="n">
        <v>-0.209277807063785</v>
      </c>
      <c r="J574" s="31" t="n">
        <v>15629.5</v>
      </c>
      <c r="K574" s="31" t="n">
        <v>15075.5</v>
      </c>
      <c r="L574" s="31" t="n">
        <v>13951.75</v>
      </c>
      <c r="M574" s="36" t="n">
        <v>0.4802614040485706</v>
      </c>
      <c r="N574" s="36" t="n">
        <v>0.6463271714676289</v>
      </c>
      <c r="O574" s="36" t="n">
        <v>-0.1263832265579499</v>
      </c>
      <c r="P574" s="36" t="n">
        <v>0.1177347242921014</v>
      </c>
      <c r="Q574" s="36" t="n">
        <v>0.5873015873015872</v>
      </c>
      <c r="R574" s="36" t="n">
        <v>-0.04027640039668579</v>
      </c>
      <c r="S574" s="36" t="n">
        <v>-0.005008125766972849</v>
      </c>
      <c r="T574" s="36" t="n">
        <v>0.07513394377049476</v>
      </c>
      <c r="U574" s="31" t="n">
        <v>17170</v>
      </c>
      <c r="V574" s="31" t="n">
        <v>7070</v>
      </c>
      <c r="W574" s="36" t="n">
        <v>-0.1263832265579499</v>
      </c>
      <c r="X574" s="36" t="n">
        <v>1.121640735502122</v>
      </c>
      <c r="Y574" s="31" t="n">
        <v>33416778</v>
      </c>
      <c r="Z574" s="31" t="n">
        <v>501251670000</v>
      </c>
      <c r="AA574" s="31" t="n">
        <v>8610930000</v>
      </c>
      <c r="AB574" s="31" t="n">
        <v>9290013055</v>
      </c>
      <c r="AC574" s="36" t="n">
        <v>0.0171788554839129</v>
      </c>
      <c r="AD574" s="29" t="inlineStr">
        <is>
          <t>yfinance_download</t>
        </is>
      </c>
      <c r="AE574" s="29" t="inlineStr">
        <is>
          <t>059090.KQ</t>
        </is>
      </c>
    </row>
    <row r="575" ht="24" customHeight="1">
      <c r="A575" s="24" t="inlineStr">
        <is>
          <t>2025-10-20</t>
        </is>
      </c>
      <c r="B575" s="30" t="n">
        <v>15050</v>
      </c>
      <c r="C575" s="30" t="n">
        <v>17600</v>
      </c>
      <c r="D575" s="30" t="n">
        <v>15050</v>
      </c>
      <c r="E575" s="30" t="n">
        <v>17070</v>
      </c>
      <c r="F575" s="30" t="n">
        <v>17070</v>
      </c>
      <c r="G575" s="30" t="n">
        <v>4121438</v>
      </c>
      <c r="H575" s="35" t="n">
        <v>0.1379999999999999</v>
      </c>
      <c r="I575" s="35" t="n">
        <v>-0.1001581444385873</v>
      </c>
      <c r="J575" s="30" t="n">
        <v>15629</v>
      </c>
      <c r="K575" s="30" t="n">
        <v>15138.83333333333</v>
      </c>
      <c r="L575" s="30" t="n">
        <v>14013.08333333333</v>
      </c>
      <c r="M575" s="35" t="n">
        <v>0.7022910434162041</v>
      </c>
      <c r="N575" s="35" t="n">
        <v>0.7025801158118375</v>
      </c>
      <c r="O575" s="35" t="n">
        <v>-0.0005854800936767601</v>
      </c>
      <c r="P575" s="35" t="n">
        <v>0.2863602110022607</v>
      </c>
      <c r="Q575" s="35" t="n">
        <v>0.7579814624098866</v>
      </c>
      <c r="R575" s="35" t="n">
        <v>0.09220039669844526</v>
      </c>
      <c r="S575" s="35" t="n">
        <v>0.1275637708762234</v>
      </c>
      <c r="T575" s="35" t="n">
        <v>0.2181473266054936</v>
      </c>
      <c r="U575" s="30" t="n">
        <v>17170</v>
      </c>
      <c r="V575" s="30" t="n">
        <v>7070</v>
      </c>
      <c r="W575" s="35" t="n">
        <v>-0.005824111822946954</v>
      </c>
      <c r="X575" s="35" t="n">
        <v>1.414427157001414</v>
      </c>
      <c r="Y575" s="30" t="n">
        <v>33416778</v>
      </c>
      <c r="Z575" s="30" t="n">
        <v>570424400460</v>
      </c>
      <c r="AA575" s="30" t="n">
        <v>70352946660</v>
      </c>
      <c r="AB575" s="30" t="n">
        <v>12301487756</v>
      </c>
      <c r="AC575" s="35" t="n">
        <v>0.1233343920829231</v>
      </c>
      <c r="AD575" s="24" t="inlineStr">
        <is>
          <t>yfinance_download</t>
        </is>
      </c>
      <c r="AE575" s="24" t="inlineStr">
        <is>
          <t>059090.KQ</t>
        </is>
      </c>
    </row>
    <row r="576" ht="24" customHeight="1">
      <c r="A576" s="29" t="inlineStr">
        <is>
          <t>2025-10-21</t>
        </is>
      </c>
      <c r="B576" s="31" t="n">
        <v>17370</v>
      </c>
      <c r="C576" s="31" t="n">
        <v>17380</v>
      </c>
      <c r="D576" s="31" t="n">
        <v>15900</v>
      </c>
      <c r="E576" s="31" t="n">
        <v>16010</v>
      </c>
      <c r="F576" s="31" t="n">
        <v>16010</v>
      </c>
      <c r="G576" s="31" t="n">
        <v>1697162</v>
      </c>
      <c r="H576" s="36" t="n">
        <v>-0.06209724663151728</v>
      </c>
      <c r="I576" s="36" t="n">
        <v>-0.1560358460727465</v>
      </c>
      <c r="J576" s="31" t="n">
        <v>15599</v>
      </c>
      <c r="K576" s="31" t="n">
        <v>15180.66666666667</v>
      </c>
      <c r="L576" s="31" t="n">
        <v>14065.58333333333</v>
      </c>
      <c r="M576" s="36" t="n">
        <v>0.730963963389663</v>
      </c>
      <c r="N576" s="36" t="n">
        <v>0.7154183265945921</v>
      </c>
      <c r="O576" s="36" t="n">
        <v>-0.0361228175797712</v>
      </c>
      <c r="P576" s="36" t="n">
        <v>0.1859259259259258</v>
      </c>
      <c r="Q576" s="36" t="n">
        <v>0.6488156539649845</v>
      </c>
      <c r="R576" s="36" t="n">
        <v>0.02634784281043667</v>
      </c>
      <c r="S576" s="36" t="n">
        <v>0.05463089016731804</v>
      </c>
      <c r="T576" s="36" t="n">
        <v>0.138239319378862</v>
      </c>
      <c r="U576" s="31" t="n">
        <v>17170</v>
      </c>
      <c r="V576" s="31" t="n">
        <v>7070</v>
      </c>
      <c r="W576" s="36" t="n">
        <v>-0.06755969714618526</v>
      </c>
      <c r="X576" s="36" t="n">
        <v>1.264497878359264</v>
      </c>
      <c r="Y576" s="31" t="n">
        <v>33416778</v>
      </c>
      <c r="Z576" s="31" t="n">
        <v>535002615780</v>
      </c>
      <c r="AA576" s="31" t="n">
        <v>27171563620</v>
      </c>
      <c r="AB576" s="31" t="n">
        <v>13393294388</v>
      </c>
      <c r="AC576" s="36" t="n">
        <v>0.05078772106634578</v>
      </c>
      <c r="AD576" s="29" t="inlineStr">
        <is>
          <t>yfinance_download</t>
        </is>
      </c>
      <c r="AE576" s="29" t="inlineStr">
        <is>
          <t>059090.KQ</t>
        </is>
      </c>
    </row>
    <row r="577" ht="24" customHeight="1">
      <c r="A577" s="24" t="inlineStr">
        <is>
          <t>2025-10-22</t>
        </is>
      </c>
      <c r="B577" s="30" t="n">
        <v>16120</v>
      </c>
      <c r="C577" s="30" t="n">
        <v>16120</v>
      </c>
      <c r="D577" s="30" t="n">
        <v>15270</v>
      </c>
      <c r="E577" s="30" t="n">
        <v>15600</v>
      </c>
      <c r="F577" s="30" t="n">
        <v>15600</v>
      </c>
      <c r="G577" s="30" t="n">
        <v>856397</v>
      </c>
      <c r="H577" s="35" t="n">
        <v>-0.02560899437851338</v>
      </c>
      <c r="I577" s="35" t="n">
        <v>-0.1776489193463363</v>
      </c>
      <c r="J577" s="30" t="n">
        <v>15575.5</v>
      </c>
      <c r="K577" s="30" t="n">
        <v>15224.83333333333</v>
      </c>
      <c r="L577" s="30" t="n">
        <v>14115.75</v>
      </c>
      <c r="M577" s="35" t="n">
        <v>0.7274035599766092</v>
      </c>
      <c r="N577" s="35" t="n">
        <v>0.7120600681095298</v>
      </c>
      <c r="O577" s="35" t="n">
        <v>-0.0292470441817051</v>
      </c>
      <c r="P577" s="35" t="n">
        <v>0.2046332046332047</v>
      </c>
      <c r="Q577" s="35" t="n">
        <v>0.62839248434238</v>
      </c>
      <c r="R577" s="35" t="n">
        <v>0.001572983210811785</v>
      </c>
      <c r="S577" s="35" t="n">
        <v>0.02464175853047101</v>
      </c>
      <c r="T577" s="35" t="n">
        <v>0.1051485043302693</v>
      </c>
      <c r="U577" s="30" t="n">
        <v>17170</v>
      </c>
      <c r="V577" s="30" t="n">
        <v>7070</v>
      </c>
      <c r="W577" s="35" t="n">
        <v>-0.09143855562026793</v>
      </c>
      <c r="X577" s="35" t="n">
        <v>1.206506364922206</v>
      </c>
      <c r="Y577" s="30" t="n">
        <v>33416778</v>
      </c>
      <c r="Z577" s="30" t="n">
        <v>521301736800</v>
      </c>
      <c r="AA577" s="30" t="n">
        <v>13359793200</v>
      </c>
      <c r="AB577" s="30" t="n">
        <v>13809455095.5</v>
      </c>
      <c r="AC577" s="35" t="n">
        <v>0.02562775501575885</v>
      </c>
      <c r="AD577" s="24" t="inlineStr">
        <is>
          <t>yfinance_download</t>
        </is>
      </c>
      <c r="AE577" s="24" t="inlineStr">
        <is>
          <t>059090.KQ</t>
        </is>
      </c>
    </row>
    <row r="578" ht="24" customHeight="1">
      <c r="A578" s="29" t="inlineStr">
        <is>
          <t>2025-10-23</t>
        </is>
      </c>
      <c r="B578" s="31" t="n">
        <v>15560</v>
      </c>
      <c r="C578" s="31" t="n">
        <v>15700</v>
      </c>
      <c r="D578" s="31" t="n">
        <v>15120</v>
      </c>
      <c r="E578" s="31" t="n">
        <v>15310</v>
      </c>
      <c r="F578" s="31" t="n">
        <v>15310</v>
      </c>
      <c r="G578" s="31" t="n">
        <v>655218</v>
      </c>
      <c r="H578" s="36" t="n">
        <v>-0.01858974358974363</v>
      </c>
      <c r="I578" s="36" t="n">
        <v>-0.1929362150764364</v>
      </c>
      <c r="J578" s="31" t="n">
        <v>15529</v>
      </c>
      <c r="K578" s="31" t="n">
        <v>15264.33333333333</v>
      </c>
      <c r="L578" s="31" t="n">
        <v>14159.75</v>
      </c>
      <c r="M578" s="36" t="n">
        <v>0.728865455100315</v>
      </c>
      <c r="N578" s="36" t="n">
        <v>0.7135089257924109</v>
      </c>
      <c r="O578" s="36" t="n">
        <v>-0.05726600985221675</v>
      </c>
      <c r="P578" s="36" t="n">
        <v>0.1831530139103554</v>
      </c>
      <c r="Q578" s="36" t="n">
        <v>0.5264207377866401</v>
      </c>
      <c r="R578" s="36" t="n">
        <v>-0.01410264666108574</v>
      </c>
      <c r="S578" s="36" t="n">
        <v>0.002991723625881626</v>
      </c>
      <c r="T578" s="36" t="n">
        <v>0.08123377884496552</v>
      </c>
      <c r="U578" s="31" t="n">
        <v>17170</v>
      </c>
      <c r="V578" s="31" t="n">
        <v>7070</v>
      </c>
      <c r="W578" s="36" t="n">
        <v>-0.1083284799068142</v>
      </c>
      <c r="X578" s="36" t="n">
        <v>1.165487977369165</v>
      </c>
      <c r="Y578" s="31" t="n">
        <v>33416778</v>
      </c>
      <c r="Z578" s="31" t="n">
        <v>511610871180</v>
      </c>
      <c r="AA578" s="31" t="n">
        <v>10031387580</v>
      </c>
      <c r="AB578" s="31" t="n">
        <v>14006346646.5</v>
      </c>
      <c r="AC578" s="36" t="n">
        <v>0.01960745587141884</v>
      </c>
      <c r="AD578" s="29" t="inlineStr">
        <is>
          <t>yfinance_download</t>
        </is>
      </c>
      <c r="AE578" s="29" t="inlineStr">
        <is>
          <t>059090.KQ</t>
        </is>
      </c>
    </row>
    <row r="579" ht="24" customHeight="1">
      <c r="A579" s="24" t="inlineStr">
        <is>
          <t>2025-10-24</t>
        </is>
      </c>
      <c r="B579" s="30" t="n">
        <v>15540</v>
      </c>
      <c r="C579" s="30" t="n">
        <v>16180</v>
      </c>
      <c r="D579" s="30" t="n">
        <v>15360</v>
      </c>
      <c r="E579" s="30" t="n">
        <v>16000</v>
      </c>
      <c r="F579" s="30" t="n">
        <v>16000</v>
      </c>
      <c r="G579" s="30" t="n">
        <v>793219</v>
      </c>
      <c r="H579" s="35" t="n">
        <v>0.04506858262573488</v>
      </c>
      <c r="I579" s="35" t="n">
        <v>-0.1565629942013705</v>
      </c>
      <c r="J579" s="30" t="n">
        <v>15504</v>
      </c>
      <c r="K579" s="30" t="n">
        <v>15295.66666666667</v>
      </c>
      <c r="L579" s="30" t="n">
        <v>14209</v>
      </c>
      <c r="M579" s="35" t="n">
        <v>0.7454890127139655</v>
      </c>
      <c r="N579" s="35" t="n">
        <v>0.6953957788447154</v>
      </c>
      <c r="O579" s="35" t="n">
        <v>-0.03030303030303028</v>
      </c>
      <c r="P579" s="35" t="n">
        <v>0.1331444759206799</v>
      </c>
      <c r="Q579" s="35" t="n">
        <v>0.5857284440039643</v>
      </c>
      <c r="R579" s="35" t="n">
        <v>0.03199174406604754</v>
      </c>
      <c r="S579" s="35" t="n">
        <v>0.04604790027676686</v>
      </c>
      <c r="T579" s="35" t="n">
        <v>0.1260468717010346</v>
      </c>
      <c r="U579" s="30" t="n">
        <v>17170</v>
      </c>
      <c r="V579" s="30" t="n">
        <v>7070</v>
      </c>
      <c r="W579" s="35" t="n">
        <v>-0.06814210832847989</v>
      </c>
      <c r="X579" s="35" t="n">
        <v>1.263083451202263</v>
      </c>
      <c r="Y579" s="30" t="n">
        <v>33416778</v>
      </c>
      <c r="Z579" s="30" t="n">
        <v>534668448000</v>
      </c>
      <c r="AA579" s="30" t="n">
        <v>12691504000</v>
      </c>
      <c r="AB579" s="30" t="n">
        <v>14412560196.5</v>
      </c>
      <c r="AC579" s="35" t="n">
        <v>0.02373714784830542</v>
      </c>
      <c r="AD579" s="24" t="inlineStr">
        <is>
          <t>yfinance_download</t>
        </is>
      </c>
      <c r="AE579" s="24" t="inlineStr">
        <is>
          <t>059090.KQ</t>
        </is>
      </c>
    </row>
    <row r="580" ht="24" customHeight="1">
      <c r="A580" s="29" t="inlineStr">
        <is>
          <t>2025-10-27</t>
        </is>
      </c>
      <c r="B580" s="31" t="n">
        <v>16140</v>
      </c>
      <c r="C580" s="31" t="n">
        <v>16230</v>
      </c>
      <c r="D580" s="31" t="n">
        <v>15200</v>
      </c>
      <c r="E580" s="31" t="n">
        <v>15300</v>
      </c>
      <c r="F580" s="31" t="n">
        <v>15300</v>
      </c>
      <c r="G580" s="31" t="n">
        <v>1205927</v>
      </c>
      <c r="H580" s="36" t="n">
        <v>-0.04374999999999996</v>
      </c>
      <c r="I580" s="36" t="n">
        <v>-0.1934633632050606</v>
      </c>
      <c r="J580" s="31" t="n">
        <v>15459</v>
      </c>
      <c r="K580" s="31" t="n">
        <v>15317.66666666667</v>
      </c>
      <c r="L580" s="31" t="n">
        <v>14251.41666666667</v>
      </c>
      <c r="M580" s="36" t="n">
        <v>0.758922046462258</v>
      </c>
      <c r="N580" s="36" t="n">
        <v>0.7015042777758703</v>
      </c>
      <c r="O580" s="36" t="n">
        <v>-0.05555555555555558</v>
      </c>
      <c r="P580" s="36" t="n">
        <v>0.09442060085836901</v>
      </c>
      <c r="Q580" s="36" t="n">
        <v>0.4985308521057787</v>
      </c>
      <c r="R580" s="36" t="n">
        <v>-0.01028527071608776</v>
      </c>
      <c r="S580" s="36" t="n">
        <v>-0.00115335233825864</v>
      </c>
      <c r="T580" s="36" t="n">
        <v>0.07357748060134384</v>
      </c>
      <c r="U580" s="31" t="n">
        <v>17170</v>
      </c>
      <c r="V580" s="31" t="n">
        <v>7070</v>
      </c>
      <c r="W580" s="36" t="n">
        <v>-0.1089108910891089</v>
      </c>
      <c r="X580" s="36" t="n">
        <v>1.164073550212164</v>
      </c>
      <c r="Y580" s="31" t="n">
        <v>33416778</v>
      </c>
      <c r="Z580" s="31" t="n">
        <v>511276703400</v>
      </c>
      <c r="AA580" s="31" t="n">
        <v>18450683100</v>
      </c>
      <c r="AB580" s="31" t="n">
        <v>14849318721.5</v>
      </c>
      <c r="AC580" s="36" t="n">
        <v>0.03608747079087038</v>
      </c>
      <c r="AD580" s="29" t="inlineStr">
        <is>
          <t>yfinance_download</t>
        </is>
      </c>
      <c r="AE580" s="29" t="inlineStr">
        <is>
          <t>059090.KQ</t>
        </is>
      </c>
    </row>
    <row r="581" ht="24" customHeight="1">
      <c r="A581" s="24" t="inlineStr">
        <is>
          <t>2025-10-28</t>
        </is>
      </c>
      <c r="B581" s="30" t="n">
        <v>15380</v>
      </c>
      <c r="C581" s="30" t="n">
        <v>15900</v>
      </c>
      <c r="D581" s="30" t="n">
        <v>15010</v>
      </c>
      <c r="E581" s="30" t="n">
        <v>15630</v>
      </c>
      <c r="F581" s="30" t="n">
        <v>15630</v>
      </c>
      <c r="G581" s="30" t="n">
        <v>1192472</v>
      </c>
      <c r="H581" s="35" t="n">
        <v>0.02156862745098032</v>
      </c>
      <c r="I581" s="35" t="n">
        <v>-0.1760674749604639</v>
      </c>
      <c r="J581" s="30" t="n">
        <v>15463</v>
      </c>
      <c r="K581" s="30" t="n">
        <v>15340.83333333333</v>
      </c>
      <c r="L581" s="30" t="n">
        <v>14298</v>
      </c>
      <c r="M581" s="35" t="n">
        <v>0.7491438365480054</v>
      </c>
      <c r="N581" s="35" t="n">
        <v>0.701823447684892</v>
      </c>
      <c r="O581" s="35" t="n">
        <v>0.005144694533762095</v>
      </c>
      <c r="P581" s="35" t="n">
        <v>0.0976123595505618</v>
      </c>
      <c r="Q581" s="35" t="n">
        <v>0.5567729083665338</v>
      </c>
      <c r="R581" s="35" t="n">
        <v>0.01079997413179856</v>
      </c>
      <c r="S581" s="35" t="n">
        <v>0.0188494757998805</v>
      </c>
      <c r="T581" s="35" t="n">
        <v>0.09315988250104912</v>
      </c>
      <c r="U581" s="30" t="n">
        <v>17170</v>
      </c>
      <c r="V581" s="30" t="n">
        <v>7070</v>
      </c>
      <c r="W581" s="35" t="n">
        <v>-0.08969132207338382</v>
      </c>
      <c r="X581" s="35" t="n">
        <v>1.210749646393211</v>
      </c>
      <c r="Y581" s="30" t="n">
        <v>33416778</v>
      </c>
      <c r="Z581" s="30" t="n">
        <v>522304240140</v>
      </c>
      <c r="AA581" s="30" t="n">
        <v>18638337360</v>
      </c>
      <c r="AB581" s="30" t="n">
        <v>15164354649.5</v>
      </c>
      <c r="AC581" s="35" t="n">
        <v>0.03568482874081996</v>
      </c>
      <c r="AD581" s="24" t="inlineStr">
        <is>
          <t>yfinance_download</t>
        </is>
      </c>
      <c r="AE581" s="24" t="inlineStr">
        <is>
          <t>059090.KQ</t>
        </is>
      </c>
    </row>
    <row r="582" ht="24" customHeight="1">
      <c r="A582" s="29" t="inlineStr">
        <is>
          <t>2025-10-29</t>
        </is>
      </c>
      <c r="B582" s="31" t="n">
        <v>16070</v>
      </c>
      <c r="C582" s="31" t="n">
        <v>16180</v>
      </c>
      <c r="D582" s="31" t="n">
        <v>15040</v>
      </c>
      <c r="E582" s="31" t="n">
        <v>15310</v>
      </c>
      <c r="F582" s="31" t="n">
        <v>15310</v>
      </c>
      <c r="G582" s="31" t="n">
        <v>1456063</v>
      </c>
      <c r="H582" s="36" t="n">
        <v>-0.02047344849648114</v>
      </c>
      <c r="I582" s="36" t="n">
        <v>-0.1929362150764364</v>
      </c>
      <c r="J582" s="31" t="n">
        <v>15459.5</v>
      </c>
      <c r="K582" s="31" t="n">
        <v>15361</v>
      </c>
      <c r="L582" s="31" t="n">
        <v>14339.08333333333</v>
      </c>
      <c r="M582" s="36" t="n">
        <v>0.7519662530139573</v>
      </c>
      <c r="N582" s="36" t="n">
        <v>0.7029573173674522</v>
      </c>
      <c r="O582" s="36" t="n">
        <v>-0.004551365409622865</v>
      </c>
      <c r="P582" s="36" t="n">
        <v>0.0858156028368795</v>
      </c>
      <c r="Q582" s="36" t="n">
        <v>0.4749518304431599</v>
      </c>
      <c r="R582" s="36" t="n">
        <v>-0.009670429185937413</v>
      </c>
      <c r="S582" s="36" t="n">
        <v>-0.003320096347893986</v>
      </c>
      <c r="T582" s="36" t="n">
        <v>0.06771120887550919</v>
      </c>
      <c r="U582" s="31" t="n">
        <v>17170</v>
      </c>
      <c r="V582" s="31" t="n">
        <v>7070</v>
      </c>
      <c r="W582" s="36" t="n">
        <v>-0.1083284799068142</v>
      </c>
      <c r="X582" s="36" t="n">
        <v>1.165487977369165</v>
      </c>
      <c r="Y582" s="31" t="n">
        <v>33416778</v>
      </c>
      <c r="Z582" s="31" t="n">
        <v>511610871180</v>
      </c>
      <c r="AA582" s="31" t="n">
        <v>22292324530</v>
      </c>
      <c r="AB582" s="31" t="n">
        <v>15766471595</v>
      </c>
      <c r="AC582" s="36" t="n">
        <v>0.04357281243571717</v>
      </c>
      <c r="AD582" s="29" t="inlineStr">
        <is>
          <t>yfinance_download</t>
        </is>
      </c>
      <c r="AE582" s="29" t="inlineStr">
        <is>
          <t>059090.KQ</t>
        </is>
      </c>
    </row>
    <row r="583" ht="24" customHeight="1">
      <c r="A583" s="24" t="inlineStr">
        <is>
          <t>2025-10-30</t>
        </is>
      </c>
      <c r="B583" s="30" t="n">
        <v>15310</v>
      </c>
      <c r="C583" s="30" t="n">
        <v>15350</v>
      </c>
      <c r="D583" s="30" t="n">
        <v>14480</v>
      </c>
      <c r="E583" s="30" t="n">
        <v>14510</v>
      </c>
      <c r="F583" s="30" t="n">
        <v>14510</v>
      </c>
      <c r="G583" s="30" t="n">
        <v>1145680</v>
      </c>
      <c r="H583" s="35" t="n">
        <v>-0.05225342913128672</v>
      </c>
      <c r="I583" s="35" t="n">
        <v>-0.235108065366368</v>
      </c>
      <c r="J583" s="30" t="n">
        <v>15441.5</v>
      </c>
      <c r="K583" s="30" t="n">
        <v>15365.5</v>
      </c>
      <c r="L583" s="30" t="n">
        <v>14373.5</v>
      </c>
      <c r="M583" s="35" t="n">
        <v>0.7663198772304238</v>
      </c>
      <c r="N583" s="35" t="n">
        <v>0.7115659273740628</v>
      </c>
      <c r="O583" s="35" t="n">
        <v>-0.02420981842636183</v>
      </c>
      <c r="P583" s="35" t="n">
        <v>0.0189606741573034</v>
      </c>
      <c r="Q583" s="35" t="n">
        <v>0.3978805394990366</v>
      </c>
      <c r="R583" s="35" t="n">
        <v>-0.0603244503448499</v>
      </c>
      <c r="S583" s="35" t="n">
        <v>-0.05567667827275391</v>
      </c>
      <c r="T583" s="35" t="n">
        <v>0.009496643127978599</v>
      </c>
      <c r="U583" s="30" t="n">
        <v>17170</v>
      </c>
      <c r="V583" s="30" t="n">
        <v>7070</v>
      </c>
      <c r="W583" s="35" t="n">
        <v>-0.1549213744903902</v>
      </c>
      <c r="X583" s="35" t="n">
        <v>1.052333804809052</v>
      </c>
      <c r="Y583" s="30" t="n">
        <v>33416778</v>
      </c>
      <c r="Z583" s="30" t="n">
        <v>484877448780</v>
      </c>
      <c r="AA583" s="30" t="n">
        <v>16623816800</v>
      </c>
      <c r="AB583" s="30" t="n">
        <v>16174668184.5</v>
      </c>
      <c r="AC583" s="35" t="n">
        <v>0.03428457405438669</v>
      </c>
      <c r="AD583" s="24" t="inlineStr">
        <is>
          <t>yfinance_download</t>
        </is>
      </c>
      <c r="AE583" s="24" t="inlineStr">
        <is>
          <t>059090.KQ</t>
        </is>
      </c>
    </row>
    <row r="584" ht="24" customHeight="1">
      <c r="A584" s="29" t="inlineStr">
        <is>
          <t>2025-10-31</t>
        </is>
      </c>
      <c r="B584" s="31" t="n">
        <v>14510</v>
      </c>
      <c r="C584" s="31" t="n">
        <v>14720</v>
      </c>
      <c r="D584" s="31" t="n">
        <v>14420</v>
      </c>
      <c r="E584" s="31" t="n">
        <v>14510</v>
      </c>
      <c r="F584" s="31" t="n">
        <v>14510</v>
      </c>
      <c r="G584" s="31" t="n">
        <v>481308</v>
      </c>
      <c r="H584" s="36" t="n">
        <v>0</v>
      </c>
      <c r="I584" s="36" t="n">
        <v>-0.235108065366368</v>
      </c>
      <c r="J584" s="31" t="n">
        <v>15453.5</v>
      </c>
      <c r="K584" s="31" t="n">
        <v>15365.5</v>
      </c>
      <c r="L584" s="31" t="n">
        <v>14410.25</v>
      </c>
      <c r="M584" s="36" t="n">
        <v>0.7514915398656568</v>
      </c>
      <c r="N584" s="36" t="n">
        <v>0.7106099047141446</v>
      </c>
      <c r="O584" s="36" t="n">
        <v>0.01681850035038535</v>
      </c>
      <c r="P584" s="36" t="n">
        <v>0</v>
      </c>
      <c r="Q584" s="36" t="n">
        <v>0.4366336633663366</v>
      </c>
      <c r="R584" s="36" t="n">
        <v>-0.06105413013233252</v>
      </c>
      <c r="S584" s="36" t="n">
        <v>-0.05567667827275391</v>
      </c>
      <c r="T584" s="36" t="n">
        <v>0.006922156104161914</v>
      </c>
      <c r="U584" s="31" t="n">
        <v>17170</v>
      </c>
      <c r="V584" s="31" t="n">
        <v>7070</v>
      </c>
      <c r="W584" s="36" t="n">
        <v>-0.1549213744903902</v>
      </c>
      <c r="X584" s="36" t="n">
        <v>1.052333804809052</v>
      </c>
      <c r="Y584" s="31" t="n">
        <v>33416778</v>
      </c>
      <c r="Z584" s="31" t="n">
        <v>484877448780</v>
      </c>
      <c r="AA584" s="31" t="n">
        <v>6983779080</v>
      </c>
      <c r="AB584" s="31" t="n">
        <v>16160669941.5</v>
      </c>
      <c r="AC584" s="36" t="n">
        <v>0.01440318393353183</v>
      </c>
      <c r="AD584" s="29" t="inlineStr">
        <is>
          <t>yfinance_download</t>
        </is>
      </c>
      <c r="AE584" s="29" t="inlineStr">
        <is>
          <t>059090.KQ</t>
        </is>
      </c>
    </row>
    <row r="585" ht="24" customHeight="1">
      <c r="A585" s="24" t="inlineStr">
        <is>
          <t>2025-11-03</t>
        </is>
      </c>
      <c r="B585" s="30" t="n">
        <v>14550</v>
      </c>
      <c r="C585" s="30" t="n">
        <v>15150</v>
      </c>
      <c r="D585" s="30" t="n">
        <v>14520</v>
      </c>
      <c r="E585" s="30" t="n">
        <v>14890</v>
      </c>
      <c r="F585" s="30" t="n">
        <v>14890</v>
      </c>
      <c r="G585" s="30" t="n">
        <v>611829</v>
      </c>
      <c r="H585" s="35" t="n">
        <v>0.02618883528600957</v>
      </c>
      <c r="I585" s="35" t="n">
        <v>-0.2150764364786505</v>
      </c>
      <c r="J585" s="30" t="n">
        <v>15479</v>
      </c>
      <c r="K585" s="30" t="n">
        <v>15375</v>
      </c>
      <c r="L585" s="30" t="n">
        <v>14442.16666666667</v>
      </c>
      <c r="M585" s="35" t="n">
        <v>0.7562466107526807</v>
      </c>
      <c r="N585" s="35" t="n">
        <v>0.711858310159749</v>
      </c>
      <c r="O585" s="35" t="n">
        <v>0.03546592489568856</v>
      </c>
      <c r="P585" s="35" t="n">
        <v>0.03980446927374293</v>
      </c>
      <c r="Q585" s="35" t="n">
        <v>0.3462929475587704</v>
      </c>
      <c r="R585" s="35" t="n">
        <v>-0.03805155371794045</v>
      </c>
      <c r="S585" s="35" t="n">
        <v>-0.03154471544715443</v>
      </c>
      <c r="T585" s="35" t="n">
        <v>0.03100873599298359</v>
      </c>
      <c r="U585" s="30" t="n">
        <v>17170</v>
      </c>
      <c r="V585" s="30" t="n">
        <v>7070</v>
      </c>
      <c r="W585" s="35" t="n">
        <v>-0.1327897495631916</v>
      </c>
      <c r="X585" s="35" t="n">
        <v>1.106082036775106</v>
      </c>
      <c r="Y585" s="30" t="n">
        <v>33416778</v>
      </c>
      <c r="Z585" s="30" t="n">
        <v>497575824420</v>
      </c>
      <c r="AA585" s="30" t="n">
        <v>9110133810</v>
      </c>
      <c r="AB585" s="30" t="n">
        <v>16346896752</v>
      </c>
      <c r="AC585" s="35" t="n">
        <v>0.01830903625717596</v>
      </c>
      <c r="AD585" s="24" t="inlineStr">
        <is>
          <t>yfinance_download</t>
        </is>
      </c>
      <c r="AE585" s="24" t="inlineStr">
        <is>
          <t>059090.KQ</t>
        </is>
      </c>
    </row>
    <row r="586" ht="24" customHeight="1">
      <c r="A586" s="29" t="inlineStr">
        <is>
          <t>2025-11-04</t>
        </is>
      </c>
      <c r="B586" s="31" t="n">
        <v>15090</v>
      </c>
      <c r="C586" s="31" t="n">
        <v>15670</v>
      </c>
      <c r="D586" s="31" t="n">
        <v>14700</v>
      </c>
      <c r="E586" s="31" t="n">
        <v>14800</v>
      </c>
      <c r="F586" s="31" t="n">
        <v>14800</v>
      </c>
      <c r="G586" s="31" t="n">
        <v>921578</v>
      </c>
      <c r="H586" s="36" t="n">
        <v>-0.006044325050369337</v>
      </c>
      <c r="I586" s="36" t="n">
        <v>-0.2198207696362678</v>
      </c>
      <c r="J586" s="31" t="n">
        <v>15499</v>
      </c>
      <c r="K586" s="31" t="n">
        <v>15380.83333333333</v>
      </c>
      <c r="L586" s="31" t="n">
        <v>14472.33333333333</v>
      </c>
      <c r="M586" s="36" t="n">
        <v>0.7568887530690455</v>
      </c>
      <c r="N586" s="36" t="n">
        <v>0.7118528384712082</v>
      </c>
      <c r="O586" s="36" t="n">
        <v>0.02777777777777768</v>
      </c>
      <c r="P586" s="36" t="n">
        <v>0.02422145328719716</v>
      </c>
      <c r="Q586" s="36" t="n">
        <v>0.3237924865831843</v>
      </c>
      <c r="R586" s="36" t="n">
        <v>-0.04509968385057106</v>
      </c>
      <c r="S586" s="36" t="n">
        <v>-0.03776345018150296</v>
      </c>
      <c r="T586" s="36" t="n">
        <v>0.02264090102955052</v>
      </c>
      <c r="U586" s="31" t="n">
        <v>17170</v>
      </c>
      <c r="V586" s="31" t="n">
        <v>7070</v>
      </c>
      <c r="W586" s="36" t="n">
        <v>-0.1380314502038439</v>
      </c>
      <c r="X586" s="36" t="n">
        <v>1.093352192362093</v>
      </c>
      <c r="Y586" s="31" t="n">
        <v>33416778</v>
      </c>
      <c r="Z586" s="31" t="n">
        <v>494568314400</v>
      </c>
      <c r="AA586" s="31" t="n">
        <v>13639354400</v>
      </c>
      <c r="AB586" s="31" t="n">
        <v>16786516072</v>
      </c>
      <c r="AC586" s="36" t="n">
        <v>0.02757830213313803</v>
      </c>
      <c r="AD586" s="29" t="inlineStr">
        <is>
          <t>yfinance_download</t>
        </is>
      </c>
      <c r="AE586" s="29" t="inlineStr">
        <is>
          <t>059090.KQ</t>
        </is>
      </c>
    </row>
    <row r="587" ht="24" customHeight="1">
      <c r="A587" s="24" t="inlineStr">
        <is>
          <t>2025-11-05</t>
        </is>
      </c>
      <c r="B587" s="30" t="n">
        <v>14500</v>
      </c>
      <c r="C587" s="30" t="n">
        <v>14500</v>
      </c>
      <c r="D587" s="30" t="n">
        <v>13600</v>
      </c>
      <c r="E587" s="30" t="n">
        <v>14110</v>
      </c>
      <c r="F587" s="30" t="n">
        <v>14110</v>
      </c>
      <c r="G587" s="30" t="n">
        <v>739540</v>
      </c>
      <c r="H587" s="35" t="n">
        <v>-0.04662162162162165</v>
      </c>
      <c r="I587" s="35" t="n">
        <v>-0.2561939905113337</v>
      </c>
      <c r="J587" s="30" t="n">
        <v>15452</v>
      </c>
      <c r="K587" s="30" t="n">
        <v>15362.5</v>
      </c>
      <c r="L587" s="30" t="n">
        <v>14498.66666666667</v>
      </c>
      <c r="M587" s="35" t="n">
        <v>0.758272361737398</v>
      </c>
      <c r="N587" s="35" t="n">
        <v>0.7103731723374045</v>
      </c>
      <c r="O587" s="35" t="n">
        <v>-0.06245847176079733</v>
      </c>
      <c r="P587" s="35" t="n">
        <v>-0.07232084155161078</v>
      </c>
      <c r="Q587" s="35" t="n">
        <v>0.2885844748858448</v>
      </c>
      <c r="R587" s="35" t="n">
        <v>-0.08684959875744236</v>
      </c>
      <c r="S587" s="35" t="n">
        <v>-0.0815296989422295</v>
      </c>
      <c r="T587" s="35" t="n">
        <v>-0.02680706271841082</v>
      </c>
      <c r="U587" s="30" t="n">
        <v>17170</v>
      </c>
      <c r="V587" s="30" t="n">
        <v>7070</v>
      </c>
      <c r="W587" s="35" t="n">
        <v>-0.1782178217821783</v>
      </c>
      <c r="X587" s="35" t="n">
        <v>0.9957567185289957</v>
      </c>
      <c r="Y587" s="30" t="n">
        <v>33416778</v>
      </c>
      <c r="Z587" s="30" t="n">
        <v>471510737580</v>
      </c>
      <c r="AA587" s="30" t="n">
        <v>10434909400</v>
      </c>
      <c r="AB587" s="30" t="n">
        <v>16809326199.5</v>
      </c>
      <c r="AC587" s="35" t="n">
        <v>0.02213079908541751</v>
      </c>
      <c r="AD587" s="24" t="inlineStr">
        <is>
          <t>yfinance_download</t>
        </is>
      </c>
      <c r="AE587" s="24" t="inlineStr">
        <is>
          <t>059090.KQ</t>
        </is>
      </c>
    </row>
    <row r="588" ht="24" customHeight="1">
      <c r="A588" s="29" t="inlineStr">
        <is>
          <t>2025-11-06</t>
        </is>
      </c>
      <c r="B588" s="31" t="n">
        <v>14300</v>
      </c>
      <c r="C588" s="31" t="n">
        <v>15120</v>
      </c>
      <c r="D588" s="31" t="n">
        <v>14210</v>
      </c>
      <c r="E588" s="31" t="n">
        <v>14800</v>
      </c>
      <c r="F588" s="31" t="n">
        <v>14800</v>
      </c>
      <c r="G588" s="31" t="n">
        <v>648434</v>
      </c>
      <c r="H588" s="36" t="n">
        <v>0.04890148830616581</v>
      </c>
      <c r="I588" s="36" t="n">
        <v>-0.2198207696362678</v>
      </c>
      <c r="J588" s="31" t="n">
        <v>15387.5</v>
      </c>
      <c r="K588" s="31" t="n">
        <v>15360.66666666667</v>
      </c>
      <c r="L588" s="31" t="n">
        <v>14526.25</v>
      </c>
      <c r="M588" s="36" t="n">
        <v>0.7361546597871178</v>
      </c>
      <c r="N588" s="36" t="n">
        <v>0.7162656240337819</v>
      </c>
      <c r="O588" s="36" t="n">
        <v>-0.08017402113113736</v>
      </c>
      <c r="P588" s="36" t="n">
        <v>-0.007377598926894713</v>
      </c>
      <c r="Q588" s="36" t="n">
        <v>0.288076588337685</v>
      </c>
      <c r="R588" s="36" t="n">
        <v>-0.03818034118602764</v>
      </c>
      <c r="S588" s="36" t="n">
        <v>-0.03650015190312916</v>
      </c>
      <c r="T588" s="36" t="n">
        <v>0.01884519404526297</v>
      </c>
      <c r="U588" s="31" t="n">
        <v>17170</v>
      </c>
      <c r="V588" s="31" t="n">
        <v>7070</v>
      </c>
      <c r="W588" s="36" t="n">
        <v>-0.1380314502038439</v>
      </c>
      <c r="X588" s="36" t="n">
        <v>1.093352192362093</v>
      </c>
      <c r="Y588" s="31" t="n">
        <v>33416778</v>
      </c>
      <c r="Z588" s="31" t="n">
        <v>494568314400</v>
      </c>
      <c r="AA588" s="31" t="n">
        <v>9596823200</v>
      </c>
      <c r="AB588" s="31" t="n">
        <v>15945205862</v>
      </c>
      <c r="AC588" s="36" t="n">
        <v>0.01940444407895938</v>
      </c>
      <c r="AD588" s="29" t="inlineStr">
        <is>
          <t>yfinance_download</t>
        </is>
      </c>
      <c r="AE588" s="29" t="inlineStr">
        <is>
          <t>059090.KQ</t>
        </is>
      </c>
    </row>
    <row r="589" ht="24" customHeight="1">
      <c r="A589" s="24" t="inlineStr">
        <is>
          <t>2025-11-07</t>
        </is>
      </c>
      <c r="B589" s="30" t="n">
        <v>14550</v>
      </c>
      <c r="C589" s="30" t="n">
        <v>15420</v>
      </c>
      <c r="D589" s="30" t="n">
        <v>13990</v>
      </c>
      <c r="E589" s="30" t="n">
        <v>14150</v>
      </c>
      <c r="F589" s="30" t="n">
        <v>14150</v>
      </c>
      <c r="G589" s="30" t="n">
        <v>555224</v>
      </c>
      <c r="H589" s="35" t="n">
        <v>-0.04391891891891897</v>
      </c>
      <c r="I589" s="35" t="n">
        <v>-0.2540853979968372</v>
      </c>
      <c r="J589" s="30" t="n">
        <v>15281.5</v>
      </c>
      <c r="K589" s="30" t="n">
        <v>15337.33333333333</v>
      </c>
      <c r="L589" s="30" t="n">
        <v>14550.08333333333</v>
      </c>
      <c r="M589" s="35" t="n">
        <v>0.747782331886753</v>
      </c>
      <c r="N589" s="35" t="n">
        <v>0.7165733840553864</v>
      </c>
      <c r="O589" s="35" t="n">
        <v>-0.130301167793485</v>
      </c>
      <c r="P589" s="35" t="n">
        <v>-0.090032154340836</v>
      </c>
      <c r="Q589" s="35" t="n">
        <v>0.2533215234720991</v>
      </c>
      <c r="R589" s="35" t="n">
        <v>-0.07404377842489285</v>
      </c>
      <c r="S589" s="35" t="n">
        <v>-0.07741458749891339</v>
      </c>
      <c r="T589" s="35" t="n">
        <v>-0.0274969788260091</v>
      </c>
      <c r="U589" s="30" t="n">
        <v>17170</v>
      </c>
      <c r="V589" s="30" t="n">
        <v>7070</v>
      </c>
      <c r="W589" s="35" t="n">
        <v>-0.1758881770529994</v>
      </c>
      <c r="X589" s="35" t="n">
        <v>1.001414427157001</v>
      </c>
      <c r="Y589" s="30" t="n">
        <v>33416778</v>
      </c>
      <c r="Z589" s="30" t="n">
        <v>472847408700</v>
      </c>
      <c r="AA589" s="30" t="n">
        <v>7856419600</v>
      </c>
      <c r="AB589" s="30" t="n">
        <v>15685450971.5</v>
      </c>
      <c r="AC589" s="35" t="n">
        <v>0.01661512668875497</v>
      </c>
      <c r="AD589" s="24" t="inlineStr">
        <is>
          <t>yfinance_download</t>
        </is>
      </c>
      <c r="AE589" s="24" t="inlineStr">
        <is>
          <t>059090.KQ</t>
        </is>
      </c>
    </row>
    <row r="590" ht="24" customHeight="1">
      <c r="A590" s="29" t="inlineStr">
        <is>
          <t>2025-11-10</t>
        </is>
      </c>
      <c r="B590" s="31" t="n">
        <v>14260</v>
      </c>
      <c r="C590" s="31" t="n">
        <v>14450</v>
      </c>
      <c r="D590" s="31" t="n">
        <v>13950</v>
      </c>
      <c r="E590" s="31" t="n">
        <v>14360</v>
      </c>
      <c r="F590" s="31" t="n">
        <v>14360</v>
      </c>
      <c r="G590" s="31" t="n">
        <v>278345</v>
      </c>
      <c r="H590" s="36" t="n">
        <v>0.01484098939929335</v>
      </c>
      <c r="I590" s="36" t="n">
        <v>-0.2430152872957301</v>
      </c>
      <c r="J590" s="31" t="n">
        <v>15206</v>
      </c>
      <c r="K590" s="31" t="n">
        <v>15316.66666666667</v>
      </c>
      <c r="L590" s="31" t="n">
        <v>14575.58333333333</v>
      </c>
      <c r="M590" s="36" t="n">
        <v>0.7478395052502941</v>
      </c>
      <c r="N590" s="36" t="n">
        <v>0.7172353962571973</v>
      </c>
      <c r="O590" s="36" t="n">
        <v>-0.0951480781348456</v>
      </c>
      <c r="P590" s="36" t="n">
        <v>-0.07948717948717954</v>
      </c>
      <c r="Q590" s="36" t="n">
        <v>0.2707964601769912</v>
      </c>
      <c r="R590" s="36" t="n">
        <v>-0.0556359331842694</v>
      </c>
      <c r="S590" s="36" t="n">
        <v>-0.0624591947769314</v>
      </c>
      <c r="T590" s="36" t="n">
        <v>-0.01479071735265025</v>
      </c>
      <c r="U590" s="31" t="n">
        <v>17170</v>
      </c>
      <c r="V590" s="31" t="n">
        <v>7070</v>
      </c>
      <c r="W590" s="36" t="n">
        <v>-0.1636575422248108</v>
      </c>
      <c r="X590" s="36" t="n">
        <v>1.031117397454031</v>
      </c>
      <c r="Y590" s="31" t="n">
        <v>33416778</v>
      </c>
      <c r="Z590" s="31" t="n">
        <v>479864932080</v>
      </c>
      <c r="AA590" s="31" t="n">
        <v>3997034200</v>
      </c>
      <c r="AB590" s="31" t="n">
        <v>15506237416</v>
      </c>
      <c r="AC590" s="36" t="n">
        <v>0.008329498433391752</v>
      </c>
      <c r="AD590" s="29" t="inlineStr">
        <is>
          <t>yfinance_download</t>
        </is>
      </c>
      <c r="AE590" s="29" t="inlineStr">
        <is>
          <t>059090.KQ</t>
        </is>
      </c>
    </row>
    <row r="591" ht="24" customHeight="1">
      <c r="A591" s="24" t="inlineStr">
        <is>
          <t>2025-11-11</t>
        </is>
      </c>
      <c r="B591" s="30" t="n">
        <v>14560</v>
      </c>
      <c r="C591" s="30" t="n">
        <v>15860</v>
      </c>
      <c r="D591" s="30" t="n">
        <v>14550</v>
      </c>
      <c r="E591" s="30" t="n">
        <v>15550</v>
      </c>
      <c r="F591" s="30" t="n">
        <v>15550</v>
      </c>
      <c r="G591" s="30" t="n">
        <v>1957667</v>
      </c>
      <c r="H591" s="35" t="n">
        <v>0.08286908077994437</v>
      </c>
      <c r="I591" s="35" t="n">
        <v>-0.1802846599894571</v>
      </c>
      <c r="J591" s="30" t="n">
        <v>15212.5</v>
      </c>
      <c r="K591" s="30" t="n">
        <v>15314.5</v>
      </c>
      <c r="L591" s="30" t="n">
        <v>14611.5</v>
      </c>
      <c r="M591" s="35" t="n">
        <v>0.8019885416271219</v>
      </c>
      <c r="N591" s="35" t="n">
        <v>0.7372265434615561</v>
      </c>
      <c r="O591" s="35" t="n">
        <v>0.008430609597924743</v>
      </c>
      <c r="P591" s="35" t="n">
        <v>-0.008290816326530615</v>
      </c>
      <c r="Q591" s="35" t="n">
        <v>0.3834519572953736</v>
      </c>
      <c r="R591" s="35" t="n">
        <v>0.02218570254724739</v>
      </c>
      <c r="S591" s="35" t="n">
        <v>0.0153775833360541</v>
      </c>
      <c r="T591" s="35" t="n">
        <v>0.06423022961366054</v>
      </c>
      <c r="U591" s="30" t="n">
        <v>17170</v>
      </c>
      <c r="V591" s="30" t="n">
        <v>7070</v>
      </c>
      <c r="W591" s="35" t="n">
        <v>-0.0943506115317414</v>
      </c>
      <c r="X591" s="35" t="n">
        <v>1.1994342291372</v>
      </c>
      <c r="Y591" s="30" t="n">
        <v>33416778</v>
      </c>
      <c r="Z591" s="30" t="n">
        <v>519630897900</v>
      </c>
      <c r="AA591" s="30" t="n">
        <v>30441721850</v>
      </c>
      <c r="AB591" s="30" t="n">
        <v>16253758404.5</v>
      </c>
      <c r="AC591" s="35" t="n">
        <v>0.05858335594173681</v>
      </c>
      <c r="AD591" s="24" t="inlineStr">
        <is>
          <t>yfinance_download</t>
        </is>
      </c>
      <c r="AE591" s="24" t="inlineStr">
        <is>
          <t>059090.KQ</t>
        </is>
      </c>
    </row>
    <row r="592" ht="24" customHeight="1">
      <c r="A592" s="29" t="inlineStr">
        <is>
          <t>2025-11-12</t>
        </is>
      </c>
      <c r="B592" s="31" t="n">
        <v>15560</v>
      </c>
      <c r="C592" s="31" t="n">
        <v>15570</v>
      </c>
      <c r="D592" s="31" t="n">
        <v>14840</v>
      </c>
      <c r="E592" s="31" t="n">
        <v>15120</v>
      </c>
      <c r="F592" s="31" t="n">
        <v>15120</v>
      </c>
      <c r="G592" s="31" t="n">
        <v>787421</v>
      </c>
      <c r="H592" s="36" t="n">
        <v>-0.0276527331189711</v>
      </c>
      <c r="I592" s="36" t="n">
        <v>-0.2029520295202952</v>
      </c>
      <c r="J592" s="31" t="n">
        <v>15172.5</v>
      </c>
      <c r="K592" s="31" t="n">
        <v>15315.16666666667</v>
      </c>
      <c r="L592" s="31" t="n">
        <v>14630.5</v>
      </c>
      <c r="M592" s="36" t="n">
        <v>0.7997048122144912</v>
      </c>
      <c r="N592" s="36" t="n">
        <v>0.7351386179803848</v>
      </c>
      <c r="O592" s="36" t="n">
        <v>-0.05025125628140703</v>
      </c>
      <c r="P592" s="36" t="n">
        <v>0.002652519893899141</v>
      </c>
      <c r="Q592" s="36" t="n">
        <v>0.1775700934579438</v>
      </c>
      <c r="R592" s="36" t="n">
        <v>-0.0034602076124568</v>
      </c>
      <c r="S592" s="36" t="n">
        <v>-0.01274335897966061</v>
      </c>
      <c r="T592" s="36" t="n">
        <v>0.03345750316120433</v>
      </c>
      <c r="U592" s="31" t="n">
        <v>17170</v>
      </c>
      <c r="V592" s="31" t="n">
        <v>7070</v>
      </c>
      <c r="W592" s="36" t="n">
        <v>-0.1193942923704135</v>
      </c>
      <c r="X592" s="36" t="n">
        <v>1.138613861386139</v>
      </c>
      <c r="Y592" s="31" t="n">
        <v>33416778</v>
      </c>
      <c r="Z592" s="31" t="n">
        <v>505261683360</v>
      </c>
      <c r="AA592" s="31" t="n">
        <v>11905805520</v>
      </c>
      <c r="AB592" s="31" t="n">
        <v>16563803672.5</v>
      </c>
      <c r="AC592" s="36" t="n">
        <v>0.02356364219195519</v>
      </c>
      <c r="AD592" s="29" t="inlineStr">
        <is>
          <t>yfinance_download</t>
        </is>
      </c>
      <c r="AE592" s="29" t="inlineStr">
        <is>
          <t>059090.KQ</t>
        </is>
      </c>
    </row>
    <row r="593" ht="24" customHeight="1">
      <c r="A593" s="24" t="inlineStr">
        <is>
          <t>2025-11-13</t>
        </is>
      </c>
      <c r="B593" s="30" t="n">
        <v>15100</v>
      </c>
      <c r="C593" s="30" t="n">
        <v>15180</v>
      </c>
      <c r="D593" s="30" t="n">
        <v>14730</v>
      </c>
      <c r="E593" s="30" t="n">
        <v>14950</v>
      </c>
      <c r="F593" s="30" t="n">
        <v>14950</v>
      </c>
      <c r="G593" s="30" t="n">
        <v>367150</v>
      </c>
      <c r="H593" s="35" t="n">
        <v>-0.01124338624338628</v>
      </c>
      <c r="I593" s="35" t="n">
        <v>-0.2119135477069056</v>
      </c>
      <c r="J593" s="30" t="n">
        <v>15149</v>
      </c>
      <c r="K593" s="30" t="n">
        <v>15312.66666666667</v>
      </c>
      <c r="L593" s="30" t="n">
        <v>14650.33333333333</v>
      </c>
      <c r="M593" s="35" t="n">
        <v>0.7928471672540109</v>
      </c>
      <c r="N593" s="35" t="n">
        <v>0.7355688960986158</v>
      </c>
      <c r="O593" s="35" t="n">
        <v>-0.03047989623865111</v>
      </c>
      <c r="P593" s="35" t="n">
        <v>-0.009933774834437137</v>
      </c>
      <c r="Q593" s="35" t="n">
        <v>0.1893396976929196</v>
      </c>
      <c r="R593" s="35" t="n">
        <v>-0.01313618060598054</v>
      </c>
      <c r="S593" s="35" t="n">
        <v>-0.02368409595541809</v>
      </c>
      <c r="T593" s="35" t="n">
        <v>0.02045459716502473</v>
      </c>
      <c r="U593" s="30" t="n">
        <v>17170</v>
      </c>
      <c r="V593" s="30" t="n">
        <v>7070</v>
      </c>
      <c r="W593" s="35" t="n">
        <v>-0.1292952824694235</v>
      </c>
      <c r="X593" s="35" t="n">
        <v>1.114568599717114</v>
      </c>
      <c r="Y593" s="30" t="n">
        <v>33416778</v>
      </c>
      <c r="Z593" s="30" t="n">
        <v>499580831100</v>
      </c>
      <c r="AA593" s="30" t="n">
        <v>5488892500</v>
      </c>
      <c r="AB593" s="30" t="n">
        <v>16383908020.5</v>
      </c>
      <c r="AC593" s="35" t="n">
        <v>0.01098699581389923</v>
      </c>
      <c r="AD593" s="24" t="inlineStr">
        <is>
          <t>yfinance_download</t>
        </is>
      </c>
      <c r="AE593" s="24" t="inlineStr">
        <is>
          <t>059090.KQ</t>
        </is>
      </c>
    </row>
    <row r="594" ht="24" customHeight="1">
      <c r="A594" s="29" t="inlineStr">
        <is>
          <t>2025-11-14</t>
        </is>
      </c>
      <c r="B594" s="31" t="n">
        <v>14540</v>
      </c>
      <c r="C594" s="31" t="n">
        <v>14950</v>
      </c>
      <c r="D594" s="31" t="n">
        <v>14210</v>
      </c>
      <c r="E594" s="31" t="n">
        <v>14310</v>
      </c>
      <c r="F594" s="31" t="n">
        <v>14310</v>
      </c>
      <c r="G594" s="31" t="n">
        <v>504628</v>
      </c>
      <c r="H594" s="36" t="n">
        <v>-0.04280936454849493</v>
      </c>
      <c r="I594" s="36" t="n">
        <v>-0.2456510279388509</v>
      </c>
      <c r="J594" s="31" t="n">
        <v>15114.5</v>
      </c>
      <c r="K594" s="31" t="n">
        <v>15298.33333333333</v>
      </c>
      <c r="L594" s="31" t="n">
        <v>14662.58333333333</v>
      </c>
      <c r="M594" s="36" t="n">
        <v>0.8017147374557591</v>
      </c>
      <c r="N594" s="36" t="n">
        <v>0.7409275251397547</v>
      </c>
      <c r="O594" s="36" t="n">
        <v>-0.04600000000000004</v>
      </c>
      <c r="P594" s="36" t="n">
        <v>-0.0566908371786421</v>
      </c>
      <c r="Q594" s="36" t="n">
        <v>0.1144859813084111</v>
      </c>
      <c r="R594" s="36" t="n">
        <v>-0.05322703364319037</v>
      </c>
      <c r="S594" s="36" t="n">
        <v>-0.06460398736245787</v>
      </c>
      <c r="T594" s="36" t="n">
        <v>-0.02404646748242412</v>
      </c>
      <c r="U594" s="31" t="n">
        <v>17170</v>
      </c>
      <c r="V594" s="31" t="n">
        <v>7070</v>
      </c>
      <c r="W594" s="36" t="n">
        <v>-0.1665695981362842</v>
      </c>
      <c r="X594" s="36" t="n">
        <v>1.024045261669024</v>
      </c>
      <c r="Y594" s="31" t="n">
        <v>33416778</v>
      </c>
      <c r="Z594" s="31" t="n">
        <v>478194093180</v>
      </c>
      <c r="AA594" s="31" t="n">
        <v>7221226680</v>
      </c>
      <c r="AB594" s="31" t="n">
        <v>16314422854.5</v>
      </c>
      <c r="AC594" s="36" t="n">
        <v>0.01510103697011124</v>
      </c>
      <c r="AD594" s="29" t="inlineStr">
        <is>
          <t>yfinance_download</t>
        </is>
      </c>
      <c r="AE594" s="29" t="inlineStr">
        <is>
          <t>059090.KQ</t>
        </is>
      </c>
    </row>
    <row r="595" ht="24" customHeight="1">
      <c r="A595" s="24" t="inlineStr">
        <is>
          <t>2025-11-17</t>
        </is>
      </c>
      <c r="B595" s="30" t="n">
        <v>14430</v>
      </c>
      <c r="C595" s="30" t="n">
        <v>14830</v>
      </c>
      <c r="D595" s="30" t="n">
        <v>13940</v>
      </c>
      <c r="E595" s="30" t="n">
        <v>14060</v>
      </c>
      <c r="F595" s="30" t="n">
        <v>14060</v>
      </c>
      <c r="G595" s="30" t="n">
        <v>440945</v>
      </c>
      <c r="H595" s="35" t="n">
        <v>-0.01747030048916842</v>
      </c>
      <c r="I595" s="35" t="n">
        <v>-0.2588297311544544</v>
      </c>
      <c r="J595" s="30" t="n">
        <v>14964</v>
      </c>
      <c r="K595" s="30" t="n">
        <v>15295.16666666667</v>
      </c>
      <c r="L595" s="30" t="n">
        <v>14663.08333333333</v>
      </c>
      <c r="M595" s="35" t="n">
        <v>0.6109911168197358</v>
      </c>
      <c r="N595" s="35" t="n">
        <v>0.7310409013569974</v>
      </c>
      <c r="O595" s="35" t="n">
        <v>-0.1763327475102519</v>
      </c>
      <c r="P595" s="35" t="n">
        <v>-0.01333333333333331</v>
      </c>
      <c r="Q595" s="35" t="n">
        <v>0.004285714285714226</v>
      </c>
      <c r="R595" s="35" t="n">
        <v>-0.06041165463779741</v>
      </c>
      <c r="S595" s="35" t="n">
        <v>-0.080755358446568</v>
      </c>
      <c r="T595" s="35" t="n">
        <v>-0.04112936683394242</v>
      </c>
      <c r="U595" s="30" t="n">
        <v>17170</v>
      </c>
      <c r="V595" s="30" t="n">
        <v>7070</v>
      </c>
      <c r="W595" s="35" t="n">
        <v>-0.1811298776936517</v>
      </c>
      <c r="X595" s="35" t="n">
        <v>0.9886845827439887</v>
      </c>
      <c r="Y595" s="30" t="n">
        <v>33416778</v>
      </c>
      <c r="Z595" s="30" t="n">
        <v>469839898680</v>
      </c>
      <c r="AA595" s="30" t="n">
        <v>6199686700</v>
      </c>
      <c r="AB595" s="30" t="n">
        <v>13106759856.5</v>
      </c>
      <c r="AC595" s="35" t="n">
        <v>0.01319531763355522</v>
      </c>
      <c r="AD595" s="24" t="inlineStr">
        <is>
          <t>yfinance_download</t>
        </is>
      </c>
      <c r="AE595" s="24" t="inlineStr">
        <is>
          <t>059090.KQ</t>
        </is>
      </c>
    </row>
    <row r="596" ht="24" customHeight="1">
      <c r="A596" s="29" t="inlineStr">
        <is>
          <t>2025-11-18</t>
        </is>
      </c>
      <c r="B596" s="31" t="n">
        <v>13920</v>
      </c>
      <c r="C596" s="31" t="n">
        <v>13920</v>
      </c>
      <c r="D596" s="31" t="n">
        <v>13030</v>
      </c>
      <c r="E596" s="31" t="n">
        <v>13060</v>
      </c>
      <c r="F596" s="31" t="n">
        <v>13060</v>
      </c>
      <c r="G596" s="31" t="n">
        <v>1065706</v>
      </c>
      <c r="H596" s="36" t="n">
        <v>-0.07112375533428161</v>
      </c>
      <c r="I596" s="36" t="n">
        <v>-0.3115445440168687</v>
      </c>
      <c r="J596" s="31" t="n">
        <v>14816.5</v>
      </c>
      <c r="K596" s="31" t="n">
        <v>15280.16666666667</v>
      </c>
      <c r="L596" s="31" t="n">
        <v>14656.16666666667</v>
      </c>
      <c r="M596" s="36" t="n">
        <v>0.6221424237738412</v>
      </c>
      <c r="N596" s="36" t="n">
        <v>0.74458292322618</v>
      </c>
      <c r="O596" s="36" t="n">
        <v>-0.1842598376014991</v>
      </c>
      <c r="P596" s="36" t="n">
        <v>-0.0644699140401146</v>
      </c>
      <c r="Q596" s="36" t="n">
        <v>-0.05975521958243335</v>
      </c>
      <c r="R596" s="36" t="n">
        <v>-0.1185502649073668</v>
      </c>
      <c r="S596" s="36" t="n">
        <v>-0.1452972807888221</v>
      </c>
      <c r="T596" s="36" t="n">
        <v>-0.1089075133334091</v>
      </c>
      <c r="U596" s="31" t="n">
        <v>17170</v>
      </c>
      <c r="V596" s="31" t="n">
        <v>7070</v>
      </c>
      <c r="W596" s="36" t="n">
        <v>-0.2393709959231217</v>
      </c>
      <c r="X596" s="36" t="n">
        <v>0.8472418670438473</v>
      </c>
      <c r="Y596" s="31" t="n">
        <v>33416778</v>
      </c>
      <c r="Z596" s="31" t="n">
        <v>436423120680</v>
      </c>
      <c r="AA596" s="31" t="n">
        <v>13918120360</v>
      </c>
      <c r="AB596" s="31" t="n">
        <v>12444087693.5</v>
      </c>
      <c r="AC596" s="36" t="n">
        <v>0.03189134512010703</v>
      </c>
      <c r="AD596" s="29" t="inlineStr">
        <is>
          <t>yfinance_download</t>
        </is>
      </c>
      <c r="AE596" s="29" t="inlineStr">
        <is>
          <t>059090.KQ</t>
        </is>
      </c>
    </row>
    <row r="597" ht="24" customHeight="1">
      <c r="A597" s="24" t="inlineStr">
        <is>
          <t>2025-11-19</t>
        </is>
      </c>
      <c r="B597" s="30" t="n">
        <v>13100</v>
      </c>
      <c r="C597" s="30" t="n">
        <v>13510</v>
      </c>
      <c r="D597" s="30" t="n">
        <v>12560</v>
      </c>
      <c r="E597" s="30" t="n">
        <v>13250</v>
      </c>
      <c r="F597" s="30" t="n">
        <v>13250</v>
      </c>
      <c r="G597" s="30" t="n">
        <v>516871</v>
      </c>
      <c r="H597" s="35" t="n">
        <v>0.01454823889739654</v>
      </c>
      <c r="I597" s="35" t="n">
        <v>-0.30152872957301</v>
      </c>
      <c r="J597" s="30" t="n">
        <v>14699</v>
      </c>
      <c r="K597" s="30" t="n">
        <v>15281.66666666667</v>
      </c>
      <c r="L597" s="30" t="n">
        <v>14647.25</v>
      </c>
      <c r="M597" s="35" t="n">
        <v>0.6245961233055359</v>
      </c>
      <c r="N597" s="35" t="n">
        <v>0.7355045378239733</v>
      </c>
      <c r="O597" s="35" t="n">
        <v>-0.1506410256410257</v>
      </c>
      <c r="P597" s="35" t="n">
        <v>0.006838905775075954</v>
      </c>
      <c r="Q597" s="35" t="n">
        <v>-0.07472067039106145</v>
      </c>
      <c r="R597" s="35" t="n">
        <v>-0.09857813456697739</v>
      </c>
      <c r="S597" s="35" t="n">
        <v>-0.1329479768786127</v>
      </c>
      <c r="T597" s="35" t="n">
        <v>-0.09539333321954635</v>
      </c>
      <c r="U597" s="30" t="n">
        <v>17170</v>
      </c>
      <c r="V597" s="30" t="n">
        <v>7070</v>
      </c>
      <c r="W597" s="35" t="n">
        <v>-0.2283051834595224</v>
      </c>
      <c r="X597" s="35" t="n">
        <v>0.8741159830268741</v>
      </c>
      <c r="Y597" s="30" t="n">
        <v>33416778</v>
      </c>
      <c r="Z597" s="30" t="n">
        <v>442772308500</v>
      </c>
      <c r="AA597" s="30" t="n">
        <v>6848540750</v>
      </c>
      <c r="AB597" s="30" t="n">
        <v>12118525071</v>
      </c>
      <c r="AC597" s="35" t="n">
        <v>0.01546740981431543</v>
      </c>
      <c r="AD597" s="24" t="inlineStr">
        <is>
          <t>yfinance_download</t>
        </is>
      </c>
      <c r="AE597" s="24" t="inlineStr">
        <is>
          <t>059090.KQ</t>
        </is>
      </c>
    </row>
    <row r="598" ht="24" customHeight="1">
      <c r="A598" s="29" t="inlineStr">
        <is>
          <t>2025-11-20</t>
        </is>
      </c>
      <c r="B598" s="31" t="n">
        <v>13630</v>
      </c>
      <c r="C598" s="31" t="n">
        <v>13880</v>
      </c>
      <c r="D598" s="31" t="n">
        <v>13430</v>
      </c>
      <c r="E598" s="31" t="n">
        <v>13670</v>
      </c>
      <c r="F598" s="31" t="n">
        <v>13670</v>
      </c>
      <c r="G598" s="31" t="n">
        <v>346672</v>
      </c>
      <c r="H598" s="36" t="n">
        <v>0.03169811320754712</v>
      </c>
      <c r="I598" s="36" t="n">
        <v>-0.279388508170796</v>
      </c>
      <c r="J598" s="31" t="n">
        <v>14617</v>
      </c>
      <c r="K598" s="31" t="n">
        <v>15292</v>
      </c>
      <c r="L598" s="31" t="n">
        <v>14645.91666666667</v>
      </c>
      <c r="M598" s="36" t="n">
        <v>0.6380087481256344</v>
      </c>
      <c r="N598" s="36" t="n">
        <v>0.7378793190511768</v>
      </c>
      <c r="O598" s="36" t="n">
        <v>-0.1071195297191379</v>
      </c>
      <c r="P598" s="36" t="n">
        <v>0.04750957854406135</v>
      </c>
      <c r="Q598" s="36" t="n">
        <v>-0.01156905278380338</v>
      </c>
      <c r="R598" s="36" t="n">
        <v>-0.06478757611000885</v>
      </c>
      <c r="S598" s="36" t="n">
        <v>-0.1060685325660476</v>
      </c>
      <c r="T598" s="36" t="n">
        <v>-0.06663404475650203</v>
      </c>
      <c r="U598" s="31" t="n">
        <v>17170</v>
      </c>
      <c r="V598" s="31" t="n">
        <v>7070</v>
      </c>
      <c r="W598" s="36" t="n">
        <v>-0.203843913803145</v>
      </c>
      <c r="X598" s="36" t="n">
        <v>0.9335219236209336</v>
      </c>
      <c r="Y598" s="31" t="n">
        <v>33416778</v>
      </c>
      <c r="Z598" s="31" t="n">
        <v>456807355260</v>
      </c>
      <c r="AA598" s="31" t="n">
        <v>4739006240</v>
      </c>
      <c r="AB598" s="31" t="n">
        <v>11853906004</v>
      </c>
      <c r="AC598" s="36" t="n">
        <v>0.01037418987551702</v>
      </c>
      <c r="AD598" s="29" t="inlineStr">
        <is>
          <t>yfinance_download</t>
        </is>
      </c>
      <c r="AE598" s="29" t="inlineStr">
        <is>
          <t>059090.KQ</t>
        </is>
      </c>
    </row>
    <row r="599" ht="24" customHeight="1">
      <c r="A599" s="24" t="inlineStr">
        <is>
          <t>2025-11-21</t>
        </is>
      </c>
      <c r="B599" s="30" t="n">
        <v>12980</v>
      </c>
      <c r="C599" s="30" t="n">
        <v>13170</v>
      </c>
      <c r="D599" s="30" t="n">
        <v>12850</v>
      </c>
      <c r="E599" s="30" t="n">
        <v>13140</v>
      </c>
      <c r="F599" s="30" t="n">
        <v>13140</v>
      </c>
      <c r="G599" s="30" t="n">
        <v>368014</v>
      </c>
      <c r="H599" s="35" t="n">
        <v>-0.03877103145574246</v>
      </c>
      <c r="I599" s="35" t="n">
        <v>-0.3073273589878756</v>
      </c>
      <c r="J599" s="30" t="n">
        <v>14474</v>
      </c>
      <c r="K599" s="30" t="n">
        <v>15292.66666666667</v>
      </c>
      <c r="L599" s="30" t="n">
        <v>14643.08333333333</v>
      </c>
      <c r="M599" s="35" t="n">
        <v>0.620104450347072</v>
      </c>
      <c r="N599" s="35" t="n">
        <v>0.7425237191806179</v>
      </c>
      <c r="O599" s="35" t="n">
        <v>-0.17875</v>
      </c>
      <c r="P599" s="35" t="n">
        <v>0.003053435114503733</v>
      </c>
      <c r="Q599" s="35" t="n">
        <v>-0.02522255192878342</v>
      </c>
      <c r="R599" s="35" t="n">
        <v>-0.09216526184883234</v>
      </c>
      <c r="S599" s="35" t="n">
        <v>-0.140764636645015</v>
      </c>
      <c r="T599" s="35" t="n">
        <v>-0.1026480078763011</v>
      </c>
      <c r="U599" s="30" t="n">
        <v>17170</v>
      </c>
      <c r="V599" s="30" t="n">
        <v>7070</v>
      </c>
      <c r="W599" s="35" t="n">
        <v>-0.2347117064647641</v>
      </c>
      <c r="X599" s="35" t="n">
        <v>0.8585572842998586</v>
      </c>
      <c r="Y599" s="30" t="n">
        <v>33416778</v>
      </c>
      <c r="Z599" s="30" t="n">
        <v>439096462920</v>
      </c>
      <c r="AA599" s="30" t="n">
        <v>4835703960</v>
      </c>
      <c r="AB599" s="30" t="n">
        <v>11461116002</v>
      </c>
      <c r="AC599" s="35" t="n">
        <v>0.01101285108935398</v>
      </c>
      <c r="AD599" s="24" t="inlineStr">
        <is>
          <t>yfinance_download</t>
        </is>
      </c>
      <c r="AE599" s="24" t="inlineStr">
        <is>
          <t>059090.KQ</t>
        </is>
      </c>
    </row>
    <row r="600" ht="24" customHeight="1">
      <c r="A600" s="29" t="inlineStr">
        <is>
          <t>2025-11-24</t>
        </is>
      </c>
      <c r="B600" s="31" t="n">
        <v>13210</v>
      </c>
      <c r="C600" s="31" t="n">
        <v>13350</v>
      </c>
      <c r="D600" s="31" t="n">
        <v>12800</v>
      </c>
      <c r="E600" s="31" t="n">
        <v>12800</v>
      </c>
      <c r="F600" s="31" t="n">
        <v>12800</v>
      </c>
      <c r="G600" s="31" t="n">
        <v>303917</v>
      </c>
      <c r="H600" s="36" t="n">
        <v>-0.02587519025875196</v>
      </c>
      <c r="I600" s="36" t="n">
        <v>-0.3252503953610965</v>
      </c>
      <c r="J600" s="31" t="n">
        <v>14349</v>
      </c>
      <c r="K600" s="31" t="n">
        <v>15286.16666666667</v>
      </c>
      <c r="L600" s="31" t="n">
        <v>14640.83333333333</v>
      </c>
      <c r="M600" s="36" t="n">
        <v>0.6100118786931488</v>
      </c>
      <c r="N600" s="36" t="n">
        <v>0.744460845324233</v>
      </c>
      <c r="O600" s="36" t="n">
        <v>-0.1633986928104575</v>
      </c>
      <c r="P600" s="36" t="n">
        <v>-0.02956785443517818</v>
      </c>
      <c r="Q600" s="36" t="n">
        <v>-0.02065799540933433</v>
      </c>
      <c r="R600" s="36" t="n">
        <v>-0.1079517736427625</v>
      </c>
      <c r="S600" s="36" t="n">
        <v>-0.1626416040646772</v>
      </c>
      <c r="T600" s="36" t="n">
        <v>-0.1257328248619728</v>
      </c>
      <c r="U600" s="31" t="n">
        <v>17170</v>
      </c>
      <c r="V600" s="31" t="n">
        <v>7070</v>
      </c>
      <c r="W600" s="36" t="n">
        <v>-0.254513686662784</v>
      </c>
      <c r="X600" s="36" t="n">
        <v>0.8104667609618104</v>
      </c>
      <c r="Y600" s="31" t="n">
        <v>33416778</v>
      </c>
      <c r="Z600" s="31" t="n">
        <v>427734758400</v>
      </c>
      <c r="AA600" s="31" t="n">
        <v>3890137600</v>
      </c>
      <c r="AB600" s="31" t="n">
        <v>10733088727</v>
      </c>
      <c r="AC600" s="36" t="n">
        <v>0.009094742766642553</v>
      </c>
      <c r="AD600" s="29" t="inlineStr">
        <is>
          <t>yfinance_download</t>
        </is>
      </c>
      <c r="AE600" s="29" t="inlineStr">
        <is>
          <t>059090.KQ</t>
        </is>
      </c>
    </row>
    <row r="601" ht="24" customHeight="1">
      <c r="A601" s="24" t="inlineStr">
        <is>
          <t>2025-11-25</t>
        </is>
      </c>
      <c r="B601" s="30" t="n">
        <v>13110</v>
      </c>
      <c r="C601" s="30" t="n">
        <v>13500</v>
      </c>
      <c r="D601" s="30" t="n">
        <v>13080</v>
      </c>
      <c r="E601" s="30" t="n">
        <v>13400</v>
      </c>
      <c r="F601" s="30" t="n">
        <v>13400</v>
      </c>
      <c r="G601" s="30" t="n">
        <v>360317</v>
      </c>
      <c r="H601" s="35" t="n">
        <v>0.046875</v>
      </c>
      <c r="I601" s="35" t="n">
        <v>-0.2936215076436479</v>
      </c>
      <c r="J601" s="30" t="n">
        <v>14237.5</v>
      </c>
      <c r="K601" s="30" t="n">
        <v>15282.33333333333</v>
      </c>
      <c r="L601" s="30" t="n">
        <v>14643.41666666667</v>
      </c>
      <c r="M601" s="35" t="n">
        <v>0.6325779840937606</v>
      </c>
      <c r="N601" s="35" t="n">
        <v>0.7475162992581039</v>
      </c>
      <c r="O601" s="35" t="n">
        <v>-0.1426743442098528</v>
      </c>
      <c r="P601" s="35" t="n">
        <v>-0.01687454145267797</v>
      </c>
      <c r="Q601" s="35" t="n">
        <v>0.02368220015278832</v>
      </c>
      <c r="R601" s="35" t="n">
        <v>-0.05882352941176472</v>
      </c>
      <c r="S601" s="35" t="n">
        <v>-0.1231705455100661</v>
      </c>
      <c r="T601" s="35" t="n">
        <v>-0.08491301551891917</v>
      </c>
      <c r="U601" s="30" t="n">
        <v>17170</v>
      </c>
      <c r="V601" s="30" t="n">
        <v>7070</v>
      </c>
      <c r="W601" s="35" t="n">
        <v>-0.2195690157251019</v>
      </c>
      <c r="X601" s="35" t="n">
        <v>0.8953323903818953</v>
      </c>
      <c r="Y601" s="30" t="n">
        <v>33416778</v>
      </c>
      <c r="Z601" s="30" t="n">
        <v>447784825200</v>
      </c>
      <c r="AA601" s="30" t="n">
        <v>4828247800</v>
      </c>
      <c r="AB601" s="30" t="n">
        <v>10042584249</v>
      </c>
      <c r="AC601" s="35" t="n">
        <v>0.01078251769216051</v>
      </c>
      <c r="AD601" s="24" t="inlineStr">
        <is>
          <t>yfinance_download</t>
        </is>
      </c>
      <c r="AE601" s="24" t="inlineStr">
        <is>
          <t>059090.KQ</t>
        </is>
      </c>
    </row>
    <row r="602" ht="24" customHeight="1">
      <c r="A602" s="29" t="inlineStr">
        <is>
          <t>2025-11-26</t>
        </is>
      </c>
      <c r="B602" s="31" t="n">
        <v>13460</v>
      </c>
      <c r="C602" s="31" t="n">
        <v>13480</v>
      </c>
      <c r="D602" s="31" t="n">
        <v>13140</v>
      </c>
      <c r="E602" s="31" t="n">
        <v>13350</v>
      </c>
      <c r="F602" s="31" t="n">
        <v>13350</v>
      </c>
      <c r="G602" s="31" t="n">
        <v>270030</v>
      </c>
      <c r="H602" s="36" t="n">
        <v>-0.003731343283582045</v>
      </c>
      <c r="I602" s="36" t="n">
        <v>-0.2962572482867686</v>
      </c>
      <c r="J602" s="31" t="n">
        <v>14139.5</v>
      </c>
      <c r="K602" s="31" t="n">
        <v>15229</v>
      </c>
      <c r="L602" s="31" t="n">
        <v>14646.5</v>
      </c>
      <c r="M602" s="36" t="n">
        <v>0.6306076930616109</v>
      </c>
      <c r="N602" s="36" t="n">
        <v>0.6006828755555602</v>
      </c>
      <c r="O602" s="36" t="n">
        <v>-0.1280209013716526</v>
      </c>
      <c r="P602" s="36" t="n">
        <v>-0.1933534743202417</v>
      </c>
      <c r="Q602" s="36" t="n">
        <v>0.02850539291217258</v>
      </c>
      <c r="R602" s="36" t="n">
        <v>-0.05583648643870009</v>
      </c>
      <c r="S602" s="36" t="n">
        <v>-0.1233830192396086</v>
      </c>
      <c r="T602" s="36" t="n">
        <v>-0.0885194415047964</v>
      </c>
      <c r="U602" s="31" t="n">
        <v>17170</v>
      </c>
      <c r="V602" s="31" t="n">
        <v>7070</v>
      </c>
      <c r="W602" s="36" t="n">
        <v>-0.2224810716365754</v>
      </c>
      <c r="X602" s="36" t="n">
        <v>0.8882602545968883</v>
      </c>
      <c r="Y602" s="31" t="n">
        <v>33416778</v>
      </c>
      <c r="Z602" s="31" t="n">
        <v>446113986300</v>
      </c>
      <c r="AA602" s="31" t="n">
        <v>3604900500</v>
      </c>
      <c r="AB602" s="31" t="n">
        <v>9108213047.5</v>
      </c>
      <c r="AC602" s="36" t="n">
        <v>0.008080671332227183</v>
      </c>
      <c r="AD602" s="29" t="inlineStr">
        <is>
          <t>yfinance_download</t>
        </is>
      </c>
      <c r="AE602" s="29" t="inlineStr">
        <is>
          <t>059090.KQ</t>
        </is>
      </c>
    </row>
    <row r="603" ht="24" customHeight="1">
      <c r="A603" s="24" t="inlineStr">
        <is>
          <t>2025-11-27</t>
        </is>
      </c>
      <c r="B603" s="30" t="n">
        <v>13370</v>
      </c>
      <c r="C603" s="30" t="n">
        <v>13740</v>
      </c>
      <c r="D603" s="30" t="n">
        <v>13360</v>
      </c>
      <c r="E603" s="30" t="n">
        <v>13480</v>
      </c>
      <c r="F603" s="30" t="n">
        <v>13480</v>
      </c>
      <c r="G603" s="30" t="n">
        <v>229829</v>
      </c>
      <c r="H603" s="35" t="n">
        <v>0.009737827715355696</v>
      </c>
      <c r="I603" s="35" t="n">
        <v>-0.2894043226146548</v>
      </c>
      <c r="J603" s="30" t="n">
        <v>14088</v>
      </c>
      <c r="K603" s="30" t="n">
        <v>15180.5</v>
      </c>
      <c r="L603" s="30" t="n">
        <v>14650.25</v>
      </c>
      <c r="M603" s="35" t="n">
        <v>0.608406698236175</v>
      </c>
      <c r="N603" s="35" t="n">
        <v>0.6010633988346316</v>
      </c>
      <c r="O603" s="35" t="n">
        <v>-0.07098552722260509</v>
      </c>
      <c r="P603" s="35" t="n">
        <v>-0.1775472849298353</v>
      </c>
      <c r="Q603" s="35" t="n">
        <v>0.03453568687643904</v>
      </c>
      <c r="R603" s="35" t="n">
        <v>-0.04315729699034643</v>
      </c>
      <c r="S603" s="35" t="n">
        <v>-0.112018708211192</v>
      </c>
      <c r="T603" s="35" t="n">
        <v>-0.07987918294909646</v>
      </c>
      <c r="U603" s="30" t="n">
        <v>17170</v>
      </c>
      <c r="V603" s="30" t="n">
        <v>7070</v>
      </c>
      <c r="W603" s="35" t="n">
        <v>-0.2149097262667443</v>
      </c>
      <c r="X603" s="35" t="n">
        <v>0.9066478076379068</v>
      </c>
      <c r="Y603" s="30" t="n">
        <v>33416778</v>
      </c>
      <c r="Z603" s="30" t="n">
        <v>450458167440</v>
      </c>
      <c r="AA603" s="30" t="n">
        <v>3098094920</v>
      </c>
      <c r="AB603" s="30" t="n">
        <v>8431926953.5</v>
      </c>
      <c r="AC603" s="35" t="n">
        <v>0.00687765289639833</v>
      </c>
      <c r="AD603" s="24" t="inlineStr">
        <is>
          <t>yfinance_download</t>
        </is>
      </c>
      <c r="AE603" s="24" t="inlineStr">
        <is>
          <t>059090.KQ</t>
        </is>
      </c>
    </row>
    <row r="604" ht="24" customHeight="1">
      <c r="A604" s="29" t="inlineStr">
        <is>
          <t>2025-11-28</t>
        </is>
      </c>
      <c r="B604" s="31" t="n">
        <v>13780</v>
      </c>
      <c r="C604" s="31" t="n">
        <v>14230</v>
      </c>
      <c r="D604" s="31" t="n">
        <v>13660</v>
      </c>
      <c r="E604" s="31" t="n">
        <v>14200</v>
      </c>
      <c r="F604" s="31" t="n">
        <v>14200</v>
      </c>
      <c r="G604" s="31" t="n">
        <v>529612</v>
      </c>
      <c r="H604" s="36" t="n">
        <v>0.05341246290801194</v>
      </c>
      <c r="I604" s="36" t="n">
        <v>-0.2514496573537164</v>
      </c>
      <c r="J604" s="31" t="n">
        <v>14072.5</v>
      </c>
      <c r="K604" s="31" t="n">
        <v>15144.5</v>
      </c>
      <c r="L604" s="31" t="n">
        <v>14653.16666666667</v>
      </c>
      <c r="M604" s="36" t="n">
        <v>0.6405680917341681</v>
      </c>
      <c r="N604" s="36" t="n">
        <v>0.611914881221521</v>
      </c>
      <c r="O604" s="36" t="n">
        <v>-0.02136457615437626</v>
      </c>
      <c r="P604" s="36" t="n">
        <v>-0.1320293398533008</v>
      </c>
      <c r="Q604" s="36" t="n">
        <v>0.0252707581227436</v>
      </c>
      <c r="R604" s="36" t="n">
        <v>0.009060223840824388</v>
      </c>
      <c r="S604" s="36" t="n">
        <v>-0.06236587540031036</v>
      </c>
      <c r="T604" s="36" t="n">
        <v>-0.0309261934280417</v>
      </c>
      <c r="U604" s="31" t="n">
        <v>17170</v>
      </c>
      <c r="V604" s="31" t="n">
        <v>7070</v>
      </c>
      <c r="W604" s="36" t="n">
        <v>-0.1729761211415259</v>
      </c>
      <c r="X604" s="36" t="n">
        <v>1.008486562942009</v>
      </c>
      <c r="Y604" s="31" t="n">
        <v>33416778</v>
      </c>
      <c r="Z604" s="31" t="n">
        <v>474518247600</v>
      </c>
      <c r="AA604" s="31" t="n">
        <v>7520490400</v>
      </c>
      <c r="AB604" s="31" t="n">
        <v>8458762519.5</v>
      </c>
      <c r="AC604" s="36" t="n">
        <v>0.0158486853520109</v>
      </c>
      <c r="AD604" s="29" t="inlineStr">
        <is>
          <t>yfinance_download</t>
        </is>
      </c>
      <c r="AE604" s="29" t="inlineStr">
        <is>
          <t>059090.KQ</t>
        </is>
      </c>
    </row>
    <row r="605" ht="24" customHeight="1">
      <c r="A605" s="24" t="inlineStr">
        <is>
          <t>2025-12-01</t>
        </is>
      </c>
      <c r="B605" s="30" t="n">
        <v>14220</v>
      </c>
      <c r="C605" s="30" t="n">
        <v>14410</v>
      </c>
      <c r="D605" s="30" t="n">
        <v>13980</v>
      </c>
      <c r="E605" s="30" t="n">
        <v>14110</v>
      </c>
      <c r="F605" s="30" t="n">
        <v>14110</v>
      </c>
      <c r="G605" s="30" t="n">
        <v>413505</v>
      </c>
      <c r="H605" s="35" t="n">
        <v>-0.006338028169014076</v>
      </c>
      <c r="I605" s="35" t="n">
        <v>-0.2561939905113337</v>
      </c>
      <c r="J605" s="30" t="n">
        <v>14033.5</v>
      </c>
      <c r="K605" s="30" t="n">
        <v>15118.33333333333</v>
      </c>
      <c r="L605" s="30" t="n">
        <v>14658.75</v>
      </c>
      <c r="M605" s="35" t="n">
        <v>0.6330837279076972</v>
      </c>
      <c r="N605" s="35" t="n">
        <v>0.6063314814422566</v>
      </c>
      <c r="O605" s="35" t="n">
        <v>-0.05238415043653455</v>
      </c>
      <c r="P605" s="35" t="n">
        <v>-0.1001275510204082</v>
      </c>
      <c r="Q605" s="35" t="n">
        <v>0.04985119047619047</v>
      </c>
      <c r="R605" s="35" t="n">
        <v>0.005451241671714069</v>
      </c>
      <c r="S605" s="35" t="n">
        <v>-0.0666960643809944</v>
      </c>
      <c r="T605" s="35" t="n">
        <v>-0.03743497910804128</v>
      </c>
      <c r="U605" s="30" t="n">
        <v>17170</v>
      </c>
      <c r="V605" s="30" t="n">
        <v>7070</v>
      </c>
      <c r="W605" s="35" t="n">
        <v>-0.1782178217821783</v>
      </c>
      <c r="X605" s="35" t="n">
        <v>0.9957567185289957</v>
      </c>
      <c r="Y605" s="30" t="n">
        <v>33416778</v>
      </c>
      <c r="Z605" s="30" t="n">
        <v>471510737580</v>
      </c>
      <c r="AA605" s="30" t="n">
        <v>5834555550</v>
      </c>
      <c r="AB605" s="30" t="n">
        <v>8294983606.5</v>
      </c>
      <c r="AC605" s="35" t="n">
        <v>0.01237417323716847</v>
      </c>
      <c r="AD605" s="24" t="inlineStr">
        <is>
          <t>yfinance_download</t>
        </is>
      </c>
      <c r="AE605" s="24" t="inlineStr">
        <is>
          <t>059090.KQ</t>
        </is>
      </c>
    </row>
    <row r="606" ht="24" customHeight="1">
      <c r="A606" s="29" t="inlineStr">
        <is>
          <t>2025-12-02</t>
        </is>
      </c>
      <c r="B606" s="31" t="n">
        <v>14090</v>
      </c>
      <c r="C606" s="31" t="n">
        <v>14350</v>
      </c>
      <c r="D606" s="31" t="n">
        <v>14030</v>
      </c>
      <c r="E606" s="31" t="n">
        <v>14250</v>
      </c>
      <c r="F606" s="31" t="n">
        <v>14250</v>
      </c>
      <c r="G606" s="31" t="n">
        <v>393215</v>
      </c>
      <c r="H606" s="36" t="n">
        <v>0.009922041105598911</v>
      </c>
      <c r="I606" s="36" t="n">
        <v>-0.2488139167105957</v>
      </c>
      <c r="J606" s="31" t="n">
        <v>14006</v>
      </c>
      <c r="K606" s="31" t="n">
        <v>15087.66666666667</v>
      </c>
      <c r="L606" s="31" t="n">
        <v>14664.33333333333</v>
      </c>
      <c r="M606" s="36" t="n">
        <v>0.6342452187742604</v>
      </c>
      <c r="N606" s="36" t="n">
        <v>0.6041301506055995</v>
      </c>
      <c r="O606" s="36" t="n">
        <v>-0.03716216216216217</v>
      </c>
      <c r="P606" s="36" t="n">
        <v>-0.1143567433188316</v>
      </c>
      <c r="Q606" s="36" t="n">
        <v>0.04933726067746691</v>
      </c>
      <c r="R606" s="36" t="n">
        <v>0.01742110524061125</v>
      </c>
      <c r="S606" s="36" t="n">
        <v>-0.05551996111614343</v>
      </c>
      <c r="T606" s="36" t="n">
        <v>-0.0282544950333008</v>
      </c>
      <c r="U606" s="31" t="n">
        <v>17170</v>
      </c>
      <c r="V606" s="31" t="n">
        <v>7070</v>
      </c>
      <c r="W606" s="36" t="n">
        <v>-0.1700640652300525</v>
      </c>
      <c r="X606" s="36" t="n">
        <v>1.015558698727016</v>
      </c>
      <c r="Y606" s="31" t="n">
        <v>33416778</v>
      </c>
      <c r="Z606" s="31" t="n">
        <v>476189086500</v>
      </c>
      <c r="AA606" s="31" t="n">
        <v>5603313750</v>
      </c>
      <c r="AB606" s="31" t="n">
        <v>7893181574</v>
      </c>
      <c r="AC606" s="36" t="n">
        <v>0.01176699321520465</v>
      </c>
      <c r="AD606" s="29" t="inlineStr">
        <is>
          <t>yfinance_download</t>
        </is>
      </c>
      <c r="AE606" s="29" t="inlineStr">
        <is>
          <t>059090.KQ</t>
        </is>
      </c>
    </row>
    <row r="607" ht="24" customHeight="1">
      <c r="A607" s="24" t="inlineStr">
        <is>
          <t>2025-12-03</t>
        </is>
      </c>
      <c r="B607" s="30" t="n">
        <v>14370</v>
      </c>
      <c r="C607" s="30" t="n">
        <v>14500</v>
      </c>
      <c r="D607" s="30" t="n">
        <v>14200</v>
      </c>
      <c r="E607" s="30" t="n">
        <v>14350</v>
      </c>
      <c r="F607" s="30" t="n">
        <v>14350</v>
      </c>
      <c r="G607" s="30" t="n">
        <v>284875</v>
      </c>
      <c r="H607" s="35" t="n">
        <v>0.007017543859649145</v>
      </c>
      <c r="I607" s="35" t="n">
        <v>-0.2435424354243543</v>
      </c>
      <c r="J607" s="30" t="n">
        <v>14018</v>
      </c>
      <c r="K607" s="30" t="n">
        <v>15063.16666666667</v>
      </c>
      <c r="L607" s="30" t="n">
        <v>14673.41666666667</v>
      </c>
      <c r="M607" s="35" t="n">
        <v>0.611393644107852</v>
      </c>
      <c r="N607" s="35" t="n">
        <v>0.6034979609030399</v>
      </c>
      <c r="O607" s="35" t="n">
        <v>0.01700921332388372</v>
      </c>
      <c r="P607" s="35" t="n">
        <v>-0.09292035398230092</v>
      </c>
      <c r="Q607" s="35" t="n">
        <v>0.08220211161387625</v>
      </c>
      <c r="R607" s="35" t="n">
        <v>0.0236838350691968</v>
      </c>
      <c r="S607" s="35" t="n">
        <v>-0.04734506909790992</v>
      </c>
      <c r="T607" s="35" t="n">
        <v>-0.02204099249777092</v>
      </c>
      <c r="U607" s="30" t="n">
        <v>17170</v>
      </c>
      <c r="V607" s="30" t="n">
        <v>7070</v>
      </c>
      <c r="W607" s="35" t="n">
        <v>-0.1642399534071054</v>
      </c>
      <c r="X607" s="35" t="n">
        <v>1.02970297029703</v>
      </c>
      <c r="Y607" s="30" t="n">
        <v>33416778</v>
      </c>
      <c r="Z607" s="30" t="n">
        <v>479530764300</v>
      </c>
      <c r="AA607" s="30" t="n">
        <v>4087956250</v>
      </c>
      <c r="AB607" s="30" t="n">
        <v>7575833916.5</v>
      </c>
      <c r="AC607" s="35" t="n">
        <v>0.00852490925366892</v>
      </c>
      <c r="AD607" s="24" t="inlineStr">
        <is>
          <t>yfinance_download</t>
        </is>
      </c>
      <c r="AE607" s="24" t="inlineStr">
        <is>
          <t>059090.KQ</t>
        </is>
      </c>
    </row>
    <row r="608" ht="24" customHeight="1">
      <c r="A608" s="29" t="inlineStr">
        <is>
          <t>2025-12-04</t>
        </is>
      </c>
      <c r="B608" s="31" t="n">
        <v>14310</v>
      </c>
      <c r="C608" s="31" t="n">
        <v>14310</v>
      </c>
      <c r="D608" s="31" t="n">
        <v>13820</v>
      </c>
      <c r="E608" s="31" t="n">
        <v>13930</v>
      </c>
      <c r="F608" s="31" t="n">
        <v>13930</v>
      </c>
      <c r="G608" s="31" t="n">
        <v>302349</v>
      </c>
      <c r="H608" s="36" t="n">
        <v>-0.02926829268292686</v>
      </c>
      <c r="I608" s="36" t="n">
        <v>-0.2656826568265682</v>
      </c>
      <c r="J608" s="31" t="n">
        <v>13974.5</v>
      </c>
      <c r="K608" s="31" t="n">
        <v>15031.5</v>
      </c>
      <c r="L608" s="31" t="n">
        <v>14674.91666666667</v>
      </c>
      <c r="M608" s="36" t="n">
        <v>0.593798922450121</v>
      </c>
      <c r="N608" s="36" t="n">
        <v>0.606272464513239</v>
      </c>
      <c r="O608" s="36" t="n">
        <v>-0.05878378378378379</v>
      </c>
      <c r="P608" s="36" t="n">
        <v>-0.1200252684775742</v>
      </c>
      <c r="Q608" s="36" t="n">
        <v>0.01309090909090904</v>
      </c>
      <c r="R608" s="36" t="n">
        <v>-0.003184371533865304</v>
      </c>
      <c r="S608" s="36" t="n">
        <v>-0.0732794464956924</v>
      </c>
      <c r="T608" s="36" t="n">
        <v>-0.05076121954128077</v>
      </c>
      <c r="U608" s="31" t="n">
        <v>17170</v>
      </c>
      <c r="V608" s="31" t="n">
        <v>7070</v>
      </c>
      <c r="W608" s="36" t="n">
        <v>-0.1887012230634828</v>
      </c>
      <c r="X608" s="36" t="n">
        <v>0.9702970297029703</v>
      </c>
      <c r="Y608" s="31" t="n">
        <v>33416778</v>
      </c>
      <c r="Z608" s="31" t="n">
        <v>465495717540</v>
      </c>
      <c r="AA608" s="31" t="n">
        <v>4211721570</v>
      </c>
      <c r="AB608" s="31" t="n">
        <v>7306578835</v>
      </c>
      <c r="AC608" s="36" t="n">
        <v>0.009047820229706167</v>
      </c>
      <c r="AD608" s="29" t="inlineStr">
        <is>
          <t>yfinance_download</t>
        </is>
      </c>
      <c r="AE608" s="29" t="inlineStr">
        <is>
          <t>059090.KQ</t>
        </is>
      </c>
    </row>
    <row r="609" ht="24" customHeight="1">
      <c r="A609" s="24" t="inlineStr">
        <is>
          <t>2025-12-05</t>
        </is>
      </c>
      <c r="B609" s="30" t="n">
        <v>13950</v>
      </c>
      <c r="C609" s="30" t="n">
        <v>14210</v>
      </c>
      <c r="D609" s="30" t="n">
        <v>13780</v>
      </c>
      <c r="E609" s="30" t="n">
        <v>13940</v>
      </c>
      <c r="F609" s="30" t="n">
        <v>13940</v>
      </c>
      <c r="G609" s="30" t="n">
        <v>316967</v>
      </c>
      <c r="H609" s="35" t="n">
        <v>0.00071787508973431</v>
      </c>
      <c r="I609" s="35" t="n">
        <v>-0.2651555086979441</v>
      </c>
      <c r="J609" s="30" t="n">
        <v>13964</v>
      </c>
      <c r="K609" s="30" t="n">
        <v>15005.66666666667</v>
      </c>
      <c r="L609" s="30" t="n">
        <v>14667.41666666667</v>
      </c>
      <c r="M609" s="35" t="n">
        <v>0.5731482529226739</v>
      </c>
      <c r="N609" s="35" t="n">
        <v>0.6048416989874379</v>
      </c>
      <c r="O609" s="35" t="n">
        <v>-0.01484098939929324</v>
      </c>
      <c r="P609" s="35" t="n">
        <v>-0.1000645577792124</v>
      </c>
      <c r="Q609" s="35" t="n">
        <v>-0.06064690026954178</v>
      </c>
      <c r="R609" s="35" t="n">
        <v>-0.001718705242050977</v>
      </c>
      <c r="S609" s="35" t="n">
        <v>-0.07101761556745223</v>
      </c>
      <c r="T609" s="35" t="n">
        <v>-0.04959405484946788</v>
      </c>
      <c r="U609" s="30" t="n">
        <v>17170</v>
      </c>
      <c r="V609" s="30" t="n">
        <v>7070</v>
      </c>
      <c r="W609" s="35" t="n">
        <v>-0.1881188118811881</v>
      </c>
      <c r="X609" s="35" t="n">
        <v>0.9717114568599716</v>
      </c>
      <c r="Y609" s="30" t="n">
        <v>33416778</v>
      </c>
      <c r="Z609" s="30" t="n">
        <v>465829885320</v>
      </c>
      <c r="AA609" s="30" t="n">
        <v>4418519980</v>
      </c>
      <c r="AB609" s="30" t="n">
        <v>7134683854</v>
      </c>
      <c r="AC609" s="35" t="n">
        <v>0.009485265156323568</v>
      </c>
      <c r="AD609" s="24" t="inlineStr">
        <is>
          <t>yfinance_download</t>
        </is>
      </c>
      <c r="AE609" s="24" t="inlineStr">
        <is>
          <t>059090.KQ</t>
        </is>
      </c>
    </row>
    <row r="610" ht="24" customHeight="1">
      <c r="A610" s="29" t="inlineStr">
        <is>
          <t>2025-12-08</t>
        </is>
      </c>
      <c r="B610" s="31" t="n">
        <v>14080</v>
      </c>
      <c r="C610" s="31" t="n">
        <v>14080</v>
      </c>
      <c r="D610" s="31" t="n">
        <v>13710</v>
      </c>
      <c r="E610" s="31" t="n">
        <v>13980</v>
      </c>
      <c r="F610" s="31" t="n">
        <v>13980</v>
      </c>
      <c r="G610" s="31" t="n">
        <v>258893</v>
      </c>
      <c r="H610" s="36" t="n">
        <v>0.002869440459110528</v>
      </c>
      <c r="I610" s="36" t="n">
        <v>-0.2630469161834476</v>
      </c>
      <c r="J610" s="31" t="n">
        <v>13945</v>
      </c>
      <c r="K610" s="31" t="n">
        <v>14982.66666666667</v>
      </c>
      <c r="L610" s="31" t="n">
        <v>14666.08333333333</v>
      </c>
      <c r="M610" s="36" t="n">
        <v>0.5705697329023759</v>
      </c>
      <c r="N610" s="36" t="n">
        <v>0.6046985961081337</v>
      </c>
      <c r="O610" s="36" t="n">
        <v>-0.02646239554317553</v>
      </c>
      <c r="P610" s="36" t="n">
        <v>-0.08984375</v>
      </c>
      <c r="Q610" s="36" t="n">
        <v>-0.01131541725601126</v>
      </c>
      <c r="R610" s="36" t="n">
        <v>0.002509860164933597</v>
      </c>
      <c r="S610" s="36" t="n">
        <v>-0.06692177627480644</v>
      </c>
      <c r="T610" s="36" t="n">
        <v>-0.04678026966981641</v>
      </c>
      <c r="U610" s="31" t="n">
        <v>17170</v>
      </c>
      <c r="V610" s="31" t="n">
        <v>7070</v>
      </c>
      <c r="W610" s="36" t="n">
        <v>-0.1857891671520093</v>
      </c>
      <c r="X610" s="36" t="n">
        <v>0.9773691654879775</v>
      </c>
      <c r="Y610" s="31" t="n">
        <v>33416778</v>
      </c>
      <c r="Z610" s="31" t="n">
        <v>467166556440</v>
      </c>
      <c r="AA610" s="31" t="n">
        <v>3619324140</v>
      </c>
      <c r="AB610" s="31" t="n">
        <v>7115798351</v>
      </c>
      <c r="AC610" s="36" t="n">
        <v>0.00774739563461205</v>
      </c>
      <c r="AD610" s="29" t="inlineStr">
        <is>
          <t>yfinance_download</t>
        </is>
      </c>
      <c r="AE610" s="29" t="inlineStr">
        <is>
          <t>059090.KQ</t>
        </is>
      </c>
    </row>
    <row r="611" ht="24" customHeight="1">
      <c r="A611" s="24" t="inlineStr">
        <is>
          <t>2025-12-09</t>
        </is>
      </c>
      <c r="B611" s="30" t="n">
        <v>13890</v>
      </c>
      <c r="C611" s="30" t="n">
        <v>14150</v>
      </c>
      <c r="D611" s="30" t="n">
        <v>13880</v>
      </c>
      <c r="E611" s="30" t="n">
        <v>13970</v>
      </c>
      <c r="F611" s="30" t="n">
        <v>13970</v>
      </c>
      <c r="G611" s="30" t="n">
        <v>218025</v>
      </c>
      <c r="H611" s="35" t="n">
        <v>-0.0007153075822603494</v>
      </c>
      <c r="I611" s="35" t="n">
        <v>-0.2635740643120716</v>
      </c>
      <c r="J611" s="30" t="n">
        <v>13866</v>
      </c>
      <c r="K611" s="30" t="n">
        <v>14957.5</v>
      </c>
      <c r="L611" s="30" t="n">
        <v>14659.16666666667</v>
      </c>
      <c r="M611" s="35" t="n">
        <v>0.477725210267706</v>
      </c>
      <c r="N611" s="35" t="n">
        <v>0.6044281925978106</v>
      </c>
      <c r="O611" s="35" t="n">
        <v>-0.1016077170418006</v>
      </c>
      <c r="P611" s="35" t="n">
        <v>-0.09754521963824292</v>
      </c>
      <c r="Q611" s="35" t="n">
        <v>-0.05608108108108112</v>
      </c>
      <c r="R611" s="35" t="n">
        <v>0.007500360594259403</v>
      </c>
      <c r="S611" s="35" t="n">
        <v>-0.06602039110813973</v>
      </c>
      <c r="T611" s="35" t="n">
        <v>-0.04701267693707001</v>
      </c>
      <c r="U611" s="30" t="n">
        <v>17170</v>
      </c>
      <c r="V611" s="30" t="n">
        <v>7070</v>
      </c>
      <c r="W611" s="35" t="n">
        <v>-0.1863715783343041</v>
      </c>
      <c r="X611" s="35" t="n">
        <v>0.9759547383309759</v>
      </c>
      <c r="Y611" s="30" t="n">
        <v>33416778</v>
      </c>
      <c r="Z611" s="30" t="n">
        <v>466832388660</v>
      </c>
      <c r="AA611" s="30" t="n">
        <v>3045809250</v>
      </c>
      <c r="AB611" s="30" t="n">
        <v>5746002721</v>
      </c>
      <c r="AC611" s="35" t="n">
        <v>0.006524417165532835</v>
      </c>
      <c r="AD611" s="24" t="inlineStr">
        <is>
          <t>yfinance_download</t>
        </is>
      </c>
      <c r="AE611" s="24" t="inlineStr">
        <is>
          <t>059090.KQ</t>
        </is>
      </c>
    </row>
    <row r="612" ht="24" customHeight="1">
      <c r="A612" s="29" t="inlineStr">
        <is>
          <t>2025-12-10</t>
        </is>
      </c>
      <c r="B612" s="31" t="n">
        <v>14040</v>
      </c>
      <c r="C612" s="31" t="n">
        <v>14580</v>
      </c>
      <c r="D612" s="31" t="n">
        <v>13970</v>
      </c>
      <c r="E612" s="31" t="n">
        <v>14040</v>
      </c>
      <c r="F612" s="31" t="n">
        <v>14040</v>
      </c>
      <c r="G612" s="31" t="n">
        <v>432020</v>
      </c>
      <c r="H612" s="36" t="n">
        <v>0.005010737294201872</v>
      </c>
      <c r="I612" s="36" t="n">
        <v>-0.2598840274117027</v>
      </c>
      <c r="J612" s="31" t="n">
        <v>13812</v>
      </c>
      <c r="K612" s="31" t="n">
        <v>14924.16666666667</v>
      </c>
      <c r="L612" s="31" t="n">
        <v>14654.08333333333</v>
      </c>
      <c r="M612" s="36" t="n">
        <v>0.4711253604129846</v>
      </c>
      <c r="N612" s="36" t="n">
        <v>0.5995939136827226</v>
      </c>
      <c r="O612" s="36" t="n">
        <v>-0.0714285714285714</v>
      </c>
      <c r="P612" s="36" t="n">
        <v>-0.1246882793017456</v>
      </c>
      <c r="Q612" s="36" t="n">
        <v>-0.04163822525597272</v>
      </c>
      <c r="R612" s="36" t="n">
        <v>0.01650738488271064</v>
      </c>
      <c r="S612" s="36" t="n">
        <v>-0.05924395555307382</v>
      </c>
      <c r="T612" s="36" t="n">
        <v>-0.04190527099955077</v>
      </c>
      <c r="U612" s="31" t="n">
        <v>17170</v>
      </c>
      <c r="V612" s="31" t="n">
        <v>7070</v>
      </c>
      <c r="W612" s="36" t="n">
        <v>-0.1822947000582411</v>
      </c>
      <c r="X612" s="36" t="n">
        <v>0.9858557284299858</v>
      </c>
      <c r="Y612" s="31" t="n">
        <v>33416778</v>
      </c>
      <c r="Z612" s="31" t="n">
        <v>469171563120</v>
      </c>
      <c r="AA612" s="31" t="n">
        <v>6065560800</v>
      </c>
      <c r="AB612" s="31" t="n">
        <v>5453990485</v>
      </c>
      <c r="AC612" s="36" t="n">
        <v>0.0129282362291182</v>
      </c>
      <c r="AD612" s="29" t="inlineStr">
        <is>
          <t>yfinance_download</t>
        </is>
      </c>
      <c r="AE612" s="29" t="inlineStr">
        <is>
          <t>059090.KQ</t>
        </is>
      </c>
    </row>
    <row r="613" ht="24" customHeight="1">
      <c r="A613" s="24" t="inlineStr">
        <is>
          <t>2025-12-11</t>
        </is>
      </c>
      <c r="B613" s="30" t="n">
        <v>14120</v>
      </c>
      <c r="C613" s="30" t="n">
        <v>14290</v>
      </c>
      <c r="D613" s="30" t="n">
        <v>13690</v>
      </c>
      <c r="E613" s="30" t="n">
        <v>13690</v>
      </c>
      <c r="F613" s="30" t="n">
        <v>13690</v>
      </c>
      <c r="G613" s="30" t="n">
        <v>1012901</v>
      </c>
      <c r="H613" s="35" t="n">
        <v>-0.02492877492877488</v>
      </c>
      <c r="I613" s="35" t="n">
        <v>-0.2783342119135477</v>
      </c>
      <c r="J613" s="30" t="n">
        <v>13749</v>
      </c>
      <c r="K613" s="30" t="n">
        <v>14878.66666666667</v>
      </c>
      <c r="L613" s="30" t="n">
        <v>14642.41666666667</v>
      </c>
      <c r="M613" s="35" t="n">
        <v>0.4766665480391643</v>
      </c>
      <c r="N613" s="35" t="n">
        <v>0.5991378858447406</v>
      </c>
      <c r="O613" s="35" t="n">
        <v>-0.08428093645484946</v>
      </c>
      <c r="P613" s="35" t="n">
        <v>-0.1662606577344702</v>
      </c>
      <c r="Q613" s="35" t="n">
        <v>-0.09277667329357187</v>
      </c>
      <c r="R613" s="35" t="n">
        <v>-0.004291221179722138</v>
      </c>
      <c r="S613" s="35" t="n">
        <v>-0.07989067120709736</v>
      </c>
      <c r="T613" s="35" t="n">
        <v>-0.06504504607049155</v>
      </c>
      <c r="U613" s="30" t="n">
        <v>17170</v>
      </c>
      <c r="V613" s="30" t="n">
        <v>7070</v>
      </c>
      <c r="W613" s="35" t="n">
        <v>-0.2026790914385557</v>
      </c>
      <c r="X613" s="35" t="n">
        <v>0.9363507779349363</v>
      </c>
      <c r="Y613" s="30" t="n">
        <v>33416778</v>
      </c>
      <c r="Z613" s="30" t="n">
        <v>457475690820</v>
      </c>
      <c r="AA613" s="30" t="n">
        <v>13866614690</v>
      </c>
      <c r="AB613" s="30" t="n">
        <v>5872876594.5</v>
      </c>
      <c r="AC613" s="35" t="n">
        <v>0.03031115088354718</v>
      </c>
      <c r="AD613" s="24" t="inlineStr">
        <is>
          <t>yfinance_download</t>
        </is>
      </c>
      <c r="AE613" s="24" t="inlineStr">
        <is>
          <t>059090.KQ</t>
        </is>
      </c>
    </row>
    <row r="614" ht="24" customHeight="1">
      <c r="A614" s="29" t="inlineStr">
        <is>
          <t>2025-12-12</t>
        </is>
      </c>
      <c r="B614" s="31" t="n">
        <v>13800</v>
      </c>
      <c r="C614" s="31" t="n">
        <v>14300</v>
      </c>
      <c r="D614" s="31" t="n">
        <v>13650</v>
      </c>
      <c r="E614" s="31" t="n">
        <v>14300</v>
      </c>
      <c r="F614" s="31" t="n">
        <v>14300</v>
      </c>
      <c r="G614" s="31" t="n">
        <v>477366</v>
      </c>
      <c r="H614" s="36" t="n">
        <v>0.04455807158509861</v>
      </c>
      <c r="I614" s="36" t="n">
        <v>-0.2461781760674749</v>
      </c>
      <c r="J614" s="31" t="n">
        <v>13748.5</v>
      </c>
      <c r="K614" s="31" t="n">
        <v>14830.83333333333</v>
      </c>
      <c r="L614" s="31" t="n">
        <v>14638.83333333333</v>
      </c>
      <c r="M614" s="36" t="n">
        <v>0.4830687520759016</v>
      </c>
      <c r="N614" s="36" t="n">
        <v>0.598759474570376</v>
      </c>
      <c r="O614" s="36" t="n">
        <v>-0.0006988120195667857</v>
      </c>
      <c r="P614" s="36" t="n">
        <v>-0.1671520093185789</v>
      </c>
      <c r="Q614" s="36" t="n">
        <v>-0.02919212491513912</v>
      </c>
      <c r="R614" s="36" t="n">
        <v>0.04011346692366446</v>
      </c>
      <c r="S614" s="36" t="n">
        <v>-0.0357925493060629</v>
      </c>
      <c r="T614" s="36" t="n">
        <v>-0.02314619789828432</v>
      </c>
      <c r="U614" s="31" t="n">
        <v>17170</v>
      </c>
      <c r="V614" s="31" t="n">
        <v>7070</v>
      </c>
      <c r="W614" s="36" t="n">
        <v>-0.1671520093185789</v>
      </c>
      <c r="X614" s="36" t="n">
        <v>1.022630834512023</v>
      </c>
      <c r="Y614" s="31" t="n">
        <v>33416778</v>
      </c>
      <c r="Z614" s="31" t="n">
        <v>477859925400</v>
      </c>
      <c r="AA614" s="31" t="n">
        <v>6826333800</v>
      </c>
      <c r="AB614" s="31" t="n">
        <v>5853131950.5</v>
      </c>
      <c r="AC614" s="36" t="n">
        <v>0.01428521923926957</v>
      </c>
      <c r="AD614" s="29" t="inlineStr">
        <is>
          <t>yfinance_download</t>
        </is>
      </c>
      <c r="AE614" s="29" t="inlineStr">
        <is>
          <t>059090.KQ</t>
        </is>
      </c>
    </row>
    <row r="615" ht="24" customHeight="1">
      <c r="A615" s="24" t="inlineStr">
        <is>
          <t>2025-12-15</t>
        </is>
      </c>
      <c r="B615" s="30" t="n">
        <v>14050</v>
      </c>
      <c r="C615" s="30" t="n">
        <v>14050</v>
      </c>
      <c r="D615" s="30" t="n">
        <v>13710</v>
      </c>
      <c r="E615" s="30" t="n">
        <v>13760</v>
      </c>
      <c r="F615" s="30" t="n">
        <v>13760</v>
      </c>
      <c r="G615" s="30" t="n">
        <v>260246</v>
      </c>
      <c r="H615" s="35" t="n">
        <v>-0.03776223776223775</v>
      </c>
      <c r="I615" s="35" t="n">
        <v>-0.2746441750131787</v>
      </c>
      <c r="J615" s="30" t="n">
        <v>13733.5</v>
      </c>
      <c r="K615" s="30" t="n">
        <v>14775.5</v>
      </c>
      <c r="L615" s="30" t="n">
        <v>14631.25</v>
      </c>
      <c r="M615" s="35" t="n">
        <v>0.4981632196567822</v>
      </c>
      <c r="N615" s="35" t="n">
        <v>0.6031215364778448</v>
      </c>
      <c r="O615" s="35" t="n">
        <v>-0.02133712660028453</v>
      </c>
      <c r="P615" s="35" t="n">
        <v>-0.1943793911007026</v>
      </c>
      <c r="Q615" s="35" t="n">
        <v>-0.06203135650988412</v>
      </c>
      <c r="R615" s="35" t="n">
        <v>0.001929588233152479</v>
      </c>
      <c r="S615" s="35" t="n">
        <v>-0.06872863862475043</v>
      </c>
      <c r="T615" s="35" t="n">
        <v>-0.05954720205040576</v>
      </c>
      <c r="U615" s="30" t="n">
        <v>17170</v>
      </c>
      <c r="V615" s="30" t="n">
        <v>7070</v>
      </c>
      <c r="W615" s="35" t="n">
        <v>-0.1986022131624927</v>
      </c>
      <c r="X615" s="35" t="n">
        <v>0.9462517680339462</v>
      </c>
      <c r="Y615" s="30" t="n">
        <v>33416778</v>
      </c>
      <c r="Z615" s="30" t="n">
        <v>459814865280</v>
      </c>
      <c r="AA615" s="30" t="n">
        <v>3580984960</v>
      </c>
      <c r="AB615" s="30" t="n">
        <v>5722196863.5</v>
      </c>
      <c r="AC615" s="35" t="n">
        <v>0.007787884277772082</v>
      </c>
      <c r="AD615" s="24" t="inlineStr">
        <is>
          <t>yfinance_download</t>
        </is>
      </c>
      <c r="AE615" s="24" t="inlineStr">
        <is>
          <t>059090.KQ</t>
        </is>
      </c>
    </row>
    <row r="616" ht="24" customHeight="1">
      <c r="A616" s="29" t="inlineStr">
        <is>
          <t>2025-12-16</t>
        </is>
      </c>
      <c r="B616" s="31" t="n">
        <v>13620</v>
      </c>
      <c r="C616" s="31" t="n">
        <v>13760</v>
      </c>
      <c r="D616" s="31" t="n">
        <v>13140</v>
      </c>
      <c r="E616" s="31" t="n">
        <v>13150</v>
      </c>
      <c r="F616" s="31" t="n">
        <v>13150</v>
      </c>
      <c r="G616" s="31" t="n">
        <v>343074</v>
      </c>
      <c r="H616" s="36" t="n">
        <v>-0.04433139534883723</v>
      </c>
      <c r="I616" s="36" t="n">
        <v>-0.3068002108592515</v>
      </c>
      <c r="J616" s="31" t="n">
        <v>13738</v>
      </c>
      <c r="K616" s="31" t="n">
        <v>14717.83333333333</v>
      </c>
      <c r="L616" s="31" t="n">
        <v>14621.83333333333</v>
      </c>
      <c r="M616" s="36" t="n">
        <v>0.4550769734635929</v>
      </c>
      <c r="N616" s="36" t="n">
        <v>0.6070244016967106</v>
      </c>
      <c r="O616" s="36" t="n">
        <v>0.006891271056661541</v>
      </c>
      <c r="P616" s="36" t="n">
        <v>-0.2083082480433474</v>
      </c>
      <c r="Q616" s="36" t="n">
        <v>-0.07913165266106448</v>
      </c>
      <c r="R616" s="36" t="n">
        <v>-0.04280098995486969</v>
      </c>
      <c r="S616" s="36" t="n">
        <v>-0.1065260964589444</v>
      </c>
      <c r="T616" s="36" t="n">
        <v>-0.1006599719597406</v>
      </c>
      <c r="U616" s="31" t="n">
        <v>17170</v>
      </c>
      <c r="V616" s="31" t="n">
        <v>7070</v>
      </c>
      <c r="W616" s="36" t="n">
        <v>-0.2341292952824694</v>
      </c>
      <c r="X616" s="36" t="n">
        <v>0.8599717114568599</v>
      </c>
      <c r="Y616" s="31" t="n">
        <v>33416778</v>
      </c>
      <c r="Z616" s="31" t="n">
        <v>439430630700</v>
      </c>
      <c r="AA616" s="31" t="n">
        <v>4511423100</v>
      </c>
      <c r="AB616" s="31" t="n">
        <v>5251862000.5</v>
      </c>
      <c r="AC616" s="36" t="n">
        <v>0.01026651941129692</v>
      </c>
      <c r="AD616" s="29" t="inlineStr">
        <is>
          <t>yfinance_download</t>
        </is>
      </c>
      <c r="AE616" s="29" t="inlineStr">
        <is>
          <t>059090.KQ</t>
        </is>
      </c>
    </row>
    <row r="617" ht="24" customHeight="1">
      <c r="A617" s="24" t="inlineStr">
        <is>
          <t>2025-12-17</t>
        </is>
      </c>
      <c r="B617" s="30" t="n">
        <v>13200</v>
      </c>
      <c r="C617" s="30" t="n">
        <v>13620</v>
      </c>
      <c r="D617" s="30" t="n">
        <v>13150</v>
      </c>
      <c r="E617" s="30" t="n">
        <v>13550</v>
      </c>
      <c r="F617" s="30" t="n">
        <v>13550</v>
      </c>
      <c r="G617" s="30" t="n">
        <v>185551</v>
      </c>
      <c r="H617" s="35" t="n">
        <v>0.03041825095057038</v>
      </c>
      <c r="I617" s="35" t="n">
        <v>-0.2857142857142857</v>
      </c>
      <c r="J617" s="30" t="n">
        <v>13753</v>
      </c>
      <c r="K617" s="30" t="n">
        <v>14675.83333333333</v>
      </c>
      <c r="L617" s="30" t="n">
        <v>14613.91666666667</v>
      </c>
      <c r="M617" s="35" t="n">
        <v>0.4648490027506976</v>
      </c>
      <c r="N617" s="35" t="n">
        <v>0.6077371719094099</v>
      </c>
      <c r="O617" s="35" t="n">
        <v>0.02264150943396226</v>
      </c>
      <c r="P617" s="35" t="n">
        <v>-0.1568139390168015</v>
      </c>
      <c r="Q617" s="35" t="n">
        <v>-0.06551724137931036</v>
      </c>
      <c r="R617" s="35" t="n">
        <v>-0.01476041590925614</v>
      </c>
      <c r="S617" s="35" t="n">
        <v>-0.07671341775026974</v>
      </c>
      <c r="T617" s="35" t="n">
        <v>-0.07280161033717858</v>
      </c>
      <c r="U617" s="30" t="n">
        <v>17170</v>
      </c>
      <c r="V617" s="30" t="n">
        <v>7070</v>
      </c>
      <c r="W617" s="35" t="n">
        <v>-0.2108328479906815</v>
      </c>
      <c r="X617" s="35" t="n">
        <v>0.9165487977369164</v>
      </c>
      <c r="Y617" s="30" t="n">
        <v>33416778</v>
      </c>
      <c r="Z617" s="30" t="n">
        <v>452797341900</v>
      </c>
      <c r="AA617" s="30" t="n">
        <v>2514216050</v>
      </c>
      <c r="AB617" s="30" t="n">
        <v>5035145765.5</v>
      </c>
      <c r="AC617" s="35" t="n">
        <v>0.005552629879517409</v>
      </c>
      <c r="AD617" s="24" t="inlineStr">
        <is>
          <t>yfinance_download</t>
        </is>
      </c>
      <c r="AE617" s="24" t="inlineStr">
        <is>
          <t>059090.KQ</t>
        </is>
      </c>
    </row>
    <row r="618" ht="24" customHeight="1">
      <c r="A618" s="29" t="inlineStr">
        <is>
          <t>2025-12-18</t>
        </is>
      </c>
      <c r="B618" s="31" t="n">
        <v>13200</v>
      </c>
      <c r="C618" s="31" t="n">
        <v>13460</v>
      </c>
      <c r="D618" s="31" t="n">
        <v>13100</v>
      </c>
      <c r="E618" s="31" t="n">
        <v>13260</v>
      </c>
      <c r="F618" s="31" t="n">
        <v>13260</v>
      </c>
      <c r="G618" s="31" t="n">
        <v>134530</v>
      </c>
      <c r="H618" s="36" t="n">
        <v>-0.02140221402214026</v>
      </c>
      <c r="I618" s="36" t="n">
        <v>-0.3010015814443858</v>
      </c>
      <c r="J618" s="31" t="n">
        <v>13732.5</v>
      </c>
      <c r="K618" s="31" t="n">
        <v>14626.16666666667</v>
      </c>
      <c r="L618" s="31" t="n">
        <v>14605.58333333333</v>
      </c>
      <c r="M618" s="36" t="n">
        <v>0.4572884300423672</v>
      </c>
      <c r="N618" s="36" t="n">
        <v>0.6084139621111967</v>
      </c>
      <c r="O618" s="36" t="n">
        <v>-0.0299926847110461</v>
      </c>
      <c r="P618" s="36" t="n">
        <v>-0.1834975369458128</v>
      </c>
      <c r="Q618" s="36" t="n">
        <v>-0.07012622720897621</v>
      </c>
      <c r="R618" s="36" t="n">
        <v>-0.03440742763517202</v>
      </c>
      <c r="S618" s="36" t="n">
        <v>-0.0934056542498034</v>
      </c>
      <c r="T618" s="36" t="n">
        <v>-0.09212801040697916</v>
      </c>
      <c r="U618" s="31" t="n">
        <v>17170</v>
      </c>
      <c r="V618" s="31" t="n">
        <v>7070</v>
      </c>
      <c r="W618" s="36" t="n">
        <v>-0.2277227722772277</v>
      </c>
      <c r="X618" s="36" t="n">
        <v>0.8755304101838755</v>
      </c>
      <c r="Y618" s="31" t="n">
        <v>33416778</v>
      </c>
      <c r="Z618" s="31" t="n">
        <v>443106476280</v>
      </c>
      <c r="AA618" s="31" t="n">
        <v>1783867800</v>
      </c>
      <c r="AB618" s="31" t="n">
        <v>4887388843.5</v>
      </c>
      <c r="AC618" s="36" t="n">
        <v>0.00402582199875763</v>
      </c>
      <c r="AD618" s="29" t="inlineStr">
        <is>
          <t>yfinance_download</t>
        </is>
      </c>
      <c r="AE618" s="29" t="inlineStr">
        <is>
          <t>059090.KQ</t>
        </is>
      </c>
    </row>
    <row r="619" ht="24" customHeight="1">
      <c r="A619" s="24" t="inlineStr">
        <is>
          <t>2025-12-19</t>
        </is>
      </c>
      <c r="B619" s="30" t="n">
        <v>13400</v>
      </c>
      <c r="C619" s="30" t="n">
        <v>13480</v>
      </c>
      <c r="D619" s="30" t="n">
        <v>13200</v>
      </c>
      <c r="E619" s="30" t="n">
        <v>13300</v>
      </c>
      <c r="F619" s="30" t="n">
        <v>13300</v>
      </c>
      <c r="G619" s="30" t="n">
        <v>192696</v>
      </c>
      <c r="H619" s="35" t="n">
        <v>0.003016591251885359</v>
      </c>
      <c r="I619" s="35" t="n">
        <v>-0.2988929889298892</v>
      </c>
      <c r="J619" s="30" t="n">
        <v>13740.5</v>
      </c>
      <c r="K619" s="30" t="n">
        <v>14572.83333333333</v>
      </c>
      <c r="L619" s="30" t="n">
        <v>14601</v>
      </c>
      <c r="M619" s="35" t="n">
        <v>0.4351896411009568</v>
      </c>
      <c r="N619" s="35" t="n">
        <v>0.6072921711809743</v>
      </c>
      <c r="O619" s="35" t="n">
        <v>0.0121765601217656</v>
      </c>
      <c r="P619" s="35" t="n">
        <v>-0.193939393939394</v>
      </c>
      <c r="Q619" s="35" t="n">
        <v>-0.03971119133574008</v>
      </c>
      <c r="R619" s="35" t="n">
        <v>-0.03205851315454311</v>
      </c>
      <c r="S619" s="35" t="n">
        <v>-0.08734288687855263</v>
      </c>
      <c r="T619" s="35" t="n">
        <v>-0.08910348606259844</v>
      </c>
      <c r="U619" s="30" t="n">
        <v>17170</v>
      </c>
      <c r="V619" s="30" t="n">
        <v>7070</v>
      </c>
      <c r="W619" s="35" t="n">
        <v>-0.225393127548049</v>
      </c>
      <c r="X619" s="35" t="n">
        <v>0.8811881188118811</v>
      </c>
      <c r="Y619" s="30" t="n">
        <v>33416778</v>
      </c>
      <c r="Z619" s="30" t="n">
        <v>444443147400</v>
      </c>
      <c r="AA619" s="30" t="n">
        <v>2562856800</v>
      </c>
      <c r="AB619" s="30" t="n">
        <v>4773746485.5</v>
      </c>
      <c r="AC619" s="35" t="n">
        <v>0.005766444628503681</v>
      </c>
      <c r="AD619" s="24" t="inlineStr">
        <is>
          <t>yfinance_download</t>
        </is>
      </c>
      <c r="AE619" s="24" t="inlineStr">
        <is>
          <t>059090.KQ</t>
        </is>
      </c>
    </row>
    <row r="620" ht="24" customHeight="1">
      <c r="A620" s="29" t="inlineStr">
        <is>
          <t>2025-12-22</t>
        </is>
      </c>
      <c r="B620" s="31" t="n">
        <v>13600</v>
      </c>
      <c r="C620" s="31" t="n">
        <v>14300</v>
      </c>
      <c r="D620" s="31" t="n">
        <v>13560</v>
      </c>
      <c r="E620" s="31" t="n">
        <v>14280</v>
      </c>
      <c r="F620" s="31" t="n">
        <v>14280</v>
      </c>
      <c r="G620" s="31" t="n">
        <v>575646</v>
      </c>
      <c r="H620" s="36" t="n">
        <v>0.0736842105263158</v>
      </c>
      <c r="I620" s="36" t="n">
        <v>-0.2472324723247232</v>
      </c>
      <c r="J620" s="31" t="n">
        <v>13814.5</v>
      </c>
      <c r="K620" s="31" t="n">
        <v>14540.83333333333</v>
      </c>
      <c r="L620" s="31" t="n">
        <v>14607.5</v>
      </c>
      <c r="M620" s="36" t="n">
        <v>0.4933675286872856</v>
      </c>
      <c r="N620" s="36" t="n">
        <v>0.6262926878185843</v>
      </c>
      <c r="O620" s="36" t="n">
        <v>0.1156250000000001</v>
      </c>
      <c r="P620" s="36" t="n">
        <v>-0.1185185185185185</v>
      </c>
      <c r="Q620" s="36" t="n">
        <v>0.05777777777777771</v>
      </c>
      <c r="R620" s="36" t="n">
        <v>0.03369647833797829</v>
      </c>
      <c r="S620" s="36" t="n">
        <v>-0.01793799071580038</v>
      </c>
      <c r="T620" s="36" t="n">
        <v>-0.02241998973130244</v>
      </c>
      <c r="U620" s="31" t="n">
        <v>17170</v>
      </c>
      <c r="V620" s="31" t="n">
        <v>7070</v>
      </c>
      <c r="W620" s="36" t="n">
        <v>-0.1683168316831684</v>
      </c>
      <c r="X620" s="36" t="n">
        <v>1.01980198019802</v>
      </c>
      <c r="Y620" s="31" t="n">
        <v>33416778</v>
      </c>
      <c r="Z620" s="31" t="n">
        <v>477191589840</v>
      </c>
      <c r="AA620" s="31" t="n">
        <v>8220224880</v>
      </c>
      <c r="AB620" s="31" t="n">
        <v>4990250849.5</v>
      </c>
      <c r="AC620" s="36" t="n">
        <v>0.0172262568222466</v>
      </c>
      <c r="AD620" s="29" t="inlineStr">
        <is>
          <t>yfinance_download</t>
        </is>
      </c>
      <c r="AE620" s="29" t="inlineStr">
        <is>
          <t>059090.KQ</t>
        </is>
      </c>
    </row>
    <row r="621" ht="24" customHeight="1">
      <c r="A621" s="24" t="inlineStr">
        <is>
          <t>2025-12-23</t>
        </is>
      </c>
      <c r="B621" s="30" t="n">
        <v>14270</v>
      </c>
      <c r="C621" s="30" t="n">
        <v>14430</v>
      </c>
      <c r="D621" s="30" t="n">
        <v>13210</v>
      </c>
      <c r="E621" s="30" t="n">
        <v>13210</v>
      </c>
      <c r="F621" s="30" t="n">
        <v>13210</v>
      </c>
      <c r="G621" s="30" t="n">
        <v>767107</v>
      </c>
      <c r="H621" s="35" t="n">
        <v>-0.07492997198879547</v>
      </c>
      <c r="I621" s="35" t="n">
        <v>-0.3036373220875066</v>
      </c>
      <c r="J621" s="30" t="n">
        <v>13805</v>
      </c>
      <c r="K621" s="30" t="n">
        <v>14501.83333333333</v>
      </c>
      <c r="L621" s="30" t="n">
        <v>14605.25</v>
      </c>
      <c r="M621" s="35" t="n">
        <v>0.5459690768434038</v>
      </c>
      <c r="N621" s="35" t="n">
        <v>0.6394208765655222</v>
      </c>
      <c r="O621" s="35" t="n">
        <v>-0.01417910447761195</v>
      </c>
      <c r="P621" s="35" t="n">
        <v>-0.1504823151125402</v>
      </c>
      <c r="Q621" s="35" t="n">
        <v>-0.02002967359050445</v>
      </c>
      <c r="R621" s="35" t="n">
        <v>-0.04310032596885183</v>
      </c>
      <c r="S621" s="35" t="n">
        <v>-0.08908069094712168</v>
      </c>
      <c r="T621" s="35" t="n">
        <v>-0.09553071669433932</v>
      </c>
      <c r="U621" s="30" t="n">
        <v>17170</v>
      </c>
      <c r="V621" s="30" t="n">
        <v>7400</v>
      </c>
      <c r="W621" s="35" t="n">
        <v>-0.2306348281887012</v>
      </c>
      <c r="X621" s="35" t="n">
        <v>0.7851351351351352</v>
      </c>
      <c r="Y621" s="30" t="n">
        <v>33416778</v>
      </c>
      <c r="Z621" s="30" t="n">
        <v>441435637380</v>
      </c>
      <c r="AA621" s="30" t="n">
        <v>10133483470</v>
      </c>
      <c r="AB621" s="30" t="n">
        <v>5255512633</v>
      </c>
      <c r="AC621" s="35" t="n">
        <v>0.02295574396789541</v>
      </c>
      <c r="AD621" s="24" t="inlineStr">
        <is>
          <t>yfinance_download</t>
        </is>
      </c>
      <c r="AE621" s="24" t="inlineStr">
        <is>
          <t>059090.KQ</t>
        </is>
      </c>
    </row>
    <row r="622" ht="24" customHeight="1">
      <c r="A622" s="29" t="inlineStr">
        <is>
          <t>2025-12-24</t>
        </is>
      </c>
      <c r="B622" s="31" t="n">
        <v>13260</v>
      </c>
      <c r="C622" s="31" t="n">
        <v>13370</v>
      </c>
      <c r="D622" s="31" t="n">
        <v>12570</v>
      </c>
      <c r="E622" s="31" t="n">
        <v>12710</v>
      </c>
      <c r="F622" s="31" t="n">
        <v>12710</v>
      </c>
      <c r="G622" s="31" t="n">
        <v>959476</v>
      </c>
      <c r="H622" s="36" t="n">
        <v>-0.03785011355034062</v>
      </c>
      <c r="I622" s="36" t="n">
        <v>-0.3299947285187138</v>
      </c>
      <c r="J622" s="31" t="n">
        <v>13773</v>
      </c>
      <c r="K622" s="31" t="n">
        <v>14457.33333333333</v>
      </c>
      <c r="L622" s="31" t="n">
        <v>14599.16666666667</v>
      </c>
      <c r="M622" s="36" t="n">
        <v>0.5621291017004705</v>
      </c>
      <c r="N622" s="36" t="n">
        <v>0.6434065654208839</v>
      </c>
      <c r="O622" s="36" t="n">
        <v>-0.04794007490636709</v>
      </c>
      <c r="P622" s="36" t="n">
        <v>-0.1736020806241872</v>
      </c>
      <c r="Q622" s="36" t="n">
        <v>-0.05431547619047616</v>
      </c>
      <c r="R622" s="36" t="n">
        <v>-0.07717998983518481</v>
      </c>
      <c r="S622" s="36" t="n">
        <v>-0.1208613852254912</v>
      </c>
      <c r="T622" s="36" t="n">
        <v>-0.1294023631485816</v>
      </c>
      <c r="U622" s="31" t="n">
        <v>17170</v>
      </c>
      <c r="V622" s="31" t="n">
        <v>7800</v>
      </c>
      <c r="W622" s="36" t="n">
        <v>-0.2597553873034363</v>
      </c>
      <c r="X622" s="36" t="n">
        <v>0.6294871794871795</v>
      </c>
      <c r="Y622" s="31" t="n">
        <v>33416778</v>
      </c>
      <c r="Z622" s="31" t="n">
        <v>424727248380</v>
      </c>
      <c r="AA622" s="31" t="n">
        <v>12194939960</v>
      </c>
      <c r="AB622" s="31" t="n">
        <v>5685014606</v>
      </c>
      <c r="AC622" s="36" t="n">
        <v>0.02871240309284157</v>
      </c>
      <c r="AD622" s="29" t="inlineStr">
        <is>
          <t>yfinance_download</t>
        </is>
      </c>
      <c r="AE622" s="29" t="inlineStr">
        <is>
          <t>059090.KQ</t>
        </is>
      </c>
    </row>
    <row r="623" ht="24" customHeight="1">
      <c r="A623" s="24" t="inlineStr">
        <is>
          <t>2025-12-26</t>
        </is>
      </c>
      <c r="B623" s="30" t="n">
        <v>12710</v>
      </c>
      <c r="C623" s="30" t="n">
        <v>13500</v>
      </c>
      <c r="D623" s="30" t="n">
        <v>12710</v>
      </c>
      <c r="E623" s="30" t="n">
        <v>13240</v>
      </c>
      <c r="F623" s="30" t="n">
        <v>13240</v>
      </c>
      <c r="G623" s="30" t="n">
        <v>623295</v>
      </c>
      <c r="H623" s="35" t="n">
        <v>0.04169944925255709</v>
      </c>
      <c r="I623" s="35" t="n">
        <v>-0.3020558777016341</v>
      </c>
      <c r="J623" s="30" t="n">
        <v>13761</v>
      </c>
      <c r="K623" s="30" t="n">
        <v>14430.16666666667</v>
      </c>
      <c r="L623" s="30" t="n">
        <v>14597.75</v>
      </c>
      <c r="M623" s="35" t="n">
        <v>0.5819723991287922</v>
      </c>
      <c r="N623" s="35" t="n">
        <v>0.6463940070579658</v>
      </c>
      <c r="O623" s="35" t="n">
        <v>-0.01780415430267057</v>
      </c>
      <c r="P623" s="35" t="n">
        <v>-0.1096166778749159</v>
      </c>
      <c r="Q623" s="35" t="n">
        <v>-0.01267710663683819</v>
      </c>
      <c r="R623" s="35" t="n">
        <v>-0.03786062059443351</v>
      </c>
      <c r="S623" s="35" t="n">
        <v>-0.08247767986047738</v>
      </c>
      <c r="T623" s="35" t="n">
        <v>-0.09301090921546129</v>
      </c>
      <c r="U623" s="30" t="n">
        <v>17170</v>
      </c>
      <c r="V623" s="30" t="n">
        <v>7800</v>
      </c>
      <c r="W623" s="35" t="n">
        <v>-0.2288875946418171</v>
      </c>
      <c r="X623" s="35" t="n">
        <v>0.6974358974358974</v>
      </c>
      <c r="Y623" s="30" t="n">
        <v>33416778</v>
      </c>
      <c r="Z623" s="30" t="n">
        <v>442438140720</v>
      </c>
      <c r="AA623" s="30" t="n">
        <v>8252425800</v>
      </c>
      <c r="AB623" s="30" t="n">
        <v>5942731150</v>
      </c>
      <c r="AC623" s="35" t="n">
        <v>0.01865215730852328</v>
      </c>
      <c r="AD623" s="24" t="inlineStr">
        <is>
          <t>yfinance_download</t>
        </is>
      </c>
      <c r="AE623" s="24" t="inlineStr">
        <is>
          <t>059090.KQ</t>
        </is>
      </c>
    </row>
    <row r="624" ht="24" customHeight="1">
      <c r="A624" s="29" t="inlineStr">
        <is>
          <t>2025-12-29</t>
        </is>
      </c>
      <c r="B624" s="31" t="n">
        <v>13270</v>
      </c>
      <c r="C624" s="31" t="n">
        <v>13570</v>
      </c>
      <c r="D624" s="31" t="n">
        <v>13130</v>
      </c>
      <c r="E624" s="31" t="n">
        <v>13440</v>
      </c>
      <c r="F624" s="31" t="n">
        <v>13440</v>
      </c>
      <c r="G624" s="31" t="n">
        <v>275217</v>
      </c>
      <c r="H624" s="36" t="n">
        <v>0.01510574018126887</v>
      </c>
      <c r="I624" s="36" t="n">
        <v>-0.2915129151291513</v>
      </c>
      <c r="J624" s="31" t="n">
        <v>13723</v>
      </c>
      <c r="K624" s="31" t="n">
        <v>14416.33333333333</v>
      </c>
      <c r="L624" s="31" t="n">
        <v>14590.08333333333</v>
      </c>
      <c r="M624" s="36" t="n">
        <v>0.5501296754603689</v>
      </c>
      <c r="N624" s="36" t="n">
        <v>0.6419994058400789</v>
      </c>
      <c r="O624" s="36" t="n">
        <v>-0.05352112676056342</v>
      </c>
      <c r="P624" s="36" t="n">
        <v>-0.0581639803784163</v>
      </c>
      <c r="Q624" s="36" t="n">
        <v>-0.06406685236768805</v>
      </c>
      <c r="R624" s="36" t="n">
        <v>-0.02062231290534144</v>
      </c>
      <c r="S624" s="36" t="n">
        <v>-0.06772410922795902</v>
      </c>
      <c r="T624" s="36" t="n">
        <v>-0.07882637179362695</v>
      </c>
      <c r="U624" s="31" t="n">
        <v>17170</v>
      </c>
      <c r="V624" s="31" t="n">
        <v>7800</v>
      </c>
      <c r="W624" s="36" t="n">
        <v>-0.2172393709959232</v>
      </c>
      <c r="X624" s="36" t="n">
        <v>0.7230769230769232</v>
      </c>
      <c r="Y624" s="31" t="n">
        <v>33416778</v>
      </c>
      <c r="Z624" s="31" t="n">
        <v>449121496320</v>
      </c>
      <c r="AA624" s="31" t="n">
        <v>3698916480</v>
      </c>
      <c r="AB624" s="31" t="n">
        <v>5751652454</v>
      </c>
      <c r="AC624" s="36" t="n">
        <v>0.008235892760217637</v>
      </c>
      <c r="AD624" s="29" t="inlineStr">
        <is>
          <t>yfinance_download</t>
        </is>
      </c>
      <c r="AE624" s="29" t="inlineStr">
        <is>
          <t>059090.KQ</t>
        </is>
      </c>
    </row>
    <row r="625" ht="24" customHeight="1">
      <c r="A625" s="24" t="inlineStr">
        <is>
          <t>2025-12-30</t>
        </is>
      </c>
      <c r="B625" s="30" t="n">
        <v>13350</v>
      </c>
      <c r="C625" s="30" t="n">
        <v>13750</v>
      </c>
      <c r="D625" s="30" t="n">
        <v>13320</v>
      </c>
      <c r="E625" s="30" t="n">
        <v>13380</v>
      </c>
      <c r="F625" s="30" t="n">
        <v>13380</v>
      </c>
      <c r="G625" s="30" t="n">
        <v>260783</v>
      </c>
      <c r="H625" s="35" t="n">
        <v>-0.004464285714285698</v>
      </c>
      <c r="I625" s="35" t="n">
        <v>-0.2946758039008962</v>
      </c>
      <c r="J625" s="30" t="n">
        <v>13686.5</v>
      </c>
      <c r="K625" s="30" t="n">
        <v>14399.66666666667</v>
      </c>
      <c r="L625" s="30" t="n">
        <v>14586.16666666667</v>
      </c>
      <c r="M625" s="35" t="n">
        <v>0.549981814390564</v>
      </c>
      <c r="N625" s="35" t="n">
        <v>0.6418429844952644</v>
      </c>
      <c r="O625" s="35" t="n">
        <v>-0.0517363571934798</v>
      </c>
      <c r="P625" s="35" t="n">
        <v>-0.06954102920723226</v>
      </c>
      <c r="Q625" s="35" t="n">
        <v>-0.03393501805054155</v>
      </c>
      <c r="R625" s="35" t="n">
        <v>-0.02239433017937387</v>
      </c>
      <c r="S625" s="35" t="n">
        <v>-0.07081182434778577</v>
      </c>
      <c r="T625" s="35" t="n">
        <v>-0.08269250545608275</v>
      </c>
      <c r="U625" s="30" t="n">
        <v>17170</v>
      </c>
      <c r="V625" s="30" t="n">
        <v>7800</v>
      </c>
      <c r="W625" s="35" t="n">
        <v>-0.2207338380896913</v>
      </c>
      <c r="X625" s="35" t="n">
        <v>0.7153846153846153</v>
      </c>
      <c r="Y625" s="30" t="n">
        <v>33416778</v>
      </c>
      <c r="Z625" s="30" t="n">
        <v>447116489640</v>
      </c>
      <c r="AA625" s="30" t="n">
        <v>3489276540</v>
      </c>
      <c r="AB625" s="30" t="n">
        <v>5634388503.5</v>
      </c>
      <c r="AC625" s="35" t="n">
        <v>0.007803954049669301</v>
      </c>
      <c r="AD625" s="24" t="inlineStr">
        <is>
          <t>yfinance_download</t>
        </is>
      </c>
      <c r="AE625" s="24" t="inlineStr">
        <is>
          <t>059090.KQ</t>
        </is>
      </c>
    </row>
    <row r="626" ht="24" customHeight="1">
      <c r="A626" s="29" t="inlineStr">
        <is>
          <t>2026-01-02</t>
        </is>
      </c>
      <c r="B626" s="31" t="n">
        <v>13390</v>
      </c>
      <c r="C626" s="31" t="n">
        <v>13880</v>
      </c>
      <c r="D626" s="31" t="n">
        <v>13130</v>
      </c>
      <c r="E626" s="31" t="n">
        <v>13730</v>
      </c>
      <c r="F626" s="31" t="n">
        <v>13730</v>
      </c>
      <c r="G626" s="31" t="n">
        <v>203406</v>
      </c>
      <c r="H626" s="36" t="n">
        <v>0.02615844544095669</v>
      </c>
      <c r="I626" s="36" t="n">
        <v>-0.2762256193990511</v>
      </c>
      <c r="J626" s="31" t="n">
        <v>13660.5</v>
      </c>
      <c r="K626" s="31" t="n">
        <v>14388.5</v>
      </c>
      <c r="L626" s="31" t="n">
        <v>14587.33333333333</v>
      </c>
      <c r="M626" s="36" t="n">
        <v>0.5576481905732805</v>
      </c>
      <c r="N626" s="36" t="n">
        <v>0.6441428249317016</v>
      </c>
      <c r="O626" s="36" t="n">
        <v>-0.03649122807017546</v>
      </c>
      <c r="P626" s="36" t="n">
        <v>-0.04652777777777772</v>
      </c>
      <c r="Q626" s="36" t="n">
        <v>0.01030169242089762</v>
      </c>
      <c r="R626" s="36" t="n">
        <v>0.005087661505801311</v>
      </c>
      <c r="S626" s="36" t="n">
        <v>-0.04576571567571319</v>
      </c>
      <c r="T626" s="36" t="n">
        <v>-0.05877245098487272</v>
      </c>
      <c r="U626" s="31" t="n">
        <v>17170</v>
      </c>
      <c r="V626" s="31" t="n">
        <v>7800</v>
      </c>
      <c r="W626" s="36" t="n">
        <v>-0.2003494467093768</v>
      </c>
      <c r="X626" s="36" t="n">
        <v>0.7602564102564102</v>
      </c>
      <c r="Y626" s="31" t="n">
        <v>33416778</v>
      </c>
      <c r="Z626" s="31" t="n">
        <v>458812361940</v>
      </c>
      <c r="AA626" s="31" t="n">
        <v>2792764380</v>
      </c>
      <c r="AB626" s="31" t="n">
        <v>5493861035</v>
      </c>
      <c r="AC626" s="36" t="n">
        <v>0.006086942313828101</v>
      </c>
      <c r="AD626" s="29" t="inlineStr">
        <is>
          <t>yfinance_download</t>
        </is>
      </c>
      <c r="AE626" s="29" t="inlineStr">
        <is>
          <t>059090.KQ</t>
        </is>
      </c>
    </row>
    <row r="627" ht="24" customHeight="1">
      <c r="A627" s="24" t="inlineStr">
        <is>
          <t>2026-01-05</t>
        </is>
      </c>
      <c r="B627" s="30" t="n">
        <v>14230</v>
      </c>
      <c r="C627" s="30" t="n">
        <v>14520</v>
      </c>
      <c r="D627" s="30" t="n">
        <v>13910</v>
      </c>
      <c r="E627" s="30" t="n">
        <v>14080</v>
      </c>
      <c r="F627" s="30" t="n">
        <v>14080</v>
      </c>
      <c r="G627" s="30" t="n">
        <v>342480</v>
      </c>
      <c r="H627" s="35" t="n">
        <v>0.02549162418062645</v>
      </c>
      <c r="I627" s="35" t="n">
        <v>-0.2577754348972061</v>
      </c>
      <c r="J627" s="30" t="n">
        <v>13647</v>
      </c>
      <c r="K627" s="30" t="n">
        <v>14372.33333333333</v>
      </c>
      <c r="L627" s="30" t="n">
        <v>14587.75</v>
      </c>
      <c r="M627" s="35" t="n">
        <v>0.5650955600130084</v>
      </c>
      <c r="N627" s="35" t="n">
        <v>0.6395043066069275</v>
      </c>
      <c r="O627" s="35" t="n">
        <v>-0.01881533101045296</v>
      </c>
      <c r="P627" s="35" t="n">
        <v>-0.06445182724252496</v>
      </c>
      <c r="Q627" s="35" t="n">
        <v>0.003563791874554578</v>
      </c>
      <c r="R627" s="35" t="n">
        <v>0.03172858503700438</v>
      </c>
      <c r="S627" s="35" t="n">
        <v>-0.02034000510239586</v>
      </c>
      <c r="T627" s="35" t="n">
        <v>-0.03480660142928138</v>
      </c>
      <c r="U627" s="30" t="n">
        <v>17170</v>
      </c>
      <c r="V627" s="30" t="n">
        <v>7800</v>
      </c>
      <c r="W627" s="35" t="n">
        <v>-0.1799650553290624</v>
      </c>
      <c r="X627" s="35" t="n">
        <v>0.8051282051282052</v>
      </c>
      <c r="Y627" s="30" t="n">
        <v>33416778</v>
      </c>
      <c r="Z627" s="30" t="n">
        <v>470508234240</v>
      </c>
      <c r="AA627" s="30" t="n">
        <v>4822118400</v>
      </c>
      <c r="AB627" s="30" t="n">
        <v>5530569142.5</v>
      </c>
      <c r="AC627" s="35" t="n">
        <v>0.01024874390942179</v>
      </c>
      <c r="AD627" s="24" t="inlineStr">
        <is>
          <t>yfinance_download</t>
        </is>
      </c>
      <c r="AE627" s="24" t="inlineStr">
        <is>
          <t>059090.KQ</t>
        </is>
      </c>
    </row>
    <row r="628" ht="24" customHeight="1">
      <c r="A628" s="29" t="inlineStr">
        <is>
          <t>2026-01-06</t>
        </is>
      </c>
      <c r="B628" s="31" t="n">
        <v>14020</v>
      </c>
      <c r="C628" s="31" t="n">
        <v>14440</v>
      </c>
      <c r="D628" s="31" t="n">
        <v>13860</v>
      </c>
      <c r="E628" s="31" t="n">
        <v>14440</v>
      </c>
      <c r="F628" s="31" t="n">
        <v>14440</v>
      </c>
      <c r="G628" s="31" t="n">
        <v>329963</v>
      </c>
      <c r="H628" s="36" t="n">
        <v>0.02556818181818188</v>
      </c>
      <c r="I628" s="36" t="n">
        <v>-0.2387981022667369</v>
      </c>
      <c r="J628" s="31" t="n">
        <v>13672.5</v>
      </c>
      <c r="K628" s="31" t="n">
        <v>14344.83333333333</v>
      </c>
      <c r="L628" s="31" t="n">
        <v>14593.16666666667</v>
      </c>
      <c r="M628" s="36" t="n">
        <v>0.5613832859221358</v>
      </c>
      <c r="N628" s="36" t="n">
        <v>0.6253848583151819</v>
      </c>
      <c r="O628" s="36" t="n">
        <v>0.03661162957645381</v>
      </c>
      <c r="P628" s="36" t="n">
        <v>-0.1025481665630826</v>
      </c>
      <c r="Q628" s="36" t="n">
        <v>0.04713560551123996</v>
      </c>
      <c r="R628" s="36" t="n">
        <v>0.05613457670506494</v>
      </c>
      <c r="S628" s="36" t="n">
        <v>0.00663421208565218</v>
      </c>
      <c r="T628" s="36" t="n">
        <v>-0.01049577998835072</v>
      </c>
      <c r="U628" s="31" t="n">
        <v>17170</v>
      </c>
      <c r="V628" s="31" t="n">
        <v>7800</v>
      </c>
      <c r="W628" s="36" t="n">
        <v>-0.1589982527664531</v>
      </c>
      <c r="X628" s="36" t="n">
        <v>0.8512820512820514</v>
      </c>
      <c r="Y628" s="31" t="n">
        <v>33416778</v>
      </c>
      <c r="Z628" s="31" t="n">
        <v>482538274320</v>
      </c>
      <c r="AA628" s="31" t="n">
        <v>4764665720</v>
      </c>
      <c r="AB628" s="31" t="n">
        <v>5558216350</v>
      </c>
      <c r="AC628" s="36" t="n">
        <v>0.009874171591288663</v>
      </c>
      <c r="AD628" s="29" t="inlineStr">
        <is>
          <t>yfinance_download</t>
        </is>
      </c>
      <c r="AE628" s="29" t="inlineStr">
        <is>
          <t>059090.KQ</t>
        </is>
      </c>
    </row>
    <row r="629" ht="24" customHeight="1">
      <c r="A629" s="24" t="inlineStr">
        <is>
          <t>2026-01-07</t>
        </is>
      </c>
      <c r="B629" s="30" t="n">
        <v>14510</v>
      </c>
      <c r="C629" s="30" t="n">
        <v>14710</v>
      </c>
      <c r="D629" s="30" t="n">
        <v>13870</v>
      </c>
      <c r="E629" s="30" t="n">
        <v>14000</v>
      </c>
      <c r="F629" s="30" t="n">
        <v>14000</v>
      </c>
      <c r="G629" s="30" t="n">
        <v>420992</v>
      </c>
      <c r="H629" s="35" t="n">
        <v>-0.03047091412742386</v>
      </c>
      <c r="I629" s="35" t="n">
        <v>-0.2619926199261993</v>
      </c>
      <c r="J629" s="30" t="n">
        <v>13675.5</v>
      </c>
      <c r="K629" s="30" t="n">
        <v>14307</v>
      </c>
      <c r="L629" s="30" t="n">
        <v>14597.25</v>
      </c>
      <c r="M629" s="35" t="n">
        <v>0.5734072220634351</v>
      </c>
      <c r="N629" s="35" t="n">
        <v>0.627725967388691</v>
      </c>
      <c r="O629" s="35" t="n">
        <v>0.004304160688665792</v>
      </c>
      <c r="P629" s="35" t="n">
        <v>-0.139520590043024</v>
      </c>
      <c r="Q629" s="35" t="n">
        <v>0.03626943005181338</v>
      </c>
      <c r="R629" s="35" t="n">
        <v>0.02372856568315607</v>
      </c>
      <c r="S629" s="35" t="n">
        <v>-0.02145802753896697</v>
      </c>
      <c r="T629" s="35" t="n">
        <v>-0.04091524088441312</v>
      </c>
      <c r="U629" s="30" t="n">
        <v>17170</v>
      </c>
      <c r="V629" s="30" t="n">
        <v>7800</v>
      </c>
      <c r="W629" s="35" t="n">
        <v>-0.18462434478742</v>
      </c>
      <c r="X629" s="35" t="n">
        <v>0.7948717948717949</v>
      </c>
      <c r="Y629" s="30" t="n">
        <v>33416778</v>
      </c>
      <c r="Z629" s="30" t="n">
        <v>467834892000</v>
      </c>
      <c r="AA629" s="30" t="n">
        <v>5893888000</v>
      </c>
      <c r="AB629" s="30" t="n">
        <v>5631984751</v>
      </c>
      <c r="AC629" s="35" t="n">
        <v>0.01259822236602224</v>
      </c>
      <c r="AD629" s="24" t="inlineStr">
        <is>
          <t>yfinance_download</t>
        </is>
      </c>
      <c r="AE629" s="24" t="inlineStr">
        <is>
          <t>059090.KQ</t>
        </is>
      </c>
    </row>
    <row r="630" ht="24" customHeight="1">
      <c r="A630" s="29" t="inlineStr">
        <is>
          <t>2026-01-08</t>
        </is>
      </c>
      <c r="B630" s="31" t="n">
        <v>13920</v>
      </c>
      <c r="C630" s="31" t="n">
        <v>14060</v>
      </c>
      <c r="D630" s="31" t="n">
        <v>13260</v>
      </c>
      <c r="E630" s="31" t="n">
        <v>13260</v>
      </c>
      <c r="F630" s="31" t="n">
        <v>13260</v>
      </c>
      <c r="G630" s="31" t="n">
        <v>272002</v>
      </c>
      <c r="H630" s="36" t="n">
        <v>-0.05285714285714282</v>
      </c>
      <c r="I630" s="36" t="n">
        <v>-0.3010015814443858</v>
      </c>
      <c r="J630" s="31" t="n">
        <v>13639.5</v>
      </c>
      <c r="K630" s="31" t="n">
        <v>14263.5</v>
      </c>
      <c r="L630" s="31" t="n">
        <v>14595.58333333333</v>
      </c>
      <c r="M630" s="36" t="n">
        <v>0.6040853192370118</v>
      </c>
      <c r="N630" s="36" t="n">
        <v>0.6347543357894937</v>
      </c>
      <c r="O630" s="36" t="n">
        <v>-0.05150214592274682</v>
      </c>
      <c r="P630" s="36" t="n">
        <v>-0.1644612476370511</v>
      </c>
      <c r="Q630" s="36" t="n">
        <v>-0.01485884101040114</v>
      </c>
      <c r="R630" s="36" t="n">
        <v>-0.0278236005718685</v>
      </c>
      <c r="S630" s="36" t="n">
        <v>-0.07035440109370072</v>
      </c>
      <c r="T630" s="36" t="n">
        <v>-0.09150599210948518</v>
      </c>
      <c r="U630" s="31" t="n">
        <v>17170</v>
      </c>
      <c r="V630" s="31" t="n">
        <v>7920</v>
      </c>
      <c r="W630" s="36" t="n">
        <v>-0.2277227722772277</v>
      </c>
      <c r="X630" s="36" t="n">
        <v>0.6742424242424243</v>
      </c>
      <c r="Y630" s="31" t="n">
        <v>33416778</v>
      </c>
      <c r="Z630" s="31" t="n">
        <v>443106476280</v>
      </c>
      <c r="AA630" s="31" t="n">
        <v>3606746520</v>
      </c>
      <c r="AB630" s="31" t="n">
        <v>5631355870</v>
      </c>
      <c r="AC630" s="36" t="n">
        <v>0.008139683604445646</v>
      </c>
      <c r="AD630" s="29" t="inlineStr">
        <is>
          <t>yfinance_download</t>
        </is>
      </c>
      <c r="AE630" s="29" t="inlineStr">
        <is>
          <t>059090.KQ</t>
        </is>
      </c>
    </row>
    <row r="631" ht="24" customHeight="1">
      <c r="A631" s="24" t="inlineStr">
        <is>
          <t>2026-01-09</t>
        </is>
      </c>
      <c r="B631" s="30" t="n">
        <v>13310</v>
      </c>
      <c r="C631" s="30" t="n">
        <v>13390</v>
      </c>
      <c r="D631" s="30" t="n">
        <v>13000</v>
      </c>
      <c r="E631" s="30" t="n">
        <v>13120</v>
      </c>
      <c r="F631" s="30" t="n">
        <v>13120</v>
      </c>
      <c r="G631" s="30" t="n">
        <v>168226</v>
      </c>
      <c r="H631" s="35" t="n">
        <v>-0.01055806938159876</v>
      </c>
      <c r="I631" s="35" t="n">
        <v>-0.3083816552451238</v>
      </c>
      <c r="J631" s="30" t="n">
        <v>13597</v>
      </c>
      <c r="K631" s="30" t="n">
        <v>14225.16666666667</v>
      </c>
      <c r="L631" s="30" t="n">
        <v>14598.58333333333</v>
      </c>
      <c r="M631" s="35" t="n">
        <v>0.6048283872840208</v>
      </c>
      <c r="N631" s="35" t="n">
        <v>0.6326685070251364</v>
      </c>
      <c r="O631" s="35" t="n">
        <v>-0.0608446671438797</v>
      </c>
      <c r="P631" s="35" t="n">
        <v>-0.1491569390402075</v>
      </c>
      <c r="Q631" s="35" t="n">
        <v>0.02821316614420066</v>
      </c>
      <c r="R631" s="35" t="n">
        <v>-0.03508126792674859</v>
      </c>
      <c r="S631" s="35" t="n">
        <v>-0.07769094679617106</v>
      </c>
      <c r="T631" s="35" t="n">
        <v>-0.101282658705468</v>
      </c>
      <c r="U631" s="30" t="n">
        <v>17170</v>
      </c>
      <c r="V631" s="30" t="n">
        <v>7920</v>
      </c>
      <c r="W631" s="35" t="n">
        <v>-0.2358765288293535</v>
      </c>
      <c r="X631" s="35" t="n">
        <v>0.6565656565656566</v>
      </c>
      <c r="Y631" s="30" t="n">
        <v>33416778</v>
      </c>
      <c r="Z631" s="30" t="n">
        <v>438428127360</v>
      </c>
      <c r="AA631" s="30" t="n">
        <v>2207125120</v>
      </c>
      <c r="AB631" s="30" t="n">
        <v>5589421663.5</v>
      </c>
      <c r="AC631" s="35" t="n">
        <v>0.005034177741492612</v>
      </c>
      <c r="AD631" s="24" t="inlineStr">
        <is>
          <t>yfinance_download</t>
        </is>
      </c>
      <c r="AE631" s="24" t="inlineStr">
        <is>
          <t>059090.KQ</t>
        </is>
      </c>
    </row>
    <row r="632" ht="24" customHeight="1">
      <c r="A632" s="29" t="inlineStr">
        <is>
          <t>2026-01-12</t>
        </is>
      </c>
      <c r="B632" s="31" t="n">
        <v>13230</v>
      </c>
      <c r="C632" s="31" t="n">
        <v>13260</v>
      </c>
      <c r="D632" s="31" t="n">
        <v>12890</v>
      </c>
      <c r="E632" s="31" t="n">
        <v>13050</v>
      </c>
      <c r="F632" s="31" t="n">
        <v>13050</v>
      </c>
      <c r="G632" s="31" t="n">
        <v>239324</v>
      </c>
      <c r="H632" s="36" t="n">
        <v>-0.005335365853658569</v>
      </c>
      <c r="I632" s="36" t="n">
        <v>-0.3120716921454929</v>
      </c>
      <c r="J632" s="31" t="n">
        <v>13547.5</v>
      </c>
      <c r="K632" s="31" t="n">
        <v>14177.33333333333</v>
      </c>
      <c r="L632" s="31" t="n">
        <v>14599.16666666667</v>
      </c>
      <c r="M632" s="36" t="n">
        <v>0.6042521774639191</v>
      </c>
      <c r="N632" s="36" t="n">
        <v>0.6286330600053376</v>
      </c>
      <c r="O632" s="36" t="n">
        <v>-0.07051282051282048</v>
      </c>
      <c r="P632" s="36" t="n">
        <v>-0.1802763819095478</v>
      </c>
      <c r="Q632" s="36" t="n">
        <v>0.005392912172573094</v>
      </c>
      <c r="R632" s="36" t="n">
        <v>-0.03672264255397673</v>
      </c>
      <c r="S632" s="36" t="n">
        <v>-0.07951659926643473</v>
      </c>
      <c r="T632" s="36" t="n">
        <v>-0.1061133626348536</v>
      </c>
      <c r="U632" s="31" t="n">
        <v>17170</v>
      </c>
      <c r="V632" s="31" t="n">
        <v>7920</v>
      </c>
      <c r="W632" s="36" t="n">
        <v>-0.2399534071054165</v>
      </c>
      <c r="X632" s="36" t="n">
        <v>0.6477272727272727</v>
      </c>
      <c r="Y632" s="31" t="n">
        <v>33416778</v>
      </c>
      <c r="Z632" s="31" t="n">
        <v>436088952900</v>
      </c>
      <c r="AA632" s="31" t="n">
        <v>3123178200</v>
      </c>
      <c r="AB632" s="31" t="n">
        <v>5442302533.5</v>
      </c>
      <c r="AC632" s="36" t="n">
        <v>0.007161791600614518</v>
      </c>
      <c r="AD632" s="29" t="inlineStr">
        <is>
          <t>yfinance_download</t>
        </is>
      </c>
      <c r="AE632" s="29" t="inlineStr">
        <is>
          <t>059090.KQ</t>
        </is>
      </c>
    </row>
    <row r="633" ht="24" customHeight="1">
      <c r="A633" s="24" t="inlineStr">
        <is>
          <t>2026-01-13</t>
        </is>
      </c>
      <c r="B633" s="30" t="n">
        <v>13100</v>
      </c>
      <c r="C633" s="30" t="n">
        <v>13200</v>
      </c>
      <c r="D633" s="30" t="n">
        <v>12760</v>
      </c>
      <c r="E633" s="30" t="n">
        <v>12890</v>
      </c>
      <c r="F633" s="30" t="n">
        <v>12890</v>
      </c>
      <c r="G633" s="30" t="n">
        <v>279234</v>
      </c>
      <c r="H633" s="35" t="n">
        <v>-0.01226053639846747</v>
      </c>
      <c r="I633" s="35" t="n">
        <v>-0.3205060622034792</v>
      </c>
      <c r="J633" s="30" t="n">
        <v>13507.5</v>
      </c>
      <c r="K633" s="30" t="n">
        <v>14135.16666666667</v>
      </c>
      <c r="L633" s="30" t="n">
        <v>14592.16666666667</v>
      </c>
      <c r="M633" s="35" t="n">
        <v>0.5998001350450645</v>
      </c>
      <c r="N633" s="35" t="n">
        <v>0.6260984634372003</v>
      </c>
      <c r="O633" s="35" t="n">
        <v>-0.05843681519357191</v>
      </c>
      <c r="P633" s="35" t="n">
        <v>-0.1640726329442282</v>
      </c>
      <c r="Q633" s="35" t="n">
        <v>-0.06117989803350332</v>
      </c>
      <c r="R633" s="35" t="n">
        <v>-0.04571534332778082</v>
      </c>
      <c r="S633" s="35" t="n">
        <v>-0.08808998832698589</v>
      </c>
      <c r="T633" s="35" t="n">
        <v>-0.1166493438260253</v>
      </c>
      <c r="U633" s="30" t="n">
        <v>17170</v>
      </c>
      <c r="V633" s="30" t="n">
        <v>7920</v>
      </c>
      <c r="W633" s="35" t="n">
        <v>-0.2492719860221316</v>
      </c>
      <c r="X633" s="35" t="n">
        <v>0.6275252525252526</v>
      </c>
      <c r="Y633" s="30" t="n">
        <v>33416778</v>
      </c>
      <c r="Z633" s="30" t="n">
        <v>430742268420</v>
      </c>
      <c r="AA633" s="30" t="n">
        <v>3599326260</v>
      </c>
      <c r="AB633" s="30" t="n">
        <v>4928938112</v>
      </c>
      <c r="AC633" s="35" t="n">
        <v>0.008356101836029793</v>
      </c>
      <c r="AD633" s="24" t="inlineStr">
        <is>
          <t>yfinance_download</t>
        </is>
      </c>
      <c r="AE633" s="24" t="inlineStr">
        <is>
          <t>059090.KQ</t>
        </is>
      </c>
    </row>
    <row r="634" ht="24" customHeight="1">
      <c r="A634" s="29" t="inlineStr">
        <is>
          <t>2026-01-14</t>
        </is>
      </c>
      <c r="B634" s="31" t="n">
        <v>12950</v>
      </c>
      <c r="C634" s="31" t="n">
        <v>13200</v>
      </c>
      <c r="D634" s="31" t="n">
        <v>12830</v>
      </c>
      <c r="E634" s="31" t="n">
        <v>13150</v>
      </c>
      <c r="F634" s="31" t="n">
        <v>13150</v>
      </c>
      <c r="G634" s="31" t="n">
        <v>260960</v>
      </c>
      <c r="H634" s="36" t="n">
        <v>0.02017067494181535</v>
      </c>
      <c r="I634" s="36" t="n">
        <v>-0.3068002108592515</v>
      </c>
      <c r="J634" s="31" t="n">
        <v>13450</v>
      </c>
      <c r="K634" s="31" t="n">
        <v>14104.33333333333</v>
      </c>
      <c r="L634" s="31" t="n">
        <v>14589.91666666667</v>
      </c>
      <c r="M634" s="36" t="n">
        <v>0.5804517767793862</v>
      </c>
      <c r="N634" s="36" t="n">
        <v>0.625548921043641</v>
      </c>
      <c r="O634" s="36" t="n">
        <v>-0.08041958041958042</v>
      </c>
      <c r="P634" s="36" t="n">
        <v>-0.1233333333333333</v>
      </c>
      <c r="Q634" s="36" t="n">
        <v>-0.02011922503725783</v>
      </c>
      <c r="R634" s="36" t="n">
        <v>-0.02230483271375461</v>
      </c>
      <c r="S634" s="36" t="n">
        <v>-0.06766242053269689</v>
      </c>
      <c r="T634" s="36" t="n">
        <v>-0.09869259020213728</v>
      </c>
      <c r="U634" s="31" t="n">
        <v>17170</v>
      </c>
      <c r="V634" s="31" t="n">
        <v>8020</v>
      </c>
      <c r="W634" s="36" t="n">
        <v>-0.2341292952824694</v>
      </c>
      <c r="X634" s="36" t="n">
        <v>0.6396508728179551</v>
      </c>
      <c r="Y634" s="31" t="n">
        <v>33416778</v>
      </c>
      <c r="Z634" s="31" t="n">
        <v>439430630700</v>
      </c>
      <c r="AA634" s="31" t="n">
        <v>3431624000</v>
      </c>
      <c r="AB634" s="31" t="n">
        <v>4759202622</v>
      </c>
      <c r="AC634" s="36" t="n">
        <v>0.007809250790127043</v>
      </c>
      <c r="AD634" s="29" t="inlineStr">
        <is>
          <t>yfinance_download</t>
        </is>
      </c>
      <c r="AE634" s="29" t="inlineStr">
        <is>
          <t>059090.KQ</t>
        </is>
      </c>
    </row>
    <row r="635" ht="24" customHeight="1">
      <c r="A635" s="24" t="inlineStr">
        <is>
          <t>2026-01-15</t>
        </is>
      </c>
      <c r="B635" s="30" t="n">
        <v>13160</v>
      </c>
      <c r="C635" s="30" t="n">
        <v>13240</v>
      </c>
      <c r="D635" s="30" t="n">
        <v>12970</v>
      </c>
      <c r="E635" s="30" t="n">
        <v>13180</v>
      </c>
      <c r="F635" s="30" t="n">
        <v>13180</v>
      </c>
      <c r="G635" s="30" t="n">
        <v>159851</v>
      </c>
      <c r="H635" s="35" t="n">
        <v>0.002281368821292817</v>
      </c>
      <c r="I635" s="35" t="n">
        <v>-0.305218766473379</v>
      </c>
      <c r="J635" s="30" t="n">
        <v>13421</v>
      </c>
      <c r="K635" s="30" t="n">
        <v>14039.5</v>
      </c>
      <c r="L635" s="30" t="n">
        <v>14589.16666666667</v>
      </c>
      <c r="M635" s="35" t="n">
        <v>0.5663769563800322</v>
      </c>
      <c r="N635" s="35" t="n">
        <v>0.55408728058719</v>
      </c>
      <c r="O635" s="35" t="n">
        <v>-0.04215116279069764</v>
      </c>
      <c r="P635" s="35" t="n">
        <v>-0.2278851786760399</v>
      </c>
      <c r="Q635" s="35" t="n">
        <v>-0.0067822155237377</v>
      </c>
      <c r="R635" s="35" t="n">
        <v>-0.0179569331644438</v>
      </c>
      <c r="S635" s="35" t="n">
        <v>-0.06122012892197015</v>
      </c>
      <c r="T635" s="35" t="n">
        <v>-0.09658993545438965</v>
      </c>
      <c r="U635" s="30" t="n">
        <v>17170</v>
      </c>
      <c r="V635" s="30" t="n">
        <v>8280</v>
      </c>
      <c r="W635" s="35" t="n">
        <v>-0.2323820617355853</v>
      </c>
      <c r="X635" s="35" t="n">
        <v>0.5917874396135265</v>
      </c>
      <c r="Y635" s="30" t="n">
        <v>33416778</v>
      </c>
      <c r="Z635" s="30" t="n">
        <v>440433134040</v>
      </c>
      <c r="AA635" s="30" t="n">
        <v>2106836180</v>
      </c>
      <c r="AB635" s="30" t="n">
        <v>4685495183</v>
      </c>
      <c r="AC635" s="35" t="n">
        <v>0.004783555135088128</v>
      </c>
      <c r="AD635" s="24" t="inlineStr">
        <is>
          <t>yfinance_download</t>
        </is>
      </c>
      <c r="AE635" s="24" t="inlineStr">
        <is>
          <t>059090.KQ</t>
        </is>
      </c>
    </row>
    <row r="636" ht="24" customHeight="1">
      <c r="A636" s="29" t="inlineStr">
        <is>
          <t>2026-01-16</t>
        </is>
      </c>
      <c r="B636" s="31" t="n">
        <v>13360</v>
      </c>
      <c r="C636" s="31" t="n">
        <v>13930</v>
      </c>
      <c r="D636" s="31" t="n">
        <v>13170</v>
      </c>
      <c r="E636" s="31" t="n">
        <v>13260</v>
      </c>
      <c r="F636" s="31" t="n">
        <v>13260</v>
      </c>
      <c r="G636" s="31" t="n">
        <v>290739</v>
      </c>
      <c r="H636" s="36" t="n">
        <v>0.006069802731411222</v>
      </c>
      <c r="I636" s="36" t="n">
        <v>-0.3010015814443858</v>
      </c>
      <c r="J636" s="31" t="n">
        <v>13426.5</v>
      </c>
      <c r="K636" s="31" t="n">
        <v>13993.66666666667</v>
      </c>
      <c r="L636" s="31" t="n">
        <v>14587.16666666667</v>
      </c>
      <c r="M636" s="36" t="n">
        <v>0.5436768052641099</v>
      </c>
      <c r="N636" s="36" t="n">
        <v>0.5408557051603435</v>
      </c>
      <c r="O636" s="36" t="n">
        <v>0.008365019011406849</v>
      </c>
      <c r="P636" s="36" t="n">
        <v>-0.1717676452217364</v>
      </c>
      <c r="Q636" s="36" t="n">
        <v>-0.01777777777777778</v>
      </c>
      <c r="R636" s="36" t="n">
        <v>-0.01240084906714334</v>
      </c>
      <c r="S636" s="36" t="n">
        <v>-0.05242847955027274</v>
      </c>
      <c r="T636" s="36" t="n">
        <v>-0.09098179906995874</v>
      </c>
      <c r="U636" s="31" t="n">
        <v>17170</v>
      </c>
      <c r="V636" s="31" t="n">
        <v>8280</v>
      </c>
      <c r="W636" s="36" t="n">
        <v>-0.2277227722772277</v>
      </c>
      <c r="X636" s="36" t="n">
        <v>0.6014492753623188</v>
      </c>
      <c r="Y636" s="31" t="n">
        <v>33416778</v>
      </c>
      <c r="Z636" s="31" t="n">
        <v>443106476280</v>
      </c>
      <c r="AA636" s="31" t="n">
        <v>3855199140</v>
      </c>
      <c r="AB636" s="31" t="n">
        <v>4652683985</v>
      </c>
      <c r="AC636" s="36" t="n">
        <v>0.008700389965783057</v>
      </c>
      <c r="AD636" s="29" t="inlineStr">
        <is>
          <t>yfinance_download</t>
        </is>
      </c>
      <c r="AE636" s="29" t="inlineStr">
        <is>
          <t>059090.KQ</t>
        </is>
      </c>
    </row>
    <row r="637" ht="24" customHeight="1">
      <c r="A637" s="24" t="inlineStr">
        <is>
          <t>2026-01-19</t>
        </is>
      </c>
      <c r="B637" s="30" t="n">
        <v>13130</v>
      </c>
      <c r="C637" s="30" t="n">
        <v>13370</v>
      </c>
      <c r="D637" s="30" t="n">
        <v>13000</v>
      </c>
      <c r="E637" s="30" t="n">
        <v>13170</v>
      </c>
      <c r="F637" s="30" t="n">
        <v>13170</v>
      </c>
      <c r="G637" s="30" t="n">
        <v>235366</v>
      </c>
      <c r="H637" s="35" t="n">
        <v>-0.006787330316742057</v>
      </c>
      <c r="I637" s="35" t="n">
        <v>-0.3057459146020032</v>
      </c>
      <c r="J637" s="30" t="n">
        <v>13407.5</v>
      </c>
      <c r="K637" s="30" t="n">
        <v>13953.16666666667</v>
      </c>
      <c r="L637" s="30" t="n">
        <v>14589</v>
      </c>
      <c r="M637" s="35" t="n">
        <v>0.5328878951230712</v>
      </c>
      <c r="N637" s="35" t="n">
        <v>0.5388022111225835</v>
      </c>
      <c r="O637" s="35" t="n">
        <v>-0.02804428044280438</v>
      </c>
      <c r="P637" s="35" t="n">
        <v>-0.1557692307692308</v>
      </c>
      <c r="Q637" s="35" t="n">
        <v>0.01698841698841691</v>
      </c>
      <c r="R637" s="35" t="n">
        <v>-0.01771396606377029</v>
      </c>
      <c r="S637" s="35" t="n">
        <v>-0.05612823851216564</v>
      </c>
      <c r="T637" s="35" t="n">
        <v>-0.09726506271848656</v>
      </c>
      <c r="U637" s="30" t="n">
        <v>17170</v>
      </c>
      <c r="V637" s="30" t="n">
        <v>8280</v>
      </c>
      <c r="W637" s="35" t="n">
        <v>-0.23296447291788</v>
      </c>
      <c r="X637" s="35" t="n">
        <v>0.5905797101449275</v>
      </c>
      <c r="Y637" s="30" t="n">
        <v>33416778</v>
      </c>
      <c r="Z637" s="30" t="n">
        <v>440098966260</v>
      </c>
      <c r="AA637" s="30" t="n">
        <v>3099770220</v>
      </c>
      <c r="AB637" s="30" t="n">
        <v>4681961693.5</v>
      </c>
      <c r="AC637" s="35" t="n">
        <v>0.007043348104954942</v>
      </c>
      <c r="AD637" s="24" t="inlineStr">
        <is>
          <t>yfinance_download</t>
        </is>
      </c>
      <c r="AE637" s="24" t="inlineStr">
        <is>
          <t>059090.KQ</t>
        </is>
      </c>
    </row>
    <row r="638" ht="24" customHeight="1">
      <c r="A638" s="29" t="inlineStr">
        <is>
          <t>2026-01-20</t>
        </is>
      </c>
      <c r="B638" s="31" t="n">
        <v>13130</v>
      </c>
      <c r="C638" s="31" t="n">
        <v>13190</v>
      </c>
      <c r="D638" s="31" t="n">
        <v>12630</v>
      </c>
      <c r="E638" s="31" t="n">
        <v>13100</v>
      </c>
      <c r="F638" s="31" t="n">
        <v>13100</v>
      </c>
      <c r="G638" s="31" t="n">
        <v>312830</v>
      </c>
      <c r="H638" s="36" t="n">
        <v>-0.005315110098709219</v>
      </c>
      <c r="I638" s="36" t="n">
        <v>-0.3094359515023721</v>
      </c>
      <c r="J638" s="31" t="n">
        <v>13399.5</v>
      </c>
      <c r="K638" s="31" t="n">
        <v>13916.33333333333</v>
      </c>
      <c r="L638" s="31" t="n">
        <v>14590.33333333333</v>
      </c>
      <c r="M638" s="36" t="n">
        <v>0.5277066779332589</v>
      </c>
      <c r="N638" s="36" t="n">
        <v>0.5377687970929161</v>
      </c>
      <c r="O638" s="36" t="n">
        <v>-0.01206636500754144</v>
      </c>
      <c r="P638" s="36" t="n">
        <v>-0.1443500979751796</v>
      </c>
      <c r="Q638" s="36" t="n">
        <v>0.01236476043276657</v>
      </c>
      <c r="R638" s="36" t="n">
        <v>-0.02235158028284634</v>
      </c>
      <c r="S638" s="36" t="n">
        <v>-0.05866008766677056</v>
      </c>
      <c r="T638" s="36" t="n">
        <v>-0.1021452559914099</v>
      </c>
      <c r="U638" s="31" t="n">
        <v>17170</v>
      </c>
      <c r="V638" s="31" t="n">
        <v>8280</v>
      </c>
      <c r="W638" s="36" t="n">
        <v>-0.2370413511939429</v>
      </c>
      <c r="X638" s="36" t="n">
        <v>0.5821256038647342</v>
      </c>
      <c r="Y638" s="31" t="n">
        <v>33416778</v>
      </c>
      <c r="Z638" s="31" t="n">
        <v>437759791800</v>
      </c>
      <c r="AA638" s="31" t="n">
        <v>4098073000</v>
      </c>
      <c r="AB638" s="31" t="n">
        <v>4797671953.5</v>
      </c>
      <c r="AC638" s="36" t="n">
        <v>0.009361465070031588</v>
      </c>
      <c r="AD638" s="29" t="inlineStr">
        <is>
          <t>yfinance_download</t>
        </is>
      </c>
      <c r="AE638" s="29" t="inlineStr">
        <is>
          <t>059090.KQ</t>
        </is>
      </c>
    </row>
    <row r="639" ht="24" customHeight="1">
      <c r="A639" s="24" t="inlineStr">
        <is>
          <t>2026-01-21</t>
        </is>
      </c>
      <c r="B639" s="30" t="n">
        <v>12810</v>
      </c>
      <c r="C639" s="30" t="n">
        <v>12850</v>
      </c>
      <c r="D639" s="30" t="n">
        <v>12450</v>
      </c>
      <c r="E639" s="30" t="n">
        <v>12560</v>
      </c>
      <c r="F639" s="30" t="n">
        <v>12560</v>
      </c>
      <c r="G639" s="30" t="n">
        <v>376728</v>
      </c>
      <c r="H639" s="35" t="n">
        <v>-0.04122137404580151</v>
      </c>
      <c r="I639" s="35" t="n">
        <v>-0.3379019504480759</v>
      </c>
      <c r="J639" s="30" t="n">
        <v>13362.5</v>
      </c>
      <c r="K639" s="30" t="n">
        <v>13859</v>
      </c>
      <c r="L639" s="30" t="n">
        <v>14577.33333333333</v>
      </c>
      <c r="M639" s="35" t="n">
        <v>0.5472657140215066</v>
      </c>
      <c r="N639" s="35" t="n">
        <v>0.5345562597471712</v>
      </c>
      <c r="O639" s="35" t="n">
        <v>-0.05563909774436093</v>
      </c>
      <c r="P639" s="35" t="n">
        <v>-0.215</v>
      </c>
      <c r="Q639" s="35" t="n">
        <v>-0.1104815864022662</v>
      </c>
      <c r="R639" s="35" t="n">
        <v>-0.0600561272217025</v>
      </c>
      <c r="S639" s="35" t="n">
        <v>-0.09372970632801791</v>
      </c>
      <c r="T639" s="35" t="n">
        <v>-0.1383883654989482</v>
      </c>
      <c r="U639" s="30" t="n">
        <v>17170</v>
      </c>
      <c r="V639" s="30" t="n">
        <v>8280</v>
      </c>
      <c r="W639" s="35" t="n">
        <v>-0.2684915550378567</v>
      </c>
      <c r="X639" s="35" t="n">
        <v>0.5169082125603865</v>
      </c>
      <c r="Y639" s="30" t="n">
        <v>33416778</v>
      </c>
      <c r="Z639" s="30" t="n">
        <v>419714731680</v>
      </c>
      <c r="AA639" s="30" t="n">
        <v>4731703680</v>
      </c>
      <c r="AB639" s="30" t="n">
        <v>4906114297.5</v>
      </c>
      <c r="AC639" s="35" t="n">
        <v>0.01127361830036397</v>
      </c>
      <c r="AD639" s="24" t="inlineStr">
        <is>
          <t>yfinance_download</t>
        </is>
      </c>
      <c r="AE639" s="24" t="inlineStr">
        <is>
          <t>059090.KQ</t>
        </is>
      </c>
    </row>
    <row r="640" ht="24" customHeight="1">
      <c r="A640" s="29" t="inlineStr">
        <is>
          <t>2026-01-22</t>
        </is>
      </c>
      <c r="B640" s="31" t="n">
        <v>12740</v>
      </c>
      <c r="C640" s="31" t="n">
        <v>12800</v>
      </c>
      <c r="D640" s="31" t="n">
        <v>12400</v>
      </c>
      <c r="E640" s="31" t="n">
        <v>12680</v>
      </c>
      <c r="F640" s="31" t="n">
        <v>12680</v>
      </c>
      <c r="G640" s="31" t="n">
        <v>375881</v>
      </c>
      <c r="H640" s="36" t="n">
        <v>0.009554140127388644</v>
      </c>
      <c r="I640" s="36" t="n">
        <v>-0.3315761729045862</v>
      </c>
      <c r="J640" s="31" t="n">
        <v>13282.5</v>
      </c>
      <c r="K640" s="31" t="n">
        <v>13815.33333333333</v>
      </c>
      <c r="L640" s="31" t="n">
        <v>14566.5</v>
      </c>
      <c r="M640" s="36" t="n">
        <v>0.4712485966242146</v>
      </c>
      <c r="N640" s="36" t="n">
        <v>0.528528372252499</v>
      </c>
      <c r="O640" s="36" t="n">
        <v>-0.1120448179271709</v>
      </c>
      <c r="P640" s="36" t="n">
        <v>-0.1712418300653594</v>
      </c>
      <c r="Q640" s="36" t="n">
        <v>-0.09298998569384831</v>
      </c>
      <c r="R640" s="36" t="n">
        <v>-0.04536043666478451</v>
      </c>
      <c r="S640" s="36" t="n">
        <v>-0.08217922115523824</v>
      </c>
      <c r="T640" s="36" t="n">
        <v>-0.1295094909552741</v>
      </c>
      <c r="U640" s="31" t="n">
        <v>17170</v>
      </c>
      <c r="V640" s="31" t="n">
        <v>8280</v>
      </c>
      <c r="W640" s="36" t="n">
        <v>-0.2615026208503203</v>
      </c>
      <c r="X640" s="36" t="n">
        <v>0.5314009661835748</v>
      </c>
      <c r="Y640" s="31" t="n">
        <v>33416778</v>
      </c>
      <c r="Z640" s="31" t="n">
        <v>423724745040</v>
      </c>
      <c r="AA640" s="31" t="n">
        <v>4766171080</v>
      </c>
      <c r="AB640" s="31" t="n">
        <v>4733411607.5</v>
      </c>
      <c r="AC640" s="36" t="n">
        <v>0.01124827175139387</v>
      </c>
      <c r="AD640" s="29" t="inlineStr">
        <is>
          <t>yfinance_download</t>
        </is>
      </c>
      <c r="AE640" s="29" t="inlineStr">
        <is>
          <t>059090.KQ</t>
        </is>
      </c>
    </row>
    <row r="641" ht="24" customHeight="1">
      <c r="A641" s="24" t="inlineStr">
        <is>
          <t>2026-01-23</t>
        </is>
      </c>
      <c r="B641" s="30" t="n">
        <v>12810</v>
      </c>
      <c r="C641" s="30" t="n">
        <v>13250</v>
      </c>
      <c r="D641" s="30" t="n">
        <v>12620</v>
      </c>
      <c r="E641" s="30" t="n">
        <v>13240</v>
      </c>
      <c r="F641" s="30" t="n">
        <v>13240</v>
      </c>
      <c r="G641" s="30" t="n">
        <v>411620</v>
      </c>
      <c r="H641" s="35" t="n">
        <v>0.04416403785488954</v>
      </c>
      <c r="I641" s="35" t="n">
        <v>-0.3020558777016341</v>
      </c>
      <c r="J641" s="30" t="n">
        <v>13284</v>
      </c>
      <c r="K641" s="30" t="n">
        <v>13775.5</v>
      </c>
      <c r="L641" s="30" t="n">
        <v>14558.16666666667</v>
      </c>
      <c r="M641" s="35" t="n">
        <v>0.4259578762347744</v>
      </c>
      <c r="N641" s="35" t="n">
        <v>0.5349278353233116</v>
      </c>
      <c r="O641" s="35" t="n">
        <v>0.002271006813020504</v>
      </c>
      <c r="P641" s="35" t="n">
        <v>-0.1529110684580934</v>
      </c>
      <c r="Q641" s="35" t="n">
        <v>-0.0702247191011236</v>
      </c>
      <c r="R641" s="35" t="n">
        <v>-0.003312255344775639</v>
      </c>
      <c r="S641" s="35" t="n">
        <v>-0.03887336212841641</v>
      </c>
      <c r="T641" s="35" t="n">
        <v>-0.09054482592817314</v>
      </c>
      <c r="U641" s="30" t="n">
        <v>17170</v>
      </c>
      <c r="V641" s="30" t="n">
        <v>8280</v>
      </c>
      <c r="W641" s="35" t="n">
        <v>-0.2288875946418171</v>
      </c>
      <c r="X641" s="35" t="n">
        <v>0.5990338164251208</v>
      </c>
      <c r="Y641" s="30" t="n">
        <v>33416778</v>
      </c>
      <c r="Z641" s="30" t="n">
        <v>442438140720</v>
      </c>
      <c r="AA641" s="30" t="n">
        <v>5449848800</v>
      </c>
      <c r="AB641" s="30" t="n">
        <v>4499229874</v>
      </c>
      <c r="AC641" s="35" t="n">
        <v>0.01231776444754788</v>
      </c>
      <c r="AD641" s="24" t="inlineStr">
        <is>
          <t>yfinance_download</t>
        </is>
      </c>
      <c r="AE641" s="24" t="inlineStr">
        <is>
          <t>059090.KQ</t>
        </is>
      </c>
    </row>
    <row r="642" ht="24" customHeight="1">
      <c r="A642" s="29" t="inlineStr">
        <is>
          <t>2026-01-26</t>
        </is>
      </c>
      <c r="B642" s="31" t="n">
        <v>13450</v>
      </c>
      <c r="C642" s="31" t="n">
        <v>14170</v>
      </c>
      <c r="D642" s="31" t="n">
        <v>13320</v>
      </c>
      <c r="E642" s="31" t="n">
        <v>14040</v>
      </c>
      <c r="F642" s="31" t="n">
        <v>14040</v>
      </c>
      <c r="G642" s="31" t="n">
        <v>787351</v>
      </c>
      <c r="H642" s="36" t="n">
        <v>0.06042296072507547</v>
      </c>
      <c r="I642" s="36" t="n">
        <v>-0.2598840274117027</v>
      </c>
      <c r="J642" s="31" t="n">
        <v>13350.5</v>
      </c>
      <c r="K642" s="31" t="n">
        <v>13754.33333333333</v>
      </c>
      <c r="L642" s="31" t="n">
        <v>14557.66666666667</v>
      </c>
      <c r="M642" s="36" t="n">
        <v>0.4508498271367226</v>
      </c>
      <c r="N642" s="36" t="n">
        <v>0.5486423616231172</v>
      </c>
      <c r="O642" s="36" t="n">
        <v>0.1046420141620772</v>
      </c>
      <c r="P642" s="36" t="n">
        <v>-0.08295231874591769</v>
      </c>
      <c r="Q642" s="36" t="n">
        <v>-0.004255319148936176</v>
      </c>
      <c r="R642" s="36" t="n">
        <v>0.05164600576757428</v>
      </c>
      <c r="S642" s="36" t="n">
        <v>0.02076921212708727</v>
      </c>
      <c r="T642" s="36" t="n">
        <v>-0.0355597279783848</v>
      </c>
      <c r="U642" s="31" t="n">
        <v>17170</v>
      </c>
      <c r="V642" s="31" t="n">
        <v>8280</v>
      </c>
      <c r="W642" s="36" t="n">
        <v>-0.1822947000582411</v>
      </c>
      <c r="X642" s="36" t="n">
        <v>0.6956521739130435</v>
      </c>
      <c r="Y642" s="31" t="n">
        <v>33416778</v>
      </c>
      <c r="Z642" s="31" t="n">
        <v>469171563120</v>
      </c>
      <c r="AA642" s="31" t="n">
        <v>11054408040</v>
      </c>
      <c r="AB642" s="31" t="n">
        <v>4442203278</v>
      </c>
      <c r="AC642" s="36" t="n">
        <v>0.02356154743584196</v>
      </c>
      <c r="AD642" s="29" t="inlineStr">
        <is>
          <t>yfinance_download</t>
        </is>
      </c>
      <c r="AE642" s="29" t="inlineStr">
        <is>
          <t>059090.KQ</t>
        </is>
      </c>
    </row>
    <row r="643" ht="24" customHeight="1">
      <c r="A643" s="24" t="inlineStr">
        <is>
          <t>2026-01-27</t>
        </is>
      </c>
      <c r="B643" s="30" t="n">
        <v>14310</v>
      </c>
      <c r="C643" s="30" t="n">
        <v>15350</v>
      </c>
      <c r="D643" s="30" t="n">
        <v>14160</v>
      </c>
      <c r="E643" s="30" t="n">
        <v>15190</v>
      </c>
      <c r="F643" s="30" t="n">
        <v>15190</v>
      </c>
      <c r="G643" s="30" t="n">
        <v>1301731</v>
      </c>
      <c r="H643" s="35" t="n">
        <v>0.08190883190883191</v>
      </c>
      <c r="I643" s="35" t="n">
        <v>-0.1992619926199262</v>
      </c>
      <c r="J643" s="30" t="n">
        <v>13448</v>
      </c>
      <c r="K643" s="30" t="n">
        <v>13765.66666666667</v>
      </c>
      <c r="L643" s="30" t="n">
        <v>14565.58333333333</v>
      </c>
      <c r="M643" s="35" t="n">
        <v>0.512235829052948</v>
      </c>
      <c r="N643" s="35" t="n">
        <v>0.5636499252575916</v>
      </c>
      <c r="O643" s="35" t="n">
        <v>0.1472809667673716</v>
      </c>
      <c r="P643" s="35" t="n">
        <v>0.04686423156443831</v>
      </c>
      <c r="Q643" s="35" t="n">
        <v>0.0667134831460674</v>
      </c>
      <c r="R643" s="35" t="n">
        <v>0.129535990481856</v>
      </c>
      <c r="S643" s="35" t="n">
        <v>0.1034699857132479</v>
      </c>
      <c r="T643" s="35" t="n">
        <v>0.04286932094492157</v>
      </c>
      <c r="U643" s="30" t="n">
        <v>17170</v>
      </c>
      <c r="V643" s="30" t="n">
        <v>8280</v>
      </c>
      <c r="W643" s="35" t="n">
        <v>-0.1153174140943506</v>
      </c>
      <c r="X643" s="35" t="n">
        <v>0.8345410628019323</v>
      </c>
      <c r="Y643" s="30" t="n">
        <v>33416778</v>
      </c>
      <c r="Z643" s="30" t="n">
        <v>507600857820</v>
      </c>
      <c r="AA643" s="30" t="n">
        <v>19773293890</v>
      </c>
      <c r="AB643" s="30" t="n">
        <v>5018246682.5</v>
      </c>
      <c r="AC643" s="35" t="n">
        <v>0.03895441385761368</v>
      </c>
      <c r="AD643" s="24" t="inlineStr">
        <is>
          <t>yfinance_download</t>
        </is>
      </c>
      <c r="AE643" s="24" t="inlineStr">
        <is>
          <t>059090.KQ</t>
        </is>
      </c>
    </row>
    <row r="644" ht="24" customHeight="1">
      <c r="A644" s="29" t="inlineStr">
        <is>
          <t>2026-01-28</t>
        </is>
      </c>
      <c r="B644" s="31" t="n">
        <v>15450</v>
      </c>
      <c r="C644" s="31" t="n">
        <v>16340</v>
      </c>
      <c r="D644" s="31" t="n">
        <v>15310</v>
      </c>
      <c r="E644" s="31" t="n">
        <v>16340</v>
      </c>
      <c r="F644" s="31" t="n">
        <v>16340</v>
      </c>
      <c r="G644" s="31" t="n">
        <v>1196995</v>
      </c>
      <c r="H644" s="36" t="n">
        <v>0.07570770243581304</v>
      </c>
      <c r="I644" s="36" t="n">
        <v>-0.1386399578281498</v>
      </c>
      <c r="J644" s="31" t="n">
        <v>13593</v>
      </c>
      <c r="K644" s="31" t="n">
        <v>13796.16666666667</v>
      </c>
      <c r="L644" s="31" t="n">
        <v>14580.83333333333</v>
      </c>
      <c r="M644" s="36" t="n">
        <v>0.5666371872214323</v>
      </c>
      <c r="N644" s="36" t="n">
        <v>0.5838505471286572</v>
      </c>
      <c r="O644" s="36" t="n">
        <v>0.2157738095238095</v>
      </c>
      <c r="P644" s="36" t="n">
        <v>0.1261199172984149</v>
      </c>
      <c r="Q644" s="36" t="n">
        <v>0.1261199172984149</v>
      </c>
      <c r="R644" s="36" t="n">
        <v>0.202089310674612</v>
      </c>
      <c r="S644" s="36" t="n">
        <v>0.1843869673943246</v>
      </c>
      <c r="T644" s="36" t="n">
        <v>0.1206492541578557</v>
      </c>
      <c r="U644" s="31" t="n">
        <v>17170</v>
      </c>
      <c r="V644" s="31" t="n">
        <v>8280</v>
      </c>
      <c r="W644" s="36" t="n">
        <v>-0.04834012813046007</v>
      </c>
      <c r="X644" s="36" t="n">
        <v>0.9734299516908214</v>
      </c>
      <c r="Y644" s="31" t="n">
        <v>33416778</v>
      </c>
      <c r="Z644" s="31" t="n">
        <v>546030152520</v>
      </c>
      <c r="AA644" s="31" t="n">
        <v>19558898300</v>
      </c>
      <c r="AB644" s="31" t="n">
        <v>5811245773.5</v>
      </c>
      <c r="AC644" s="36" t="n">
        <v>0.03582017991082204</v>
      </c>
      <c r="AD644" s="29" t="inlineStr">
        <is>
          <t>yfinance_download</t>
        </is>
      </c>
      <c r="AE644" s="29" t="inlineStr">
        <is>
          <t>059090.KQ</t>
        </is>
      </c>
    </row>
    <row r="645" ht="24" customHeight="1">
      <c r="A645" s="24" t="inlineStr">
        <is>
          <t>2026-01-29</t>
        </is>
      </c>
      <c r="B645" s="30" t="n">
        <v>16780</v>
      </c>
      <c r="C645" s="30" t="n">
        <v>17280</v>
      </c>
      <c r="D645" s="30" t="n">
        <v>15710</v>
      </c>
      <c r="E645" s="30" t="n">
        <v>16930</v>
      </c>
      <c r="F645" s="30" t="n">
        <v>16930</v>
      </c>
      <c r="G645" s="30" t="n">
        <v>1235005</v>
      </c>
      <c r="H645" s="35" t="n">
        <v>0.03610771113831079</v>
      </c>
      <c r="I645" s="35" t="n">
        <v>-0.1075382182393253</v>
      </c>
      <c r="J645" s="30" t="n">
        <v>13770.5</v>
      </c>
      <c r="K645" s="30" t="n">
        <v>13830.16666666667</v>
      </c>
      <c r="L645" s="30" t="n">
        <v>14602.58333333333</v>
      </c>
      <c r="M645" s="35" t="n">
        <v>0.5707966561769143</v>
      </c>
      <c r="N645" s="35" t="n">
        <v>0.585909378052507</v>
      </c>
      <c r="O645" s="35" t="n">
        <v>0.265321375186846</v>
      </c>
      <c r="P645" s="35" t="n">
        <v>0.1370047011417059</v>
      </c>
      <c r="Q645" s="35" t="n">
        <v>0.1822625698324023</v>
      </c>
      <c r="R645" s="35" t="n">
        <v>0.2294397443811045</v>
      </c>
      <c r="S645" s="35" t="n">
        <v>0.2241356455092129</v>
      </c>
      <c r="T645" s="35" t="n">
        <v>0.1593838989676484</v>
      </c>
      <c r="U645" s="30" t="n">
        <v>17170</v>
      </c>
      <c r="V645" s="30" t="n">
        <v>8280</v>
      </c>
      <c r="W645" s="35" t="n">
        <v>-0.01397786837507276</v>
      </c>
      <c r="X645" s="35" t="n">
        <v>1.044685990338164</v>
      </c>
      <c r="Y645" s="30" t="n">
        <v>33416778</v>
      </c>
      <c r="Z645" s="30" t="n">
        <v>565746051540</v>
      </c>
      <c r="AA645" s="30" t="n">
        <v>20908634650</v>
      </c>
      <c r="AB645" s="30" t="n">
        <v>6682213679</v>
      </c>
      <c r="AC645" s="35" t="n">
        <v>0.03695763248030675</v>
      </c>
      <c r="AD645" s="24" t="inlineStr">
        <is>
          <t>yfinance_download</t>
        </is>
      </c>
      <c r="AE645" s="24" t="inlineStr">
        <is>
          <t>059090.KQ</t>
        </is>
      </c>
    </row>
    <row r="646" ht="24" customHeight="1">
      <c r="A646" s="29" t="inlineStr">
        <is>
          <t>2026-01-30</t>
        </is>
      </c>
      <c r="B646" s="31" t="n">
        <v>16800</v>
      </c>
      <c r="C646" s="31" t="n">
        <v>18200</v>
      </c>
      <c r="D646" s="31" t="n">
        <v>16600</v>
      </c>
      <c r="E646" s="31" t="n">
        <v>17730</v>
      </c>
      <c r="F646" s="31" t="n">
        <v>17730</v>
      </c>
      <c r="G646" s="31" t="n">
        <v>1282788</v>
      </c>
      <c r="H646" s="36" t="n">
        <v>0.04725339633786185</v>
      </c>
      <c r="I646" s="36" t="n">
        <v>-0.06536636794939377</v>
      </c>
      <c r="J646" s="31" t="n">
        <v>13970.5</v>
      </c>
      <c r="K646" s="31" t="n">
        <v>13879</v>
      </c>
      <c r="L646" s="31" t="n">
        <v>14629.91666666667</v>
      </c>
      <c r="M646" s="36" t="n">
        <v>0.5823162741687971</v>
      </c>
      <c r="N646" s="36" t="n">
        <v>0.5926131764934224</v>
      </c>
      <c r="O646" s="36" t="n">
        <v>0.291332847778587</v>
      </c>
      <c r="P646" s="36" t="n">
        <v>0.1979729729729729</v>
      </c>
      <c r="Q646" s="36" t="n">
        <v>0.2269896193771626</v>
      </c>
      <c r="R646" s="36" t="n">
        <v>0.2691027522279088</v>
      </c>
      <c r="S646" s="36" t="n">
        <v>0.2774695583255278</v>
      </c>
      <c r="T646" s="36" t="n">
        <v>0.2119002728427481</v>
      </c>
      <c r="U646" s="31" t="n">
        <v>17730</v>
      </c>
      <c r="V646" s="31" t="n">
        <v>8280</v>
      </c>
      <c r="W646" s="36" t="n">
        <v>0</v>
      </c>
      <c r="X646" s="36" t="n">
        <v>1.141304347826087</v>
      </c>
      <c r="Y646" s="31" t="n">
        <v>33416778</v>
      </c>
      <c r="Z646" s="31" t="n">
        <v>592479473940</v>
      </c>
      <c r="AA646" s="31" t="n">
        <v>22743831240</v>
      </c>
      <c r="AB646" s="31" t="n">
        <v>7679767022</v>
      </c>
      <c r="AC646" s="36" t="n">
        <v>0.0383875429282859</v>
      </c>
      <c r="AD646" s="29" t="inlineStr">
        <is>
          <t>yfinance_download</t>
        </is>
      </c>
      <c r="AE646" s="29" t="inlineStr">
        <is>
          <t>059090.KQ</t>
        </is>
      </c>
    </row>
    <row r="647" ht="24" customHeight="1">
      <c r="A647" s="24" t="inlineStr">
        <is>
          <t>2026-02-02</t>
        </is>
      </c>
      <c r="B647" s="30" t="n">
        <v>17170</v>
      </c>
      <c r="C647" s="30" t="n">
        <v>18800</v>
      </c>
      <c r="D647" s="30" t="n">
        <v>16950</v>
      </c>
      <c r="E647" s="30" t="n">
        <v>17560</v>
      </c>
      <c r="F647" s="30" t="n">
        <v>17560</v>
      </c>
      <c r="G647" s="30" t="n">
        <v>1081048</v>
      </c>
      <c r="H647" s="35" t="n">
        <v>-0.00958826847151717</v>
      </c>
      <c r="I647" s="35" t="n">
        <v>-0.07432788613600416</v>
      </c>
      <c r="J647" s="30" t="n">
        <v>14144.5</v>
      </c>
      <c r="K647" s="30" t="n">
        <v>13936.5</v>
      </c>
      <c r="L647" s="30" t="n">
        <v>14649.5</v>
      </c>
      <c r="M647" s="35" t="n">
        <v>0.586032588515934</v>
      </c>
      <c r="N647" s="35" t="n">
        <v>0.583979875875226</v>
      </c>
      <c r="O647" s="35" t="n">
        <v>0.2471590909090908</v>
      </c>
      <c r="P647" s="35" t="n">
        <v>0.2445074415308293</v>
      </c>
      <c r="Q647" s="35" t="n">
        <v>0.1545036160420776</v>
      </c>
      <c r="R647" s="35" t="n">
        <v>0.2414719502280038</v>
      </c>
      <c r="S647" s="35" t="n">
        <v>0.2600007175402719</v>
      </c>
      <c r="T647" s="35" t="n">
        <v>0.1986757227209119</v>
      </c>
      <c r="U647" s="30" t="n">
        <v>17730</v>
      </c>
      <c r="V647" s="30" t="n">
        <v>8280</v>
      </c>
      <c r="W647" s="35" t="n">
        <v>-0.00958826847151717</v>
      </c>
      <c r="X647" s="35" t="n">
        <v>1.120772946859903</v>
      </c>
      <c r="Y647" s="30" t="n">
        <v>33416778</v>
      </c>
      <c r="Z647" s="30" t="n">
        <v>586798621680</v>
      </c>
      <c r="AA647" s="30" t="n">
        <v>18983202880</v>
      </c>
      <c r="AB647" s="30" t="n">
        <v>8387821246</v>
      </c>
      <c r="AC647" s="35" t="n">
        <v>0.03235045580995272</v>
      </c>
      <c r="AD647" s="24" t="inlineStr">
        <is>
          <t>yfinance_download</t>
        </is>
      </c>
      <c r="AE647" s="24" t="inlineStr">
        <is>
          <t>059090.KQ</t>
        </is>
      </c>
    </row>
    <row r="648" ht="24" customHeight="1">
      <c r="A648" s="29" t="inlineStr">
        <is>
          <t>2026-02-03</t>
        </is>
      </c>
      <c r="B648" s="31" t="n">
        <v>18350</v>
      </c>
      <c r="C648" s="31" t="n">
        <v>18530</v>
      </c>
      <c r="D648" s="31" t="n">
        <v>17010</v>
      </c>
      <c r="E648" s="31" t="n">
        <v>17760</v>
      </c>
      <c r="F648" s="31" t="n">
        <v>17760</v>
      </c>
      <c r="G648" s="31" t="n">
        <v>795756</v>
      </c>
      <c r="H648" s="36" t="n">
        <v>0.01138952164009122</v>
      </c>
      <c r="I648" s="36" t="n">
        <v>-0.06378492356352139</v>
      </c>
      <c r="J648" s="31" t="n">
        <v>14310.5</v>
      </c>
      <c r="K648" s="31" t="n">
        <v>13985.83333333333</v>
      </c>
      <c r="L648" s="31" t="n">
        <v>14673.25</v>
      </c>
      <c r="M648" s="36" t="n">
        <v>0.5837521907203758</v>
      </c>
      <c r="N648" s="36" t="n">
        <v>0.5767621115615612</v>
      </c>
      <c r="O648" s="36" t="n">
        <v>0.2299168975069252</v>
      </c>
      <c r="P648" s="36" t="n">
        <v>0.2</v>
      </c>
      <c r="Q648" s="36" t="n">
        <v>0.1911468812877264</v>
      </c>
      <c r="R648" s="36" t="n">
        <v>0.241046783830055</v>
      </c>
      <c r="S648" s="36" t="n">
        <v>0.269856402311863</v>
      </c>
      <c r="T648" s="36" t="n">
        <v>0.2103658017140033</v>
      </c>
      <c r="U648" s="31" t="n">
        <v>17760</v>
      </c>
      <c r="V648" s="31" t="n">
        <v>8280</v>
      </c>
      <c r="W648" s="36" t="n">
        <v>0</v>
      </c>
      <c r="X648" s="36" t="n">
        <v>1.144927536231884</v>
      </c>
      <c r="Y648" s="31" t="n">
        <v>33416778</v>
      </c>
      <c r="Z648" s="31" t="n">
        <v>593481977280</v>
      </c>
      <c r="AA648" s="31" t="n">
        <v>14132626560</v>
      </c>
      <c r="AB648" s="31" t="n">
        <v>8856219288</v>
      </c>
      <c r="AC648" s="36" t="n">
        <v>0.0238130677948664</v>
      </c>
      <c r="AD648" s="29" t="inlineStr">
        <is>
          <t>yfinance_download</t>
        </is>
      </c>
      <c r="AE648" s="29" t="inlineStr">
        <is>
          <t>059090.KQ</t>
        </is>
      </c>
    </row>
    <row r="649" ht="24" customHeight="1">
      <c r="A649" s="24" t="inlineStr">
        <is>
          <t>2026-02-04</t>
        </is>
      </c>
      <c r="B649" s="30" t="n">
        <v>17400</v>
      </c>
      <c r="C649" s="30" t="n">
        <v>18300</v>
      </c>
      <c r="D649" s="30" t="n">
        <v>17300</v>
      </c>
      <c r="E649" s="30" t="n">
        <v>17880</v>
      </c>
      <c r="F649" s="30" t="n">
        <v>17880</v>
      </c>
      <c r="G649" s="30" t="n">
        <v>503429</v>
      </c>
      <c r="H649" s="35" t="n">
        <v>0.006756756756756799</v>
      </c>
      <c r="I649" s="35" t="n">
        <v>-0.05745914602003166</v>
      </c>
      <c r="J649" s="30" t="n">
        <v>14504.5</v>
      </c>
      <c r="K649" s="30" t="n">
        <v>14048</v>
      </c>
      <c r="L649" s="30" t="n">
        <v>14692.66666666667</v>
      </c>
      <c r="M649" s="35" t="n">
        <v>0.5632446040162786</v>
      </c>
      <c r="N649" s="35" t="n">
        <v>0.5681828296813696</v>
      </c>
      <c r="O649" s="35" t="n">
        <v>0.2771428571428571</v>
      </c>
      <c r="P649" s="35" t="n">
        <v>0.2636042402826855</v>
      </c>
      <c r="Q649" s="35" t="n">
        <v>0.1498392282958199</v>
      </c>
      <c r="R649" s="35" t="n">
        <v>0.2327208797269813</v>
      </c>
      <c r="S649" s="35" t="n">
        <v>0.2727790432801822</v>
      </c>
      <c r="T649" s="35" t="n">
        <v>0.2169336176777532</v>
      </c>
      <c r="U649" s="30" t="n">
        <v>17880</v>
      </c>
      <c r="V649" s="30" t="n">
        <v>8280</v>
      </c>
      <c r="W649" s="35" t="n">
        <v>0</v>
      </c>
      <c r="X649" s="35" t="n">
        <v>1.159420289855072</v>
      </c>
      <c r="Y649" s="30" t="n">
        <v>33416778</v>
      </c>
      <c r="Z649" s="30" t="n">
        <v>597491990640</v>
      </c>
      <c r="AA649" s="30" t="n">
        <v>9001310520</v>
      </c>
      <c r="AB649" s="30" t="n">
        <v>9011590414</v>
      </c>
      <c r="AC649" s="35" t="n">
        <v>0.01506515679040032</v>
      </c>
      <c r="AD649" s="24" t="inlineStr">
        <is>
          <t>yfinance_download</t>
        </is>
      </c>
      <c r="AE649" s="24" t="inlineStr">
        <is>
          <t>059090.KQ</t>
        </is>
      </c>
    </row>
    <row r="650" ht="24" customHeight="1">
      <c r="A650" s="29" t="inlineStr">
        <is>
          <t>2026-02-05</t>
        </is>
      </c>
      <c r="B650" s="31" t="n">
        <v>17160</v>
      </c>
      <c r="C650" s="31" t="n">
        <v>17560</v>
      </c>
      <c r="D650" s="31" t="n">
        <v>16830</v>
      </c>
      <c r="E650" s="31" t="n">
        <v>16960</v>
      </c>
      <c r="F650" s="31" t="n">
        <v>16960</v>
      </c>
      <c r="G650" s="31" t="n">
        <v>459889</v>
      </c>
      <c r="H650" s="36" t="n">
        <v>-0.05145413870246085</v>
      </c>
      <c r="I650" s="36" t="n">
        <v>-0.1059567738534528</v>
      </c>
      <c r="J650" s="31" t="n">
        <v>14689.5</v>
      </c>
      <c r="K650" s="31" t="n">
        <v>14091.33333333333</v>
      </c>
      <c r="L650" s="31" t="n">
        <v>14704</v>
      </c>
      <c r="M650" s="36" t="n">
        <v>0.561090266273394</v>
      </c>
      <c r="N650" s="36" t="n">
        <v>0.579183032713234</v>
      </c>
      <c r="O650" s="36" t="n">
        <v>0.2790346907993966</v>
      </c>
      <c r="P650" s="36" t="n">
        <v>0.181058495821727</v>
      </c>
      <c r="Q650" s="36" t="n">
        <v>0.08717948717948709</v>
      </c>
      <c r="R650" s="36" t="n">
        <v>0.1545661867320194</v>
      </c>
      <c r="S650" s="36" t="n">
        <v>0.2035766665089653</v>
      </c>
      <c r="T650" s="36" t="n">
        <v>0.1534276387377584</v>
      </c>
      <c r="U650" s="31" t="n">
        <v>17880</v>
      </c>
      <c r="V650" s="31" t="n">
        <v>8280</v>
      </c>
      <c r="W650" s="36" t="n">
        <v>-0.05145413870246085</v>
      </c>
      <c r="X650" s="36" t="n">
        <v>1.048309178743962</v>
      </c>
      <c r="Y650" s="31" t="n">
        <v>33416778</v>
      </c>
      <c r="Z650" s="31" t="n">
        <v>566748554880</v>
      </c>
      <c r="AA650" s="31" t="n">
        <v>7799717440</v>
      </c>
      <c r="AB650" s="31" t="n">
        <v>9221238960</v>
      </c>
      <c r="AC650" s="36" t="n">
        <v>0.01376221848797032</v>
      </c>
      <c r="AD650" s="29" t="inlineStr">
        <is>
          <t>yfinance_download</t>
        </is>
      </c>
      <c r="AE650" s="29" t="inlineStr">
        <is>
          <t>059090.KQ</t>
        </is>
      </c>
    </row>
    <row r="651" ht="24" customHeight="1">
      <c r="A651" s="24" t="inlineStr">
        <is>
          <t>2026-02-06</t>
        </is>
      </c>
      <c r="B651" s="30" t="n">
        <v>16100</v>
      </c>
      <c r="C651" s="30" t="n">
        <v>17700</v>
      </c>
      <c r="D651" s="30" t="n">
        <v>15450</v>
      </c>
      <c r="E651" s="30" t="n">
        <v>16980</v>
      </c>
      <c r="F651" s="30" t="n">
        <v>16980</v>
      </c>
      <c r="G651" s="30" t="n">
        <v>697975</v>
      </c>
      <c r="H651" s="35" t="n">
        <v>0.001179245283018826</v>
      </c>
      <c r="I651" s="35" t="n">
        <v>-0.1049024775962045</v>
      </c>
      <c r="J651" s="30" t="n">
        <v>14882.5</v>
      </c>
      <c r="K651" s="30" t="n">
        <v>14115.16666666667</v>
      </c>
      <c r="L651" s="30" t="n">
        <v>14714.83333333333</v>
      </c>
      <c r="M651" s="35" t="n">
        <v>0.5560888279781954</v>
      </c>
      <c r="N651" s="35" t="n">
        <v>0.5550173173108648</v>
      </c>
      <c r="O651" s="35" t="n">
        <v>0.2942073170731707</v>
      </c>
      <c r="P651" s="35" t="n">
        <v>0.09196141479099684</v>
      </c>
      <c r="Q651" s="35" t="n">
        <v>0.08290816326530615</v>
      </c>
      <c r="R651" s="35" t="n">
        <v>0.1409373425163782</v>
      </c>
      <c r="S651" s="35" t="n">
        <v>0.2029613536267136</v>
      </c>
      <c r="T651" s="35" t="n">
        <v>0.1539376366251741</v>
      </c>
      <c r="U651" s="30" t="n">
        <v>17880</v>
      </c>
      <c r="V651" s="30" t="n">
        <v>8280</v>
      </c>
      <c r="W651" s="35" t="n">
        <v>-0.05033557046979864</v>
      </c>
      <c r="X651" s="35" t="n">
        <v>1.050724637681159</v>
      </c>
      <c r="Y651" s="30" t="n">
        <v>33416778</v>
      </c>
      <c r="Z651" s="30" t="n">
        <v>567416890440</v>
      </c>
      <c r="AA651" s="30" t="n">
        <v>11851615500</v>
      </c>
      <c r="AB651" s="30" t="n">
        <v>9703463479</v>
      </c>
      <c r="AC651" s="35" t="n">
        <v>0.02088696283046798</v>
      </c>
      <c r="AD651" s="24" t="inlineStr">
        <is>
          <t>yfinance_download</t>
        </is>
      </c>
      <c r="AE651" s="24" t="inlineStr">
        <is>
          <t>059090.KQ</t>
        </is>
      </c>
    </row>
    <row r="652" ht="24" customHeight="1">
      <c r="A652" s="29" t="inlineStr">
        <is>
          <t>2026-02-09</t>
        </is>
      </c>
      <c r="B652" s="31" t="n">
        <v>17640</v>
      </c>
      <c r="C652" s="31" t="n">
        <v>18590</v>
      </c>
      <c r="D652" s="31" t="n">
        <v>17510</v>
      </c>
      <c r="E652" s="31" t="n">
        <v>18350</v>
      </c>
      <c r="F652" s="31" t="n">
        <v>18350</v>
      </c>
      <c r="G652" s="31" t="n">
        <v>614857</v>
      </c>
      <c r="H652" s="36" t="n">
        <v>0.08068315665488801</v>
      </c>
      <c r="I652" s="36" t="n">
        <v>-0.03268318397469694</v>
      </c>
      <c r="J652" s="31" t="n">
        <v>15147.5</v>
      </c>
      <c r="K652" s="31" t="n">
        <v>14169</v>
      </c>
      <c r="L652" s="31" t="n">
        <v>14742.08333333333</v>
      </c>
      <c r="M652" s="36" t="n">
        <v>0.5994766910642756</v>
      </c>
      <c r="N652" s="36" t="n">
        <v>0.5743127592592131</v>
      </c>
      <c r="O652" s="36" t="n">
        <v>0.4061302681992338</v>
      </c>
      <c r="P652" s="36" t="n">
        <v>0.2136243386243386</v>
      </c>
      <c r="Q652" s="36" t="n">
        <v>0.21684350132626</v>
      </c>
      <c r="R652" s="36" t="n">
        <v>0.2114210265720415</v>
      </c>
      <c r="S652" s="36" t="n">
        <v>0.2950808102194933</v>
      </c>
      <c r="T652" s="36" t="n">
        <v>0.2447358751872473</v>
      </c>
      <c r="U652" s="31" t="n">
        <v>18350</v>
      </c>
      <c r="V652" s="31" t="n">
        <v>8280</v>
      </c>
      <c r="W652" s="36" t="n">
        <v>0</v>
      </c>
      <c r="X652" s="36" t="n">
        <v>1.216183574879227</v>
      </c>
      <c r="Y652" s="31" t="n">
        <v>33416778</v>
      </c>
      <c r="Z652" s="31" t="n">
        <v>613197876300</v>
      </c>
      <c r="AA652" s="31" t="n">
        <v>11282625950</v>
      </c>
      <c r="AB652" s="31" t="n">
        <v>10111435866.5</v>
      </c>
      <c r="AC652" s="36" t="n">
        <v>0.01839964942161689</v>
      </c>
      <c r="AD652" s="29" t="inlineStr">
        <is>
          <t>yfinance_download</t>
        </is>
      </c>
      <c r="AE652" s="29" t="inlineStr">
        <is>
          <t>059090.KQ</t>
        </is>
      </c>
    </row>
    <row r="653" ht="24" customHeight="1">
      <c r="A653" s="24" t="inlineStr">
        <is>
          <t>2026-02-10</t>
        </is>
      </c>
      <c r="B653" s="30" t="n">
        <v>18350</v>
      </c>
      <c r="C653" s="30" t="n">
        <v>18500</v>
      </c>
      <c r="D653" s="30" t="n">
        <v>17000</v>
      </c>
      <c r="E653" s="30" t="n">
        <v>17650</v>
      </c>
      <c r="F653" s="30" t="n">
        <v>17650</v>
      </c>
      <c r="G653" s="30" t="n">
        <v>387273</v>
      </c>
      <c r="H653" s="35" t="n">
        <v>-0.03814713896457766</v>
      </c>
      <c r="I653" s="35" t="n">
        <v>-0.06958355297838692</v>
      </c>
      <c r="J653" s="30" t="n">
        <v>15385.5</v>
      </c>
      <c r="K653" s="30" t="n">
        <v>14214</v>
      </c>
      <c r="L653" s="30" t="n">
        <v>14763.33333333333</v>
      </c>
      <c r="M653" s="35" t="n">
        <v>0.6232918497004432</v>
      </c>
      <c r="N653" s="35" t="n">
        <v>0.579955955047855</v>
      </c>
      <c r="O653" s="35" t="n">
        <v>0.369278510473235</v>
      </c>
      <c r="P653" s="35" t="n">
        <v>0.1806020066889633</v>
      </c>
      <c r="Q653" s="35" t="n">
        <v>0.1688741721854305</v>
      </c>
      <c r="R653" s="35" t="n">
        <v>0.1471840369178772</v>
      </c>
      <c r="S653" s="35" t="n">
        <v>0.2417335021809484</v>
      </c>
      <c r="T653" s="35" t="n">
        <v>0.1955294648904944</v>
      </c>
      <c r="U653" s="30" t="n">
        <v>18350</v>
      </c>
      <c r="V653" s="30" t="n">
        <v>8280</v>
      </c>
      <c r="W653" s="35" t="n">
        <v>-0.03814713896457766</v>
      </c>
      <c r="X653" s="35" t="n">
        <v>1.131642512077295</v>
      </c>
      <c r="Y653" s="30" t="n">
        <v>33416778</v>
      </c>
      <c r="Z653" s="30" t="n">
        <v>589806131700</v>
      </c>
      <c r="AA653" s="30" t="n">
        <v>6835368450</v>
      </c>
      <c r="AB653" s="30" t="n">
        <v>10273237976</v>
      </c>
      <c r="AC653" s="35" t="n">
        <v>0.01158917834627863</v>
      </c>
      <c r="AD653" s="24" t="inlineStr">
        <is>
          <t>yfinance_download</t>
        </is>
      </c>
      <c r="AE653" s="24" t="inlineStr">
        <is>
          <t>059090.KQ</t>
        </is>
      </c>
    </row>
    <row r="654" ht="24" customHeight="1">
      <c r="A654" s="29" t="inlineStr">
        <is>
          <t>2026-02-11</t>
        </is>
      </c>
      <c r="B654" s="31" t="n">
        <v>17520</v>
      </c>
      <c r="C654" s="31" t="n">
        <v>17530</v>
      </c>
      <c r="D654" s="31" t="n">
        <v>16300</v>
      </c>
      <c r="E654" s="31" t="n">
        <v>16450</v>
      </c>
      <c r="F654" s="31" t="n">
        <v>16450</v>
      </c>
      <c r="G654" s="31" t="n">
        <v>654226</v>
      </c>
      <c r="H654" s="36" t="n">
        <v>-0.06798866855524077</v>
      </c>
      <c r="I654" s="36" t="n">
        <v>-0.1328413284132841</v>
      </c>
      <c r="J654" s="31" t="n">
        <v>15550.5</v>
      </c>
      <c r="K654" s="31" t="n">
        <v>14249.66666666667</v>
      </c>
      <c r="L654" s="31" t="n">
        <v>14774</v>
      </c>
      <c r="M654" s="36" t="n">
        <v>0.6913534575636954</v>
      </c>
      <c r="N654" s="36" t="n">
        <v>0.5907249003907865</v>
      </c>
      <c r="O654" s="36" t="n">
        <v>0.2509505703422052</v>
      </c>
      <c r="P654" s="36" t="n">
        <v>0.1495457721872817</v>
      </c>
      <c r="Q654" s="36" t="n">
        <v>0.08437705998681611</v>
      </c>
      <c r="R654" s="36" t="n">
        <v>0.05784379923475136</v>
      </c>
      <c r="S654" s="36" t="n">
        <v>0.1544129687244147</v>
      </c>
      <c r="T654" s="36" t="n">
        <v>0.1134425341816705</v>
      </c>
      <c r="U654" s="31" t="n">
        <v>18350</v>
      </c>
      <c r="V654" s="31" t="n">
        <v>8280</v>
      </c>
      <c r="W654" s="36" t="n">
        <v>-0.103542234332425</v>
      </c>
      <c r="X654" s="36" t="n">
        <v>0.9867149758454106</v>
      </c>
      <c r="Y654" s="31" t="n">
        <v>33416778</v>
      </c>
      <c r="Z654" s="31" t="n">
        <v>549705998100</v>
      </c>
      <c r="AA654" s="31" t="n">
        <v>10762017700</v>
      </c>
      <c r="AB654" s="31" t="n">
        <v>10639757661</v>
      </c>
      <c r="AC654" s="36" t="n">
        <v>0.01957777018478562</v>
      </c>
      <c r="AD654" s="29" t="inlineStr">
        <is>
          <t>yfinance_download</t>
        </is>
      </c>
      <c r="AE654" s="29" t="inlineStr">
        <is>
          <t>059090.KQ</t>
        </is>
      </c>
    </row>
    <row r="655" ht="24" customHeight="1">
      <c r="A655" s="24" t="inlineStr">
        <is>
          <t>2026-02-12</t>
        </is>
      </c>
      <c r="B655" s="30" t="n">
        <v>16930</v>
      </c>
      <c r="C655" s="30" t="n">
        <v>17050</v>
      </c>
      <c r="D655" s="30" t="n">
        <v>16420</v>
      </c>
      <c r="E655" s="30" t="n">
        <v>16820</v>
      </c>
      <c r="F655" s="30" t="n">
        <v>16820</v>
      </c>
      <c r="G655" s="30" t="n">
        <v>403851</v>
      </c>
      <c r="H655" s="35" t="n">
        <v>0.02249240121580542</v>
      </c>
      <c r="I655" s="35" t="n">
        <v>-0.1133368476541908</v>
      </c>
      <c r="J655" s="30" t="n">
        <v>15732.5</v>
      </c>
      <c r="K655" s="30" t="n">
        <v>14295.66666666667</v>
      </c>
      <c r="L655" s="30" t="n">
        <v>14795.41666666667</v>
      </c>
      <c r="M655" s="35" t="n">
        <v>0.6912498388119137</v>
      </c>
      <c r="N655" s="35" t="n">
        <v>0.5904863208260657</v>
      </c>
      <c r="O655" s="35" t="n">
        <v>0.2761760242792108</v>
      </c>
      <c r="P655" s="35" t="n">
        <v>0.1963015647226174</v>
      </c>
      <c r="Q655" s="35" t="n">
        <v>0.1803508771929825</v>
      </c>
      <c r="R655" s="35" t="n">
        <v>0.06912442396313367</v>
      </c>
      <c r="S655" s="35" t="n">
        <v>0.1765803157133863</v>
      </c>
      <c r="T655" s="35" t="n">
        <v>0.1368385479737533</v>
      </c>
      <c r="U655" s="30" t="n">
        <v>18350</v>
      </c>
      <c r="V655" s="30" t="n">
        <v>8280</v>
      </c>
      <c r="W655" s="35" t="n">
        <v>-0.08337874659400546</v>
      </c>
      <c r="X655" s="35" t="n">
        <v>1.031400966183575</v>
      </c>
      <c r="Y655" s="30" t="n">
        <v>33416778</v>
      </c>
      <c r="Z655" s="30" t="n">
        <v>562070205960</v>
      </c>
      <c r="AA655" s="30" t="n">
        <v>6792773820</v>
      </c>
      <c r="AB655" s="30" t="n">
        <v>10874054543</v>
      </c>
      <c r="AC655" s="35" t="n">
        <v>0.01208527644406651</v>
      </c>
      <c r="AD655" s="24" t="inlineStr">
        <is>
          <t>yfinance_download</t>
        </is>
      </c>
      <c r="AE655" s="24" t="inlineStr">
        <is>
          <t>059090.KQ</t>
        </is>
      </c>
    </row>
    <row r="656" ht="24" customHeight="1">
      <c r="A656" s="29" t="inlineStr">
        <is>
          <t>2026-02-13</t>
        </is>
      </c>
      <c r="B656" s="31" t="n">
        <v>16450</v>
      </c>
      <c r="C656" s="31" t="n">
        <v>16750</v>
      </c>
      <c r="D656" s="31" t="n">
        <v>16290</v>
      </c>
      <c r="E656" s="31" t="n">
        <v>16360</v>
      </c>
      <c r="F656" s="31" t="n">
        <v>16360</v>
      </c>
      <c r="G656" s="31" t="n">
        <v>213730</v>
      </c>
      <c r="H656" s="36" t="n">
        <v>-0.02734839476813322</v>
      </c>
      <c r="I656" s="36" t="n">
        <v>-0.1375856615709015</v>
      </c>
      <c r="J656" s="31" t="n">
        <v>15887.5</v>
      </c>
      <c r="K656" s="31" t="n">
        <v>14350.66666666667</v>
      </c>
      <c r="L656" s="31" t="n">
        <v>14815.41666666667</v>
      </c>
      <c r="M656" s="36" t="n">
        <v>0.7058203428039319</v>
      </c>
      <c r="N656" s="36" t="n">
        <v>0.5733706026028647</v>
      </c>
      <c r="O656" s="36" t="n">
        <v>0.2337858220211162</v>
      </c>
      <c r="P656" s="36" t="n">
        <v>0.2526799387442573</v>
      </c>
      <c r="Q656" s="36" t="n">
        <v>0.1719197707736391</v>
      </c>
      <c r="R656" s="36" t="n">
        <v>0.02974036191974827</v>
      </c>
      <c r="S656" s="36" t="n">
        <v>0.1400167239617207</v>
      </c>
      <c r="T656" s="36" t="n">
        <v>0.1042551396349525</v>
      </c>
      <c r="U656" s="31" t="n">
        <v>18350</v>
      </c>
      <c r="V656" s="31" t="n">
        <v>8280</v>
      </c>
      <c r="W656" s="36" t="n">
        <v>-0.1084468664850137</v>
      </c>
      <c r="X656" s="36" t="n">
        <v>0.9758454106280192</v>
      </c>
      <c r="Y656" s="31" t="n">
        <v>33416778</v>
      </c>
      <c r="Z656" s="31" t="n">
        <v>546698488080</v>
      </c>
      <c r="AA656" s="31" t="n">
        <v>3496622800</v>
      </c>
      <c r="AB656" s="31" t="n">
        <v>10856125726</v>
      </c>
      <c r="AC656" s="36" t="n">
        <v>0.006395888915442416</v>
      </c>
      <c r="AD656" s="29" t="inlineStr">
        <is>
          <t>yfinance_download</t>
        </is>
      </c>
      <c r="AE656" s="29" t="inlineStr">
        <is>
          <t>059090.KQ</t>
        </is>
      </c>
    </row>
    <row r="657" ht="24" customHeight="1">
      <c r="A657" s="24" t="inlineStr">
        <is>
          <t>2026-02-19</t>
        </is>
      </c>
      <c r="B657" s="30" t="n">
        <v>16850</v>
      </c>
      <c r="C657" s="30" t="n">
        <v>17350</v>
      </c>
      <c r="D657" s="30" t="n">
        <v>16630</v>
      </c>
      <c r="E657" s="30" t="n">
        <v>17170</v>
      </c>
      <c r="F657" s="30" t="n">
        <v>17170</v>
      </c>
      <c r="G657" s="30" t="n">
        <v>442328</v>
      </c>
      <c r="H657" s="35" t="n">
        <v>0.04951100244498785</v>
      </c>
      <c r="I657" s="35" t="n">
        <v>-0.09488666315234584</v>
      </c>
      <c r="J657" s="30" t="n">
        <v>16087.5</v>
      </c>
      <c r="K657" s="30" t="n">
        <v>14416</v>
      </c>
      <c r="L657" s="30" t="n">
        <v>14848.83333333333</v>
      </c>
      <c r="M657" s="35" t="n">
        <v>0.7147203880030039</v>
      </c>
      <c r="N657" s="35" t="n">
        <v>0.5804473050718489</v>
      </c>
      <c r="O657" s="35" t="n">
        <v>0.3037205770690965</v>
      </c>
      <c r="P657" s="35" t="n">
        <v>0.2958490566037735</v>
      </c>
      <c r="Q657" s="35" t="n">
        <v>0.3047112462006079</v>
      </c>
      <c r="R657" s="35" t="n">
        <v>0.06728826728826731</v>
      </c>
      <c r="S657" s="35" t="n">
        <v>0.1910377358490567</v>
      </c>
      <c r="T657" s="35" t="n">
        <v>0.1563198006577395</v>
      </c>
      <c r="U657" s="30" t="n">
        <v>18350</v>
      </c>
      <c r="V657" s="30" t="n">
        <v>8280</v>
      </c>
      <c r="W657" s="35" t="n">
        <v>-0.06430517711171657</v>
      </c>
      <c r="X657" s="35" t="n">
        <v>1.073671497584541</v>
      </c>
      <c r="Y657" s="30" t="n">
        <v>33416778</v>
      </c>
      <c r="Z657" s="30" t="n">
        <v>573766078260</v>
      </c>
      <c r="AA657" s="30" t="n">
        <v>7594771760</v>
      </c>
      <c r="AB657" s="30" t="n">
        <v>11080875803</v>
      </c>
      <c r="AC657" s="35" t="n">
        <v>0.0132367040293352</v>
      </c>
      <c r="AD657" s="24" t="inlineStr">
        <is>
          <t>yfinance_download</t>
        </is>
      </c>
      <c r="AE657" s="24" t="inlineStr">
        <is>
          <t>059090.KQ</t>
        </is>
      </c>
    </row>
    <row r="658" ht="24" customHeight="1">
      <c r="A658" s="29" t="inlineStr">
        <is>
          <t>2026-02-20</t>
        </is>
      </c>
      <c r="B658" s="31" t="n">
        <v>17000</v>
      </c>
      <c r="C658" s="31" t="n">
        <v>17210</v>
      </c>
      <c r="D658" s="31" t="n">
        <v>16700</v>
      </c>
      <c r="E658" s="31" t="n">
        <v>16930</v>
      </c>
      <c r="F658" s="31" t="n">
        <v>16930</v>
      </c>
      <c r="G658" s="31" t="n">
        <v>229207</v>
      </c>
      <c r="H658" s="36" t="n">
        <v>-0.01397786837507276</v>
      </c>
      <c r="I658" s="36" t="n">
        <v>-0.1075382182393253</v>
      </c>
      <c r="J658" s="31" t="n">
        <v>16279</v>
      </c>
      <c r="K658" s="31" t="n">
        <v>14470.33333333333</v>
      </c>
      <c r="L658" s="31" t="n">
        <v>14881.16666666667</v>
      </c>
      <c r="M658" s="36" t="n">
        <v>0.7185255286060784</v>
      </c>
      <c r="N658" s="36" t="n">
        <v>0.5790141157216397</v>
      </c>
      <c r="O658" s="36" t="n">
        <v>0.2923664122137404</v>
      </c>
      <c r="P658" s="36" t="n">
        <v>0.238478419897586</v>
      </c>
      <c r="Q658" s="36" t="n">
        <v>0.2973180076628352</v>
      </c>
      <c r="R658" s="36" t="n">
        <v>0.03999017138644878</v>
      </c>
      <c r="S658" s="36" t="n">
        <v>0.1699799589965676</v>
      </c>
      <c r="T658" s="36" t="n">
        <v>0.1376796174135093</v>
      </c>
      <c r="U658" s="31" t="n">
        <v>18350</v>
      </c>
      <c r="V658" s="31" t="n">
        <v>8280</v>
      </c>
      <c r="W658" s="36" t="n">
        <v>-0.07738419618528614</v>
      </c>
      <c r="X658" s="36" t="n">
        <v>1.044685990338164</v>
      </c>
      <c r="Y658" s="31" t="n">
        <v>33416778</v>
      </c>
      <c r="Z658" s="31" t="n">
        <v>565746051540</v>
      </c>
      <c r="AA658" s="31" t="n">
        <v>3880474510</v>
      </c>
      <c r="AB658" s="31" t="n">
        <v>11069995878.5</v>
      </c>
      <c r="AC658" s="36" t="n">
        <v>0.006859039492077902</v>
      </c>
      <c r="AD658" s="29" t="inlineStr">
        <is>
          <t>yfinance_download</t>
        </is>
      </c>
      <c r="AE658" s="29" t="inlineStr">
        <is>
          <t>059090.KQ</t>
        </is>
      </c>
    </row>
    <row r="659" ht="24" customHeight="1">
      <c r="A659" s="24" t="inlineStr">
        <is>
          <t>2026-02-23</t>
        </is>
      </c>
      <c r="B659" s="30" t="n">
        <v>17030</v>
      </c>
      <c r="C659" s="30" t="n">
        <v>17100</v>
      </c>
      <c r="D659" s="30" t="n">
        <v>15980</v>
      </c>
      <c r="E659" s="30" t="n">
        <v>16060</v>
      </c>
      <c r="F659" s="30" t="n">
        <v>16060</v>
      </c>
      <c r="G659" s="30" t="n">
        <v>361339</v>
      </c>
      <c r="H659" s="35" t="n">
        <v>-0.05138806851742472</v>
      </c>
      <c r="I659" s="35" t="n">
        <v>-0.1534001054296257</v>
      </c>
      <c r="J659" s="30" t="n">
        <v>16454</v>
      </c>
      <c r="K659" s="30" t="n">
        <v>14519</v>
      </c>
      <c r="L659" s="30" t="n">
        <v>14905.83333333333</v>
      </c>
      <c r="M659" s="35" t="n">
        <v>0.7296839550954157</v>
      </c>
      <c r="N659" s="35" t="n">
        <v>0.5835748104855333</v>
      </c>
      <c r="O659" s="35" t="n">
        <v>0.2786624203821657</v>
      </c>
      <c r="P659" s="35" t="n">
        <v>0.2222222222222223</v>
      </c>
      <c r="Q659" s="35" t="n">
        <v>0.2259541984732825</v>
      </c>
      <c r="R659" s="35" t="n">
        <v>-0.02394554515619307</v>
      </c>
      <c r="S659" s="35" t="n">
        <v>0.1061367862800469</v>
      </c>
      <c r="T659" s="35" t="n">
        <v>0.07743053614356787</v>
      </c>
      <c r="U659" s="30" t="n">
        <v>18350</v>
      </c>
      <c r="V659" s="30" t="n">
        <v>8280</v>
      </c>
      <c r="W659" s="35" t="n">
        <v>-0.1247956403269754</v>
      </c>
      <c r="X659" s="35" t="n">
        <v>0.9396135265700483</v>
      </c>
      <c r="Y659" s="30" t="n">
        <v>33416778</v>
      </c>
      <c r="Z659" s="30" t="n">
        <v>536673454680</v>
      </c>
      <c r="AA659" s="30" t="n">
        <v>5803104340</v>
      </c>
      <c r="AB659" s="30" t="n">
        <v>11123565911.5</v>
      </c>
      <c r="AC659" s="35" t="n">
        <v>0.01081310113141369</v>
      </c>
      <c r="AD659" s="24" t="inlineStr">
        <is>
          <t>yfinance_download</t>
        </is>
      </c>
      <c r="AE659" s="24" t="inlineStr">
        <is>
          <t>059090.KQ</t>
        </is>
      </c>
    </row>
    <row r="660" ht="24" customHeight="1">
      <c r="A660" s="29" t="inlineStr">
        <is>
          <t>2026-02-24</t>
        </is>
      </c>
      <c r="B660" s="31" t="n">
        <v>16110</v>
      </c>
      <c r="C660" s="31" t="n">
        <v>16820</v>
      </c>
      <c r="D660" s="31" t="n">
        <v>15960</v>
      </c>
      <c r="E660" s="31" t="n">
        <v>16570</v>
      </c>
      <c r="F660" s="31" t="n">
        <v>16570</v>
      </c>
      <c r="G660" s="31" t="n">
        <v>245313</v>
      </c>
      <c r="H660" s="36" t="n">
        <v>0.03175591531755906</v>
      </c>
      <c r="I660" s="36" t="n">
        <v>-0.1265155508697944</v>
      </c>
      <c r="J660" s="31" t="n">
        <v>16648.5</v>
      </c>
      <c r="K660" s="31" t="n">
        <v>14581.83333333333</v>
      </c>
      <c r="L660" s="31" t="n">
        <v>14934</v>
      </c>
      <c r="M660" s="36" t="n">
        <v>0.7323980701338302</v>
      </c>
      <c r="N660" s="36" t="n">
        <v>0.5829205485054921</v>
      </c>
      <c r="O660" s="36" t="n">
        <v>0.3067823343848581</v>
      </c>
      <c r="P660" s="36" t="n">
        <v>0.2945312499999999</v>
      </c>
      <c r="Q660" s="36" t="n">
        <v>0.2562547384382108</v>
      </c>
      <c r="R660" s="36" t="n">
        <v>-0.004715139502057264</v>
      </c>
      <c r="S660" s="36" t="n">
        <v>0.1363454526751322</v>
      </c>
      <c r="T660" s="36" t="n">
        <v>0.1095486808624615</v>
      </c>
      <c r="U660" s="31" t="n">
        <v>18350</v>
      </c>
      <c r="V660" s="31" t="n">
        <v>8280</v>
      </c>
      <c r="W660" s="36" t="n">
        <v>-0.09700272479564032</v>
      </c>
      <c r="X660" s="36" t="n">
        <v>1.001207729468599</v>
      </c>
      <c r="Y660" s="31" t="n">
        <v>33416778</v>
      </c>
      <c r="Z660" s="31" t="n">
        <v>553716011460</v>
      </c>
      <c r="AA660" s="31" t="n">
        <v>4064836410</v>
      </c>
      <c r="AB660" s="31" t="n">
        <v>11088499178</v>
      </c>
      <c r="AC660" s="36" t="n">
        <v>0.007341012948645139</v>
      </c>
      <c r="AD660" s="29" t="inlineStr">
        <is>
          <t>yfinance_download</t>
        </is>
      </c>
      <c r="AE660" s="29" t="inlineStr">
        <is>
          <t>059090.KQ</t>
        </is>
      </c>
    </row>
    <row r="661" ht="24" customHeight="1">
      <c r="A661" s="24" t="inlineStr">
        <is>
          <t>2026-02-25</t>
        </is>
      </c>
      <c r="B661" s="30" t="n">
        <v>16830</v>
      </c>
      <c r="C661" s="30" t="n">
        <v>16830</v>
      </c>
      <c r="D661" s="30" t="n">
        <v>16230</v>
      </c>
      <c r="E661" s="30" t="n">
        <v>16320</v>
      </c>
      <c r="F661" s="30" t="n">
        <v>16320</v>
      </c>
      <c r="G661" s="30" t="n">
        <v>213855</v>
      </c>
      <c r="H661" s="35" t="n">
        <v>-0.01508750754375376</v>
      </c>
      <c r="I661" s="35" t="n">
        <v>-0.139694254085398</v>
      </c>
      <c r="J661" s="30" t="n">
        <v>16802.5</v>
      </c>
      <c r="K661" s="30" t="n">
        <v>14630.5</v>
      </c>
      <c r="L661" s="30" t="n">
        <v>14956.41666666667</v>
      </c>
      <c r="M661" s="35" t="n">
        <v>0.7307356643650298</v>
      </c>
      <c r="N661" s="35" t="n">
        <v>0.5777036429383746</v>
      </c>
      <c r="O661" s="35" t="n">
        <v>0.2326283987915407</v>
      </c>
      <c r="P661" s="35" t="n">
        <v>0.2179104477611939</v>
      </c>
      <c r="Q661" s="35" t="n">
        <v>0.1973587674247983</v>
      </c>
      <c r="R661" s="35" t="n">
        <v>-0.02871596488617767</v>
      </c>
      <c r="S661" s="35" t="n">
        <v>0.1154779399200301</v>
      </c>
      <c r="T661" s="35" t="n">
        <v>0.0911704563815976</v>
      </c>
      <c r="U661" s="30" t="n">
        <v>18350</v>
      </c>
      <c r="V661" s="30" t="n">
        <v>8280</v>
      </c>
      <c r="W661" s="35" t="n">
        <v>-0.1106267029972752</v>
      </c>
      <c r="X661" s="35" t="n">
        <v>0.9710144927536233</v>
      </c>
      <c r="Y661" s="30" t="n">
        <v>33416778</v>
      </c>
      <c r="Z661" s="30" t="n">
        <v>545361816960</v>
      </c>
      <c r="AA661" s="30" t="n">
        <v>3490113600</v>
      </c>
      <c r="AB661" s="30" t="n">
        <v>10990512418</v>
      </c>
      <c r="AC661" s="35" t="n">
        <v>0.006399629551358901</v>
      </c>
      <c r="AD661" s="24" t="inlineStr">
        <is>
          <t>yfinance_download</t>
        </is>
      </c>
      <c r="AE661" s="24" t="inlineStr">
        <is>
          <t>059090.KQ</t>
        </is>
      </c>
    </row>
    <row r="662" ht="24" customHeight="1">
      <c r="A662" s="29" t="inlineStr">
        <is>
          <t>2026-02-26</t>
        </is>
      </c>
      <c r="B662" s="31" t="n">
        <v>16800</v>
      </c>
      <c r="C662" s="31" t="n">
        <v>17150</v>
      </c>
      <c r="D662" s="31" t="n">
        <v>16310</v>
      </c>
      <c r="E662" s="31" t="n">
        <v>16560</v>
      </c>
      <c r="F662" s="31" t="n">
        <v>16560</v>
      </c>
      <c r="G662" s="31" t="n">
        <v>409239</v>
      </c>
      <c r="H662" s="36" t="n">
        <v>0.01470588235294112</v>
      </c>
      <c r="I662" s="36" t="n">
        <v>-0.1270426989984186</v>
      </c>
      <c r="J662" s="31" t="n">
        <v>16928.5</v>
      </c>
      <c r="K662" s="31" t="n">
        <v>14684</v>
      </c>
      <c r="L662" s="31" t="n">
        <v>14956.5</v>
      </c>
      <c r="M662" s="36" t="n">
        <v>0.7078075574436632</v>
      </c>
      <c r="N662" s="36" t="n">
        <v>0.5778938333159838</v>
      </c>
      <c r="O662" s="36" t="n">
        <v>0.1794871794871795</v>
      </c>
      <c r="P662" s="36" t="n">
        <v>0.2404494382022473</v>
      </c>
      <c r="Q662" s="36" t="n">
        <v>0.0006042296072508169</v>
      </c>
      <c r="R662" s="36" t="n">
        <v>-0.02176802433765546</v>
      </c>
      <c r="S662" s="36" t="n">
        <v>0.1277581040588396</v>
      </c>
      <c r="T662" s="36" t="n">
        <v>0.1072109116437669</v>
      </c>
      <c r="U662" s="31" t="n">
        <v>18350</v>
      </c>
      <c r="V662" s="31" t="n">
        <v>8280</v>
      </c>
      <c r="W662" s="36" t="n">
        <v>-0.09754768392370572</v>
      </c>
      <c r="X662" s="36" t="n">
        <v>1</v>
      </c>
      <c r="Y662" s="31" t="n">
        <v>33416778</v>
      </c>
      <c r="Z662" s="31" t="n">
        <v>553381843680</v>
      </c>
      <c r="AA662" s="31" t="n">
        <v>6776997840</v>
      </c>
      <c r="AB662" s="31" t="n">
        <v>10776641908</v>
      </c>
      <c r="AC662" s="36" t="n">
        <v>0.01224651281461067</v>
      </c>
      <c r="AD662" s="29" t="inlineStr">
        <is>
          <t>yfinance_download</t>
        </is>
      </c>
      <c r="AE662" s="29" t="inlineStr">
        <is>
          <t>059090.KQ</t>
        </is>
      </c>
    </row>
    <row r="663" ht="24" customHeight="1">
      <c r="A663" s="24" t="inlineStr">
        <is>
          <t>2026-02-27</t>
        </is>
      </c>
      <c r="B663" s="30" t="n">
        <v>16080</v>
      </c>
      <c r="C663" s="30" t="n">
        <v>16320</v>
      </c>
      <c r="D663" s="30" t="n">
        <v>15710</v>
      </c>
      <c r="E663" s="30" t="n">
        <v>15930</v>
      </c>
      <c r="F663" s="30" t="n">
        <v>15930</v>
      </c>
      <c r="G663" s="30" t="n">
        <v>312093</v>
      </c>
      <c r="H663" s="35" t="n">
        <v>-0.03804347826086951</v>
      </c>
      <c r="I663" s="35" t="n">
        <v>-0.1602530311017396</v>
      </c>
      <c r="J663" s="30" t="n">
        <v>16965.5</v>
      </c>
      <c r="K663" s="30" t="n">
        <v>14724.83333333333</v>
      </c>
      <c r="L663" s="30" t="n">
        <v>14952.66666666667</v>
      </c>
      <c r="M663" s="35" t="n">
        <v>0.6715732634758286</v>
      </c>
      <c r="N663" s="35" t="n">
        <v>0.5842159721730072</v>
      </c>
      <c r="O663" s="35" t="n">
        <v>0.04871626069782753</v>
      </c>
      <c r="P663" s="35" t="n">
        <v>0.1817507418397626</v>
      </c>
      <c r="Q663" s="35" t="n">
        <v>-0.02806589383770597</v>
      </c>
      <c r="R663" s="35" t="n">
        <v>-0.06103563113377153</v>
      </c>
      <c r="S663" s="35" t="n">
        <v>0.08184586130007121</v>
      </c>
      <c r="T663" s="35" t="n">
        <v>0.06536180837308847</v>
      </c>
      <c r="U663" s="30" t="n">
        <v>18350</v>
      </c>
      <c r="V663" s="30" t="n">
        <v>8280</v>
      </c>
      <c r="W663" s="35" t="n">
        <v>-0.1318801089918256</v>
      </c>
      <c r="X663" s="35" t="n">
        <v>0.923913043478261</v>
      </c>
      <c r="Y663" s="30" t="n">
        <v>33416778</v>
      </c>
      <c r="Z663" s="30" t="n">
        <v>532329273540</v>
      </c>
      <c r="AA663" s="30" t="n">
        <v>4971641490</v>
      </c>
      <c r="AB663" s="30" t="n">
        <v>10036559288</v>
      </c>
      <c r="AC663" s="35" t="n">
        <v>0.009339410280667993</v>
      </c>
      <c r="AD663" s="24" t="inlineStr">
        <is>
          <t>yfinance_download</t>
        </is>
      </c>
      <c r="AE663" s="24" t="inlineStr">
        <is>
          <t>059090.KQ</t>
        </is>
      </c>
    </row>
    <row r="664" ht="24" customHeight="1">
      <c r="A664" s="29" t="inlineStr">
        <is>
          <t>2026-03-03</t>
        </is>
      </c>
      <c r="B664" s="31" t="n">
        <v>15390</v>
      </c>
      <c r="C664" s="31" t="n">
        <v>16140</v>
      </c>
      <c r="D664" s="31" t="n">
        <v>14760</v>
      </c>
      <c r="E664" s="31" t="n">
        <v>14760</v>
      </c>
      <c r="F664" s="31" t="n">
        <v>14760</v>
      </c>
      <c r="G664" s="31" t="n">
        <v>542790</v>
      </c>
      <c r="H664" s="36" t="n">
        <v>-0.07344632768361581</v>
      </c>
      <c r="I664" s="36" t="n">
        <v>-0.2219293621507644</v>
      </c>
      <c r="J664" s="31" t="n">
        <v>16886.5</v>
      </c>
      <c r="K664" s="31" t="n">
        <v>14734.16666666667</v>
      </c>
      <c r="L664" s="31" t="n">
        <v>14939.33333333333</v>
      </c>
      <c r="M664" s="36" t="n">
        <v>0.6667438616450212</v>
      </c>
      <c r="N664" s="36" t="n">
        <v>0.5956135298317066</v>
      </c>
      <c r="O664" s="36" t="n">
        <v>-0.09669522643818851</v>
      </c>
      <c r="P664" s="36" t="n">
        <v>0.03943661971830981</v>
      </c>
      <c r="Q664" s="36" t="n">
        <v>-0.09779951100244499</v>
      </c>
      <c r="R664" s="36" t="n">
        <v>-0.1259289965356942</v>
      </c>
      <c r="S664" s="36" t="n">
        <v>0.001753294496917635</v>
      </c>
      <c r="T664" s="36" t="n">
        <v>-0.01200410549332864</v>
      </c>
      <c r="U664" s="31" t="n">
        <v>18350</v>
      </c>
      <c r="V664" s="31" t="n">
        <v>8280</v>
      </c>
      <c r="W664" s="36" t="n">
        <v>-0.1956403269754768</v>
      </c>
      <c r="X664" s="36" t="n">
        <v>0.7826086956521738</v>
      </c>
      <c r="Y664" s="31" t="n">
        <v>33416778</v>
      </c>
      <c r="Z664" s="31" t="n">
        <v>493231643280</v>
      </c>
      <c r="AA664" s="31" t="n">
        <v>8011580400</v>
      </c>
      <c r="AB664" s="31" t="n">
        <v>9459193393</v>
      </c>
      <c r="AC664" s="36" t="n">
        <v>0.01624303815287039</v>
      </c>
      <c r="AD664" s="29" t="inlineStr">
        <is>
          <t>yfinance_download</t>
        </is>
      </c>
      <c r="AE664" s="29" t="inlineStr">
        <is>
          <t>059090.KQ</t>
        </is>
      </c>
    </row>
    <row r="665" ht="24" customHeight="1">
      <c r="A665" s="24" t="inlineStr">
        <is>
          <t>2026-03-04</t>
        </is>
      </c>
      <c r="B665" s="30" t="n">
        <v>14300</v>
      </c>
      <c r="C665" s="30" t="n">
        <v>14450</v>
      </c>
      <c r="D665" s="30" t="n">
        <v>12470</v>
      </c>
      <c r="E665" s="30" t="n">
        <v>12510</v>
      </c>
      <c r="F665" s="30" t="n">
        <v>12510</v>
      </c>
      <c r="G665" s="30" t="n">
        <v>508127</v>
      </c>
      <c r="H665" s="35" t="n">
        <v>-0.1524390243902439</v>
      </c>
      <c r="I665" s="35" t="n">
        <v>-0.3405376910911966</v>
      </c>
      <c r="J665" s="30" t="n">
        <v>16665.5</v>
      </c>
      <c r="K665" s="30" t="n">
        <v>14707.5</v>
      </c>
      <c r="L665" s="30" t="n">
        <v>14912.91666666667</v>
      </c>
      <c r="M665" s="35" t="n">
        <v>0.8310956515960591</v>
      </c>
      <c r="N665" s="35" t="n">
        <v>0.6737823201452332</v>
      </c>
      <c r="O665" s="35" t="n">
        <v>-0.2610750147666864</v>
      </c>
      <c r="P665" s="35" t="n">
        <v>-0.1133947554925585</v>
      </c>
      <c r="Q665" s="35" t="n">
        <v>-0.2021683673469388</v>
      </c>
      <c r="R665" s="35" t="n">
        <v>-0.2493474543218025</v>
      </c>
      <c r="S665" s="35" t="n">
        <v>-0.1494135645079041</v>
      </c>
      <c r="T665" s="35" t="n">
        <v>-0.1611298929898578</v>
      </c>
      <c r="U665" s="30" t="n">
        <v>18350</v>
      </c>
      <c r="V665" s="30" t="n">
        <v>8280</v>
      </c>
      <c r="W665" s="35" t="n">
        <v>-0.3182561307901908</v>
      </c>
      <c r="X665" s="35" t="n">
        <v>0.5108695652173914</v>
      </c>
      <c r="Y665" s="30" t="n">
        <v>33416778</v>
      </c>
      <c r="Z665" s="30" t="n">
        <v>418043892780</v>
      </c>
      <c r="AA665" s="30" t="n">
        <v>6356668770</v>
      </c>
      <c r="AB665" s="30" t="n">
        <v>8731595099</v>
      </c>
      <c r="AC665" s="35" t="n">
        <v>0.01520574485068549</v>
      </c>
      <c r="AD665" s="24" t="inlineStr">
        <is>
          <t>yfinance_download</t>
        </is>
      </c>
      <c r="AE665" s="24" t="inlineStr">
        <is>
          <t>059090.KQ</t>
        </is>
      </c>
    </row>
    <row r="666" ht="24" customHeight="1">
      <c r="A666" s="29" t="inlineStr">
        <is>
          <t>2026-03-05</t>
        </is>
      </c>
      <c r="B666" s="31" t="n">
        <v>13500</v>
      </c>
      <c r="C666" s="31" t="n">
        <v>14700</v>
      </c>
      <c r="D666" s="31" t="n">
        <v>13330</v>
      </c>
      <c r="E666" s="31" t="n">
        <v>14030</v>
      </c>
      <c r="F666" s="31" t="n">
        <v>14030</v>
      </c>
      <c r="G666" s="31" t="n">
        <v>524361</v>
      </c>
      <c r="H666" s="36" t="n">
        <v>0.1215027977617906</v>
      </c>
      <c r="I666" s="36" t="n">
        <v>-0.2604111755403268</v>
      </c>
      <c r="J666" s="31" t="n">
        <v>16480.5</v>
      </c>
      <c r="K666" s="31" t="n">
        <v>14703.83333333333</v>
      </c>
      <c r="L666" s="31" t="n">
        <v>14895.75</v>
      </c>
      <c r="M666" s="36" t="n">
        <v>0.9381654513367389</v>
      </c>
      <c r="N666" s="36" t="n">
        <v>0.7188739657431799</v>
      </c>
      <c r="O666" s="36" t="n">
        <v>-0.2086858432036097</v>
      </c>
      <c r="P666" s="36" t="n">
        <v>-0.01543859649122803</v>
      </c>
      <c r="Q666" s="36" t="n">
        <v>-0.1280298321939093</v>
      </c>
      <c r="R666" s="36" t="n">
        <v>-0.1486908770971754</v>
      </c>
      <c r="S666" s="36" t="n">
        <v>-0.04582705190256509</v>
      </c>
      <c r="T666" s="36" t="n">
        <v>-0.05812060487051673</v>
      </c>
      <c r="U666" s="31" t="n">
        <v>18350</v>
      </c>
      <c r="V666" s="31" t="n">
        <v>8280</v>
      </c>
      <c r="W666" s="36" t="n">
        <v>-0.2354223433242507</v>
      </c>
      <c r="X666" s="36" t="n">
        <v>0.6944444444444444</v>
      </c>
      <c r="Y666" s="31" t="n">
        <v>33416778</v>
      </c>
      <c r="Z666" s="31" t="n">
        <v>468837395340</v>
      </c>
      <c r="AA666" s="31" t="n">
        <v>7356784830</v>
      </c>
      <c r="AB666" s="31" t="n">
        <v>7962242778.5</v>
      </c>
      <c r="AC666" s="36" t="n">
        <v>0.0156915487184312</v>
      </c>
      <c r="AD666" s="29" t="inlineStr">
        <is>
          <t>yfinance_download</t>
        </is>
      </c>
      <c r="AE666" s="29" t="inlineStr">
        <is>
          <t>059090.KQ</t>
        </is>
      </c>
    </row>
    <row r="667" ht="24" customHeight="1">
      <c r="A667" s="24" t="inlineStr">
        <is>
          <t>2026-03-06</t>
        </is>
      </c>
      <c r="B667" s="30" t="n">
        <v>13890</v>
      </c>
      <c r="C667" s="30" t="n">
        <v>15120</v>
      </c>
      <c r="D667" s="30" t="n">
        <v>13750</v>
      </c>
      <c r="E667" s="30" t="n">
        <v>15080</v>
      </c>
      <c r="F667" s="30" t="n">
        <v>15080</v>
      </c>
      <c r="G667" s="30" t="n">
        <v>348796</v>
      </c>
      <c r="H667" s="35" t="n">
        <v>0.07483962936564503</v>
      </c>
      <c r="I667" s="35" t="n">
        <v>-0.2050606220347918</v>
      </c>
      <c r="J667" s="30" t="n">
        <v>16356.5</v>
      </c>
      <c r="K667" s="30" t="n">
        <v>14716</v>
      </c>
      <c r="L667" s="30" t="n">
        <v>14889.58333333333</v>
      </c>
      <c r="M667" s="35" t="n">
        <v>0.9852769273248139</v>
      </c>
      <c r="N667" s="35" t="n">
        <v>0.7346596449802594</v>
      </c>
      <c r="O667" s="35" t="n">
        <v>-0.1412300683371298</v>
      </c>
      <c r="P667" s="35" t="n">
        <v>0.0508710801393728</v>
      </c>
      <c r="Q667" s="35" t="n">
        <v>-0.04677623261694053</v>
      </c>
      <c r="R667" s="35" t="n">
        <v>-0.07804236847736379</v>
      </c>
      <c r="S667" s="35" t="n">
        <v>0.02473498233215543</v>
      </c>
      <c r="T667" s="35" t="n">
        <v>0.01278858262207905</v>
      </c>
      <c r="U667" s="30" t="n">
        <v>18350</v>
      </c>
      <c r="V667" s="30" t="n">
        <v>8280</v>
      </c>
      <c r="W667" s="35" t="n">
        <v>-0.1782016348773842</v>
      </c>
      <c r="X667" s="35" t="n">
        <v>0.8212560386473431</v>
      </c>
      <c r="Y667" s="30" t="n">
        <v>33416778</v>
      </c>
      <c r="Z667" s="30" t="n">
        <v>503925012240</v>
      </c>
      <c r="AA667" s="30" t="n">
        <v>5259843680</v>
      </c>
      <c r="AB667" s="30" t="n">
        <v>7276074818.5</v>
      </c>
      <c r="AC667" s="35" t="n">
        <v>0.01043775076100993</v>
      </c>
      <c r="AD667" s="24" t="inlineStr">
        <is>
          <t>yfinance_download</t>
        </is>
      </c>
      <c r="AE667" s="24" t="inlineStr">
        <is>
          <t>059090.KQ</t>
        </is>
      </c>
    </row>
    <row r="668" ht="24" customHeight="1">
      <c r="A668" s="29" t="inlineStr">
        <is>
          <t>2026-03-09</t>
        </is>
      </c>
      <c r="B668" s="31" t="n">
        <v>14000</v>
      </c>
      <c r="C668" s="31" t="n">
        <v>14280</v>
      </c>
      <c r="D668" s="31" t="n">
        <v>13130</v>
      </c>
      <c r="E668" s="31" t="n">
        <v>13770</v>
      </c>
      <c r="F668" s="31" t="n">
        <v>13770</v>
      </c>
      <c r="G668" s="31" t="n">
        <v>328608</v>
      </c>
      <c r="H668" s="36" t="n">
        <v>-0.08687002652519893</v>
      </c>
      <c r="I668" s="36" t="n">
        <v>-0.2741170268845545</v>
      </c>
      <c r="J668" s="31" t="n">
        <v>16157</v>
      </c>
      <c r="K668" s="31" t="n">
        <v>14713.33333333333</v>
      </c>
      <c r="L668" s="31" t="n">
        <v>14872.41666666667</v>
      </c>
      <c r="M668" s="36" t="n">
        <v>1.023627818103305</v>
      </c>
      <c r="N668" s="36" t="n">
        <v>0.7543154097074638</v>
      </c>
      <c r="O668" s="36" t="n">
        <v>-0.2246621621621622</v>
      </c>
      <c r="P668" s="36" t="n">
        <v>-0.01148600143575018</v>
      </c>
      <c r="Q668" s="36" t="n">
        <v>-0.1301326595072647</v>
      </c>
      <c r="R668" s="36" t="n">
        <v>-0.1477378226155845</v>
      </c>
      <c r="S668" s="36" t="n">
        <v>-0.06411418214771192</v>
      </c>
      <c r="T668" s="36" t="n">
        <v>-0.07412491805299515</v>
      </c>
      <c r="U668" s="31" t="n">
        <v>18350</v>
      </c>
      <c r="V668" s="31" t="n">
        <v>8280</v>
      </c>
      <c r="W668" s="36" t="n">
        <v>-0.249591280653951</v>
      </c>
      <c r="X668" s="36" t="n">
        <v>0.6630434782608696</v>
      </c>
      <c r="Y668" s="31" t="n">
        <v>33416778</v>
      </c>
      <c r="Z668" s="31" t="n">
        <v>460149033060</v>
      </c>
      <c r="AA668" s="31" t="n">
        <v>4524932160</v>
      </c>
      <c r="AB668" s="31" t="n">
        <v>6795690098.5</v>
      </c>
      <c r="AC668" s="36" t="n">
        <v>0.009833623097953968</v>
      </c>
      <c r="AD668" s="29" t="inlineStr">
        <is>
          <t>yfinance_download</t>
        </is>
      </c>
      <c r="AE668" s="29" t="inlineStr">
        <is>
          <t>059090.KQ</t>
        </is>
      </c>
    </row>
    <row r="669" ht="24" customHeight="1">
      <c r="A669" s="24" t="inlineStr">
        <is>
          <t>2026-03-10</t>
        </is>
      </c>
      <c r="B669" s="30" t="n">
        <v>14510</v>
      </c>
      <c r="C669" s="30" t="n">
        <v>14620</v>
      </c>
      <c r="D669" s="30" t="n">
        <v>13800</v>
      </c>
      <c r="E669" s="30" t="n">
        <v>14040</v>
      </c>
      <c r="F669" s="30" t="n">
        <v>14040</v>
      </c>
      <c r="G669" s="30" t="n">
        <v>403257</v>
      </c>
      <c r="H669" s="35" t="n">
        <v>0.01960784313725483</v>
      </c>
      <c r="I669" s="35" t="n">
        <v>-0.2598840274117027</v>
      </c>
      <c r="J669" s="30" t="n">
        <v>15965</v>
      </c>
      <c r="K669" s="30" t="n">
        <v>14715</v>
      </c>
      <c r="L669" s="30" t="n">
        <v>14860.33333333333</v>
      </c>
      <c r="M669" s="35" t="n">
        <v>1.027533261751682</v>
      </c>
      <c r="N669" s="35" t="n">
        <v>0.7552855313147946</v>
      </c>
      <c r="O669" s="35" t="n">
        <v>-0.214765100671141</v>
      </c>
      <c r="P669" s="35" t="n">
        <v>0.007173601147776099</v>
      </c>
      <c r="Q669" s="35" t="n">
        <v>-0.09360877985797289</v>
      </c>
      <c r="R669" s="35" t="n">
        <v>-0.1205762605699968</v>
      </c>
      <c r="S669" s="35" t="n">
        <v>-0.04587155963302747</v>
      </c>
      <c r="T669" s="35" t="n">
        <v>-0.05520288912316906</v>
      </c>
      <c r="U669" s="30" t="n">
        <v>18350</v>
      </c>
      <c r="V669" s="30" t="n">
        <v>8280</v>
      </c>
      <c r="W669" s="35" t="n">
        <v>-0.2348773841961853</v>
      </c>
      <c r="X669" s="35" t="n">
        <v>0.6956521739130435</v>
      </c>
      <c r="Y669" s="30" t="n">
        <v>33416778</v>
      </c>
      <c r="Z669" s="30" t="n">
        <v>469171563120</v>
      </c>
      <c r="AA669" s="30" t="n">
        <v>5661728280</v>
      </c>
      <c r="AB669" s="30" t="n">
        <v>6628710986.5</v>
      </c>
      <c r="AC669" s="35" t="n">
        <v>0.01206750094219138</v>
      </c>
      <c r="AD669" s="24" t="inlineStr">
        <is>
          <t>yfinance_download</t>
        </is>
      </c>
      <c r="AE669" s="24" t="inlineStr">
        <is>
          <t>059090.KQ</t>
        </is>
      </c>
    </row>
    <row r="670" ht="24" customHeight="1">
      <c r="A670" s="29" t="inlineStr">
        <is>
          <t>2026-03-11</t>
        </is>
      </c>
      <c r="B670" s="31" t="n">
        <v>14520</v>
      </c>
      <c r="C670" s="31" t="n">
        <v>14730</v>
      </c>
      <c r="D670" s="31" t="n">
        <v>14010</v>
      </c>
      <c r="E670" s="31" t="n">
        <v>14130</v>
      </c>
      <c r="F670" s="31" t="n">
        <v>14130</v>
      </c>
      <c r="G670" s="31" t="n">
        <v>410596</v>
      </c>
      <c r="H670" s="36" t="n">
        <v>0.006410256410256387</v>
      </c>
      <c r="I670" s="36" t="n">
        <v>-0.2551396942540854</v>
      </c>
      <c r="J670" s="31" t="n">
        <v>15823.5</v>
      </c>
      <c r="K670" s="31" t="n">
        <v>14717.5</v>
      </c>
      <c r="L670" s="31" t="n">
        <v>14850.08333333333</v>
      </c>
      <c r="M670" s="36" t="n">
        <v>1.017043348250516</v>
      </c>
      <c r="N670" s="36" t="n">
        <v>0.7553529221925128</v>
      </c>
      <c r="O670" s="36" t="n">
        <v>-0.1668632075471698</v>
      </c>
      <c r="P670" s="36" t="n">
        <v>0.01072961373390569</v>
      </c>
      <c r="Q670" s="36" t="n">
        <v>-0.080078125</v>
      </c>
      <c r="R670" s="36" t="n">
        <v>-0.1070243624988151</v>
      </c>
      <c r="S670" s="36" t="n">
        <v>-0.03991846441311364</v>
      </c>
      <c r="T670" s="36" t="n">
        <v>-0.04849018804608285</v>
      </c>
      <c r="U670" s="31" t="n">
        <v>18350</v>
      </c>
      <c r="V670" s="31" t="n">
        <v>8280</v>
      </c>
      <c r="W670" s="36" t="n">
        <v>-0.2299727520435967</v>
      </c>
      <c r="X670" s="36" t="n">
        <v>0.7065217391304348</v>
      </c>
      <c r="Y670" s="31" t="n">
        <v>33416778</v>
      </c>
      <c r="Z670" s="31" t="n">
        <v>472179073140</v>
      </c>
      <c r="AA670" s="31" t="n">
        <v>5801721480</v>
      </c>
      <c r="AB670" s="31" t="n">
        <v>6528811188.5</v>
      </c>
      <c r="AC670" s="36" t="n">
        <v>0.01228712115812003</v>
      </c>
      <c r="AD670" s="29" t="inlineStr">
        <is>
          <t>yfinance_download</t>
        </is>
      </c>
      <c r="AE670" s="29" t="inlineStr">
        <is>
          <t>059090.KQ</t>
        </is>
      </c>
    </row>
    <row r="671" ht="24" customHeight="1">
      <c r="A671" s="24" t="inlineStr">
        <is>
          <t>2026-03-12</t>
        </is>
      </c>
      <c r="B671" s="30" t="n">
        <v>14030</v>
      </c>
      <c r="C671" s="30" t="n">
        <v>14410</v>
      </c>
      <c r="D671" s="30" t="n">
        <v>13880</v>
      </c>
      <c r="E671" s="30" t="n">
        <v>14180</v>
      </c>
      <c r="F671" s="30" t="n">
        <v>14180</v>
      </c>
      <c r="G671" s="30" t="n">
        <v>318437</v>
      </c>
      <c r="H671" s="35" t="n">
        <v>0.003538570417551234</v>
      </c>
      <c r="I671" s="35" t="n">
        <v>-0.2525039536109647</v>
      </c>
      <c r="J671" s="30" t="n">
        <v>15683.5</v>
      </c>
      <c r="K671" s="30" t="n">
        <v>14721</v>
      </c>
      <c r="L671" s="30" t="n">
        <v>14839.25</v>
      </c>
      <c r="M671" s="35" t="n">
        <v>1.01733259575924</v>
      </c>
      <c r="N671" s="35" t="n">
        <v>0.75535466755926</v>
      </c>
      <c r="O671" s="35" t="n">
        <v>-0.1648998822143698</v>
      </c>
      <c r="P671" s="35" t="n">
        <v>0.01503221188260562</v>
      </c>
      <c r="Q671" s="35" t="n">
        <v>-0.08397932816537468</v>
      </c>
      <c r="R671" s="35" t="n">
        <v>-0.09586508113622594</v>
      </c>
      <c r="S671" s="35" t="n">
        <v>-0.03675022077304535</v>
      </c>
      <c r="T671" s="35" t="n">
        <v>-0.04442609970180433</v>
      </c>
      <c r="U671" s="30" t="n">
        <v>18350</v>
      </c>
      <c r="V671" s="30" t="n">
        <v>8280</v>
      </c>
      <c r="W671" s="35" t="n">
        <v>-0.2272479564032698</v>
      </c>
      <c r="X671" s="35" t="n">
        <v>0.71256038647343</v>
      </c>
      <c r="Y671" s="30" t="n">
        <v>33416778</v>
      </c>
      <c r="Z671" s="30" t="n">
        <v>473849912040</v>
      </c>
      <c r="AA671" s="30" t="n">
        <v>4515436660</v>
      </c>
      <c r="AB671" s="30" t="n">
        <v>6162002246.5</v>
      </c>
      <c r="AC671" s="35" t="n">
        <v>0.009529255034701431</v>
      </c>
      <c r="AD671" s="24" t="inlineStr">
        <is>
          <t>yfinance_download</t>
        </is>
      </c>
      <c r="AE671" s="24" t="inlineStr">
        <is>
          <t>059090.KQ</t>
        </is>
      </c>
    </row>
    <row r="672" ht="24" customHeight="1">
      <c r="A672" s="29" t="inlineStr">
        <is>
          <t>2026-03-13</t>
        </is>
      </c>
      <c r="B672" s="31" t="n">
        <v>14530</v>
      </c>
      <c r="C672" s="31" t="n">
        <v>14530</v>
      </c>
      <c r="D672" s="31" t="n">
        <v>14030</v>
      </c>
      <c r="E672" s="31" t="n">
        <v>14220</v>
      </c>
      <c r="F672" s="31" t="n">
        <v>14220</v>
      </c>
      <c r="G672" s="31" t="n">
        <v>364260</v>
      </c>
      <c r="H672" s="36" t="n">
        <v>0.002820874471086032</v>
      </c>
      <c r="I672" s="36" t="n">
        <v>-0.2503953610964681</v>
      </c>
      <c r="J672" s="31" t="n">
        <v>15477</v>
      </c>
      <c r="K672" s="31" t="n">
        <v>14724</v>
      </c>
      <c r="L672" s="31" t="n">
        <v>14824.08333333333</v>
      </c>
      <c r="M672" s="36" t="n">
        <v>0.9645127871404527</v>
      </c>
      <c r="N672" s="36" t="n">
        <v>0.7553229729959335</v>
      </c>
      <c r="O672" s="36" t="n">
        <v>-0.2250681198910082</v>
      </c>
      <c r="P672" s="36" t="n">
        <v>0.01282051282051277</v>
      </c>
      <c r="Q672" s="36" t="n">
        <v>-0.1134663341645885</v>
      </c>
      <c r="R672" s="36" t="n">
        <v>-0.081217290172514</v>
      </c>
      <c r="S672" s="36" t="n">
        <v>-0.03422982885085579</v>
      </c>
      <c r="T672" s="36" t="n">
        <v>-0.04075013069948119</v>
      </c>
      <c r="U672" s="31" t="n">
        <v>18350</v>
      </c>
      <c r="V672" s="31" t="n">
        <v>8280</v>
      </c>
      <c r="W672" s="36" t="n">
        <v>-0.2250681198910082</v>
      </c>
      <c r="X672" s="36" t="n">
        <v>0.7173913043478262</v>
      </c>
      <c r="Y672" s="31" t="n">
        <v>33416778</v>
      </c>
      <c r="Z672" s="31" t="n">
        <v>475186583160</v>
      </c>
      <c r="AA672" s="31" t="n">
        <v>5179777200</v>
      </c>
      <c r="AB672" s="31" t="n">
        <v>5856859809</v>
      </c>
      <c r="AC672" s="36" t="n">
        <v>0.0109005123115101</v>
      </c>
      <c r="AD672" s="29" t="inlineStr">
        <is>
          <t>yfinance_download</t>
        </is>
      </c>
      <c r="AE672" s="29" t="inlineStr">
        <is>
          <t>059090.KQ</t>
        </is>
      </c>
    </row>
    <row r="673" ht="24" customHeight="1">
      <c r="A673" s="24" t="inlineStr">
        <is>
          <t>2026-03-16</t>
        </is>
      </c>
      <c r="B673" s="30" t="n">
        <v>14170</v>
      </c>
      <c r="C673" s="30" t="n">
        <v>14310</v>
      </c>
      <c r="D673" s="30" t="n">
        <v>13420</v>
      </c>
      <c r="E673" s="30" t="n">
        <v>13630</v>
      </c>
      <c r="F673" s="30" t="n">
        <v>13630</v>
      </c>
      <c r="G673" s="30" t="n">
        <v>383489</v>
      </c>
      <c r="H673" s="35" t="n">
        <v>-0.04149085794655416</v>
      </c>
      <c r="I673" s="35" t="n">
        <v>-0.2814971006852925</v>
      </c>
      <c r="J673" s="30" t="n">
        <v>15276</v>
      </c>
      <c r="K673" s="30" t="n">
        <v>14723</v>
      </c>
      <c r="L673" s="30" t="n">
        <v>14800.83333333333</v>
      </c>
      <c r="M673" s="35" t="n">
        <v>0.9658387583785757</v>
      </c>
      <c r="N673" s="35" t="n">
        <v>0.7585387777702767</v>
      </c>
      <c r="O673" s="35" t="n">
        <v>-0.2277620396600567</v>
      </c>
      <c r="P673" s="35" t="n">
        <v>-0.004382761139517855</v>
      </c>
      <c r="Q673" s="35" t="n">
        <v>-0.1699147381242387</v>
      </c>
      <c r="R673" s="35" t="n">
        <v>-0.1077507200837916</v>
      </c>
      <c r="S673" s="35" t="n">
        <v>-0.0742375874482103</v>
      </c>
      <c r="T673" s="35" t="n">
        <v>-0.07910590619897528</v>
      </c>
      <c r="U673" s="30" t="n">
        <v>18350</v>
      </c>
      <c r="V673" s="30" t="n">
        <v>8280</v>
      </c>
      <c r="W673" s="35" t="n">
        <v>-0.2572207084468665</v>
      </c>
      <c r="X673" s="35" t="n">
        <v>0.6461352657004831</v>
      </c>
      <c r="Y673" s="30" t="n">
        <v>33416778</v>
      </c>
      <c r="Z673" s="30" t="n">
        <v>455470684140</v>
      </c>
      <c r="AA673" s="30" t="n">
        <v>5226955070</v>
      </c>
      <c r="AB673" s="30" t="n">
        <v>5776439140</v>
      </c>
      <c r="AC673" s="35" t="n">
        <v>0.0114759418158148</v>
      </c>
      <c r="AD673" s="24" t="inlineStr">
        <is>
          <t>yfinance_download</t>
        </is>
      </c>
      <c r="AE673" s="24" t="inlineStr">
        <is>
          <t>059090.KQ</t>
        </is>
      </c>
    </row>
    <row r="674" ht="24" customHeight="1">
      <c r="A674" s="29" t="inlineStr">
        <is>
          <t>2026-03-17</t>
        </is>
      </c>
      <c r="B674" s="31" t="n">
        <v>14070</v>
      </c>
      <c r="C674" s="31" t="n">
        <v>14970</v>
      </c>
      <c r="D674" s="31" t="n">
        <v>14070</v>
      </c>
      <c r="E674" s="31" t="n">
        <v>14330</v>
      </c>
      <c r="F674" s="31" t="n">
        <v>14330</v>
      </c>
      <c r="G674" s="31" t="n">
        <v>475676</v>
      </c>
      <c r="H674" s="36" t="n">
        <v>0.05135730007336758</v>
      </c>
      <c r="I674" s="36" t="n">
        <v>-0.2445967316816026</v>
      </c>
      <c r="J674" s="31" t="n">
        <v>15170</v>
      </c>
      <c r="K674" s="31" t="n">
        <v>14723.5</v>
      </c>
      <c r="L674" s="31" t="n">
        <v>14777.16666666667</v>
      </c>
      <c r="M674" s="36" t="n">
        <v>0.9654214377607832</v>
      </c>
      <c r="N674" s="36" t="n">
        <v>0.760329902815866</v>
      </c>
      <c r="O674" s="36" t="n">
        <v>-0.1288753799392097</v>
      </c>
      <c r="P674" s="36" t="n">
        <v>0.002097902097902171</v>
      </c>
      <c r="Q674" s="36" t="n">
        <v>-0.1654047757716948</v>
      </c>
      <c r="R674" s="36" t="n">
        <v>-0.05537244561634802</v>
      </c>
      <c r="S674" s="36" t="n">
        <v>-0.02672598227323664</v>
      </c>
      <c r="T674" s="36" t="n">
        <v>-0.03026064987649857</v>
      </c>
      <c r="U674" s="31" t="n">
        <v>18350</v>
      </c>
      <c r="V674" s="31" t="n">
        <v>8280</v>
      </c>
      <c r="W674" s="36" t="n">
        <v>-0.2190735694822888</v>
      </c>
      <c r="X674" s="36" t="n">
        <v>0.7306763285024154</v>
      </c>
      <c r="Y674" s="31" t="n">
        <v>33416778</v>
      </c>
      <c r="Z674" s="31" t="n">
        <v>478862428740</v>
      </c>
      <c r="AA674" s="31" t="n">
        <v>6816437080</v>
      </c>
      <c r="AB674" s="31" t="n">
        <v>5579160109</v>
      </c>
      <c r="AC674" s="36" t="n">
        <v>0.01423464584167869</v>
      </c>
      <c r="AD674" s="29" t="inlineStr">
        <is>
          <t>yfinance_download</t>
        </is>
      </c>
      <c r="AE674" s="29" t="inlineStr">
        <is>
          <t>059090.KQ</t>
        </is>
      </c>
    </row>
    <row r="675" ht="24" customHeight="1">
      <c r="A675" s="24" t="inlineStr">
        <is>
          <t>2026-03-18</t>
        </is>
      </c>
      <c r="B675" s="30" t="n">
        <v>14970</v>
      </c>
      <c r="C675" s="30" t="n">
        <v>15300</v>
      </c>
      <c r="D675" s="30" t="n">
        <v>14660</v>
      </c>
      <c r="E675" s="30" t="n">
        <v>14970</v>
      </c>
      <c r="F675" s="30" t="n">
        <v>14970</v>
      </c>
      <c r="G675" s="30" t="n">
        <v>498672</v>
      </c>
      <c r="H675" s="35" t="n">
        <v>0.04466154919748777</v>
      </c>
      <c r="I675" s="35" t="n">
        <v>-0.2108592514496573</v>
      </c>
      <c r="J675" s="30" t="n">
        <v>15077.5</v>
      </c>
      <c r="K675" s="30" t="n">
        <v>14743.66666666667</v>
      </c>
      <c r="L675" s="30" t="n">
        <v>14759.58333333333</v>
      </c>
      <c r="M675" s="35" t="n">
        <v>0.976956487351243</v>
      </c>
      <c r="N675" s="35" t="n">
        <v>0.7610645832131124</v>
      </c>
      <c r="O675" s="35" t="n">
        <v>-0.1099881093935791</v>
      </c>
      <c r="P675" s="35" t="n">
        <v>0.0879360465116279</v>
      </c>
      <c r="Q675" s="35" t="n">
        <v>-0.1235362997658079</v>
      </c>
      <c r="R675" s="35" t="n">
        <v>-0.007129829215718808</v>
      </c>
      <c r="S675" s="35" t="n">
        <v>0.01535122425448221</v>
      </c>
      <c r="T675" s="35" t="n">
        <v>0.01425627417214792</v>
      </c>
      <c r="U675" s="30" t="n">
        <v>18350</v>
      </c>
      <c r="V675" s="30" t="n">
        <v>8280</v>
      </c>
      <c r="W675" s="35" t="n">
        <v>-0.1841961852861036</v>
      </c>
      <c r="X675" s="35" t="n">
        <v>0.8079710144927537</v>
      </c>
      <c r="Y675" s="30" t="n">
        <v>33416778</v>
      </c>
      <c r="Z675" s="30" t="n">
        <v>500249166660</v>
      </c>
      <c r="AA675" s="30" t="n">
        <v>7465119840</v>
      </c>
      <c r="AB675" s="30" t="n">
        <v>5612777410</v>
      </c>
      <c r="AC675" s="35" t="n">
        <v>0.01492280314996257</v>
      </c>
      <c r="AD675" s="24" t="inlineStr">
        <is>
          <t>yfinance_download</t>
        </is>
      </c>
      <c r="AE675" s="24" t="inlineStr">
        <is>
          <t>059090.KQ</t>
        </is>
      </c>
    </row>
    <row r="676" ht="24" customHeight="1">
      <c r="A676" s="29" t="inlineStr">
        <is>
          <t>2026-03-19</t>
        </is>
      </c>
      <c r="B676" s="31" t="n">
        <v>14380</v>
      </c>
      <c r="C676" s="31" t="n">
        <v>14980</v>
      </c>
      <c r="D676" s="31" t="n">
        <v>14340</v>
      </c>
      <c r="E676" s="31" t="n">
        <v>14570</v>
      </c>
      <c r="F676" s="31" t="n">
        <v>14570</v>
      </c>
      <c r="G676" s="31" t="n">
        <v>319839</v>
      </c>
      <c r="H676" s="36" t="n">
        <v>-0.02672010688042747</v>
      </c>
      <c r="I676" s="36" t="n">
        <v>-0.2319451765946231</v>
      </c>
      <c r="J676" s="31" t="n">
        <v>14988</v>
      </c>
      <c r="K676" s="31" t="n">
        <v>14767.33333333333</v>
      </c>
      <c r="L676" s="31" t="n">
        <v>14742.58333333333</v>
      </c>
      <c r="M676" s="36" t="n">
        <v>0.9767595953535627</v>
      </c>
      <c r="N676" s="36" t="n">
        <v>0.7572774697326251</v>
      </c>
      <c r="O676" s="36" t="n">
        <v>-0.1094132029339854</v>
      </c>
      <c r="P676" s="36" t="n">
        <v>0.1079847908745246</v>
      </c>
      <c r="Q676" s="36" t="n">
        <v>-0.1228175797712222</v>
      </c>
      <c r="R676" s="36" t="n">
        <v>-0.02788897784894584</v>
      </c>
      <c r="S676" s="36" t="n">
        <v>-0.0133628278633019</v>
      </c>
      <c r="T676" s="36" t="n">
        <v>-0.01170645126645609</v>
      </c>
      <c r="U676" s="31" t="n">
        <v>18350</v>
      </c>
      <c r="V676" s="31" t="n">
        <v>8280</v>
      </c>
      <c r="W676" s="36" t="n">
        <v>-0.2059945504087194</v>
      </c>
      <c r="X676" s="36" t="n">
        <v>0.7596618357487923</v>
      </c>
      <c r="Y676" s="31" t="n">
        <v>33416778</v>
      </c>
      <c r="Z676" s="31" t="n">
        <v>486882455460</v>
      </c>
      <c r="AA676" s="31" t="n">
        <v>4660054230</v>
      </c>
      <c r="AB676" s="31" t="n">
        <v>5670948981.5</v>
      </c>
      <c r="AC676" s="36" t="n">
        <v>0.009571210007140724</v>
      </c>
      <c r="AD676" s="29" t="inlineStr">
        <is>
          <t>yfinance_download</t>
        </is>
      </c>
      <c r="AE676" s="29" t="inlineStr">
        <is>
          <t>059090.KQ</t>
        </is>
      </c>
    </row>
    <row r="677" ht="24" customHeight="1">
      <c r="A677" s="24" t="inlineStr">
        <is>
          <t>2026-03-20</t>
        </is>
      </c>
      <c r="B677" s="30" t="n">
        <v>15130</v>
      </c>
      <c r="C677" s="30" t="n">
        <v>15590</v>
      </c>
      <c r="D677" s="30" t="n">
        <v>14870</v>
      </c>
      <c r="E677" s="30" t="n">
        <v>15060</v>
      </c>
      <c r="F677" s="30" t="n">
        <v>15060</v>
      </c>
      <c r="G677" s="30" t="n">
        <v>424516</v>
      </c>
      <c r="H677" s="35" t="n">
        <v>0.03363074811255995</v>
      </c>
      <c r="I677" s="35" t="n">
        <v>-0.2061149182920401</v>
      </c>
      <c r="J677" s="30" t="n">
        <v>14882.5</v>
      </c>
      <c r="K677" s="30" t="n">
        <v>14792.5</v>
      </c>
      <c r="L677" s="30" t="n">
        <v>14734.16666666667</v>
      </c>
      <c r="M677" s="35" t="n">
        <v>0.966810155328116</v>
      </c>
      <c r="N677" s="35" t="n">
        <v>0.7578055505908328</v>
      </c>
      <c r="O677" s="35" t="n">
        <v>-0.1228887594641818</v>
      </c>
      <c r="P677" s="35" t="n">
        <v>0.111439114391144</v>
      </c>
      <c r="Q677" s="35" t="n">
        <v>-0.06285003111387677</v>
      </c>
      <c r="R677" s="35" t="n">
        <v>0.01192675961699985</v>
      </c>
      <c r="S677" s="35" t="n">
        <v>0.01808348825418293</v>
      </c>
      <c r="T677" s="35" t="n">
        <v>0.02211413381596072</v>
      </c>
      <c r="U677" s="30" t="n">
        <v>18350</v>
      </c>
      <c r="V677" s="30" t="n">
        <v>8280</v>
      </c>
      <c r="W677" s="35" t="n">
        <v>-0.179291553133515</v>
      </c>
      <c r="X677" s="35" t="n">
        <v>0.818840579710145</v>
      </c>
      <c r="Y677" s="30" t="n">
        <v>33416778</v>
      </c>
      <c r="Z677" s="30" t="n">
        <v>503256676680</v>
      </c>
      <c r="AA677" s="30" t="n">
        <v>6393210960</v>
      </c>
      <c r="AB677" s="30" t="n">
        <v>5610870941.5</v>
      </c>
      <c r="AC677" s="35" t="n">
        <v>0.01270367837377978</v>
      </c>
      <c r="AD677" s="24" t="inlineStr">
        <is>
          <t>yfinance_download</t>
        </is>
      </c>
      <c r="AE677" s="24" t="inlineStr">
        <is>
          <t>059090.KQ</t>
        </is>
      </c>
    </row>
    <row r="678" ht="24" customHeight="1">
      <c r="A678" s="29" t="inlineStr">
        <is>
          <t>2026-03-23</t>
        </is>
      </c>
      <c r="B678" s="31" t="n">
        <v>14460</v>
      </c>
      <c r="C678" s="31" t="n">
        <v>14530</v>
      </c>
      <c r="D678" s="31" t="n">
        <v>13900</v>
      </c>
      <c r="E678" s="31" t="n">
        <v>13900</v>
      </c>
      <c r="F678" s="31" t="n">
        <v>13900</v>
      </c>
      <c r="G678" s="31" t="n">
        <v>307543</v>
      </c>
      <c r="H678" s="36" t="n">
        <v>-0.0770252324037185</v>
      </c>
      <c r="I678" s="36" t="n">
        <v>-0.2672641012124407</v>
      </c>
      <c r="J678" s="31" t="n">
        <v>14731</v>
      </c>
      <c r="K678" s="31" t="n">
        <v>14803.16666666667</v>
      </c>
      <c r="L678" s="31" t="n">
        <v>14714.66666666667</v>
      </c>
      <c r="M678" s="36" t="n">
        <v>1.000135040675749</v>
      </c>
      <c r="N678" s="36" t="n">
        <v>0.7738275800006763</v>
      </c>
      <c r="O678" s="36" t="n">
        <v>-0.1789722386296515</v>
      </c>
      <c r="P678" s="36" t="n">
        <v>0.04826546003016596</v>
      </c>
      <c r="Q678" s="36" t="n">
        <v>-0.1440886699507389</v>
      </c>
      <c r="R678" s="36" t="n">
        <v>-0.05641164890367256</v>
      </c>
      <c r="S678" s="36" t="n">
        <v>-0.06101172046521575</v>
      </c>
      <c r="T678" s="36" t="n">
        <v>-0.05536426241391801</v>
      </c>
      <c r="U678" s="31" t="n">
        <v>18350</v>
      </c>
      <c r="V678" s="31" t="n">
        <v>8280</v>
      </c>
      <c r="W678" s="36" t="n">
        <v>-0.2425068119891008</v>
      </c>
      <c r="X678" s="36" t="n">
        <v>0.6787439613526569</v>
      </c>
      <c r="Y678" s="31" t="n">
        <v>33416778</v>
      </c>
      <c r="Z678" s="31" t="n">
        <v>464493214200</v>
      </c>
      <c r="AA678" s="31" t="n">
        <v>4274847700</v>
      </c>
      <c r="AB678" s="31" t="n">
        <v>5630589601</v>
      </c>
      <c r="AC678" s="36" t="n">
        <v>0.009203251133307945</v>
      </c>
      <c r="AD678" s="29" t="inlineStr">
        <is>
          <t>yfinance_download</t>
        </is>
      </c>
      <c r="AE678" s="29" t="inlineStr">
        <is>
          <t>059090.KQ</t>
        </is>
      </c>
    </row>
    <row r="679" ht="24" customHeight="1">
      <c r="A679" s="24" t="inlineStr">
        <is>
          <t>2026-03-24</t>
        </is>
      </c>
      <c r="B679" s="30" t="n">
        <v>14400</v>
      </c>
      <c r="C679" s="30" t="n">
        <v>14470</v>
      </c>
      <c r="D679" s="30" t="n">
        <v>13750</v>
      </c>
      <c r="E679" s="30" t="n">
        <v>14170</v>
      </c>
      <c r="F679" s="30" t="n">
        <v>14170</v>
      </c>
      <c r="G679" s="30" t="n">
        <v>196835</v>
      </c>
      <c r="H679" s="35" t="n">
        <v>0.01942446043165469</v>
      </c>
      <c r="I679" s="35" t="n">
        <v>-0.2530311017395889</v>
      </c>
      <c r="J679" s="30" t="n">
        <v>14636.5</v>
      </c>
      <c r="K679" s="30" t="n">
        <v>14817.66666666667</v>
      </c>
      <c r="L679" s="30" t="n">
        <v>14695.25</v>
      </c>
      <c r="M679" s="35" t="n">
        <v>0.9908248095928938</v>
      </c>
      <c r="N679" s="35" t="n">
        <v>0.7746526095695474</v>
      </c>
      <c r="O679" s="35" t="n">
        <v>-0.1176836861768369</v>
      </c>
      <c r="P679" s="35" t="n">
        <v>0.06541353383458648</v>
      </c>
      <c r="Q679" s="35" t="n">
        <v>-0.1412121212121212</v>
      </c>
      <c r="R679" s="35" t="n">
        <v>-0.03187237385987085</v>
      </c>
      <c r="S679" s="35" t="n">
        <v>-0.04370908600094481</v>
      </c>
      <c r="T679" s="35" t="n">
        <v>-0.03574284207482015</v>
      </c>
      <c r="U679" s="30" t="n">
        <v>18350</v>
      </c>
      <c r="V679" s="30" t="n">
        <v>8280</v>
      </c>
      <c r="W679" s="35" t="n">
        <v>-0.2277929155313352</v>
      </c>
      <c r="X679" s="35" t="n">
        <v>0.711352657004831</v>
      </c>
      <c r="Y679" s="30" t="n">
        <v>33416778</v>
      </c>
      <c r="Z679" s="30" t="n">
        <v>473515744260</v>
      </c>
      <c r="AA679" s="30" t="n">
        <v>2789151950</v>
      </c>
      <c r="AB679" s="30" t="n">
        <v>5479891981.5</v>
      </c>
      <c r="AC679" s="35" t="n">
        <v>0.005890304564970327</v>
      </c>
      <c r="AD679" s="24" t="inlineStr">
        <is>
          <t>yfinance_download</t>
        </is>
      </c>
      <c r="AE679" s="24" t="inlineStr">
        <is>
          <t>059090.KQ</t>
        </is>
      </c>
    </row>
    <row r="680" ht="24" customHeight="1">
      <c r="A680" s="29" t="inlineStr">
        <is>
          <t>2026-03-25</t>
        </is>
      </c>
      <c r="B680" s="31" t="n">
        <v>14380</v>
      </c>
      <c r="C680" s="31" t="n">
        <v>14680</v>
      </c>
      <c r="D680" s="31" t="n">
        <v>14270</v>
      </c>
      <c r="E680" s="31" t="n">
        <v>14360</v>
      </c>
      <c r="F680" s="31" t="n">
        <v>14360</v>
      </c>
      <c r="G680" s="31" t="n">
        <v>232131</v>
      </c>
      <c r="H680" s="36" t="n">
        <v>0.01340860973888502</v>
      </c>
      <c r="I680" s="36" t="n">
        <v>-0.2430152872957301</v>
      </c>
      <c r="J680" s="31" t="n">
        <v>14526</v>
      </c>
      <c r="K680" s="31" t="n">
        <v>14819</v>
      </c>
      <c r="L680" s="31" t="n">
        <v>14679.91666666667</v>
      </c>
      <c r="M680" s="36" t="n">
        <v>0.9840763411130652</v>
      </c>
      <c r="N680" s="36" t="n">
        <v>0.7606318405143497</v>
      </c>
      <c r="O680" s="36" t="n">
        <v>-0.1333735666867834</v>
      </c>
      <c r="P680" s="36" t="n">
        <v>0.005602240896358524</v>
      </c>
      <c r="Q680" s="36" t="n">
        <v>-0.1135802469135803</v>
      </c>
      <c r="R680" s="36" t="n">
        <v>-0.01142778466198535</v>
      </c>
      <c r="S680" s="36" t="n">
        <v>-0.03097374991564883</v>
      </c>
      <c r="T680" s="36" t="n">
        <v>-0.02179281217536422</v>
      </c>
      <c r="U680" s="31" t="n">
        <v>18350</v>
      </c>
      <c r="V680" s="31" t="n">
        <v>8280</v>
      </c>
      <c r="W680" s="36" t="n">
        <v>-0.2174386920980926</v>
      </c>
      <c r="X680" s="36" t="n">
        <v>0.7342995169082125</v>
      </c>
      <c r="Y680" s="31" t="n">
        <v>33416778</v>
      </c>
      <c r="Z680" s="31" t="n">
        <v>479864932080</v>
      </c>
      <c r="AA680" s="31" t="n">
        <v>3333401160</v>
      </c>
      <c r="AB680" s="31" t="n">
        <v>5443320219</v>
      </c>
      <c r="AC680" s="36" t="n">
        <v>0.006946540447436315</v>
      </c>
      <c r="AD680" s="29" t="inlineStr">
        <is>
          <t>yfinance_download</t>
        </is>
      </c>
      <c r="AE680" s="29" t="inlineStr">
        <is>
          <t>059090.KQ</t>
        </is>
      </c>
    </row>
    <row r="681" ht="24" customHeight="1">
      <c r="A681" s="24" t="inlineStr">
        <is>
          <t>2026-03-26</t>
        </is>
      </c>
      <c r="B681" s="30" t="n">
        <v>14200</v>
      </c>
      <c r="C681" s="30" t="n">
        <v>14550</v>
      </c>
      <c r="D681" s="30" t="n">
        <v>13520</v>
      </c>
      <c r="E681" s="30" t="n">
        <v>13730</v>
      </c>
      <c r="F681" s="30" t="n">
        <v>13730</v>
      </c>
      <c r="G681" s="30" t="n">
        <v>343076</v>
      </c>
      <c r="H681" s="35" t="n">
        <v>-0.04387186629526463</v>
      </c>
      <c r="I681" s="35" t="n">
        <v>-0.2762256193990511</v>
      </c>
      <c r="J681" s="30" t="n">
        <v>14396.5</v>
      </c>
      <c r="K681" s="30" t="n">
        <v>14827.66666666667</v>
      </c>
      <c r="L681" s="30" t="n">
        <v>14664.75</v>
      </c>
      <c r="M681" s="35" t="n">
        <v>0.9931510604685021</v>
      </c>
      <c r="N681" s="35" t="n">
        <v>0.7499360266697068</v>
      </c>
      <c r="O681" s="35" t="n">
        <v>-0.1587009803921569</v>
      </c>
      <c r="P681" s="35" t="n">
        <v>0.03936411809235429</v>
      </c>
      <c r="Q681" s="35" t="n">
        <v>-0.1170418006430868</v>
      </c>
      <c r="R681" s="35" t="n">
        <v>-0.04629597471607683</v>
      </c>
      <c r="S681" s="35" t="n">
        <v>-0.07402828046669507</v>
      </c>
      <c r="T681" s="35" t="n">
        <v>-0.06374128437238957</v>
      </c>
      <c r="U681" s="30" t="n">
        <v>18350</v>
      </c>
      <c r="V681" s="30" t="n">
        <v>8280</v>
      </c>
      <c r="W681" s="35" t="n">
        <v>-0.2517711171662126</v>
      </c>
      <c r="X681" s="35" t="n">
        <v>0.6582125603864735</v>
      </c>
      <c r="Y681" s="30" t="n">
        <v>33416778</v>
      </c>
      <c r="Z681" s="30" t="n">
        <v>458812361940</v>
      </c>
      <c r="AA681" s="30" t="n">
        <v>4710433480</v>
      </c>
      <c r="AB681" s="30" t="n">
        <v>5504336213</v>
      </c>
      <c r="AC681" s="35" t="n">
        <v>0.01026657926147159</v>
      </c>
      <c r="AD681" s="24" t="inlineStr">
        <is>
          <t>yfinance_download</t>
        </is>
      </c>
      <c r="AE681" s="24" t="inlineStr">
        <is>
          <t>059090.KQ</t>
        </is>
      </c>
    </row>
    <row r="682" ht="24" customHeight="1">
      <c r="A682" s="29" t="inlineStr">
        <is>
          <t>2026-03-27</t>
        </is>
      </c>
      <c r="B682" s="31" t="n">
        <v>13300</v>
      </c>
      <c r="C682" s="31" t="n">
        <v>13730</v>
      </c>
      <c r="D682" s="31" t="n">
        <v>13010</v>
      </c>
      <c r="E682" s="31" t="n">
        <v>13580</v>
      </c>
      <c r="F682" s="31" t="n">
        <v>13580</v>
      </c>
      <c r="G682" s="31" t="n">
        <v>223748</v>
      </c>
      <c r="H682" s="36" t="n">
        <v>-0.01092498179169699</v>
      </c>
      <c r="I682" s="36" t="n">
        <v>-0.2841328413284133</v>
      </c>
      <c r="J682" s="31" t="n">
        <v>14247.5</v>
      </c>
      <c r="K682" s="31" t="n">
        <v>14842.16666666667</v>
      </c>
      <c r="L682" s="31" t="n">
        <v>14649.75</v>
      </c>
      <c r="M682" s="36" t="n">
        <v>0.9899862856477913</v>
      </c>
      <c r="N682" s="36" t="n">
        <v>0.7458816291110549</v>
      </c>
      <c r="O682" s="36" t="n">
        <v>-0.1799516908212561</v>
      </c>
      <c r="P682" s="36" t="n">
        <v>0.06845003933910299</v>
      </c>
      <c r="Q682" s="36" t="n">
        <v>-0.11703511053316</v>
      </c>
      <c r="R682" s="36" t="n">
        <v>-0.04685032461835414</v>
      </c>
      <c r="S682" s="36" t="n">
        <v>-0.08503924629153425</v>
      </c>
      <c r="T682" s="36" t="n">
        <v>-0.07302172392020345</v>
      </c>
      <c r="U682" s="31" t="n">
        <v>18350</v>
      </c>
      <c r="V682" s="31" t="n">
        <v>8280</v>
      </c>
      <c r="W682" s="36" t="n">
        <v>-0.2599455040871934</v>
      </c>
      <c r="X682" s="36" t="n">
        <v>0.6400966183574879</v>
      </c>
      <c r="Y682" s="31" t="n">
        <v>33416778</v>
      </c>
      <c r="Z682" s="31" t="n">
        <v>453799845240</v>
      </c>
      <c r="AA682" s="31" t="n">
        <v>3038497840</v>
      </c>
      <c r="AB682" s="31" t="n">
        <v>5317411213</v>
      </c>
      <c r="AC682" s="36" t="n">
        <v>0.006695678440333176</v>
      </c>
      <c r="AD682" s="29" t="inlineStr">
        <is>
          <t>yfinance_download</t>
        </is>
      </c>
      <c r="AE682" s="29" t="inlineStr">
        <is>
          <t>059090.KQ</t>
        </is>
      </c>
    </row>
    <row r="683" ht="24" customHeight="1">
      <c r="A683" s="24" t="inlineStr">
        <is>
          <t>2026-03-30</t>
        </is>
      </c>
      <c r="B683" s="30" t="n">
        <v>13030</v>
      </c>
      <c r="C683" s="30" t="n">
        <v>13150</v>
      </c>
      <c r="D683" s="30" t="n">
        <v>12920</v>
      </c>
      <c r="E683" s="30" t="n">
        <v>12970</v>
      </c>
      <c r="F683" s="30" t="n">
        <v>12970</v>
      </c>
      <c r="G683" s="30" t="n">
        <v>198962</v>
      </c>
      <c r="H683" s="35" t="n">
        <v>-0.0449189985272459</v>
      </c>
      <c r="I683" s="35" t="n">
        <v>-0.3162888771744861</v>
      </c>
      <c r="J683" s="30" t="n">
        <v>14099.5</v>
      </c>
      <c r="K683" s="30" t="n">
        <v>14837.66666666667</v>
      </c>
      <c r="L683" s="30" t="n">
        <v>14633.91666666667</v>
      </c>
      <c r="M683" s="35" t="n">
        <v>0.9930514890440039</v>
      </c>
      <c r="N683" s="35" t="n">
        <v>0.7474138435339418</v>
      </c>
      <c r="O683" s="35" t="n">
        <v>-0.1858129315756435</v>
      </c>
      <c r="P683" s="35" t="n">
        <v>-0.02039274924471302</v>
      </c>
      <c r="Q683" s="35" t="n">
        <v>-0.1277740416946873</v>
      </c>
      <c r="R683" s="35" t="n">
        <v>-0.080109223731338</v>
      </c>
      <c r="S683" s="35" t="n">
        <v>-0.1258733403724754</v>
      </c>
      <c r="T683" s="35" t="n">
        <v>-0.1137027567238208</v>
      </c>
      <c r="U683" s="30" t="n">
        <v>18350</v>
      </c>
      <c r="V683" s="30" t="n">
        <v>8280</v>
      </c>
      <c r="W683" s="35" t="n">
        <v>-0.2931880108991826</v>
      </c>
      <c r="X683" s="35" t="n">
        <v>0.5664251207729469</v>
      </c>
      <c r="Y683" s="30" t="n">
        <v>33416778</v>
      </c>
      <c r="Z683" s="30" t="n">
        <v>433415610660</v>
      </c>
      <c r="AA683" s="30" t="n">
        <v>2580537140</v>
      </c>
      <c r="AB683" s="30" t="n">
        <v>5197855995.5</v>
      </c>
      <c r="AC683" s="35" t="n">
        <v>0.005953955225725233</v>
      </c>
      <c r="AD683" s="24" t="inlineStr">
        <is>
          <t>yfinance_download</t>
        </is>
      </c>
      <c r="AE683" s="24" t="inlineStr">
        <is>
          <t>059090.KQ</t>
        </is>
      </c>
    </row>
    <row r="684" ht="24" customHeight="1">
      <c r="A684" s="29" t="inlineStr">
        <is>
          <t>2026-03-31</t>
        </is>
      </c>
      <c r="B684" s="31" t="n">
        <v>12750</v>
      </c>
      <c r="C684" s="31" t="n">
        <v>13300</v>
      </c>
      <c r="D684" s="31" t="n">
        <v>12550</v>
      </c>
      <c r="E684" s="31" t="n">
        <v>12560</v>
      </c>
      <c r="F684" s="31" t="n">
        <v>12560</v>
      </c>
      <c r="G684" s="31" t="n">
        <v>233654</v>
      </c>
      <c r="H684" s="36" t="n">
        <v>-0.0316114109483423</v>
      </c>
      <c r="I684" s="36" t="n">
        <v>-0.3379019504480759</v>
      </c>
      <c r="J684" s="31" t="n">
        <v>13989.5</v>
      </c>
      <c r="K684" s="31" t="n">
        <v>14823</v>
      </c>
      <c r="L684" s="31" t="n">
        <v>14619.66666666667</v>
      </c>
      <c r="M684" s="36" t="n">
        <v>0.9674382152066716</v>
      </c>
      <c r="N684" s="36" t="n">
        <v>0.7497127158357694</v>
      </c>
      <c r="O684" s="36" t="n">
        <v>-0.1490514905149052</v>
      </c>
      <c r="P684" s="36" t="n">
        <v>-0.06547619047619047</v>
      </c>
      <c r="Q684" s="36" t="n">
        <v>-0.1198318149964962</v>
      </c>
      <c r="R684" s="36" t="n">
        <v>-0.1021837806926623</v>
      </c>
      <c r="S684" s="36" t="n">
        <v>-0.1526681508466572</v>
      </c>
      <c r="T684" s="36" t="n">
        <v>-0.140883285072619</v>
      </c>
      <c r="U684" s="31" t="n">
        <v>18350</v>
      </c>
      <c r="V684" s="31" t="n">
        <v>8280</v>
      </c>
      <c r="W684" s="36" t="n">
        <v>-0.3155313351498638</v>
      </c>
      <c r="X684" s="36" t="n">
        <v>0.5169082125603865</v>
      </c>
      <c r="Y684" s="31" t="n">
        <v>33416778</v>
      </c>
      <c r="Z684" s="31" t="n">
        <v>419714731680</v>
      </c>
      <c r="AA684" s="31" t="n">
        <v>2934694240</v>
      </c>
      <c r="AB684" s="31" t="n">
        <v>4944011687.5</v>
      </c>
      <c r="AC684" s="36" t="n">
        <v>0.006992116355442766</v>
      </c>
      <c r="AD684" s="29" t="inlineStr">
        <is>
          <t>yfinance_download</t>
        </is>
      </c>
      <c r="AE684" s="29" t="inlineStr">
        <is>
          <t>059090.KQ</t>
        </is>
      </c>
    </row>
    <row r="685" ht="24" customHeight="1">
      <c r="A685" s="24" t="inlineStr">
        <is>
          <t>2026-04-01</t>
        </is>
      </c>
      <c r="B685" s="30" t="n">
        <v>13130</v>
      </c>
      <c r="C685" s="30" t="n">
        <v>13700</v>
      </c>
      <c r="D685" s="30" t="n">
        <v>13080</v>
      </c>
      <c r="E685" s="30" t="n">
        <v>13550</v>
      </c>
      <c r="F685" s="30" t="n">
        <v>13550</v>
      </c>
      <c r="G685" s="30" t="n">
        <v>233104</v>
      </c>
      <c r="H685" s="35" t="n">
        <v>0.07882165605095537</v>
      </c>
      <c r="I685" s="35" t="n">
        <v>-0.2857142857142857</v>
      </c>
      <c r="J685" s="30" t="n">
        <v>14041.5</v>
      </c>
      <c r="K685" s="30" t="n">
        <v>14825.83333333333</v>
      </c>
      <c r="L685" s="30" t="n">
        <v>14612.75</v>
      </c>
      <c r="M685" s="35" t="n">
        <v>0.8443380246800813</v>
      </c>
      <c r="N685" s="35" t="n">
        <v>0.7668371869691055</v>
      </c>
      <c r="O685" s="35" t="n">
        <v>0.08313349320543573</v>
      </c>
      <c r="P685" s="35" t="n">
        <v>0.01270553064275037</v>
      </c>
      <c r="Q685" s="35" t="n">
        <v>-0.05771905424200274</v>
      </c>
      <c r="R685" s="35" t="n">
        <v>-0.0350033828294698</v>
      </c>
      <c r="S685" s="35" t="n">
        <v>-0.08605474678208092</v>
      </c>
      <c r="T685" s="35" t="n">
        <v>-0.07272758378813027</v>
      </c>
      <c r="U685" s="30" t="n">
        <v>18350</v>
      </c>
      <c r="V685" s="30" t="n">
        <v>8280</v>
      </c>
      <c r="W685" s="35" t="n">
        <v>-0.2615803814713896</v>
      </c>
      <c r="X685" s="35" t="n">
        <v>0.6364734299516908</v>
      </c>
      <c r="Y685" s="30" t="n">
        <v>33416778</v>
      </c>
      <c r="Z685" s="30" t="n">
        <v>452797341900</v>
      </c>
      <c r="AA685" s="30" t="n">
        <v>3158559200</v>
      </c>
      <c r="AB685" s="30" t="n">
        <v>4784106209</v>
      </c>
      <c r="AC685" s="35" t="n">
        <v>0.006975657557410232</v>
      </c>
      <c r="AD685" s="24" t="inlineStr">
        <is>
          <t>yfinance_download</t>
        </is>
      </c>
      <c r="AE685" s="24" t="inlineStr">
        <is>
          <t>059090.KQ</t>
        </is>
      </c>
    </row>
    <row r="686" ht="24" customHeight="1">
      <c r="A686" s="29" t="inlineStr">
        <is>
          <t>2026-04-02</t>
        </is>
      </c>
      <c r="B686" s="31" t="n">
        <v>13760</v>
      </c>
      <c r="C686" s="31" t="n">
        <v>13950</v>
      </c>
      <c r="D686" s="31" t="n">
        <v>12960</v>
      </c>
      <c r="E686" s="31" t="n">
        <v>13220</v>
      </c>
      <c r="F686" s="31" t="n">
        <v>13220</v>
      </c>
      <c r="G686" s="31" t="n">
        <v>336126</v>
      </c>
      <c r="H686" s="36" t="n">
        <v>-0.02435424354243543</v>
      </c>
      <c r="I686" s="36" t="n">
        <v>-0.3031101739588824</v>
      </c>
      <c r="J686" s="31" t="n">
        <v>14001</v>
      </c>
      <c r="K686" s="31" t="n">
        <v>14817.33333333333</v>
      </c>
      <c r="L686" s="31" t="n">
        <v>14602.91666666667</v>
      </c>
      <c r="M686" s="36" t="n">
        <v>0.7290284293243401</v>
      </c>
      <c r="N686" s="36" t="n">
        <v>0.7668504404947017</v>
      </c>
      <c r="O686" s="36" t="n">
        <v>-0.05773342836778328</v>
      </c>
      <c r="P686" s="36" t="n">
        <v>-0.03714493809176989</v>
      </c>
      <c r="Q686" s="36" t="n">
        <v>-0.08194444444444449</v>
      </c>
      <c r="R686" s="36" t="n">
        <v>-0.05578172987643737</v>
      </c>
      <c r="S686" s="36" t="n">
        <v>-0.1078016737154684</v>
      </c>
      <c r="T686" s="36" t="n">
        <v>-0.09470140097583246</v>
      </c>
      <c r="U686" s="31" t="n">
        <v>18350</v>
      </c>
      <c r="V686" s="31" t="n">
        <v>8280</v>
      </c>
      <c r="W686" s="36" t="n">
        <v>-0.2795640326975477</v>
      </c>
      <c r="X686" s="36" t="n">
        <v>0.5966183574879227</v>
      </c>
      <c r="Y686" s="31" t="n">
        <v>33416778</v>
      </c>
      <c r="Z686" s="31" t="n">
        <v>441769805160</v>
      </c>
      <c r="AA686" s="31" t="n">
        <v>4443585720</v>
      </c>
      <c r="AB686" s="31" t="n">
        <v>4638446253.5</v>
      </c>
      <c r="AC686" s="36" t="n">
        <v>0.01005859990451503</v>
      </c>
      <c r="AD686" s="29" t="inlineStr">
        <is>
          <t>yfinance_download</t>
        </is>
      </c>
      <c r="AE686" s="29" t="inlineStr">
        <is>
          <t>059090.KQ</t>
        </is>
      </c>
    </row>
    <row r="687" ht="24" customHeight="1">
      <c r="A687" s="24" t="inlineStr">
        <is>
          <t>2026-04-03</t>
        </is>
      </c>
      <c r="B687" s="30" t="n">
        <v>13390</v>
      </c>
      <c r="C687" s="30" t="n">
        <v>13600</v>
      </c>
      <c r="D687" s="30" t="n">
        <v>12990</v>
      </c>
      <c r="E687" s="30" t="n">
        <v>13150</v>
      </c>
      <c r="F687" s="30" t="n">
        <v>13150</v>
      </c>
      <c r="G687" s="30" t="n">
        <v>183689</v>
      </c>
      <c r="H687" s="35" t="n">
        <v>-0.005295007564296572</v>
      </c>
      <c r="I687" s="35" t="n">
        <v>-0.3068002108592515</v>
      </c>
      <c r="J687" s="30" t="n">
        <v>13904.5</v>
      </c>
      <c r="K687" s="30" t="n">
        <v>14801.83333333333</v>
      </c>
      <c r="L687" s="30" t="n">
        <v>14587.08333333333</v>
      </c>
      <c r="M687" s="35" t="n">
        <v>0.6701760117743342</v>
      </c>
      <c r="N687" s="35" t="n">
        <v>0.7651635729244393</v>
      </c>
      <c r="O687" s="35" t="n">
        <v>-0.1279840848806366</v>
      </c>
      <c r="P687" s="35" t="n">
        <v>-0.06605113636363635</v>
      </c>
      <c r="Q687" s="35" t="n">
        <v>-0.1262458471760798</v>
      </c>
      <c r="R687" s="35" t="n">
        <v>-0.05426300837858244</v>
      </c>
      <c r="S687" s="35" t="n">
        <v>-0.1115965364650776</v>
      </c>
      <c r="T687" s="35" t="n">
        <v>-0.09851752406524039</v>
      </c>
      <c r="U687" s="30" t="n">
        <v>18350</v>
      </c>
      <c r="V687" s="30" t="n">
        <v>8280</v>
      </c>
      <c r="W687" s="35" t="n">
        <v>-0.2833787465940054</v>
      </c>
      <c r="X687" s="35" t="n">
        <v>0.5881642512077294</v>
      </c>
      <c r="Y687" s="30" t="n">
        <v>33416778</v>
      </c>
      <c r="Z687" s="30" t="n">
        <v>439430630700</v>
      </c>
      <c r="AA687" s="30" t="n">
        <v>2415510350</v>
      </c>
      <c r="AB687" s="30" t="n">
        <v>4496229587</v>
      </c>
      <c r="AC687" s="35" t="n">
        <v>0.005496909366905451</v>
      </c>
      <c r="AD687" s="24" t="inlineStr">
        <is>
          <t>yfinance_download</t>
        </is>
      </c>
      <c r="AE687" s="24" t="inlineStr">
        <is>
          <t>059090.KQ</t>
        </is>
      </c>
    </row>
    <row r="688" ht="24" customHeight="1">
      <c r="A688" s="29" t="inlineStr">
        <is>
          <t>2026-04-06</t>
        </is>
      </c>
      <c r="B688" s="31" t="n">
        <v>13200</v>
      </c>
      <c r="C688" s="31" t="n">
        <v>13580</v>
      </c>
      <c r="D688" s="31" t="n">
        <v>12920</v>
      </c>
      <c r="E688" s="31" t="n">
        <v>13000</v>
      </c>
      <c r="F688" s="31" t="n">
        <v>13000</v>
      </c>
      <c r="G688" s="31" t="n">
        <v>230588</v>
      </c>
      <c r="H688" s="36" t="n">
        <v>-0.01140684410646386</v>
      </c>
      <c r="I688" s="36" t="n">
        <v>-0.3147074327886136</v>
      </c>
      <c r="J688" s="31" t="n">
        <v>13866</v>
      </c>
      <c r="K688" s="31" t="n">
        <v>14777.83333333333</v>
      </c>
      <c r="L688" s="31" t="n">
        <v>14561.33333333333</v>
      </c>
      <c r="M688" s="36" t="n">
        <v>0.5991215547388867</v>
      </c>
      <c r="N688" s="36" t="n">
        <v>0.7636401624730335</v>
      </c>
      <c r="O688" s="36" t="n">
        <v>-0.05591866376180099</v>
      </c>
      <c r="P688" s="36" t="n">
        <v>-0.09972299168975074</v>
      </c>
      <c r="Q688" s="36" t="n">
        <v>-0.1920447482908639</v>
      </c>
      <c r="R688" s="36" t="n">
        <v>-0.0624549257175826</v>
      </c>
      <c r="S688" s="36" t="n">
        <v>-0.120304059007297</v>
      </c>
      <c r="T688" s="36" t="n">
        <v>-0.1072246131306658</v>
      </c>
      <c r="U688" s="31" t="n">
        <v>18350</v>
      </c>
      <c r="V688" s="31" t="n">
        <v>8280</v>
      </c>
      <c r="W688" s="36" t="n">
        <v>-0.2915531335149864</v>
      </c>
      <c r="X688" s="36" t="n">
        <v>0.5700483091787441</v>
      </c>
      <c r="Y688" s="31" t="n">
        <v>33416778</v>
      </c>
      <c r="Z688" s="31" t="n">
        <v>434418114000</v>
      </c>
      <c r="AA688" s="31" t="n">
        <v>2997644000</v>
      </c>
      <c r="AB688" s="31" t="n">
        <v>4419865179</v>
      </c>
      <c r="AC688" s="36" t="n">
        <v>0.006900366037683226</v>
      </c>
      <c r="AD688" s="29" t="inlineStr">
        <is>
          <t>yfinance_download</t>
        </is>
      </c>
      <c r="AE688" s="29" t="inlineStr">
        <is>
          <t>059090.KQ</t>
        </is>
      </c>
    </row>
    <row r="689" ht="24" customHeight="1">
      <c r="A689" s="24" t="inlineStr">
        <is>
          <t>2026-04-07</t>
        </is>
      </c>
      <c r="B689" s="30" t="n">
        <v>13280</v>
      </c>
      <c r="C689" s="30" t="n">
        <v>13400</v>
      </c>
      <c r="D689" s="30" t="n">
        <v>12830</v>
      </c>
      <c r="E689" s="30" t="n">
        <v>13020</v>
      </c>
      <c r="F689" s="30" t="n">
        <v>13020</v>
      </c>
      <c r="G689" s="30" t="n">
        <v>159187</v>
      </c>
      <c r="H689" s="35" t="n">
        <v>0.001538461538461489</v>
      </c>
      <c r="I689" s="35" t="n">
        <v>-0.3136531365313653</v>
      </c>
      <c r="J689" s="30" t="n">
        <v>13815</v>
      </c>
      <c r="K689" s="30" t="n">
        <v>14761.5</v>
      </c>
      <c r="L689" s="30" t="n">
        <v>14534.25</v>
      </c>
      <c r="M689" s="35" t="n">
        <v>0.5938091072058642</v>
      </c>
      <c r="N689" s="35" t="n">
        <v>0.761105861782321</v>
      </c>
      <c r="O689" s="35" t="n">
        <v>-0.07264957264957261</v>
      </c>
      <c r="P689" s="35" t="n">
        <v>-0.06999999999999995</v>
      </c>
      <c r="Q689" s="35" t="n">
        <v>-0.1997541487400123</v>
      </c>
      <c r="R689" s="35" t="n">
        <v>-0.05754614549402826</v>
      </c>
      <c r="S689" s="35" t="n">
        <v>-0.117975815465908</v>
      </c>
      <c r="T689" s="35" t="n">
        <v>-0.1041849424634914</v>
      </c>
      <c r="U689" s="30" t="n">
        <v>18350</v>
      </c>
      <c r="V689" s="30" t="n">
        <v>8280</v>
      </c>
      <c r="W689" s="35" t="n">
        <v>-0.2904632152588555</v>
      </c>
      <c r="X689" s="35" t="n">
        <v>0.5724637681159421</v>
      </c>
      <c r="Y689" s="30" t="n">
        <v>33416778</v>
      </c>
      <c r="Z689" s="30" t="n">
        <v>435086449560</v>
      </c>
      <c r="AA689" s="30" t="n">
        <v>2072614740</v>
      </c>
      <c r="AB689" s="30" t="n">
        <v>4240409502</v>
      </c>
      <c r="AC689" s="35" t="n">
        <v>0.004763684877099761</v>
      </c>
      <c r="AD689" s="24" t="inlineStr">
        <is>
          <t>yfinance_download</t>
        </is>
      </c>
      <c r="AE689" s="24" t="inlineStr">
        <is>
          <t>059090.KQ</t>
        </is>
      </c>
    </row>
    <row r="690" ht="24" customHeight="1">
      <c r="A690" s="29" t="inlineStr">
        <is>
          <t>2026-04-08</t>
        </is>
      </c>
      <c r="B690" s="31" t="n">
        <v>13790</v>
      </c>
      <c r="C690" s="31" t="n">
        <v>14240</v>
      </c>
      <c r="D690" s="31" t="n">
        <v>13690</v>
      </c>
      <c r="E690" s="31" t="n">
        <v>14130</v>
      </c>
      <c r="F690" s="31" t="n">
        <v>14130</v>
      </c>
      <c r="G690" s="31" t="n">
        <v>390767</v>
      </c>
      <c r="H690" s="36" t="n">
        <v>0.08525345622119818</v>
      </c>
      <c r="I690" s="36" t="n">
        <v>-0.2551396942540854</v>
      </c>
      <c r="J690" s="31" t="n">
        <v>13815</v>
      </c>
      <c r="K690" s="31" t="n">
        <v>14776</v>
      </c>
      <c r="L690" s="31" t="n">
        <v>14519.75</v>
      </c>
      <c r="M690" s="36" t="n">
        <v>0.6714347944703278</v>
      </c>
      <c r="N690" s="36" t="n">
        <v>0.7727318424236868</v>
      </c>
      <c r="O690" s="36" t="n">
        <v>0</v>
      </c>
      <c r="P690" s="36" t="n">
        <v>0.06561085972850678</v>
      </c>
      <c r="Q690" s="36" t="n">
        <v>-0.1096408317580341</v>
      </c>
      <c r="R690" s="36" t="n">
        <v>0.0228013029315961</v>
      </c>
      <c r="S690" s="36" t="n">
        <v>-0.04371954520844612</v>
      </c>
      <c r="T690" s="36" t="n">
        <v>-0.0268427486699151</v>
      </c>
      <c r="U690" s="31" t="n">
        <v>18350</v>
      </c>
      <c r="V690" s="31" t="n">
        <v>8280</v>
      </c>
      <c r="W690" s="36" t="n">
        <v>-0.2299727520435967</v>
      </c>
      <c r="X690" s="36" t="n">
        <v>0.7065217391304348</v>
      </c>
      <c r="Y690" s="31" t="n">
        <v>33416778</v>
      </c>
      <c r="Z690" s="31" t="n">
        <v>472179073140</v>
      </c>
      <c r="AA690" s="31" t="n">
        <v>5521537710</v>
      </c>
      <c r="AB690" s="31" t="n">
        <v>4226400313.5</v>
      </c>
      <c r="AC690" s="36" t="n">
        <v>0.01169373660141621</v>
      </c>
      <c r="AD690" s="29" t="inlineStr">
        <is>
          <t>yfinance_download</t>
        </is>
      </c>
      <c r="AE690" s="29" t="inlineStr">
        <is>
          <t>059090.KQ</t>
        </is>
      </c>
    </row>
    <row r="691" ht="24" customHeight="1">
      <c r="A691" s="24" t="inlineStr">
        <is>
          <t>2026-04-09</t>
        </is>
      </c>
      <c r="B691" s="30" t="n">
        <v>13910</v>
      </c>
      <c r="C691" s="30" t="n">
        <v>14530</v>
      </c>
      <c r="D691" s="30" t="n">
        <v>13870</v>
      </c>
      <c r="E691" s="30" t="n">
        <v>14130</v>
      </c>
      <c r="F691" s="30" t="n">
        <v>14130</v>
      </c>
      <c r="G691" s="30" t="n">
        <v>316990</v>
      </c>
      <c r="H691" s="35" t="n">
        <v>0</v>
      </c>
      <c r="I691" s="35" t="n">
        <v>-0.2551396942540854</v>
      </c>
      <c r="J691" s="30" t="n">
        <v>13812.5</v>
      </c>
      <c r="K691" s="30" t="n">
        <v>14792.83333333333</v>
      </c>
      <c r="L691" s="30" t="n">
        <v>14509</v>
      </c>
      <c r="M691" s="35" t="n">
        <v>0.6713637773426687</v>
      </c>
      <c r="N691" s="35" t="n">
        <v>0.7722881167869159</v>
      </c>
      <c r="O691" s="35" t="n">
        <v>-0.00352609308885754</v>
      </c>
      <c r="P691" s="35" t="n">
        <v>0.0769817073170731</v>
      </c>
      <c r="Q691" s="35" t="n">
        <v>-0.08365758754863817</v>
      </c>
      <c r="R691" s="35" t="n">
        <v>0.02298642533936657</v>
      </c>
      <c r="S691" s="35" t="n">
        <v>-0.04480773347454292</v>
      </c>
      <c r="T691" s="35" t="n">
        <v>-0.02612171755462123</v>
      </c>
      <c r="U691" s="30" t="n">
        <v>18350</v>
      </c>
      <c r="V691" s="30" t="n">
        <v>8280</v>
      </c>
      <c r="W691" s="35" t="n">
        <v>-0.2299727520435967</v>
      </c>
      <c r="X691" s="35" t="n">
        <v>0.7065217391304348</v>
      </c>
      <c r="Y691" s="30" t="n">
        <v>33416778</v>
      </c>
      <c r="Z691" s="30" t="n">
        <v>472179073140</v>
      </c>
      <c r="AA691" s="30" t="n">
        <v>4479068700</v>
      </c>
      <c r="AB691" s="30" t="n">
        <v>4224581915.5</v>
      </c>
      <c r="AC691" s="35" t="n">
        <v>0.009485953433332202</v>
      </c>
      <c r="AD691" s="24" t="inlineStr">
        <is>
          <t>yfinance_download</t>
        </is>
      </c>
      <c r="AE691" s="24" t="inlineStr">
        <is>
          <t>059090.KQ</t>
        </is>
      </c>
    </row>
    <row r="692" ht="24" customHeight="1">
      <c r="A692" s="29" t="inlineStr">
        <is>
          <t>2026-04-10</t>
        </is>
      </c>
      <c r="B692" s="31" t="n">
        <v>14330</v>
      </c>
      <c r="C692" s="31" t="n">
        <v>15100</v>
      </c>
      <c r="D692" s="31" t="n">
        <v>14290</v>
      </c>
      <c r="E692" s="31" t="n">
        <v>14410</v>
      </c>
      <c r="F692" s="31" t="n">
        <v>14410</v>
      </c>
      <c r="G692" s="31" t="n">
        <v>339298</v>
      </c>
      <c r="H692" s="36" t="n">
        <v>0.0198159943382874</v>
      </c>
      <c r="I692" s="36" t="n">
        <v>-0.2403795466526094</v>
      </c>
      <c r="J692" s="31" t="n">
        <v>13822</v>
      </c>
      <c r="K692" s="31" t="n">
        <v>14815.5</v>
      </c>
      <c r="L692" s="31" t="n">
        <v>14496.41666666667</v>
      </c>
      <c r="M692" s="36" t="n">
        <v>0.6747892951763798</v>
      </c>
      <c r="N692" s="36" t="n">
        <v>0.7729305677916245</v>
      </c>
      <c r="O692" s="36" t="n">
        <v>0.01336146272855143</v>
      </c>
      <c r="P692" s="36" t="n">
        <v>0.1042145593869732</v>
      </c>
      <c r="Q692" s="36" t="n">
        <v>-0.09484924623115576</v>
      </c>
      <c r="R692" s="36" t="n">
        <v>0.04254087686297203</v>
      </c>
      <c r="S692" s="36" t="n">
        <v>-0.02736998413823366</v>
      </c>
      <c r="T692" s="36" t="n">
        <v>-0.005961243295756979</v>
      </c>
      <c r="U692" s="31" t="n">
        <v>18350</v>
      </c>
      <c r="V692" s="31" t="n">
        <v>8280</v>
      </c>
      <c r="W692" s="36" t="n">
        <v>-0.2147138964577656</v>
      </c>
      <c r="X692" s="36" t="n">
        <v>0.7403381642512077</v>
      </c>
      <c r="Y692" s="31" t="n">
        <v>33416778</v>
      </c>
      <c r="Z692" s="31" t="n">
        <v>481535770980</v>
      </c>
      <c r="AA692" s="31" t="n">
        <v>4889284180</v>
      </c>
      <c r="AB692" s="31" t="n">
        <v>4210057264.5</v>
      </c>
      <c r="AC692" s="36" t="n">
        <v>0.01015352228153175</v>
      </c>
      <c r="AD692" s="29" t="inlineStr">
        <is>
          <t>yfinance_download</t>
        </is>
      </c>
      <c r="AE692" s="29" t="inlineStr">
        <is>
          <t>059090.KQ</t>
        </is>
      </c>
    </row>
    <row r="693" ht="24" customHeight="1">
      <c r="A693" s="24" t="inlineStr">
        <is>
          <t>2026-04-13</t>
        </is>
      </c>
      <c r="B693" s="30" t="n">
        <v>14000</v>
      </c>
      <c r="C693" s="30" t="n">
        <v>14750</v>
      </c>
      <c r="D693" s="30" t="n">
        <v>13960</v>
      </c>
      <c r="E693" s="30" t="n">
        <v>14530</v>
      </c>
      <c r="F693" s="30" t="n">
        <v>14530</v>
      </c>
      <c r="G693" s="30" t="n">
        <v>193615</v>
      </c>
      <c r="H693" s="35" t="n">
        <v>0.00832755031228305</v>
      </c>
      <c r="I693" s="35" t="n">
        <v>-0.2340537691091197</v>
      </c>
      <c r="J693" s="30" t="n">
        <v>13867</v>
      </c>
      <c r="K693" s="30" t="n">
        <v>14842.83333333333</v>
      </c>
      <c r="L693" s="30" t="n">
        <v>14489</v>
      </c>
      <c r="M693" s="35" t="n">
        <v>0.6555764601727064</v>
      </c>
      <c r="N693" s="35" t="n">
        <v>0.7723652180860562</v>
      </c>
      <c r="O693" s="35" t="n">
        <v>0.0660308143800441</v>
      </c>
      <c r="P693" s="35" t="n">
        <v>0.1272304111714508</v>
      </c>
      <c r="Q693" s="35" t="n">
        <v>-0.05771725032425423</v>
      </c>
      <c r="R693" s="35" t="n">
        <v>0.04781135068868547</v>
      </c>
      <c r="S693" s="35" t="n">
        <v>-0.02107638927877653</v>
      </c>
      <c r="T693" s="35" t="n">
        <v>0.002829732900821336</v>
      </c>
      <c r="U693" s="30" t="n">
        <v>18350</v>
      </c>
      <c r="V693" s="30" t="n">
        <v>8280</v>
      </c>
      <c r="W693" s="35" t="n">
        <v>-0.2081743869209809</v>
      </c>
      <c r="X693" s="35" t="n">
        <v>0.7548309178743962</v>
      </c>
      <c r="Y693" s="30" t="n">
        <v>33416778</v>
      </c>
      <c r="Z693" s="30" t="n">
        <v>485545784340</v>
      </c>
      <c r="AA693" s="30" t="n">
        <v>2813225950</v>
      </c>
      <c r="AB693" s="30" t="n">
        <v>4089370808.5</v>
      </c>
      <c r="AC693" s="35" t="n">
        <v>0.005793945783761678</v>
      </c>
      <c r="AD693" s="24" t="inlineStr">
        <is>
          <t>yfinance_download</t>
        </is>
      </c>
      <c r="AE693" s="24" t="inlineStr">
        <is>
          <t>059090.KQ</t>
        </is>
      </c>
    </row>
    <row r="694" ht="24" customHeight="1">
      <c r="A694" s="29" t="inlineStr">
        <is>
          <t>2026-04-14</t>
        </is>
      </c>
      <c r="B694" s="31" t="n">
        <v>15090</v>
      </c>
      <c r="C694" s="31" t="n">
        <v>15470</v>
      </c>
      <c r="D694" s="31" t="n">
        <v>14940</v>
      </c>
      <c r="E694" s="31" t="n">
        <v>15300</v>
      </c>
      <c r="F694" s="31" t="n">
        <v>15300</v>
      </c>
      <c r="G694" s="31" t="n">
        <v>593499</v>
      </c>
      <c r="H694" s="36" t="n">
        <v>0.05299380591878866</v>
      </c>
      <c r="I694" s="36" t="n">
        <v>-0.1934633632050606</v>
      </c>
      <c r="J694" s="31" t="n">
        <v>13915.5</v>
      </c>
      <c r="K694" s="31" t="n">
        <v>14878.66666666667</v>
      </c>
      <c r="L694" s="31" t="n">
        <v>14491.5</v>
      </c>
      <c r="M694" s="36" t="n">
        <v>0.6571680161132091</v>
      </c>
      <c r="N694" s="36" t="n">
        <v>0.7783566011683126</v>
      </c>
      <c r="O694" s="36" t="n">
        <v>0.06769016050244248</v>
      </c>
      <c r="P694" s="36" t="n">
        <v>0.1634980988593155</v>
      </c>
      <c r="Q694" s="36" t="n">
        <v>0.02000000000000002</v>
      </c>
      <c r="R694" s="36" t="n">
        <v>0.09949337070173558</v>
      </c>
      <c r="S694" s="36" t="n">
        <v>0.02831794963706424</v>
      </c>
      <c r="T694" s="36" t="n">
        <v>0.05579132594969471</v>
      </c>
      <c r="U694" s="31" t="n">
        <v>18350</v>
      </c>
      <c r="V694" s="31" t="n">
        <v>8280</v>
      </c>
      <c r="W694" s="36" t="n">
        <v>-0.1662125340599455</v>
      </c>
      <c r="X694" s="36" t="n">
        <v>0.8478260869565217</v>
      </c>
      <c r="Y694" s="31" t="n">
        <v>33416778</v>
      </c>
      <c r="Z694" s="31" t="n">
        <v>511276703400</v>
      </c>
      <c r="AA694" s="31" t="n">
        <v>9080534700</v>
      </c>
      <c r="AB694" s="31" t="n">
        <v>4202575689.5</v>
      </c>
      <c r="AC694" s="36" t="n">
        <v>0.01776050940638263</v>
      </c>
      <c r="AD694" s="29" t="inlineStr">
        <is>
          <t>yfinance_download</t>
        </is>
      </c>
      <c r="AE694" s="29" t="inlineStr">
        <is>
          <t>059090.KQ</t>
        </is>
      </c>
    </row>
    <row r="695" ht="24" customHeight="1">
      <c r="A695" s="24" t="inlineStr">
        <is>
          <t>2026-04-15</t>
        </is>
      </c>
      <c r="B695" s="30" t="n">
        <v>15830</v>
      </c>
      <c r="C695" s="30" t="n">
        <v>17060</v>
      </c>
      <c r="D695" s="30" t="n">
        <v>15400</v>
      </c>
      <c r="E695" s="30" t="n">
        <v>16800</v>
      </c>
      <c r="F695" s="30" t="n">
        <v>16800</v>
      </c>
      <c r="G695" s="30" t="n">
        <v>972429</v>
      </c>
      <c r="H695" s="35" t="n">
        <v>0.09803921568627461</v>
      </c>
      <c r="I695" s="35" t="n">
        <v>-0.1143911439114391</v>
      </c>
      <c r="J695" s="30" t="n">
        <v>14007</v>
      </c>
      <c r="K695" s="30" t="n">
        <v>14939</v>
      </c>
      <c r="L695" s="30" t="n">
        <v>14489.25</v>
      </c>
      <c r="M695" s="35" t="n">
        <v>0.7247198748307094</v>
      </c>
      <c r="N695" s="35" t="n">
        <v>0.8019817407780332</v>
      </c>
      <c r="O695" s="35" t="n">
        <v>0.1222444889779559</v>
      </c>
      <c r="P695" s="35" t="n">
        <v>0.274658573596358</v>
      </c>
      <c r="Q695" s="35" t="n">
        <v>-0.01581722319859402</v>
      </c>
      <c r="R695" s="35" t="n">
        <v>0.199400299850075</v>
      </c>
      <c r="S695" s="35" t="n">
        <v>0.1245732646094115</v>
      </c>
      <c r="T695" s="35" t="n">
        <v>0.15948030436358</v>
      </c>
      <c r="U695" s="30" t="n">
        <v>18350</v>
      </c>
      <c r="V695" s="30" t="n">
        <v>8280</v>
      </c>
      <c r="W695" s="35" t="n">
        <v>-0.08446866485013627</v>
      </c>
      <c r="X695" s="35" t="n">
        <v>1.028985507246377</v>
      </c>
      <c r="Y695" s="30" t="n">
        <v>33416778</v>
      </c>
      <c r="Z695" s="30" t="n">
        <v>561401870400</v>
      </c>
      <c r="AA695" s="30" t="n">
        <v>16336807200</v>
      </c>
      <c r="AB695" s="30" t="n">
        <v>4646160057.5</v>
      </c>
      <c r="AC695" s="35" t="n">
        <v>0.02910002274905139</v>
      </c>
      <c r="AD695" s="24" t="inlineStr">
        <is>
          <t>yfinance_download</t>
        </is>
      </c>
      <c r="AE695" s="24" t="inlineStr">
        <is>
          <t>059090.KQ</t>
        </is>
      </c>
    </row>
    <row r="696" ht="24" customHeight="1">
      <c r="A696" s="29" t="inlineStr">
        <is>
          <t>2026-04-16</t>
        </is>
      </c>
      <c r="B696" s="31" t="n">
        <v>16900</v>
      </c>
      <c r="C696" s="31" t="n">
        <v>20900</v>
      </c>
      <c r="D696" s="31" t="n">
        <v>16850</v>
      </c>
      <c r="E696" s="31" t="n">
        <v>20700</v>
      </c>
      <c r="F696" s="31" t="n">
        <v>20700</v>
      </c>
      <c r="G696" s="31" t="n">
        <v>3757439</v>
      </c>
      <c r="H696" s="36" t="n">
        <v>0.2321428571428572</v>
      </c>
      <c r="I696" s="36" t="n">
        <v>0</v>
      </c>
      <c r="J696" s="31" t="n">
        <v>14313.5</v>
      </c>
      <c r="K696" s="31" t="n">
        <v>15063</v>
      </c>
      <c r="L696" s="31" t="n">
        <v>14528.33333333333</v>
      </c>
      <c r="M696" s="36" t="n">
        <v>1.067555048253605</v>
      </c>
      <c r="N696" s="36" t="n">
        <v>0.9269785518424752</v>
      </c>
      <c r="O696" s="36" t="n">
        <v>0.4207275223061084</v>
      </c>
      <c r="P696" s="36" t="n">
        <v>0.5610859728506787</v>
      </c>
      <c r="Q696" s="36" t="n">
        <v>0.2929419113054341</v>
      </c>
      <c r="R696" s="36" t="n">
        <v>0.4461871659622034</v>
      </c>
      <c r="S696" s="36" t="n">
        <v>0.3742282413861782</v>
      </c>
      <c r="T696" s="36" t="n">
        <v>0.4248021108179418</v>
      </c>
      <c r="U696" s="31" t="n">
        <v>20700</v>
      </c>
      <c r="V696" s="31" t="n">
        <v>8280</v>
      </c>
      <c r="W696" s="36" t="n">
        <v>0</v>
      </c>
      <c r="X696" s="36" t="n">
        <v>1.5</v>
      </c>
      <c r="Y696" s="31" t="n">
        <v>33416778</v>
      </c>
      <c r="Z696" s="31" t="n">
        <v>691727304600</v>
      </c>
      <c r="AA696" s="31" t="n">
        <v>77778987300</v>
      </c>
      <c r="AB696" s="31" t="n">
        <v>8302106711</v>
      </c>
      <c r="AC696" s="36" t="n">
        <v>0.1124416902192066</v>
      </c>
      <c r="AD696" s="29" t="inlineStr">
        <is>
          <t>yfinance_download</t>
        </is>
      </c>
      <c r="AE696" s="29" t="inlineStr">
        <is>
          <t>059090.KQ</t>
        </is>
      </c>
    </row>
    <row r="697" ht="24" customHeight="1">
      <c r="A697" s="24" t="inlineStr">
        <is>
          <t>2026-04-17</t>
        </is>
      </c>
      <c r="B697" s="30" t="n">
        <v>20250</v>
      </c>
      <c r="C697" s="30" t="n">
        <v>21150</v>
      </c>
      <c r="D697" s="30" t="n">
        <v>19660</v>
      </c>
      <c r="E697" s="30" t="n">
        <v>20550</v>
      </c>
      <c r="F697" s="30" t="n">
        <v>20550</v>
      </c>
      <c r="G697" s="30" t="n">
        <v>1271555</v>
      </c>
      <c r="H697" s="35" t="n">
        <v>-0.007246376811594235</v>
      </c>
      <c r="I697" s="35" t="n">
        <v>-0.007246376811594235</v>
      </c>
      <c r="J697" s="30" t="n">
        <v>14588</v>
      </c>
      <c r="K697" s="30" t="n">
        <v>15186</v>
      </c>
      <c r="L697" s="30" t="n">
        <v>14569.58333333333</v>
      </c>
      <c r="M697" s="35" t="n">
        <v>1.07033714150733</v>
      </c>
      <c r="N697" s="35" t="n">
        <v>0.927012597205532</v>
      </c>
      <c r="O697" s="35" t="n">
        <v>0.3645418326693226</v>
      </c>
      <c r="P697" s="35" t="n">
        <v>0.560364464692483</v>
      </c>
      <c r="Q697" s="35" t="n">
        <v>0.3173076923076923</v>
      </c>
      <c r="R697" s="35" t="n">
        <v>0.4086920756786401</v>
      </c>
      <c r="S697" s="35" t="n">
        <v>0.353220071118135</v>
      </c>
      <c r="T697" s="35" t="n">
        <v>0.4104727314324934</v>
      </c>
      <c r="U697" s="30" t="n">
        <v>20700</v>
      </c>
      <c r="V697" s="30" t="n">
        <v>8280</v>
      </c>
      <c r="W697" s="35" t="n">
        <v>-0.007246376811594235</v>
      </c>
      <c r="X697" s="35" t="n">
        <v>1.481884057971015</v>
      </c>
      <c r="Y697" s="30" t="n">
        <v>33416778</v>
      </c>
      <c r="Z697" s="30" t="n">
        <v>686714787900</v>
      </c>
      <c r="AA697" s="30" t="n">
        <v>26130455250</v>
      </c>
      <c r="AB697" s="30" t="n">
        <v>9288968925.5</v>
      </c>
      <c r="AC697" s="35" t="n">
        <v>0.03805139442228691</v>
      </c>
      <c r="AD697" s="24" t="inlineStr">
        <is>
          <t>yfinance_download</t>
        </is>
      </c>
      <c r="AE697" s="24" t="inlineStr">
        <is>
          <t>059090.KQ</t>
        </is>
      </c>
    </row>
    <row r="698" ht="24" customHeight="1">
      <c r="A698" s="29" t="inlineStr">
        <is>
          <t>2026-04-20</t>
        </is>
      </c>
      <c r="B698" s="31" t="n">
        <v>20600</v>
      </c>
      <c r="C698" s="31" t="n">
        <v>24850</v>
      </c>
      <c r="D698" s="31" t="n">
        <v>20050</v>
      </c>
      <c r="E698" s="31" t="n">
        <v>24050</v>
      </c>
      <c r="F698" s="31" t="n">
        <v>24050</v>
      </c>
      <c r="G698" s="31" t="n">
        <v>3011394</v>
      </c>
      <c r="H698" s="36" t="n">
        <v>0.170316301703163</v>
      </c>
      <c r="I698" s="36" t="n">
        <v>0</v>
      </c>
      <c r="J698" s="31" t="n">
        <v>15095.5</v>
      </c>
      <c r="K698" s="31" t="n">
        <v>15368.5</v>
      </c>
      <c r="L698" s="31" t="n">
        <v>14642.41666666667</v>
      </c>
      <c r="M698" s="36" t="n">
        <v>1.138093149212444</v>
      </c>
      <c r="N698" s="36" t="n">
        <v>0.9835224545979647</v>
      </c>
      <c r="O698" s="36" t="n">
        <v>0.7302158273381294</v>
      </c>
      <c r="P698" s="36" t="n">
        <v>0.8358778625954197</v>
      </c>
      <c r="Q698" s="36" t="n">
        <v>0.5708687132593075</v>
      </c>
      <c r="R698" s="36" t="n">
        <v>0.5931900235169421</v>
      </c>
      <c r="S698" s="36" t="n">
        <v>0.5648892214594787</v>
      </c>
      <c r="T698" s="36" t="n">
        <v>0.6424884325788662</v>
      </c>
      <c r="U698" s="31" t="n">
        <v>24050</v>
      </c>
      <c r="V698" s="31" t="n">
        <v>8300</v>
      </c>
      <c r="W698" s="36" t="n">
        <v>0</v>
      </c>
      <c r="X698" s="36" t="n">
        <v>1.897590361445783</v>
      </c>
      <c r="Y698" s="31" t="n">
        <v>33416778</v>
      </c>
      <c r="Z698" s="31" t="n">
        <v>803673510900</v>
      </c>
      <c r="AA698" s="31" t="n">
        <v>72424025700</v>
      </c>
      <c r="AB698" s="31" t="n">
        <v>12696427825.5</v>
      </c>
      <c r="AC698" s="36" t="n">
        <v>0.09011622844069526</v>
      </c>
      <c r="AD698" s="29" t="inlineStr">
        <is>
          <t>yfinance_download</t>
        </is>
      </c>
      <c r="AE698" s="29" t="inlineStr">
        <is>
          <t>059090.KQ</t>
        </is>
      </c>
    </row>
    <row r="699" ht="24" customHeight="1">
      <c r="A699" s="24" t="inlineStr">
        <is>
          <t>2026-04-21</t>
        </is>
      </c>
      <c r="B699" s="30" t="n">
        <v>23350</v>
      </c>
      <c r="C699" s="30" t="n">
        <v>23550</v>
      </c>
      <c r="D699" s="30" t="n">
        <v>22150</v>
      </c>
      <c r="E699" s="30" t="n">
        <v>22450</v>
      </c>
      <c r="F699" s="30" t="n">
        <v>22450</v>
      </c>
      <c r="G699" s="30" t="n">
        <v>994229</v>
      </c>
      <c r="H699" s="35" t="n">
        <v>-0.06652806652806653</v>
      </c>
      <c r="I699" s="35" t="n">
        <v>-0.06652806652806653</v>
      </c>
      <c r="J699" s="30" t="n">
        <v>15509.5</v>
      </c>
      <c r="K699" s="30" t="n">
        <v>15533.33333333333</v>
      </c>
      <c r="L699" s="30" t="n">
        <v>14696.16666666667</v>
      </c>
      <c r="M699" s="35" t="n">
        <v>1.188489223036252</v>
      </c>
      <c r="N699" s="35" t="n">
        <v>0.9907129837440957</v>
      </c>
      <c r="O699" s="35" t="n">
        <v>0.584333098094566</v>
      </c>
      <c r="P699" s="35" t="n">
        <v>0.7874203821656052</v>
      </c>
      <c r="Q699" s="35" t="n">
        <v>0.403125</v>
      </c>
      <c r="R699" s="35" t="n">
        <v>0.4474999194042362</v>
      </c>
      <c r="S699" s="35" t="n">
        <v>0.4452789699570814</v>
      </c>
      <c r="T699" s="35" t="n">
        <v>0.5276092405048936</v>
      </c>
      <c r="U699" s="30" t="n">
        <v>24050</v>
      </c>
      <c r="V699" s="30" t="n">
        <v>8300</v>
      </c>
      <c r="W699" s="35" t="n">
        <v>-0.06652806652806653</v>
      </c>
      <c r="X699" s="35" t="n">
        <v>1.704819277108434</v>
      </c>
      <c r="Y699" s="30" t="n">
        <v>33416778</v>
      </c>
      <c r="Z699" s="30" t="n">
        <v>750206666100</v>
      </c>
      <c r="AA699" s="30" t="n">
        <v>22320441050</v>
      </c>
      <c r="AB699" s="30" t="n">
        <v>13672992280.5</v>
      </c>
      <c r="AC699" s="35" t="n">
        <v>0.02975238965288634</v>
      </c>
      <c r="AD699" s="24" t="inlineStr">
        <is>
          <t>yfinance_download</t>
        </is>
      </c>
      <c r="AE699" s="24" t="inlineStr">
        <is>
          <t>059090.KQ</t>
        </is>
      </c>
    </row>
    <row r="700" ht="24" customHeight="1">
      <c r="A700" s="29" t="inlineStr">
        <is>
          <t>2026-04-22</t>
        </is>
      </c>
      <c r="B700" s="31" t="n">
        <v>22200</v>
      </c>
      <c r="C700" s="31" t="n">
        <v>22200</v>
      </c>
      <c r="D700" s="31" t="n">
        <v>20500</v>
      </c>
      <c r="E700" s="31" t="n">
        <v>21100</v>
      </c>
      <c r="F700" s="31" t="n">
        <v>21100</v>
      </c>
      <c r="G700" s="31" t="n">
        <v>957648</v>
      </c>
      <c r="H700" s="36" t="n">
        <v>-0.06013363028953234</v>
      </c>
      <c r="I700" s="36" t="n">
        <v>-0.1226611226611226</v>
      </c>
      <c r="J700" s="31" t="n">
        <v>15846.5</v>
      </c>
      <c r="K700" s="31" t="n">
        <v>15673.66666666667</v>
      </c>
      <c r="L700" s="31" t="n">
        <v>14744.5</v>
      </c>
      <c r="M700" s="36" t="n">
        <v>1.226654036600861</v>
      </c>
      <c r="N700" s="36" t="n">
        <v>1.001556657483383</v>
      </c>
      <c r="O700" s="36" t="n">
        <v>0.4693593314763231</v>
      </c>
      <c r="P700" s="36" t="n">
        <v>0.66403785488959</v>
      </c>
      <c r="Q700" s="36" t="n">
        <v>0.3790849673202614</v>
      </c>
      <c r="R700" s="36" t="n">
        <v>0.3315243113621305</v>
      </c>
      <c r="S700" s="36" t="n">
        <v>0.346207013887412</v>
      </c>
      <c r="T700" s="36" t="n">
        <v>0.4310420834887585</v>
      </c>
      <c r="U700" s="31" t="n">
        <v>24050</v>
      </c>
      <c r="V700" s="31" t="n">
        <v>8830</v>
      </c>
      <c r="W700" s="36" t="n">
        <v>-0.1226611226611226</v>
      </c>
      <c r="X700" s="36" t="n">
        <v>1.389580973952435</v>
      </c>
      <c r="Y700" s="31" t="n">
        <v>33416778</v>
      </c>
      <c r="Z700" s="31" t="n">
        <v>705094015800</v>
      </c>
      <c r="AA700" s="31" t="n">
        <v>20206372800</v>
      </c>
      <c r="AB700" s="31" t="n">
        <v>14516640862.5</v>
      </c>
      <c r="AC700" s="36" t="n">
        <v>0.02865770003319889</v>
      </c>
      <c r="AD700" s="29" t="inlineStr">
        <is>
          <t>yfinance_download</t>
        </is>
      </c>
      <c r="AE700" s="29" t="inlineStr">
        <is>
          <t>059090.KQ</t>
        </is>
      </c>
    </row>
    <row r="701" ht="24" customHeight="1">
      <c r="A701" s="24" t="inlineStr">
        <is>
          <t>2026-04-23</t>
        </is>
      </c>
      <c r="B701" s="30" t="n">
        <v>21500</v>
      </c>
      <c r="C701" s="30" t="n">
        <v>21550</v>
      </c>
      <c r="D701" s="30" t="n">
        <v>20200</v>
      </c>
      <c r="E701" s="30" t="n">
        <v>20600</v>
      </c>
      <c r="F701" s="30" t="n">
        <v>20600</v>
      </c>
      <c r="G701" s="30" t="n">
        <v>572402</v>
      </c>
      <c r="H701" s="35" t="n">
        <v>-0.023696682464455</v>
      </c>
      <c r="I701" s="35" t="n">
        <v>-0.1434511434511434</v>
      </c>
      <c r="J701" s="30" t="n">
        <v>16190</v>
      </c>
      <c r="K701" s="30" t="n">
        <v>15796.33333333333</v>
      </c>
      <c r="L701" s="30" t="n">
        <v>14785.91666666667</v>
      </c>
      <c r="M701" s="35" t="n">
        <v>1.214302396260935</v>
      </c>
      <c r="N701" s="35" t="n">
        <v>1.001446839952706</v>
      </c>
      <c r="O701" s="35" t="n">
        <v>0.5003641660597233</v>
      </c>
      <c r="P701" s="35" t="n">
        <v>0.5558912386706949</v>
      </c>
      <c r="Q701" s="35" t="n">
        <v>0.3179782469609724</v>
      </c>
      <c r="R701" s="35" t="n">
        <v>0.272390364422483</v>
      </c>
      <c r="S701" s="35" t="n">
        <v>0.3041001076199117</v>
      </c>
      <c r="T701" s="35" t="n">
        <v>0.3932176451691081</v>
      </c>
      <c r="U701" s="30" t="n">
        <v>24050</v>
      </c>
      <c r="V701" s="30" t="n">
        <v>9210</v>
      </c>
      <c r="W701" s="35" t="n">
        <v>-0.1434511434511434</v>
      </c>
      <c r="X701" s="35" t="n">
        <v>1.236699239956569</v>
      </c>
      <c r="Y701" s="30" t="n">
        <v>33416778</v>
      </c>
      <c r="Z701" s="30" t="n">
        <v>688385626800</v>
      </c>
      <c r="AA701" s="30" t="n">
        <v>11791481200</v>
      </c>
      <c r="AB701" s="30" t="n">
        <v>14870693248.5</v>
      </c>
      <c r="AC701" s="35" t="n">
        <v>0.01712917983894198</v>
      </c>
      <c r="AD701" s="24" t="inlineStr">
        <is>
          <t>yfinance_download</t>
        </is>
      </c>
      <c r="AE701" s="24" t="inlineStr">
        <is>
          <t>059090.KQ</t>
        </is>
      </c>
    </row>
    <row r="702" ht="24" customHeight="1">
      <c r="A702" s="29" t="inlineStr">
        <is>
          <t>2026-04-24</t>
        </is>
      </c>
      <c r="B702" s="31" t="n">
        <v>20850</v>
      </c>
      <c r="C702" s="31" t="n">
        <v>21250</v>
      </c>
      <c r="D702" s="31" t="n">
        <v>20200</v>
      </c>
      <c r="E702" s="31" t="n">
        <v>21150</v>
      </c>
      <c r="F702" s="31" t="n">
        <v>21150</v>
      </c>
      <c r="G702" s="31" t="n">
        <v>612606</v>
      </c>
      <c r="H702" s="36" t="n">
        <v>0.02669902912621369</v>
      </c>
      <c r="I702" s="36" t="n">
        <v>-0.1205821205821206</v>
      </c>
      <c r="J702" s="31" t="n">
        <v>16568.5</v>
      </c>
      <c r="K702" s="31" t="n">
        <v>15914.83333333333</v>
      </c>
      <c r="L702" s="31" t="n">
        <v>14834.58333333333</v>
      </c>
      <c r="M702" s="36" t="n">
        <v>1.207663808919438</v>
      </c>
      <c r="N702" s="36" t="n">
        <v>0.9964645370075005</v>
      </c>
      <c r="O702" s="36" t="n">
        <v>0.5574374079528719</v>
      </c>
      <c r="P702" s="36" t="n">
        <v>0.5064102564102564</v>
      </c>
      <c r="Q702" s="36" t="n">
        <v>0.3814500326583932</v>
      </c>
      <c r="R702" s="36" t="n">
        <v>0.2765186951142227</v>
      </c>
      <c r="S702" s="36" t="n">
        <v>0.3289488841646682</v>
      </c>
      <c r="T702" s="36" t="n">
        <v>0.4257225514703817</v>
      </c>
      <c r="U702" s="31" t="n">
        <v>24050</v>
      </c>
      <c r="V702" s="31" t="n">
        <v>9330</v>
      </c>
      <c r="W702" s="36" t="n">
        <v>-0.1205821205821206</v>
      </c>
      <c r="X702" s="36" t="n">
        <v>1.266881028938907</v>
      </c>
      <c r="Y702" s="31" t="n">
        <v>33416778</v>
      </c>
      <c r="Z702" s="31" t="n">
        <v>706764854700</v>
      </c>
      <c r="AA702" s="31" t="n">
        <v>12956616900</v>
      </c>
      <c r="AB702" s="31" t="n">
        <v>15366599201.5</v>
      </c>
      <c r="AC702" s="36" t="n">
        <v>0.01833228805003283</v>
      </c>
      <c r="AD702" s="29" t="inlineStr">
        <is>
          <t>yfinance_download</t>
        </is>
      </c>
      <c r="AE702" s="29" t="inlineStr">
        <is>
          <t>059090.KQ</t>
        </is>
      </c>
    </row>
    <row r="703" ht="24" customHeight="1">
      <c r="A703" s="24" t="inlineStr">
        <is>
          <t>2026-04-27</t>
        </is>
      </c>
      <c r="B703" s="30" t="n">
        <v>21400</v>
      </c>
      <c r="C703" s="30" t="n">
        <v>21400</v>
      </c>
      <c r="D703" s="30" t="n">
        <v>20450</v>
      </c>
      <c r="E703" s="30" t="n">
        <v>20850</v>
      </c>
      <c r="F703" s="30" t="n">
        <v>20850</v>
      </c>
      <c r="G703" s="30" t="n">
        <v>380787</v>
      </c>
      <c r="H703" s="35" t="n">
        <v>-0.01418439716312059</v>
      </c>
      <c r="I703" s="35" t="n">
        <v>-0.1330561330561331</v>
      </c>
      <c r="J703" s="30" t="n">
        <v>16962.5</v>
      </c>
      <c r="K703" s="30" t="n">
        <v>16009.16666666667</v>
      </c>
      <c r="L703" s="30" t="n">
        <v>14887.41666666667</v>
      </c>
      <c r="M703" s="35" t="n">
        <v>1.188865609200066</v>
      </c>
      <c r="N703" s="35" t="n">
        <v>0.9857237751582891</v>
      </c>
      <c r="O703" s="35" t="n">
        <v>0.6075558982266769</v>
      </c>
      <c r="P703" s="35" t="n">
        <v>0.3726135615536537</v>
      </c>
      <c r="Q703" s="35" t="n">
        <v>0.4369400413507925</v>
      </c>
      <c r="R703" s="35" t="n">
        <v>0.2291820191599117</v>
      </c>
      <c r="S703" s="35" t="n">
        <v>0.3023788454531258</v>
      </c>
      <c r="T703" s="35" t="n">
        <v>0.400511617753248</v>
      </c>
      <c r="U703" s="30" t="n">
        <v>24050</v>
      </c>
      <c r="V703" s="30" t="n">
        <v>9330</v>
      </c>
      <c r="W703" s="35" t="n">
        <v>-0.1330561330561331</v>
      </c>
      <c r="X703" s="35" t="n">
        <v>1.234726688102894</v>
      </c>
      <c r="Y703" s="30" t="n">
        <v>33416778</v>
      </c>
      <c r="Z703" s="30" t="n">
        <v>696739821300</v>
      </c>
      <c r="AA703" s="30" t="n">
        <v>7939408950</v>
      </c>
      <c r="AB703" s="30" t="n">
        <v>15634542792</v>
      </c>
      <c r="AC703" s="35" t="n">
        <v>0.01139508422984406</v>
      </c>
      <c r="AD703" s="24" t="inlineStr">
        <is>
          <t>yfinance_download</t>
        </is>
      </c>
      <c r="AE703" s="24" t="inlineStr">
        <is>
          <t>059090.KQ</t>
        </is>
      </c>
    </row>
    <row r="704" ht="24" customHeight="1">
      <c r="A704" s="29" t="inlineStr">
        <is>
          <t>2026-04-28</t>
        </is>
      </c>
      <c r="B704" s="31" t="n">
        <v>20800</v>
      </c>
      <c r="C704" s="31" t="n">
        <v>21700</v>
      </c>
      <c r="D704" s="31" t="n">
        <v>20650</v>
      </c>
      <c r="E704" s="31" t="n">
        <v>21150</v>
      </c>
      <c r="F704" s="31" t="n">
        <v>21150</v>
      </c>
      <c r="G704" s="31" t="n">
        <v>477276</v>
      </c>
      <c r="H704" s="36" t="n">
        <v>0.014388489208633</v>
      </c>
      <c r="I704" s="36" t="n">
        <v>-0.1205821205821206</v>
      </c>
      <c r="J704" s="31" t="n">
        <v>17392</v>
      </c>
      <c r="K704" s="31" t="n">
        <v>16089.33333333333</v>
      </c>
      <c r="L704" s="31" t="n">
        <v>14942.75</v>
      </c>
      <c r="M704" s="36" t="n">
        <v>1.170122187237899</v>
      </c>
      <c r="N704" s="36" t="n">
        <v>0.9754584524720016</v>
      </c>
      <c r="O704" s="36" t="n">
        <v>0.6839171974522293</v>
      </c>
      <c r="P704" s="36" t="n">
        <v>0.2943696450428397</v>
      </c>
      <c r="Q704" s="36" t="n">
        <v>0.4576154376292212</v>
      </c>
      <c r="R704" s="36" t="n">
        <v>0.2160763569457222</v>
      </c>
      <c r="S704" s="36" t="n">
        <v>0.3145355100687826</v>
      </c>
      <c r="T704" s="36" t="n">
        <v>0.4154021180840206</v>
      </c>
      <c r="U704" s="31" t="n">
        <v>24050</v>
      </c>
      <c r="V704" s="31" t="n">
        <v>9330</v>
      </c>
      <c r="W704" s="36" t="n">
        <v>-0.1205821205821206</v>
      </c>
      <c r="X704" s="36" t="n">
        <v>1.266881028938907</v>
      </c>
      <c r="Y704" s="31" t="n">
        <v>33416778</v>
      </c>
      <c r="Z704" s="31" t="n">
        <v>706764854700</v>
      </c>
      <c r="AA704" s="31" t="n">
        <v>10094387400</v>
      </c>
      <c r="AB704" s="31" t="n">
        <v>15992527450</v>
      </c>
      <c r="AC704" s="36" t="n">
        <v>0.0142825259814097</v>
      </c>
      <c r="AD704" s="29" t="inlineStr">
        <is>
          <t>yfinance_download</t>
        </is>
      </c>
      <c r="AE704" s="29" t="inlineStr">
        <is>
          <t>059090.KQ</t>
        </is>
      </c>
    </row>
    <row r="705" ht="24" customHeight="1">
      <c r="A705" s="24" t="inlineStr">
        <is>
          <t>2026-04-29</t>
        </is>
      </c>
      <c r="B705" s="30" t="n">
        <v>21200</v>
      </c>
      <c r="C705" s="30" t="n">
        <v>21900</v>
      </c>
      <c r="D705" s="30" t="n">
        <v>20450</v>
      </c>
      <c r="E705" s="30" t="n">
        <v>21550</v>
      </c>
      <c r="F705" s="30" t="n">
        <v>21550</v>
      </c>
      <c r="G705" s="30" t="n">
        <v>680876</v>
      </c>
      <c r="H705" s="35" t="n">
        <v>0.01891252955082745</v>
      </c>
      <c r="I705" s="35" t="n">
        <v>-0.103950103950104</v>
      </c>
      <c r="J705" s="30" t="n">
        <v>17792</v>
      </c>
      <c r="K705" s="30" t="n">
        <v>16166.33333333333</v>
      </c>
      <c r="L705" s="30" t="n">
        <v>14998.25</v>
      </c>
      <c r="M705" s="35" t="n">
        <v>1.155368080622247</v>
      </c>
      <c r="N705" s="35" t="n">
        <v>0.9738345442436078</v>
      </c>
      <c r="O705" s="35" t="n">
        <v>0.5904059040590406</v>
      </c>
      <c r="P705" s="35" t="n">
        <v>0.2728883638511519</v>
      </c>
      <c r="Q705" s="35" t="n">
        <v>0.4472800537273338</v>
      </c>
      <c r="R705" s="35" t="n">
        <v>0.2112185251798562</v>
      </c>
      <c r="S705" s="35" t="n">
        <v>0.3330171756118683</v>
      </c>
      <c r="T705" s="35" t="n">
        <v>0.436834297334689</v>
      </c>
      <c r="U705" s="30" t="n">
        <v>24050</v>
      </c>
      <c r="V705" s="30" t="n">
        <v>9450</v>
      </c>
      <c r="W705" s="35" t="n">
        <v>-0.103950103950104</v>
      </c>
      <c r="X705" s="35" t="n">
        <v>1.28042328042328</v>
      </c>
      <c r="Y705" s="30" t="n">
        <v>33416778</v>
      </c>
      <c r="Z705" s="30" t="n">
        <v>720131565900</v>
      </c>
      <c r="AA705" s="30" t="n">
        <v>14672877800</v>
      </c>
      <c r="AB705" s="30" t="n">
        <v>16568243380</v>
      </c>
      <c r="AC705" s="35" t="n">
        <v>0.02037527376218018</v>
      </c>
      <c r="AD705" s="24" t="inlineStr">
        <is>
          <t>yfinance_download</t>
        </is>
      </c>
      <c r="AE705" s="24" t="inlineStr">
        <is>
          <t>059090.KQ</t>
        </is>
      </c>
    </row>
    <row r="706" ht="24" customHeight="1">
      <c r="A706" s="29" t="inlineStr">
        <is>
          <t>2026-04-30</t>
        </is>
      </c>
      <c r="B706" s="31" t="n">
        <v>24250</v>
      </c>
      <c r="C706" s="31" t="n">
        <v>25250</v>
      </c>
      <c r="D706" s="31" t="n">
        <v>22150</v>
      </c>
      <c r="E706" s="31" t="n">
        <v>22650</v>
      </c>
      <c r="F706" s="31" t="n">
        <v>22650</v>
      </c>
      <c r="G706" s="31" t="n">
        <v>1918005</v>
      </c>
      <c r="H706" s="36" t="n">
        <v>0.0510440835266821</v>
      </c>
      <c r="I706" s="36" t="n">
        <v>-0.05821205821205822</v>
      </c>
      <c r="J706" s="31" t="n">
        <v>18263.5</v>
      </c>
      <c r="K706" s="31" t="n">
        <v>16248.33333333333</v>
      </c>
      <c r="L706" s="31" t="n">
        <v>15063.66666666667</v>
      </c>
      <c r="M706" s="36" t="n">
        <v>1.142907043786491</v>
      </c>
      <c r="N706" s="36" t="n">
        <v>0.9745541837758548</v>
      </c>
      <c r="O706" s="36" t="n">
        <v>0.7133131618759456</v>
      </c>
      <c r="P706" s="36" t="n">
        <v>0.2774957698815568</v>
      </c>
      <c r="Q706" s="36" t="n">
        <v>0.5304054054054055</v>
      </c>
      <c r="R706" s="36" t="n">
        <v>0.2401784980972979</v>
      </c>
      <c r="S706" s="36" t="n">
        <v>0.3939891270899578</v>
      </c>
      <c r="T706" s="36" t="n">
        <v>0.5036179770308249</v>
      </c>
      <c r="U706" s="31" t="n">
        <v>24050</v>
      </c>
      <c r="V706" s="31" t="n">
        <v>9580</v>
      </c>
      <c r="W706" s="36" t="n">
        <v>-0.05821205821205822</v>
      </c>
      <c r="X706" s="36" t="n">
        <v>1.364300626304802</v>
      </c>
      <c r="Y706" s="31" t="n">
        <v>33416778</v>
      </c>
      <c r="Z706" s="31" t="n">
        <v>756890021700</v>
      </c>
      <c r="AA706" s="31" t="n">
        <v>43442813250</v>
      </c>
      <c r="AB706" s="31" t="n">
        <v>18518204756.5</v>
      </c>
      <c r="AC706" s="36" t="n">
        <v>0.05739646712797984</v>
      </c>
      <c r="AD706" s="29" t="inlineStr">
        <is>
          <t>yfinance_download</t>
        </is>
      </c>
      <c r="AE706" s="29" t="inlineStr">
        <is>
          <t>059090.KQ</t>
        </is>
      </c>
    </row>
    <row r="707" ht="24" customHeight="1">
      <c r="A707" s="24" t="inlineStr">
        <is>
          <t>2026-05-04</t>
        </is>
      </c>
      <c r="B707" s="30" t="n">
        <v>23900</v>
      </c>
      <c r="C707" s="30" t="n">
        <v>27400</v>
      </c>
      <c r="D707" s="30" t="n">
        <v>22900</v>
      </c>
      <c r="E707" s="30" t="n">
        <v>26100</v>
      </c>
      <c r="F707" s="30" t="n">
        <v>26100</v>
      </c>
      <c r="G707" s="30" t="n">
        <v>2538964</v>
      </c>
      <c r="H707" s="35" t="n">
        <v>0.1523178807947019</v>
      </c>
      <c r="I707" s="35" t="n">
        <v>0</v>
      </c>
      <c r="J707" s="30" t="n">
        <v>18911</v>
      </c>
      <c r="K707" s="30" t="n">
        <v>16390.66666666667</v>
      </c>
      <c r="L707" s="30" t="n">
        <v>15163.58333333333</v>
      </c>
      <c r="M707" s="35" t="n">
        <v>1.213904599940435</v>
      </c>
      <c r="N707" s="35" t="n">
        <v>1.019048479730133</v>
      </c>
      <c r="O707" s="35" t="n">
        <v>0.9847908745247149</v>
      </c>
      <c r="P707" s="35" t="n">
        <v>0.4863325740318907</v>
      </c>
      <c r="Q707" s="35" t="n">
        <v>0.8497519489723599</v>
      </c>
      <c r="R707" s="35" t="n">
        <v>0.3801491195600444</v>
      </c>
      <c r="S707" s="35" t="n">
        <v>0.5923696412592532</v>
      </c>
      <c r="T707" s="35" t="n">
        <v>0.7212290410687887</v>
      </c>
      <c r="U707" s="30" t="n">
        <v>26100</v>
      </c>
      <c r="V707" s="30" t="n">
        <v>9580</v>
      </c>
      <c r="W707" s="35" t="n">
        <v>0</v>
      </c>
      <c r="X707" s="35" t="n">
        <v>1.724425887265136</v>
      </c>
      <c r="Y707" s="30" t="n">
        <v>33416778</v>
      </c>
      <c r="Z707" s="30" t="n">
        <v>872177905800</v>
      </c>
      <c r="AA707" s="30" t="n">
        <v>66266960400</v>
      </c>
      <c r="AB707" s="30" t="n">
        <v>21710777259</v>
      </c>
      <c r="AC707" s="35" t="n">
        <v>0.07597871943249586</v>
      </c>
      <c r="AD707" s="24" t="inlineStr">
        <is>
          <t>yfinance_download</t>
        </is>
      </c>
      <c r="AE707" s="24" t="inlineStr">
        <is>
          <t>059090.KQ</t>
        </is>
      </c>
    </row>
    <row r="708" ht="24" customHeight="1">
      <c r="A708" s="29" t="inlineStr">
        <is>
          <t>2026-05-06</t>
        </is>
      </c>
      <c r="B708" s="31" t="n">
        <v>26700</v>
      </c>
      <c r="C708" s="31" t="n">
        <v>29250</v>
      </c>
      <c r="D708" s="31" t="n">
        <v>24500</v>
      </c>
      <c r="E708" s="31" t="n">
        <v>27900</v>
      </c>
      <c r="F708" s="31" t="n">
        <v>27900</v>
      </c>
      <c r="G708" s="31" t="n">
        <v>2253519</v>
      </c>
      <c r="H708" s="36" t="n">
        <v>0.06896551724137923</v>
      </c>
      <c r="I708" s="36" t="n">
        <v>0</v>
      </c>
      <c r="J708" s="31" t="n">
        <v>19656</v>
      </c>
      <c r="K708" s="31" t="n">
        <v>16559.66666666667</v>
      </c>
      <c r="L708" s="31" t="n">
        <v>15272.75</v>
      </c>
      <c r="M708" s="36" t="n">
        <v>1.204507441912088</v>
      </c>
      <c r="N708" s="36" t="n">
        <v>1.026530818390728</v>
      </c>
      <c r="O708" s="36" t="n">
        <v>1.146153846153846</v>
      </c>
      <c r="P708" s="36" t="n">
        <v>0.5709459459459461</v>
      </c>
      <c r="Q708" s="36" t="n">
        <v>0.8851351351351351</v>
      </c>
      <c r="R708" s="36" t="n">
        <v>0.4194139194139195</v>
      </c>
      <c r="S708" s="36" t="n">
        <v>0.6848165220717002</v>
      </c>
      <c r="T708" s="36" t="n">
        <v>0.826782995858637</v>
      </c>
      <c r="U708" s="31" t="n">
        <v>27900</v>
      </c>
      <c r="V708" s="31" t="n">
        <v>9580</v>
      </c>
      <c r="W708" s="36" t="n">
        <v>0</v>
      </c>
      <c r="X708" s="36" t="n">
        <v>1.912317327766179</v>
      </c>
      <c r="Y708" s="31" t="n">
        <v>33416778</v>
      </c>
      <c r="Z708" s="31" t="n">
        <v>932328106200</v>
      </c>
      <c r="AA708" s="31" t="n">
        <v>62873180100</v>
      </c>
      <c r="AB708" s="31" t="n">
        <v>24704554064</v>
      </c>
      <c r="AC708" s="36" t="n">
        <v>0.06743675287904777</v>
      </c>
      <c r="AD708" s="29" t="inlineStr">
        <is>
          <t>yfinance_download</t>
        </is>
      </c>
      <c r="AE708" s="29" t="inlineStr">
        <is>
          <t>059090.KQ</t>
        </is>
      </c>
    </row>
    <row r="709" ht="24" customHeight="1">
      <c r="A709" s="24" t="inlineStr">
        <is>
          <t>2026-05-07</t>
        </is>
      </c>
      <c r="B709" s="30" t="n">
        <v>27700</v>
      </c>
      <c r="C709" s="30" t="n">
        <v>27700</v>
      </c>
      <c r="D709" s="30" t="n">
        <v>24800</v>
      </c>
      <c r="E709" s="30" t="n">
        <v>24850</v>
      </c>
      <c r="F709" s="30" t="n">
        <v>24850</v>
      </c>
      <c r="G709" s="30" t="n">
        <v>857000</v>
      </c>
      <c r="H709" s="35" t="n">
        <v>-0.1093189964157706</v>
      </c>
      <c r="I709" s="35" t="n">
        <v>-0.1093189964157706</v>
      </c>
      <c r="J709" s="30" t="n">
        <v>20247.5</v>
      </c>
      <c r="K709" s="30" t="n">
        <v>16675.83333333333</v>
      </c>
      <c r="L709" s="30" t="n">
        <v>15361.91666666667</v>
      </c>
      <c r="M709" s="35" t="n">
        <v>1.31264800411002</v>
      </c>
      <c r="N709" s="35" t="n">
        <v>1.055041268755977</v>
      </c>
      <c r="O709" s="35" t="n">
        <v>0.9086021505376345</v>
      </c>
      <c r="P709" s="35" t="n">
        <v>0.3898210290827739</v>
      </c>
      <c r="Q709" s="35" t="n">
        <v>0.7561837455830389</v>
      </c>
      <c r="R709" s="35" t="n">
        <v>0.2273120138288678</v>
      </c>
      <c r="S709" s="35" t="n">
        <v>0.4901804007795714</v>
      </c>
      <c r="T709" s="35" t="n">
        <v>0.6176366881302791</v>
      </c>
      <c r="U709" s="30" t="n">
        <v>27900</v>
      </c>
      <c r="V709" s="30" t="n">
        <v>10030</v>
      </c>
      <c r="W709" s="35" t="n">
        <v>-0.1093189964157706</v>
      </c>
      <c r="X709" s="35" t="n">
        <v>1.477567298105683</v>
      </c>
      <c r="Y709" s="30" t="n">
        <v>33416778</v>
      </c>
      <c r="Z709" s="30" t="n">
        <v>830406933300</v>
      </c>
      <c r="AA709" s="30" t="n">
        <v>21296450000</v>
      </c>
      <c r="AB709" s="30" t="n">
        <v>25665745827</v>
      </c>
      <c r="AC709" s="35" t="n">
        <v>0.02564579984341997</v>
      </c>
      <c r="AD709" s="24" t="inlineStr">
        <is>
          <t>yfinance_download</t>
        </is>
      </c>
      <c r="AE709" s="24" t="inlineStr">
        <is>
          <t>059090.KQ</t>
        </is>
      </c>
    </row>
    <row r="710" ht="24" customHeight="1">
      <c r="A710" s="29" t="inlineStr">
        <is>
          <t>2026-05-08</t>
        </is>
      </c>
      <c r="B710" s="31" t="n">
        <v>23700</v>
      </c>
      <c r="C710" s="31" t="n">
        <v>25000</v>
      </c>
      <c r="D710" s="31" t="n">
        <v>23500</v>
      </c>
      <c r="E710" s="31" t="n">
        <v>24250</v>
      </c>
      <c r="F710" s="31" t="n">
        <v>24250</v>
      </c>
      <c r="G710" s="31" t="n">
        <v>520446</v>
      </c>
      <c r="H710" s="36" t="n">
        <v>-0.0241448692152918</v>
      </c>
      <c r="I710" s="36" t="n">
        <v>-0.1308243727598566</v>
      </c>
      <c r="J710" s="31" t="n">
        <v>20753.5</v>
      </c>
      <c r="K710" s="31" t="n">
        <v>16797.33333333333</v>
      </c>
      <c r="L710" s="31" t="n">
        <v>15444.33333333333</v>
      </c>
      <c r="M710" s="36" t="n">
        <v>1.315536679597154</v>
      </c>
      <c r="N710" s="36" t="n">
        <v>1.049984374836483</v>
      </c>
      <c r="O710" s="36" t="n">
        <v>0.7162066525123849</v>
      </c>
      <c r="P710" s="36" t="n">
        <v>0.4298349056603774</v>
      </c>
      <c r="Q710" s="36" t="n">
        <v>0.6887186629526463</v>
      </c>
      <c r="R710" s="36" t="n">
        <v>0.1684776061869082</v>
      </c>
      <c r="S710" s="36" t="n">
        <v>0.4436815367518654</v>
      </c>
      <c r="T710" s="36" t="n">
        <v>0.5701551809725249</v>
      </c>
      <c r="U710" s="31" t="n">
        <v>27900</v>
      </c>
      <c r="V710" s="31" t="n">
        <v>10040</v>
      </c>
      <c r="W710" s="36" t="n">
        <v>-0.1308243727598566</v>
      </c>
      <c r="X710" s="36" t="n">
        <v>1.415338645418327</v>
      </c>
      <c r="Y710" s="31" t="n">
        <v>33416778</v>
      </c>
      <c r="Z710" s="31" t="n">
        <v>810356866500</v>
      </c>
      <c r="AA710" s="31" t="n">
        <v>12620815500</v>
      </c>
      <c r="AB710" s="31" t="n">
        <v>26020709716.5</v>
      </c>
      <c r="AC710" s="36" t="n">
        <v>0.0155743920015269</v>
      </c>
      <c r="AD710" s="29" t="inlineStr">
        <is>
          <t>yfinance_download</t>
        </is>
      </c>
      <c r="AE710" s="29" t="inlineStr">
        <is>
          <t>059090.KQ</t>
        </is>
      </c>
    </row>
    <row r="711" ht="24" customHeight="1">
      <c r="A711" s="24" t="inlineStr">
        <is>
          <t>2026-05-11</t>
        </is>
      </c>
      <c r="B711" s="30" t="n">
        <v>25350</v>
      </c>
      <c r="C711" s="30" t="n">
        <v>25700</v>
      </c>
      <c r="D711" s="30" t="n">
        <v>23650</v>
      </c>
      <c r="E711" s="30" t="n">
        <v>23900</v>
      </c>
      <c r="F711" s="30" t="n">
        <v>23900</v>
      </c>
      <c r="G711" s="30" t="n">
        <v>628937</v>
      </c>
      <c r="H711" s="35" t="n">
        <v>-0.0144329896907216</v>
      </c>
      <c r="I711" s="35" t="n">
        <v>-0.1433691756272402</v>
      </c>
      <c r="J711" s="30" t="n">
        <v>21242</v>
      </c>
      <c r="K711" s="30" t="n">
        <v>16912.66666666667</v>
      </c>
      <c r="L711" s="30" t="n">
        <v>15513.91666666667</v>
      </c>
      <c r="M711" s="35" t="n">
        <v>1.320951867061633</v>
      </c>
      <c r="N711" s="35" t="n">
        <v>1.050908336675038</v>
      </c>
      <c r="O711" s="35" t="n">
        <v>0.6914366595895258</v>
      </c>
      <c r="P711" s="35" t="n">
        <v>0.4075382803297998</v>
      </c>
      <c r="Q711" s="35" t="n">
        <v>0.5369774919614148</v>
      </c>
      <c r="R711" s="35" t="n">
        <v>0.1251294605027775</v>
      </c>
      <c r="S711" s="35" t="n">
        <v>0.4131420237297487</v>
      </c>
      <c r="T711" s="35" t="n">
        <v>0.5405522998168313</v>
      </c>
      <c r="U711" s="30" t="n">
        <v>27900</v>
      </c>
      <c r="V711" s="30" t="n">
        <v>10040</v>
      </c>
      <c r="W711" s="35" t="n">
        <v>-0.1433691756272402</v>
      </c>
      <c r="X711" s="35" t="n">
        <v>1.380478087649402</v>
      </c>
      <c r="Y711" s="30" t="n">
        <v>33416778</v>
      </c>
      <c r="Z711" s="30" t="n">
        <v>798660994200</v>
      </c>
      <c r="AA711" s="30" t="n">
        <v>15031594300</v>
      </c>
      <c r="AB711" s="30" t="n">
        <v>26548335996.5</v>
      </c>
      <c r="AC711" s="35" t="n">
        <v>0.01882099465124974</v>
      </c>
      <c r="AD711" s="24" t="inlineStr">
        <is>
          <t>yfinance_download</t>
        </is>
      </c>
      <c r="AE711" s="24" t="inlineStr">
        <is>
          <t>059090.KQ</t>
        </is>
      </c>
    </row>
    <row r="712" ht="24" customHeight="1">
      <c r="A712" s="29" t="inlineStr">
        <is>
          <t>2026-05-12</t>
        </is>
      </c>
      <c r="B712" s="31" t="n">
        <v>24200</v>
      </c>
      <c r="C712" s="31" t="n">
        <v>24450</v>
      </c>
      <c r="D712" s="31" t="n">
        <v>21450</v>
      </c>
      <c r="E712" s="31" t="n">
        <v>22550</v>
      </c>
      <c r="F712" s="31" t="n">
        <v>22550</v>
      </c>
      <c r="G712" s="31" t="n">
        <v>730404</v>
      </c>
      <c r="H712" s="36" t="n">
        <v>-0.05648535564853552</v>
      </c>
      <c r="I712" s="36" t="n">
        <v>-0.1917562724014337</v>
      </c>
      <c r="J712" s="31" t="n">
        <v>21649</v>
      </c>
      <c r="K712" s="31" t="n">
        <v>16982.66666666667</v>
      </c>
      <c r="L712" s="31" t="n">
        <v>15575.83333333333</v>
      </c>
      <c r="M712" s="36" t="n">
        <v>1.35584031038354</v>
      </c>
      <c r="N712" s="36" t="n">
        <v>1.047869028371066</v>
      </c>
      <c r="O712" s="36" t="n">
        <v>0.5648854961832062</v>
      </c>
      <c r="P712" s="36" t="n">
        <v>0.228882833787466</v>
      </c>
      <c r="Q712" s="36" t="n">
        <v>0.4914021164021165</v>
      </c>
      <c r="R712" s="36" t="n">
        <v>0.04161855051041607</v>
      </c>
      <c r="S712" s="36" t="n">
        <v>0.3278244484572503</v>
      </c>
      <c r="T712" s="36" t="n">
        <v>0.4477556043015354</v>
      </c>
      <c r="U712" s="31" t="n">
        <v>27900</v>
      </c>
      <c r="V712" s="31" t="n">
        <v>10040</v>
      </c>
      <c r="W712" s="36" t="n">
        <v>-0.1917562724014337</v>
      </c>
      <c r="X712" s="36" t="n">
        <v>1.24601593625498</v>
      </c>
      <c r="Y712" s="31" t="n">
        <v>33416778</v>
      </c>
      <c r="Z712" s="31" t="n">
        <v>753548343900</v>
      </c>
      <c r="AA712" s="31" t="n">
        <v>16470610200</v>
      </c>
      <c r="AB712" s="31" t="n">
        <v>27127402297.5</v>
      </c>
      <c r="AC712" s="36" t="n">
        <v>0.02185740348755347</v>
      </c>
      <c r="AD712" s="29" t="inlineStr">
        <is>
          <t>yfinance_download</t>
        </is>
      </c>
      <c r="AE712" s="29" t="inlineStr">
        <is>
          <t>059090.KQ</t>
        </is>
      </c>
    </row>
    <row r="713" ht="24" customHeight="1">
      <c r="A713" s="24" t="inlineStr">
        <is>
          <t>2026-05-13</t>
        </is>
      </c>
      <c r="B713" s="30" t="n">
        <v>22150</v>
      </c>
      <c r="C713" s="30" t="n">
        <v>25000</v>
      </c>
      <c r="D713" s="30" t="n">
        <v>21550</v>
      </c>
      <c r="E713" s="30" t="n">
        <v>24800</v>
      </c>
      <c r="F713" s="30" t="n">
        <v>24800</v>
      </c>
      <c r="G713" s="30" t="n">
        <v>846870</v>
      </c>
      <c r="H713" s="35" t="n">
        <v>0.0997782705099779</v>
      </c>
      <c r="I713" s="35" t="n">
        <v>-0.1111111111111112</v>
      </c>
      <c r="J713" s="30" t="n">
        <v>22162.5</v>
      </c>
      <c r="K713" s="30" t="n">
        <v>17101.83333333333</v>
      </c>
      <c r="L713" s="30" t="n">
        <v>15657.91666666667</v>
      </c>
      <c r="M713" s="35" t="n">
        <v>1.378787323356866</v>
      </c>
      <c r="N713" s="35" t="n">
        <v>1.061361515410721</v>
      </c>
      <c r="O713" s="35" t="n">
        <v>0.7068134893324156</v>
      </c>
      <c r="P713" s="35" t="n">
        <v>0.405099150141643</v>
      </c>
      <c r="Q713" s="35" t="n">
        <v>0.6588628762541806</v>
      </c>
      <c r="R713" s="35" t="n">
        <v>0.1190073322053018</v>
      </c>
      <c r="S713" s="35" t="n">
        <v>0.4501369248910936</v>
      </c>
      <c r="T713" s="35" t="n">
        <v>0.5838633279225101</v>
      </c>
      <c r="U713" s="30" t="n">
        <v>27900</v>
      </c>
      <c r="V713" s="30" t="n">
        <v>10100</v>
      </c>
      <c r="W713" s="35" t="n">
        <v>-0.1111111111111112</v>
      </c>
      <c r="X713" s="35" t="n">
        <v>1.455445544554455</v>
      </c>
      <c r="Y713" s="30" t="n">
        <v>33416778</v>
      </c>
      <c r="Z713" s="30" t="n">
        <v>828736094400</v>
      </c>
      <c r="AA713" s="30" t="n">
        <v>21002376000</v>
      </c>
      <c r="AB713" s="30" t="n">
        <v>28036859800</v>
      </c>
      <c r="AC713" s="35" t="n">
        <v>0.02534265870874804</v>
      </c>
      <c r="AD713" s="24" t="inlineStr">
        <is>
          <t>yfinance_download</t>
        </is>
      </c>
      <c r="AE713" s="24" t="inlineStr">
        <is>
          <t>059090.KQ</t>
        </is>
      </c>
    </row>
    <row r="714" ht="24" customHeight="1">
      <c r="A714" s="29" t="inlineStr">
        <is>
          <t>2026-05-14</t>
        </is>
      </c>
      <c r="B714" s="31" t="n">
        <v>24300</v>
      </c>
      <c r="C714" s="31" t="n">
        <v>25500</v>
      </c>
      <c r="D714" s="31" t="n">
        <v>23300</v>
      </c>
      <c r="E714" s="31" t="n">
        <v>24050</v>
      </c>
      <c r="F714" s="31" t="n">
        <v>24050</v>
      </c>
      <c r="G714" s="31" t="n">
        <v>573587</v>
      </c>
      <c r="H714" s="36" t="n">
        <v>-0.030241935483871</v>
      </c>
      <c r="I714" s="36" t="n">
        <v>-0.1379928315412187</v>
      </c>
      <c r="J714" s="31" t="n">
        <v>22600</v>
      </c>
      <c r="K714" s="31" t="n">
        <v>17228.5</v>
      </c>
      <c r="L714" s="31" t="n">
        <v>15739.08333333333</v>
      </c>
      <c r="M714" s="36" t="n">
        <v>1.392343866014847</v>
      </c>
      <c r="N714" s="36" t="n">
        <v>1.052630626358663</v>
      </c>
      <c r="O714" s="36" t="n">
        <v>0.5718954248366013</v>
      </c>
      <c r="P714" s="36" t="n">
        <v>0.4620060790273557</v>
      </c>
      <c r="Q714" s="36" t="n">
        <v>0.6806429070580013</v>
      </c>
      <c r="R714" s="36" t="n">
        <v>0.06415929203539816</v>
      </c>
      <c r="S714" s="36" t="n">
        <v>0.3959427692486288</v>
      </c>
      <c r="T714" s="36" t="n">
        <v>0.5280432469065859</v>
      </c>
      <c r="U714" s="31" t="n">
        <v>27900</v>
      </c>
      <c r="V714" s="31" t="n">
        <v>10100</v>
      </c>
      <c r="W714" s="36" t="n">
        <v>-0.1379928315412187</v>
      </c>
      <c r="X714" s="36" t="n">
        <v>1.381188118811881</v>
      </c>
      <c r="Y714" s="31" t="n">
        <v>33416778</v>
      </c>
      <c r="Z714" s="31" t="n">
        <v>803673510900</v>
      </c>
      <c r="AA714" s="31" t="n">
        <v>13794767350</v>
      </c>
      <c r="AB714" s="31" t="n">
        <v>28272571432.5</v>
      </c>
      <c r="AC714" s="36" t="n">
        <v>0.01716464106743026</v>
      </c>
      <c r="AD714" s="29" t="inlineStr">
        <is>
          <t>yfinance_download</t>
        </is>
      </c>
      <c r="AE714" s="29" t="inlineStr">
        <is>
          <t>059090.KQ</t>
        </is>
      </c>
    </row>
    <row r="715" ht="24" customHeight="1">
      <c r="A715" s="24" t="inlineStr">
        <is>
          <t>2026-05-15</t>
        </is>
      </c>
      <c r="B715" s="30" t="n">
        <v>24150</v>
      </c>
      <c r="C715" s="30" t="n">
        <v>24650</v>
      </c>
      <c r="D715" s="30" t="n">
        <v>21600</v>
      </c>
      <c r="E715" s="30" t="n">
        <v>22250</v>
      </c>
      <c r="F715" s="30" t="n">
        <v>22250</v>
      </c>
      <c r="G715" s="30" t="n">
        <v>550248</v>
      </c>
      <c r="H715" s="35" t="n">
        <v>-0.07484407484407485</v>
      </c>
      <c r="I715" s="35" t="n">
        <v>-0.2025089605734767</v>
      </c>
      <c r="J715" s="30" t="n">
        <v>22872.5</v>
      </c>
      <c r="K715" s="30" t="n">
        <v>17319</v>
      </c>
      <c r="L715" s="30" t="n">
        <v>15807.33333333333</v>
      </c>
      <c r="M715" s="35" t="n">
        <v>1.40935057112837</v>
      </c>
      <c r="N715" s="35" t="n">
        <v>1.065898293149341</v>
      </c>
      <c r="O715" s="35" t="n">
        <v>0.3244047619047619</v>
      </c>
      <c r="P715" s="35" t="n">
        <v>0.3228299643281807</v>
      </c>
      <c r="Q715" s="35" t="n">
        <v>0.5825035561877667</v>
      </c>
      <c r="R715" s="35" t="n">
        <v>-0.02721608919007545</v>
      </c>
      <c r="S715" s="35" t="n">
        <v>0.2847162076332352</v>
      </c>
      <c r="T715" s="35" t="n">
        <v>0.4075745434608409</v>
      </c>
      <c r="U715" s="30" t="n">
        <v>27900</v>
      </c>
      <c r="V715" s="30" t="n">
        <v>10100</v>
      </c>
      <c r="W715" s="35" t="n">
        <v>-0.2025089605734767</v>
      </c>
      <c r="X715" s="35" t="n">
        <v>1.202970297029703</v>
      </c>
      <c r="Y715" s="30" t="n">
        <v>33416778</v>
      </c>
      <c r="Z715" s="30" t="n">
        <v>743523310500</v>
      </c>
      <c r="AA715" s="30" t="n">
        <v>12243018000</v>
      </c>
      <c r="AB715" s="30" t="n">
        <v>28067881972.5</v>
      </c>
      <c r="AC715" s="35" t="n">
        <v>0.01646621945419154</v>
      </c>
      <c r="AD715" s="24" t="inlineStr">
        <is>
          <t>yfinance_download</t>
        </is>
      </c>
      <c r="AE715" s="24" t="inlineStr">
        <is>
          <t>059090.KQ</t>
        </is>
      </c>
    </row>
    <row r="716" ht="24" customHeight="1">
      <c r="A716" s="29" t="inlineStr">
        <is>
          <t>2026-05-18</t>
        </is>
      </c>
      <c r="B716" s="31" t="n">
        <v>21300</v>
      </c>
      <c r="C716" s="31" t="n">
        <v>21650</v>
      </c>
      <c r="D716" s="31" t="n">
        <v>20150</v>
      </c>
      <c r="E716" s="31" t="n">
        <v>21050</v>
      </c>
      <c r="F716" s="31" t="n">
        <v>21050</v>
      </c>
      <c r="G716" s="31" t="n">
        <v>469628</v>
      </c>
      <c r="H716" s="36" t="n">
        <v>-0.05393258426966296</v>
      </c>
      <c r="I716" s="36" t="n">
        <v>-0.2455197132616488</v>
      </c>
      <c r="J716" s="31" t="n">
        <v>22890</v>
      </c>
      <c r="K716" s="31" t="n">
        <v>17397.16666666667</v>
      </c>
      <c r="L716" s="31" t="n">
        <v>15873.91666666667</v>
      </c>
      <c r="M716" s="36" t="n">
        <v>1.178929254158875</v>
      </c>
      <c r="N716" s="36" t="n">
        <v>1.070918393781527</v>
      </c>
      <c r="O716" s="36" t="n">
        <v>0.01690821256038655</v>
      </c>
      <c r="P716" s="36" t="n">
        <v>0.2866748166259168</v>
      </c>
      <c r="Q716" s="36" t="n">
        <v>0.611791730474732</v>
      </c>
      <c r="R716" s="36" t="n">
        <v>-0.0803844473569244</v>
      </c>
      <c r="S716" s="36" t="n">
        <v>0.2099671402431429</v>
      </c>
      <c r="T716" s="36" t="n">
        <v>0.3260747452582067</v>
      </c>
      <c r="U716" s="31" t="n">
        <v>27900</v>
      </c>
      <c r="V716" s="31" t="n">
        <v>10950</v>
      </c>
      <c r="W716" s="36" t="n">
        <v>-0.2455197132616488</v>
      </c>
      <c r="X716" s="36" t="n">
        <v>0.9223744292237444</v>
      </c>
      <c r="Y716" s="31" t="n">
        <v>33416778</v>
      </c>
      <c r="Z716" s="31" t="n">
        <v>703423176900</v>
      </c>
      <c r="AA716" s="31" t="n">
        <v>9885669400</v>
      </c>
      <c r="AB716" s="31" t="n">
        <v>24673216077.5</v>
      </c>
      <c r="AC716" s="36" t="n">
        <v>0.01405365891349549</v>
      </c>
      <c r="AD716" s="29" t="inlineStr">
        <is>
          <t>yfinance_download</t>
        </is>
      </c>
      <c r="AE716" s="29" t="inlineStr">
        <is>
          <t>059090.KQ</t>
        </is>
      </c>
    </row>
    <row r="717" ht="24" customHeight="1">
      <c r="A717" s="24" t="inlineStr">
        <is>
          <t>2026-05-19</t>
        </is>
      </c>
      <c r="B717" s="30" t="n">
        <v>20900</v>
      </c>
      <c r="C717" s="30" t="n">
        <v>21750</v>
      </c>
      <c r="D717" s="30" t="n">
        <v>19680</v>
      </c>
      <c r="E717" s="30" t="n">
        <v>20200</v>
      </c>
      <c r="F717" s="30" t="n">
        <v>20200</v>
      </c>
      <c r="G717" s="30" t="n">
        <v>514088</v>
      </c>
      <c r="H717" s="35" t="n">
        <v>-0.04038004750593827</v>
      </c>
      <c r="I717" s="35" t="n">
        <v>-0.2759856630824373</v>
      </c>
      <c r="J717" s="30" t="n">
        <v>22872.5</v>
      </c>
      <c r="K717" s="30" t="n">
        <v>17447.66666666667</v>
      </c>
      <c r="L717" s="30" t="n">
        <v>15931.83333333333</v>
      </c>
      <c r="M717" s="35" t="n">
        <v>1.188709586002577</v>
      </c>
      <c r="N717" s="35" t="n">
        <v>1.071298320866542</v>
      </c>
      <c r="O717" s="35" t="n">
        <v>-0.01703163017031628</v>
      </c>
      <c r="P717" s="35" t="n">
        <v>0.1764705882352942</v>
      </c>
      <c r="Q717" s="35" t="n">
        <v>0.5245283018867926</v>
      </c>
      <c r="R717" s="35" t="n">
        <v>-0.1168433708602034</v>
      </c>
      <c r="S717" s="35" t="n">
        <v>0.1577479319106661</v>
      </c>
      <c r="T717" s="35" t="n">
        <v>0.2679017899174607</v>
      </c>
      <c r="U717" s="30" t="n">
        <v>27900</v>
      </c>
      <c r="V717" s="30" t="n">
        <v>10950</v>
      </c>
      <c r="W717" s="35" t="n">
        <v>-0.2759856630824373</v>
      </c>
      <c r="X717" s="35" t="n">
        <v>0.8447488584474885</v>
      </c>
      <c r="Y717" s="30" t="n">
        <v>33416778</v>
      </c>
      <c r="Z717" s="30" t="n">
        <v>675018915600</v>
      </c>
      <c r="AA717" s="30" t="n">
        <v>10384577600</v>
      </c>
      <c r="AB717" s="30" t="n">
        <v>23885922195</v>
      </c>
      <c r="AC717" s="35" t="n">
        <v>0.01538412829627081</v>
      </c>
      <c r="AD717" s="24" t="inlineStr">
        <is>
          <t>yfinance_download</t>
        </is>
      </c>
      <c r="AE717" s="24" t="inlineStr">
        <is>
          <t>059090.KQ</t>
        </is>
      </c>
    </row>
    <row r="718" ht="24" customHeight="1">
      <c r="A718" s="29" t="inlineStr">
        <is>
          <t>2026-05-20</t>
        </is>
      </c>
      <c r="B718" s="31" t="n">
        <v>20050</v>
      </c>
      <c r="C718" s="31" t="n">
        <v>20200</v>
      </c>
      <c r="D718" s="31" t="n">
        <v>18830</v>
      </c>
      <c r="E718" s="31" t="n">
        <v>19230</v>
      </c>
      <c r="F718" s="31" t="n">
        <v>19230</v>
      </c>
      <c r="G718" s="31" t="n">
        <v>161922</v>
      </c>
      <c r="H718" s="36" t="n">
        <v>-0.04801980198019806</v>
      </c>
      <c r="I718" s="36" t="n">
        <v>-0.310752688172043</v>
      </c>
      <c r="J718" s="31" t="n">
        <v>22631.5</v>
      </c>
      <c r="K718" s="31" t="n">
        <v>17486</v>
      </c>
      <c r="L718" s="31" t="n">
        <v>15978.16666666667</v>
      </c>
      <c r="M718" s="36" t="n">
        <v>1.018401798886154</v>
      </c>
      <c r="N718" s="36" t="n">
        <v>1.076118044453284</v>
      </c>
      <c r="O718" s="36" t="n">
        <v>-0.2004158004158004</v>
      </c>
      <c r="P718" s="36" t="n">
        <v>0.1358535144713526</v>
      </c>
      <c r="Q718" s="36" t="n">
        <v>0.4067300658376005</v>
      </c>
      <c r="R718" s="36" t="n">
        <v>-0.1502993615094006</v>
      </c>
      <c r="S718" s="36" t="n">
        <v>0.09973693240306525</v>
      </c>
      <c r="T718" s="36" t="n">
        <v>0.2035172996484786</v>
      </c>
      <c r="U718" s="31" t="n">
        <v>27900</v>
      </c>
      <c r="V718" s="31" t="n">
        <v>10950</v>
      </c>
      <c r="W718" s="36" t="n">
        <v>-0.310752688172043</v>
      </c>
      <c r="X718" s="36" t="n">
        <v>0.7561643835616438</v>
      </c>
      <c r="Y718" s="31" t="n">
        <v>33416778</v>
      </c>
      <c r="Z718" s="31" t="n">
        <v>642604640940</v>
      </c>
      <c r="AA718" s="31" t="n">
        <v>3113760060</v>
      </c>
      <c r="AB718" s="31" t="n">
        <v>20420408913</v>
      </c>
      <c r="AC718" s="36" t="n">
        <v>0.004845529990952449</v>
      </c>
      <c r="AD718" s="29" t="inlineStr">
        <is>
          <t>yfinance_download</t>
        </is>
      </c>
      <c r="AE718" s="29" t="inlineStr">
        <is>
          <t>059090.KQ</t>
        </is>
      </c>
    </row>
  </sheetData>
  <autoFilter ref="A18:AE718"/>
  <mergeCells count="4">
    <mergeCell ref="A2:L2"/>
    <mergeCell ref="A17:F17"/>
    <mergeCell ref="A1:L1"/>
    <mergeCell ref="A4:F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K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</cols>
  <sheetData>
    <row r="1" ht="24" customHeight="1">
      <c r="A1" s="22" t="inlineStr">
        <is>
          <t>정규화 재무제표</t>
        </is>
      </c>
    </row>
    <row r="2" ht="24" customHeight="1">
      <c r="A2" s="25" t="inlineStr">
        <is>
          <t>연도</t>
        </is>
      </c>
      <c r="B2" s="25" t="inlineStr">
        <is>
          <t>매출액</t>
        </is>
      </c>
      <c r="C2" s="25" t="inlineStr">
        <is>
          <t>영업이익</t>
        </is>
      </c>
      <c r="D2" s="25" t="inlineStr">
        <is>
          <t>순이익</t>
        </is>
      </c>
      <c r="E2" s="25" t="inlineStr">
        <is>
          <t>자산총계</t>
        </is>
      </c>
      <c r="F2" s="25" t="inlineStr">
        <is>
          <t>부채총계</t>
        </is>
      </c>
      <c r="G2" s="25" t="inlineStr">
        <is>
          <t>자본총계</t>
        </is>
      </c>
      <c r="H2" s="25" t="inlineStr">
        <is>
          <t>현금성자산</t>
        </is>
      </c>
      <c r="I2" s="25" t="inlineStr">
        <is>
          <t>영업현금흐름</t>
        </is>
      </c>
      <c r="J2" s="25" t="inlineStr">
        <is>
          <t>CAPEX</t>
        </is>
      </c>
      <c r="K2" s="25" t="inlineStr">
        <is>
          <t>FCF</t>
        </is>
      </c>
      <c r="L2" s="25" t="inlineStr">
        <is>
          <t>투자현금흐름</t>
        </is>
      </c>
      <c r="M2" s="25" t="inlineStr">
        <is>
          <t>원천계정수</t>
        </is>
      </c>
      <c r="N2" s="25" t="inlineStr">
        <is>
          <t>매출 원천계정</t>
        </is>
      </c>
      <c r="O2" s="25" t="inlineStr">
        <is>
          <t>영업이익 원천계정</t>
        </is>
      </c>
      <c r="P2" s="25" t="inlineStr">
        <is>
          <t>순이익 원천계정</t>
        </is>
      </c>
      <c r="Q2" s="25" t="inlineStr">
        <is>
          <t>자산 원천계정</t>
        </is>
      </c>
      <c r="R2" s="25" t="inlineStr">
        <is>
          <t>부채 원천계정</t>
        </is>
      </c>
      <c r="S2" s="25" t="inlineStr">
        <is>
          <t>자본 원천계정</t>
        </is>
      </c>
      <c r="T2" s="25" t="inlineStr">
        <is>
          <t>영업현금흐름 원천계정</t>
        </is>
      </c>
      <c r="U2" s="25" t="inlineStr">
        <is>
          <t>CAPEX 원천계정</t>
        </is>
      </c>
      <c r="V2" s="25" t="inlineStr">
        <is>
          <t>현금 원천계정</t>
        </is>
      </c>
      <c r="W2" s="25" t="inlineStr">
        <is>
          <t>영업이익률</t>
        </is>
      </c>
      <c r="X2" s="25" t="inlineStr">
        <is>
          <t>순이익률</t>
        </is>
      </c>
      <c r="Y2" s="25" t="inlineStr">
        <is>
          <t>ROE</t>
        </is>
      </c>
      <c r="Z2" s="25" t="inlineStr">
        <is>
          <t>ROA</t>
        </is>
      </c>
      <c r="AA2" s="25" t="inlineStr">
        <is>
          <t>부채/자본</t>
        </is>
      </c>
      <c r="AB2" s="25" t="inlineStr">
        <is>
          <t>부채/자산</t>
        </is>
      </c>
      <c r="AC2" s="25" t="inlineStr">
        <is>
          <t>자본비율</t>
        </is>
      </c>
      <c r="AD2" s="25" t="inlineStr">
        <is>
          <t>현금/자산</t>
        </is>
      </c>
      <c r="AE2" s="25" t="inlineStr">
        <is>
          <t>CFO margin</t>
        </is>
      </c>
      <c r="AF2" s="25" t="inlineStr">
        <is>
          <t>CAPEX/매출</t>
        </is>
      </c>
      <c r="AG2" s="25" t="inlineStr">
        <is>
          <t>FCF margin</t>
        </is>
      </c>
      <c r="AH2" s="25" t="inlineStr">
        <is>
          <t>FCF 전환율</t>
        </is>
      </c>
      <c r="AI2" s="25" t="inlineStr">
        <is>
          <t>매출성장률</t>
        </is>
      </c>
      <c r="AJ2" s="25" t="inlineStr">
        <is>
          <t>영업이익성장률</t>
        </is>
      </c>
      <c r="AK2" s="25" t="inlineStr">
        <is>
          <t>자산성장률</t>
        </is>
      </c>
    </row>
    <row r="3" ht="24" customHeight="1">
      <c r="A3" s="30" t="n">
        <v>2021</v>
      </c>
      <c r="B3" s="30" t="n">
        <v>365490680610</v>
      </c>
      <c r="C3" s="30" t="n">
        <v>69667993298</v>
      </c>
      <c r="D3" s="30" t="n">
        <v>21811609332</v>
      </c>
      <c r="E3" s="30" t="n">
        <v>721538023067</v>
      </c>
      <c r="F3" s="30" t="n">
        <v>342066706932</v>
      </c>
      <c r="G3" s="30" t="n">
        <v>379471316135</v>
      </c>
      <c r="H3" s="30" t="n">
        <v>180517871638</v>
      </c>
      <c r="I3" s="30" t="n">
        <v>79762640958</v>
      </c>
      <c r="J3" s="30" t="n">
        <v>118045165148</v>
      </c>
      <c r="K3" s="30" t="n">
        <v>-38282524190</v>
      </c>
      <c r="L3" s="30" t="n">
        <v>-185943217722</v>
      </c>
      <c r="M3" s="30" t="n">
        <v>220</v>
      </c>
      <c r="N3" s="24" t="inlineStr">
        <is>
          <t>수익(매출액)</t>
        </is>
      </c>
      <c r="O3" s="24" t="inlineStr">
        <is>
          <t>영업이익(손실)</t>
        </is>
      </c>
      <c r="P3" s="24" t="inlineStr">
        <is>
          <t>당기순이익(손실)</t>
        </is>
      </c>
      <c r="Q3" s="24" t="inlineStr">
        <is>
          <t>자산총계</t>
        </is>
      </c>
      <c r="R3" s="24" t="inlineStr">
        <is>
          <t>부채총계</t>
        </is>
      </c>
      <c r="S3" s="24" t="inlineStr">
        <is>
          <t>자본총계</t>
        </is>
      </c>
      <c r="T3" s="24" t="inlineStr">
        <is>
          <t>영업활동현금흐름</t>
        </is>
      </c>
      <c r="U3" s="24" t="inlineStr">
        <is>
          <t>유형자산의 취득</t>
        </is>
      </c>
      <c r="V3" s="24" t="inlineStr">
        <is>
          <t>현금및현금성자산</t>
        </is>
      </c>
      <c r="W3" s="35" t="n">
        <v>0.1906149650155918</v>
      </c>
      <c r="X3" s="35" t="n">
        <v>0.05967760736223605</v>
      </c>
      <c r="Y3" s="35" t="n">
        <v>0.05747894084368776</v>
      </c>
      <c r="Z3" s="35" t="n">
        <v>0.03022932767879183</v>
      </c>
      <c r="AA3" s="35" t="n">
        <v>0.9014296796290843</v>
      </c>
      <c r="AB3" s="35" t="n">
        <v>0.4740799458883633</v>
      </c>
      <c r="AC3" s="35" t="n">
        <v>0.5259200541116367</v>
      </c>
      <c r="AD3" s="35" t="n">
        <v>0.2501848355415604</v>
      </c>
      <c r="AE3" s="35" t="n">
        <v>0.2182344042941861</v>
      </c>
      <c r="AF3" s="35" t="n">
        <v>0.3229772232522698</v>
      </c>
      <c r="AG3" s="35" t="n">
        <v>-0.1047428189580836</v>
      </c>
      <c r="AH3" s="35" t="n">
        <v>-0.5494994527293066</v>
      </c>
      <c r="AI3" s="24" t="inlineStr">
        <is>
          <t>해당 없음</t>
        </is>
      </c>
      <c r="AJ3" s="24" t="inlineStr">
        <is>
          <t>해당 없음</t>
        </is>
      </c>
      <c r="AK3" s="24" t="inlineStr">
        <is>
          <t>해당 없음</t>
        </is>
      </c>
    </row>
    <row r="4" ht="24" customHeight="1">
      <c r="A4" s="31" t="n">
        <v>2022</v>
      </c>
      <c r="B4" s="31" t="n">
        <v>414832269255</v>
      </c>
      <c r="C4" s="31" t="n">
        <v>64273149352</v>
      </c>
      <c r="D4" s="31" t="n">
        <v>-31225946867</v>
      </c>
      <c r="E4" s="31" t="n">
        <v>731153086148</v>
      </c>
      <c r="F4" s="31" t="n">
        <v>354853046152</v>
      </c>
      <c r="G4" s="31" t="n">
        <v>376300039996</v>
      </c>
      <c r="H4" s="31" t="n">
        <v>131960647862</v>
      </c>
      <c r="I4" s="31" t="n">
        <v>80429298447</v>
      </c>
      <c r="J4" s="31" t="n">
        <v>51723483609</v>
      </c>
      <c r="K4" s="31" t="n">
        <v>28705814838</v>
      </c>
      <c r="L4" s="31" t="n">
        <v>-129102451346</v>
      </c>
      <c r="M4" s="31" t="n">
        <v>231</v>
      </c>
      <c r="N4" s="29" t="inlineStr">
        <is>
          <t>매출액</t>
        </is>
      </c>
      <c r="O4" s="29" t="inlineStr">
        <is>
          <t>영업이익</t>
        </is>
      </c>
      <c r="P4" s="29" t="inlineStr">
        <is>
          <t>연결당기순이익(손실)</t>
        </is>
      </c>
      <c r="Q4" s="29" t="inlineStr">
        <is>
          <t>자산총계</t>
        </is>
      </c>
      <c r="R4" s="29" t="inlineStr">
        <is>
          <t>부채총계</t>
        </is>
      </c>
      <c r="S4" s="29" t="inlineStr">
        <is>
          <t>자본총계</t>
        </is>
      </c>
      <c r="T4" s="29" t="inlineStr">
        <is>
          <t>영업활동현금흐름</t>
        </is>
      </c>
      <c r="U4" s="29" t="inlineStr">
        <is>
          <t>유형자산의 취득</t>
        </is>
      </c>
      <c r="V4" s="29" t="inlineStr">
        <is>
          <t>현금및현금성자산</t>
        </is>
      </c>
      <c r="W4" s="36" t="n">
        <v>0.1549376799144111</v>
      </c>
      <c r="X4" s="36" t="n">
        <v>-0.075273668856762</v>
      </c>
      <c r="Y4" s="36" t="n">
        <v>-0.082981513547891</v>
      </c>
      <c r="Z4" s="36" t="n">
        <v>-0.0427078097030411</v>
      </c>
      <c r="AA4" s="36" t="n">
        <v>0.9430056030708156</v>
      </c>
      <c r="AB4" s="36" t="n">
        <v>0.4853334450402233</v>
      </c>
      <c r="AC4" s="36" t="n">
        <v>0.5146665549597768</v>
      </c>
      <c r="AD4" s="36" t="n">
        <v>0.1804829253436106</v>
      </c>
      <c r="AE4" s="36" t="n">
        <v>0.193883900573703</v>
      </c>
      <c r="AF4" s="36" t="n">
        <v>0.1246852943766659</v>
      </c>
      <c r="AG4" s="36" t="n">
        <v>0.06919860619703709</v>
      </c>
      <c r="AH4" s="36" t="n">
        <v>0.4466221918081062</v>
      </c>
      <c r="AI4" s="36" t="n">
        <v>0.1350009487592116</v>
      </c>
      <c r="AJ4" s="36" t="n">
        <v>-0.07743647678962029</v>
      </c>
      <c r="AK4" s="36" t="n">
        <v>0.01332578848738941</v>
      </c>
    </row>
    <row r="5" ht="24" customHeight="1">
      <c r="A5" s="30" t="n">
        <v>2023</v>
      </c>
      <c r="B5" s="30" t="n">
        <v>387340942797</v>
      </c>
      <c r="C5" s="30" t="n">
        <v>21111259627</v>
      </c>
      <c r="D5" s="30" t="n">
        <v>-2036721583</v>
      </c>
      <c r="E5" s="30" t="n">
        <v>833895121319</v>
      </c>
      <c r="F5" s="30" t="n">
        <v>467811187649</v>
      </c>
      <c r="G5" s="30" t="n">
        <v>366083933670</v>
      </c>
      <c r="H5" s="30" t="n">
        <v>170532361522</v>
      </c>
      <c r="I5" s="30" t="n">
        <v>41646262032</v>
      </c>
      <c r="J5" s="30" t="n">
        <v>1029100692</v>
      </c>
      <c r="K5" s="30" t="n">
        <v>40617161340</v>
      </c>
      <c r="L5" s="30" t="n">
        <v>-87245250169</v>
      </c>
      <c r="M5" s="30" t="n">
        <v>223</v>
      </c>
      <c r="N5" s="24" t="inlineStr">
        <is>
          <t>매출액</t>
        </is>
      </c>
      <c r="O5" s="24" t="inlineStr">
        <is>
          <t>영업이익</t>
        </is>
      </c>
      <c r="P5" s="24" t="inlineStr">
        <is>
          <t>당기순이익(손실)</t>
        </is>
      </c>
      <c r="Q5" s="24" t="inlineStr">
        <is>
          <t>자산총계</t>
        </is>
      </c>
      <c r="R5" s="24" t="inlineStr">
        <is>
          <t>부채총계</t>
        </is>
      </c>
      <c r="S5" s="24" t="inlineStr">
        <is>
          <t>자본총계</t>
        </is>
      </c>
      <c r="T5" s="24" t="inlineStr">
        <is>
          <t>영업활동현금흐름</t>
        </is>
      </c>
      <c r="U5" s="24" t="inlineStr">
        <is>
          <t>무형자산의 취득</t>
        </is>
      </c>
      <c r="V5" s="24" t="inlineStr">
        <is>
          <t>현금및현금성자산</t>
        </is>
      </c>
      <c r="W5" s="35" t="n">
        <v>0.0545030418797326</v>
      </c>
      <c r="X5" s="35" t="n">
        <v>-0.00525821403823922</v>
      </c>
      <c r="Y5" s="35" t="n">
        <v>-0.005563537199193142</v>
      </c>
      <c r="Z5" s="35" t="n">
        <v>-0.002442419353381573</v>
      </c>
      <c r="AA5" s="35" t="n">
        <v>1.277879591598522</v>
      </c>
      <c r="AB5" s="35" t="n">
        <v>0.5609952327206895</v>
      </c>
      <c r="AC5" s="35" t="n">
        <v>0.4390047672793105</v>
      </c>
      <c r="AD5" s="35" t="n">
        <v>0.2045009704005262</v>
      </c>
      <c r="AE5" s="35" t="n">
        <v>0.1075183576806293</v>
      </c>
      <c r="AF5" s="35" t="n">
        <v>0.002656834272588987</v>
      </c>
      <c r="AG5" s="35" t="n">
        <v>0.1048615234080403</v>
      </c>
      <c r="AH5" s="35" t="n">
        <v>1.92395726534731</v>
      </c>
      <c r="AI5" s="35" t="n">
        <v>-0.06627094489869811</v>
      </c>
      <c r="AJ5" s="35" t="n">
        <v>-0.6715384287242325</v>
      </c>
      <c r="AK5" s="35" t="n">
        <v>0.140520551875511</v>
      </c>
    </row>
    <row r="6" ht="24" customHeight="1">
      <c r="A6" s="31" t="n">
        <v>2024</v>
      </c>
      <c r="B6" s="31" t="n">
        <v>540504643904</v>
      </c>
      <c r="C6" s="31" t="n">
        <v>94633945006</v>
      </c>
      <c r="D6" s="31" t="n">
        <v>76514280786</v>
      </c>
      <c r="E6" s="31" t="n">
        <v>1392676089676</v>
      </c>
      <c r="F6" s="31" t="n">
        <v>859828437142</v>
      </c>
      <c r="G6" s="31" t="n">
        <v>532847652534</v>
      </c>
      <c r="H6" s="31" t="n">
        <v>224894256663</v>
      </c>
      <c r="I6" s="31" t="n">
        <v>120460924494</v>
      </c>
      <c r="J6" s="31" t="n">
        <v>1083193444</v>
      </c>
      <c r="K6" s="31" t="n">
        <v>119377731050</v>
      </c>
      <c r="L6" s="31" t="n">
        <v>-161288125431</v>
      </c>
      <c r="M6" s="31" t="n">
        <v>206</v>
      </c>
      <c r="N6" s="29" t="inlineStr">
        <is>
          <t>매출액</t>
        </is>
      </c>
      <c r="O6" s="29" t="inlineStr">
        <is>
          <t>영업이익</t>
        </is>
      </c>
      <c r="P6" s="29" t="inlineStr">
        <is>
          <t>당기순이익(손실)</t>
        </is>
      </c>
      <c r="Q6" s="29" t="inlineStr">
        <is>
          <t>자산총계</t>
        </is>
      </c>
      <c r="R6" s="29" t="inlineStr">
        <is>
          <t>부채총계</t>
        </is>
      </c>
      <c r="S6" s="29" t="inlineStr">
        <is>
          <t>자본총계</t>
        </is>
      </c>
      <c r="T6" s="29" t="inlineStr">
        <is>
          <t>영업활동현금흐름</t>
        </is>
      </c>
      <c r="U6" s="29" t="inlineStr">
        <is>
          <t>자본화차입원가에 의한 유형자산의 취득</t>
        </is>
      </c>
      <c r="V6" s="29" t="inlineStr">
        <is>
          <t>현금및현금성자산</t>
        </is>
      </c>
      <c r="W6" s="36" t="n">
        <v>0.1750844254037679</v>
      </c>
      <c r="X6" s="36" t="n">
        <v>0.1415608203351345</v>
      </c>
      <c r="Y6" s="36" t="n">
        <v>0.1435950415135173</v>
      </c>
      <c r="Z6" s="36" t="n">
        <v>0.05494047133659106</v>
      </c>
      <c r="AA6" s="36" t="n">
        <v>1.613647790420051</v>
      </c>
      <c r="AB6" s="36" t="n">
        <v>0.6173929771006805</v>
      </c>
      <c r="AC6" s="36" t="n">
        <v>0.3826070228993195</v>
      </c>
      <c r="AD6" s="36" t="n">
        <v>0.1614835339890991</v>
      </c>
      <c r="AE6" s="36" t="n">
        <v>0.2228675106728505</v>
      </c>
      <c r="AF6" s="36" t="n">
        <v>0.002004040957310235</v>
      </c>
      <c r="AG6" s="36" t="n">
        <v>0.2208634697155403</v>
      </c>
      <c r="AH6" s="36" t="n">
        <v>1.261468398495183</v>
      </c>
      <c r="AI6" s="36" t="n">
        <v>0.3954234736999414</v>
      </c>
      <c r="AJ6" s="36" t="n">
        <v>3.482629017785799</v>
      </c>
      <c r="AK6" s="36" t="n">
        <v>0.6700854268977583</v>
      </c>
    </row>
    <row r="7" ht="24" customHeight="1">
      <c r="A7" s="30" t="n">
        <v>2025</v>
      </c>
      <c r="B7" s="30" t="n">
        <v>977036793661</v>
      </c>
      <c r="C7" s="30" t="n">
        <v>101004245476</v>
      </c>
      <c r="D7" s="30" t="n">
        <v>74949266372</v>
      </c>
      <c r="E7" s="30" t="n">
        <v>2264573968886</v>
      </c>
      <c r="F7" s="30" t="n">
        <v>1575474068220</v>
      </c>
      <c r="G7" s="30" t="n">
        <v>689099900666</v>
      </c>
      <c r="H7" s="30" t="n">
        <v>308049235584</v>
      </c>
      <c r="I7" s="30" t="n">
        <v>24830688331</v>
      </c>
      <c r="J7" s="30" t="n">
        <v>6355214625</v>
      </c>
      <c r="K7" s="30" t="n">
        <v>18475473706</v>
      </c>
      <c r="L7" s="30" t="n">
        <v>-566350071888</v>
      </c>
      <c r="M7" s="30" t="n">
        <v>259</v>
      </c>
      <c r="N7" s="24" t="inlineStr">
        <is>
          <t>매출액</t>
        </is>
      </c>
      <c r="O7" s="24" t="inlineStr">
        <is>
          <t>영업이익</t>
        </is>
      </c>
      <c r="P7" s="24" t="inlineStr">
        <is>
          <t>당기순이익</t>
        </is>
      </c>
      <c r="Q7" s="24" t="inlineStr">
        <is>
          <t>자산총계</t>
        </is>
      </c>
      <c r="R7" s="24" t="inlineStr">
        <is>
          <t>부채총계</t>
        </is>
      </c>
      <c r="S7" s="24" t="inlineStr">
        <is>
          <t>자본총계</t>
        </is>
      </c>
      <c r="T7" s="24" t="inlineStr">
        <is>
          <t>영업활동 현금흐름</t>
        </is>
      </c>
      <c r="U7" s="24" t="inlineStr">
        <is>
          <t>자본화차입원가에 의한 유형자산의 취득</t>
        </is>
      </c>
      <c r="V7" s="24" t="inlineStr">
        <is>
          <t>현금및현금성자산</t>
        </is>
      </c>
      <c r="W7" s="35" t="n">
        <v>0.1033781390130996</v>
      </c>
      <c r="X7" s="35" t="n">
        <v>0.07671079211987687</v>
      </c>
      <c r="Y7" s="35" t="n">
        <v>0.1087640069307268</v>
      </c>
      <c r="Z7" s="35" t="n">
        <v>0.03309640903841591</v>
      </c>
      <c r="AA7" s="35" t="n">
        <v>2.286278182158115</v>
      </c>
      <c r="AB7" s="35" t="n">
        <v>0.6957043973242414</v>
      </c>
      <c r="AC7" s="35" t="n">
        <v>0.3042956026757586</v>
      </c>
      <c r="AD7" s="35" t="n">
        <v>0.1360296637762453</v>
      </c>
      <c r="AE7" s="35" t="n">
        <v>0.02541428172623706</v>
      </c>
      <c r="AF7" s="35" t="n">
        <v>0.006504580652676068</v>
      </c>
      <c r="AG7" s="35" t="n">
        <v>0.01890970107356099</v>
      </c>
      <c r="AH7" s="35" t="n">
        <v>0.1829177933950314</v>
      </c>
      <c r="AI7" s="35" t="n">
        <v>0.8076381113101654</v>
      </c>
      <c r="AJ7" s="35" t="n">
        <v>0.06731517395366016</v>
      </c>
      <c r="AK7" s="35" t="n">
        <v>0.6260593440739284</v>
      </c>
    </row>
  </sheetData>
  <autoFilter ref="A2:AK7"/>
  <mergeCells count="1">
    <mergeCell ref="A1:F1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수익성·안정성·현금흐름 핵심비율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영업이익성장률</t>
        </is>
      </c>
      <c r="D2" s="25" t="inlineStr">
        <is>
          <t>영업이익률</t>
        </is>
      </c>
      <c r="E2" s="25" t="inlineStr">
        <is>
          <t>순이익률</t>
        </is>
      </c>
      <c r="F2" s="25" t="inlineStr">
        <is>
          <t>ROE</t>
        </is>
      </c>
      <c r="G2" s="25" t="inlineStr">
        <is>
          <t>ROA</t>
        </is>
      </c>
      <c r="H2" s="25" t="inlineStr">
        <is>
          <t>부채/자본</t>
        </is>
      </c>
      <c r="I2" s="25" t="inlineStr">
        <is>
          <t>자본비율</t>
        </is>
      </c>
      <c r="J2" s="25" t="inlineStr">
        <is>
          <t>CFO margin</t>
        </is>
      </c>
      <c r="K2" s="25" t="inlineStr">
        <is>
          <t>FCF margin</t>
        </is>
      </c>
      <c r="L2" s="25" t="inlineStr">
        <is>
          <t>FCF 전환율</t>
        </is>
      </c>
    </row>
    <row r="3" ht="24" customHeight="1">
      <c r="A3" s="30" t="n">
        <v>2021</v>
      </c>
      <c r="B3" s="24" t="inlineStr">
        <is>
          <t>해당 없음</t>
        </is>
      </c>
      <c r="C3" s="24" t="inlineStr">
        <is>
          <t>해당 없음</t>
        </is>
      </c>
      <c r="D3" s="35" t="n">
        <v>0.1906149650155918</v>
      </c>
      <c r="E3" s="35" t="n">
        <v>0.05967760736223605</v>
      </c>
      <c r="F3" s="35" t="n">
        <v>0.05747894084368776</v>
      </c>
      <c r="G3" s="35" t="n">
        <v>0.03022932767879183</v>
      </c>
      <c r="H3" s="35" t="n">
        <v>0.9014296796290843</v>
      </c>
      <c r="I3" s="35" t="n">
        <v>0.5259200541116367</v>
      </c>
      <c r="J3" s="35" t="n">
        <v>0.2182344042941861</v>
      </c>
      <c r="K3" s="35" t="n">
        <v>-0.1047428189580836</v>
      </c>
      <c r="L3" s="35" t="n">
        <v>-0.5494994527293066</v>
      </c>
    </row>
    <row r="4" ht="24" customHeight="1">
      <c r="A4" s="31" t="n">
        <v>2022</v>
      </c>
      <c r="B4" s="36" t="n">
        <v>0.1350009487592116</v>
      </c>
      <c r="C4" s="36" t="n">
        <v>-0.07743647678962029</v>
      </c>
      <c r="D4" s="36" t="n">
        <v>0.1549376799144111</v>
      </c>
      <c r="E4" s="36" t="n">
        <v>-0.075273668856762</v>
      </c>
      <c r="F4" s="36" t="n">
        <v>-0.082981513547891</v>
      </c>
      <c r="G4" s="36" t="n">
        <v>-0.0427078097030411</v>
      </c>
      <c r="H4" s="36" t="n">
        <v>0.9430056030708156</v>
      </c>
      <c r="I4" s="36" t="n">
        <v>0.5146665549597768</v>
      </c>
      <c r="J4" s="36" t="n">
        <v>0.193883900573703</v>
      </c>
      <c r="K4" s="36" t="n">
        <v>0.06919860619703709</v>
      </c>
      <c r="L4" s="36" t="n">
        <v>0.4466221918081062</v>
      </c>
    </row>
    <row r="5" ht="24" customHeight="1">
      <c r="A5" s="30" t="n">
        <v>2023</v>
      </c>
      <c r="B5" s="35" t="n">
        <v>-0.06627094489869811</v>
      </c>
      <c r="C5" s="35" t="n">
        <v>-0.6715384287242325</v>
      </c>
      <c r="D5" s="35" t="n">
        <v>0.0545030418797326</v>
      </c>
      <c r="E5" s="35" t="n">
        <v>-0.00525821403823922</v>
      </c>
      <c r="F5" s="35" t="n">
        <v>-0.005563537199193142</v>
      </c>
      <c r="G5" s="35" t="n">
        <v>-0.002442419353381573</v>
      </c>
      <c r="H5" s="35" t="n">
        <v>1.277879591598522</v>
      </c>
      <c r="I5" s="35" t="n">
        <v>0.4390047672793105</v>
      </c>
      <c r="J5" s="35" t="n">
        <v>0.1075183576806293</v>
      </c>
      <c r="K5" s="35" t="n">
        <v>0.1048615234080403</v>
      </c>
      <c r="L5" s="35" t="n">
        <v>1.92395726534731</v>
      </c>
    </row>
    <row r="6" ht="24" customHeight="1">
      <c r="A6" s="31" t="n">
        <v>2024</v>
      </c>
      <c r="B6" s="36" t="n">
        <v>0.3954234736999414</v>
      </c>
      <c r="C6" s="36" t="n">
        <v>3.482629017785799</v>
      </c>
      <c r="D6" s="36" t="n">
        <v>0.1750844254037679</v>
      </c>
      <c r="E6" s="36" t="n">
        <v>0.1415608203351345</v>
      </c>
      <c r="F6" s="36" t="n">
        <v>0.1435950415135173</v>
      </c>
      <c r="G6" s="36" t="n">
        <v>0.05494047133659106</v>
      </c>
      <c r="H6" s="36" t="n">
        <v>1.613647790420051</v>
      </c>
      <c r="I6" s="36" t="n">
        <v>0.3826070228993195</v>
      </c>
      <c r="J6" s="36" t="n">
        <v>0.2228675106728505</v>
      </c>
      <c r="K6" s="36" t="n">
        <v>0.2208634697155403</v>
      </c>
      <c r="L6" s="36" t="n">
        <v>1.261468398495183</v>
      </c>
    </row>
    <row r="7" ht="24" customHeight="1">
      <c r="A7" s="30" t="n">
        <v>2025</v>
      </c>
      <c r="B7" s="35" t="n">
        <v>0.8076381113101654</v>
      </c>
      <c r="C7" s="35" t="n">
        <v>0.06731517395366016</v>
      </c>
      <c r="D7" s="35" t="n">
        <v>0.1033781390130996</v>
      </c>
      <c r="E7" s="35" t="n">
        <v>0.07671079211987687</v>
      </c>
      <c r="F7" s="35" t="n">
        <v>0.1087640069307268</v>
      </c>
      <c r="G7" s="35" t="n">
        <v>0.03309640903841591</v>
      </c>
      <c r="H7" s="35" t="n">
        <v>2.286278182158115</v>
      </c>
      <c r="I7" s="35" t="n">
        <v>0.3042956026757586</v>
      </c>
      <c r="J7" s="35" t="n">
        <v>0.02541428172623706</v>
      </c>
      <c r="K7" s="35" t="n">
        <v>0.01890970107356099</v>
      </c>
      <c r="L7" s="35" t="n">
        <v>0.1829177933950314</v>
      </c>
    </row>
  </sheetData>
  <autoFilter ref="A2:L7"/>
  <mergeCells count="1">
    <mergeCell ref="A1:F1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8" customWidth="1" min="2" max="2"/>
    <col width="4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WACC 산정</t>
        </is>
      </c>
    </row>
    <row r="2" ht="28" customHeight="1">
      <c r="A2" s="17" t="inlineStr">
        <is>
          <t>노란 셀은 사용자가 시나리오별로 조정 가능한 입력값입니다.</t>
        </is>
      </c>
    </row>
    <row r="3" ht="24" customHeight="1"/>
    <row r="4" ht="24" customHeight="1">
      <c r="A4" s="37" t="inlineStr">
        <is>
          <t>무위험수익률</t>
        </is>
      </c>
      <c r="B4" s="38" t="n">
        <v>0.035</v>
      </c>
      <c r="C4" s="26" t="inlineStr">
        <is>
          <t>valuation_assumptions.json 또는 기본값</t>
        </is>
      </c>
    </row>
    <row r="5" ht="24" customHeight="1">
      <c r="A5" s="37" t="inlineStr">
        <is>
          <t>Beta</t>
        </is>
      </c>
      <c r="B5" s="38" t="n">
        <v>1.8</v>
      </c>
      <c r="C5" s="26" t="inlineStr">
        <is>
          <t>주가 변동성 proxy 또는 사용자 가정</t>
        </is>
      </c>
    </row>
    <row r="6" ht="24" customHeight="1">
      <c r="A6" s="37" t="inlineStr">
        <is>
          <t>시장위험프리미엄</t>
        </is>
      </c>
      <c r="B6" s="39" t="n">
        <v>0.06</v>
      </c>
      <c r="C6" s="26" t="inlineStr">
        <is>
          <t>사용자 조정 가능</t>
        </is>
      </c>
    </row>
    <row r="7" ht="24" customHeight="1">
      <c r="A7" s="37" t="inlineStr">
        <is>
          <t>자기자본비용</t>
        </is>
      </c>
      <c r="B7" s="40">
        <f>B4+B5*B6</f>
        <v/>
      </c>
      <c r="C7" s="26" t="inlineStr">
        <is>
          <t>공식: Rf + Beta × MRP</t>
        </is>
      </c>
    </row>
    <row r="8" ht="24" customHeight="1">
      <c r="A8" s="37" t="inlineStr">
        <is>
          <t>세전 차입비용</t>
        </is>
      </c>
      <c r="B8" s="39" t="n">
        <v>0.055</v>
      </c>
      <c r="C8" s="26" t="inlineStr">
        <is>
          <t>사용자 조정 가능</t>
        </is>
      </c>
    </row>
    <row r="9" ht="24" customHeight="1">
      <c r="A9" s="37" t="inlineStr">
        <is>
          <t>법인세율</t>
        </is>
      </c>
      <c r="B9" s="38" t="n">
        <v>0.24</v>
      </c>
      <c r="C9" s="26" t="inlineStr">
        <is>
          <t>사용자 조정 가능</t>
        </is>
      </c>
    </row>
    <row r="10" ht="24" customHeight="1">
      <c r="A10" s="37" t="inlineStr">
        <is>
          <t>세후 차입비용</t>
        </is>
      </c>
      <c r="B10" s="40">
        <f>B8*(1-B9)</f>
        <v/>
      </c>
      <c r="C10" s="26" t="inlineStr">
        <is>
          <t>공식</t>
        </is>
      </c>
    </row>
    <row r="11" ht="24" customHeight="1">
      <c r="A11" s="37" t="inlineStr">
        <is>
          <t>자기자본 비중</t>
        </is>
      </c>
      <c r="B11" s="38" t="n">
        <v>0.2897122804011578</v>
      </c>
      <c r="C11" s="26" t="inlineStr">
        <is>
          <t>시장가치/장부가치 기반</t>
        </is>
      </c>
    </row>
    <row r="12" ht="24" customHeight="1">
      <c r="A12" s="37" t="inlineStr">
        <is>
          <t>부채 비중</t>
        </is>
      </c>
      <c r="B12" s="38" t="n">
        <v>0.7102877195988422</v>
      </c>
      <c r="C12" s="26" t="inlineStr">
        <is>
          <t>부채 proxy 기반</t>
        </is>
      </c>
    </row>
    <row r="13" ht="24" customHeight="1">
      <c r="A13" s="37" t="inlineStr">
        <is>
          <t>WACC</t>
        </is>
      </c>
      <c r="B13" s="41">
        <f>B11*B7+B12*B10</f>
        <v/>
      </c>
      <c r="C13" s="26" t="inlineStr">
        <is>
          <t>공식: E/V×Ke + D/V×Kd(1-T)</t>
        </is>
      </c>
    </row>
    <row r="14" ht="24" customHeight="1">
      <c r="A14" s="37" t="inlineStr">
        <is>
          <t>사용한 시가총액</t>
        </is>
      </c>
      <c r="B14" s="27" t="n">
        <v>642604640940</v>
      </c>
      <c r="C14" s="26" t="inlineStr">
        <is>
          <t>발행주식 수 intake 가능 시 반영</t>
        </is>
      </c>
    </row>
    <row r="15" ht="24" customHeight="1">
      <c r="A15" s="37" t="inlineStr">
        <is>
          <t>부채 proxy</t>
        </is>
      </c>
      <c r="B15" s="27" t="n">
        <v>1575474068220</v>
      </c>
      <c r="C15" s="26" t="inlineStr">
        <is>
          <t>상세 차입금 데이터 전까지 부채총계 보수 proxy</t>
        </is>
      </c>
    </row>
  </sheetData>
  <mergeCells count="2">
    <mergeCell ref="A2:F2"/>
    <mergeCell ref="A1:F1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FCF 추정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매출액</t>
        </is>
      </c>
      <c r="D2" s="25" t="inlineStr">
        <is>
          <t>영업이익률</t>
        </is>
      </c>
      <c r="E2" s="25" t="inlineStr">
        <is>
          <t>ebit</t>
        </is>
      </c>
      <c r="F2" s="25" t="inlineStr">
        <is>
          <t>nopat</t>
        </is>
      </c>
      <c r="G2" s="25" t="inlineStr">
        <is>
          <t>FCF margin</t>
        </is>
      </c>
      <c r="H2" s="25" t="inlineStr">
        <is>
          <t>FCF</t>
        </is>
      </c>
      <c r="I2" s="25" t="inlineStr">
        <is>
          <t>할인계수</t>
        </is>
      </c>
      <c r="J2" s="25" t="inlineStr">
        <is>
          <t>FCF 현재가치</t>
        </is>
      </c>
    </row>
    <row r="3" ht="24" customHeight="1">
      <c r="A3" s="30" t="n">
        <v>2026</v>
      </c>
      <c r="B3" s="35" t="n">
        <v>0.163</v>
      </c>
      <c r="C3" s="30" t="n">
        <v>1136293791027.743</v>
      </c>
      <c r="D3" s="35" t="n">
        <v>0.1109885354322</v>
      </c>
      <c r="E3" s="30" t="n">
        <v>126115583686.8716</v>
      </c>
      <c r="F3" s="30" t="n">
        <v>95847843602.02238</v>
      </c>
      <c r="G3" s="35" t="n">
        <v>0.1148782313990472</v>
      </c>
      <c r="H3" s="30" t="n">
        <v>130535421062.9856</v>
      </c>
      <c r="I3" s="35" t="n">
        <v>0.9336031845575908</v>
      </c>
      <c r="J3" s="30" t="n">
        <v>121868284801.9694</v>
      </c>
    </row>
    <row r="4" ht="24" customHeight="1">
      <c r="A4" s="31" t="n">
        <v>2027</v>
      </c>
      <c r="B4" s="36" t="n">
        <v>0.126</v>
      </c>
      <c r="C4" s="31" t="n">
        <v>1279466808697.238</v>
      </c>
      <c r="D4" s="36" t="n">
        <v>0.1109885354322</v>
      </c>
      <c r="E4" s="31" t="n">
        <v>142006147231.4173</v>
      </c>
      <c r="F4" s="31" t="n">
        <v>107924671895.8772</v>
      </c>
      <c r="G4" s="36" t="n">
        <v>0.1148782313990472</v>
      </c>
      <c r="H4" s="31" t="n">
        <v>146982884116.9218</v>
      </c>
      <c r="I4" s="36" t="n">
        <v>0.8716149062160751</v>
      </c>
      <c r="J4" s="31" t="n">
        <v>128112472754.939</v>
      </c>
    </row>
    <row r="5" ht="24" customHeight="1">
      <c r="A5" s="30" t="n">
        <v>2028</v>
      </c>
      <c r="B5" s="35" t="n">
        <v>0.08900000000000001</v>
      </c>
      <c r="C5" s="30" t="n">
        <v>1393339354671.292</v>
      </c>
      <c r="D5" s="35" t="n">
        <v>0.1109885354322</v>
      </c>
      <c r="E5" s="30" t="n">
        <v>154644694335.0135</v>
      </c>
      <c r="F5" s="30" t="n">
        <v>117529967694.6103</v>
      </c>
      <c r="G5" s="35" t="n">
        <v>0.1148782313990472</v>
      </c>
      <c r="H5" s="30" t="n">
        <v>160064360803.3278</v>
      </c>
      <c r="I5" s="35" t="n">
        <v>0.8137424521511936</v>
      </c>
      <c r="J5" s="30" t="n">
        <v>130251165462.1134</v>
      </c>
    </row>
    <row r="6" ht="24" customHeight="1">
      <c r="A6" s="31" t="n">
        <v>2029</v>
      </c>
      <c r="B6" s="36" t="n">
        <v>0.05199999999999999</v>
      </c>
      <c r="C6" s="31" t="n">
        <v>1465793001114.2</v>
      </c>
      <c r="D6" s="36" t="n">
        <v>0.1109885354322</v>
      </c>
      <c r="E6" s="31" t="n">
        <v>162686218440.4342</v>
      </c>
      <c r="F6" s="31" t="n">
        <v>123641526014.73</v>
      </c>
      <c r="G6" s="36" t="n">
        <v>0.1148782313990472</v>
      </c>
      <c r="H6" s="31" t="n">
        <v>168387707565.1009</v>
      </c>
      <c r="I6" s="36" t="n">
        <v>0.7597125447380574</v>
      </c>
      <c r="J6" s="31" t="n">
        <v>127926253816.8906</v>
      </c>
    </row>
    <row r="7" ht="24" customHeight="1">
      <c r="A7" s="30" t="n">
        <v>2030</v>
      </c>
      <c r="B7" s="35" t="n">
        <v>0.015</v>
      </c>
      <c r="C7" s="30" t="n">
        <v>1487779896130.913</v>
      </c>
      <c r="D7" s="35" t="n">
        <v>0.1109885354322</v>
      </c>
      <c r="E7" s="30" t="n">
        <v>165126511717.0407</v>
      </c>
      <c r="F7" s="30" t="n">
        <v>125496148904.9509</v>
      </c>
      <c r="G7" s="35" t="n">
        <v>0.1148782313990472</v>
      </c>
      <c r="H7" s="30" t="n">
        <v>170913523178.5774</v>
      </c>
      <c r="I7" s="35" t="n">
        <v>0.7092700511158015</v>
      </c>
      <c r="J7" s="30" t="n">
        <v>121223843321.2513</v>
      </c>
    </row>
  </sheetData>
  <autoFilter ref="A2:J7"/>
  <mergeCells count="1">
    <mergeCell ref="A1:F1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DCF 가치평가</t>
        </is>
      </c>
    </row>
    <row r="2" ht="28" customHeight="1">
      <c r="A2" s="17" t="inlineStr">
        <is>
          <t>명시적 FCF + Terminal Value + 현금 - 부채 proxy</t>
        </is>
      </c>
    </row>
    <row r="3" ht="24" customHeight="1"/>
    <row r="4" ht="24" customHeight="1">
      <c r="A4" s="22" t="inlineStr">
        <is>
          <t>DCF 결과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기준연도</t>
        </is>
      </c>
      <c r="B6" s="30" t="n">
        <v>2025</v>
      </c>
      <c r="C6" s="24" t="inlineStr">
        <is>
          <t>최근 정규화 재무제표 연도</t>
        </is>
      </c>
    </row>
    <row r="7" ht="24" customHeight="1">
      <c r="A7" s="29" t="inlineStr">
        <is>
          <t>기준 매출액</t>
        </is>
      </c>
      <c r="B7" s="31" t="n">
        <v>977036793661</v>
      </c>
      <c r="C7" s="29" t="inlineStr">
        <is>
          <t>DART 기반</t>
        </is>
      </c>
    </row>
    <row r="8" ht="24" customHeight="1">
      <c r="A8" s="24" t="inlineStr">
        <is>
          <t>매출 CAGR</t>
        </is>
      </c>
      <c r="B8" s="30" t="n">
        <v>0.2786705207467139</v>
      </c>
      <c r="C8" s="24" t="inlineStr">
        <is>
          <t>과거 재무제표 기반</t>
        </is>
      </c>
    </row>
    <row r="9" ht="24" customHeight="1">
      <c r="A9" s="29" t="inlineStr">
        <is>
          <t>추정 매출성장률</t>
        </is>
      </c>
      <c r="B9" s="31" t="n">
        <v>0.2</v>
      </c>
      <c r="C9" s="29" t="inlineStr">
        <is>
          <t>최근 추세를 보수적으로 bounded</t>
        </is>
      </c>
    </row>
    <row r="10" ht="24" customHeight="1">
      <c r="A10" s="24" t="inlineStr">
        <is>
          <t>추정 FCF margin</t>
        </is>
      </c>
      <c r="B10" s="30" t="n">
        <v>0.1148782313990472</v>
      </c>
      <c r="C10" s="24" t="inlineStr">
        <is>
          <t>최근 3년 평균 기반</t>
        </is>
      </c>
    </row>
    <row r="11" ht="24" customHeight="1">
      <c r="A11" s="29" t="inlineStr">
        <is>
          <t>WACC</t>
        </is>
      </c>
      <c r="B11" s="31" t="n">
        <v>0.07111888277659718</v>
      </c>
      <c r="C11" s="29" t="inlineStr">
        <is>
          <t>07_WACC 참조</t>
        </is>
      </c>
    </row>
    <row r="12" ht="24" customHeight="1">
      <c r="A12" s="24" t="inlineStr">
        <is>
          <t>영구성장률</t>
        </is>
      </c>
      <c r="B12" s="30" t="n">
        <v>0.015</v>
      </c>
      <c r="C12" s="24" t="inlineStr">
        <is>
          <t>valuation_assumptions.json</t>
        </is>
      </c>
    </row>
    <row r="13" ht="24" customHeight="1">
      <c r="A13" s="29" t="inlineStr">
        <is>
          <t>FCF 현재가치</t>
        </is>
      </c>
      <c r="B13" s="31" t="n">
        <v>629382020157.1637</v>
      </c>
      <c r="C13" s="29" t="inlineStr">
        <is>
          <t>명시적 기간 FCF 할인</t>
        </is>
      </c>
    </row>
    <row r="14" ht="24" customHeight="1">
      <c r="A14" s="24" t="inlineStr">
        <is>
          <t>Terminal Value</t>
        </is>
      </c>
      <c r="B14" s="30" t="n">
        <v>3091245182425.475</v>
      </c>
      <c r="C14" s="24" t="inlineStr">
        <is>
          <t>Gordon Growth</t>
        </is>
      </c>
    </row>
    <row r="15" ht="24" customHeight="1">
      <c r="A15" s="29" t="inlineStr">
        <is>
          <t>Terminal 현재가치</t>
        </is>
      </c>
      <c r="B15" s="31" t="n">
        <v>2192527628550.392</v>
      </c>
      <c r="C15" s="29" t="inlineStr">
        <is>
          <t>Terminal Value 할인</t>
        </is>
      </c>
    </row>
    <row r="16" ht="24" customHeight="1">
      <c r="A16" s="24" t="inlineStr">
        <is>
          <t>기업가치(EV)</t>
        </is>
      </c>
      <c r="B16" s="30" t="n">
        <v>2821909648707.556</v>
      </c>
      <c r="C16" s="24" t="inlineStr">
        <is>
          <t>PV FCF + PV Terminal</t>
        </is>
      </c>
    </row>
    <row r="17" ht="24" customHeight="1">
      <c r="A17" s="29" t="inlineStr">
        <is>
          <t>지분가치</t>
        </is>
      </c>
      <c r="B17" s="31" t="n">
        <v>1554484816071.556</v>
      </c>
      <c r="C17" s="29" t="inlineStr">
        <is>
          <t>EV + 현금 - 부채 proxy</t>
        </is>
      </c>
    </row>
    <row r="18" ht="24" customHeight="1">
      <c r="A18" s="24" t="inlineStr">
        <is>
          <t>발행주식 수</t>
        </is>
      </c>
      <c r="B18" s="30" t="n">
        <v>33416778</v>
      </c>
      <c r="C18" s="24" t="inlineStr">
        <is>
          <t>DART stockTotqySttus 또는 해당 없음</t>
        </is>
      </c>
    </row>
    <row r="19" ht="24" customHeight="1">
      <c r="A19" s="29" t="inlineStr">
        <is>
          <t>현재가</t>
        </is>
      </c>
      <c r="B19" s="31" t="n">
        <v>19230</v>
      </c>
      <c r="C19" s="29" t="inlineStr">
        <is>
          <t>주가 intake</t>
        </is>
      </c>
    </row>
    <row r="20" ht="24" customHeight="1">
      <c r="A20" s="24" t="inlineStr">
        <is>
          <t>DCF 내재주가</t>
        </is>
      </c>
      <c r="B20" s="30" t="n">
        <v>46518.09387702057</v>
      </c>
      <c r="C20" s="24" t="inlineStr">
        <is>
          <t>지분가치 / 발행주식 수</t>
        </is>
      </c>
    </row>
    <row r="21" ht="24" customHeight="1">
      <c r="A21" s="29" t="inlineStr">
        <is>
          <t>현재가 대비 괴리율</t>
        </is>
      </c>
      <c r="B21" s="31" t="n">
        <v>1.419037643110794</v>
      </c>
      <c r="C21" s="29" t="inlineStr">
        <is>
          <t>내재주가 / 현재가 - 1</t>
        </is>
      </c>
    </row>
  </sheetData>
  <autoFilter ref="A5:C21"/>
  <mergeCells count="3">
    <mergeCell ref="A2:E2"/>
    <mergeCell ref="A1:E1"/>
    <mergeCell ref="A4:F4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I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22" customWidth="1" min="2" max="2"/>
    <col width="13" customWidth="1" min="3" max="3"/>
    <col width="1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40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 ht="24" customHeight="1">
      <c r="A1" s="22" t="inlineStr">
        <is>
          <t>피어 비교 / 상대가치</t>
        </is>
      </c>
    </row>
    <row r="2" ht="24" customHeight="1">
      <c r="A2" s="25" t="inlineStr">
        <is>
          <t>기업코드</t>
        </is>
      </c>
      <c r="B2" s="25" t="inlineStr">
        <is>
          <t>기업명</t>
        </is>
      </c>
      <c r="C2" s="25" t="inlineStr">
        <is>
          <t>종목코드</t>
        </is>
      </c>
      <c r="D2" s="25" t="inlineStr">
        <is>
          <t>시장</t>
        </is>
      </c>
      <c r="E2" s="25" t="inlineStr">
        <is>
          <t>분석대상</t>
        </is>
      </c>
      <c r="F2" s="25" t="inlineStr">
        <is>
          <t>최근연도</t>
        </is>
      </c>
      <c r="G2" s="25" t="inlineStr">
        <is>
          <t>latest_close</t>
        </is>
      </c>
      <c r="H2" s="25" t="inlineStr">
        <is>
          <t>발행주식 수</t>
        </is>
      </c>
      <c r="I2" s="25" t="inlineStr">
        <is>
          <t>시가총액</t>
        </is>
      </c>
      <c r="J2" s="25" t="inlineStr">
        <is>
          <t>매출액</t>
        </is>
      </c>
      <c r="K2" s="25" t="inlineStr">
        <is>
          <t>영업이익</t>
        </is>
      </c>
      <c r="L2" s="25" t="inlineStr">
        <is>
          <t>순이익</t>
        </is>
      </c>
      <c r="M2" s="25" t="inlineStr">
        <is>
          <t>자산총계</t>
        </is>
      </c>
      <c r="N2" s="25" t="inlineStr">
        <is>
          <t>부채총계</t>
        </is>
      </c>
      <c r="O2" s="25" t="inlineStr">
        <is>
          <t>자본총계</t>
        </is>
      </c>
      <c r="P2" s="25" t="inlineStr">
        <is>
          <t>FCF</t>
        </is>
      </c>
      <c r="Q2" s="25" t="inlineStr">
        <is>
          <t>FCF margin</t>
        </is>
      </c>
      <c r="R2" s="25" t="inlineStr">
        <is>
          <t>1년 수익률</t>
        </is>
      </c>
      <c r="S2" s="25" t="inlineStr">
        <is>
          <t>연환산 변동성</t>
        </is>
      </c>
      <c r="T2" s="25" t="inlineStr">
        <is>
          <t>MDD</t>
        </is>
      </c>
      <c r="U2" s="25" t="inlineStr">
        <is>
          <t>52주 고가</t>
        </is>
      </c>
      <c r="V2" s="25" t="inlineStr">
        <is>
          <t>52주 저가</t>
        </is>
      </c>
      <c r="W2" s="25" t="inlineStr">
        <is>
          <t>data_status</t>
        </is>
      </c>
      <c r="X2" s="25" t="inlineStr">
        <is>
          <t>diagnostics</t>
        </is>
      </c>
      <c r="Y2" s="25" t="inlineStr">
        <is>
          <t>EV proxy</t>
        </is>
      </c>
      <c r="Z2" s="25" t="inlineStr">
        <is>
          <t>P/S</t>
        </is>
      </c>
      <c r="AA2" s="25" t="inlineStr">
        <is>
          <t>PER</t>
        </is>
      </c>
      <c r="AB2" s="25" t="inlineStr">
        <is>
          <t>PBR</t>
        </is>
      </c>
      <c r="AC2" s="25" t="inlineStr">
        <is>
          <t>EV/Sales</t>
        </is>
      </c>
      <c r="AD2" s="25" t="inlineStr">
        <is>
          <t>EV/EBIT</t>
        </is>
      </c>
      <c r="AE2" s="25" t="inlineStr">
        <is>
          <t>P/FCF</t>
        </is>
      </c>
      <c r="AF2" s="25" t="inlineStr">
        <is>
          <t>영업이익률</t>
        </is>
      </c>
      <c r="AG2" s="25" t="inlineStr">
        <is>
          <t>ROE</t>
        </is>
      </c>
      <c r="AH2" s="25" t="inlineStr">
        <is>
          <t>부채/자본</t>
        </is>
      </c>
      <c r="AI2" s="25" t="inlineStr">
        <is>
          <t>psr_data_quality</t>
        </is>
      </c>
    </row>
    <row r="3" ht="24" customHeight="1">
      <c r="A3" s="24" t="inlineStr">
        <is>
          <t>nepes</t>
        </is>
      </c>
      <c r="B3" s="24" t="inlineStr">
        <is>
          <t>네패스</t>
        </is>
      </c>
      <c r="C3" s="24" t="inlineStr">
        <is>
          <t>033640</t>
        </is>
      </c>
      <c r="D3" s="24" t="inlineStr">
        <is>
          <t>KOSDAQ</t>
        </is>
      </c>
      <c r="E3" s="24" t="b">
        <v>0</v>
      </c>
      <c r="F3" s="24" t="inlineStr">
        <is>
          <t>2025</t>
        </is>
      </c>
      <c r="G3" s="24" t="inlineStr">
        <is>
          <t>27900.0</t>
        </is>
      </c>
      <c r="H3" s="24" t="inlineStr">
        <is>
          <t>23059202.0</t>
        </is>
      </c>
      <c r="I3" s="30" t="n">
        <v>643351735800</v>
      </c>
      <c r="J3" s="24" t="inlineStr">
        <is>
          <t>521439287008.0</t>
        </is>
      </c>
      <c r="K3" s="24" t="inlineStr">
        <is>
          <t>23761125843.0</t>
        </is>
      </c>
      <c r="L3" s="24" t="inlineStr">
        <is>
          <t>20158821632.0</t>
        </is>
      </c>
      <c r="M3" s="24" t="inlineStr">
        <is>
          <t>696198458357.0</t>
        </is>
      </c>
      <c r="N3" s="24" t="inlineStr">
        <is>
          <t>450773427582.0</t>
        </is>
      </c>
      <c r="O3" s="24" t="inlineStr">
        <is>
          <t>245425030775.0</t>
        </is>
      </c>
      <c r="P3" s="24" t="inlineStr">
        <is>
          <t>103117228706.0</t>
        </is>
      </c>
      <c r="Q3" s="24" t="inlineStr">
        <is>
          <t>0.19775500480158098</t>
        </is>
      </c>
      <c r="R3" s="24" t="inlineStr">
        <is>
          <t>2.5861182519280206</t>
        </is>
      </c>
      <c r="S3" s="24" t="inlineStr">
        <is>
          <t>0.6267998959155837</t>
        </is>
      </c>
      <c r="T3" s="24" t="inlineStr">
        <is>
          <t>-0.7436559139784946</t>
        </is>
      </c>
      <c r="U3" s="24" t="inlineStr">
        <is>
          <t>34800.0</t>
        </is>
      </c>
      <c r="V3" s="24" t="inlineStr">
        <is>
          <t>6890.0</t>
        </is>
      </c>
      <c r="W3" s="24" t="inlineStr">
        <is>
          <t>OK</t>
        </is>
      </c>
      <c r="X3" s="24" t="inlineStr">
        <is>
          <t>yfinance price rows for 033640.KQ: 728 | price provider selected: yfinance, rows=728 | DART corp_code resolved from cache for 네패스/033640.</t>
        </is>
      </c>
      <c r="Y3" s="30" t="n">
        <v>1094125163382</v>
      </c>
      <c r="Z3" s="42" t="n">
        <v>1.233799891625982</v>
      </c>
      <c r="AA3" s="42" t="n">
        <v>31.91415388976641</v>
      </c>
      <c r="AB3" s="42" t="n">
        <v>2.621377834886817</v>
      </c>
      <c r="AC3" s="42" t="n">
        <v>2.098279110613339</v>
      </c>
      <c r="AD3" s="42" t="n">
        <v>46.04685698023555</v>
      </c>
      <c r="AE3" s="42" t="n">
        <v>6.239032447567763</v>
      </c>
      <c r="AF3" s="35" t="n">
        <v>0.0455683459896942</v>
      </c>
      <c r="AG3" s="35" t="n">
        <v>0.0821384093070814</v>
      </c>
      <c r="AH3" s="35" t="n">
        <v>1.836705189191801</v>
      </c>
      <c r="AI3" s="24" t="inlineStr">
        <is>
          <t>OK</t>
        </is>
      </c>
    </row>
    <row r="4" ht="24" customHeight="1">
      <c r="A4" s="29" t="inlineStr">
        <is>
          <t>hanmi</t>
        </is>
      </c>
      <c r="B4" s="29" t="inlineStr">
        <is>
          <t>한미반도체</t>
        </is>
      </c>
      <c r="C4" s="29" t="inlineStr">
        <is>
          <t>042700</t>
        </is>
      </c>
      <c r="D4" s="29" t="inlineStr">
        <is>
          <t>KOSPI</t>
        </is>
      </c>
      <c r="E4" s="29" t="b">
        <v>0</v>
      </c>
      <c r="F4" s="29" t="inlineStr">
        <is>
          <t>2025</t>
        </is>
      </c>
      <c r="G4" s="29" t="inlineStr">
        <is>
          <t>295000.0</t>
        </is>
      </c>
      <c r="H4" s="29" t="inlineStr">
        <is>
          <t>95312200.0</t>
        </is>
      </c>
      <c r="I4" s="31" t="n">
        <v>28117099000000</v>
      </c>
      <c r="J4" s="29" t="inlineStr">
        <is>
          <t>576684619527.0</t>
        </is>
      </c>
      <c r="K4" s="29" t="inlineStr">
        <is>
          <t>251390142142.0</t>
        </is>
      </c>
      <c r="L4" s="29" t="inlineStr">
        <is>
          <t>214007548411.0</t>
        </is>
      </c>
      <c r="M4" s="29" t="inlineStr">
        <is>
          <t>813331626120.0</t>
        </is>
      </c>
      <c r="N4" s="29" t="inlineStr">
        <is>
          <t>123004106583.0</t>
        </is>
      </c>
      <c r="O4" s="29" t="inlineStr">
        <is>
          <t>690327519537.0</t>
        </is>
      </c>
      <c r="P4" s="29" t="inlineStr">
        <is>
          <t>209512898063.0</t>
        </is>
      </c>
      <c r="Q4" s="29" t="inlineStr">
        <is>
          <t>0.36330585378684743</t>
        </is>
      </c>
      <c r="R4" s="29" t="inlineStr">
        <is>
          <t>2.601953601953602</t>
        </is>
      </c>
      <c r="S4" s="29" t="inlineStr">
        <is>
          <t>0.7592886753227466</t>
        </is>
      </c>
      <c r="T4" s="29" t="inlineStr">
        <is>
          <t>-0.6814814814814815</t>
        </is>
      </c>
      <c r="U4" s="29" t="inlineStr">
        <is>
          <t>409500.0</t>
        </is>
      </c>
      <c r="V4" s="29" t="inlineStr">
        <is>
          <t>77400.0</t>
        </is>
      </c>
      <c r="W4" s="29" t="inlineStr">
        <is>
          <t>OK</t>
        </is>
      </c>
      <c r="X4" s="29" t="inlineStr">
        <is>
          <t>yfinance price rows for 042700.KS: 728 | price provider selected: yfinance, rows=728 | DART corp_code resolved from cache for 한미반도체/042700.</t>
        </is>
      </c>
      <c r="Y4" s="31" t="n">
        <v>28240103106583</v>
      </c>
      <c r="Z4" s="43" t="n">
        <v>48.75645725225306</v>
      </c>
      <c r="AA4" s="43" t="n">
        <v>131.3836787943634</v>
      </c>
      <c r="AB4" s="43" t="n">
        <v>40.73008565391979</v>
      </c>
      <c r="AC4" s="43" t="n">
        <v>48.96975253084727</v>
      </c>
      <c r="AD4" s="43" t="n">
        <v>112.3357617206458</v>
      </c>
      <c r="AE4" s="43" t="n">
        <v>134.2022341342692</v>
      </c>
      <c r="AF4" s="36" t="n">
        <v>0.4359230914606178</v>
      </c>
      <c r="AG4" s="36" t="n">
        <v>0.3100087166661616</v>
      </c>
      <c r="AH4" s="36" t="n">
        <v>0.1781822440824876</v>
      </c>
      <c r="AI4" s="29" t="inlineStr">
        <is>
          <t>OK</t>
        </is>
      </c>
    </row>
    <row r="5" ht="24" customHeight="1">
      <c r="A5" s="24" t="inlineStr">
        <is>
          <t>hansol</t>
        </is>
      </c>
      <c r="B5" s="24" t="inlineStr">
        <is>
          <t>한솔케미칼</t>
        </is>
      </c>
      <c r="C5" s="24" t="inlineStr">
        <is>
          <t>014680</t>
        </is>
      </c>
      <c r="D5" s="24" t="inlineStr">
        <is>
          <t>KOSPI</t>
        </is>
      </c>
      <c r="E5" s="24" t="b">
        <v>0</v>
      </c>
      <c r="F5" s="24" t="inlineStr">
        <is>
          <t>2025</t>
        </is>
      </c>
      <c r="G5" s="24" t="inlineStr">
        <is>
          <t>276500.0</t>
        </is>
      </c>
      <c r="H5" s="24" t="inlineStr">
        <is>
          <t>11335195.0</t>
        </is>
      </c>
      <c r="I5" s="30" t="n">
        <v>3134181417500</v>
      </c>
      <c r="J5" s="24" t="inlineStr">
        <is>
          <t>883968714104.0</t>
        </is>
      </c>
      <c r="K5" s="24" t="inlineStr">
        <is>
          <t>156233146521.0</t>
        </is>
      </c>
      <c r="L5" s="24" t="inlineStr">
        <is>
          <t>148134823618.0</t>
        </is>
      </c>
      <c r="M5" s="24" t="inlineStr">
        <is>
          <t>1600348080121.0</t>
        </is>
      </c>
      <c r="N5" s="24" t="inlineStr">
        <is>
          <t>423081692446.0</t>
        </is>
      </c>
      <c r="O5" s="24" t="inlineStr">
        <is>
          <t>1177266387675.0</t>
        </is>
      </c>
      <c r="P5" s="24" t="inlineStr">
        <is>
          <t>200066983741.0</t>
        </is>
      </c>
      <c r="Q5" s="24" t="inlineStr">
        <is>
          <t>0.226328127397348</t>
        </is>
      </c>
      <c r="R5" s="24" t="inlineStr">
        <is>
          <t>1.185770750988142</t>
        </is>
      </c>
      <c r="S5" s="24" t="inlineStr">
        <is>
          <t>0.4834143084755783</t>
        </is>
      </c>
      <c r="T5" s="24" t="inlineStr">
        <is>
          <t>-0.6348547717842323</t>
        </is>
      </c>
      <c r="U5" s="24" t="inlineStr">
        <is>
          <t>338000.0</t>
        </is>
      </c>
      <c r="V5" s="24" t="inlineStr">
        <is>
          <t>112100.0</t>
        </is>
      </c>
      <c r="W5" s="24" t="inlineStr">
        <is>
          <t>OK</t>
        </is>
      </c>
      <c r="X5" s="24" t="inlineStr">
        <is>
          <t>yfinance price rows for 014680.KS: 728 | price provider selected: yfinance, rows=728 | DART corp_code resolved from cache for 한솔케미칼/014680.</t>
        </is>
      </c>
      <c r="Y5" s="30" t="n">
        <v>3557263109946</v>
      </c>
      <c r="Z5" s="42" t="n">
        <v>3.545579574812033</v>
      </c>
      <c r="AA5" s="42" t="n">
        <v>21.1576274973818</v>
      </c>
      <c r="AB5" s="42" t="n">
        <v>2.662253378090357</v>
      </c>
      <c r="AC5" s="42" t="n">
        <v>4.024195713251774</v>
      </c>
      <c r="AD5" s="42" t="n">
        <v>22.76893981308795</v>
      </c>
      <c r="AE5" s="42" t="n">
        <v>15.66566036481765</v>
      </c>
      <c r="AF5" s="35" t="n">
        <v>0.1767405837200467</v>
      </c>
      <c r="AG5" s="35" t="n">
        <v>0.1258294852964872</v>
      </c>
      <c r="AH5" s="35" t="n">
        <v>0.3593763458086576</v>
      </c>
      <c r="AI5" s="24" t="inlineStr">
        <is>
          <t>OK</t>
        </is>
      </c>
    </row>
    <row r="6" ht="24" customHeight="1">
      <c r="A6" s="29" t="inlineStr">
        <is>
          <t>duksan</t>
        </is>
      </c>
      <c r="B6" s="29" t="inlineStr">
        <is>
          <t>덕산테코피아</t>
        </is>
      </c>
      <c r="C6" s="29" t="inlineStr">
        <is>
          <t>317330</t>
        </is>
      </c>
      <c r="D6" s="29" t="inlineStr">
        <is>
          <t>KOSDAQ</t>
        </is>
      </c>
      <c r="E6" s="29" t="b">
        <v>0</v>
      </c>
      <c r="F6" s="29" t="inlineStr">
        <is>
          <t>2025</t>
        </is>
      </c>
      <c r="G6" s="29" t="inlineStr">
        <is>
          <t>20650.0</t>
        </is>
      </c>
      <c r="H6" s="29" t="inlineStr">
        <is>
          <t>20476584.0</t>
        </is>
      </c>
      <c r="I6" s="31" t="n">
        <v>422841459600</v>
      </c>
      <c r="J6" s="29" t="inlineStr">
        <is>
          <t>112078954483.0</t>
        </is>
      </c>
      <c r="K6" s="29" t="inlineStr">
        <is>
          <t>-43026410473.0</t>
        </is>
      </c>
      <c r="L6" s="29" t="inlineStr">
        <is>
          <t>-105550462258.0</t>
        </is>
      </c>
      <c r="M6" s="29" t="inlineStr">
        <is>
          <t>646705781509.0</t>
        </is>
      </c>
      <c r="N6" s="29" t="inlineStr">
        <is>
          <t>540230144773.0</t>
        </is>
      </c>
      <c r="O6" s="29" t="inlineStr">
        <is>
          <t>106475636736.0</t>
        </is>
      </c>
      <c r="P6" s="29" t="inlineStr">
        <is>
          <t>-21599848348.0</t>
        </is>
      </c>
      <c r="Q6" s="29" t="inlineStr">
        <is>
          <t>-0.19271993076341767</t>
        </is>
      </c>
      <c r="R6" s="29" t="inlineStr">
        <is>
          <t>0.033016508254127164</t>
        </is>
      </c>
      <c r="S6" s="29" t="inlineStr">
        <is>
          <t>0.7375448343688508</t>
        </is>
      </c>
      <c r="T6" s="29" t="inlineStr">
        <is>
          <t>-0.7666123778501629</t>
        </is>
      </c>
      <c r="U6" s="29" t="inlineStr">
        <is>
          <t>31250.0</t>
        </is>
      </c>
      <c r="V6" s="29" t="inlineStr">
        <is>
          <t>14330.0</t>
        </is>
      </c>
      <c r="W6" s="29" t="inlineStr">
        <is>
          <t>OK</t>
        </is>
      </c>
      <c r="X6" s="29" t="inlineStr">
        <is>
          <t>yfinance price rows for 317330.KQ: 728 | price provider selected: yfinance, rows=728 | DART corp_code resolved from cache for 덕산테코피아/317330.</t>
        </is>
      </c>
      <c r="Y6" s="31" t="n">
        <v>963071604373</v>
      </c>
      <c r="Z6" s="43" t="n">
        <v>3.772710599866776</v>
      </c>
      <c r="AA6" s="43" t="n">
        <v>-4.006059760936306</v>
      </c>
      <c r="AB6" s="43" t="n">
        <v>3.971250819080896</v>
      </c>
      <c r="AC6" s="43" t="n">
        <v>8.592796112485841</v>
      </c>
      <c r="AD6" s="43" t="n">
        <v>-22.38326631912156</v>
      </c>
      <c r="AE6" s="43" t="n">
        <v>-19.57613094256526</v>
      </c>
      <c r="AF6" s="36" t="n">
        <v>-0.3838937530375178</v>
      </c>
      <c r="AG6" s="36" t="n">
        <v>-0.9913109279609765</v>
      </c>
      <c r="AH6" s="36" t="n">
        <v>5.073744204155064</v>
      </c>
      <c r="AI6" s="29" t="inlineStr">
        <is>
          <t>OK</t>
        </is>
      </c>
    </row>
    <row r="7" ht="24" customHeight="1">
      <c r="A7" s="24" t="inlineStr">
        <is>
          <t>ltc</t>
        </is>
      </c>
      <c r="B7" s="24" t="inlineStr">
        <is>
          <t>엘티씨</t>
        </is>
      </c>
      <c r="C7" s="24" t="inlineStr">
        <is>
          <t>170920</t>
        </is>
      </c>
      <c r="D7" s="24" t="inlineStr">
        <is>
          <t>KOSDAQ</t>
        </is>
      </c>
      <c r="E7" s="24" t="b">
        <v>0</v>
      </c>
      <c r="F7" s="24" t="inlineStr">
        <is>
          <t>2025</t>
        </is>
      </c>
      <c r="G7" s="24" t="inlineStr">
        <is>
          <t>40300.0</t>
        </is>
      </c>
      <c r="H7" s="24" t="inlineStr">
        <is>
          <t>10564126.0</t>
        </is>
      </c>
      <c r="I7" s="30" t="n">
        <v>425734277800</v>
      </c>
      <c r="J7" s="24" t="inlineStr">
        <is>
          <t>310384726014.0</t>
        </is>
      </c>
      <c r="K7" s="24" t="inlineStr">
        <is>
          <t>29629435023.0</t>
        </is>
      </c>
      <c r="L7" s="24" t="inlineStr">
        <is>
          <t>18189648458.0</t>
        </is>
      </c>
      <c r="M7" s="24" t="inlineStr">
        <is>
          <t>383387868522.0</t>
        </is>
      </c>
      <c r="N7" s="24" t="inlineStr">
        <is>
          <t>159648759353.0</t>
        </is>
      </c>
      <c r="O7" s="24" t="inlineStr">
        <is>
          <t>223739109169.0</t>
        </is>
      </c>
      <c r="P7" s="24" t="inlineStr">
        <is>
          <t>24709885929.0</t>
        </is>
      </c>
      <c r="Q7" s="24" t="inlineStr">
        <is>
          <t>0.07961050869457234</t>
        </is>
      </c>
      <c r="R7" s="24" t="inlineStr">
        <is>
          <t>2.544415127528584</t>
        </is>
      </c>
      <c r="S7" s="24" t="inlineStr">
        <is>
          <t>0.6763465500598848</t>
        </is>
      </c>
      <c r="T7" s="24" t="inlineStr">
        <is>
          <t>-0.5848765432098766</t>
        </is>
      </c>
      <c r="U7" s="24" t="inlineStr">
        <is>
          <t>49650.0</t>
        </is>
      </c>
      <c r="V7" s="24" t="inlineStr">
        <is>
          <t>9260.0</t>
        </is>
      </c>
      <c r="W7" s="24" t="inlineStr">
        <is>
          <t>OK</t>
        </is>
      </c>
      <c r="X7" s="24" t="inlineStr">
        <is>
          <t>yfinance price rows for 170920.KQ: 727 | price provider selected: yfinance, rows=727 | DART corp_code resolved from cache for 엘티씨/170920.</t>
        </is>
      </c>
      <c r="Y7" s="30" t="n">
        <v>585383037153</v>
      </c>
      <c r="Z7" s="42" t="n">
        <v>1.371634111212022</v>
      </c>
      <c r="AA7" s="42" t="n">
        <v>23.40530542869055</v>
      </c>
      <c r="AB7" s="42" t="n">
        <v>1.9028156471224</v>
      </c>
      <c r="AC7" s="42" t="n">
        <v>1.885991764706219</v>
      </c>
      <c r="AD7" s="42" t="n">
        <v>19.75680726610526</v>
      </c>
      <c r="AE7" s="42" t="n">
        <v>17.22930971932776</v>
      </c>
      <c r="AF7" s="35" t="n">
        <v>0.09546035142742029</v>
      </c>
      <c r="AG7" s="35" t="n">
        <v>0.08129847537857388</v>
      </c>
      <c r="AH7" s="35" t="n">
        <v>0.7135487396278595</v>
      </c>
      <c r="AI7" s="24" t="inlineStr">
        <is>
          <t>OK</t>
        </is>
      </c>
    </row>
  </sheetData>
  <autoFilter ref="A2:AI7"/>
  <mergeCells count="1">
    <mergeCell ref="A1:F1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ML 보조판단 요인</t>
        </is>
      </c>
    </row>
    <row r="2" ht="24" customHeight="1">
      <c r="A2" s="25" t="inlineStr">
        <is>
          <t>요인</t>
        </is>
      </c>
      <c r="B2" s="25" t="inlineStr">
        <is>
          <t>요인 코드</t>
        </is>
      </c>
      <c r="C2" s="25" t="inlineStr">
        <is>
          <t>점수</t>
        </is>
      </c>
      <c r="D2" s="25" t="inlineStr">
        <is>
          <t>해석</t>
        </is>
      </c>
    </row>
    <row r="3" ht="24" customHeight="1">
      <c r="A3" s="24" t="inlineStr">
        <is>
          <t>영업이익률 peer percentile</t>
        </is>
      </c>
      <c r="B3" s="24" t="inlineStr">
        <is>
          <t>operating_margin_percentile</t>
        </is>
      </c>
      <c r="C3" s="30" t="n">
        <v>60</v>
      </c>
      <c r="D3" s="24" t="inlineStr">
        <is>
          <t>높을수록 우수</t>
        </is>
      </c>
    </row>
    <row r="4" ht="24" customHeight="1">
      <c r="A4" s="29" t="inlineStr">
        <is>
          <t>ROE peer percentile</t>
        </is>
      </c>
      <c r="B4" s="29" t="inlineStr">
        <is>
          <t>roe_percentile</t>
        </is>
      </c>
      <c r="C4" s="31" t="n">
        <v>60</v>
      </c>
      <c r="D4" s="29" t="inlineStr">
        <is>
          <t>높을수록 우수</t>
        </is>
      </c>
    </row>
    <row r="5" ht="24" customHeight="1">
      <c r="A5" s="24" t="inlineStr">
        <is>
          <t>FCF margin peer percentile</t>
        </is>
      </c>
      <c r="B5" s="24" t="inlineStr">
        <is>
          <t>fcf_margin_percentile</t>
        </is>
      </c>
      <c r="C5" s="30" t="n">
        <v>20</v>
      </c>
      <c r="D5" s="24" t="inlineStr">
        <is>
          <t>높을수록 우수</t>
        </is>
      </c>
    </row>
    <row r="6" ht="24" customHeight="1">
      <c r="A6" s="29" t="inlineStr">
        <is>
          <t>부채비율 안정성</t>
        </is>
      </c>
      <c r="B6" s="29" t="inlineStr">
        <is>
          <t>debt_ratio_inverse_percentile</t>
        </is>
      </c>
      <c r="C6" s="31" t="n">
        <v>20</v>
      </c>
      <c r="D6" s="29" t="inlineStr">
        <is>
          <t>낮을수록 우수</t>
        </is>
      </c>
    </row>
    <row r="7" ht="24" customHeight="1">
      <c r="A7" s="24" t="inlineStr">
        <is>
          <t>PSR 상대 매력도</t>
        </is>
      </c>
      <c r="B7" s="24" t="inlineStr">
        <is>
          <t>psr_inverse_percentile</t>
        </is>
      </c>
      <c r="C7" s="30" t="n">
        <v>100</v>
      </c>
      <c r="D7" s="24" t="inlineStr">
        <is>
          <t>낮은 PSR일수록 상대가치 부담이 낮음</t>
        </is>
      </c>
    </row>
    <row r="8" ht="24" customHeight="1">
      <c r="A8" s="29" t="inlineStr">
        <is>
          <t>변동성 안정성</t>
        </is>
      </c>
      <c r="B8" s="29" t="inlineStr">
        <is>
          <t>volatility_inverse_score</t>
        </is>
      </c>
      <c r="C8" s="31" t="n">
        <v>0</v>
      </c>
      <c r="D8" s="29" t="inlineStr">
        <is>
          <t>낮을수록 우수</t>
        </is>
      </c>
    </row>
    <row r="9" ht="24" customHeight="1">
      <c r="A9" s="24" t="inlineStr">
        <is>
          <t>MDD 방어력</t>
        </is>
      </c>
      <c r="B9" s="24" t="inlineStr">
        <is>
          <t>mdd_resilience_score</t>
        </is>
      </c>
      <c r="C9" s="30" t="n">
        <v>12.17712177121771</v>
      </c>
      <c r="D9" s="24" t="inlineStr">
        <is>
          <t>낙폭이 작을수록 우수</t>
        </is>
      </c>
    </row>
    <row r="10" ht="24" customHeight="1">
      <c r="A10" s="29" t="inlineStr">
        <is>
          <t>208개 반도체 valuation proxy percentile</t>
        </is>
      </c>
      <c r="B10" s="29" t="inlineStr">
        <is>
          <t>reference_208_valuation_proxy_percentile</t>
        </is>
      </c>
      <c r="C10" s="31" t="n">
        <v>98.08</v>
      </c>
      <c r="D10" s="29" t="inlineStr">
        <is>
          <t>높을수록 universe 내 가치평가 proxy 우호</t>
        </is>
      </c>
    </row>
    <row r="11" ht="24" customHeight="1">
      <c r="A11" s="24" t="inlineStr">
        <is>
          <t>208개 반도체 credit risk inverse percentile</t>
        </is>
      </c>
      <c r="B11" s="24" t="inlineStr">
        <is>
          <t>reference_208_credit_risk_inverse_percentile</t>
        </is>
      </c>
      <c r="C11" s="30" t="n">
        <v>55.29</v>
      </c>
      <c r="D11" s="24" t="inlineStr">
        <is>
          <t>낮은 신용위험 proxy일수록 우수</t>
        </is>
      </c>
    </row>
    <row r="12" ht="24" customHeight="1">
      <c r="A12" s="29" t="inlineStr">
        <is>
          <t>208개 universe confidence</t>
        </is>
      </c>
      <c r="B12" s="29" t="inlineStr">
        <is>
          <t>reference_208_confidence_score</t>
        </is>
      </c>
      <c r="C12" s="31" t="n">
        <v>79.17907809795351</v>
      </c>
      <c r="D12" s="29" t="inlineStr">
        <is>
          <t>높을수록 보조판단 신뢰도 우수</t>
        </is>
      </c>
    </row>
    <row r="13" ht="24" customHeight="1"/>
    <row r="14" ht="24" customHeight="1"/>
    <row r="15" ht="24" customHeight="1">
      <c r="A15" s="22" t="inlineStr">
        <is>
          <t>ML 보조판단 요약</t>
        </is>
      </c>
    </row>
    <row r="16" ht="24" customHeight="1">
      <c r="A16" s="25" t="inlineStr">
        <is>
          <t>항목</t>
        </is>
      </c>
      <c r="B16" s="25" t="inlineStr">
        <is>
          <t>값</t>
        </is>
      </c>
    </row>
    <row r="17" ht="24" customHeight="1">
      <c r="A17" s="24" t="inlineStr">
        <is>
          <t>방법</t>
        </is>
      </c>
      <c r="B17" s="24" t="inlineStr">
        <is>
          <t>실시간 DART·주가 기반 PSR/Peer + 208개 반도체 reference universe 보조판단</t>
        </is>
      </c>
    </row>
    <row r="18" ht="24" customHeight="1">
      <c r="A18" s="29" t="inlineStr">
        <is>
          <t>종합점수</t>
        </is>
      </c>
      <c r="B18" s="31" t="n">
        <v>51.16</v>
      </c>
    </row>
    <row r="19" ht="24" customHeight="1">
      <c r="A19" s="24" t="inlineStr">
        <is>
          <t>라벨</t>
        </is>
      </c>
      <c r="B19" s="24" t="inlineStr">
        <is>
          <t>가치평가 보조근거 중립</t>
        </is>
      </c>
    </row>
    <row r="20" ht="24" customHeight="1">
      <c r="A20" s="29" t="inlineStr">
        <is>
          <t>클러스터</t>
        </is>
      </c>
      <c r="B20" s="29" t="inlineStr">
        <is>
          <t>IDM/제조/메모리</t>
        </is>
      </c>
    </row>
    <row r="21" ht="24" customHeight="1">
      <c r="A21" s="24" t="inlineStr">
        <is>
          <t>주의</t>
        </is>
      </c>
      <c r="B21" s="24" t="inlineStr">
        <is>
          <t>미래수익률 예측모델이 아니라 대시보드/Chair용 설명가능 보조 가치평가 점수입니다.</t>
        </is>
      </c>
    </row>
  </sheetData>
  <autoFilter ref="A16:B21"/>
  <mergeCells count="2">
    <mergeCell ref="A1:F1"/>
    <mergeCell ref="A15:F15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WACC × 영구성장률 민감도</t>
        </is>
      </c>
    </row>
    <row r="2" ht="24" customHeight="1">
      <c r="A2" s="25" t="inlineStr">
        <is>
          <t>WACC</t>
        </is>
      </c>
      <c r="B2" s="25" t="inlineStr">
        <is>
          <t>영구성장률</t>
        </is>
      </c>
      <c r="C2" s="25" t="inlineStr">
        <is>
          <t>기업가치(EV)</t>
        </is>
      </c>
    </row>
    <row r="3" ht="24" customHeight="1">
      <c r="A3" s="35" t="n">
        <v>0.05611888277659718</v>
      </c>
      <c r="B3" s="35" t="n">
        <v>0.004999999999999999</v>
      </c>
      <c r="C3" s="30" t="n">
        <v>3186772810239.663</v>
      </c>
    </row>
    <row r="4" ht="24" customHeight="1">
      <c r="A4" s="36" t="n">
        <v>0.05611888277659718</v>
      </c>
      <c r="B4" s="36" t="n">
        <v>0.009999999999999998</v>
      </c>
      <c r="C4" s="31" t="n">
        <v>3478136258951.856</v>
      </c>
    </row>
    <row r="5" ht="24" customHeight="1">
      <c r="A5" s="35" t="n">
        <v>0.05611888277659718</v>
      </c>
      <c r="B5" s="35" t="n">
        <v>0.015</v>
      </c>
      <c r="C5" s="30" t="n">
        <v>3840358502708.458</v>
      </c>
    </row>
    <row r="6" ht="24" customHeight="1">
      <c r="A6" s="36" t="n">
        <v>0.05611888277659718</v>
      </c>
      <c r="B6" s="36" t="n">
        <v>0.02</v>
      </c>
      <c r="C6" s="31" t="n">
        <v>4302866861624.552</v>
      </c>
    </row>
    <row r="7" ht="24" customHeight="1">
      <c r="A7" s="35" t="n">
        <v>0.05611888277659718</v>
      </c>
      <c r="B7" s="35" t="n">
        <v>0.025</v>
      </c>
      <c r="C7" s="30" t="n">
        <v>4914001494252.476</v>
      </c>
    </row>
    <row r="8" ht="24" customHeight="1">
      <c r="A8" s="36" t="n">
        <v>0.06611888277659718</v>
      </c>
      <c r="B8" s="36" t="n">
        <v>0.004999999999999999</v>
      </c>
      <c r="C8" s="31" t="n">
        <v>2669892849457.807</v>
      </c>
    </row>
    <row r="9" ht="24" customHeight="1">
      <c r="A9" s="35" t="n">
        <v>0.06611888277659718</v>
      </c>
      <c r="B9" s="35" t="n">
        <v>0.009999999999999998</v>
      </c>
      <c r="C9" s="30" t="n">
        <v>2862751651879.006</v>
      </c>
    </row>
    <row r="10" ht="24" customHeight="1">
      <c r="A10" s="36" t="n">
        <v>0.06611888277659718</v>
      </c>
      <c r="B10" s="36" t="n">
        <v>0.015</v>
      </c>
      <c r="C10" s="31" t="n">
        <v>3093337961621.53</v>
      </c>
    </row>
    <row r="11" ht="24" customHeight="1">
      <c r="A11" s="35" t="n">
        <v>0.06611888277659718</v>
      </c>
      <c r="B11" s="35" t="n">
        <v>0.02</v>
      </c>
      <c r="C11" s="30" t="n">
        <v>3373922514135.784</v>
      </c>
    </row>
    <row r="12" ht="24" customHeight="1">
      <c r="A12" s="36" t="n">
        <v>0.06611888277659718</v>
      </c>
      <c r="B12" s="36" t="n">
        <v>0.025</v>
      </c>
      <c r="C12" s="31" t="n">
        <v>3722744463575.117</v>
      </c>
    </row>
    <row r="13" ht="24" customHeight="1">
      <c r="A13" s="35" t="n">
        <v>0.07111888277659718</v>
      </c>
      <c r="B13" s="35" t="n">
        <v>0.004999999999999999</v>
      </c>
      <c r="C13" s="30" t="n">
        <v>2471971571306.98</v>
      </c>
    </row>
    <row r="14" ht="24" customHeight="1">
      <c r="A14" s="36" t="n">
        <v>0.07111888277659718</v>
      </c>
      <c r="B14" s="36" t="n">
        <v>0.009999999999999998</v>
      </c>
      <c r="C14" s="31" t="n">
        <v>2632626781714.641</v>
      </c>
    </row>
    <row r="15" ht="24" customHeight="1">
      <c r="A15" s="35" t="n">
        <v>0.07111888277659718</v>
      </c>
      <c r="B15" s="35" t="n">
        <v>0.015</v>
      </c>
      <c r="C15" s="30" t="n">
        <v>2821909648707.556</v>
      </c>
    </row>
    <row r="16" ht="24" customHeight="1">
      <c r="A16" s="36" t="n">
        <v>0.07111888277659718</v>
      </c>
      <c r="B16" s="36" t="n">
        <v>0.02</v>
      </c>
      <c r="C16" s="31" t="n">
        <v>3048220489848.523</v>
      </c>
    </row>
    <row r="17" ht="24" customHeight="1">
      <c r="A17" s="35" t="n">
        <v>0.07111888277659718</v>
      </c>
      <c r="B17" s="35" t="n">
        <v>0.025</v>
      </c>
      <c r="C17" s="30" t="n">
        <v>3323602519950.687</v>
      </c>
    </row>
    <row r="18" ht="24" customHeight="1">
      <c r="A18" s="36" t="n">
        <v>0.07611888277659719</v>
      </c>
      <c r="B18" s="36" t="n">
        <v>0.004999999999999999</v>
      </c>
      <c r="C18" s="31" t="n">
        <v>2302999883037.396</v>
      </c>
    </row>
    <row r="19" ht="24" customHeight="1">
      <c r="A19" s="35" t="n">
        <v>0.07611888277659719</v>
      </c>
      <c r="B19" s="35" t="n">
        <v>0.009999999999999998</v>
      </c>
      <c r="C19" s="30" t="n">
        <v>2438517261122.625</v>
      </c>
    </row>
    <row r="20" ht="24" customHeight="1">
      <c r="A20" s="36" t="n">
        <v>0.07611888277659719</v>
      </c>
      <c r="B20" s="36" t="n">
        <v>0.015</v>
      </c>
      <c r="C20" s="31" t="n">
        <v>2596207390398.444</v>
      </c>
    </row>
    <row r="21" ht="24" customHeight="1">
      <c r="A21" s="35" t="n">
        <v>0.07611888277659719</v>
      </c>
      <c r="B21" s="35" t="n">
        <v>0.02</v>
      </c>
      <c r="C21" s="30" t="n">
        <v>2781996819138.861</v>
      </c>
    </row>
    <row r="22" ht="24" customHeight="1">
      <c r="A22" s="36" t="n">
        <v>0.07611888277659719</v>
      </c>
      <c r="B22" s="36" t="n">
        <v>0.025</v>
      </c>
      <c r="C22" s="31" t="n">
        <v>3004130827151.942</v>
      </c>
    </row>
    <row r="23" ht="24" customHeight="1">
      <c r="A23" s="35" t="n">
        <v>0.08611888277659718</v>
      </c>
      <c r="B23" s="35" t="n">
        <v>0.004999999999999999</v>
      </c>
      <c r="C23" s="30" t="n">
        <v>2030367734276.147</v>
      </c>
    </row>
    <row r="24" ht="24" customHeight="1">
      <c r="A24" s="36" t="n">
        <v>0.08611888277659718</v>
      </c>
      <c r="B24" s="36" t="n">
        <v>0.009999999999999998</v>
      </c>
      <c r="C24" s="31" t="n">
        <v>2129821815172.417</v>
      </c>
    </row>
    <row r="25" ht="24" customHeight="1">
      <c r="A25" s="35" t="n">
        <v>0.08611888277659718</v>
      </c>
      <c r="B25" s="35" t="n">
        <v>0.015</v>
      </c>
      <c r="C25" s="30" t="n">
        <v>2243260097874.653</v>
      </c>
    </row>
    <row r="26" ht="24" customHeight="1">
      <c r="A26" s="36" t="n">
        <v>0.08611888277659718</v>
      </c>
      <c r="B26" s="36" t="n">
        <v>0.02</v>
      </c>
      <c r="C26" s="31" t="n">
        <v>2373855095563.366</v>
      </c>
    </row>
    <row r="27" ht="24" customHeight="1">
      <c r="A27" s="35" t="n">
        <v>0.08611888277659718</v>
      </c>
      <c r="B27" s="35" t="n">
        <v>0.025</v>
      </c>
      <c r="C27" s="30" t="n">
        <v>2525817466436.249</v>
      </c>
    </row>
  </sheetData>
  <autoFilter ref="A2:C27"/>
  <mergeCells count="1">
    <mergeCell ref="A1:F1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검증 체크</t>
        </is>
      </c>
    </row>
    <row r="2" ht="24" customHeight="1">
      <c r="A2" s="25" t="inlineStr">
        <is>
          <t>중요도</t>
        </is>
      </c>
      <c r="B2" s="25" t="inlineStr">
        <is>
          <t>코드</t>
        </is>
      </c>
      <c r="C2" s="25" t="inlineStr">
        <is>
          <t>메시지</t>
        </is>
      </c>
    </row>
    <row r="3" ht="24" customHeight="1">
      <c r="A3" s="24" t="inlineStr">
        <is>
          <t>INFO</t>
        </is>
      </c>
      <c r="B3" s="24" t="inlineStr">
        <is>
          <t>NO_MAJOR_WARNINGS</t>
        </is>
      </c>
      <c r="C3" s="24" t="inlineStr">
        <is>
          <t>주요 validation warning 없음</t>
        </is>
      </c>
    </row>
  </sheetData>
  <autoFilter ref="A2:C3"/>
  <mergeCells count="1">
    <mergeCell ref="A1:F1"/>
  </mergeCells>
  <pageMargins left="0.75" right="0.75" top="1" bottom="1" header="0.5" footer="0.5"/>
  <pageSetup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20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대시보드 JSON 내보내기</t>
        </is>
      </c>
    </row>
    <row r="2" ht="24" customHeight="1">
      <c r="A2" s="25" t="inlineStr">
        <is>
          <t>구분</t>
        </is>
      </c>
      <c r="B2" s="25" t="inlineStr">
        <is>
          <t>항목</t>
        </is>
      </c>
      <c r="C2" s="25" t="inlineStr">
        <is>
          <t>값</t>
        </is>
      </c>
      <c r="D2" s="25" t="inlineStr">
        <is>
          <t>설명</t>
        </is>
      </c>
    </row>
    <row r="3" ht="24" customHeight="1">
      <c r="A3" s="24" t="inlineStr">
        <is>
          <t>agent</t>
        </is>
      </c>
      <c r="B3" s="24" t="inlineStr">
        <is>
          <t>값</t>
        </is>
      </c>
      <c r="C3" s="24" t="inlineStr">
        <is>
          <t>valuation</t>
        </is>
      </c>
      <c r="D3" s="24" t="inlineStr">
        <is>
          <t>대시보드 기본값</t>
        </is>
      </c>
    </row>
    <row r="4" ht="24" customHeight="1">
      <c r="A4" s="29" t="inlineStr">
        <is>
          <t>기업코드</t>
        </is>
      </c>
      <c r="B4" s="29" t="inlineStr">
        <is>
          <t>값</t>
        </is>
      </c>
      <c r="C4" s="29" t="inlineStr">
        <is>
          <t>mico</t>
        </is>
      </c>
      <c r="D4" s="29" t="inlineStr">
        <is>
          <t>대시보드 기본값</t>
        </is>
      </c>
    </row>
    <row r="5" ht="24" customHeight="1">
      <c r="A5" s="24" t="inlineStr">
        <is>
          <t>기업명</t>
        </is>
      </c>
      <c r="B5" s="24" t="inlineStr">
        <is>
          <t>값</t>
        </is>
      </c>
      <c r="C5" s="24" t="inlineStr">
        <is>
          <t>미코</t>
        </is>
      </c>
      <c r="D5" s="24" t="inlineStr">
        <is>
          <t>대시보드 기본값</t>
        </is>
      </c>
    </row>
    <row r="6" ht="24" customHeight="1">
      <c r="A6" s="29" t="inlineStr">
        <is>
          <t>상태</t>
        </is>
      </c>
      <c r="B6" s="29" t="inlineStr">
        <is>
          <t>값</t>
        </is>
      </c>
      <c r="C6" s="29" t="inlineStr">
        <is>
          <t>PASS</t>
        </is>
      </c>
      <c r="D6" s="29" t="inlineStr">
        <is>
          <t>대시보드 기본값</t>
        </is>
      </c>
    </row>
    <row r="7" ht="24" customHeight="1">
      <c r="A7" s="24" t="inlineStr">
        <is>
          <t>korean_label</t>
        </is>
      </c>
      <c r="B7" s="24" t="inlineStr">
        <is>
          <t>값</t>
        </is>
      </c>
      <c r="C7" s="24" t="inlineStr">
        <is>
          <t>독립 가치평가 에이전트</t>
        </is>
      </c>
      <c r="D7" s="24" t="inlineStr">
        <is>
          <t>대시보드 기본값</t>
        </is>
      </c>
    </row>
    <row r="8" ht="24" customHeight="1">
      <c r="A8" s="29" t="inlineStr">
        <is>
          <t>요약 카드</t>
        </is>
      </c>
      <c r="B8" s="29" t="inlineStr">
        <is>
          <t>상위 블록</t>
        </is>
      </c>
      <c r="C8" s="29" t="inlineStr">
        <is>
          <t>31개 항목</t>
        </is>
      </c>
      <c r="D8" s="29" t="inlineStr">
        <is>
          <t>대시보드에서 객체로 사용</t>
        </is>
      </c>
    </row>
    <row r="9" ht="24" customHeight="1">
      <c r="A9" s="24" t="inlineStr">
        <is>
          <t>요약 카드</t>
        </is>
      </c>
      <c r="B9" s="24" t="inlineStr">
        <is>
          <t>WACC</t>
        </is>
      </c>
      <c r="C9" s="24" t="inlineStr">
        <is>
          <t>WACC</t>
        </is>
      </c>
      <c r="D9" s="24" t="inlineStr">
        <is>
          <t>JSON 상세는 dashboard_payload 파일 참조</t>
        </is>
      </c>
    </row>
    <row r="10" ht="24" customHeight="1">
      <c r="A10" s="29" t="inlineStr">
        <is>
          <t>요약 카드</t>
        </is>
      </c>
      <c r="B10" s="29" t="inlineStr">
        <is>
          <t>기업가치(EV)</t>
        </is>
      </c>
      <c r="C10" s="29" t="inlineStr">
        <is>
          <t>DCF 기업가치</t>
        </is>
      </c>
      <c r="D10" s="29" t="inlineStr">
        <is>
          <t>JSON 상세는 dashboard_payload 파일 참조</t>
        </is>
      </c>
    </row>
    <row r="11" ht="24" customHeight="1">
      <c r="A11" s="24" t="inlineStr">
        <is>
          <t>요약 카드</t>
        </is>
      </c>
      <c r="B11" s="24" t="inlineStr">
        <is>
          <t>equity_value</t>
        </is>
      </c>
      <c r="C11" s="24" t="inlineStr">
        <is>
          <t>DCF 지분가치</t>
        </is>
      </c>
      <c r="D11" s="24" t="inlineStr">
        <is>
          <t>JSON 상세는 dashboard_payload 파일 참조</t>
        </is>
      </c>
    </row>
    <row r="12" ht="24" customHeight="1">
      <c r="A12" s="29" t="inlineStr">
        <is>
          <t>요약 카드</t>
        </is>
      </c>
      <c r="B12" s="29" t="inlineStr">
        <is>
          <t>latest_close</t>
        </is>
      </c>
      <c r="C12" s="29" t="inlineStr">
        <is>
          <t>현재가</t>
        </is>
      </c>
      <c r="D12" s="29" t="inlineStr">
        <is>
          <t>JSON 상세는 dashboard_payload 파일 참조</t>
        </is>
      </c>
    </row>
    <row r="13" ht="24" customHeight="1">
      <c r="A13" s="24" t="inlineStr">
        <is>
          <t>요약 카드</t>
        </is>
      </c>
      <c r="B13" s="24" t="inlineStr">
        <is>
          <t>implied_price</t>
        </is>
      </c>
      <c r="C13" s="24" t="inlineStr">
        <is>
          <t>DCF 내재주가</t>
        </is>
      </c>
      <c r="D13" s="24" t="inlineStr">
        <is>
          <t>JSON 상세는 dashboard_payload 파일 참조</t>
        </is>
      </c>
    </row>
    <row r="14" ht="24" customHeight="1">
      <c r="A14" s="29" t="inlineStr">
        <is>
          <t>요약 카드</t>
        </is>
      </c>
      <c r="B14" s="29" t="inlineStr">
        <is>
          <t>현재가 대비</t>
        </is>
      </c>
      <c r="C14" s="29" t="inlineStr">
        <is>
          <t>현재가 대비 괴리율</t>
        </is>
      </c>
      <c r="D14" s="29" t="inlineStr">
        <is>
          <t>JSON 상세는 dashboard_payload 파일 참조</t>
        </is>
      </c>
    </row>
    <row r="15" ht="24" customHeight="1">
      <c r="A15" s="24" t="inlineStr">
        <is>
          <t>요약 카드</t>
        </is>
      </c>
      <c r="B15" s="24" t="inlineStr">
        <is>
          <t>분석대상 P/S</t>
        </is>
      </c>
      <c r="C15" s="24" t="inlineStr">
        <is>
          <t>P/S</t>
        </is>
      </c>
      <c r="D15" s="24" t="inlineStr">
        <is>
          <t>JSON 상세는 dashboard_payload 파일 참조</t>
        </is>
      </c>
    </row>
    <row r="16" ht="24" customHeight="1">
      <c r="A16" s="29" t="inlineStr">
        <is>
          <t>요약 카드</t>
        </is>
      </c>
      <c r="B16" s="29" t="inlineStr">
        <is>
          <t>Peer P/S 중앙값</t>
        </is>
      </c>
      <c r="C16" s="29" t="inlineStr">
        <is>
          <t>비교기업 P/S 중앙값</t>
        </is>
      </c>
      <c r="D16" s="29" t="inlineStr">
        <is>
          <t>JSON 상세는 dashboard_payload 파일 참조</t>
        </is>
      </c>
    </row>
    <row r="17" ht="24" customHeight="1">
      <c r="A17" s="24" t="inlineStr">
        <is>
          <t>요약 카드</t>
        </is>
      </c>
      <c r="B17" s="24" t="inlineStr">
        <is>
          <t>psr_gap</t>
        </is>
      </c>
      <c r="C17" s="24" t="inlineStr">
        <is>
          <t>P/S 중앙값 대비</t>
        </is>
      </c>
      <c r="D17" s="24" t="inlineStr">
        <is>
          <t>JSON 상세는 dashboard_payload 파일 참조</t>
        </is>
      </c>
    </row>
    <row r="18" ht="24" customHeight="1">
      <c r="A18" s="29" t="inlineStr">
        <is>
          <t>요약 카드</t>
        </is>
      </c>
      <c r="B18" s="29" t="inlineStr">
        <is>
          <t>reference_rows</t>
        </is>
      </c>
      <c r="C18" s="29" t="inlineStr">
        <is>
          <t>208개 반도체 비교군</t>
        </is>
      </c>
      <c r="D18" s="29" t="inlineStr">
        <is>
          <t>JSON 상세는 dashboard_payload 파일 참조</t>
        </is>
      </c>
    </row>
    <row r="19" ht="24" customHeight="1">
      <c r="A19" s="24" t="inlineStr">
        <is>
          <t>요약 카드</t>
        </is>
      </c>
      <c r="B19" s="24" t="inlineStr">
        <is>
          <t>reference_peer_group</t>
        </is>
      </c>
      <c r="C19" s="24" t="inlineStr">
        <is>
          <t>기준 비교군 그룹</t>
        </is>
      </c>
      <c r="D19" s="24" t="inlineStr">
        <is>
          <t>JSON 상세는 dashboard_payload 파일 참조</t>
        </is>
      </c>
    </row>
    <row r="20" ht="24" customHeight="1">
      <c r="A20" s="29" t="inlineStr">
        <is>
          <t>요약 카드</t>
        </is>
      </c>
      <c r="B20" s="29" t="inlineStr">
        <is>
          <t>1년 수익률</t>
        </is>
      </c>
      <c r="C20" s="29" t="inlineStr">
        <is>
          <t>1년 수익률</t>
        </is>
      </c>
      <c r="D20" s="29" t="inlineStr">
        <is>
          <t>JSON 상세는 dashboard_payload 파일 참조</t>
        </is>
      </c>
    </row>
    <row r="21" ht="24" customHeight="1">
      <c r="A21" s="24" t="inlineStr">
        <is>
          <t>요약 카드</t>
        </is>
      </c>
      <c r="B21" s="24" t="inlineStr">
        <is>
          <t>MDD</t>
        </is>
      </c>
      <c r="C21" s="24" t="inlineStr">
        <is>
          <t>MDD</t>
        </is>
      </c>
      <c r="D21" s="24" t="inlineStr">
        <is>
          <t>JSON 상세는 dashboard_payload 파일 참조</t>
        </is>
      </c>
    </row>
    <row r="22" ht="24" customHeight="1">
      <c r="A22" s="29" t="inlineStr">
        <is>
          <t>요약 카드</t>
        </is>
      </c>
      <c r="B22" s="29" t="inlineStr">
        <is>
          <t>volatility</t>
        </is>
      </c>
      <c r="C22" s="29" t="inlineStr">
        <is>
          <t>연환산 변동성</t>
        </is>
      </c>
      <c r="D22" s="29" t="inlineStr">
        <is>
          <t>JSON 상세는 dashboard_payload 파일 참조</t>
        </is>
      </c>
    </row>
    <row r="23" ht="24" customHeight="1">
      <c r="A23" s="24" t="inlineStr">
        <is>
          <t>요약 카드</t>
        </is>
      </c>
      <c r="B23" s="24" t="inlineStr">
        <is>
          <t>시가총액</t>
        </is>
      </c>
      <c r="C23" s="24" t="inlineStr">
        <is>
          <t>시가총액</t>
        </is>
      </c>
      <c r="D23" s="24" t="inlineStr">
        <is>
          <t>JSON 상세는 dashboard_payload 파일 참조</t>
        </is>
      </c>
    </row>
    <row r="24" ht="24" customHeight="1">
      <c r="A24" s="29" t="inlineStr">
        <is>
          <t>요약 카드</t>
        </is>
      </c>
      <c r="B24" s="29" t="inlineStr">
        <is>
          <t>발행주식 수</t>
        </is>
      </c>
      <c r="C24" s="29" t="inlineStr">
        <is>
          <t>발행주식 수</t>
        </is>
      </c>
      <c r="D24" s="29" t="inlineStr">
        <is>
          <t>JSON 상세는 dashboard_payload 파일 참조</t>
        </is>
      </c>
    </row>
    <row r="25" ht="24" customHeight="1">
      <c r="A25" s="24" t="inlineStr">
        <is>
          <t>요약 카드</t>
        </is>
      </c>
      <c r="B25" s="24" t="inlineStr">
        <is>
          <t>20일 평균 거래대금</t>
        </is>
      </c>
      <c r="C25" s="24" t="inlineStr">
        <is>
          <t>20일 평균 거래대금</t>
        </is>
      </c>
      <c r="D25" s="24" t="inlineStr">
        <is>
          <t>JSON 상세는 dashboard_payload 파일 참조</t>
        </is>
      </c>
    </row>
    <row r="26" ht="24" customHeight="1">
      <c r="A26" s="29" t="inlineStr">
        <is>
          <t>요약 카드</t>
        </is>
      </c>
      <c r="B26" s="29" t="inlineStr">
        <is>
          <t>최근 거래회전율</t>
        </is>
      </c>
      <c r="C26" s="29" t="inlineStr">
        <is>
          <t>최근 거래회전율</t>
        </is>
      </c>
      <c r="D26" s="29" t="inlineStr">
        <is>
          <t>JSON 상세는 dashboard_payload 파일 참조</t>
        </is>
      </c>
    </row>
    <row r="27" ht="24" customHeight="1">
      <c r="A27" s="24" t="inlineStr">
        <is>
          <t>latest_financials</t>
        </is>
      </c>
      <c r="B27" s="24" t="inlineStr">
        <is>
          <t>상위 블록</t>
        </is>
      </c>
      <c r="C27" s="24" t="inlineStr">
        <is>
          <t>37개 항목</t>
        </is>
      </c>
      <c r="D27" s="24" t="inlineStr">
        <is>
          <t>대시보드에서 객체로 사용</t>
        </is>
      </c>
    </row>
    <row r="28" ht="24" customHeight="1">
      <c r="A28" s="29" t="inlineStr">
        <is>
          <t>latest_financials</t>
        </is>
      </c>
      <c r="B28" s="29" t="inlineStr">
        <is>
          <t>연도</t>
        </is>
      </c>
      <c r="C28" s="31" t="n">
        <v>2025</v>
      </c>
      <c r="D28" s="29" t="inlineStr">
        <is>
          <t>JSON 상세는 dashboard_payload 파일 참조</t>
        </is>
      </c>
    </row>
    <row r="29" ht="24" customHeight="1">
      <c r="A29" s="24" t="inlineStr">
        <is>
          <t>latest_financials</t>
        </is>
      </c>
      <c r="B29" s="24" t="inlineStr">
        <is>
          <t>매출액</t>
        </is>
      </c>
      <c r="C29" s="30" t="n">
        <v>977036793661</v>
      </c>
      <c r="D29" s="24" t="inlineStr">
        <is>
          <t>JSON 상세는 dashboard_payload 파일 참조</t>
        </is>
      </c>
    </row>
    <row r="30" ht="24" customHeight="1">
      <c r="A30" s="29" t="inlineStr">
        <is>
          <t>latest_financials</t>
        </is>
      </c>
      <c r="B30" s="29" t="inlineStr">
        <is>
          <t>영업이익</t>
        </is>
      </c>
      <c r="C30" s="31" t="n">
        <v>101004245476</v>
      </c>
      <c r="D30" s="29" t="inlineStr">
        <is>
          <t>JSON 상세는 dashboard_payload 파일 참조</t>
        </is>
      </c>
    </row>
    <row r="31" ht="24" customHeight="1">
      <c r="A31" s="24" t="inlineStr">
        <is>
          <t>latest_financials</t>
        </is>
      </c>
      <c r="B31" s="24" t="inlineStr">
        <is>
          <t>순이익</t>
        </is>
      </c>
      <c r="C31" s="30" t="n">
        <v>74949266372</v>
      </c>
      <c r="D31" s="24" t="inlineStr">
        <is>
          <t>JSON 상세는 dashboard_payload 파일 참조</t>
        </is>
      </c>
    </row>
    <row r="32" ht="24" customHeight="1">
      <c r="A32" s="29" t="inlineStr">
        <is>
          <t>latest_financials</t>
        </is>
      </c>
      <c r="B32" s="29" t="inlineStr">
        <is>
          <t>자산총계</t>
        </is>
      </c>
      <c r="C32" s="31" t="n">
        <v>2264573968886</v>
      </c>
      <c r="D32" s="29" t="inlineStr">
        <is>
          <t>JSON 상세는 dashboard_payload 파일 참조</t>
        </is>
      </c>
    </row>
    <row r="33" ht="24" customHeight="1">
      <c r="A33" s="24" t="inlineStr">
        <is>
          <t>latest_financials</t>
        </is>
      </c>
      <c r="B33" s="24" t="inlineStr">
        <is>
          <t>부채총계</t>
        </is>
      </c>
      <c r="C33" s="30" t="n">
        <v>1575474068220</v>
      </c>
      <c r="D33" s="24" t="inlineStr">
        <is>
          <t>JSON 상세는 dashboard_payload 파일 참조</t>
        </is>
      </c>
    </row>
    <row r="34" ht="24" customHeight="1">
      <c r="A34" s="29" t="inlineStr">
        <is>
          <t>latest_financials</t>
        </is>
      </c>
      <c r="B34" s="29" t="inlineStr">
        <is>
          <t>자본총계</t>
        </is>
      </c>
      <c r="C34" s="31" t="n">
        <v>689099900666</v>
      </c>
      <c r="D34" s="29" t="inlineStr">
        <is>
          <t>JSON 상세는 dashboard_payload 파일 참조</t>
        </is>
      </c>
    </row>
    <row r="35" ht="24" customHeight="1">
      <c r="A35" s="24" t="inlineStr">
        <is>
          <t>latest_financials</t>
        </is>
      </c>
      <c r="B35" s="24" t="inlineStr">
        <is>
          <t>현금성자산</t>
        </is>
      </c>
      <c r="C35" s="30" t="n">
        <v>308049235584</v>
      </c>
      <c r="D35" s="24" t="inlineStr">
        <is>
          <t>JSON 상세는 dashboard_payload 파일 참조</t>
        </is>
      </c>
    </row>
    <row r="36" ht="24" customHeight="1">
      <c r="A36" s="29" t="inlineStr">
        <is>
          <t>latest_financials</t>
        </is>
      </c>
      <c r="B36" s="29" t="inlineStr">
        <is>
          <t>영업현금흐름</t>
        </is>
      </c>
      <c r="C36" s="31" t="n">
        <v>24830688331</v>
      </c>
      <c r="D36" s="29" t="inlineStr">
        <is>
          <t>JSON 상세는 dashboard_payload 파일 참조</t>
        </is>
      </c>
    </row>
    <row r="37" ht="24" customHeight="1">
      <c r="A37" s="24" t="inlineStr">
        <is>
          <t>latest_financials</t>
        </is>
      </c>
      <c r="B37" s="24" t="inlineStr">
        <is>
          <t>CAPEX</t>
        </is>
      </c>
      <c r="C37" s="30" t="n">
        <v>6355214625</v>
      </c>
      <c r="D37" s="24" t="inlineStr">
        <is>
          <t>JSON 상세는 dashboard_payload 파일 참조</t>
        </is>
      </c>
    </row>
    <row r="38" ht="24" customHeight="1">
      <c r="A38" s="29" t="inlineStr">
        <is>
          <t>latest_financials</t>
        </is>
      </c>
      <c r="B38" s="29" t="inlineStr">
        <is>
          <t>FCF</t>
        </is>
      </c>
      <c r="C38" s="31" t="n">
        <v>18475473706</v>
      </c>
      <c r="D38" s="29" t="inlineStr">
        <is>
          <t>JSON 상세는 dashboard_payload 파일 참조</t>
        </is>
      </c>
    </row>
    <row r="39" ht="24" customHeight="1">
      <c r="A39" s="24" t="inlineStr">
        <is>
          <t>latest_financials</t>
        </is>
      </c>
      <c r="B39" s="24" t="inlineStr">
        <is>
          <t>투자현금흐름</t>
        </is>
      </c>
      <c r="C39" s="30" t="n">
        <v>-566350071888</v>
      </c>
      <c r="D39" s="24" t="inlineStr">
        <is>
          <t>JSON 상세는 dashboard_payload 파일 참조</t>
        </is>
      </c>
    </row>
    <row r="40" ht="24" customHeight="1">
      <c r="A40" s="29" t="inlineStr">
        <is>
          <t>latest_financials</t>
        </is>
      </c>
      <c r="B40" s="29" t="inlineStr">
        <is>
          <t>원천계정수</t>
        </is>
      </c>
      <c r="C40" s="31" t="n">
        <v>259</v>
      </c>
      <c r="D40" s="29" t="inlineStr">
        <is>
          <t>JSON 상세는 dashboard_payload 파일 참조</t>
        </is>
      </c>
    </row>
    <row r="41" ht="24" customHeight="1">
      <c r="A41" s="24" t="inlineStr">
        <is>
          <t>latest_financials</t>
        </is>
      </c>
      <c r="B41" s="24" t="inlineStr">
        <is>
          <t>매출 원천계정</t>
        </is>
      </c>
      <c r="C41" s="24" t="inlineStr">
        <is>
          <t>매출액</t>
        </is>
      </c>
      <c r="D41" s="24" t="inlineStr">
        <is>
          <t>JSON 상세는 dashboard_payload 파일 참조</t>
        </is>
      </c>
    </row>
    <row r="42" ht="24" customHeight="1">
      <c r="A42" s="29" t="inlineStr">
        <is>
          <t>latest_financials</t>
        </is>
      </c>
      <c r="B42" s="29" t="inlineStr">
        <is>
          <t>영업이익 원천계정</t>
        </is>
      </c>
      <c r="C42" s="29" t="inlineStr">
        <is>
          <t>영업이익</t>
        </is>
      </c>
      <c r="D42" s="29" t="inlineStr">
        <is>
          <t>JSON 상세는 dashboard_payload 파일 참조</t>
        </is>
      </c>
    </row>
    <row r="43" ht="24" customHeight="1">
      <c r="A43" s="24" t="inlineStr">
        <is>
          <t>latest_financials</t>
        </is>
      </c>
      <c r="B43" s="24" t="inlineStr">
        <is>
          <t>순이익 원천계정</t>
        </is>
      </c>
      <c r="C43" s="24" t="inlineStr">
        <is>
          <t>당기순이익</t>
        </is>
      </c>
      <c r="D43" s="24" t="inlineStr">
        <is>
          <t>JSON 상세는 dashboard_payload 파일 참조</t>
        </is>
      </c>
    </row>
    <row r="44" ht="24" customHeight="1">
      <c r="A44" s="29" t="inlineStr">
        <is>
          <t>latest_financials</t>
        </is>
      </c>
      <c r="B44" s="29" t="inlineStr">
        <is>
          <t>자산 원천계정</t>
        </is>
      </c>
      <c r="C44" s="29" t="inlineStr">
        <is>
          <t>자산총계</t>
        </is>
      </c>
      <c r="D44" s="29" t="inlineStr">
        <is>
          <t>JSON 상세는 dashboard_payload 파일 참조</t>
        </is>
      </c>
    </row>
    <row r="45" ht="24" customHeight="1">
      <c r="A45" s="24" t="inlineStr">
        <is>
          <t>latest_financials</t>
        </is>
      </c>
      <c r="B45" s="24" t="inlineStr">
        <is>
          <t>부채 원천계정</t>
        </is>
      </c>
      <c r="C45" s="24" t="inlineStr">
        <is>
          <t>부채총계</t>
        </is>
      </c>
      <c r="D45" s="24" t="inlineStr">
        <is>
          <t>JSON 상세는 dashboard_payload 파일 참조</t>
        </is>
      </c>
    </row>
    <row r="46" ht="24" customHeight="1">
      <c r="A46" s="29" t="inlineStr">
        <is>
          <t>주가 요약</t>
        </is>
      </c>
      <c r="B46" s="29" t="inlineStr">
        <is>
          <t>상위 블록</t>
        </is>
      </c>
      <c r="C46" s="29" t="inlineStr">
        <is>
          <t>19개 항목</t>
        </is>
      </c>
      <c r="D46" s="29" t="inlineStr">
        <is>
          <t>대시보드에서 객체로 사용</t>
        </is>
      </c>
    </row>
    <row r="47" ht="24" customHeight="1">
      <c r="A47" s="24" t="inlineStr">
        <is>
          <t>주가 요약</t>
        </is>
      </c>
      <c r="B47" s="24" t="inlineStr">
        <is>
          <t>latest_close</t>
        </is>
      </c>
      <c r="C47" s="30" t="n">
        <v>19230</v>
      </c>
      <c r="D47" s="24" t="inlineStr">
        <is>
          <t>JSON 상세는 dashboard_payload 파일 참조</t>
        </is>
      </c>
    </row>
    <row r="48" ht="24" customHeight="1">
      <c r="A48" s="29" t="inlineStr">
        <is>
          <t>주가 요약</t>
        </is>
      </c>
      <c r="B48" s="29" t="inlineStr">
        <is>
          <t>first_close</t>
        </is>
      </c>
      <c r="C48" s="31" t="n">
        <v>15000</v>
      </c>
      <c r="D48" s="29" t="inlineStr">
        <is>
          <t>JSON 상세는 dashboard_payload 파일 참조</t>
        </is>
      </c>
    </row>
    <row r="49" ht="24" customHeight="1">
      <c r="A49" s="24" t="inlineStr">
        <is>
          <t>주가 요약</t>
        </is>
      </c>
      <c r="B49" s="24" t="inlineStr">
        <is>
          <t>return_total</t>
        </is>
      </c>
      <c r="C49" s="30" t="n">
        <v>0.282</v>
      </c>
      <c r="D49" s="24" t="inlineStr">
        <is>
          <t>JSON 상세는 dashboard_payload 파일 참조</t>
        </is>
      </c>
    </row>
    <row r="50" ht="24" customHeight="1">
      <c r="A50" s="29" t="inlineStr">
        <is>
          <t>주가 요약</t>
        </is>
      </c>
      <c r="B50" s="29" t="inlineStr">
        <is>
          <t>1년 수익률</t>
        </is>
      </c>
      <c r="C50" s="31" t="n">
        <v>0.7108540925266904</v>
      </c>
      <c r="D50" s="29" t="inlineStr">
        <is>
          <t>JSON 상세는 dashboard_payload 파일 참조</t>
        </is>
      </c>
    </row>
    <row r="51" ht="24" customHeight="1">
      <c r="A51" s="24" t="inlineStr">
        <is>
          <t>주가 요약</t>
        </is>
      </c>
      <c r="B51" s="24" t="inlineStr">
        <is>
          <t>연환산 변동성</t>
        </is>
      </c>
      <c r="C51" s="30" t="n">
        <v>0.6307297501610765</v>
      </c>
      <c r="D51" s="24" t="inlineStr">
        <is>
          <t>JSON 상세는 dashboard_payload 파일 참조</t>
        </is>
      </c>
    </row>
    <row r="52" ht="24" customHeight="1">
      <c r="A52" s="29" t="inlineStr">
        <is>
          <t>주가 요약</t>
        </is>
      </c>
      <c r="B52" s="29" t="inlineStr">
        <is>
          <t>MDD</t>
        </is>
      </c>
      <c r="C52" s="31" t="n">
        <v>-0.6273062730627306</v>
      </c>
      <c r="D52" s="29" t="inlineStr">
        <is>
          <t>JSON 상세는 dashboard_payload 파일 참조</t>
        </is>
      </c>
    </row>
    <row r="53" ht="24" customHeight="1">
      <c r="A53" s="24" t="inlineStr">
        <is>
          <t>주가 요약</t>
        </is>
      </c>
      <c r="B53" s="24" t="inlineStr">
        <is>
          <t>52주 고가</t>
        </is>
      </c>
      <c r="C53" s="30" t="n">
        <v>27900</v>
      </c>
      <c r="D53" s="24" t="inlineStr">
        <is>
          <t>JSON 상세는 dashboard_payload 파일 참조</t>
        </is>
      </c>
    </row>
    <row r="54" ht="24" customHeight="1">
      <c r="A54" s="29" t="inlineStr">
        <is>
          <t>주가 요약</t>
        </is>
      </c>
      <c r="B54" s="29" t="inlineStr">
        <is>
          <t>52주 저가</t>
        </is>
      </c>
      <c r="C54" s="31" t="n">
        <v>10950</v>
      </c>
      <c r="D54" s="29" t="inlineStr">
        <is>
          <t>JSON 상세는 dashboard_payload 파일 참조</t>
        </is>
      </c>
    </row>
    <row r="55" ht="24" customHeight="1">
      <c r="A55" s="24" t="inlineStr">
        <is>
          <t>주가 요약</t>
        </is>
      </c>
      <c r="B55" s="24" t="inlineStr">
        <is>
          <t>발행주식 수</t>
        </is>
      </c>
      <c r="C55" s="30" t="n">
        <v>33416778</v>
      </c>
      <c r="D55" s="24" t="inlineStr">
        <is>
          <t>JSON 상세는 dashboard_payload 파일 참조</t>
        </is>
      </c>
    </row>
    <row r="56" ht="24" customHeight="1">
      <c r="A56" s="29" t="inlineStr">
        <is>
          <t>주가 요약</t>
        </is>
      </c>
      <c r="B56" s="29" t="inlineStr">
        <is>
          <t>시가총액</t>
        </is>
      </c>
      <c r="C56" s="31" t="n">
        <v>642604640940</v>
      </c>
      <c r="D56" s="29" t="inlineStr">
        <is>
          <t>JSON 상세는 dashboard_payload 파일 참조</t>
        </is>
      </c>
    </row>
    <row r="57" ht="24" customHeight="1">
      <c r="A57" s="24" t="inlineStr">
        <is>
          <t>주가 요약</t>
        </is>
      </c>
      <c r="B57" s="24" t="inlineStr">
        <is>
          <t>최근 거래량</t>
        </is>
      </c>
      <c r="C57" s="30" t="n">
        <v>161922</v>
      </c>
      <c r="D57" s="24" t="inlineStr">
        <is>
          <t>JSON 상세는 dashboard_payload 파일 참조</t>
        </is>
      </c>
    </row>
    <row r="58" ht="24" customHeight="1">
      <c r="A58" s="29" t="inlineStr">
        <is>
          <t>주가 요약</t>
        </is>
      </c>
      <c r="B58" s="29" t="inlineStr">
        <is>
          <t>최근 거래대금</t>
        </is>
      </c>
      <c r="C58" s="31" t="n">
        <v>3113760060</v>
      </c>
      <c r="D58" s="29" t="inlineStr">
        <is>
          <t>JSON 상세는 dashboard_payload 파일 참조</t>
        </is>
      </c>
    </row>
    <row r="59" ht="24" customHeight="1">
      <c r="A59" s="24" t="inlineStr">
        <is>
          <t>주가 요약</t>
        </is>
      </c>
      <c r="B59" s="24" t="inlineStr">
        <is>
          <t>20일 평균 거래대금</t>
        </is>
      </c>
      <c r="C59" s="30" t="n">
        <v>20420408913</v>
      </c>
      <c r="D59" s="24" t="inlineStr">
        <is>
          <t>JSON 상세는 dashboard_payload 파일 참조</t>
        </is>
      </c>
    </row>
    <row r="60" ht="24" customHeight="1">
      <c r="A60" s="29" t="inlineStr">
        <is>
          <t>주가 요약</t>
        </is>
      </c>
      <c r="B60" s="29" t="inlineStr">
        <is>
          <t>20일 평균 거래량</t>
        </is>
      </c>
      <c r="C60" s="31" t="n">
        <v>861972.1</v>
      </c>
      <c r="D60" s="29" t="inlineStr">
        <is>
          <t>JSON 상세는 dashboard_payload 파일 참조</t>
        </is>
      </c>
    </row>
    <row r="61" ht="24" customHeight="1">
      <c r="A61" s="24" t="inlineStr">
        <is>
          <t>주가 요약</t>
        </is>
      </c>
      <c r="B61" s="24" t="inlineStr">
        <is>
          <t>최근 거래회전율</t>
        </is>
      </c>
      <c r="C61" s="30" t="n">
        <v>0.004845529990952449</v>
      </c>
      <c r="D61" s="24" t="inlineStr">
        <is>
          <t>JSON 상세는 dashboard_payload 파일 참조</t>
        </is>
      </c>
    </row>
    <row r="62" ht="24" customHeight="1">
      <c r="A62" s="29" t="inlineStr">
        <is>
          <t>주가 요약</t>
        </is>
      </c>
      <c r="B62" s="29" t="inlineStr">
        <is>
          <t>20일 평균 거래회전율</t>
        </is>
      </c>
      <c r="C62" s="31" t="n">
        <v>0.0257945903701428</v>
      </c>
      <c r="D62" s="29" t="inlineStr">
        <is>
          <t>JSON 상세는 dashboard_payload 파일 참조</t>
        </is>
      </c>
    </row>
    <row r="63" ht="24" customHeight="1">
      <c r="A63" s="24" t="inlineStr">
        <is>
          <t>주가 요약</t>
        </is>
      </c>
      <c r="B63" s="24" t="inlineStr">
        <is>
          <t>price_rows</t>
        </is>
      </c>
      <c r="C63" s="30" t="n">
        <v>1221</v>
      </c>
      <c r="D63" s="24" t="inlineStr">
        <is>
          <t>JSON 상세는 dashboard_payload 파일 참조</t>
        </is>
      </c>
    </row>
    <row r="64" ht="24" customHeight="1">
      <c r="A64" s="29" t="inlineStr">
        <is>
          <t>주가 요약</t>
        </is>
      </c>
      <c r="B64" s="29" t="inlineStr">
        <is>
          <t>price_start</t>
        </is>
      </c>
      <c r="C64" s="29" t="inlineStr">
        <is>
          <t>2021-05-20</t>
        </is>
      </c>
      <c r="D64" s="29" t="inlineStr">
        <is>
          <t>JSON 상세는 dashboard_payload 파일 참조</t>
        </is>
      </c>
    </row>
    <row r="65" ht="24" customHeight="1">
      <c r="A65" s="24" t="inlineStr">
        <is>
          <t>WACC</t>
        </is>
      </c>
      <c r="B65" s="24" t="inlineStr">
        <is>
          <t>상위 블록</t>
        </is>
      </c>
      <c r="C65" s="24" t="inlineStr">
        <is>
          <t>14개 항목</t>
        </is>
      </c>
      <c r="D65" s="24" t="inlineStr">
        <is>
          <t>대시보드에서 객체로 사용</t>
        </is>
      </c>
    </row>
    <row r="66" ht="24" customHeight="1">
      <c r="A66" s="29" t="inlineStr">
        <is>
          <t>WACC</t>
        </is>
      </c>
      <c r="B66" s="29" t="inlineStr">
        <is>
          <t>risk_free_rate</t>
        </is>
      </c>
      <c r="C66" s="31" t="n">
        <v>0.035</v>
      </c>
      <c r="D66" s="29" t="inlineStr">
        <is>
          <t>JSON 상세는 dashboard_payload 파일 참조</t>
        </is>
      </c>
    </row>
    <row r="67" ht="24" customHeight="1">
      <c r="A67" s="24" t="inlineStr">
        <is>
          <t>WACC</t>
        </is>
      </c>
      <c r="B67" s="24" t="inlineStr">
        <is>
          <t>market_risk_premium</t>
        </is>
      </c>
      <c r="C67" s="30" t="n">
        <v>0.06</v>
      </c>
      <c r="D67" s="24" t="inlineStr">
        <is>
          <t>JSON 상세는 dashboard_payload 파일 참조</t>
        </is>
      </c>
    </row>
    <row r="68" ht="24" customHeight="1">
      <c r="A68" s="29" t="inlineStr">
        <is>
          <t>WACC</t>
        </is>
      </c>
      <c r="B68" s="29" t="inlineStr">
        <is>
          <t>beta</t>
        </is>
      </c>
      <c r="C68" s="31" t="n">
        <v>1.8</v>
      </c>
      <c r="D68" s="29" t="inlineStr">
        <is>
          <t>JSON 상세는 dashboard_payload 파일 참조</t>
        </is>
      </c>
    </row>
    <row r="69" ht="24" customHeight="1">
      <c r="A69" s="24" t="inlineStr">
        <is>
          <t>WACC</t>
        </is>
      </c>
      <c r="B69" s="24" t="inlineStr">
        <is>
          <t>cost_of_equity</t>
        </is>
      </c>
      <c r="C69" s="30" t="n">
        <v>0.143</v>
      </c>
      <c r="D69" s="24" t="inlineStr">
        <is>
          <t>JSON 상세는 dashboard_payload 파일 참조</t>
        </is>
      </c>
    </row>
    <row r="70" ht="24" customHeight="1">
      <c r="A70" s="29" t="inlineStr">
        <is>
          <t>WACC</t>
        </is>
      </c>
      <c r="B70" s="29" t="inlineStr">
        <is>
          <t>pre_tax_cost_of_debt</t>
        </is>
      </c>
      <c r="C70" s="31" t="n">
        <v>0.055</v>
      </c>
      <c r="D70" s="29" t="inlineStr">
        <is>
          <t>JSON 상세는 dashboard_payload 파일 참조</t>
        </is>
      </c>
    </row>
    <row r="71" ht="24" customHeight="1">
      <c r="A71" s="24" t="inlineStr">
        <is>
          <t>WACC</t>
        </is>
      </c>
      <c r="B71" s="24" t="inlineStr">
        <is>
          <t>tax_rate</t>
        </is>
      </c>
      <c r="C71" s="30" t="n">
        <v>0.24</v>
      </c>
      <c r="D71" s="24" t="inlineStr">
        <is>
          <t>JSON 상세는 dashboard_payload 파일 참조</t>
        </is>
      </c>
    </row>
    <row r="72" ht="24" customHeight="1">
      <c r="A72" s="29" t="inlineStr">
        <is>
          <t>WACC</t>
        </is>
      </c>
      <c r="B72" s="29" t="inlineStr">
        <is>
          <t>after_tax_cost_of_debt</t>
        </is>
      </c>
      <c r="C72" s="31" t="n">
        <v>0.0418</v>
      </c>
      <c r="D72" s="29" t="inlineStr">
        <is>
          <t>JSON 상세는 dashboard_payload 파일 참조</t>
        </is>
      </c>
    </row>
    <row r="73" ht="24" customHeight="1">
      <c r="A73" s="24" t="inlineStr">
        <is>
          <t>WACC</t>
        </is>
      </c>
      <c r="B73" s="24" t="inlineStr">
        <is>
          <t>debt_weight</t>
        </is>
      </c>
      <c r="C73" s="30" t="n">
        <v>0.7102877195988422</v>
      </c>
      <c r="D73" s="24" t="inlineStr">
        <is>
          <t>JSON 상세는 dashboard_payload 파일 참조</t>
        </is>
      </c>
    </row>
    <row r="74" ht="24" customHeight="1">
      <c r="A74" s="29" t="inlineStr">
        <is>
          <t>WACC</t>
        </is>
      </c>
      <c r="B74" s="29" t="inlineStr">
        <is>
          <t>equity_weight</t>
        </is>
      </c>
      <c r="C74" s="31" t="n">
        <v>0.2897122804011578</v>
      </c>
      <c r="D74" s="29" t="inlineStr">
        <is>
          <t>JSON 상세는 dashboard_payload 파일 참조</t>
        </is>
      </c>
    </row>
    <row r="75" ht="24" customHeight="1">
      <c r="A75" s="24" t="inlineStr">
        <is>
          <t>WACC</t>
        </is>
      </c>
      <c r="B75" s="24" t="inlineStr">
        <is>
          <t>book_equity</t>
        </is>
      </c>
      <c r="C75" s="30" t="n">
        <v>689099900666</v>
      </c>
      <c r="D75" s="24" t="inlineStr">
        <is>
          <t>JSON 상세는 dashboard_payload 파일 참조</t>
        </is>
      </c>
    </row>
    <row r="76" ht="24" customHeight="1">
      <c r="A76" s="29" t="inlineStr">
        <is>
          <t>WACC</t>
        </is>
      </c>
      <c r="B76" s="29" t="inlineStr">
        <is>
          <t>market_cap_used_for_equity_weight</t>
        </is>
      </c>
      <c r="C76" s="31" t="n">
        <v>642604640940</v>
      </c>
      <c r="D76" s="29" t="inlineStr">
        <is>
          <t>JSON 상세는 dashboard_payload 파일 참조</t>
        </is>
      </c>
    </row>
    <row r="77" ht="24" customHeight="1">
      <c r="A77" s="24" t="inlineStr">
        <is>
          <t>WACC</t>
        </is>
      </c>
      <c r="B77" s="24" t="inlineStr">
        <is>
          <t>debt_proxy_liabilities</t>
        </is>
      </c>
      <c r="C77" s="30" t="n">
        <v>1575474068220</v>
      </c>
      <c r="D77" s="24" t="inlineStr">
        <is>
          <t>JSON 상세는 dashboard_payload 파일 참조</t>
        </is>
      </c>
    </row>
    <row r="78" ht="24" customHeight="1">
      <c r="A78" s="29" t="inlineStr">
        <is>
          <t>WACC</t>
        </is>
      </c>
      <c r="B78" s="29" t="inlineStr">
        <is>
          <t>WACC</t>
        </is>
      </c>
      <c r="C78" s="31" t="n">
        <v>0.07111888277659718</v>
      </c>
      <c r="D78" s="29" t="inlineStr">
        <is>
          <t>JSON 상세는 dashboard_payload 파일 참조</t>
        </is>
      </c>
    </row>
    <row r="79" ht="24" customHeight="1">
      <c r="A79" s="24" t="inlineStr">
        <is>
          <t>WACC</t>
        </is>
      </c>
      <c r="B79" s="24" t="inlineStr">
        <is>
          <t>weighting_note</t>
        </is>
      </c>
      <c r="C79" s="24" t="inlineStr">
        <is>
          <t>Uses market cap when share-count intake is available; otherwise uses book equity.</t>
        </is>
      </c>
      <c r="D79" s="24" t="inlineStr">
        <is>
          <t>JSON 상세는 dashboard_payload 파일 참조</t>
        </is>
      </c>
    </row>
    <row r="80" ht="24" customHeight="1">
      <c r="A80" s="29" t="inlineStr">
        <is>
          <t>dcf</t>
        </is>
      </c>
      <c r="B80" s="29" t="inlineStr">
        <is>
          <t>상위 블록</t>
        </is>
      </c>
      <c r="C80" s="29" t="inlineStr">
        <is>
          <t>23개 항목</t>
        </is>
      </c>
      <c r="D80" s="29" t="inlineStr">
        <is>
          <t>대시보드에서 객체로 사용</t>
        </is>
      </c>
    </row>
    <row r="81" ht="24" customHeight="1">
      <c r="A81" s="24" t="inlineStr">
        <is>
          <t>dcf</t>
        </is>
      </c>
      <c r="B81" s="24" t="inlineStr">
        <is>
          <t>상태</t>
        </is>
      </c>
      <c r="C81" s="24" t="inlineStr">
        <is>
          <t>OK</t>
        </is>
      </c>
      <c r="D81" s="24" t="inlineStr">
        <is>
          <t>JSON 상세는 dashboard_payload 파일 참조</t>
        </is>
      </c>
    </row>
    <row r="82" ht="24" customHeight="1">
      <c r="A82" s="29" t="inlineStr">
        <is>
          <t>dcf</t>
        </is>
      </c>
      <c r="B82" s="29" t="inlineStr">
        <is>
          <t>base_year</t>
        </is>
      </c>
      <c r="C82" s="31" t="n">
        <v>2025</v>
      </c>
      <c r="D82" s="29" t="inlineStr">
        <is>
          <t>JSON 상세는 dashboard_payload 파일 참조</t>
        </is>
      </c>
    </row>
    <row r="83" ht="24" customHeight="1">
      <c r="A83" s="24" t="inlineStr">
        <is>
          <t>dcf</t>
        </is>
      </c>
      <c r="B83" s="24" t="inlineStr">
        <is>
          <t>base_revenue</t>
        </is>
      </c>
      <c r="C83" s="30" t="n">
        <v>977036793661</v>
      </c>
      <c r="D83" s="24" t="inlineStr">
        <is>
          <t>JSON 상세는 dashboard_payload 파일 참조</t>
        </is>
      </c>
    </row>
    <row r="84" ht="24" customHeight="1">
      <c r="A84" s="29" t="inlineStr">
        <is>
          <t>dcf</t>
        </is>
      </c>
      <c r="B84" s="29" t="inlineStr">
        <is>
          <t>historical_revenue_cagr</t>
        </is>
      </c>
      <c r="C84" s="31" t="n">
        <v>0.2786705207467139</v>
      </c>
      <c r="D84" s="29" t="inlineStr">
        <is>
          <t>JSON 상세는 dashboard_payload 파일 참조</t>
        </is>
      </c>
    </row>
    <row r="85" ht="24" customHeight="1">
      <c r="A85" s="24" t="inlineStr">
        <is>
          <t>dcf</t>
        </is>
      </c>
      <c r="B85" s="24" t="inlineStr">
        <is>
          <t>assumed_revenue_growth</t>
        </is>
      </c>
      <c r="C85" s="30" t="n">
        <v>0.2</v>
      </c>
      <c r="D85" s="24" t="inlineStr">
        <is>
          <t>JSON 상세는 dashboard_payload 파일 참조</t>
        </is>
      </c>
    </row>
    <row r="86" ht="24" customHeight="1">
      <c r="A86" s="29" t="inlineStr">
        <is>
          <t>dcf</t>
        </is>
      </c>
      <c r="B86" s="29" t="inlineStr">
        <is>
          <t>assumed_op_margin</t>
        </is>
      </c>
      <c r="C86" s="31" t="n">
        <v>0.1109885354322</v>
      </c>
      <c r="D86" s="29" t="inlineStr">
        <is>
          <t>JSON 상세는 dashboard_payload 파일 참조</t>
        </is>
      </c>
    </row>
    <row r="87" ht="24" customHeight="1">
      <c r="A87" s="24" t="inlineStr">
        <is>
          <t>dcf</t>
        </is>
      </c>
      <c r="B87" s="24" t="inlineStr">
        <is>
          <t>assumed_fcf_margin</t>
        </is>
      </c>
      <c r="C87" s="30" t="n">
        <v>0.1148782313990472</v>
      </c>
      <c r="D87" s="24" t="inlineStr">
        <is>
          <t>JSON 상세는 dashboard_payload 파일 참조</t>
        </is>
      </c>
    </row>
    <row r="88" ht="24" customHeight="1">
      <c r="A88" s="29" t="inlineStr">
        <is>
          <t>dcf</t>
        </is>
      </c>
      <c r="B88" s="29" t="inlineStr">
        <is>
          <t>WACC</t>
        </is>
      </c>
      <c r="C88" s="31" t="n">
        <v>0.07111888277659718</v>
      </c>
      <c r="D88" s="29" t="inlineStr">
        <is>
          <t>JSON 상세는 dashboard_payload 파일 참조</t>
        </is>
      </c>
    </row>
    <row r="89" ht="24" customHeight="1">
      <c r="A89" s="24" t="inlineStr">
        <is>
          <t>dcf</t>
        </is>
      </c>
      <c r="B89" s="24" t="inlineStr">
        <is>
          <t>terminal_growth_rate</t>
        </is>
      </c>
      <c r="C89" s="30" t="n">
        <v>0.015</v>
      </c>
      <c r="D89" s="24" t="inlineStr">
        <is>
          <t>JSON 상세는 dashboard_payload 파일 참조</t>
        </is>
      </c>
    </row>
    <row r="90" ht="24" customHeight="1">
      <c r="A90" s="29" t="inlineStr">
        <is>
          <t>dcf</t>
        </is>
      </c>
      <c r="B90" s="29" t="inlineStr">
        <is>
          <t>projection_years</t>
        </is>
      </c>
      <c r="C90" s="31" t="n">
        <v>5</v>
      </c>
      <c r="D90" s="29" t="inlineStr">
        <is>
          <t>JSON 상세는 dashboard_payload 파일 참조</t>
        </is>
      </c>
    </row>
    <row r="91" ht="24" customHeight="1">
      <c r="A91" s="24" t="inlineStr">
        <is>
          <t>dcf</t>
        </is>
      </c>
      <c r="B91" s="24" t="inlineStr">
        <is>
          <t>FCF 현재가치</t>
        </is>
      </c>
      <c r="C91" s="30" t="n">
        <v>629382020157.1637</v>
      </c>
      <c r="D91" s="24" t="inlineStr">
        <is>
          <t>JSON 상세는 dashboard_payload 파일 참조</t>
        </is>
      </c>
    </row>
    <row r="92" ht="24" customHeight="1">
      <c r="A92" s="29" t="inlineStr">
        <is>
          <t>dcf</t>
        </is>
      </c>
      <c r="B92" s="29" t="inlineStr">
        <is>
          <t>terminal_value</t>
        </is>
      </c>
      <c r="C92" s="31" t="n">
        <v>3091245182425.475</v>
      </c>
      <c r="D92" s="29" t="inlineStr">
        <is>
          <t>JSON 상세는 dashboard_payload 파일 참조</t>
        </is>
      </c>
    </row>
    <row r="93" ht="24" customHeight="1">
      <c r="A93" s="24" t="inlineStr">
        <is>
          <t>dcf</t>
        </is>
      </c>
      <c r="B93" s="24" t="inlineStr">
        <is>
          <t>Terminal 현재가치</t>
        </is>
      </c>
      <c r="C93" s="30" t="n">
        <v>2192527628550.392</v>
      </c>
      <c r="D93" s="24" t="inlineStr">
        <is>
          <t>JSON 상세는 dashboard_payload 파일 참조</t>
        </is>
      </c>
    </row>
    <row r="94" ht="24" customHeight="1">
      <c r="A94" s="29" t="inlineStr">
        <is>
          <t>dcf</t>
        </is>
      </c>
      <c r="B94" s="29" t="inlineStr">
        <is>
          <t>기업가치(EV)</t>
        </is>
      </c>
      <c r="C94" s="31" t="n">
        <v>2821909648707.556</v>
      </c>
      <c r="D94" s="29" t="inlineStr">
        <is>
          <t>JSON 상세는 dashboard_payload 파일 참조</t>
        </is>
      </c>
    </row>
    <row r="95" ht="24" customHeight="1">
      <c r="A95" s="24" t="inlineStr">
        <is>
          <t>dcf</t>
        </is>
      </c>
      <c r="B95" s="24" t="inlineStr">
        <is>
          <t>현금성자산</t>
        </is>
      </c>
      <c r="C95" s="30" t="n">
        <v>308049235584</v>
      </c>
      <c r="D95" s="24" t="inlineStr">
        <is>
          <t>JSON 상세는 dashboard_payload 파일 참조</t>
        </is>
      </c>
    </row>
    <row r="96" ht="24" customHeight="1">
      <c r="A96" s="29" t="inlineStr">
        <is>
          <t>dcf</t>
        </is>
      </c>
      <c r="B96" s="29" t="inlineStr">
        <is>
          <t>debt_proxy_liabilities</t>
        </is>
      </c>
      <c r="C96" s="31" t="n">
        <v>1575474068220</v>
      </c>
      <c r="D96" s="29" t="inlineStr">
        <is>
          <t>JSON 상세는 dashboard_payload 파일 참조</t>
        </is>
      </c>
    </row>
    <row r="97" ht="24" customHeight="1">
      <c r="A97" s="24" t="inlineStr">
        <is>
          <t>dcf</t>
        </is>
      </c>
      <c r="B97" s="24" t="inlineStr">
        <is>
          <t>equity_value</t>
        </is>
      </c>
      <c r="C97" s="30" t="n">
        <v>1554484816071.556</v>
      </c>
      <c r="D97" s="24" t="inlineStr">
        <is>
          <t>JSON 상세는 dashboard_payload 파일 참조</t>
        </is>
      </c>
    </row>
    <row r="98" ht="24" customHeight="1">
      <c r="A98" s="29" t="inlineStr">
        <is>
          <t>dcf</t>
        </is>
      </c>
      <c r="B98" s="29" t="inlineStr">
        <is>
          <t>발행주식 수</t>
        </is>
      </c>
      <c r="C98" s="31" t="n">
        <v>33416778</v>
      </c>
      <c r="D98" s="29" t="inlineStr">
        <is>
          <t>JSON 상세는 dashboard_payload 파일 참조</t>
        </is>
      </c>
    </row>
    <row r="99" ht="24" customHeight="1">
      <c r="A99" s="24" t="inlineStr">
        <is>
          <t>chart_series</t>
        </is>
      </c>
      <c r="B99" s="24" t="inlineStr">
        <is>
          <t>상위 블록</t>
        </is>
      </c>
      <c r="C99" s="24" t="inlineStr">
        <is>
          <t>5개 항목</t>
        </is>
      </c>
      <c r="D99" s="24" t="inlineStr">
        <is>
          <t>대시보드에서 객체로 사용</t>
        </is>
      </c>
    </row>
    <row r="100" ht="24" customHeight="1">
      <c r="A100" s="29" t="inlineStr">
        <is>
          <t>chart_series</t>
        </is>
      </c>
      <c r="B100" s="29" t="inlineStr">
        <is>
          <t>historical_financials</t>
        </is>
      </c>
      <c r="C100" s="29" t="inlineStr">
        <is>
          <t>5개 행</t>
        </is>
      </c>
      <c r="D100" s="29" t="inlineStr">
        <is>
          <t>JSON 상세는 dashboard_payload 파일 참조</t>
        </is>
      </c>
    </row>
    <row r="101" ht="24" customHeight="1">
      <c r="A101" s="24" t="inlineStr">
        <is>
          <t>chart_series</t>
        </is>
      </c>
      <c r="B101" s="24" t="inlineStr">
        <is>
          <t>price_history</t>
        </is>
      </c>
      <c r="C101" s="24" t="inlineStr">
        <is>
          <t>260개 행</t>
        </is>
      </c>
      <c r="D101" s="24" t="inlineStr">
        <is>
          <t>JSON 상세는 dashboard_payload 파일 참조</t>
        </is>
      </c>
    </row>
    <row r="102" ht="24" customHeight="1">
      <c r="A102" s="29" t="inlineStr">
        <is>
          <t>chart_series</t>
        </is>
      </c>
      <c r="B102" s="29" t="inlineStr">
        <is>
          <t>fcf_projection</t>
        </is>
      </c>
      <c r="C102" s="29" t="inlineStr">
        <is>
          <t>5개 행</t>
        </is>
      </c>
      <c r="D102" s="29" t="inlineStr">
        <is>
          <t>JSON 상세는 dashboard_payload 파일 참조</t>
        </is>
      </c>
    </row>
    <row r="103" ht="24" customHeight="1">
      <c r="A103" s="24" t="inlineStr">
        <is>
          <t>chart_series</t>
        </is>
      </c>
      <c r="B103" s="24" t="inlineStr">
        <is>
          <t>peer_multiples</t>
        </is>
      </c>
      <c r="C103" s="24" t="inlineStr">
        <is>
          <t>5개 행</t>
        </is>
      </c>
      <c r="D103" s="24" t="inlineStr">
        <is>
          <t>JSON 상세는 dashboard_payload 파일 참조</t>
        </is>
      </c>
    </row>
    <row r="104" ht="24" customHeight="1">
      <c r="A104" s="29" t="inlineStr">
        <is>
          <t>chart_series</t>
        </is>
      </c>
      <c r="B104" s="29" t="inlineStr">
        <is>
          <t>reference_universe_focus</t>
        </is>
      </c>
      <c r="C104" s="29" t="inlineStr">
        <is>
          <t>40개 행</t>
        </is>
      </c>
      <c r="D104" s="29" t="inlineStr">
        <is>
          <t>JSON 상세는 dashboard_payload 파일 참조</t>
        </is>
      </c>
    </row>
    <row r="105" ht="24" customHeight="1">
      <c r="A105" s="24" t="inlineStr">
        <is>
          <t>peer_comps</t>
        </is>
      </c>
      <c r="B105" s="24" t="inlineStr">
        <is>
          <t>상위 블록</t>
        </is>
      </c>
      <c r="C105" s="24" t="inlineStr">
        <is>
          <t>23개 항목</t>
        </is>
      </c>
      <c r="D105" s="24" t="inlineStr">
        <is>
          <t>대시보드에서 객체로 사용</t>
        </is>
      </c>
    </row>
    <row r="106" ht="24" customHeight="1">
      <c r="A106" s="29" t="inlineStr">
        <is>
          <t>peer_comps</t>
        </is>
      </c>
      <c r="B106" s="29" t="inlineStr">
        <is>
          <t>peer_rows</t>
        </is>
      </c>
      <c r="C106" s="29" t="inlineStr">
        <is>
          <t>5개 행</t>
        </is>
      </c>
      <c r="D106" s="29" t="inlineStr">
        <is>
          <t>JSON 상세는 dashboard_payload 파일 참조</t>
        </is>
      </c>
    </row>
    <row r="107" ht="24" customHeight="1">
      <c r="A107" s="24" t="inlineStr">
        <is>
          <t>peer_comps</t>
        </is>
      </c>
      <c r="B107" s="24" t="inlineStr">
        <is>
          <t>target_row</t>
        </is>
      </c>
      <c r="C107" s="24" t="inlineStr">
        <is>
          <t>35개 항목</t>
        </is>
      </c>
      <c r="D107" s="24" t="inlineStr">
        <is>
          <t>JSON 상세는 dashboard_payload 파일 참조</t>
        </is>
      </c>
    </row>
    <row r="108" ht="24" customHeight="1">
      <c r="A108" s="29" t="inlineStr">
        <is>
          <t>peer_comps</t>
        </is>
      </c>
      <c r="B108" s="29" t="inlineStr">
        <is>
          <t>target_company_key</t>
        </is>
      </c>
      <c r="C108" s="29" t="inlineStr">
        <is>
          <t>nepes</t>
        </is>
      </c>
      <c r="D108" s="29" t="inlineStr">
        <is>
          <t>JSON 상세는 dashboard_payload 파일 참조</t>
        </is>
      </c>
    </row>
    <row r="109" ht="24" customHeight="1">
      <c r="A109" s="24" t="inlineStr">
        <is>
          <t>peer_comps</t>
        </is>
      </c>
      <c r="B109" s="24" t="inlineStr">
        <is>
          <t>분석대상 P/S</t>
        </is>
      </c>
      <c r="C109" s="30" t="n">
        <v>1.233799891625982</v>
      </c>
      <c r="D109" s="24" t="inlineStr">
        <is>
          <t>JSON 상세는 dashboard_payload 파일 참조</t>
        </is>
      </c>
    </row>
    <row r="110" ht="24" customHeight="1">
      <c r="A110" s="29" t="inlineStr">
        <is>
          <t>peer_comps</t>
        </is>
      </c>
      <c r="B110" s="29" t="inlineStr">
        <is>
          <t>target_per</t>
        </is>
      </c>
      <c r="C110" s="31" t="n">
        <v>31.91415388976641</v>
      </c>
      <c r="D110" s="29" t="inlineStr">
        <is>
          <t>JSON 상세는 dashboard_payload 파일 참조</t>
        </is>
      </c>
    </row>
    <row r="111" ht="24" customHeight="1">
      <c r="A111" s="24" t="inlineStr">
        <is>
          <t>peer_comps</t>
        </is>
      </c>
      <c r="B111" s="24" t="inlineStr">
        <is>
          <t>target_pbr</t>
        </is>
      </c>
      <c r="C111" s="30" t="n">
        <v>2.621377834886817</v>
      </c>
      <c r="D111" s="24" t="inlineStr">
        <is>
          <t>JSON 상세는 dashboard_payload 파일 참조</t>
        </is>
      </c>
    </row>
    <row r="112" ht="24" customHeight="1">
      <c r="A112" s="29" t="inlineStr">
        <is>
          <t>peer_comps</t>
        </is>
      </c>
      <c r="B112" s="29" t="inlineStr">
        <is>
          <t>target_ev_sales</t>
        </is>
      </c>
      <c r="C112" s="31" t="n">
        <v>2.098279110613339</v>
      </c>
      <c r="D112" s="29" t="inlineStr">
        <is>
          <t>JSON 상세는 dashboard_payload 파일 참조</t>
        </is>
      </c>
    </row>
    <row r="113" ht="24" customHeight="1">
      <c r="A113" s="24" t="inlineStr">
        <is>
          <t>peer_comps</t>
        </is>
      </c>
      <c r="B113" s="24" t="inlineStr">
        <is>
          <t>target_market_cap</t>
        </is>
      </c>
      <c r="C113" s="30" t="n">
        <v>643351735800</v>
      </c>
      <c r="D113" s="24" t="inlineStr">
        <is>
          <t>JSON 상세는 dashboard_payload 파일 참조</t>
        </is>
      </c>
    </row>
    <row r="114" ht="24" customHeight="1">
      <c r="A114" s="29" t="inlineStr">
        <is>
          <t>peer_comps</t>
        </is>
      </c>
      <c r="B114" s="29" t="inlineStr">
        <is>
          <t>target_revenue</t>
        </is>
      </c>
      <c r="C114" s="31" t="n">
        <v>521439287008</v>
      </c>
      <c r="D114" s="29" t="inlineStr">
        <is>
          <t>JSON 상세는 dashboard_payload 파일 참조</t>
        </is>
      </c>
    </row>
    <row r="115" ht="24" customHeight="1">
      <c r="A115" s="24" t="inlineStr">
        <is>
          <t>peer_comps</t>
        </is>
      </c>
      <c r="B115" s="24" t="inlineStr">
        <is>
          <t>Peer P/S 중앙값</t>
        </is>
      </c>
      <c r="C115" s="30" t="n">
        <v>3.545579574812033</v>
      </c>
      <c r="D115" s="24" t="inlineStr">
        <is>
          <t>JSON 상세는 dashboard_payload 파일 참조</t>
        </is>
      </c>
    </row>
    <row r="116" ht="24" customHeight="1">
      <c r="A116" s="29" t="inlineStr">
        <is>
          <t>peer_comps</t>
        </is>
      </c>
      <c r="B116" s="29" t="inlineStr">
        <is>
          <t>median_per</t>
        </is>
      </c>
      <c r="C116" s="31" t="n">
        <v>23.40530542869055</v>
      </c>
      <c r="D116" s="29" t="inlineStr">
        <is>
          <t>JSON 상세는 dashboard_payload 파일 참조</t>
        </is>
      </c>
    </row>
    <row r="117" ht="24" customHeight="1">
      <c r="A117" s="24" t="inlineStr">
        <is>
          <t>peer_comps</t>
        </is>
      </c>
      <c r="B117" s="24" t="inlineStr">
        <is>
          <t>median_pbr</t>
        </is>
      </c>
      <c r="C117" s="30" t="n">
        <v>2.662253378090357</v>
      </c>
      <c r="D117" s="24" t="inlineStr">
        <is>
          <t>JSON 상세는 dashboard_payload 파일 참조</t>
        </is>
      </c>
    </row>
    <row r="118" ht="24" customHeight="1">
      <c r="A118" s="29" t="inlineStr">
        <is>
          <t>peer_comps</t>
        </is>
      </c>
      <c r="B118" s="29" t="inlineStr">
        <is>
          <t>median_ev_sales</t>
        </is>
      </c>
      <c r="C118" s="31" t="n">
        <v>4.024195713251774</v>
      </c>
      <c r="D118" s="29" t="inlineStr">
        <is>
          <t>JSON 상세는 dashboard_payload 파일 참조</t>
        </is>
      </c>
    </row>
    <row r="119" ht="24" customHeight="1">
      <c r="A119" s="24" t="inlineStr">
        <is>
          <t>peer_comps</t>
        </is>
      </c>
      <c r="B119" s="24" t="inlineStr">
        <is>
          <t>median_ev_ebit</t>
        </is>
      </c>
      <c r="C119" s="30" t="n">
        <v>22.76893981308795</v>
      </c>
      <c r="D119" s="24" t="inlineStr">
        <is>
          <t>JSON 상세는 dashboard_payload 파일 참조</t>
        </is>
      </c>
    </row>
    <row r="120" ht="24" customHeight="1">
      <c r="A120" s="29" t="inlineStr">
        <is>
          <t>peer_comps</t>
        </is>
      </c>
      <c r="B120" s="29" t="inlineStr">
        <is>
          <t>median_p_fcf</t>
        </is>
      </c>
      <c r="C120" s="31" t="n">
        <v>15.66566036481765</v>
      </c>
      <c r="D120" s="29" t="inlineStr">
        <is>
          <t>JSON 상세는 dashboard_payload 파일 참조</t>
        </is>
      </c>
    </row>
    <row r="121" ht="24" customHeight="1">
      <c r="A121" s="24" t="inlineStr">
        <is>
          <t>peer_comps</t>
        </is>
      </c>
      <c r="B121" s="24" t="inlineStr">
        <is>
          <t>median_op_margin</t>
        </is>
      </c>
      <c r="C121" s="30" t="n">
        <v>0.09546035142742029</v>
      </c>
      <c r="D121" s="24" t="inlineStr">
        <is>
          <t>JSON 상세는 dashboard_payload 파일 참조</t>
        </is>
      </c>
    </row>
    <row r="122" ht="24" customHeight="1">
      <c r="A122" s="29" t="inlineStr">
        <is>
          <t>peer_comps</t>
        </is>
      </c>
      <c r="B122" s="29" t="inlineStr">
        <is>
          <t>median_roe</t>
        </is>
      </c>
      <c r="C122" s="31" t="n">
        <v>0.0821384093070814</v>
      </c>
      <c r="D122" s="29" t="inlineStr">
        <is>
          <t>JSON 상세는 dashboard_payload 파일 참조</t>
        </is>
      </c>
    </row>
    <row r="123" ht="24" customHeight="1">
      <c r="A123" s="24" t="inlineStr">
        <is>
          <t>peer_comps</t>
        </is>
      </c>
      <c r="B123" s="24" t="inlineStr">
        <is>
          <t>P/S 중앙값 대비</t>
        </is>
      </c>
      <c r="C123" s="30" t="n">
        <v>-0.6520174302698053</v>
      </c>
      <c r="D123" s="24" t="inlineStr">
        <is>
          <t>JSON 상세는 dashboard_payload 파일 참조</t>
        </is>
      </c>
    </row>
    <row r="124" ht="24" customHeight="1">
      <c r="A124" s="29" t="inlineStr">
        <is>
          <t>reference_universe_summary</t>
        </is>
      </c>
      <c r="B124" s="29" t="inlineStr">
        <is>
          <t>상위 블록</t>
        </is>
      </c>
      <c r="C124" s="29" t="inlineStr">
        <is>
          <t>14개 항목</t>
        </is>
      </c>
      <c r="D124" s="29" t="inlineStr">
        <is>
          <t>대시보드에서 객체로 사용</t>
        </is>
      </c>
    </row>
    <row r="125" ht="24" customHeight="1">
      <c r="A125" s="24" t="inlineStr">
        <is>
          <t>reference_universe_summary</t>
        </is>
      </c>
      <c r="B125" s="24" t="inlineStr">
        <is>
          <t>상태</t>
        </is>
      </c>
      <c r="C125" s="24" t="inlineStr">
        <is>
          <t>OK</t>
        </is>
      </c>
      <c r="D125" s="24" t="inlineStr">
        <is>
          <t>JSON 상세는 dashboard_payload 파일 참조</t>
        </is>
      </c>
    </row>
    <row r="126" ht="24" customHeight="1">
      <c r="A126" s="29" t="inlineStr">
        <is>
          <t>reference_universe_summary</t>
        </is>
      </c>
      <c r="B126" s="29" t="inlineStr">
        <is>
          <t>created_at</t>
        </is>
      </c>
      <c r="C126" s="29" t="inlineStr">
        <is>
          <t>2026-05-20T11:23:08</t>
        </is>
      </c>
      <c r="D126" s="29" t="inlineStr">
        <is>
          <t>JSON 상세는 dashboard_payload 파일 참조</t>
        </is>
      </c>
    </row>
    <row r="127" ht="24" customHeight="1">
      <c r="A127" s="24" t="inlineStr">
        <is>
          <t>reference_universe_summary</t>
        </is>
      </c>
      <c r="B127" s="24" t="inlineStr">
        <is>
          <t>reference_universe_rows</t>
        </is>
      </c>
      <c r="C127" s="30" t="n">
        <v>208</v>
      </c>
      <c r="D127" s="24" t="inlineStr">
        <is>
          <t>JSON 상세는 dashboard_payload 파일 참조</t>
        </is>
      </c>
    </row>
    <row r="128" ht="24" customHeight="1">
      <c r="A128" s="29" t="inlineStr">
        <is>
          <t>reference_universe_summary</t>
        </is>
      </c>
      <c r="B128" s="29" t="inlineStr">
        <is>
          <t>focus_rows</t>
        </is>
      </c>
      <c r="C128" s="31" t="n">
        <v>40</v>
      </c>
      <c r="D128" s="29" t="inlineStr">
        <is>
          <t>JSON 상세는 dashboard_payload 파일 참조</t>
        </is>
      </c>
    </row>
    <row r="129" ht="24" customHeight="1">
      <c r="A129" s="24" t="inlineStr">
        <is>
          <t>reference_universe_summary</t>
        </is>
      </c>
      <c r="B129" s="24" t="inlineStr">
        <is>
          <t>focal_5_rows</t>
        </is>
      </c>
      <c r="C129" s="30" t="n">
        <v>5</v>
      </c>
      <c r="D129" s="24" t="inlineStr">
        <is>
          <t>JSON 상세는 dashboard_payload 파일 참조</t>
        </is>
      </c>
    </row>
    <row r="130" ht="24" customHeight="1">
      <c r="A130" s="29" t="inlineStr">
        <is>
          <t>reference_universe_summary</t>
        </is>
      </c>
      <c r="B130" s="29" t="inlineStr">
        <is>
          <t>target_company</t>
        </is>
      </c>
      <c r="C130" s="29" t="inlineStr">
        <is>
          <t>미코</t>
        </is>
      </c>
      <c r="D130" s="29" t="inlineStr">
        <is>
          <t>JSON 상세는 dashboard_payload 파일 참조</t>
        </is>
      </c>
    </row>
    <row r="131" ht="24" customHeight="1">
      <c r="A131" s="24" t="inlineStr">
        <is>
          <t>reference_universe_summary</t>
        </is>
      </c>
      <c r="B131" s="24" t="inlineStr">
        <is>
          <t>target_peer_group</t>
        </is>
      </c>
      <c r="C131" s="24" t="inlineStr">
        <is>
          <t>IDM/제조/메모리</t>
        </is>
      </c>
      <c r="D131" s="24" t="inlineStr">
        <is>
          <t>JSON 상세는 dashboard_payload 파일 참조</t>
        </is>
      </c>
    </row>
    <row r="132" ht="24" customHeight="1">
      <c r="A132" s="29" t="inlineStr">
        <is>
          <t>reference_universe_summary</t>
        </is>
      </c>
      <c r="B132" s="29" t="inlineStr">
        <is>
          <t>target_peer_group_size</t>
        </is>
      </c>
      <c r="C132" s="31" t="n">
        <v>40</v>
      </c>
      <c r="D132" s="29" t="inlineStr">
        <is>
          <t>JSON 상세는 dashboard_payload 파일 참조</t>
        </is>
      </c>
    </row>
    <row r="133" ht="24" customHeight="1">
      <c r="A133" s="24" t="inlineStr">
        <is>
          <t>reference_universe_summary</t>
        </is>
      </c>
      <c r="B133" s="24" t="inlineStr">
        <is>
          <t>attractive_rows</t>
        </is>
      </c>
      <c r="C133" s="30" t="n">
        <v>43</v>
      </c>
      <c r="D133" s="24" t="inlineStr">
        <is>
          <t>JSON 상세는 dashboard_payload 파일 참조</t>
        </is>
      </c>
    </row>
    <row r="134" ht="24" customHeight="1">
      <c r="A134" s="29" t="inlineStr">
        <is>
          <t>reference_universe_summary</t>
        </is>
      </c>
      <c r="B134" s="29" t="inlineStr">
        <is>
          <t>high_risk_rows</t>
        </is>
      </c>
      <c r="C134" s="31" t="n">
        <v>67</v>
      </c>
      <c r="D134" s="29" t="inlineStr">
        <is>
          <t>JSON 상세는 dashboard_payload 파일 참조</t>
        </is>
      </c>
    </row>
    <row r="135" ht="24" customHeight="1">
      <c r="A135" s="24" t="inlineStr">
        <is>
          <t>reference_universe_summary</t>
        </is>
      </c>
      <c r="B135" s="24" t="inlineStr">
        <is>
          <t>target_reference_row</t>
        </is>
      </c>
      <c r="C135" s="24" t="inlineStr">
        <is>
          <t>32개 항목</t>
        </is>
      </c>
      <c r="D135" s="24" t="inlineStr">
        <is>
          <t>JSON 상세는 dashboard_payload 파일 참조</t>
        </is>
      </c>
    </row>
    <row r="136" ht="24" customHeight="1">
      <c r="A136" s="29" t="inlineStr">
        <is>
          <t>reference_universe_summary</t>
        </is>
      </c>
      <c r="B136" s="29" t="inlineStr">
        <is>
          <t>비고</t>
        </is>
      </c>
      <c r="C136" s="29" t="inlineStr">
        <is>
          <t>Valuation Agent는 live DCF/PSR 산출과 별도로 208개 반도체 universe의 proxy score를 활용해 상대 위치를 보조 판단합니다.</t>
        </is>
      </c>
      <c r="D136" s="29" t="inlineStr">
        <is>
          <t>JSON 상세는 dashboard_payload 파일 참조</t>
        </is>
      </c>
    </row>
    <row r="137" ht="24" customHeight="1">
      <c r="A137" s="24" t="inlineStr">
        <is>
          <t>reference_universe_summary</t>
        </is>
      </c>
      <c r="B137" s="24" t="inlineStr">
        <is>
          <t>source_path</t>
        </is>
      </c>
      <c r="C137" s="24" t="inlineStr">
        <is>
          <t>data/반도체/_sector_common/ml_universe/valuation_credit_ml_overlay_candidate.csv</t>
        </is>
      </c>
      <c r="D137" s="24" t="inlineStr">
        <is>
          <t>JSON 상세는 dashboard_payload 파일 참조</t>
        </is>
      </c>
    </row>
    <row r="138" ht="24" customHeight="1">
      <c r="A138" s="29" t="inlineStr">
        <is>
          <t>reference_universe_summary</t>
        </is>
      </c>
      <c r="B138" s="29" t="inlineStr">
        <is>
          <t>exported_at</t>
        </is>
      </c>
      <c r="C138" s="29" t="inlineStr">
        <is>
          <t>2026-05-20T11:23:08</t>
        </is>
      </c>
      <c r="D138" s="29" t="inlineStr">
        <is>
          <t>JSON 상세는 dashboard_payload 파일 참조</t>
        </is>
      </c>
    </row>
    <row r="139" ht="24" customHeight="1">
      <c r="A139" s="24" t="inlineStr">
        <is>
          <t>reference_universe_focus_rows</t>
        </is>
      </c>
      <c r="B139" s="24" t="inlineStr">
        <is>
          <t>목록</t>
        </is>
      </c>
      <c r="C139" s="24" t="inlineStr">
        <is>
          <t>40개 행</t>
        </is>
      </c>
      <c r="D139" s="24" t="inlineStr">
        <is>
          <t>대시보드 표/차트 원천</t>
        </is>
      </c>
    </row>
    <row r="140" ht="24" customHeight="1">
      <c r="A140" s="29" t="inlineStr">
        <is>
          <t>ml_overlay</t>
        </is>
      </c>
      <c r="B140" s="29" t="inlineStr">
        <is>
          <t>상위 블록</t>
        </is>
      </c>
      <c r="C140" s="29" t="inlineStr">
        <is>
          <t>12개 항목</t>
        </is>
      </c>
      <c r="D140" s="29" t="inlineStr">
        <is>
          <t>대시보드에서 객체로 사용</t>
        </is>
      </c>
    </row>
    <row r="141" ht="24" customHeight="1">
      <c r="A141" s="24" t="inlineStr">
        <is>
          <t>ml_overlay</t>
        </is>
      </c>
      <c r="B141" s="24" t="inlineStr">
        <is>
          <t>산출 방식</t>
        </is>
      </c>
      <c r="C141" s="24" t="inlineStr">
        <is>
          <t>deterministic_live_peer_psr_plus_208_reference_universe_overlay</t>
        </is>
      </c>
      <c r="D141" s="24" t="inlineStr">
        <is>
          <t>JSON 상세는 dashboard_payload 파일 참조</t>
        </is>
      </c>
    </row>
    <row r="142" ht="24" customHeight="1">
      <c r="A142" s="29" t="inlineStr">
        <is>
          <t>ml_overlay</t>
        </is>
      </c>
      <c r="B142" s="29" t="inlineStr">
        <is>
          <t>가치평가 방법</t>
        </is>
      </c>
      <c r="C142" s="29" t="inlineStr">
        <is>
          <t>실시간 DART·주가 기반 PSR/Peer + 208개 반도체 reference universe 보조판단</t>
        </is>
      </c>
      <c r="D142" s="29" t="inlineStr">
        <is>
          <t>JSON 상세는 dashboard_payload 파일 참조</t>
        </is>
      </c>
    </row>
    <row r="143" ht="24" customHeight="1">
      <c r="A143" s="24" t="inlineStr">
        <is>
          <t>ml_overlay</t>
        </is>
      </c>
      <c r="B143" s="24" t="inlineStr">
        <is>
          <t>종합 점수</t>
        </is>
      </c>
      <c r="C143" s="30" t="n">
        <v>51.16</v>
      </c>
      <c r="D143" s="24" t="inlineStr">
        <is>
          <t>JSON 상세는 dashboard_payload 파일 참조</t>
        </is>
      </c>
    </row>
    <row r="144" ht="24" customHeight="1">
      <c r="A144" s="29" t="inlineStr">
        <is>
          <t>ml_overlay</t>
        </is>
      </c>
      <c r="B144" s="29" t="inlineStr">
        <is>
          <t>라벨</t>
        </is>
      </c>
      <c r="C144" s="29" t="inlineStr">
        <is>
          <t>VALUATION_NEUTRAL</t>
        </is>
      </c>
      <c r="D144" s="29" t="inlineStr">
        <is>
          <t>JSON 상세는 dashboard_payload 파일 참조</t>
        </is>
      </c>
    </row>
    <row r="145" ht="24" customHeight="1">
      <c r="A145" s="24" t="inlineStr">
        <is>
          <t>ml_overlay</t>
        </is>
      </c>
      <c r="B145" s="24" t="inlineStr">
        <is>
          <t>한글 라벨</t>
        </is>
      </c>
      <c r="C145" s="24" t="inlineStr">
        <is>
          <t>가치평가 보조근거 중립</t>
        </is>
      </c>
      <c r="D145" s="24" t="inlineStr">
        <is>
          <t>JSON 상세는 dashboard_payload 파일 참조</t>
        </is>
      </c>
    </row>
    <row r="146" ht="24" customHeight="1">
      <c r="A146" s="29" t="inlineStr">
        <is>
          <t>ml_overlay</t>
        </is>
      </c>
      <c r="B146" s="29" t="inlineStr">
        <is>
          <t>factors</t>
        </is>
      </c>
      <c r="C146" s="29" t="inlineStr">
        <is>
          <t>10개 행</t>
        </is>
      </c>
      <c r="D146" s="29" t="inlineStr">
        <is>
          <t>JSON 상세는 dashboard_payload 파일 참조</t>
        </is>
      </c>
    </row>
    <row r="147" ht="24" customHeight="1">
      <c r="A147" s="24" t="inlineStr">
        <is>
          <t>ml_overlay</t>
        </is>
      </c>
      <c r="B147" s="24" t="inlineStr">
        <is>
          <t>kmeans_peer_cluster</t>
        </is>
      </c>
      <c r="C147" s="24" t="inlineStr">
        <is>
          <t>IDM/제조/메모리</t>
        </is>
      </c>
      <c r="D147" s="24" t="inlineStr">
        <is>
          <t>JSON 상세는 dashboard_payload 파일 참조</t>
        </is>
      </c>
    </row>
    <row r="148" ht="24" customHeight="1">
      <c r="A148" s="29" t="inlineStr">
        <is>
          <t>ml_overlay</t>
        </is>
      </c>
      <c r="B148" s="29" t="inlineStr">
        <is>
          <t>reference_cluster</t>
        </is>
      </c>
      <c r="C148" s="29" t="inlineStr">
        <is>
          <t>6개 항목</t>
        </is>
      </c>
      <c r="D148" s="29" t="inlineStr">
        <is>
          <t>JSON 상세는 dashboard_payload 파일 참조</t>
        </is>
      </c>
    </row>
    <row r="149" ht="24" customHeight="1">
      <c r="A149" s="24" t="inlineStr">
        <is>
          <t>ml_overlay</t>
        </is>
      </c>
      <c r="B149" s="24" t="inlineStr">
        <is>
          <t>reference_universe_summary</t>
        </is>
      </c>
      <c r="C149" s="24" t="inlineStr">
        <is>
          <t>4개 항목</t>
        </is>
      </c>
      <c r="D149" s="24" t="inlineStr">
        <is>
          <t>JSON 상세는 dashboard_payload 파일 참조</t>
        </is>
      </c>
    </row>
    <row r="150" ht="24" customHeight="1">
      <c r="A150" s="29" t="inlineStr">
        <is>
          <t>ml_overlay</t>
        </is>
      </c>
      <c r="B150" s="29" t="inlineStr">
        <is>
          <t>psr_overlay</t>
        </is>
      </c>
      <c r="C150" s="29" t="inlineStr">
        <is>
          <t>5개 항목</t>
        </is>
      </c>
      <c r="D150" s="29" t="inlineStr">
        <is>
          <t>JSON 상세는 dashboard_payload 파일 참조</t>
        </is>
      </c>
    </row>
    <row r="151" ht="24" customHeight="1">
      <c r="A151" s="24" t="inlineStr">
        <is>
          <t>ml_overlay</t>
        </is>
      </c>
      <c r="B151" s="24" t="inlineStr">
        <is>
          <t>비고</t>
        </is>
      </c>
      <c r="C151" s="24" t="inlineStr">
        <is>
          <t>This overlay is a deterministic decision-quality helper, not a realized-return predictor.</t>
        </is>
      </c>
      <c r="D151" s="24" t="inlineStr">
        <is>
          <t>JSON 상세는 dashboard_payload 파일 참조</t>
        </is>
      </c>
    </row>
    <row r="152" ht="24" customHeight="1">
      <c r="A152" s="29" t="inlineStr">
        <is>
          <t>ml_overlay</t>
        </is>
      </c>
      <c r="B152" s="29" t="inlineStr">
        <is>
          <t>note_kr</t>
        </is>
      </c>
      <c r="C152" s="29" t="inlineStr">
        <is>
          <t>미래수익률 예측모델이 아니라 대시보드/Chair용 설명가능 보조 가치평가 점수입니다.</t>
        </is>
      </c>
      <c r="D152" s="29" t="inlineStr">
        <is>
          <t>JSON 상세는 dashboard_payload 파일 참조</t>
        </is>
      </c>
    </row>
    <row r="153" ht="24" customHeight="1">
      <c r="A153" s="24" t="inlineStr">
        <is>
          <t>valuation_scorecard</t>
        </is>
      </c>
      <c r="B153" s="24" t="inlineStr">
        <is>
          <t>상위 블록</t>
        </is>
      </c>
      <c r="C153" s="24" t="inlineStr">
        <is>
          <t>8개 항목</t>
        </is>
      </c>
      <c r="D153" s="24" t="inlineStr">
        <is>
          <t>대시보드에서 객체로 사용</t>
        </is>
      </c>
    </row>
    <row r="154" ht="24" customHeight="1">
      <c r="A154" s="29" t="inlineStr">
        <is>
          <t>valuation_scorecard</t>
        </is>
      </c>
      <c r="B154" s="29" t="inlineStr">
        <is>
          <t>산출 방식</t>
        </is>
      </c>
      <c r="C154" s="29" t="inlineStr">
        <is>
          <t>DCF_25_PSR_15_QUALITY_15_REFERENCE_10_ADVANCED_20_LIQUIDITY_10_VALIDATION_5</t>
        </is>
      </c>
      <c r="D154" s="29" t="inlineStr">
        <is>
          <t>JSON 상세는 dashboard_payload 파일 참조</t>
        </is>
      </c>
    </row>
    <row r="155" ht="24" customHeight="1">
      <c r="A155" s="24" t="inlineStr">
        <is>
          <t>valuation_scorecard</t>
        </is>
      </c>
      <c r="B155" s="24" t="inlineStr">
        <is>
          <t>가치평가 방법</t>
        </is>
      </c>
      <c r="C155" s="24" t="inlineStr">
        <is>
          <t>DCF 25% + Peer P/S 15% + 품질 ML 15% + 208개 Universe 10% + 가치범위표/역산 DCF/오너 이익 20% + 유동성/리스크 10% + 검증 5%</t>
        </is>
      </c>
      <c r="D155" s="24" t="inlineStr">
        <is>
          <t>JSON 상세는 dashboard_payload 파일 참조</t>
        </is>
      </c>
    </row>
    <row r="156" ht="24" customHeight="1">
      <c r="A156" s="29" t="inlineStr">
        <is>
          <t>valuation_scorecard</t>
        </is>
      </c>
      <c r="B156" s="29" t="inlineStr">
        <is>
          <t>점수</t>
        </is>
      </c>
      <c r="C156" s="31" t="n">
        <v>83.81</v>
      </c>
      <c r="D156" s="29" t="inlineStr">
        <is>
          <t>JSON 상세는 dashboard_payload 파일 참조</t>
        </is>
      </c>
    </row>
    <row r="157" ht="24" customHeight="1">
      <c r="A157" s="24" t="inlineStr">
        <is>
          <t>valuation_scorecard</t>
        </is>
      </c>
      <c r="B157" s="24" t="inlineStr">
        <is>
          <t>라벨</t>
        </is>
      </c>
      <c r="C157" s="24" t="inlineStr">
        <is>
          <t>VALUATION_ATTRACTIVE</t>
        </is>
      </c>
      <c r="D157" s="24" t="inlineStr">
        <is>
          <t>JSON 상세는 dashboard_payload 파일 참조</t>
        </is>
      </c>
    </row>
    <row r="158" ht="24" customHeight="1">
      <c r="A158" s="29" t="inlineStr">
        <is>
          <t>valuation_scorecard</t>
        </is>
      </c>
      <c r="B158" s="29" t="inlineStr">
        <is>
          <t>한글 라벨</t>
        </is>
      </c>
      <c r="C158" s="29" t="inlineStr">
        <is>
          <t>가치평가 매력 우위</t>
        </is>
      </c>
      <c r="D158" s="29" t="inlineStr">
        <is>
          <t>JSON 상세는 dashboard_payload 파일 참조</t>
        </is>
      </c>
    </row>
    <row r="159" ht="24" customHeight="1">
      <c r="A159" s="24" t="inlineStr">
        <is>
          <t>valuation_scorecard</t>
        </is>
      </c>
      <c r="B159" s="24" t="inlineStr">
        <is>
          <t>종합 해석</t>
        </is>
      </c>
      <c r="C159" s="24" t="inlineStr">
        <is>
          <t>DCF·Peer·품질·유동성 조합이 우호적입니다.</t>
        </is>
      </c>
      <c r="D159" s="24" t="inlineStr">
        <is>
          <t>JSON 상세는 dashboard_payload 파일 참조</t>
        </is>
      </c>
    </row>
    <row r="160" ht="24" customHeight="1">
      <c r="A160" s="29" t="inlineStr">
        <is>
          <t>valuation_scorecard</t>
        </is>
      </c>
      <c r="B160" s="29" t="inlineStr">
        <is>
          <t>factors</t>
        </is>
      </c>
      <c r="C160" s="29" t="inlineStr">
        <is>
          <t>7개 행</t>
        </is>
      </c>
      <c r="D160" s="29" t="inlineStr">
        <is>
          <t>JSON 상세는 dashboard_payload 파일 참조</t>
        </is>
      </c>
    </row>
    <row r="161" ht="24" customHeight="1">
      <c r="A161" s="24" t="inlineStr">
        <is>
          <t>valuation_scorecard</t>
        </is>
      </c>
      <c r="B161" s="24" t="inlineStr">
        <is>
          <t>dashboard_note_kr</t>
        </is>
      </c>
      <c r="C161" s="24" t="inlineStr">
        <is>
          <t>Chair 최종 가중합을 대체하지 않는 보조 밸류에이션 스코어입니다. DCF 단일값보다 다중 방법 검증을 우선합니다. 대시보드/엑셀 다운로드/투자자 요약에서 사용합니다.</t>
        </is>
      </c>
      <c r="D161" s="24" t="inlineStr">
        <is>
          <t>JSON 상세는 dashboard_payload 파일 참조</t>
        </is>
      </c>
    </row>
    <row r="162" ht="24" customHeight="1">
      <c r="A162" s="29" t="inlineStr">
        <is>
          <t>종합 가치평가</t>
        </is>
      </c>
      <c r="B162" s="29" t="inlineStr">
        <is>
          <t>상위 블록</t>
        </is>
      </c>
      <c r="C162" s="29" t="inlineStr">
        <is>
          <t>12개 항목</t>
        </is>
      </c>
      <c r="D162" s="29" t="inlineStr">
        <is>
          <t>대시보드에서 객체로 사용</t>
        </is>
      </c>
    </row>
    <row r="163" ht="24" customHeight="1">
      <c r="A163" s="24" t="inlineStr">
        <is>
          <t>종합 가치평가</t>
        </is>
      </c>
      <c r="B163" s="24" t="inlineStr">
        <is>
          <t>가치평가 방법</t>
        </is>
      </c>
      <c r="C163" s="24" t="inlineStr">
        <is>
          <t>DCF + 피어 멀티플 가치범위표 + 역산 DCF + 오너 이익/EPV + 시장내재 배수 + 데이터 커버리지</t>
        </is>
      </c>
      <c r="D163" s="24" t="inlineStr">
        <is>
          <t>JSON 상세는 dashboard_payload 파일 참조</t>
        </is>
      </c>
    </row>
    <row r="164" ht="24" customHeight="1">
      <c r="A164" s="29" t="inlineStr">
        <is>
          <t>종합 가치평가</t>
        </is>
      </c>
      <c r="B164" s="29" t="inlineStr">
        <is>
          <t>종합 가치평가 점수</t>
        </is>
      </c>
      <c r="C164" s="31" t="n">
        <v>94</v>
      </c>
      <c r="D164" s="29" t="inlineStr">
        <is>
          <t>JSON 상세는 dashboard_payload 파일 참조</t>
        </is>
      </c>
    </row>
    <row r="165" ht="24" customHeight="1">
      <c r="A165" s="24" t="inlineStr">
        <is>
          <t>종합 가치평가</t>
        </is>
      </c>
      <c r="B165" s="24" t="inlineStr">
        <is>
          <t>신뢰도 등급</t>
        </is>
      </c>
      <c r="C165" s="24" t="inlineStr">
        <is>
          <t>높음</t>
        </is>
      </c>
      <c r="D165" s="24" t="inlineStr">
        <is>
          <t>JSON 상세는 dashboard_payload 파일 참조</t>
        </is>
      </c>
    </row>
    <row r="166" ht="24" customHeight="1">
      <c r="A166" s="29" t="inlineStr">
        <is>
          <t>종합 가치평가</t>
        </is>
      </c>
      <c r="B166" s="29" t="inlineStr">
        <is>
          <t>가치범위표</t>
        </is>
      </c>
      <c r="C166" s="29" t="inlineStr">
        <is>
          <t>7개 항목</t>
        </is>
      </c>
      <c r="D166" s="29" t="inlineStr">
        <is>
          <t>JSON 상세는 dashboard_payload 파일 참조</t>
        </is>
      </c>
    </row>
    <row r="167" ht="24" customHeight="1">
      <c r="A167" s="24" t="inlineStr">
        <is>
          <t>종합 가치평가</t>
        </is>
      </c>
      <c r="B167" s="24" t="inlineStr">
        <is>
          <t>가치평가 방법</t>
        </is>
      </c>
      <c r="C167" s="24" t="inlineStr">
        <is>
          <t>7개 행</t>
        </is>
      </c>
      <c r="D167" s="24" t="inlineStr">
        <is>
          <t>JSON 상세는 dashboard_payload 파일 참조</t>
        </is>
      </c>
    </row>
    <row r="168" ht="24" customHeight="1">
      <c r="A168" s="29" t="inlineStr">
        <is>
          <t>종합 가치평가</t>
        </is>
      </c>
      <c r="B168" s="29" t="inlineStr">
        <is>
          <t>역산 DCF</t>
        </is>
      </c>
      <c r="C168" s="29" t="inlineStr">
        <is>
          <t>9개 항목</t>
        </is>
      </c>
      <c r="D168" s="29" t="inlineStr">
        <is>
          <t>JSON 상세는 dashboard_payload 파일 참조</t>
        </is>
      </c>
    </row>
    <row r="169" ht="24" customHeight="1">
      <c r="A169" s="24" t="inlineStr">
        <is>
          <t>종합 가치평가</t>
        </is>
      </c>
      <c r="B169" s="24" t="inlineStr">
        <is>
          <t>오너 이익</t>
        </is>
      </c>
      <c r="C169" s="24" t="inlineStr">
        <is>
          <t>11개 항목</t>
        </is>
      </c>
      <c r="D169" s="24" t="inlineStr">
        <is>
          <t>JSON 상세는 dashboard_payload 파일 참조</t>
        </is>
      </c>
    </row>
    <row r="170" ht="24" customHeight="1">
      <c r="A170" s="29" t="inlineStr">
        <is>
          <t>종합 가치평가</t>
        </is>
      </c>
      <c r="B170" s="29" t="inlineStr">
        <is>
          <t>시장내재 배수</t>
        </is>
      </c>
      <c r="C170" s="29" t="inlineStr">
        <is>
          <t>14개 항목</t>
        </is>
      </c>
      <c r="D170" s="29" t="inlineStr">
        <is>
          <t>JSON 상세는 dashboard_payload 파일 참조</t>
        </is>
      </c>
    </row>
    <row r="171" ht="24" customHeight="1">
      <c r="A171" s="24" t="inlineStr">
        <is>
          <t>종합 가치평가</t>
        </is>
      </c>
      <c r="B171" s="24" t="inlineStr">
        <is>
          <t>품질 진단</t>
        </is>
      </c>
      <c r="C171" s="24" t="inlineStr">
        <is>
          <t>8개 행</t>
        </is>
      </c>
      <c r="D171" s="24" t="inlineStr">
        <is>
          <t>JSON 상세는 dashboard_payload 파일 참조</t>
        </is>
      </c>
    </row>
    <row r="172" ht="24" customHeight="1">
      <c r="A172" s="29" t="inlineStr">
        <is>
          <t>종합 가치평가</t>
        </is>
      </c>
      <c r="B172" s="29" t="inlineStr">
        <is>
          <t>source_completion_plan</t>
        </is>
      </c>
      <c r="C172" s="29" t="inlineStr">
        <is>
          <t>6개 행</t>
        </is>
      </c>
      <c r="D172" s="29" t="inlineStr">
        <is>
          <t>JSON 상세는 dashboard_payload 파일 참조</t>
        </is>
      </c>
    </row>
    <row r="173" ht="24" customHeight="1">
      <c r="A173" s="24" t="inlineStr">
        <is>
          <t>종합 가치평가</t>
        </is>
      </c>
      <c r="B173" s="24" t="inlineStr">
        <is>
          <t>market_snapshot</t>
        </is>
      </c>
      <c r="C173" s="24" t="inlineStr">
        <is>
          <t>31개 항목</t>
        </is>
      </c>
      <c r="D173" s="24" t="inlineStr">
        <is>
          <t>JSON 상세는 dashboard_payload 파일 참조</t>
        </is>
      </c>
    </row>
    <row r="174" ht="24" customHeight="1">
      <c r="A174" s="29" t="inlineStr">
        <is>
          <t>종합 가치평가</t>
        </is>
      </c>
      <c r="B174" s="29" t="inlineStr">
        <is>
          <t>dashboard_note_kr</t>
        </is>
      </c>
      <c r="C174" s="29" t="inlineStr">
        <is>
          <t>투자은행식 valuation pack에서 자주 쓰는 DCF·Comps·역산 DCF·오너 이익·시장내재배수 교차검증을 제공합니다.</t>
        </is>
      </c>
      <c r="D174" s="29" t="inlineStr">
        <is>
          <t>JSON 상세는 dashboard_payload 파일 참조</t>
        </is>
      </c>
    </row>
    <row r="175" ht="24" customHeight="1">
      <c r="A175" s="24" t="inlineStr">
        <is>
          <t>시장내재 배수</t>
        </is>
      </c>
      <c r="B175" s="24" t="inlineStr">
        <is>
          <t>상위 블록</t>
        </is>
      </c>
      <c r="C175" s="24" t="inlineStr">
        <is>
          <t>14개 항목</t>
        </is>
      </c>
      <c r="D175" s="24" t="inlineStr">
        <is>
          <t>대시보드에서 객체로 사용</t>
        </is>
      </c>
    </row>
    <row r="176" ht="24" customHeight="1">
      <c r="A176" s="29" t="inlineStr">
        <is>
          <t>시장내재 배수</t>
        </is>
      </c>
      <c r="B176" s="29" t="inlineStr">
        <is>
          <t>latest_close</t>
        </is>
      </c>
      <c r="C176" s="31" t="n">
        <v>19230</v>
      </c>
      <c r="D176" s="29" t="inlineStr">
        <is>
          <t>JSON 상세는 dashboard_payload 파일 참조</t>
        </is>
      </c>
    </row>
    <row r="177" ht="24" customHeight="1">
      <c r="A177" s="24" t="inlineStr">
        <is>
          <t>시장내재 배수</t>
        </is>
      </c>
      <c r="B177" s="24" t="inlineStr">
        <is>
          <t>시가총액</t>
        </is>
      </c>
      <c r="C177" s="30" t="n">
        <v>642604640940</v>
      </c>
      <c r="D177" s="24" t="inlineStr">
        <is>
          <t>JSON 상세는 dashboard_payload 파일 참조</t>
        </is>
      </c>
    </row>
    <row r="178" ht="24" customHeight="1">
      <c r="A178" s="29" t="inlineStr">
        <is>
          <t>시장내재 배수</t>
        </is>
      </c>
      <c r="B178" s="29" t="inlineStr">
        <is>
          <t>EV proxy</t>
        </is>
      </c>
      <c r="C178" s="31" t="n">
        <v>1910029473576</v>
      </c>
      <c r="D178" s="29" t="inlineStr">
        <is>
          <t>JSON 상세는 dashboard_payload 파일 참조</t>
        </is>
      </c>
    </row>
    <row r="179" ht="24" customHeight="1">
      <c r="A179" s="24" t="inlineStr">
        <is>
          <t>시장내재 배수</t>
        </is>
      </c>
      <c r="B179" s="24" t="inlineStr">
        <is>
          <t>psr_market</t>
        </is>
      </c>
      <c r="C179" s="30" t="n">
        <v>0.6577077190022006</v>
      </c>
      <c r="D179" s="24" t="inlineStr">
        <is>
          <t>JSON 상세는 dashboard_payload 파일 참조</t>
        </is>
      </c>
    </row>
    <row r="180" ht="24" customHeight="1">
      <c r="A180" s="29" t="inlineStr">
        <is>
          <t>시장내재 배수</t>
        </is>
      </c>
      <c r="B180" s="29" t="inlineStr">
        <is>
          <t>pbr_market</t>
        </is>
      </c>
      <c r="C180" s="31" t="n">
        <v>0.9325275483553788</v>
      </c>
      <c r="D180" s="29" t="inlineStr">
        <is>
          <t>JSON 상세는 dashboard_payload 파일 참조</t>
        </is>
      </c>
    </row>
    <row r="181" ht="24" customHeight="1">
      <c r="A181" s="24" t="inlineStr">
        <is>
          <t>시장내재 배수</t>
        </is>
      </c>
      <c r="B181" s="24" t="inlineStr">
        <is>
          <t>per_market</t>
        </is>
      </c>
      <c r="C181" s="30" t="n">
        <v>8.573861653969013</v>
      </c>
      <c r="D181" s="24" t="inlineStr">
        <is>
          <t>JSON 상세는 dashboard_payload 파일 참조</t>
        </is>
      </c>
    </row>
    <row r="182" ht="24" customHeight="1">
      <c r="A182" s="29" t="inlineStr">
        <is>
          <t>시장내재 배수</t>
        </is>
      </c>
      <c r="B182" s="29" t="inlineStr">
        <is>
          <t>p_fcf_market</t>
        </is>
      </c>
      <c r="C182" s="31" t="n">
        <v>34.7814974146677</v>
      </c>
      <c r="D182" s="29" t="inlineStr">
        <is>
          <t>JSON 상세는 dashboard_payload 파일 참조</t>
        </is>
      </c>
    </row>
    <row r="183" ht="24" customHeight="1">
      <c r="A183" s="24" t="inlineStr">
        <is>
          <t>시장내재 배수</t>
        </is>
      </c>
      <c r="B183" s="24" t="inlineStr">
        <is>
          <t>ev_sales_market</t>
        </is>
      </c>
      <c r="C183" s="30" t="n">
        <v>1.954920721479726</v>
      </c>
      <c r="D183" s="24" t="inlineStr">
        <is>
          <t>JSON 상세는 dashboard_payload 파일 참조</t>
        </is>
      </c>
    </row>
    <row r="184" ht="24" customHeight="1">
      <c r="A184" s="29" t="inlineStr">
        <is>
          <t>시장내재 배수</t>
        </is>
      </c>
      <c r="B184" s="29" t="inlineStr">
        <is>
          <t>ev_ebit_market</t>
        </is>
      </c>
      <c r="C184" s="31" t="n">
        <v>18.91038801957933</v>
      </c>
      <c r="D184" s="29" t="inlineStr">
        <is>
          <t>JSON 상세는 dashboard_payload 파일 참조</t>
        </is>
      </c>
    </row>
    <row r="185" ht="24" customHeight="1">
      <c r="A185" s="24" t="inlineStr">
        <is>
          <t>시장내재 배수</t>
        </is>
      </c>
      <c r="B185" s="24" t="inlineStr">
        <is>
          <t>eps_derived</t>
        </is>
      </c>
      <c r="C185" s="30" t="n">
        <v>2242.863341642333</v>
      </c>
      <c r="D185" s="24" t="inlineStr">
        <is>
          <t>JSON 상세는 dashboard_payload 파일 참조</t>
        </is>
      </c>
    </row>
    <row r="186" ht="24" customHeight="1">
      <c r="A186" s="29" t="inlineStr">
        <is>
          <t>시장내재 배수</t>
        </is>
      </c>
      <c r="B186" s="29" t="inlineStr">
        <is>
          <t>bps_derived</t>
        </is>
      </c>
      <c r="C186" s="31" t="n">
        <v>20621.37470781893</v>
      </c>
      <c r="D186" s="29" t="inlineStr">
        <is>
          <t>JSON 상세는 dashboard_payload 파일 참조</t>
        </is>
      </c>
    </row>
    <row r="187" ht="24" customHeight="1">
      <c r="A187" s="24" t="inlineStr">
        <is>
          <t>시장내재 배수</t>
        </is>
      </c>
      <c r="B187" s="24" t="inlineStr">
        <is>
          <t>fcf_yield_market</t>
        </is>
      </c>
      <c r="C187" s="30" t="n">
        <v>0.02875091857253651</v>
      </c>
      <c r="D187" s="24" t="inlineStr">
        <is>
          <t>JSON 상세는 dashboard_payload 파일 참조</t>
        </is>
      </c>
    </row>
    <row r="188" ht="24" customHeight="1">
      <c r="A188" s="29" t="inlineStr">
        <is>
          <t>시장내재 배수</t>
        </is>
      </c>
      <c r="B188" s="29" t="inlineStr">
        <is>
          <t>sales_yield_market</t>
        </is>
      </c>
      <c r="C188" s="31" t="n">
        <v>1.520432208880088</v>
      </c>
      <c r="D188" s="29" t="inlineStr">
        <is>
          <t>JSON 상세는 dashboard_payload 파일 참조</t>
        </is>
      </c>
    </row>
    <row r="189" ht="24" customHeight="1">
      <c r="A189" s="24" t="inlineStr">
        <is>
          <t>시장내재 배수</t>
        </is>
      </c>
      <c r="B189" s="24" t="inlineStr">
        <is>
          <t>source_kr</t>
        </is>
      </c>
      <c r="C189" s="24" t="inlineStr">
        <is>
          <t>DART 정규화 재무제표 + Valuation Agent 주가/발행주식 수 intake로 자동 산출</t>
        </is>
      </c>
      <c r="D189" s="24" t="inlineStr">
        <is>
          <t>JSON 상세는 dashboard_payload 파일 참조</t>
        </is>
      </c>
    </row>
    <row r="190" ht="24" customHeight="1">
      <c r="A190" s="29" t="inlineStr">
        <is>
          <t>품질 진단</t>
        </is>
      </c>
      <c r="B190" s="29" t="inlineStr">
        <is>
          <t>목록</t>
        </is>
      </c>
      <c r="C190" s="29" t="inlineStr">
        <is>
          <t>8개 행</t>
        </is>
      </c>
      <c r="D190" s="29" t="inlineStr">
        <is>
          <t>대시보드 표/차트 원천</t>
        </is>
      </c>
    </row>
    <row r="191" ht="24" customHeight="1">
      <c r="A191" s="24" t="inlineStr">
        <is>
          <t>검증 결과</t>
        </is>
      </c>
      <c r="B191" s="24" t="inlineStr">
        <is>
          <t>상위 블록</t>
        </is>
      </c>
      <c r="C191" s="24" t="inlineStr">
        <is>
          <t>4개 항목</t>
        </is>
      </c>
      <c r="D191" s="24" t="inlineStr">
        <is>
          <t>대시보드에서 객체로 사용</t>
        </is>
      </c>
    </row>
    <row r="192" ht="24" customHeight="1">
      <c r="A192" s="29" t="inlineStr">
        <is>
          <t>검증 결과</t>
        </is>
      </c>
      <c r="B192" s="29" t="inlineStr">
        <is>
          <t>상태</t>
        </is>
      </c>
      <c r="C192" s="29" t="inlineStr">
        <is>
          <t>PASS</t>
        </is>
      </c>
      <c r="D192" s="29" t="inlineStr">
        <is>
          <t>JSON 상세는 dashboard_payload 파일 참조</t>
        </is>
      </c>
    </row>
    <row r="193" ht="24" customHeight="1">
      <c r="A193" s="24" t="inlineStr">
        <is>
          <t>검증 결과</t>
        </is>
      </c>
      <c r="B193" s="24" t="inlineStr">
        <is>
          <t>issues</t>
        </is>
      </c>
      <c r="C193" s="24" t="inlineStr">
        <is>
          <t>1개 행</t>
        </is>
      </c>
      <c r="D193" s="24" t="inlineStr">
        <is>
          <t>JSON 상세는 dashboard_payload 파일 참조</t>
        </is>
      </c>
    </row>
    <row r="194" ht="24" customHeight="1">
      <c r="A194" s="29" t="inlineStr">
        <is>
          <t>검증 결과</t>
        </is>
      </c>
      <c r="B194" s="29" t="inlineStr">
        <is>
          <t>audit_trail</t>
        </is>
      </c>
      <c r="C194" s="29" t="inlineStr">
        <is>
          <t>6개 행</t>
        </is>
      </c>
      <c r="D194" s="29" t="inlineStr">
        <is>
          <t>JSON 상세는 dashboard_payload 파일 참조</t>
        </is>
      </c>
    </row>
    <row r="195" ht="24" customHeight="1">
      <c r="A195" s="24" t="inlineStr">
        <is>
          <t>검증 결과</t>
        </is>
      </c>
      <c r="B195" s="24" t="inlineStr">
        <is>
          <t>principle</t>
        </is>
      </c>
      <c r="C195" s="24" t="inlineStr">
        <is>
          <t>valuation_agent 자체 데이터/모델 일관성 검증; 기존 web-auditor 의존 없음</t>
        </is>
      </c>
      <c r="D195" s="24" t="inlineStr">
        <is>
          <t>JSON 상세는 dashboard_payload 파일 참조</t>
        </is>
      </c>
    </row>
    <row r="196" ht="24" customHeight="1">
      <c r="A196" s="29" t="inlineStr">
        <is>
          <t>display_labels_kr</t>
        </is>
      </c>
      <c r="B196" s="29" t="inlineStr">
        <is>
          <t>상위 블록</t>
        </is>
      </c>
      <c r="C196" s="29" t="inlineStr">
        <is>
          <t>8개 항목</t>
        </is>
      </c>
      <c r="D196" s="29" t="inlineStr">
        <is>
          <t>대시보드에서 객체로 사용</t>
        </is>
      </c>
    </row>
    <row r="197" ht="24" customHeight="1">
      <c r="A197" s="24" t="inlineStr">
        <is>
          <t>display_labels_kr</t>
        </is>
      </c>
      <c r="B197" s="24" t="inlineStr">
        <is>
          <t>summary_cards</t>
        </is>
      </c>
      <c r="C197" s="24" t="inlineStr">
        <is>
          <t>핵심 요약 카드</t>
        </is>
      </c>
      <c r="D197" s="24" t="inlineStr">
        <is>
          <t>JSON 상세는 dashboard_payload 파일 참조</t>
        </is>
      </c>
    </row>
    <row r="198" ht="24" customHeight="1">
      <c r="A198" s="29" t="inlineStr">
        <is>
          <t>display_labels_kr</t>
        </is>
      </c>
      <c r="B198" s="29" t="inlineStr">
        <is>
          <t>price_history</t>
        </is>
      </c>
      <c r="C198" s="29" t="inlineStr">
        <is>
          <t>주가 차트</t>
        </is>
      </c>
      <c r="D198" s="29" t="inlineStr">
        <is>
          <t>JSON 상세는 dashboard_payload 파일 참조</t>
        </is>
      </c>
    </row>
    <row r="199" ht="24" customHeight="1">
      <c r="A199" s="24" t="inlineStr">
        <is>
          <t>display_labels_kr</t>
        </is>
      </c>
      <c r="B199" s="24" t="inlineStr">
        <is>
          <t>historical_financials</t>
        </is>
      </c>
      <c r="C199" s="24" t="inlineStr">
        <is>
          <t>재무 추이</t>
        </is>
      </c>
      <c r="D199" s="24" t="inlineStr">
        <is>
          <t>JSON 상세는 dashboard_payload 파일 참조</t>
        </is>
      </c>
    </row>
    <row r="200" ht="24" customHeight="1">
      <c r="A200" s="29" t="inlineStr">
        <is>
          <t>display_labels_kr</t>
        </is>
      </c>
      <c r="B200" s="29" t="inlineStr">
        <is>
          <t>fcf_projection</t>
        </is>
      </c>
      <c r="C200" s="29" t="inlineStr">
        <is>
          <t>FCF 추정</t>
        </is>
      </c>
      <c r="D200" s="29" t="inlineStr">
        <is>
          <t>JSON 상세는 dashboard_payload 파일 참조</t>
        </is>
      </c>
    </row>
    <row r="201" ht="24" customHeight="1">
      <c r="A201" s="24" t="inlineStr">
        <is>
          <t>display_labels_kr</t>
        </is>
      </c>
      <c r="B201" s="24" t="inlineStr">
        <is>
          <t>peer_multiples</t>
        </is>
      </c>
      <c r="C201" s="24" t="inlineStr">
        <is>
          <t>비교기업 멀티플 비교</t>
        </is>
      </c>
      <c r="D201" s="24" t="inlineStr">
        <is>
          <t>JSON 상세는 dashboard_payload 파일 참조</t>
        </is>
      </c>
    </row>
    <row r="202" ht="24" customHeight="1">
      <c r="A202" s="29" t="inlineStr">
        <is>
          <t>display_labels_kr</t>
        </is>
      </c>
      <c r="B202" s="29" t="inlineStr">
        <is>
          <t>reference_universe_focus</t>
        </is>
      </c>
      <c r="C202" s="29" t="inlineStr">
        <is>
          <t>208개 반도체 비교군 상대위치</t>
        </is>
      </c>
      <c r="D202" s="29" t="inlineStr">
        <is>
          <t>JSON 상세는 dashboard_payload 파일 참조</t>
        </is>
      </c>
    </row>
    <row r="203" ht="24" customHeight="1">
      <c r="A203" s="24" t="inlineStr">
        <is>
          <t>display_labels_kr</t>
        </is>
      </c>
      <c r="B203" s="24" t="inlineStr">
        <is>
          <t>advanced_valuation</t>
        </is>
      </c>
      <c r="C203" s="24" t="inlineStr">
        <is>
          <t>종합 가치평가</t>
        </is>
      </c>
      <c r="D203" s="24" t="inlineStr">
        <is>
          <t>JSON 상세는 dashboard_payload 파일 참조</t>
        </is>
      </c>
    </row>
    <row r="204" ht="24" customHeight="1">
      <c r="A204" s="29" t="inlineStr">
        <is>
          <t>display_labels_kr</t>
        </is>
      </c>
      <c r="B204" s="29" t="inlineStr">
        <is>
          <t>download_workbook</t>
        </is>
      </c>
      <c r="C204" s="29" t="inlineStr">
        <is>
          <t>엑셀 다운로드</t>
        </is>
      </c>
      <c r="D204" s="29" t="inlineStr">
        <is>
          <t>JSON 상세는 dashboard_payload 파일 참조</t>
        </is>
      </c>
    </row>
    <row r="205" ht="24" customHeight="1">
      <c r="A205" s="24" t="inlineStr">
        <is>
          <t>dashboard_usage_note</t>
        </is>
      </c>
      <c r="B205" s="24" t="inlineStr">
        <is>
          <t>값</t>
        </is>
      </c>
      <c r="C205" s="24" t="inlineStr">
        <is>
          <t>Streamlit/React 대시보드에서 한국어 카드, 주가 차트, DCF·P/S·P/B·PER·가치범위표, 208개 기준 비교군 표/산점도, 검증 배지, 엑셀 다운로드 버튼에 바로 연결할 수 있습니다.</t>
        </is>
      </c>
      <c r="D205" s="24" t="inlineStr">
        <is>
          <t>대시보드 기본값</t>
        </is>
      </c>
    </row>
  </sheetData>
  <autoFilter ref="A2:D205"/>
  <mergeCells count="1">
    <mergeCell ref="A1:F1"/>
  </mergeCells>
  <pageMargins left="0.75" right="0.75" top="1" bottom="1" header="0.5" footer="0.5"/>
  <pageSetup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감사 추적</t>
        </is>
      </c>
    </row>
    <row r="2" ht="24" customHeight="1">
      <c r="A2" s="25" t="inlineStr">
        <is>
          <t>단계</t>
        </is>
      </c>
      <c r="B2" s="25" t="inlineStr">
        <is>
          <t>상태</t>
        </is>
      </c>
      <c r="C2" s="25" t="inlineStr">
        <is>
          <t>rows</t>
        </is>
      </c>
      <c r="D2" s="25" t="inlineStr">
        <is>
          <t>발행주식 수</t>
        </is>
      </c>
      <c r="E2" s="25" t="inlineStr">
        <is>
          <t>시가총액</t>
        </is>
      </c>
      <c r="F2" s="25" t="inlineStr">
        <is>
          <t>20일 평균 거래대금</t>
        </is>
      </c>
    </row>
    <row r="3" ht="24" customHeight="1">
      <c r="A3" s="24" t="inlineStr">
        <is>
          <t>normalized_financials</t>
        </is>
      </c>
      <c r="B3" s="24" t="inlineStr">
        <is>
          <t>OK</t>
        </is>
      </c>
      <c r="C3" s="30" t="n">
        <v>5</v>
      </c>
      <c r="D3" s="24" t="inlineStr">
        <is>
          <t>해당 없음</t>
        </is>
      </c>
      <c r="E3" s="24" t="inlineStr">
        <is>
          <t>해당 없음</t>
        </is>
      </c>
      <c r="F3" s="24" t="inlineStr">
        <is>
          <t>해당 없음</t>
        </is>
      </c>
    </row>
    <row r="4" ht="24" customHeight="1">
      <c r="A4" s="29" t="inlineStr">
        <is>
          <t>price_history</t>
        </is>
      </c>
      <c r="B4" s="29" t="inlineStr">
        <is>
          <t>OK</t>
        </is>
      </c>
      <c r="C4" s="31" t="n">
        <v>1221</v>
      </c>
      <c r="D4" s="29" t="inlineStr">
        <is>
          <t>해당 없음</t>
        </is>
      </c>
      <c r="E4" s="29" t="inlineStr">
        <is>
          <t>해당 없음</t>
        </is>
      </c>
      <c r="F4" s="29" t="inlineStr">
        <is>
          <t>해당 없음</t>
        </is>
      </c>
    </row>
    <row r="5" ht="24" customHeight="1">
      <c r="A5" s="24" t="inlineStr">
        <is>
          <t>share_count</t>
        </is>
      </c>
      <c r="B5" s="24" t="inlineStr">
        <is>
          <t>OK</t>
        </is>
      </c>
      <c r="C5" s="24" t="inlineStr">
        <is>
          <t>해당 없음</t>
        </is>
      </c>
      <c r="D5" s="30" t="n">
        <v>33416778</v>
      </c>
      <c r="E5" s="24" t="inlineStr">
        <is>
          <t>해당 없음</t>
        </is>
      </c>
      <c r="F5" s="24" t="inlineStr">
        <is>
          <t>해당 없음</t>
        </is>
      </c>
    </row>
    <row r="6" ht="24" customHeight="1">
      <c r="A6" s="29" t="inlineStr">
        <is>
          <t>reference_universe</t>
        </is>
      </c>
      <c r="B6" s="29" t="inlineStr">
        <is>
          <t>OK</t>
        </is>
      </c>
      <c r="C6" s="31" t="n">
        <v>208</v>
      </c>
      <c r="D6" s="29" t="inlineStr">
        <is>
          <t>해당 없음</t>
        </is>
      </c>
      <c r="E6" s="29" t="inlineStr">
        <is>
          <t>해당 없음</t>
        </is>
      </c>
      <c r="F6" s="29" t="inlineStr">
        <is>
          <t>해당 없음</t>
        </is>
      </c>
    </row>
    <row r="7" ht="24" customHeight="1">
      <c r="A7" s="24" t="inlineStr">
        <is>
          <t>market_cap</t>
        </is>
      </c>
      <c r="B7" s="24" t="inlineStr">
        <is>
          <t>OK</t>
        </is>
      </c>
      <c r="C7" s="24" t="inlineStr">
        <is>
          <t>해당 없음</t>
        </is>
      </c>
      <c r="D7" s="24" t="inlineStr">
        <is>
          <t>해당 없음</t>
        </is>
      </c>
      <c r="E7" s="30" t="n">
        <v>642604640940</v>
      </c>
      <c r="F7" s="24" t="inlineStr">
        <is>
          <t>해당 없음</t>
        </is>
      </c>
    </row>
    <row r="8" ht="24" customHeight="1">
      <c r="A8" s="29" t="inlineStr">
        <is>
          <t>liquidity_proxy</t>
        </is>
      </c>
      <c r="B8" s="29" t="inlineStr">
        <is>
          <t>OK</t>
        </is>
      </c>
      <c r="C8" s="29" t="inlineStr">
        <is>
          <t>해당 없음</t>
        </is>
      </c>
      <c r="D8" s="29" t="inlineStr">
        <is>
          <t>해당 없음</t>
        </is>
      </c>
      <c r="E8" s="29" t="inlineStr">
        <is>
          <t>해당 없음</t>
        </is>
      </c>
      <c r="F8" s="31" t="n">
        <v>20420408913</v>
      </c>
    </row>
  </sheetData>
  <autoFilter ref="A2:F8"/>
  <mergeCells count="1">
    <mergeCell ref="A1:F1"/>
  </mergeCells>
  <pageMargins left="0.75" right="0.75" top="1" bottom="1" header="0.5" footer="0.5"/>
  <pageSetup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업로드 파이낸셜 모델링 파일에서 추출한 설계 archetype</t>
        </is>
      </c>
    </row>
    <row r="2" ht="24" customHeight="1">
      <c r="A2" s="25" t="inlineStr">
        <is>
          <t>모델 유형</t>
        </is>
      </c>
      <c r="B2" s="25" t="inlineStr">
        <is>
          <t>설명</t>
        </is>
      </c>
      <c r="C2" s="25" t="inlineStr">
        <is>
          <t>참조 파일 패턴</t>
        </is>
      </c>
      <c r="D2" s="25" t="inlineStr">
        <is>
          <t>관찰된 시트</t>
        </is>
      </c>
      <c r="E2" s="25" t="inlineStr">
        <is>
          <t>권장 시트</t>
        </is>
      </c>
      <c r="F2" s="25" t="inlineStr">
        <is>
          <t>필요 데이터</t>
        </is>
      </c>
      <c r="G2" s="25" t="inlineStr">
        <is>
          <t>키워드</t>
        </is>
      </c>
    </row>
    <row r="3" ht="24" customHeight="1">
      <c r="A3" s="24" t="inlineStr">
        <is>
          <t>DCF_CORE</t>
        </is>
      </c>
      <c r="B3" s="24" t="inlineStr">
        <is>
          <t>DCF 핵심 모델: 가정, 정규화 재무제표, WACC, FCF 추정, DCF, 검증체크.</t>
        </is>
      </c>
      <c r="C3" s="24" t="inlineStr">
        <is>
          <t>파이낸셜 모델링 플레이북 / DCF, Value, Valuation, FCF, WACC 실습형 파일</t>
        </is>
      </c>
      <c r="D3" s="24" t="inlineStr">
        <is>
          <t>DCF | Summary | Sales | COGS | SG&amp;A | CAPEX Dep. | WC | Debt | FCF | WACC | Value</t>
        </is>
      </c>
      <c r="E3" s="24" t="inlineStr">
        <is>
          <t>01_ReadMe | 02_Assumptions | 03_Raw_Financials | 04_Normalized_FS | 05_Key_Ratios | 06_WACC | 07_FCF_Projection | 08_DCF | 09_Sensitivity | 10_Checks</t>
        </is>
      </c>
      <c r="F3" s="24" t="inlineStr">
        <is>
          <t>financial_statements | price_history | capital_structure | macro_assumptions | shares_outstanding</t>
        </is>
      </c>
      <c r="G3" s="24" t="inlineStr">
        <is>
          <t>dcf | wacc | fcf | valuation | value | capex | debt</t>
        </is>
      </c>
    </row>
    <row r="4" ht="24" customHeight="1">
      <c r="A4" s="29" t="inlineStr">
        <is>
          <t>THREE_STATEMENT_MODEL</t>
        </is>
      </c>
      <c r="B4" s="29" t="inlineStr">
        <is>
          <t>Three-statement style model: PL/BS/CF raw data normalization and operating driver projection.</t>
        </is>
      </c>
      <c r="C4" s="29" t="inlineStr">
        <is>
          <t>재무모델링/재무기획 자료 중 FS, BS, PL, CF, Raw data, Normalized 형태</t>
        </is>
      </c>
      <c r="D4" s="29" t="inlineStr">
        <is>
          <t>FS | BS | PL | CF | Raw data | Input | Output | Check</t>
        </is>
      </c>
      <c r="E4" s="29" t="inlineStr">
        <is>
          <t>01_ReadMe | 02_Source_Map | 03_Raw_Financials | 04_Normalized_FS | 05_Ratio_Drivers | 06_Projection | 07_Checks</t>
        </is>
      </c>
      <c r="F4" s="29" t="inlineStr">
        <is>
          <t>financial_statements | account_mapping | historical_ratios | projection_drivers</t>
        </is>
      </c>
      <c r="G4" s="29" t="inlineStr">
        <is>
          <t>fs | bs | pl | cf | raw | normalized | projection</t>
        </is>
      </c>
    </row>
    <row r="5" ht="24" customHeight="1">
      <c r="A5" s="24" t="inlineStr">
        <is>
          <t>PEER_COMPS</t>
        </is>
      </c>
      <c r="B5" s="24" t="inlineStr">
        <is>
          <t>Comparable-company workbook for peer multiples and relative valuation.</t>
        </is>
      </c>
      <c r="C5" s="24" t="inlineStr">
        <is>
          <t>Peer Analysis, 시장/산업 비교, valuation multiple 관련 시트</t>
        </is>
      </c>
      <c r="D5" s="24" t="inlineStr">
        <is>
          <t>Peer Analysis | Comps | Market | Industry | Output</t>
        </is>
      </c>
      <c r="E5" s="24" t="inlineStr">
        <is>
          <t>01_ReadMe | 02_Peer_Universe | 03_Peer_Raw_Data | 04_Peer_Multiples | 05_Relative_Value | 06_Checks</t>
        </is>
      </c>
      <c r="F5" s="24" t="inlineStr">
        <is>
          <t>peer_financials | peer_prices | market_cap | revenue | net_income | equity</t>
        </is>
      </c>
      <c r="G5" s="24" t="inlineStr">
        <is>
          <t>peer | comps | multiple | per | pbr | psr | ev</t>
        </is>
      </c>
    </row>
    <row r="6" ht="24" customHeight="1">
      <c r="A6" s="29" t="inlineStr">
        <is>
          <t>SCENARIO_SENSITIVITY</t>
        </is>
      </c>
      <c r="B6" s="29" t="inlineStr">
        <is>
          <t>Scenario workbook: base/bull/bear assumptions and DCF sensitivity table.</t>
        </is>
      </c>
      <c r="C6" s="29" t="inlineStr">
        <is>
          <t>Scenario, Sensitivity, 가정별 변화 보기, Check 관련 시트</t>
        </is>
      </c>
      <c r="D6" s="29" t="inlineStr">
        <is>
          <t>Scenario | Sensitivity | Input | Check | Output</t>
        </is>
      </c>
      <c r="E6" s="29" t="inlineStr">
        <is>
          <t>01_ReadMe | 02_Assumptions | 03_Scenario_Setup | 04_DCF_Base | 05_Sensitivity | 06_Checks</t>
        </is>
      </c>
      <c r="F6" s="29" t="inlineStr">
        <is>
          <t>base_assumptions | wacc_range | terminal_growth_range | growth_scenarios</t>
        </is>
      </c>
      <c r="G6" s="29" t="inlineStr">
        <is>
          <t>scenario | sensitivity | case | bear | bull | check</t>
        </is>
      </c>
    </row>
    <row r="7" ht="24" customHeight="1">
      <c r="A7" s="24" t="inlineStr">
        <is>
          <t>MANUFACTURING_DRIVER_MODEL</t>
        </is>
      </c>
      <c r="B7" s="24" t="inlineStr">
        <is>
          <t>Manufacturing-style driver model inferred from sheets such as Sales, COGS, CAPEX, SG&amp;A, WC, TAX, DEBT and Backdata.</t>
        </is>
      </c>
      <c r="C7" s="24" t="inlineStr">
        <is>
          <t>제조업/DCF Valuation_after_22ver/DCF+CoCo Valuation+reporting 등 driver-based workbook</t>
        </is>
      </c>
      <c r="D7" s="24" t="inlineStr">
        <is>
          <t>DCF Results | Output☞ | Report | CoCo | DCF | FCST BS | FCST IS | FCST CF | WP☞ | Assumption | Sales | COGS | CAPEX | Payroll | SG&amp;A | DEBT | TAX | WC | WACC | Backdata☞</t>
        </is>
      </c>
      <c r="E7" s="24" t="inlineStr">
        <is>
          <t>01_ReadMe | 02_Assumptions | 03_Raw_Financials | 04_Driver_Input | 05_Revenue_COGS_SGA | 06_CAPEX_WC_Tax | 07_Forecast_FS | 08_WACC | 09_DCF | 10_CoCo | 11_Report</t>
        </is>
      </c>
      <c r="F7" s="24" t="inlineStr">
        <is>
          <t>historical_fs | sales_driver | margin_driver | capex_driver | working_capital_driver | tax_assumption | debt_assumption</t>
        </is>
      </c>
      <c r="G7" s="24" t="inlineStr">
        <is>
          <t>manufacturing | driver | sales | cogs | capex | wc | tax | coco</t>
        </is>
      </c>
    </row>
    <row r="8" ht="24" customHeight="1">
      <c r="A8" s="29" t="inlineStr">
        <is>
          <t>FPNA_BUDGET_FORECAST</t>
        </is>
      </c>
      <c r="B8" s="29" t="inlineStr">
        <is>
          <t>FP&amp;A budget/forecast model inferred from Legend, Scenario, Input, Inventory, Cost, Working Capital and Financial Statement sheets.</t>
        </is>
      </c>
      <c r="C8" s="29" t="inlineStr">
        <is>
          <t>FP&amp;A / Budget &amp; Forecast xlsm examples</t>
        </is>
      </c>
      <c r="D8" s="29" t="inlineStr">
        <is>
          <t>Legend | Scenario | Input | Inventory | Cost | Working capital | Dep &amp; Tax | Debt &amp; Equity | Financial Statement | Valuation | Check | Actual</t>
        </is>
      </c>
      <c r="E8" s="29" t="inlineStr">
        <is>
          <t>01_ReadMe | 02_Scenario | 03_Input | 04_Actual | 05_Budget_Forecast | 06_Working_Capital | 07_Debt_Equity | 08_Financial_Statement | 09_Valuation | 10_Check</t>
        </is>
      </c>
      <c r="F8" s="29" t="inlineStr">
        <is>
          <t>actual_fs | budget_assumptions | scenario_assumptions | inventory_driver | cost_driver | debt_equity_driver</t>
        </is>
      </c>
      <c r="G8" s="29" t="inlineStr">
        <is>
          <t>fp&amp;a | budget | forecast | scenario | inventory | cost | working capital</t>
        </is>
      </c>
    </row>
    <row r="9" ht="24" customHeight="1">
      <c r="A9" s="24" t="inlineStr">
        <is>
          <t>M_AND_A_DEAL_STRUCTURING</t>
        </is>
      </c>
      <c r="B9" s="24" t="inlineStr">
        <is>
          <t>M&amp;A/deal structuring workbook pattern for merger, secondary sale, rights offering and CB issuance outputs.</t>
        </is>
      </c>
      <c r="C9" s="24" t="inlineStr">
        <is>
          <t>M&amp;A modeling pack / deal structuring exercise</t>
        </is>
      </c>
      <c r="D9" s="24" t="inlineStr">
        <is>
          <t>합병 | 구주매각 | 유상증자 | CB발행 | Peer Analysis | FS (dart) | Peer data (CapIQ) | 참고) Peer List (네이버증권)</t>
        </is>
      </c>
      <c r="E9" s="24" t="inlineStr">
        <is>
          <t>01_ReadMe | 02_Deal_Assumptions | 03_Target_FS | 04_Peer_Comps | 05_Merger | 06_Equity_Issuance | 07_CB_Issuance | 08_Value_Impact | 09_Checks</t>
        </is>
      </c>
      <c r="F9" s="24" t="inlineStr">
        <is>
          <t>target_fs | peer_multiples | deal_assumptions | share_price | capital_structure</t>
        </is>
      </c>
      <c r="G9" s="24" t="inlineStr">
        <is>
          <t>m&amp;a | deal | merger | cb | issuance | peer analysis</t>
        </is>
      </c>
    </row>
    <row r="10" ht="24" customHeight="1">
      <c r="A10" s="29" t="inlineStr">
        <is>
          <t>LBO_CREDIT_CASE</t>
        </is>
      </c>
      <c r="B10" s="29" t="inlineStr">
        <is>
          <t>LBO/debt capacity style model inferred from assumptions, covenants, FCFF, debt and country/rate sheets.</t>
        </is>
      </c>
      <c r="C10" s="29" t="inlineStr">
        <is>
          <t>part10 LBO modeling pack</t>
        </is>
      </c>
      <c r="D10" s="29" t="inlineStr">
        <is>
          <t>Assumptions | Covenants | FCFF (Hold Co) | FCFF(Op) | 추정PL | Sales | PL | BS | Summary | 채권수익률</t>
        </is>
      </c>
      <c r="E10" s="29" t="inlineStr">
        <is>
          <t>01_ReadMe | 02_Assumptions | 03_FCFF | 04_Debt_Schedule | 05_Covenants | 06_Returns | 07_Credit_Checks</t>
        </is>
      </c>
      <c r="F10" s="29" t="inlineStr">
        <is>
          <t>fcff | debt_assumption | interest_rate | covenant_threshold | exit_multiple</t>
        </is>
      </c>
      <c r="G10" s="29" t="inlineStr">
        <is>
          <t>lbo | covenant | debt | fcff | exit | credit</t>
        </is>
      </c>
    </row>
    <row r="11" ht="24" customHeight="1">
      <c r="A11" s="24" t="inlineStr">
        <is>
          <t>RISK_DASHBOARD_EXPORT</t>
        </is>
      </c>
      <c r="B11" s="24" t="inlineStr">
        <is>
          <t>Dashboard/export workbook for investor-facing outputs, risk checks and downloadable payloads.</t>
        </is>
      </c>
      <c r="C11" s="24" t="inlineStr">
        <is>
          <t>ChatGPT로 완성하는 파이낸셜 모델링 및 재무기획 / 수업개요, 엑셀함수, 데이터베이스 스키마, Dashboard/Output</t>
        </is>
      </c>
      <c r="D11" s="24" t="inlineStr">
        <is>
          <t>수업개요 | 엑셀함수소개 | Sheet1 | Dashboard | Output</t>
        </is>
      </c>
      <c r="E11" s="24" t="inlineStr">
        <is>
          <t>01_ReadMe | 02_Raw_Data | 03_Normalized | 04_Output | 05_Dashboard_Export | 06_Checks</t>
        </is>
      </c>
      <c r="F11" s="24" t="inlineStr">
        <is>
          <t>valuation_metrics | risk_flags | chart_series | dashboard_payload | validation_status</t>
        </is>
      </c>
      <c r="G11" s="24" t="inlineStr">
        <is>
          <t>dashboard | output | export | risk | schema | check</t>
        </is>
      </c>
    </row>
  </sheetData>
  <autoFilter ref="A2:G11"/>
  <mergeCells count="1">
    <mergeCell ref="A1:F1"/>
  </mergeCells>
  <pageMargins left="0.75" right="0.75" top="1" bottom="1" header="0.5" footer="0.5"/>
  <pageSetup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4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미코 투자자용 요약</t>
        </is>
      </c>
    </row>
    <row r="2" ht="28" customHeight="1">
      <c r="A2" s="17" t="inlineStr">
        <is>
          <t>Valuation Agent 단독 산출: 재무 원천·주가·DCF·Peer·ML 보조판단을 한 장으로 요약</t>
        </is>
      </c>
    </row>
    <row r="3" ht="24" customHeight="1"/>
    <row r="4" ht="24" customHeight="1">
      <c r="A4" s="22" t="inlineStr">
        <is>
          <t>투자자 핵심 요약</t>
        </is>
      </c>
    </row>
    <row r="5" ht="24" customHeight="1">
      <c r="A5" s="25" t="inlineStr">
        <is>
          <t>구분</t>
        </is>
      </c>
      <c r="B5" s="25" t="inlineStr">
        <is>
          <t>핵심값</t>
        </is>
      </c>
      <c r="C5" s="25" t="inlineStr">
        <is>
          <t>해석</t>
        </is>
      </c>
    </row>
    <row r="6" ht="24" customHeight="1">
      <c r="A6" s="24" t="inlineStr">
        <is>
          <t>데이터 상태</t>
        </is>
      </c>
      <c r="B6" s="24" t="inlineStr">
        <is>
          <t>PASS</t>
        </is>
      </c>
      <c r="C6" s="24" t="inlineStr">
        <is>
          <t>PASS이면 workbook/dashboard용 주요 입력값이 준비된 상태</t>
        </is>
      </c>
    </row>
    <row r="7" ht="24" customHeight="1">
      <c r="A7" s="29" t="inlineStr">
        <is>
          <t>현재가</t>
        </is>
      </c>
      <c r="B7" s="31" t="n">
        <v>19230</v>
      </c>
      <c r="C7" s="29" t="inlineStr">
        <is>
          <t>주가 intake 기준 최근 종가</t>
        </is>
      </c>
    </row>
    <row r="8" ht="24" customHeight="1">
      <c r="A8" s="24" t="inlineStr">
        <is>
          <t>시가총액</t>
        </is>
      </c>
      <c r="B8" s="30" t="n">
        <v>642604640940</v>
      </c>
      <c r="C8" s="24" t="inlineStr">
        <is>
          <t>현재가 × 발행주식 수</t>
        </is>
      </c>
    </row>
    <row r="9" ht="24" customHeight="1">
      <c r="A9" s="29" t="inlineStr">
        <is>
          <t>최근 매출액</t>
        </is>
      </c>
      <c r="B9" s="31" t="n">
        <v>977036793661</v>
      </c>
      <c r="C9" s="29" t="inlineStr">
        <is>
          <t>DART 기반 정규화 재무제표</t>
        </is>
      </c>
    </row>
    <row r="10" ht="24" customHeight="1">
      <c r="A10" s="24" t="inlineStr">
        <is>
          <t>최근 영업이익률</t>
        </is>
      </c>
      <c r="B10" s="30" t="n">
        <v>0.1033781390130996</v>
      </c>
      <c r="C10" s="24" t="inlineStr">
        <is>
          <t>영업이익 / 매출액</t>
        </is>
      </c>
    </row>
    <row r="11" ht="24" customHeight="1">
      <c r="A11" s="29" t="inlineStr">
        <is>
          <t>최근 FCF margin</t>
        </is>
      </c>
      <c r="B11" s="31" t="n">
        <v>0.01890970107356099</v>
      </c>
      <c r="C11" s="29" t="inlineStr">
        <is>
          <t>FCF / 매출액</t>
        </is>
      </c>
    </row>
    <row r="12" ht="24" customHeight="1">
      <c r="A12" s="24" t="inlineStr">
        <is>
          <t>WACC</t>
        </is>
      </c>
      <c r="B12" s="30" t="n">
        <v>0.07111888277659718</v>
      </c>
      <c r="C12" s="24" t="inlineStr">
        <is>
          <t>DCF 할인율</t>
        </is>
      </c>
    </row>
    <row r="13" ht="24" customHeight="1">
      <c r="A13" s="29" t="inlineStr">
        <is>
          <t>DCF 기업가치</t>
        </is>
      </c>
      <c r="B13" s="31" t="n">
        <v>2821909648707.556</v>
      </c>
      <c r="C13" s="29" t="inlineStr">
        <is>
          <t>명시기간 FCF + Terminal Value 현재가치</t>
        </is>
      </c>
    </row>
    <row r="14" ht="24" customHeight="1">
      <c r="A14" s="24" t="inlineStr">
        <is>
          <t>DCF 내재주가</t>
        </is>
      </c>
      <c r="B14" s="30" t="n">
        <v>46518.09387702057</v>
      </c>
      <c r="C14" s="24" t="inlineStr">
        <is>
          <t>지분가치 / 발행주식 수</t>
        </is>
      </c>
    </row>
    <row r="15" ht="24" customHeight="1">
      <c r="A15" s="29" t="inlineStr">
        <is>
          <t>현재가 대비 괴리율</t>
        </is>
      </c>
      <c r="B15" s="31" t="n">
        <v>1.419037643110794</v>
      </c>
      <c r="C15" s="29" t="inlineStr">
        <is>
          <t>내재주가 / 현재가 - 1</t>
        </is>
      </c>
    </row>
    <row r="16" ht="24" customHeight="1">
      <c r="A16" s="24" t="inlineStr">
        <is>
          <t>P/S</t>
        </is>
      </c>
      <c r="B16" s="30" t="n">
        <v>1.233799891625982</v>
      </c>
      <c r="C16" s="24" t="inlineStr">
        <is>
          <t>피어 대비 저PSR 구간: 상대 저평가 가능성</t>
        </is>
      </c>
    </row>
    <row r="17" ht="24" customHeight="1">
      <c r="A17" s="29" t="inlineStr">
        <is>
          <t>Peer P/S 중앙값</t>
        </is>
      </c>
      <c r="B17" s="31" t="n">
        <v>3.545579574812033</v>
      </c>
      <c r="C17" s="29" t="inlineStr">
        <is>
          <t>5개 live peer 기준 상대가치 비교</t>
        </is>
      </c>
    </row>
    <row r="18" ht="24" customHeight="1">
      <c r="A18" s="24" t="inlineStr">
        <is>
          <t>208개 Universe</t>
        </is>
      </c>
      <c r="B18" s="30" t="n">
        <v>208</v>
      </c>
      <c r="C18" s="24" t="inlineStr">
        <is>
          <t>IDM/제조/메모리</t>
        </is>
      </c>
    </row>
    <row r="19" ht="24" customHeight="1">
      <c r="A19" s="29" t="inlineStr">
        <is>
          <t>1년 수익률</t>
        </is>
      </c>
      <c r="B19" s="31" t="n">
        <v>0.7108540925266904</v>
      </c>
      <c r="C19" s="29" t="inlineStr">
        <is>
          <t>최근 약 1년 주가 변화</t>
        </is>
      </c>
    </row>
    <row r="20" ht="24" customHeight="1">
      <c r="A20" s="24" t="inlineStr">
        <is>
          <t>MDD</t>
        </is>
      </c>
      <c r="B20" s="30" t="n">
        <v>-0.6273062730627306</v>
      </c>
      <c r="C20" s="24" t="inlineStr">
        <is>
          <t>수집 기간 중 최대 낙폭</t>
        </is>
      </c>
    </row>
    <row r="21" ht="24" customHeight="1">
      <c r="A21" s="29" t="inlineStr">
        <is>
          <t>20일 평균 거래대금</t>
        </is>
      </c>
      <c r="B21" s="31" t="n">
        <v>20420408913</v>
      </c>
      <c r="C21" s="29" t="inlineStr">
        <is>
          <t>거래 유동성 proxy</t>
        </is>
      </c>
    </row>
    <row r="22" ht="24" customHeight="1">
      <c r="A22" s="22" t="inlineStr">
        <is>
          <t>활용 체크포인트</t>
        </is>
      </c>
      <c r="B22" s="32" t="n"/>
      <c r="C22" s="32" t="n"/>
      <c r="D22" s="32" t="n"/>
      <c r="E22" s="32" t="n"/>
      <c r="F22" s="33" t="n"/>
    </row>
    <row r="23" ht="24" customHeight="1">
      <c r="A23" s="25" t="inlineStr">
        <is>
          <t>체크포인트</t>
        </is>
      </c>
      <c r="B23" s="34" t="inlineStr">
        <is>
          <t>내용</t>
        </is>
      </c>
      <c r="C23" s="29" t="inlineStr">
        <is>
          <t>반도체 5개 focal universe</t>
        </is>
      </c>
    </row>
    <row r="24" ht="24" customHeight="1">
      <c r="A24" s="24" t="inlineStr">
        <is>
          <t>가중합 반영</t>
        </is>
      </c>
      <c r="B24" s="24" t="inlineStr">
        <is>
          <t>기존 Chair 5개 에이전트 가중합에는 미반영. 보조 가치평가·다운로드 산출물로 사용</t>
        </is>
      </c>
    </row>
    <row r="25" ht="24" customHeight="1">
      <c r="A25" s="29" t="inlineStr">
        <is>
          <t>Finance와 중복 방지</t>
        </is>
      </c>
      <c r="B25" s="29" t="inlineStr">
        <is>
          <t>finance_agent 산출물을 읽지 않고 valuation/intake 산출물만 사용</t>
        </is>
      </c>
    </row>
    <row r="26" ht="24" customHeight="1">
      <c r="A26" s="24" t="inlineStr">
        <is>
          <t>대시보드 연결</t>
        </is>
      </c>
      <c r="B26" s="24" t="inlineStr">
        <is>
          <t>dashboard_payload.json과 workbook 시트를 그대로 Streamlit/React 다운로드 영역에 연결 가능</t>
        </is>
      </c>
    </row>
    <row r="27" ht="24" customHeight="1">
      <c r="A27" s="29" t="inlineStr">
        <is>
          <t>PSR/208개 Universe</t>
        </is>
      </c>
      <c r="B27" s="29" t="inlineStr">
        <is>
          <t>P/S와 208개 반도체 reference universe를 함께 보여줘 단순 DCF보다 비교 설명력을 강화</t>
        </is>
      </c>
    </row>
    <row r="28" ht="24" customHeight="1">
      <c r="A28" s="24" t="inlineStr">
        <is>
          <t>해석 주의</t>
        </is>
      </c>
      <c r="B28" s="24" t="inlineStr">
        <is>
          <t>DCF는 가정 민감도가 크므로 WACC·성장률·FCF margin 민감도 시트와 함께 확인</t>
        </is>
      </c>
    </row>
  </sheetData>
  <autoFilter ref="A23:B28"/>
  <mergeCells count="4">
    <mergeCell ref="A1:J1"/>
    <mergeCell ref="A22:F22"/>
    <mergeCell ref="A4:F4"/>
    <mergeCell ref="A2:J2"/>
  </mergeCells>
  <pageMargins left="0.75" right="0.75" top="1" bottom="1" header="0.5" footer="0.5"/>
  <pageSetup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AH2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 ht="30" customHeight="1">
      <c r="A1" s="16" t="inlineStr">
        <is>
          <t>208개 반도체 Reference Universe</t>
        </is>
      </c>
    </row>
    <row r="2" ht="28" customHeight="1">
      <c r="A2" s="17" t="inlineStr">
        <is>
          <t>Tech의 대규모 반도체 universe와 같은 축을 Valuation Agent가 자체 intake로 복제해 PSR/ML 보조판단에 활용</t>
        </is>
      </c>
    </row>
    <row r="3" ht="24" customHeight="1"/>
    <row r="4" ht="24" customHeight="1">
      <c r="A4" s="22" t="inlineStr">
        <is>
          <t>Universe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</row>
    <row r="6" ht="24" customHeight="1">
      <c r="A6" s="24" t="inlineStr">
        <is>
          <t>status</t>
        </is>
      </c>
      <c r="B6" s="24" t="inlineStr">
        <is>
          <t>OK</t>
        </is>
      </c>
    </row>
    <row r="7" ht="24" customHeight="1">
      <c r="A7" s="29" t="inlineStr">
        <is>
          <t>created_at</t>
        </is>
      </c>
      <c r="B7" s="29" t="inlineStr">
        <is>
          <t>2026-05-20T11:23:08</t>
        </is>
      </c>
    </row>
    <row r="8" ht="24" customHeight="1">
      <c r="A8" s="24" t="inlineStr">
        <is>
          <t>reference_universe_rows</t>
        </is>
      </c>
      <c r="B8" s="30" t="n">
        <v>208</v>
      </c>
    </row>
    <row r="9" ht="24" customHeight="1">
      <c r="A9" s="29" t="inlineStr">
        <is>
          <t>focus_rows</t>
        </is>
      </c>
      <c r="B9" s="31" t="n">
        <v>40</v>
      </c>
    </row>
    <row r="10" ht="24" customHeight="1">
      <c r="A10" s="24" t="inlineStr">
        <is>
          <t>focal_5_rows</t>
        </is>
      </c>
      <c r="B10" s="30" t="n">
        <v>5</v>
      </c>
    </row>
    <row r="11" ht="24" customHeight="1">
      <c r="A11" s="29" t="inlineStr">
        <is>
          <t>target_company</t>
        </is>
      </c>
      <c r="B11" s="29" t="inlineStr">
        <is>
          <t>미코</t>
        </is>
      </c>
    </row>
    <row r="12" ht="24" customHeight="1">
      <c r="A12" s="24" t="inlineStr">
        <is>
          <t>target_peer_group</t>
        </is>
      </c>
      <c r="B12" s="24" t="inlineStr">
        <is>
          <t>IDM/제조/메모리</t>
        </is>
      </c>
    </row>
    <row r="13" ht="24" customHeight="1">
      <c r="A13" s="29" t="inlineStr">
        <is>
          <t>target_peer_group_size</t>
        </is>
      </c>
      <c r="B13" s="31" t="n">
        <v>40</v>
      </c>
    </row>
    <row r="14" ht="24" customHeight="1">
      <c r="A14" s="24" t="inlineStr">
        <is>
          <t>attractive_rows</t>
        </is>
      </c>
      <c r="B14" s="30" t="n">
        <v>43</v>
      </c>
    </row>
    <row r="15" ht="24" customHeight="1">
      <c r="A15" s="29" t="inlineStr">
        <is>
          <t>high_risk_rows</t>
        </is>
      </c>
      <c r="B15" s="31" t="n">
        <v>67</v>
      </c>
    </row>
    <row r="16" ht="24" customHeight="1">
      <c r="A16" s="24" t="inlineStr">
        <is>
          <t>note</t>
        </is>
      </c>
      <c r="B16" s="24" t="inlineStr">
        <is>
          <t>Valuation Agent는 live DCF/PSR 산출과 별도로 208개 반도체 universe의 proxy score를 활용해 상대 위치를 보조 판단합니다.</t>
        </is>
      </c>
    </row>
    <row r="17" ht="24" customHeight="1">
      <c r="A17" s="29" t="inlineStr">
        <is>
          <t>source_path</t>
        </is>
      </c>
      <c r="B17" s="29" t="inlineStr">
        <is>
          <t>data/반도체/_sector_common/ml_universe/valuation_credit_ml_overlay_candidate.csv</t>
        </is>
      </c>
    </row>
    <row r="18" ht="24" customHeight="1">
      <c r="A18" s="24" t="inlineStr">
        <is>
          <t>exported_at</t>
        </is>
      </c>
      <c r="B18" s="24" t="inlineStr">
        <is>
          <t>2026-05-20T11:23:08</t>
        </is>
      </c>
    </row>
    <row r="19" ht="24" customHeight="1"/>
    <row r="20" ht="24" customHeight="1"/>
    <row r="21" ht="24" customHeight="1">
      <c r="A21" s="22" t="inlineStr">
        <is>
          <t>Target 중심 비교군</t>
        </is>
      </c>
    </row>
    <row r="22" ht="24" customHeight="1">
      <c r="A22" s="25" t="inlineStr">
        <is>
          <t>Universe 순번</t>
        </is>
      </c>
      <c r="B22" s="25" t="inlineStr">
        <is>
          <t>기업코드</t>
        </is>
      </c>
      <c r="C22" s="25" t="inlineStr">
        <is>
          <t>기업명</t>
        </is>
      </c>
      <c r="D22" s="25" t="inlineStr">
        <is>
          <t>종목코드</t>
        </is>
      </c>
      <c r="E22" s="25" t="inlineStr">
        <is>
          <t>시장</t>
        </is>
      </c>
      <c r="F22" s="25" t="inlineStr">
        <is>
          <t>피어 그룹</t>
        </is>
      </c>
      <c r="G22" s="25" t="inlineStr">
        <is>
          <t>반도체 세부군</t>
        </is>
      </c>
      <c r="H22" s="25" t="inlineStr">
        <is>
          <t>5개 핵심기업</t>
        </is>
      </c>
      <c r="I22" s="25" t="inlineStr">
        <is>
          <t>market_data_available</t>
        </is>
      </c>
      <c r="J22" s="25" t="inlineStr">
        <is>
          <t>데이터 품질</t>
        </is>
      </c>
      <c r="K22" s="25" t="inlineStr">
        <is>
          <t>데이터 품질 해석</t>
        </is>
      </c>
      <c r="L22" s="25" t="inlineStr">
        <is>
          <t>수동검토 우선순위</t>
        </is>
      </c>
      <c r="M22" s="25" t="inlineStr">
        <is>
          <t>수동검토 우선순위 해석</t>
        </is>
      </c>
      <c r="N22" s="25" t="inlineStr">
        <is>
          <t>Valuation Proxy 점수</t>
        </is>
      </c>
      <c r="O22" s="25" t="inlineStr">
        <is>
          <t>Valuation Proxy 라벨</t>
        </is>
      </c>
      <c r="P22" s="25" t="inlineStr">
        <is>
          <t>가치 라벨</t>
        </is>
      </c>
      <c r="Q22" s="25" t="inlineStr">
        <is>
          <t>valuation_pred_label</t>
        </is>
      </c>
      <c r="R22" s="25" t="inlineStr">
        <is>
          <t>Valuation 신뢰도</t>
        </is>
      </c>
      <c r="S22" s="25" t="inlineStr">
        <is>
          <t>valuation_confidence_bucket</t>
        </is>
      </c>
      <c r="T22" s="25" t="inlineStr">
        <is>
          <t>valuation_confidence_bucket_kr</t>
        </is>
      </c>
      <c r="U22" s="25" t="inlineStr">
        <is>
          <t>Credit Risk 점수</t>
        </is>
      </c>
      <c r="V22" s="25" t="inlineStr">
        <is>
          <t>Credit Risk 라벨</t>
        </is>
      </c>
      <c r="W22" s="25" t="inlineStr">
        <is>
          <t>신용위험 라벨</t>
        </is>
      </c>
      <c r="X22" s="25" t="inlineStr">
        <is>
          <t>credit_pred_label</t>
        </is>
      </c>
      <c r="Y22" s="25" t="inlineStr">
        <is>
          <t>Credit 신뢰도</t>
        </is>
      </c>
      <c r="Z22" s="25" t="inlineStr">
        <is>
          <t>credit_confidence_bucket</t>
        </is>
      </c>
      <c r="AA22" s="25" t="inlineStr">
        <is>
          <t>credit_confidence_bucket_kr</t>
        </is>
      </c>
      <c r="AB22" s="25" t="inlineStr">
        <is>
          <t>Credit 이상치 점수</t>
        </is>
      </c>
      <c r="AC22" s="25" t="inlineStr">
        <is>
          <t>credit_anomaly_flag_top15pct</t>
        </is>
      </c>
      <c r="AD22" s="25" t="inlineStr">
        <is>
          <t>auditor_requires_human_review</t>
        </is>
      </c>
      <c r="AE22" s="25" t="inlineStr">
        <is>
          <t>출처 유형</t>
        </is>
      </c>
      <c r="AF22" s="25" t="inlineStr">
        <is>
          <t>출처 설명</t>
        </is>
      </c>
      <c r="AG22" s="25" t="inlineStr">
        <is>
          <t>포함 사유</t>
        </is>
      </c>
      <c r="AH22" s="25" t="inlineStr">
        <is>
          <t>분석대상</t>
        </is>
      </c>
    </row>
    <row r="23" ht="24" customHeight="1">
      <c r="A23" s="24" t="inlineStr">
        <is>
          <t>10</t>
        </is>
      </c>
      <c r="B23" s="24" t="inlineStr">
        <is>
          <t>해당 없음</t>
        </is>
      </c>
      <c r="C23" s="24" t="inlineStr">
        <is>
          <t>미코</t>
        </is>
      </c>
      <c r="D23" s="24" t="inlineStr">
        <is>
          <t>059090</t>
        </is>
      </c>
      <c r="E23" s="24" t="inlineStr">
        <is>
          <t>KOSDAQ</t>
        </is>
      </c>
      <c r="F23" s="24" t="inlineStr">
        <is>
          <t>IDM/제조/메모리</t>
        </is>
      </c>
      <c r="G23" s="24" t="inlineStr">
        <is>
          <t>IDM/제조/메모리</t>
        </is>
      </c>
      <c r="H23" s="24" t="inlineStr">
        <is>
          <t>False</t>
        </is>
      </c>
      <c r="I23" s="24" t="inlineStr">
        <is>
          <t>True</t>
        </is>
      </c>
      <c r="J23" s="24" t="inlineStr">
        <is>
          <t>OK</t>
        </is>
      </c>
      <c r="K23" s="24" t="inlineStr">
        <is>
          <t>데이터 사용 가능</t>
        </is>
      </c>
      <c r="L23" s="24" t="inlineStr">
        <is>
          <t>LOW</t>
        </is>
      </c>
      <c r="M23" s="24" t="inlineStr">
        <is>
          <t>LOW</t>
        </is>
      </c>
      <c r="N23" s="24" t="inlineStr">
        <is>
          <t>0.7733333333333334</t>
        </is>
      </c>
      <c r="O23" s="24" t="inlineStr">
        <is>
          <t>FAIR</t>
        </is>
      </c>
      <c r="P23" s="24" t="inlineStr">
        <is>
          <t>FAIR</t>
        </is>
      </c>
      <c r="Q23" s="24" t="inlineStr">
        <is>
          <t>FAIR</t>
        </is>
      </c>
      <c r="R23" s="24" t="inlineStr">
        <is>
          <t>0.9066669659525092</t>
        </is>
      </c>
      <c r="S23" s="24" t="inlineStr">
        <is>
          <t>HIGH</t>
        </is>
      </c>
      <c r="T23" s="24" t="inlineStr">
        <is>
          <t>HIGH</t>
        </is>
      </c>
      <c r="U23" s="24" t="inlineStr">
        <is>
          <t>0.2142857142857142</t>
        </is>
      </c>
      <c r="V23" s="24" t="inlineStr">
        <is>
          <t>MEDIUM_RISK</t>
        </is>
      </c>
      <c r="W23" s="24" t="inlineStr">
        <is>
          <t>중위험</t>
        </is>
      </c>
      <c r="X23" s="24" t="inlineStr">
        <is>
          <t>MEDIUM_RISK</t>
        </is>
      </c>
      <c r="Y23" s="24" t="inlineStr">
        <is>
          <t>0.6769145960065608</t>
        </is>
      </c>
      <c r="Z23" s="24" t="inlineStr">
        <is>
          <t>MEDIUM</t>
        </is>
      </c>
      <c r="AA23" s="24" t="inlineStr">
        <is>
          <t>MEDIUM</t>
        </is>
      </c>
      <c r="AB23" s="24" t="inlineStr">
        <is>
          <t>0.10646038380774528</t>
        </is>
      </c>
      <c r="AC23" s="24" t="inlineStr">
        <is>
          <t>False</t>
        </is>
      </c>
      <c r="AD23" s="24" t="inlineStr">
        <is>
          <t>False</t>
        </is>
      </c>
      <c r="AE23" s="24" t="inlineStr">
        <is>
          <t>valuation_credit_ml_overlay_candidate.csv</t>
        </is>
      </c>
      <c r="AF23" s="24" t="inlineStr">
        <is>
          <t>208개 반도체 reference universe. Valuation Agent가 자체 intake 폴더로 복제해 Peer/ML/대시보드 비교에 사용.</t>
        </is>
      </c>
      <c r="AG23" s="24" t="inlineStr">
        <is>
          <t>TARGET</t>
        </is>
      </c>
      <c r="AH23" s="24" t="inlineStr">
        <is>
          <t>True</t>
        </is>
      </c>
    </row>
    <row r="24" ht="24" customHeight="1">
      <c r="A24" s="29" t="inlineStr">
        <is>
          <t>22</t>
        </is>
      </c>
      <c r="B24" s="29" t="inlineStr">
        <is>
          <t>해당 없음</t>
        </is>
      </c>
      <c r="C24" s="29" t="inlineStr">
        <is>
          <t>엘디티</t>
        </is>
      </c>
      <c r="D24" s="29" t="inlineStr">
        <is>
          <t>096870</t>
        </is>
      </c>
      <c r="E24" s="29" t="inlineStr">
        <is>
          <t>KOSDAQ</t>
        </is>
      </c>
      <c r="F24" s="29" t="inlineStr">
        <is>
          <t>IDM/제조/메모리</t>
        </is>
      </c>
      <c r="G24" s="29" t="inlineStr">
        <is>
          <t>IDM/제조/메모리</t>
        </is>
      </c>
      <c r="H24" s="29" t="inlineStr">
        <is>
          <t>False</t>
        </is>
      </c>
      <c r="I24" s="29" t="inlineStr">
        <is>
          <t>True</t>
        </is>
      </c>
      <c r="J24" s="29" t="inlineStr">
        <is>
          <t>OK</t>
        </is>
      </c>
      <c r="K24" s="29" t="inlineStr">
        <is>
          <t>데이터 사용 가능</t>
        </is>
      </c>
      <c r="L24" s="29" t="inlineStr">
        <is>
          <t>LOW</t>
        </is>
      </c>
      <c r="M24" s="29" t="inlineStr">
        <is>
          <t>LOW</t>
        </is>
      </c>
      <c r="N24" s="29" t="inlineStr">
        <is>
          <t>0.7518333333333332</t>
        </is>
      </c>
      <c r="O24" s="29" t="inlineStr">
        <is>
          <t>ATTRACTIVE</t>
        </is>
      </c>
      <c r="P24" s="29" t="inlineStr">
        <is>
          <t>가치 매력</t>
        </is>
      </c>
      <c r="Q24" s="29" t="inlineStr">
        <is>
          <t>ATTRACTIVE</t>
        </is>
      </c>
      <c r="R24" s="29" t="inlineStr">
        <is>
          <t>0.8817908899004964</t>
        </is>
      </c>
      <c r="S24" s="29" t="inlineStr">
        <is>
          <t>HIGH</t>
        </is>
      </c>
      <c r="T24" s="29" t="inlineStr">
        <is>
          <t>HIGH</t>
        </is>
      </c>
      <c r="U24" s="29" t="inlineStr">
        <is>
          <t>0.0714285714285714</t>
        </is>
      </c>
      <c r="V24" s="29" t="inlineStr">
        <is>
          <t>LOW_RISK</t>
        </is>
      </c>
      <c r="W24" s="29" t="inlineStr">
        <is>
          <t>저위험</t>
        </is>
      </c>
      <c r="X24" s="29" t="inlineStr">
        <is>
          <t>LOW_RISK</t>
        </is>
      </c>
      <c r="Y24" s="29" t="inlineStr">
        <is>
          <t>0.8068970516192283</t>
        </is>
      </c>
      <c r="Z24" s="29" t="inlineStr">
        <is>
          <t>HIGH</t>
        </is>
      </c>
      <c r="AA24" s="29" t="inlineStr">
        <is>
          <t>HIGH</t>
        </is>
      </c>
      <c r="AB24" s="29" t="inlineStr">
        <is>
          <t>0.2312715560027526</t>
        </is>
      </c>
      <c r="AC24" s="29" t="inlineStr">
        <is>
          <t>False</t>
        </is>
      </c>
      <c r="AD24" s="29" t="inlineStr">
        <is>
          <t>False</t>
        </is>
      </c>
      <c r="AE24" s="29" t="inlineStr">
        <is>
          <t>valuation_credit_ml_overlay_candidate.csv</t>
        </is>
      </c>
      <c r="AF24" s="29" t="inlineStr">
        <is>
          <t>208개 반도체 reference universe. Valuation Agent가 자체 intake 폴더로 복제해 Peer/ML/대시보드 비교에 사용.</t>
        </is>
      </c>
      <c r="AG24" s="29" t="inlineStr">
        <is>
          <t>SAME_PEER_GROUP</t>
        </is>
      </c>
      <c r="AH24" s="29" t="inlineStr">
        <is>
          <t>False</t>
        </is>
      </c>
    </row>
    <row r="25" ht="24" customHeight="1">
      <c r="A25" s="24" t="inlineStr">
        <is>
          <t>9</t>
        </is>
      </c>
      <c r="B25" s="24" t="inlineStr">
        <is>
          <t>해당 없음</t>
        </is>
      </c>
      <c r="C25" s="24" t="inlineStr">
        <is>
          <t>메카로</t>
        </is>
      </c>
      <c r="D25" s="24" t="inlineStr">
        <is>
          <t>241770</t>
        </is>
      </c>
      <c r="E25" s="24" t="inlineStr">
        <is>
          <t>KOSDAQ</t>
        </is>
      </c>
      <c r="F25" s="24" t="inlineStr">
        <is>
          <t>IDM/제조/메모리</t>
        </is>
      </c>
      <c r="G25" s="24" t="inlineStr">
        <is>
          <t>IDM/제조/메모리</t>
        </is>
      </c>
      <c r="H25" s="24" t="inlineStr">
        <is>
          <t>False</t>
        </is>
      </c>
      <c r="I25" s="24" t="inlineStr">
        <is>
          <t>True</t>
        </is>
      </c>
      <c r="J25" s="24" t="inlineStr">
        <is>
          <t>OK</t>
        </is>
      </c>
      <c r="K25" s="24" t="inlineStr">
        <is>
          <t>데이터 사용 가능</t>
        </is>
      </c>
      <c r="L25" s="24" t="inlineStr">
        <is>
          <t>LOW</t>
        </is>
      </c>
      <c r="M25" s="24" t="inlineStr">
        <is>
          <t>LOW</t>
        </is>
      </c>
      <c r="N25" s="24" t="inlineStr">
        <is>
          <t>0.7476666666666667</t>
        </is>
      </c>
      <c r="O25" s="24" t="inlineStr">
        <is>
          <t>ATTRACTIVE</t>
        </is>
      </c>
      <c r="P25" s="24" t="inlineStr">
        <is>
          <t>가치 매력</t>
        </is>
      </c>
      <c r="Q25" s="24" t="inlineStr">
        <is>
          <t>ATTRACTIVE</t>
        </is>
      </c>
      <c r="R25" s="24" t="inlineStr">
        <is>
          <t>0.9154158498128573</t>
        </is>
      </c>
      <c r="S25" s="24" t="inlineStr">
        <is>
          <t>HIGH</t>
        </is>
      </c>
      <c r="T25" s="24" t="inlineStr">
        <is>
          <t>HIGH</t>
        </is>
      </c>
      <c r="U25" s="24" t="inlineStr">
        <is>
          <t>0.0</t>
        </is>
      </c>
      <c r="V25" s="24" t="inlineStr">
        <is>
          <t>LOW_RISK</t>
        </is>
      </c>
      <c r="W25" s="24" t="inlineStr">
        <is>
          <t>저위험</t>
        </is>
      </c>
      <c r="X25" s="24" t="inlineStr">
        <is>
          <t>LOW_RISK</t>
        </is>
      </c>
      <c r="Y25" s="24" t="inlineStr">
        <is>
          <t>0.9196609311939408</t>
        </is>
      </c>
      <c r="Z25" s="24" t="inlineStr">
        <is>
          <t>HIGH</t>
        </is>
      </c>
      <c r="AA25" s="24" t="inlineStr">
        <is>
          <t>HIGH</t>
        </is>
      </c>
      <c r="AB25" s="24" t="inlineStr">
        <is>
          <t>0.12775877727770685</t>
        </is>
      </c>
      <c r="AC25" s="24" t="inlineStr">
        <is>
          <t>False</t>
        </is>
      </c>
      <c r="AD25" s="24" t="inlineStr">
        <is>
          <t>False</t>
        </is>
      </c>
      <c r="AE25" s="24" t="inlineStr">
        <is>
          <t>valuation_credit_ml_overlay_candidate.csv</t>
        </is>
      </c>
      <c r="AF25" s="24" t="inlineStr">
        <is>
          <t>208개 반도체 reference universe. Valuation Agent가 자체 intake 폴더로 복제해 Peer/ML/대시보드 비교에 사용.</t>
        </is>
      </c>
      <c r="AG25" s="24" t="inlineStr">
        <is>
          <t>SAME_PEER_GROUP</t>
        </is>
      </c>
      <c r="AH25" s="24" t="inlineStr">
        <is>
          <t>False</t>
        </is>
      </c>
    </row>
    <row r="26" ht="24" customHeight="1">
      <c r="A26" s="29" t="inlineStr">
        <is>
          <t>12</t>
        </is>
      </c>
      <c r="B26" s="29" t="inlineStr">
        <is>
          <t>해당 없음</t>
        </is>
      </c>
      <c r="C26" s="29" t="inlineStr">
        <is>
          <t>삼성전자</t>
        </is>
      </c>
      <c r="D26" s="29" t="inlineStr">
        <is>
          <t>005930</t>
        </is>
      </c>
      <c r="E26" s="29" t="inlineStr">
        <is>
          <t>KOSPI</t>
        </is>
      </c>
      <c r="F26" s="29" t="inlineStr">
        <is>
          <t>IDM/제조/메모리</t>
        </is>
      </c>
      <c r="G26" s="29" t="inlineStr">
        <is>
          <t>IDM/제조/메모리</t>
        </is>
      </c>
      <c r="H26" s="29" t="inlineStr">
        <is>
          <t>False</t>
        </is>
      </c>
      <c r="I26" s="29" t="inlineStr">
        <is>
          <t>True</t>
        </is>
      </c>
      <c r="J26" s="29" t="inlineStr">
        <is>
          <t>OK</t>
        </is>
      </c>
      <c r="K26" s="29" t="inlineStr">
        <is>
          <t>데이터 사용 가능</t>
        </is>
      </c>
      <c r="L26" s="29" t="inlineStr">
        <is>
          <t>LOW</t>
        </is>
      </c>
      <c r="M26" s="29" t="inlineStr">
        <is>
          <t>LOW</t>
        </is>
      </c>
      <c r="N26" s="29" t="inlineStr">
        <is>
          <t>0.7078333333333333</t>
        </is>
      </c>
      <c r="O26" s="29" t="inlineStr">
        <is>
          <t>ATTRACTIVE</t>
        </is>
      </c>
      <c r="P26" s="29" t="inlineStr">
        <is>
          <t>가치 매력</t>
        </is>
      </c>
      <c r="Q26" s="29" t="inlineStr">
        <is>
          <t>ATTRACTIVE</t>
        </is>
      </c>
      <c r="R26" s="29" t="inlineStr">
        <is>
          <t>0.9371541027950523</t>
        </is>
      </c>
      <c r="S26" s="29" t="inlineStr">
        <is>
          <t>HIGH</t>
        </is>
      </c>
      <c r="T26" s="29" t="inlineStr">
        <is>
          <t>HIGH</t>
        </is>
      </c>
      <c r="U26" s="29" t="inlineStr">
        <is>
          <t>0.0</t>
        </is>
      </c>
      <c r="V26" s="29" t="inlineStr">
        <is>
          <t>LOW_RISK</t>
        </is>
      </c>
      <c r="W26" s="29" t="inlineStr">
        <is>
          <t>저위험</t>
        </is>
      </c>
      <c r="X26" s="29" t="inlineStr">
        <is>
          <t>LOW_RISK</t>
        </is>
      </c>
      <c r="Y26" s="29" t="inlineStr">
        <is>
          <t>0.9760796731366836</t>
        </is>
      </c>
      <c r="Z26" s="29" t="inlineStr">
        <is>
          <t>HIGH</t>
        </is>
      </c>
      <c r="AA26" s="29" t="inlineStr">
        <is>
          <t>HIGH</t>
        </is>
      </c>
      <c r="AB26" s="29" t="inlineStr">
        <is>
          <t>0.4140062883705867</t>
        </is>
      </c>
      <c r="AC26" s="29" t="inlineStr">
        <is>
          <t>True</t>
        </is>
      </c>
      <c r="AD26" s="29" t="inlineStr">
        <is>
          <t>True</t>
        </is>
      </c>
      <c r="AE26" s="29" t="inlineStr">
        <is>
          <t>valuation_credit_ml_overlay_candidate.csv</t>
        </is>
      </c>
      <c r="AF26" s="29" t="inlineStr">
        <is>
          <t>208개 반도체 reference universe. Valuation Agent가 자체 intake 폴더로 복제해 Peer/ML/대시보드 비교에 사용.</t>
        </is>
      </c>
      <c r="AG26" s="29" t="inlineStr">
        <is>
          <t>SAME_PEER_GROUP</t>
        </is>
      </c>
      <c r="AH26" s="29" t="inlineStr">
        <is>
          <t>False</t>
        </is>
      </c>
    </row>
    <row r="27" ht="24" customHeight="1">
      <c r="A27" s="24" t="inlineStr">
        <is>
          <t>4</t>
        </is>
      </c>
      <c r="B27" s="24" t="inlineStr">
        <is>
          <t>해당 없음</t>
        </is>
      </c>
      <c r="C27" s="24" t="inlineStr">
        <is>
          <t>SK하이닉스</t>
        </is>
      </c>
      <c r="D27" s="24" t="inlineStr">
        <is>
          <t>000660</t>
        </is>
      </c>
      <c r="E27" s="24" t="inlineStr">
        <is>
          <t>KOSPI</t>
        </is>
      </c>
      <c r="F27" s="24" t="inlineStr">
        <is>
          <t>IDM/제조/메모리</t>
        </is>
      </c>
      <c r="G27" s="24" t="inlineStr">
        <is>
          <t>IDM/제조/메모리</t>
        </is>
      </c>
      <c r="H27" s="24" t="inlineStr">
        <is>
          <t>False</t>
        </is>
      </c>
      <c r="I27" s="24" t="inlineStr">
        <is>
          <t>True</t>
        </is>
      </c>
      <c r="J27" s="24" t="inlineStr">
        <is>
          <t>OK</t>
        </is>
      </c>
      <c r="K27" s="24" t="inlineStr">
        <is>
          <t>데이터 사용 가능</t>
        </is>
      </c>
      <c r="L27" s="24" t="inlineStr">
        <is>
          <t>LOW</t>
        </is>
      </c>
      <c r="M27" s="24" t="inlineStr">
        <is>
          <t>LOW</t>
        </is>
      </c>
      <c r="N27" s="24" t="inlineStr">
        <is>
          <t>0.6933333333333334</t>
        </is>
      </c>
      <c r="O27" s="24" t="inlineStr">
        <is>
          <t>ATTRACTIVE</t>
        </is>
      </c>
      <c r="P27" s="24" t="inlineStr">
        <is>
          <t>가치 매력</t>
        </is>
      </c>
      <c r="Q27" s="24" t="inlineStr">
        <is>
          <t>ATTRACTIVE</t>
        </is>
      </c>
      <c r="R27" s="24" t="inlineStr">
        <is>
          <t>0.8582250965188642</t>
        </is>
      </c>
      <c r="S27" s="24" t="inlineStr">
        <is>
          <t>HIGH</t>
        </is>
      </c>
      <c r="T27" s="24" t="inlineStr">
        <is>
          <t>HIGH</t>
        </is>
      </c>
      <c r="U27" s="24" t="inlineStr">
        <is>
          <t>0.0</t>
        </is>
      </c>
      <c r="V27" s="24" t="inlineStr">
        <is>
          <t>LOW_RISK</t>
        </is>
      </c>
      <c r="W27" s="24" t="inlineStr">
        <is>
          <t>저위험</t>
        </is>
      </c>
      <c r="X27" s="24" t="inlineStr">
        <is>
          <t>LOW_RISK</t>
        </is>
      </c>
      <c r="Y27" s="24" t="inlineStr">
        <is>
          <t>0.9246810687108324</t>
        </is>
      </c>
      <c r="Z27" s="24" t="inlineStr">
        <is>
          <t>HIGH</t>
        </is>
      </c>
      <c r="AA27" s="24" t="inlineStr">
        <is>
          <t>HIGH</t>
        </is>
      </c>
      <c r="AB27" s="24" t="inlineStr">
        <is>
          <t>0.4530741670429333</t>
        </is>
      </c>
      <c r="AC27" s="24" t="inlineStr">
        <is>
          <t>True</t>
        </is>
      </c>
      <c r="AD27" s="24" t="inlineStr">
        <is>
          <t>True</t>
        </is>
      </c>
      <c r="AE27" s="24" t="inlineStr">
        <is>
          <t>valuation_credit_ml_overlay_candidate.csv</t>
        </is>
      </c>
      <c r="AF27" s="24" t="inlineStr">
        <is>
          <t>208개 반도체 reference universe. Valuation Agent가 자체 intake 폴더로 복제해 Peer/ML/대시보드 비교에 사용.</t>
        </is>
      </c>
      <c r="AG27" s="24" t="inlineStr">
        <is>
          <t>SAME_PEER_GROUP</t>
        </is>
      </c>
      <c r="AH27" s="24" t="inlineStr">
        <is>
          <t>False</t>
        </is>
      </c>
    </row>
    <row r="28" ht="24" customHeight="1">
      <c r="A28" s="29" t="inlineStr">
        <is>
          <t>32</t>
        </is>
      </c>
      <c r="B28" s="29" t="inlineStr">
        <is>
          <t>해당 없음</t>
        </is>
      </c>
      <c r="C28" s="29" t="inlineStr">
        <is>
          <t>케이엔제이</t>
        </is>
      </c>
      <c r="D28" s="29" t="inlineStr">
        <is>
          <t>272110</t>
        </is>
      </c>
      <c r="E28" s="29" t="inlineStr">
        <is>
          <t>KOSDAQ</t>
        </is>
      </c>
      <c r="F28" s="29" t="inlineStr">
        <is>
          <t>IDM/제조/메모리</t>
        </is>
      </c>
      <c r="G28" s="29" t="inlineStr">
        <is>
          <t>IDM/제조/메모리</t>
        </is>
      </c>
      <c r="H28" s="29" t="inlineStr">
        <is>
          <t>False</t>
        </is>
      </c>
      <c r="I28" s="29" t="inlineStr">
        <is>
          <t>True</t>
        </is>
      </c>
      <c r="J28" s="29" t="inlineStr">
        <is>
          <t>OK</t>
        </is>
      </c>
      <c r="K28" s="29" t="inlineStr">
        <is>
          <t>데이터 사용 가능</t>
        </is>
      </c>
      <c r="L28" s="29" t="inlineStr">
        <is>
          <t>LOW</t>
        </is>
      </c>
      <c r="M28" s="29" t="inlineStr">
        <is>
          <t>LOW</t>
        </is>
      </c>
      <c r="N28" s="29" t="inlineStr">
        <is>
          <t>0.69</t>
        </is>
      </c>
      <c r="O28" s="29" t="inlineStr">
        <is>
          <t>FAIR</t>
        </is>
      </c>
      <c r="P28" s="29" t="inlineStr">
        <is>
          <t>FAIR</t>
        </is>
      </c>
      <c r="Q28" s="29" t="inlineStr">
        <is>
          <t>FAIR</t>
        </is>
      </c>
      <c r="R28" s="29" t="inlineStr">
        <is>
          <t>0.8941431334693103</t>
        </is>
      </c>
      <c r="S28" s="29" t="inlineStr">
        <is>
          <t>HIGH</t>
        </is>
      </c>
      <c r="T28" s="29" t="inlineStr">
        <is>
          <t>HIGH</t>
        </is>
      </c>
      <c r="U28" s="29" t="inlineStr">
        <is>
          <t>0.3571428571428571</t>
        </is>
      </c>
      <c r="V28" s="29" t="inlineStr">
        <is>
          <t>MEDIUM_RISK</t>
        </is>
      </c>
      <c r="W28" s="29" t="inlineStr">
        <is>
          <t>중위험</t>
        </is>
      </c>
      <c r="X28" s="29" t="inlineStr">
        <is>
          <t>MEDIUM_RISK</t>
        </is>
      </c>
      <c r="Y28" s="29" t="inlineStr">
        <is>
          <t>0.6916505304322266</t>
        </is>
      </c>
      <c r="Z28" s="29" t="inlineStr">
        <is>
          <t>MEDIUM</t>
        </is>
      </c>
      <c r="AA28" s="29" t="inlineStr">
        <is>
          <t>MEDIUM</t>
        </is>
      </c>
      <c r="AB28" s="29" t="inlineStr">
        <is>
          <t>0.08026450343217886</t>
        </is>
      </c>
      <c r="AC28" s="29" t="inlineStr">
        <is>
          <t>False</t>
        </is>
      </c>
      <c r="AD28" s="29" t="inlineStr">
        <is>
          <t>False</t>
        </is>
      </c>
      <c r="AE28" s="29" t="inlineStr">
        <is>
          <t>valuation_credit_ml_overlay_candidate.csv</t>
        </is>
      </c>
      <c r="AF28" s="29" t="inlineStr">
        <is>
          <t>208개 반도체 reference universe. Valuation Agent가 자체 intake 폴더로 복제해 Peer/ML/대시보드 비교에 사용.</t>
        </is>
      </c>
      <c r="AG28" s="29" t="inlineStr">
        <is>
          <t>SAME_PEER_GROUP</t>
        </is>
      </c>
      <c r="AH28" s="29" t="inlineStr">
        <is>
          <t>False</t>
        </is>
      </c>
    </row>
    <row r="29" ht="24" customHeight="1">
      <c r="A29" s="24" t="inlineStr">
        <is>
          <t>40</t>
        </is>
      </c>
      <c r="B29" s="24" t="inlineStr">
        <is>
          <t>해당 없음</t>
        </is>
      </c>
      <c r="C29" s="24" t="inlineStr">
        <is>
          <t>한양디지텍</t>
        </is>
      </c>
      <c r="D29" s="24" t="inlineStr">
        <is>
          <t>078350</t>
        </is>
      </c>
      <c r="E29" s="24" t="inlineStr">
        <is>
          <t>KOSDAQ</t>
        </is>
      </c>
      <c r="F29" s="24" t="inlineStr">
        <is>
          <t>IDM/제조/메모리</t>
        </is>
      </c>
      <c r="G29" s="24" t="inlineStr">
        <is>
          <t>IDM/제조/메모리</t>
        </is>
      </c>
      <c r="H29" s="24" t="inlineStr">
        <is>
          <t>False</t>
        </is>
      </c>
      <c r="I29" s="24" t="inlineStr">
        <is>
          <t>True</t>
        </is>
      </c>
      <c r="J29" s="24" t="inlineStr">
        <is>
          <t>OK</t>
        </is>
      </c>
      <c r="K29" s="24" t="inlineStr">
        <is>
          <t>데이터 사용 가능</t>
        </is>
      </c>
      <c r="L29" s="24" t="inlineStr">
        <is>
          <t>LOW</t>
        </is>
      </c>
      <c r="M29" s="24" t="inlineStr">
        <is>
          <t>LOW</t>
        </is>
      </c>
      <c r="N29" s="24" t="inlineStr">
        <is>
          <t>0.6805000000000001</t>
        </is>
      </c>
      <c r="O29" s="24" t="inlineStr">
        <is>
          <t>ATTRACTIVE</t>
        </is>
      </c>
      <c r="P29" s="24" t="inlineStr">
        <is>
          <t>가치 매력</t>
        </is>
      </c>
      <c r="Q29" s="24" t="inlineStr">
        <is>
          <t>ATTRACTIVE</t>
        </is>
      </c>
      <c r="R29" s="24" t="inlineStr">
        <is>
          <t>0.8705426081647281</t>
        </is>
      </c>
      <c r="S29" s="24" t="inlineStr">
        <is>
          <t>HIGH</t>
        </is>
      </c>
      <c r="T29" s="24" t="inlineStr">
        <is>
          <t>HIGH</t>
        </is>
      </c>
      <c r="U29" s="24" t="inlineStr">
        <is>
          <t>0.0714285714285714</t>
        </is>
      </c>
      <c r="V29" s="24" t="inlineStr">
        <is>
          <t>LOW_RISK</t>
        </is>
      </c>
      <c r="W29" s="24" t="inlineStr">
        <is>
          <t>저위험</t>
        </is>
      </c>
      <c r="X29" s="24" t="inlineStr">
        <is>
          <t>LOW_RISK</t>
        </is>
      </c>
      <c r="Y29" s="24" t="inlineStr">
        <is>
          <t>0.7978732006060483</t>
        </is>
      </c>
      <c r="Z29" s="24" t="inlineStr">
        <is>
          <t>HIGH</t>
        </is>
      </c>
      <c r="AA29" s="24" t="inlineStr">
        <is>
          <t>HIGH</t>
        </is>
      </c>
      <c r="AB29" s="24" t="inlineStr">
        <is>
          <t>0.008155150389343335</t>
        </is>
      </c>
      <c r="AC29" s="24" t="inlineStr">
        <is>
          <t>False</t>
        </is>
      </c>
      <c r="AD29" s="24" t="inlineStr">
        <is>
          <t>False</t>
        </is>
      </c>
      <c r="AE29" s="24" t="inlineStr">
        <is>
          <t>valuation_credit_ml_overlay_candidate.csv</t>
        </is>
      </c>
      <c r="AF29" s="24" t="inlineStr">
        <is>
          <t>208개 반도체 reference universe. Valuation Agent가 자체 intake 폴더로 복제해 Peer/ML/대시보드 비교에 사용.</t>
        </is>
      </c>
      <c r="AG29" s="24" t="inlineStr">
        <is>
          <t>SAME_PEER_GROUP</t>
        </is>
      </c>
      <c r="AH29" s="24" t="inlineStr">
        <is>
          <t>False</t>
        </is>
      </c>
    </row>
    <row r="30" ht="24" customHeight="1">
      <c r="A30" s="29" t="inlineStr">
        <is>
          <t>1</t>
        </is>
      </c>
      <c r="B30" s="29" t="inlineStr">
        <is>
          <t>해당 없음</t>
        </is>
      </c>
      <c r="C30" s="29" t="inlineStr">
        <is>
          <t>DB하이텍</t>
        </is>
      </c>
      <c r="D30" s="29" t="inlineStr">
        <is>
          <t>000990</t>
        </is>
      </c>
      <c r="E30" s="29" t="inlineStr">
        <is>
          <t>KOSPI</t>
        </is>
      </c>
      <c r="F30" s="29" t="inlineStr">
        <is>
          <t>IDM/제조/메모리</t>
        </is>
      </c>
      <c r="G30" s="29" t="inlineStr">
        <is>
          <t>IDM/제조/메모리</t>
        </is>
      </c>
      <c r="H30" s="29" t="inlineStr">
        <is>
          <t>False</t>
        </is>
      </c>
      <c r="I30" s="29" t="inlineStr">
        <is>
          <t>True</t>
        </is>
      </c>
      <c r="J30" s="29" t="inlineStr">
        <is>
          <t>OK</t>
        </is>
      </c>
      <c r="K30" s="29" t="inlineStr">
        <is>
          <t>데이터 사용 가능</t>
        </is>
      </c>
      <c r="L30" s="29" t="inlineStr">
        <is>
          <t>LOW</t>
        </is>
      </c>
      <c r="M30" s="29" t="inlineStr">
        <is>
          <t>LOW</t>
        </is>
      </c>
      <c r="N30" s="29" t="inlineStr">
        <is>
          <t>0.6653333333333333</t>
        </is>
      </c>
      <c r="O30" s="29" t="inlineStr">
        <is>
          <t>ATTRACTIVE</t>
        </is>
      </c>
      <c r="P30" s="29" t="inlineStr">
        <is>
          <t>가치 매력</t>
        </is>
      </c>
      <c r="Q30" s="29" t="inlineStr">
        <is>
          <t>ATTRACTIVE</t>
        </is>
      </c>
      <c r="R30" s="29" t="inlineStr">
        <is>
          <t>0.9104444876024207</t>
        </is>
      </c>
      <c r="S30" s="29" t="inlineStr">
        <is>
          <t>HIGH</t>
        </is>
      </c>
      <c r="T30" s="29" t="inlineStr">
        <is>
          <t>HIGH</t>
        </is>
      </c>
      <c r="U30" s="29" t="inlineStr">
        <is>
          <t>0.0</t>
        </is>
      </c>
      <c r="V30" s="29" t="inlineStr">
        <is>
          <t>LOW_RISK</t>
        </is>
      </c>
      <c r="W30" s="29" t="inlineStr">
        <is>
          <t>저위험</t>
        </is>
      </c>
      <c r="X30" s="29" t="inlineStr">
        <is>
          <t>LOW_RISK</t>
        </is>
      </c>
      <c r="Y30" s="29" t="inlineStr">
        <is>
          <t>0.9880726272379208</t>
        </is>
      </c>
      <c r="Z30" s="29" t="inlineStr">
        <is>
          <t>HIGH</t>
        </is>
      </c>
      <c r="AA30" s="29" t="inlineStr">
        <is>
          <t>HIGH</t>
        </is>
      </c>
      <c r="AB30" s="29" t="inlineStr">
        <is>
          <t>0.04988685023425709</t>
        </is>
      </c>
      <c r="AC30" s="29" t="inlineStr">
        <is>
          <t>False</t>
        </is>
      </c>
      <c r="AD30" s="29" t="inlineStr">
        <is>
          <t>False</t>
        </is>
      </c>
      <c r="AE30" s="29" t="inlineStr">
        <is>
          <t>valuation_credit_ml_overlay_candidate.csv</t>
        </is>
      </c>
      <c r="AF30" s="29" t="inlineStr">
        <is>
          <t>208개 반도체 reference universe. Valuation Agent가 자체 intake 폴더로 복제해 Peer/ML/대시보드 비교에 사용.</t>
        </is>
      </c>
      <c r="AG30" s="29" t="inlineStr">
        <is>
          <t>SAME_PEER_GROUP</t>
        </is>
      </c>
      <c r="AH30" s="29" t="inlineStr">
        <is>
          <t>False</t>
        </is>
      </c>
    </row>
    <row r="31" ht="24" customHeight="1">
      <c r="A31" s="24" t="inlineStr">
        <is>
          <t>24</t>
        </is>
      </c>
      <c r="B31" s="24" t="inlineStr">
        <is>
          <t>해당 없음</t>
        </is>
      </c>
      <c r="C31" s="24" t="inlineStr">
        <is>
          <t>오디텍</t>
        </is>
      </c>
      <c r="D31" s="24" t="inlineStr">
        <is>
          <t>080520</t>
        </is>
      </c>
      <c r="E31" s="24" t="inlineStr">
        <is>
          <t>KOSDAQ</t>
        </is>
      </c>
      <c r="F31" s="24" t="inlineStr">
        <is>
          <t>IDM/제조/메모리</t>
        </is>
      </c>
      <c r="G31" s="24" t="inlineStr">
        <is>
          <t>IDM/제조/메모리</t>
        </is>
      </c>
      <c r="H31" s="24" t="inlineStr">
        <is>
          <t>False</t>
        </is>
      </c>
      <c r="I31" s="24" t="inlineStr">
        <is>
          <t>True</t>
        </is>
      </c>
      <c r="J31" s="24" t="inlineStr">
        <is>
          <t>OK</t>
        </is>
      </c>
      <c r="K31" s="24" t="inlineStr">
        <is>
          <t>데이터 사용 가능</t>
        </is>
      </c>
      <c r="L31" s="24" t="inlineStr">
        <is>
          <t>LOW</t>
        </is>
      </c>
      <c r="M31" s="24" t="inlineStr">
        <is>
          <t>LOW</t>
        </is>
      </c>
      <c r="N31" s="24" t="inlineStr">
        <is>
          <t>0.6083333333333334</t>
        </is>
      </c>
      <c r="O31" s="24" t="inlineStr">
        <is>
          <t>FAIR</t>
        </is>
      </c>
      <c r="P31" s="24" t="inlineStr">
        <is>
          <t>FAIR</t>
        </is>
      </c>
      <c r="Q31" s="24" t="inlineStr">
        <is>
          <t>FAIR</t>
        </is>
      </c>
      <c r="R31" s="24" t="inlineStr">
        <is>
          <t>0.8328575689014174</t>
        </is>
      </c>
      <c r="S31" s="24" t="inlineStr">
        <is>
          <t>HIGH</t>
        </is>
      </c>
      <c r="T31" s="24" t="inlineStr">
        <is>
          <t>HIGH</t>
        </is>
      </c>
      <c r="U31" s="24" t="inlineStr">
        <is>
          <t>0.4285714285714285</t>
        </is>
      </c>
      <c r="V31" s="24" t="inlineStr">
        <is>
          <t>HIGH_RISK</t>
        </is>
      </c>
      <c r="W31" s="24" t="inlineStr">
        <is>
          <t>고위험</t>
        </is>
      </c>
      <c r="X31" s="24" t="inlineStr">
        <is>
          <t>HIGH_RISK</t>
        </is>
      </c>
      <c r="Y31" s="24" t="inlineStr">
        <is>
          <t>0.5607063964580236</t>
        </is>
      </c>
      <c r="Z31" s="24" t="inlineStr">
        <is>
          <t>MEDIUM</t>
        </is>
      </c>
      <c r="AA31" s="24" t="inlineStr">
        <is>
          <t>MEDIUM</t>
        </is>
      </c>
      <c r="AB31" s="24" t="inlineStr">
        <is>
          <t>0.4397907707686155</t>
        </is>
      </c>
      <c r="AC31" s="24" t="inlineStr">
        <is>
          <t>True</t>
        </is>
      </c>
      <c r="AD31" s="24" t="inlineStr">
        <is>
          <t>True</t>
        </is>
      </c>
      <c r="AE31" s="24" t="inlineStr">
        <is>
          <t>valuation_credit_ml_overlay_candidate.csv</t>
        </is>
      </c>
      <c r="AF31" s="24" t="inlineStr">
        <is>
          <t>208개 반도체 reference universe. Valuation Agent가 자체 intake 폴더로 복제해 Peer/ML/대시보드 비교에 사용.</t>
        </is>
      </c>
      <c r="AG31" s="24" t="inlineStr">
        <is>
          <t>SAME_PEER_GROUP</t>
        </is>
      </c>
      <c r="AH31" s="24" t="inlineStr">
        <is>
          <t>False</t>
        </is>
      </c>
    </row>
    <row r="32" ht="24" customHeight="1">
      <c r="A32" s="29" t="inlineStr">
        <is>
          <t>6</t>
        </is>
      </c>
      <c r="B32" s="29" t="inlineStr">
        <is>
          <t>해당 없음</t>
        </is>
      </c>
      <c r="C32" s="29" t="inlineStr">
        <is>
          <t>그린리소스</t>
        </is>
      </c>
      <c r="D32" s="29" t="inlineStr">
        <is>
          <t>402490</t>
        </is>
      </c>
      <c r="E32" s="29" t="inlineStr">
        <is>
          <t>KOSDAQ</t>
        </is>
      </c>
      <c r="F32" s="29" t="inlineStr">
        <is>
          <t>IDM/제조/메모리</t>
        </is>
      </c>
      <c r="G32" s="29" t="inlineStr">
        <is>
          <t>IDM/제조/메모리</t>
        </is>
      </c>
      <c r="H32" s="29" t="inlineStr">
        <is>
          <t>False</t>
        </is>
      </c>
      <c r="I32" s="29" t="inlineStr">
        <is>
          <t>True</t>
        </is>
      </c>
      <c r="J32" s="29" t="inlineStr">
        <is>
          <t>OK_LIMITED_HISTORY_OR_GROWTH_NA</t>
        </is>
      </c>
      <c r="K32" s="29" t="inlineStr">
        <is>
          <t>데이터 사용 가능</t>
        </is>
      </c>
      <c r="L32" s="29" t="inlineStr">
        <is>
          <t>LOW</t>
        </is>
      </c>
      <c r="M32" s="29" t="inlineStr">
        <is>
          <t>LOW</t>
        </is>
      </c>
      <c r="N32" s="29" t="inlineStr">
        <is>
          <t>0.6021666666666667</t>
        </is>
      </c>
      <c r="O32" s="29" t="inlineStr">
        <is>
          <t>FAIR</t>
        </is>
      </c>
      <c r="P32" s="29" t="inlineStr">
        <is>
          <t>FAIR</t>
        </is>
      </c>
      <c r="Q32" s="29" t="inlineStr">
        <is>
          <t>FAIR</t>
        </is>
      </c>
      <c r="R32" s="29" t="inlineStr">
        <is>
          <t>0.7869051998623771</t>
        </is>
      </c>
      <c r="S32" s="29" t="inlineStr">
        <is>
          <t>HIGH</t>
        </is>
      </c>
      <c r="T32" s="29" t="inlineStr">
        <is>
          <t>HIGH</t>
        </is>
      </c>
      <c r="U32" s="29" t="inlineStr">
        <is>
          <t>0.4285714285714285</t>
        </is>
      </c>
      <c r="V32" s="29" t="inlineStr">
        <is>
          <t>HIGH_RISK</t>
        </is>
      </c>
      <c r="W32" s="29" t="inlineStr">
        <is>
          <t>고위험</t>
        </is>
      </c>
      <c r="X32" s="29" t="inlineStr">
        <is>
          <t>HIGH_RISK</t>
        </is>
      </c>
      <c r="Y32" s="29" t="inlineStr">
        <is>
          <t>0.5860253292011965</t>
        </is>
      </c>
      <c r="Z32" s="29" t="inlineStr">
        <is>
          <t>MEDIUM</t>
        </is>
      </c>
      <c r="AA32" s="29" t="inlineStr">
        <is>
          <t>MEDIUM</t>
        </is>
      </c>
      <c r="AB32" s="29" t="inlineStr">
        <is>
          <t>0.04512954873345755</t>
        </is>
      </c>
      <c r="AC32" s="29" t="inlineStr">
        <is>
          <t>False</t>
        </is>
      </c>
      <c r="AD32" s="29" t="inlineStr">
        <is>
          <t>True</t>
        </is>
      </c>
      <c r="AE32" s="29" t="inlineStr">
        <is>
          <t>valuation_credit_ml_overlay_candidate.csv</t>
        </is>
      </c>
      <c r="AF32" s="29" t="inlineStr">
        <is>
          <t>208개 반도체 reference universe. Valuation Agent가 자체 intake 폴더로 복제해 Peer/ML/대시보드 비교에 사용.</t>
        </is>
      </c>
      <c r="AG32" s="29" t="inlineStr">
        <is>
          <t>SAME_PEER_GROUP</t>
        </is>
      </c>
      <c r="AH32" s="29" t="inlineStr">
        <is>
          <t>False</t>
        </is>
      </c>
    </row>
    <row r="33" ht="24" customHeight="1">
      <c r="A33" s="24" t="inlineStr">
        <is>
          <t>8</t>
        </is>
      </c>
      <c r="B33" s="24" t="inlineStr">
        <is>
          <t>해당 없음</t>
        </is>
      </c>
      <c r="C33" s="24" t="inlineStr">
        <is>
          <t>루멘스</t>
        </is>
      </c>
      <c r="D33" s="24" t="inlineStr">
        <is>
          <t>038060</t>
        </is>
      </c>
      <c r="E33" s="24" t="inlineStr">
        <is>
          <t>KOSDAQ</t>
        </is>
      </c>
      <c r="F33" s="24" t="inlineStr">
        <is>
          <t>IDM/제조/메모리</t>
        </is>
      </c>
      <c r="G33" s="24" t="inlineStr">
        <is>
          <t>IDM/제조/메모리</t>
        </is>
      </c>
      <c r="H33" s="24" t="inlineStr">
        <is>
          <t>False</t>
        </is>
      </c>
      <c r="I33" s="24" t="inlineStr">
        <is>
          <t>True</t>
        </is>
      </c>
      <c r="J33" s="24" t="inlineStr">
        <is>
          <t>OK</t>
        </is>
      </c>
      <c r="K33" s="24" t="inlineStr">
        <is>
          <t>데이터 사용 가능</t>
        </is>
      </c>
      <c r="L33" s="24" t="inlineStr">
        <is>
          <t>LOW</t>
        </is>
      </c>
      <c r="M33" s="24" t="inlineStr">
        <is>
          <t>LOW</t>
        </is>
      </c>
      <c r="N33" s="24" t="inlineStr">
        <is>
          <t>0.5970000000000001</t>
        </is>
      </c>
      <c r="O33" s="24" t="inlineStr">
        <is>
          <t>FAIR</t>
        </is>
      </c>
      <c r="P33" s="24" t="inlineStr">
        <is>
          <t>FAIR</t>
        </is>
      </c>
      <c r="Q33" s="24" t="inlineStr">
        <is>
          <t>FAIR</t>
        </is>
      </c>
      <c r="R33" s="24" t="inlineStr">
        <is>
          <t>0.8437683700786414</t>
        </is>
      </c>
      <c r="S33" s="24" t="inlineStr">
        <is>
          <t>HIGH</t>
        </is>
      </c>
      <c r="T33" s="24" t="inlineStr">
        <is>
          <t>HIGH</t>
        </is>
      </c>
      <c r="U33" s="24" t="inlineStr">
        <is>
          <t>0.3571428571428571</t>
        </is>
      </c>
      <c r="V33" s="24" t="inlineStr">
        <is>
          <t>MEDIUM_RISK</t>
        </is>
      </c>
      <c r="W33" s="24" t="inlineStr">
        <is>
          <t>중위험</t>
        </is>
      </c>
      <c r="X33" s="24" t="inlineStr">
        <is>
          <t>MEDIUM_RISK</t>
        </is>
      </c>
      <c r="Y33" s="24" t="inlineStr">
        <is>
          <t>0.7365544810444915</t>
        </is>
      </c>
      <c r="Z33" s="24" t="inlineStr">
        <is>
          <t>HIGH</t>
        </is>
      </c>
      <c r="AA33" s="24" t="inlineStr">
        <is>
          <t>HIGH</t>
        </is>
      </c>
      <c r="AB33" s="24" t="inlineStr">
        <is>
          <t>0.0791711120821534</t>
        </is>
      </c>
      <c r="AC33" s="24" t="inlineStr">
        <is>
          <t>False</t>
        </is>
      </c>
      <c r="AD33" s="24" t="inlineStr">
        <is>
          <t>False</t>
        </is>
      </c>
      <c r="AE33" s="24" t="inlineStr">
        <is>
          <t>valuation_credit_ml_overlay_candidate.csv</t>
        </is>
      </c>
      <c r="AF33" s="24" t="inlineStr">
        <is>
          <t>208개 반도체 reference universe. Valuation Agent가 자체 intake 폴더로 복제해 Peer/ML/대시보드 비교에 사용.</t>
        </is>
      </c>
      <c r="AG33" s="24" t="inlineStr">
        <is>
          <t>SAME_PEER_GROUP</t>
        </is>
      </c>
      <c r="AH33" s="24" t="inlineStr">
        <is>
          <t>False</t>
        </is>
      </c>
    </row>
    <row r="34" ht="24" customHeight="1">
      <c r="A34" s="29" t="inlineStr">
        <is>
          <t>37</t>
        </is>
      </c>
      <c r="B34" s="29" t="inlineStr">
        <is>
          <t>해당 없음</t>
        </is>
      </c>
      <c r="C34" s="29" t="inlineStr">
        <is>
          <t>피델릭스</t>
        </is>
      </c>
      <c r="D34" s="29" t="inlineStr">
        <is>
          <t>032580</t>
        </is>
      </c>
      <c r="E34" s="29" t="inlineStr">
        <is>
          <t>KOSDAQ</t>
        </is>
      </c>
      <c r="F34" s="29" t="inlineStr">
        <is>
          <t>IDM/제조/메모리</t>
        </is>
      </c>
      <c r="G34" s="29" t="inlineStr">
        <is>
          <t>IDM/제조/메모리</t>
        </is>
      </c>
      <c r="H34" s="29" t="inlineStr">
        <is>
          <t>False</t>
        </is>
      </c>
      <c r="I34" s="29" t="inlineStr">
        <is>
          <t>True</t>
        </is>
      </c>
      <c r="J34" s="29" t="inlineStr">
        <is>
          <t>OK</t>
        </is>
      </c>
      <c r="K34" s="29" t="inlineStr">
        <is>
          <t>데이터 사용 가능</t>
        </is>
      </c>
      <c r="L34" s="29" t="inlineStr">
        <is>
          <t>LOW</t>
        </is>
      </c>
      <c r="M34" s="29" t="inlineStr">
        <is>
          <t>LOW</t>
        </is>
      </c>
      <c r="N34" s="29" t="inlineStr">
        <is>
          <t>0.5873333333333334</t>
        </is>
      </c>
      <c r="O34" s="29" t="inlineStr">
        <is>
          <t>FAIR</t>
        </is>
      </c>
      <c r="P34" s="29" t="inlineStr">
        <is>
          <t>FAIR</t>
        </is>
      </c>
      <c r="Q34" s="29" t="inlineStr">
        <is>
          <t>FAIR</t>
        </is>
      </c>
      <c r="R34" s="29" t="inlineStr">
        <is>
          <t>0.8604826019551013</t>
        </is>
      </c>
      <c r="S34" s="29" t="inlineStr">
        <is>
          <t>HIGH</t>
        </is>
      </c>
      <c r="T34" s="29" t="inlineStr">
        <is>
          <t>HIGH</t>
        </is>
      </c>
      <c r="U34" s="29" t="inlineStr">
        <is>
          <t>0.5</t>
        </is>
      </c>
      <c r="V34" s="29" t="inlineStr">
        <is>
          <t>HIGH_RISK</t>
        </is>
      </c>
      <c r="W34" s="29" t="inlineStr">
        <is>
          <t>고위험</t>
        </is>
      </c>
      <c r="X34" s="29" t="inlineStr">
        <is>
          <t>HIGH_RISK</t>
        </is>
      </c>
      <c r="Y34" s="29" t="inlineStr">
        <is>
          <t>0.9138628953549666</t>
        </is>
      </c>
      <c r="Z34" s="29" t="inlineStr">
        <is>
          <t>HIGH</t>
        </is>
      </c>
      <c r="AA34" s="29" t="inlineStr">
        <is>
          <t>HIGH</t>
        </is>
      </c>
      <c r="AB34" s="29" t="inlineStr">
        <is>
          <t>0.0765288896391056</t>
        </is>
      </c>
      <c r="AC34" s="29" t="inlineStr">
        <is>
          <t>False</t>
        </is>
      </c>
      <c r="AD34" s="29" t="inlineStr">
        <is>
          <t>False</t>
        </is>
      </c>
      <c r="AE34" s="29" t="inlineStr">
        <is>
          <t>valuation_credit_ml_overlay_candidate.csv</t>
        </is>
      </c>
      <c r="AF34" s="29" t="inlineStr">
        <is>
          <t>208개 반도체 reference universe. Valuation Agent가 자체 intake 폴더로 복제해 Peer/ML/대시보드 비교에 사용.</t>
        </is>
      </c>
      <c r="AG34" s="29" t="inlineStr">
        <is>
          <t>SAME_PEER_GROUP</t>
        </is>
      </c>
      <c r="AH34" s="29" t="inlineStr">
        <is>
          <t>False</t>
        </is>
      </c>
    </row>
    <row r="35" ht="24" customHeight="1">
      <c r="A35" s="24" t="inlineStr">
        <is>
          <t>21</t>
        </is>
      </c>
      <c r="B35" s="24" t="inlineStr">
        <is>
          <t>해당 없음</t>
        </is>
      </c>
      <c r="C35" s="24" t="inlineStr">
        <is>
          <t>엔시트론</t>
        </is>
      </c>
      <c r="D35" s="24" t="inlineStr">
        <is>
          <t>101400</t>
        </is>
      </c>
      <c r="E35" s="24" t="inlineStr">
        <is>
          <t>KOSDAQ</t>
        </is>
      </c>
      <c r="F35" s="24" t="inlineStr">
        <is>
          <t>IDM/제조/메모리</t>
        </is>
      </c>
      <c r="G35" s="24" t="inlineStr">
        <is>
          <t>IDM/제조/메모리</t>
        </is>
      </c>
      <c r="H35" s="24" t="inlineStr">
        <is>
          <t>False</t>
        </is>
      </c>
      <c r="I35" s="24" t="inlineStr">
        <is>
          <t>True</t>
        </is>
      </c>
      <c r="J35" s="24" t="inlineStr">
        <is>
          <t>OK</t>
        </is>
      </c>
      <c r="K35" s="24" t="inlineStr">
        <is>
          <t>데이터 사용 가능</t>
        </is>
      </c>
      <c r="L35" s="24" t="inlineStr">
        <is>
          <t>LOW</t>
        </is>
      </c>
      <c r="M35" s="24" t="inlineStr">
        <is>
          <t>LOW</t>
        </is>
      </c>
      <c r="N35" s="24" t="inlineStr">
        <is>
          <t>0.5773333333333333</t>
        </is>
      </c>
      <c r="O35" s="24" t="inlineStr">
        <is>
          <t>FAIR</t>
        </is>
      </c>
      <c r="P35" s="24" t="inlineStr">
        <is>
          <t>FAIR</t>
        </is>
      </c>
      <c r="Q35" s="24" t="inlineStr">
        <is>
          <t>FAIR</t>
        </is>
      </c>
      <c r="R35" s="24" t="inlineStr">
        <is>
          <t>0.8173941540342667</t>
        </is>
      </c>
      <c r="S35" s="24" t="inlineStr">
        <is>
          <t>HIGH</t>
        </is>
      </c>
      <c r="T35" s="24" t="inlineStr">
        <is>
          <t>HIGH</t>
        </is>
      </c>
      <c r="U35" s="24" t="inlineStr">
        <is>
          <t>0.3571428571428571</t>
        </is>
      </c>
      <c r="V35" s="24" t="inlineStr">
        <is>
          <t>MEDIUM_RISK</t>
        </is>
      </c>
      <c r="W35" s="24" t="inlineStr">
        <is>
          <t>중위험</t>
        </is>
      </c>
      <c r="X35" s="24" t="inlineStr">
        <is>
          <t>MEDIUM_RISK</t>
        </is>
      </c>
      <c r="Y35" s="24" t="inlineStr">
        <is>
          <t>0.7799614337035685</t>
        </is>
      </c>
      <c r="Z35" s="24" t="inlineStr">
        <is>
          <t>HIGH</t>
        </is>
      </c>
      <c r="AA35" s="24" t="inlineStr">
        <is>
          <t>HIGH</t>
        </is>
      </c>
      <c r="AB35" s="24" t="inlineStr">
        <is>
          <t>0.08202020185637905</t>
        </is>
      </c>
      <c r="AC35" s="24" t="inlineStr">
        <is>
          <t>False</t>
        </is>
      </c>
      <c r="AD35" s="24" t="inlineStr">
        <is>
          <t>False</t>
        </is>
      </c>
      <c r="AE35" s="24" t="inlineStr">
        <is>
          <t>valuation_credit_ml_overlay_candidate.csv</t>
        </is>
      </c>
      <c r="AF35" s="24" t="inlineStr">
        <is>
          <t>208개 반도체 reference universe. Valuation Agent가 자체 intake 폴더로 복제해 Peer/ML/대시보드 비교에 사용.</t>
        </is>
      </c>
      <c r="AG35" s="24" t="inlineStr">
        <is>
          <t>SAME_PEER_GROUP</t>
        </is>
      </c>
      <c r="AH35" s="24" t="inlineStr">
        <is>
          <t>False</t>
        </is>
      </c>
    </row>
    <row r="36" ht="24" customHeight="1">
      <c r="A36" s="29" t="inlineStr">
        <is>
          <t>13</t>
        </is>
      </c>
      <c r="B36" s="29" t="inlineStr">
        <is>
          <t>해당 없음</t>
        </is>
      </c>
      <c r="C36" s="29" t="inlineStr">
        <is>
          <t>서울바이오시스</t>
        </is>
      </c>
      <c r="D36" s="29" t="inlineStr">
        <is>
          <t>092190</t>
        </is>
      </c>
      <c r="E36" s="29" t="inlineStr">
        <is>
          <t>KOSDAQ</t>
        </is>
      </c>
      <c r="F36" s="29" t="inlineStr">
        <is>
          <t>IDM/제조/메모리</t>
        </is>
      </c>
      <c r="G36" s="29" t="inlineStr">
        <is>
          <t>IDM/제조/메모리</t>
        </is>
      </c>
      <c r="H36" s="29" t="inlineStr">
        <is>
          <t>False</t>
        </is>
      </c>
      <c r="I36" s="29" t="inlineStr">
        <is>
          <t>True</t>
        </is>
      </c>
      <c r="J36" s="29" t="inlineStr">
        <is>
          <t>OK</t>
        </is>
      </c>
      <c r="K36" s="29" t="inlineStr">
        <is>
          <t>데이터 사용 가능</t>
        </is>
      </c>
      <c r="L36" s="29" t="inlineStr">
        <is>
          <t>LOW</t>
        </is>
      </c>
      <c r="M36" s="29" t="inlineStr">
        <is>
          <t>LOW</t>
        </is>
      </c>
      <c r="N36" s="29" t="inlineStr">
        <is>
          <t>0.5655</t>
        </is>
      </c>
      <c r="O36" s="29" t="inlineStr">
        <is>
          <t>FAIR</t>
        </is>
      </c>
      <c r="P36" s="29" t="inlineStr">
        <is>
          <t>FAIR</t>
        </is>
      </c>
      <c r="Q36" s="29" t="inlineStr">
        <is>
          <t>FAIR</t>
        </is>
      </c>
      <c r="R36" s="29" t="inlineStr">
        <is>
          <t>0.7336783523450653</t>
        </is>
      </c>
      <c r="S36" s="29" t="inlineStr">
        <is>
          <t>HIGH</t>
        </is>
      </c>
      <c r="T36" s="29" t="inlineStr">
        <is>
          <t>HIGH</t>
        </is>
      </c>
      <c r="U36" s="29" t="inlineStr">
        <is>
          <t>0.4285714285714285</t>
        </is>
      </c>
      <c r="V36" s="29" t="inlineStr">
        <is>
          <t>HIGH_RISK</t>
        </is>
      </c>
      <c r="W36" s="29" t="inlineStr">
        <is>
          <t>고위험</t>
        </is>
      </c>
      <c r="X36" s="29" t="inlineStr">
        <is>
          <t>MEDIUM_RISK</t>
        </is>
      </c>
      <c r="Y36" s="29" t="inlineStr">
        <is>
          <t>0.420701328500417</t>
        </is>
      </c>
      <c r="Z36" s="29" t="inlineStr">
        <is>
          <t>LOW</t>
        </is>
      </c>
      <c r="AA36" s="29" t="inlineStr">
        <is>
          <t>LOW</t>
        </is>
      </c>
      <c r="AB36" s="29" t="inlineStr">
        <is>
          <t>0.22867438374329632</t>
        </is>
      </c>
      <c r="AC36" s="29" t="inlineStr">
        <is>
          <t>False</t>
        </is>
      </c>
      <c r="AD36" s="29" t="inlineStr">
        <is>
          <t>True</t>
        </is>
      </c>
      <c r="AE36" s="29" t="inlineStr">
        <is>
          <t>valuation_credit_ml_overlay_candidate.csv</t>
        </is>
      </c>
      <c r="AF36" s="29" t="inlineStr">
        <is>
          <t>208개 반도체 reference universe. Valuation Agent가 자체 intake 폴더로 복제해 Peer/ML/대시보드 비교에 사용.</t>
        </is>
      </c>
      <c r="AG36" s="29" t="inlineStr">
        <is>
          <t>SAME_PEER_GROUP</t>
        </is>
      </c>
      <c r="AH36" s="29" t="inlineStr">
        <is>
          <t>False</t>
        </is>
      </c>
    </row>
    <row r="37" ht="24" customHeight="1">
      <c r="A37" s="24" t="inlineStr">
        <is>
          <t>34</t>
        </is>
      </c>
      <c r="B37" s="24" t="inlineStr">
        <is>
          <t>해당 없음</t>
        </is>
      </c>
      <c r="C37" s="24" t="inlineStr">
        <is>
          <t>큐에스아이</t>
        </is>
      </c>
      <c r="D37" s="24" t="inlineStr">
        <is>
          <t>066310</t>
        </is>
      </c>
      <c r="E37" s="24" t="inlineStr">
        <is>
          <t>KOSDAQ</t>
        </is>
      </c>
      <c r="F37" s="24" t="inlineStr">
        <is>
          <t>IDM/제조/메모리</t>
        </is>
      </c>
      <c r="G37" s="24" t="inlineStr">
        <is>
          <t>IDM/제조/메모리</t>
        </is>
      </c>
      <c r="H37" s="24" t="inlineStr">
        <is>
          <t>False</t>
        </is>
      </c>
      <c r="I37" s="24" t="inlineStr">
        <is>
          <t>True</t>
        </is>
      </c>
      <c r="J37" s="24" t="inlineStr">
        <is>
          <t>OK</t>
        </is>
      </c>
      <c r="K37" s="24" t="inlineStr">
        <is>
          <t>데이터 사용 가능</t>
        </is>
      </c>
      <c r="L37" s="24" t="inlineStr">
        <is>
          <t>LOW</t>
        </is>
      </c>
      <c r="M37" s="24" t="inlineStr">
        <is>
          <t>LOW</t>
        </is>
      </c>
      <c r="N37" s="24" t="inlineStr">
        <is>
          <t>0.5423333333333333</t>
        </is>
      </c>
      <c r="O37" s="24" t="inlineStr">
        <is>
          <t>FAIR</t>
        </is>
      </c>
      <c r="P37" s="24" t="inlineStr">
        <is>
          <t>FAIR</t>
        </is>
      </c>
      <c r="Q37" s="24" t="inlineStr">
        <is>
          <t>FAIR</t>
        </is>
      </c>
      <c r="R37" s="24" t="inlineStr">
        <is>
          <t>0.5496283015517583</t>
        </is>
      </c>
      <c r="S37" s="24" t="inlineStr">
        <is>
          <t>MEDIUM</t>
        </is>
      </c>
      <c r="T37" s="24" t="inlineStr">
        <is>
          <t>MEDIUM</t>
        </is>
      </c>
      <c r="U37" s="24" t="inlineStr">
        <is>
          <t>0.0714285714285714</t>
        </is>
      </c>
      <c r="V37" s="24" t="inlineStr">
        <is>
          <t>LOW_RISK</t>
        </is>
      </c>
      <c r="W37" s="24" t="inlineStr">
        <is>
          <t>저위험</t>
        </is>
      </c>
      <c r="X37" s="24" t="inlineStr">
        <is>
          <t>LOW_RISK</t>
        </is>
      </c>
      <c r="Y37" s="24" t="inlineStr">
        <is>
          <t>0.8341403016587674</t>
        </is>
      </c>
      <c r="Z37" s="24" t="inlineStr">
        <is>
          <t>HIGH</t>
        </is>
      </c>
      <c r="AA37" s="24" t="inlineStr">
        <is>
          <t>HIGH</t>
        </is>
      </c>
      <c r="AB37" s="24" t="inlineStr">
        <is>
          <t>0.21446147407494193</t>
        </is>
      </c>
      <c r="AC37" s="24" t="inlineStr">
        <is>
          <t>False</t>
        </is>
      </c>
      <c r="AD37" s="24" t="inlineStr">
        <is>
          <t>False</t>
        </is>
      </c>
      <c r="AE37" s="24" t="inlineStr">
        <is>
          <t>valuation_credit_ml_overlay_candidate.csv</t>
        </is>
      </c>
      <c r="AF37" s="24" t="inlineStr">
        <is>
          <t>208개 반도체 reference universe. Valuation Agent가 자체 intake 폴더로 복제해 Peer/ML/대시보드 비교에 사용.</t>
        </is>
      </c>
      <c r="AG37" s="24" t="inlineStr">
        <is>
          <t>SAME_PEER_GROUP</t>
        </is>
      </c>
      <c r="AH37" s="24" t="inlineStr">
        <is>
          <t>False</t>
        </is>
      </c>
    </row>
    <row r="38" ht="24" customHeight="1">
      <c r="A38" s="29" t="inlineStr">
        <is>
          <t>23</t>
        </is>
      </c>
      <c r="B38" s="29" t="inlineStr">
        <is>
          <t>해당 없음</t>
        </is>
      </c>
      <c r="C38" s="29" t="inlineStr">
        <is>
          <t>엘오티베큠</t>
        </is>
      </c>
      <c r="D38" s="29" t="inlineStr">
        <is>
          <t>083310</t>
        </is>
      </c>
      <c r="E38" s="29" t="inlineStr">
        <is>
          <t>KOSDAQ</t>
        </is>
      </c>
      <c r="F38" s="29" t="inlineStr">
        <is>
          <t>IDM/제조/메모리</t>
        </is>
      </c>
      <c r="G38" s="29" t="inlineStr">
        <is>
          <t>IDM/제조/메모리</t>
        </is>
      </c>
      <c r="H38" s="29" t="inlineStr">
        <is>
          <t>False</t>
        </is>
      </c>
      <c r="I38" s="29" t="inlineStr">
        <is>
          <t>True</t>
        </is>
      </c>
      <c r="J38" s="29" t="inlineStr">
        <is>
          <t>OK</t>
        </is>
      </c>
      <c r="K38" s="29" t="inlineStr">
        <is>
          <t>데이터 사용 가능</t>
        </is>
      </c>
      <c r="L38" s="29" t="inlineStr">
        <is>
          <t>LOW</t>
        </is>
      </c>
      <c r="M38" s="29" t="inlineStr">
        <is>
          <t>LOW</t>
        </is>
      </c>
      <c r="N38" s="29" t="inlineStr">
        <is>
          <t>0.538</t>
        </is>
      </c>
      <c r="O38" s="29" t="inlineStr">
        <is>
          <t>FAIR</t>
        </is>
      </c>
      <c r="P38" s="29" t="inlineStr">
        <is>
          <t>FAIR</t>
        </is>
      </c>
      <c r="Q38" s="29" t="inlineStr">
        <is>
          <t>FAIR</t>
        </is>
      </c>
      <c r="R38" s="29" t="inlineStr">
        <is>
          <t>0.860578291373445</t>
        </is>
      </c>
      <c r="S38" s="29" t="inlineStr">
        <is>
          <t>HIGH</t>
        </is>
      </c>
      <c r="T38" s="29" t="inlineStr">
        <is>
          <t>HIGH</t>
        </is>
      </c>
      <c r="U38" s="29" t="inlineStr">
        <is>
          <t>0.2142857142857142</t>
        </is>
      </c>
      <c r="V38" s="29" t="inlineStr">
        <is>
          <t>MEDIUM_RISK</t>
        </is>
      </c>
      <c r="W38" s="29" t="inlineStr">
        <is>
          <t>중위험</t>
        </is>
      </c>
      <c r="X38" s="29" t="inlineStr">
        <is>
          <t>MEDIUM_RISK</t>
        </is>
      </c>
      <c r="Y38" s="29" t="inlineStr">
        <is>
          <t>0.8356274138697954</t>
        </is>
      </c>
      <c r="Z38" s="29" t="inlineStr">
        <is>
          <t>HIGH</t>
        </is>
      </c>
      <c r="AA38" s="29" t="inlineStr">
        <is>
          <t>HIGH</t>
        </is>
      </c>
      <c r="AB38" s="29" t="inlineStr">
        <is>
          <t>0.04088276425948358</t>
        </is>
      </c>
      <c r="AC38" s="29" t="inlineStr">
        <is>
          <t>False</t>
        </is>
      </c>
      <c r="AD38" s="29" t="inlineStr">
        <is>
          <t>False</t>
        </is>
      </c>
      <c r="AE38" s="29" t="inlineStr">
        <is>
          <t>valuation_credit_ml_overlay_candidate.csv</t>
        </is>
      </c>
      <c r="AF38" s="29" t="inlineStr">
        <is>
          <t>208개 반도체 reference universe. Valuation Agent가 자체 intake 폴더로 복제해 Peer/ML/대시보드 비교에 사용.</t>
        </is>
      </c>
      <c r="AG38" s="29" t="inlineStr">
        <is>
          <t>SAME_PEER_GROUP</t>
        </is>
      </c>
      <c r="AH38" s="29" t="inlineStr">
        <is>
          <t>False</t>
        </is>
      </c>
    </row>
    <row r="39" ht="24" customHeight="1">
      <c r="A39" s="24" t="inlineStr">
        <is>
          <t>11</t>
        </is>
      </c>
      <c r="B39" s="24" t="inlineStr">
        <is>
          <t>해당 없음</t>
        </is>
      </c>
      <c r="C39" s="24" t="inlineStr">
        <is>
          <t>비씨엔씨</t>
        </is>
      </c>
      <c r="D39" s="24" t="inlineStr">
        <is>
          <t>146320</t>
        </is>
      </c>
      <c r="E39" s="24" t="inlineStr">
        <is>
          <t>KOSDAQ</t>
        </is>
      </c>
      <c r="F39" s="24" t="inlineStr">
        <is>
          <t>IDM/제조/메모리</t>
        </is>
      </c>
      <c r="G39" s="24" t="inlineStr">
        <is>
          <t>IDM/제조/메모리</t>
        </is>
      </c>
      <c r="H39" s="24" t="inlineStr">
        <is>
          <t>False</t>
        </is>
      </c>
      <c r="I39" s="24" t="inlineStr">
        <is>
          <t>True</t>
        </is>
      </c>
      <c r="J39" s="24" t="inlineStr">
        <is>
          <t>KEY_ACCOUNT_PARTIAL_MISSING</t>
        </is>
      </c>
      <c r="K39" s="24" t="inlineStr">
        <is>
          <t>데이터 사용 가능</t>
        </is>
      </c>
      <c r="L39" s="24" t="inlineStr">
        <is>
          <t>MEDIUM</t>
        </is>
      </c>
      <c r="M39" s="24" t="inlineStr">
        <is>
          <t>MEDIUM</t>
        </is>
      </c>
      <c r="N39" s="24" t="inlineStr">
        <is>
          <t>0.5365833333333333</t>
        </is>
      </c>
      <c r="O39" s="24" t="inlineStr">
        <is>
          <t>FAIR</t>
        </is>
      </c>
      <c r="P39" s="24" t="inlineStr">
        <is>
          <t>FAIR</t>
        </is>
      </c>
      <c r="Q39" s="24" t="inlineStr">
        <is>
          <t>FAIR</t>
        </is>
      </c>
      <c r="R39" s="24" t="inlineStr">
        <is>
          <t>0.7033805368548921</t>
        </is>
      </c>
      <c r="S39" s="24" t="inlineStr">
        <is>
          <t>HIGH</t>
        </is>
      </c>
      <c r="T39" s="24" t="inlineStr">
        <is>
          <t>HIGH</t>
        </is>
      </c>
      <c r="U39" s="24" t="inlineStr">
        <is>
          <t>0.2857142857142857</t>
        </is>
      </c>
      <c r="V39" s="24" t="inlineStr">
        <is>
          <t>MEDIUM_RISK</t>
        </is>
      </c>
      <c r="W39" s="24" t="inlineStr">
        <is>
          <t>중위험</t>
        </is>
      </c>
      <c r="X39" s="24" t="inlineStr">
        <is>
          <t>MEDIUM_RISK</t>
        </is>
      </c>
      <c r="Y39" s="24" t="inlineStr">
        <is>
          <t>0.7333342608471988</t>
        </is>
      </c>
      <c r="Z39" s="24" t="inlineStr">
        <is>
          <t>HIGH</t>
        </is>
      </c>
      <c r="AA39" s="24" t="inlineStr">
        <is>
          <t>HIGH</t>
        </is>
      </c>
      <c r="AB39" s="24" t="inlineStr">
        <is>
          <t>0.031762409510830696</t>
        </is>
      </c>
      <c r="AC39" s="24" t="inlineStr">
        <is>
          <t>False</t>
        </is>
      </c>
      <c r="AD39" s="24" t="inlineStr">
        <is>
          <t>True</t>
        </is>
      </c>
      <c r="AE39" s="24" t="inlineStr">
        <is>
          <t>valuation_credit_ml_overlay_candidate.csv</t>
        </is>
      </c>
      <c r="AF39" s="24" t="inlineStr">
        <is>
          <t>208개 반도체 reference universe. Valuation Agent가 자체 intake 폴더로 복제해 Peer/ML/대시보드 비교에 사용.</t>
        </is>
      </c>
      <c r="AG39" s="24" t="inlineStr">
        <is>
          <t>SAME_PEER_GROUP</t>
        </is>
      </c>
      <c r="AH39" s="24" t="inlineStr">
        <is>
          <t>False</t>
        </is>
      </c>
    </row>
    <row r="40" ht="24" customHeight="1">
      <c r="A40" s="29" t="inlineStr">
        <is>
          <t>36</t>
        </is>
      </c>
      <c r="B40" s="29" t="inlineStr">
        <is>
          <t>해당 없음</t>
        </is>
      </c>
      <c r="C40" s="29" t="inlineStr">
        <is>
          <t>티엘비</t>
        </is>
      </c>
      <c r="D40" s="29" t="inlineStr">
        <is>
          <t>356860</t>
        </is>
      </c>
      <c r="E40" s="29" t="inlineStr">
        <is>
          <t>KOSDAQ</t>
        </is>
      </c>
      <c r="F40" s="29" t="inlineStr">
        <is>
          <t>IDM/제조/메모리</t>
        </is>
      </c>
      <c r="G40" s="29" t="inlineStr">
        <is>
          <t>IDM/제조/메모리</t>
        </is>
      </c>
      <c r="H40" s="29" t="inlineStr">
        <is>
          <t>False</t>
        </is>
      </c>
      <c r="I40" s="29" t="inlineStr">
        <is>
          <t>True</t>
        </is>
      </c>
      <c r="J40" s="29" t="inlineStr">
        <is>
          <t>OK</t>
        </is>
      </c>
      <c r="K40" s="29" t="inlineStr">
        <is>
          <t>데이터 사용 가능</t>
        </is>
      </c>
      <c r="L40" s="29" t="inlineStr">
        <is>
          <t>LOW</t>
        </is>
      </c>
      <c r="M40" s="29" t="inlineStr">
        <is>
          <t>LOW</t>
        </is>
      </c>
      <c r="N40" s="29" t="inlineStr">
        <is>
          <t>0.5361666666666667</t>
        </is>
      </c>
      <c r="O40" s="29" t="inlineStr">
        <is>
          <t>FAIR</t>
        </is>
      </c>
      <c r="P40" s="29" t="inlineStr">
        <is>
          <t>FAIR</t>
        </is>
      </c>
      <c r="Q40" s="29" t="inlineStr">
        <is>
          <t>FAIR</t>
        </is>
      </c>
      <c r="R40" s="29" t="inlineStr">
        <is>
          <t>0.8509295904965918</t>
        </is>
      </c>
      <c r="S40" s="29" t="inlineStr">
        <is>
          <t>HIGH</t>
        </is>
      </c>
      <c r="T40" s="29" t="inlineStr">
        <is>
          <t>HIGH</t>
        </is>
      </c>
      <c r="U40" s="29" t="inlineStr">
        <is>
          <t>0.0714285714285714</t>
        </is>
      </c>
      <c r="V40" s="29" t="inlineStr">
        <is>
          <t>LOW_RISK</t>
        </is>
      </c>
      <c r="W40" s="29" t="inlineStr">
        <is>
          <t>저위험</t>
        </is>
      </c>
      <c r="X40" s="29" t="inlineStr">
        <is>
          <t>LOW_RISK</t>
        </is>
      </c>
      <c r="Y40" s="29" t="inlineStr">
        <is>
          <t>0.6625834729097503</t>
        </is>
      </c>
      <c r="Z40" s="29" t="inlineStr">
        <is>
          <t>MEDIUM</t>
        </is>
      </c>
      <c r="AA40" s="29" t="inlineStr">
        <is>
          <t>MEDIUM</t>
        </is>
      </c>
      <c r="AB40" s="29" t="inlineStr">
        <is>
          <t>0.01843936297746685</t>
        </is>
      </c>
      <c r="AC40" s="29" t="inlineStr">
        <is>
          <t>False</t>
        </is>
      </c>
      <c r="AD40" s="29" t="inlineStr">
        <is>
          <t>False</t>
        </is>
      </c>
      <c r="AE40" s="29" t="inlineStr">
        <is>
          <t>valuation_credit_ml_overlay_candidate.csv</t>
        </is>
      </c>
      <c r="AF40" s="29" t="inlineStr">
        <is>
          <t>208개 반도체 reference universe. Valuation Agent가 자체 intake 폴더로 복제해 Peer/ML/대시보드 비교에 사용.</t>
        </is>
      </c>
      <c r="AG40" s="29" t="inlineStr">
        <is>
          <t>SAME_PEER_GROUP</t>
        </is>
      </c>
      <c r="AH40" s="29" t="inlineStr">
        <is>
          <t>False</t>
        </is>
      </c>
    </row>
    <row r="41" ht="24" customHeight="1">
      <c r="A41" s="24" t="inlineStr">
        <is>
          <t>38</t>
        </is>
      </c>
      <c r="B41" s="24" t="inlineStr">
        <is>
          <t>해당 없음</t>
        </is>
      </c>
      <c r="C41" s="24" t="inlineStr">
        <is>
          <t>하나머티리얼즈</t>
        </is>
      </c>
      <c r="D41" s="24" t="inlineStr">
        <is>
          <t>166090</t>
        </is>
      </c>
      <c r="E41" s="24" t="inlineStr">
        <is>
          <t>KOSDAQ GLOBAL</t>
        </is>
      </c>
      <c r="F41" s="24" t="inlineStr">
        <is>
          <t>IDM/제조/메모리</t>
        </is>
      </c>
      <c r="G41" s="24" t="inlineStr">
        <is>
          <t>IDM/제조/메모리</t>
        </is>
      </c>
      <c r="H41" s="24" t="inlineStr">
        <is>
          <t>False</t>
        </is>
      </c>
      <c r="I41" s="24" t="inlineStr">
        <is>
          <t>True</t>
        </is>
      </c>
      <c r="J41" s="24" t="inlineStr">
        <is>
          <t>OK</t>
        </is>
      </c>
      <c r="K41" s="24" t="inlineStr">
        <is>
          <t>데이터 사용 가능</t>
        </is>
      </c>
      <c r="L41" s="24" t="inlineStr">
        <is>
          <t>LOW</t>
        </is>
      </c>
      <c r="M41" s="24" t="inlineStr">
        <is>
          <t>LOW</t>
        </is>
      </c>
      <c r="N41" s="24" t="inlineStr">
        <is>
          <t>0.5321666666666667</t>
        </is>
      </c>
      <c r="O41" s="24" t="inlineStr">
        <is>
          <t>FAIR</t>
        </is>
      </c>
      <c r="P41" s="24" t="inlineStr">
        <is>
          <t>FAIR</t>
        </is>
      </c>
      <c r="Q41" s="24" t="inlineStr">
        <is>
          <t>ATTRACTIVE</t>
        </is>
      </c>
      <c r="R41" s="24" t="inlineStr">
        <is>
          <t>0.6425667923365267</t>
        </is>
      </c>
      <c r="S41" s="24" t="inlineStr">
        <is>
          <t>MEDIUM</t>
        </is>
      </c>
      <c r="T41" s="24" t="inlineStr">
        <is>
          <t>MEDIUM</t>
        </is>
      </c>
      <c r="U41" s="24" t="inlineStr">
        <is>
          <t>0.0</t>
        </is>
      </c>
      <c r="V41" s="24" t="inlineStr">
        <is>
          <t>LOW_RISK</t>
        </is>
      </c>
      <c r="W41" s="24" t="inlineStr">
        <is>
          <t>저위험</t>
        </is>
      </c>
      <c r="X41" s="24" t="inlineStr">
        <is>
          <t>LOW_RISK</t>
        </is>
      </c>
      <c r="Y41" s="24" t="inlineStr">
        <is>
          <t>0.9093779024453453</t>
        </is>
      </c>
      <c r="Z41" s="24" t="inlineStr">
        <is>
          <t>HIGH</t>
        </is>
      </c>
      <c r="AA41" s="24" t="inlineStr">
        <is>
          <t>HIGH</t>
        </is>
      </c>
      <c r="AB41" s="24" t="inlineStr">
        <is>
          <t>0.030620686282363033</t>
        </is>
      </c>
      <c r="AC41" s="24" t="inlineStr">
        <is>
          <t>False</t>
        </is>
      </c>
      <c r="AD41" s="24" t="inlineStr">
        <is>
          <t>False</t>
        </is>
      </c>
      <c r="AE41" s="24" t="inlineStr">
        <is>
          <t>valuation_credit_ml_overlay_candidate.csv</t>
        </is>
      </c>
      <c r="AF41" s="24" t="inlineStr">
        <is>
          <t>208개 반도체 reference universe. Valuation Agent가 자체 intake 폴더로 복제해 Peer/ML/대시보드 비교에 사용.</t>
        </is>
      </c>
      <c r="AG41" s="24" t="inlineStr">
        <is>
          <t>SAME_PEER_GROUP</t>
        </is>
      </c>
      <c r="AH41" s="24" t="inlineStr">
        <is>
          <t>False</t>
        </is>
      </c>
    </row>
    <row r="42" ht="24" customHeight="1">
      <c r="A42" s="29" t="inlineStr">
        <is>
          <t>26</t>
        </is>
      </c>
      <c r="B42" s="29" t="inlineStr">
        <is>
          <t>해당 없음</t>
        </is>
      </c>
      <c r="C42" s="29" t="inlineStr">
        <is>
          <t>웰킵스하이텍</t>
        </is>
      </c>
      <c r="D42" s="29" t="inlineStr">
        <is>
          <t>043590</t>
        </is>
      </c>
      <c r="E42" s="29" t="inlineStr">
        <is>
          <t>KOSDAQ</t>
        </is>
      </c>
      <c r="F42" s="29" t="inlineStr">
        <is>
          <t>IDM/제조/메모리</t>
        </is>
      </c>
      <c r="G42" s="29" t="inlineStr">
        <is>
          <t>IDM/제조/메모리</t>
        </is>
      </c>
      <c r="H42" s="29" t="inlineStr">
        <is>
          <t>False</t>
        </is>
      </c>
      <c r="I42" s="29" t="inlineStr">
        <is>
          <t>True</t>
        </is>
      </c>
      <c r="J42" s="29" t="inlineStr">
        <is>
          <t>OK</t>
        </is>
      </c>
      <c r="K42" s="29" t="inlineStr">
        <is>
          <t>데이터 사용 가능</t>
        </is>
      </c>
      <c r="L42" s="29" t="inlineStr">
        <is>
          <t>LOW</t>
        </is>
      </c>
      <c r="M42" s="29" t="inlineStr">
        <is>
          <t>LOW</t>
        </is>
      </c>
      <c r="N42" s="29" t="inlineStr">
        <is>
          <t>0.5086666666666667</t>
        </is>
      </c>
      <c r="O42" s="29" t="inlineStr">
        <is>
          <t>FAIR</t>
        </is>
      </c>
      <c r="P42" s="29" t="inlineStr">
        <is>
          <t>FAIR</t>
        </is>
      </c>
      <c r="Q42" s="29" t="inlineStr">
        <is>
          <t>FAIR</t>
        </is>
      </c>
      <c r="R42" s="29" t="inlineStr">
        <is>
          <t>0.7753200487478359</t>
        </is>
      </c>
      <c r="S42" s="29" t="inlineStr">
        <is>
          <t>HIGH</t>
        </is>
      </c>
      <c r="T42" s="29" t="inlineStr">
        <is>
          <t>HIGH</t>
        </is>
      </c>
      <c r="U42" s="29" t="inlineStr">
        <is>
          <t>0.7142857142857143</t>
        </is>
      </c>
      <c r="V42" s="29" t="inlineStr">
        <is>
          <t>HIGH_RISK</t>
        </is>
      </c>
      <c r="W42" s="29" t="inlineStr">
        <is>
          <t>고위험</t>
        </is>
      </c>
      <c r="X42" s="29" t="inlineStr">
        <is>
          <t>HIGH_RISK</t>
        </is>
      </c>
      <c r="Y42" s="29" t="inlineStr">
        <is>
          <t>0.947839296487721</t>
        </is>
      </c>
      <c r="Z42" s="29" t="inlineStr">
        <is>
          <t>HIGH</t>
        </is>
      </c>
      <c r="AA42" s="29" t="inlineStr">
        <is>
          <t>HIGH</t>
        </is>
      </c>
      <c r="AB42" s="29" t="inlineStr">
        <is>
          <t>0.081041930024575</t>
        </is>
      </c>
      <c r="AC42" s="29" t="inlineStr">
        <is>
          <t>False</t>
        </is>
      </c>
      <c r="AD42" s="29" t="inlineStr">
        <is>
          <t>False</t>
        </is>
      </c>
      <c r="AE42" s="29" t="inlineStr">
        <is>
          <t>valuation_credit_ml_overlay_candidate.csv</t>
        </is>
      </c>
      <c r="AF42" s="29" t="inlineStr">
        <is>
          <t>208개 반도체 reference universe. Valuation Agent가 자체 intake 폴더로 복제해 Peer/ML/대시보드 비교에 사용.</t>
        </is>
      </c>
      <c r="AG42" s="29" t="inlineStr">
        <is>
          <t>SAME_PEER_GROUP</t>
        </is>
      </c>
      <c r="AH42" s="29" t="inlineStr">
        <is>
          <t>False</t>
        </is>
      </c>
    </row>
    <row r="43" ht="24" customHeight="1">
      <c r="A43" s="24" t="inlineStr">
        <is>
          <t>35</t>
        </is>
      </c>
      <c r="B43" s="24" t="inlineStr">
        <is>
          <t>해당 없음</t>
        </is>
      </c>
      <c r="C43" s="24" t="inlineStr">
        <is>
          <t>테크엘</t>
        </is>
      </c>
      <c r="D43" s="24" t="inlineStr">
        <is>
          <t>064520</t>
        </is>
      </c>
      <c r="E43" s="24" t="inlineStr">
        <is>
          <t>KOSDAQ</t>
        </is>
      </c>
      <c r="F43" s="24" t="inlineStr">
        <is>
          <t>IDM/제조/메모리</t>
        </is>
      </c>
      <c r="G43" s="24" t="inlineStr">
        <is>
          <t>IDM/제조/메모리</t>
        </is>
      </c>
      <c r="H43" s="24" t="inlineStr">
        <is>
          <t>False</t>
        </is>
      </c>
      <c r="I43" s="24" t="inlineStr">
        <is>
          <t>True</t>
        </is>
      </c>
      <c r="J43" s="24" t="inlineStr">
        <is>
          <t>OK</t>
        </is>
      </c>
      <c r="K43" s="24" t="inlineStr">
        <is>
          <t>데이터 사용 가능</t>
        </is>
      </c>
      <c r="L43" s="24" t="inlineStr">
        <is>
          <t>LOW</t>
        </is>
      </c>
      <c r="M43" s="24" t="inlineStr">
        <is>
          <t>LOW</t>
        </is>
      </c>
      <c r="N43" s="24" t="inlineStr">
        <is>
          <t>0.4756666666666667</t>
        </is>
      </c>
      <c r="O43" s="24" t="inlineStr">
        <is>
          <t>FAIR</t>
        </is>
      </c>
      <c r="P43" s="24" t="inlineStr">
        <is>
          <t>FAIR</t>
        </is>
      </c>
      <c r="Q43" s="24" t="inlineStr">
        <is>
          <t>FAIR</t>
        </is>
      </c>
      <c r="R43" s="24" t="inlineStr">
        <is>
          <t>0.7806095936743286</t>
        </is>
      </c>
      <c r="S43" s="24" t="inlineStr">
        <is>
          <t>HIGH</t>
        </is>
      </c>
      <c r="T43" s="24" t="inlineStr">
        <is>
          <t>HIGH</t>
        </is>
      </c>
      <c r="U43" s="24" t="inlineStr">
        <is>
          <t>0.5</t>
        </is>
      </c>
      <c r="V43" s="24" t="inlineStr">
        <is>
          <t>HIGH_RISK</t>
        </is>
      </c>
      <c r="W43" s="24" t="inlineStr">
        <is>
          <t>고위험</t>
        </is>
      </c>
      <c r="X43" s="24" t="inlineStr">
        <is>
          <t>HIGH_RISK</t>
        </is>
      </c>
      <c r="Y43" s="24" t="inlineStr">
        <is>
          <t>0.8561648968032103</t>
        </is>
      </c>
      <c r="Z43" s="24" t="inlineStr">
        <is>
          <t>HIGH</t>
        </is>
      </c>
      <c r="AA43" s="24" t="inlineStr">
        <is>
          <t>HIGH</t>
        </is>
      </c>
      <c r="AB43" s="24" t="inlineStr">
        <is>
          <t>0.5330742789427354</t>
        </is>
      </c>
      <c r="AC43" s="24" t="inlineStr">
        <is>
          <t>True</t>
        </is>
      </c>
      <c r="AD43" s="24" t="inlineStr">
        <is>
          <t>True</t>
        </is>
      </c>
      <c r="AE43" s="24" t="inlineStr">
        <is>
          <t>valuation_credit_ml_overlay_candidate.csv</t>
        </is>
      </c>
      <c r="AF43" s="24" t="inlineStr">
        <is>
          <t>208개 반도체 reference universe. Valuation Agent가 자체 intake 폴더로 복제해 Peer/ML/대시보드 비교에 사용.</t>
        </is>
      </c>
      <c r="AG43" s="24" t="inlineStr">
        <is>
          <t>SAME_PEER_GROUP</t>
        </is>
      </c>
      <c r="AH43" s="24" t="inlineStr">
        <is>
          <t>False</t>
        </is>
      </c>
    </row>
    <row r="44" ht="24" customHeight="1">
      <c r="A44" s="29" t="inlineStr">
        <is>
          <t>148</t>
        </is>
      </c>
      <c r="B44" s="29" t="inlineStr">
        <is>
          <t>hansol</t>
        </is>
      </c>
      <c r="C44" s="29" t="inlineStr">
        <is>
          <t>한솔케미칼</t>
        </is>
      </c>
      <c r="D44" s="29" t="inlineStr">
        <is>
          <t>014680</t>
        </is>
      </c>
      <c r="E44" s="29" t="inlineStr">
        <is>
          <t>KOSPI</t>
        </is>
      </c>
      <c r="F44" s="29" t="inlineStr">
        <is>
          <t>소재</t>
        </is>
      </c>
      <c r="G44" s="29" t="inlineStr">
        <is>
          <t>소재</t>
        </is>
      </c>
      <c r="H44" s="29" t="inlineStr">
        <is>
          <t>True</t>
        </is>
      </c>
      <c r="I44" s="29" t="inlineStr">
        <is>
          <t>True</t>
        </is>
      </c>
      <c r="J44" s="29" t="inlineStr">
        <is>
          <t>OK</t>
        </is>
      </c>
      <c r="K44" s="29" t="inlineStr">
        <is>
          <t>데이터 사용 가능</t>
        </is>
      </c>
      <c r="L44" s="29" t="inlineStr">
        <is>
          <t>LOW</t>
        </is>
      </c>
      <c r="M44" s="29" t="inlineStr">
        <is>
          <t>LOW</t>
        </is>
      </c>
      <c r="N44" s="29" t="inlineStr">
        <is>
          <t>0.6330769230769231</t>
        </is>
      </c>
      <c r="O44" s="29" t="inlineStr">
        <is>
          <t>ATTRACTIVE</t>
        </is>
      </c>
      <c r="P44" s="29" t="inlineStr">
        <is>
          <t>가치 매력</t>
        </is>
      </c>
      <c r="Q44" s="29" t="inlineStr">
        <is>
          <t>ATTRACTIVE</t>
        </is>
      </c>
      <c r="R44" s="29" t="inlineStr">
        <is>
          <t>0.8364696976606926</t>
        </is>
      </c>
      <c r="S44" s="29" t="inlineStr">
        <is>
          <t>HIGH</t>
        </is>
      </c>
      <c r="T44" s="29" t="inlineStr">
        <is>
          <t>HIGH</t>
        </is>
      </c>
      <c r="U44" s="29" t="inlineStr">
        <is>
          <t>0.0</t>
        </is>
      </c>
      <c r="V44" s="29" t="inlineStr">
        <is>
          <t>LOW_RISK</t>
        </is>
      </c>
      <c r="W44" s="29" t="inlineStr">
        <is>
          <t>저위험</t>
        </is>
      </c>
      <c r="X44" s="29" t="inlineStr">
        <is>
          <t>LOW_RISK</t>
        </is>
      </c>
      <c r="Y44" s="29" t="inlineStr">
        <is>
          <t>0.9711543901439185</t>
        </is>
      </c>
      <c r="Z44" s="29" t="inlineStr">
        <is>
          <t>HIGH</t>
        </is>
      </c>
      <c r="AA44" s="29" t="inlineStr">
        <is>
          <t>HIGH</t>
        </is>
      </c>
      <c r="AB44" s="29" t="inlineStr">
        <is>
          <t>0.058190310497948615</t>
        </is>
      </c>
      <c r="AC44" s="29" t="inlineStr">
        <is>
          <t>False</t>
        </is>
      </c>
      <c r="AD44" s="29" t="inlineStr">
        <is>
          <t>False</t>
        </is>
      </c>
      <c r="AE44" s="29" t="inlineStr">
        <is>
          <t>valuation_credit_ml_overlay_candidate.csv</t>
        </is>
      </c>
      <c r="AF44" s="29" t="inlineStr">
        <is>
          <t>208개 반도체 reference universe. Valuation Agent가 자체 intake 폴더로 복제해 Peer/ML/대시보드 비교에 사용.</t>
        </is>
      </c>
      <c r="AG44" s="29" t="inlineStr">
        <is>
          <t>FOCAL_5</t>
        </is>
      </c>
      <c r="AH44" s="29" t="inlineStr">
        <is>
          <t>False</t>
        </is>
      </c>
    </row>
    <row r="45" ht="24" customHeight="1">
      <c r="A45" s="24" t="inlineStr">
        <is>
          <t>133</t>
        </is>
      </c>
      <c r="B45" s="24" t="inlineStr">
        <is>
          <t>ltc</t>
        </is>
      </c>
      <c r="C45" s="24" t="inlineStr">
        <is>
          <t>엘티씨</t>
        </is>
      </c>
      <c r="D45" s="24" t="inlineStr">
        <is>
          <t>170920</t>
        </is>
      </c>
      <c r="E45" s="24" t="inlineStr">
        <is>
          <t>KOSDAQ</t>
        </is>
      </c>
      <c r="F45" s="24" t="inlineStr">
        <is>
          <t>소재</t>
        </is>
      </c>
      <c r="G45" s="24" t="inlineStr">
        <is>
          <t>소재</t>
        </is>
      </c>
      <c r="H45" s="24" t="inlineStr">
        <is>
          <t>True</t>
        </is>
      </c>
      <c r="I45" s="24" t="inlineStr">
        <is>
          <t>True</t>
        </is>
      </c>
      <c r="J45" s="24" t="inlineStr">
        <is>
          <t>OK</t>
        </is>
      </c>
      <c r="K45" s="24" t="inlineStr">
        <is>
          <t>데이터 사용 가능</t>
        </is>
      </c>
      <c r="L45" s="24" t="inlineStr">
        <is>
          <t>LOW</t>
        </is>
      </c>
      <c r="M45" s="24" t="inlineStr">
        <is>
          <t>LOW</t>
        </is>
      </c>
      <c r="N45" s="24" t="inlineStr">
        <is>
          <t>0.5838461538461538</t>
        </is>
      </c>
      <c r="O45" s="24" t="inlineStr">
        <is>
          <t>FAIR</t>
        </is>
      </c>
      <c r="P45" s="24" t="inlineStr">
        <is>
          <t>FAIR</t>
        </is>
      </c>
      <c r="Q45" s="24" t="inlineStr">
        <is>
          <t>ATTRACTIVE</t>
        </is>
      </c>
      <c r="R45" s="24" t="inlineStr">
        <is>
          <t>0.6353016273848794</t>
        </is>
      </c>
      <c r="S45" s="24" t="inlineStr">
        <is>
          <t>MEDIUM</t>
        </is>
      </c>
      <c r="T45" s="24" t="inlineStr">
        <is>
          <t>MEDIUM</t>
        </is>
      </c>
      <c r="U45" s="24" t="inlineStr">
        <is>
          <t>0.0</t>
        </is>
      </c>
      <c r="V45" s="24" t="inlineStr">
        <is>
          <t>LOW_RISK</t>
        </is>
      </c>
      <c r="W45" s="24" t="inlineStr">
        <is>
          <t>저위험</t>
        </is>
      </c>
      <c r="X45" s="24" t="inlineStr">
        <is>
          <t>LOW_RISK</t>
        </is>
      </c>
      <c r="Y45" s="24" t="inlineStr">
        <is>
          <t>0.9205018564538214</t>
        </is>
      </c>
      <c r="Z45" s="24" t="inlineStr">
        <is>
          <t>HIGH</t>
        </is>
      </c>
      <c r="AA45" s="24" t="inlineStr">
        <is>
          <t>HIGH</t>
        </is>
      </c>
      <c r="AB45" s="24" t="inlineStr">
        <is>
          <t>0.0038993876391341673</t>
        </is>
      </c>
      <c r="AC45" s="24" t="inlineStr">
        <is>
          <t>False</t>
        </is>
      </c>
      <c r="AD45" s="24" t="inlineStr">
        <is>
          <t>False</t>
        </is>
      </c>
      <c r="AE45" s="24" t="inlineStr">
        <is>
          <t>valuation_credit_ml_overlay_candidate.csv</t>
        </is>
      </c>
      <c r="AF45" s="24" t="inlineStr">
        <is>
          <t>208개 반도체 reference universe. Valuation Agent가 자체 intake 폴더로 복제해 Peer/ML/대시보드 비교에 사용.</t>
        </is>
      </c>
      <c r="AG45" s="24" t="inlineStr">
        <is>
          <t>FOCAL_5</t>
        </is>
      </c>
      <c r="AH45" s="24" t="inlineStr">
        <is>
          <t>False</t>
        </is>
      </c>
    </row>
    <row r="46" ht="24" customHeight="1">
      <c r="A46" s="29" t="inlineStr">
        <is>
          <t>125</t>
        </is>
      </c>
      <c r="B46" s="29" t="inlineStr">
        <is>
          <t>duksan</t>
        </is>
      </c>
      <c r="C46" s="29" t="inlineStr">
        <is>
          <t>덕산테코피아</t>
        </is>
      </c>
      <c r="D46" s="29" t="inlineStr">
        <is>
          <t>317330</t>
        </is>
      </c>
      <c r="E46" s="29" t="inlineStr">
        <is>
          <t>KOSDAQ</t>
        </is>
      </c>
      <c r="F46" s="29" t="inlineStr">
        <is>
          <t>소재</t>
        </is>
      </c>
      <c r="G46" s="29" t="inlineStr">
        <is>
          <t>소재</t>
        </is>
      </c>
      <c r="H46" s="29" t="inlineStr">
        <is>
          <t>True</t>
        </is>
      </c>
      <c r="I46" s="29" t="inlineStr">
        <is>
          <t>True</t>
        </is>
      </c>
      <c r="J46" s="29" t="inlineStr">
        <is>
          <t>OK</t>
        </is>
      </c>
      <c r="K46" s="29" t="inlineStr">
        <is>
          <t>데이터 사용 가능</t>
        </is>
      </c>
      <c r="L46" s="29" t="inlineStr">
        <is>
          <t>LOW</t>
        </is>
      </c>
      <c r="M46" s="29" t="inlineStr">
        <is>
          <t>LOW</t>
        </is>
      </c>
      <c r="N46" s="29" t="inlineStr">
        <is>
          <t>0.251025641025641</t>
        </is>
      </c>
      <c r="O46" s="29" t="inlineStr">
        <is>
          <t>EXPENSIVE</t>
        </is>
      </c>
      <c r="P46" s="29" t="inlineStr">
        <is>
          <t>EXPENSIVE</t>
        </is>
      </c>
      <c r="Q46" s="29" t="inlineStr">
        <is>
          <t>EXPENSIVE</t>
        </is>
      </c>
      <c r="R46" s="29" t="inlineStr">
        <is>
          <t>0.9683283970250778</t>
        </is>
      </c>
      <c r="S46" s="29" t="inlineStr">
        <is>
          <t>HIGH</t>
        </is>
      </c>
      <c r="T46" s="29" t="inlineStr">
        <is>
          <t>HIGH</t>
        </is>
      </c>
      <c r="U46" s="29" t="inlineStr">
        <is>
          <t>0.7142857142857143</t>
        </is>
      </c>
      <c r="V46" s="29" t="inlineStr">
        <is>
          <t>HIGH_RISK</t>
        </is>
      </c>
      <c r="W46" s="29" t="inlineStr">
        <is>
          <t>고위험</t>
        </is>
      </c>
      <c r="X46" s="29" t="inlineStr">
        <is>
          <t>HIGH_RISK</t>
        </is>
      </c>
      <c r="Y46" s="29" t="inlineStr">
        <is>
          <t>0.9663044353705786</t>
        </is>
      </c>
      <c r="Z46" s="29" t="inlineStr">
        <is>
          <t>HIGH</t>
        </is>
      </c>
      <c r="AA46" s="29" t="inlineStr">
        <is>
          <t>HIGH</t>
        </is>
      </c>
      <c r="AB46" s="29" t="inlineStr">
        <is>
          <t>0.3843555232614074</t>
        </is>
      </c>
      <c r="AC46" s="29" t="inlineStr">
        <is>
          <t>True</t>
        </is>
      </c>
      <c r="AD46" s="29" t="inlineStr">
        <is>
          <t>True</t>
        </is>
      </c>
      <c r="AE46" s="29" t="inlineStr">
        <is>
          <t>valuation_credit_ml_overlay_candidate.csv</t>
        </is>
      </c>
      <c r="AF46" s="29" t="inlineStr">
        <is>
          <t>208개 반도체 reference universe. Valuation Agent가 자체 intake 폴더로 복제해 Peer/ML/대시보드 비교에 사용.</t>
        </is>
      </c>
      <c r="AG46" s="29" t="inlineStr">
        <is>
          <t>FOCAL_5</t>
        </is>
      </c>
      <c r="AH46" s="29" t="inlineStr">
        <is>
          <t>False</t>
        </is>
      </c>
    </row>
    <row r="47" ht="24" customHeight="1">
      <c r="A47" s="24" t="inlineStr">
        <is>
          <t>157</t>
        </is>
      </c>
      <c r="B47" s="24" t="inlineStr">
        <is>
          <t>nepes</t>
        </is>
      </c>
      <c r="C47" s="24" t="inlineStr">
        <is>
          <t>네패스</t>
        </is>
      </c>
      <c r="D47" s="24" t="inlineStr">
        <is>
          <t>033640</t>
        </is>
      </c>
      <c r="E47" s="24" t="inlineStr">
        <is>
          <t>KOSDAQ</t>
        </is>
      </c>
      <c r="F47" s="24" t="inlineStr">
        <is>
          <t>후공정/패키징/테스트</t>
        </is>
      </c>
      <c r="G47" s="24" t="inlineStr">
        <is>
          <t>후공정/패키징/테스트</t>
        </is>
      </c>
      <c r="H47" s="24" t="inlineStr">
        <is>
          <t>True</t>
        </is>
      </c>
      <c r="I47" s="24" t="inlineStr">
        <is>
          <t>True</t>
        </is>
      </c>
      <c r="J47" s="24" t="inlineStr">
        <is>
          <t>OK</t>
        </is>
      </c>
      <c r="K47" s="24" t="inlineStr">
        <is>
          <t>데이터 사용 가능</t>
        </is>
      </c>
      <c r="L47" s="24" t="inlineStr">
        <is>
          <t>LOW</t>
        </is>
      </c>
      <c r="M47" s="24" t="inlineStr">
        <is>
          <t>LOW</t>
        </is>
      </c>
      <c r="N47" s="24" t="inlineStr">
        <is>
          <t>0.6385185185185186</t>
        </is>
      </c>
      <c r="O47" s="24" t="inlineStr">
        <is>
          <t>ATTRACTIVE</t>
        </is>
      </c>
      <c r="P47" s="24" t="inlineStr">
        <is>
          <t>가치 매력</t>
        </is>
      </c>
      <c r="Q47" s="24" t="inlineStr">
        <is>
          <t>ATTRACTIVE</t>
        </is>
      </c>
      <c r="R47" s="24" t="inlineStr">
        <is>
          <t>0.8763685947958789</t>
        </is>
      </c>
      <c r="S47" s="24" t="inlineStr">
        <is>
          <t>HIGH</t>
        </is>
      </c>
      <c r="T47" s="24" t="inlineStr">
        <is>
          <t>HIGH</t>
        </is>
      </c>
      <c r="U47" s="24" t="inlineStr">
        <is>
          <t>0.2857142857142857</t>
        </is>
      </c>
      <c r="V47" s="24" t="inlineStr">
        <is>
          <t>MEDIUM_RISK</t>
        </is>
      </c>
      <c r="W47" s="24" t="inlineStr">
        <is>
          <t>중위험</t>
        </is>
      </c>
      <c r="X47" s="24" t="inlineStr">
        <is>
          <t>MEDIUM_RISK</t>
        </is>
      </c>
      <c r="Y47" s="24" t="inlineStr">
        <is>
          <t>0.5963458259503356</t>
        </is>
      </c>
      <c r="Z47" s="24" t="inlineStr">
        <is>
          <t>MEDIUM</t>
        </is>
      </c>
      <c r="AA47" s="24" t="inlineStr">
        <is>
          <t>MEDIUM</t>
        </is>
      </c>
      <c r="AB47" s="24" t="inlineStr">
        <is>
          <t>0.07896643996759804</t>
        </is>
      </c>
      <c r="AC47" s="24" t="inlineStr">
        <is>
          <t>False</t>
        </is>
      </c>
      <c r="AD47" s="24" t="inlineStr">
        <is>
          <t>False</t>
        </is>
      </c>
      <c r="AE47" s="24" t="inlineStr">
        <is>
          <t>valuation_credit_ml_overlay_candidate.csv</t>
        </is>
      </c>
      <c r="AF47" s="24" t="inlineStr">
        <is>
          <t>208개 반도체 reference universe. Valuation Agent가 자체 intake 폴더로 복제해 Peer/ML/대시보드 비교에 사용.</t>
        </is>
      </c>
      <c r="AG47" s="24" t="inlineStr">
        <is>
          <t>FOCAL_5</t>
        </is>
      </c>
      <c r="AH47" s="24" t="inlineStr">
        <is>
          <t>False</t>
        </is>
      </c>
    </row>
    <row r="48" ht="24" customHeight="1">
      <c r="A48" s="29" t="inlineStr">
        <is>
          <t>192</t>
        </is>
      </c>
      <c r="B48" s="29" t="inlineStr">
        <is>
          <t>hanmi</t>
        </is>
      </c>
      <c r="C48" s="29" t="inlineStr">
        <is>
          <t>한미반도체</t>
        </is>
      </c>
      <c r="D48" s="29" t="inlineStr">
        <is>
          <t>042700</t>
        </is>
      </c>
      <c r="E48" s="29" t="inlineStr">
        <is>
          <t>KOSPI</t>
        </is>
      </c>
      <c r="F48" s="29" t="inlineStr">
        <is>
          <t>후공정/패키징/테스트</t>
        </is>
      </c>
      <c r="G48" s="29" t="inlineStr">
        <is>
          <t>후공정/패키징/테스트</t>
        </is>
      </c>
      <c r="H48" s="29" t="inlineStr">
        <is>
          <t>True</t>
        </is>
      </c>
      <c r="I48" s="29" t="inlineStr">
        <is>
          <t>True</t>
        </is>
      </c>
      <c r="J48" s="29" t="inlineStr">
        <is>
          <t>OK</t>
        </is>
      </c>
      <c r="K48" s="29" t="inlineStr">
        <is>
          <t>데이터 사용 가능</t>
        </is>
      </c>
      <c r="L48" s="29" t="inlineStr">
        <is>
          <t>LOW</t>
        </is>
      </c>
      <c r="M48" s="29" t="inlineStr">
        <is>
          <t>LOW</t>
        </is>
      </c>
      <c r="N48" s="29" t="inlineStr">
        <is>
          <t>0.4712592592592592</t>
        </is>
      </c>
      <c r="O48" s="29" t="inlineStr">
        <is>
          <t>FAIR</t>
        </is>
      </c>
      <c r="P48" s="29" t="inlineStr">
        <is>
          <t>FAIR</t>
        </is>
      </c>
      <c r="Q48" s="29" t="inlineStr">
        <is>
          <t>FAIR</t>
        </is>
      </c>
      <c r="R48" s="29" t="inlineStr">
        <is>
          <t>0.618072727307107</t>
        </is>
      </c>
      <c r="S48" s="29" t="inlineStr">
        <is>
          <t>MEDIUM</t>
        </is>
      </c>
      <c r="T48" s="29" t="inlineStr">
        <is>
          <t>MEDIUM</t>
        </is>
      </c>
      <c r="U48" s="29" t="inlineStr">
        <is>
          <t>0.0</t>
        </is>
      </c>
      <c r="V48" s="29" t="inlineStr">
        <is>
          <t>LOW_RISK</t>
        </is>
      </c>
      <c r="W48" s="29" t="inlineStr">
        <is>
          <t>저위험</t>
        </is>
      </c>
      <c r="X48" s="29" t="inlineStr">
        <is>
          <t>LOW_RISK</t>
        </is>
      </c>
      <c r="Y48" s="29" t="inlineStr">
        <is>
          <t>0.9350232170644448</t>
        </is>
      </c>
      <c r="Z48" s="29" t="inlineStr">
        <is>
          <t>HIGH</t>
        </is>
      </c>
      <c r="AA48" s="29" t="inlineStr">
        <is>
          <t>HIGH</t>
        </is>
      </c>
      <c r="AB48" s="29" t="inlineStr">
        <is>
          <t>0.2707179947680644</t>
        </is>
      </c>
      <c r="AC48" s="29" t="inlineStr">
        <is>
          <t>True</t>
        </is>
      </c>
      <c r="AD48" s="29" t="inlineStr">
        <is>
          <t>True</t>
        </is>
      </c>
      <c r="AE48" s="29" t="inlineStr">
        <is>
          <t>valuation_credit_ml_overlay_candidate.csv</t>
        </is>
      </c>
      <c r="AF48" s="29" t="inlineStr">
        <is>
          <t>208개 반도체 reference universe. Valuation Agent가 자체 intake 폴더로 복제해 Peer/ML/대시보드 비교에 사용.</t>
        </is>
      </c>
      <c r="AG48" s="29" t="inlineStr">
        <is>
          <t>FOCAL_5</t>
        </is>
      </c>
      <c r="AH48" s="29" t="inlineStr">
        <is>
          <t>False</t>
        </is>
      </c>
    </row>
    <row r="49" ht="24" customHeight="1">
      <c r="A49" s="24" t="inlineStr">
        <is>
          <t>99</t>
        </is>
      </c>
      <c r="B49" s="24" t="inlineStr">
        <is>
          <t>해당 없음</t>
        </is>
      </c>
      <c r="C49" s="24" t="inlineStr">
        <is>
          <t>엔투텍</t>
        </is>
      </c>
      <c r="D49" s="24" t="inlineStr">
        <is>
          <t>227950</t>
        </is>
      </c>
      <c r="E49" s="24" t="inlineStr">
        <is>
          <t>KOSDAQ</t>
        </is>
      </c>
      <c r="F49" s="24" t="inlineStr">
        <is>
          <t>장비</t>
        </is>
      </c>
      <c r="G49" s="24" t="inlineStr">
        <is>
          <t>장비</t>
        </is>
      </c>
      <c r="H49" s="24" t="inlineStr">
        <is>
          <t>False</t>
        </is>
      </c>
      <c r="I49" s="24" t="inlineStr">
        <is>
          <t>True</t>
        </is>
      </c>
      <c r="J49" s="24" t="inlineStr">
        <is>
          <t>OK</t>
        </is>
      </c>
      <c r="K49" s="24" t="inlineStr">
        <is>
          <t>데이터 사용 가능</t>
        </is>
      </c>
      <c r="L49" s="24" t="inlineStr">
        <is>
          <t>LOW</t>
        </is>
      </c>
      <c r="M49" s="24" t="inlineStr">
        <is>
          <t>LOW</t>
        </is>
      </c>
      <c r="N49" s="24" t="inlineStr">
        <is>
          <t>0.8128666666666667</t>
        </is>
      </c>
      <c r="O49" s="24" t="inlineStr">
        <is>
          <t>ATTRACTIVE</t>
        </is>
      </c>
      <c r="P49" s="24" t="inlineStr">
        <is>
          <t>가치 매력</t>
        </is>
      </c>
      <c r="Q49" s="24" t="inlineStr">
        <is>
          <t>ATTRACTIVE</t>
        </is>
      </c>
      <c r="R49" s="24" t="inlineStr">
        <is>
          <t>0.8347222629406851</t>
        </is>
      </c>
      <c r="S49" s="24" t="inlineStr">
        <is>
          <t>HIGH</t>
        </is>
      </c>
      <c r="T49" s="24" t="inlineStr">
        <is>
          <t>HIGH</t>
        </is>
      </c>
      <c r="U49" s="24" t="inlineStr">
        <is>
          <t>0.2142857142857142</t>
        </is>
      </c>
      <c r="V49" s="24" t="inlineStr">
        <is>
          <t>MEDIUM_RISK</t>
        </is>
      </c>
      <c r="W49" s="24" t="inlineStr">
        <is>
          <t>중위험</t>
        </is>
      </c>
      <c r="X49" s="24" t="inlineStr">
        <is>
          <t>MEDIUM_RISK</t>
        </is>
      </c>
      <c r="Y49" s="24" t="inlineStr">
        <is>
          <t>0.5142933547274794</t>
        </is>
      </c>
      <c r="Z49" s="24" t="inlineStr">
        <is>
          <t>MEDIUM</t>
        </is>
      </c>
      <c r="AA49" s="24" t="inlineStr">
        <is>
          <t>MEDIUM</t>
        </is>
      </c>
      <c r="AB49" s="24" t="inlineStr">
        <is>
          <t>0.21193857896314997</t>
        </is>
      </c>
      <c r="AC49" s="24" t="inlineStr">
        <is>
          <t>False</t>
        </is>
      </c>
      <c r="AD49" s="24" t="inlineStr">
        <is>
          <t>False</t>
        </is>
      </c>
      <c r="AE49" s="24" t="inlineStr">
        <is>
          <t>valuation_credit_ml_overlay_candidate.csv</t>
        </is>
      </c>
      <c r="AF49" s="24" t="inlineStr">
        <is>
          <t>208개 반도체 reference universe. Valuation Agent가 자체 intake 폴더로 복제해 Peer/ML/대시보드 비교에 사용.</t>
        </is>
      </c>
      <c r="AG49" s="24" t="inlineStr">
        <is>
          <t>TOP_REFERENCE</t>
        </is>
      </c>
      <c r="AH49" s="24" t="inlineStr">
        <is>
          <t>False</t>
        </is>
      </c>
    </row>
    <row r="50" ht="24" customHeight="1">
      <c r="A50" s="29" t="inlineStr">
        <is>
          <t>62</t>
        </is>
      </c>
      <c r="B50" s="29" t="inlineStr">
        <is>
          <t>해당 없음</t>
        </is>
      </c>
      <c r="C50" s="29" t="inlineStr">
        <is>
          <t>에스에이엠티</t>
        </is>
      </c>
      <c r="D50" s="29" t="inlineStr">
        <is>
          <t>031330</t>
        </is>
      </c>
      <c r="E50" s="29" t="inlineStr">
        <is>
          <t>KOSDAQ</t>
        </is>
      </c>
      <c r="F50" s="29" t="inlineStr">
        <is>
          <t>팹리스/설계</t>
        </is>
      </c>
      <c r="G50" s="29" t="inlineStr">
        <is>
          <t>팹리스/설계</t>
        </is>
      </c>
      <c r="H50" s="29" t="inlineStr">
        <is>
          <t>False</t>
        </is>
      </c>
      <c r="I50" s="29" t="inlineStr">
        <is>
          <t>True</t>
        </is>
      </c>
      <c r="J50" s="29" t="inlineStr">
        <is>
          <t>OK</t>
        </is>
      </c>
      <c r="K50" s="29" t="inlineStr">
        <is>
          <t>데이터 사용 가능</t>
        </is>
      </c>
      <c r="L50" s="29" t="inlineStr">
        <is>
          <t>LOW</t>
        </is>
      </c>
      <c r="M50" s="29" t="inlineStr">
        <is>
          <t>LOW</t>
        </is>
      </c>
      <c r="N50" s="29" t="inlineStr">
        <is>
          <t>0.7838383838383839</t>
        </is>
      </c>
      <c r="O50" s="29" t="inlineStr">
        <is>
          <t>FAIR</t>
        </is>
      </c>
      <c r="P50" s="29" t="inlineStr">
        <is>
          <t>FAIR</t>
        </is>
      </c>
      <c r="Q50" s="29" t="inlineStr">
        <is>
          <t>FAIR</t>
        </is>
      </c>
      <c r="R50" s="29" t="inlineStr">
        <is>
          <t>0.8575928985222669</t>
        </is>
      </c>
      <c r="S50" s="29" t="inlineStr">
        <is>
          <t>HIGH</t>
        </is>
      </c>
      <c r="T50" s="29" t="inlineStr">
        <is>
          <t>HIGH</t>
        </is>
      </c>
      <c r="U50" s="29" t="inlineStr">
        <is>
          <t>0.5</t>
        </is>
      </c>
      <c r="V50" s="29" t="inlineStr">
        <is>
          <t>HIGH_RISK</t>
        </is>
      </c>
      <c r="W50" s="29" t="inlineStr">
        <is>
          <t>고위험</t>
        </is>
      </c>
      <c r="X50" s="29" t="inlineStr">
        <is>
          <t>HIGH_RISK</t>
        </is>
      </c>
      <c r="Y50" s="29" t="inlineStr">
        <is>
          <t>0.5021487096911619</t>
        </is>
      </c>
      <c r="Z50" s="29" t="inlineStr">
        <is>
          <t>MEDIUM</t>
        </is>
      </c>
      <c r="AA50" s="29" t="inlineStr">
        <is>
          <t>MEDIUM</t>
        </is>
      </c>
      <c r="AB50" s="29" t="inlineStr">
        <is>
          <t>0.11372149345925425</t>
        </is>
      </c>
      <c r="AC50" s="29" t="inlineStr">
        <is>
          <t>False</t>
        </is>
      </c>
      <c r="AD50" s="29" t="inlineStr">
        <is>
          <t>False</t>
        </is>
      </c>
      <c r="AE50" s="29" t="inlineStr">
        <is>
          <t>valuation_credit_ml_overlay_candidate.csv</t>
        </is>
      </c>
      <c r="AF50" s="29" t="inlineStr">
        <is>
          <t>208개 반도체 reference universe. Valuation Agent가 자체 intake 폴더로 복제해 Peer/ML/대시보드 비교에 사용.</t>
        </is>
      </c>
      <c r="AG50" s="29" t="inlineStr">
        <is>
          <t>TOP_REFERENCE</t>
        </is>
      </c>
      <c r="AH50" s="29" t="inlineStr">
        <is>
          <t>False</t>
        </is>
      </c>
    </row>
    <row r="51" ht="24" customHeight="1">
      <c r="A51" s="24" t="inlineStr">
        <is>
          <t>168</t>
        </is>
      </c>
      <c r="B51" s="24" t="inlineStr">
        <is>
          <t>해당 없음</t>
        </is>
      </c>
      <c r="C51" s="24" t="inlineStr">
        <is>
          <t>성우테크론</t>
        </is>
      </c>
      <c r="D51" s="24" t="inlineStr">
        <is>
          <t>045300</t>
        </is>
      </c>
      <c r="E51" s="24" t="inlineStr">
        <is>
          <t>KOSDAQ</t>
        </is>
      </c>
      <c r="F51" s="24" t="inlineStr">
        <is>
          <t>후공정/패키징/테스트</t>
        </is>
      </c>
      <c r="G51" s="24" t="inlineStr">
        <is>
          <t>후공정/패키징/테스트</t>
        </is>
      </c>
      <c r="H51" s="24" t="inlineStr">
        <is>
          <t>False</t>
        </is>
      </c>
      <c r="I51" s="24" t="inlineStr">
        <is>
          <t>True</t>
        </is>
      </c>
      <c r="J51" s="24" t="inlineStr">
        <is>
          <t>OK</t>
        </is>
      </c>
      <c r="K51" s="24" t="inlineStr">
        <is>
          <t>데이터 사용 가능</t>
        </is>
      </c>
      <c r="L51" s="24" t="inlineStr">
        <is>
          <t>LOW</t>
        </is>
      </c>
      <c r="M51" s="24" t="inlineStr">
        <is>
          <t>LOW</t>
        </is>
      </c>
      <c r="N51" s="24" t="inlineStr">
        <is>
          <t>0.7764444444444445</t>
        </is>
      </c>
      <c r="O51" s="24" t="inlineStr">
        <is>
          <t>ATTRACTIVE</t>
        </is>
      </c>
      <c r="P51" s="24" t="inlineStr">
        <is>
          <t>가치 매력</t>
        </is>
      </c>
      <c r="Q51" s="24" t="inlineStr">
        <is>
          <t>ATTRACTIVE</t>
        </is>
      </c>
      <c r="R51" s="24" t="inlineStr">
        <is>
          <t>0.9526864248076319</t>
        </is>
      </c>
      <c r="S51" s="24" t="inlineStr">
        <is>
          <t>HIGH</t>
        </is>
      </c>
      <c r="T51" s="24" t="inlineStr">
        <is>
          <t>HIGH</t>
        </is>
      </c>
      <c r="U51" s="24" t="inlineStr">
        <is>
          <t>0.0714285714285714</t>
        </is>
      </c>
      <c r="V51" s="24" t="inlineStr">
        <is>
          <t>LOW_RISK</t>
        </is>
      </c>
      <c r="W51" s="24" t="inlineStr">
        <is>
          <t>저위험</t>
        </is>
      </c>
      <c r="X51" s="24" t="inlineStr">
        <is>
          <t>LOW_RISK</t>
        </is>
      </c>
      <c r="Y51" s="24" t="inlineStr">
        <is>
          <t>0.869939352370702</t>
        </is>
      </c>
      <c r="Z51" s="24" t="inlineStr">
        <is>
          <t>HIGH</t>
        </is>
      </c>
      <c r="AA51" s="24" t="inlineStr">
        <is>
          <t>HIGH</t>
        </is>
      </c>
      <c r="AB51" s="24" t="inlineStr">
        <is>
          <t>0.10286671144812394</t>
        </is>
      </c>
      <c r="AC51" s="24" t="inlineStr">
        <is>
          <t>False</t>
        </is>
      </c>
      <c r="AD51" s="24" t="inlineStr">
        <is>
          <t>False</t>
        </is>
      </c>
      <c r="AE51" s="24" t="inlineStr">
        <is>
          <t>valuation_credit_ml_overlay_candidate.csv</t>
        </is>
      </c>
      <c r="AF51" s="24" t="inlineStr">
        <is>
          <t>208개 반도체 reference universe. Valuation Agent가 자체 intake 폴더로 복제해 Peer/ML/대시보드 비교에 사용.</t>
        </is>
      </c>
      <c r="AG51" s="24" t="inlineStr">
        <is>
          <t>TOP_REFERENCE</t>
        </is>
      </c>
      <c r="AH51" s="24" t="inlineStr">
        <is>
          <t>False</t>
        </is>
      </c>
    </row>
    <row r="52" ht="24" customHeight="1">
      <c r="A52" s="29" t="inlineStr">
        <is>
          <t>165</t>
        </is>
      </c>
      <c r="B52" s="29" t="inlineStr">
        <is>
          <t>해당 없음</t>
        </is>
      </c>
      <c r="C52" s="29" t="inlineStr">
        <is>
          <t>미래산업</t>
        </is>
      </c>
      <c r="D52" s="29" t="inlineStr">
        <is>
          <t>025560</t>
        </is>
      </c>
      <c r="E52" s="29" t="inlineStr">
        <is>
          <t>KOSPI</t>
        </is>
      </c>
      <c r="F52" s="29" t="inlineStr">
        <is>
          <t>후공정/패키징/테스트</t>
        </is>
      </c>
      <c r="G52" s="29" t="inlineStr">
        <is>
          <t>후공정/패키징/테스트</t>
        </is>
      </c>
      <c r="H52" s="29" t="inlineStr">
        <is>
          <t>False</t>
        </is>
      </c>
      <c r="I52" s="29" t="inlineStr">
        <is>
          <t>True</t>
        </is>
      </c>
      <c r="J52" s="29" t="inlineStr">
        <is>
          <t>OK</t>
        </is>
      </c>
      <c r="K52" s="29" t="inlineStr">
        <is>
          <t>데이터 사용 가능</t>
        </is>
      </c>
      <c r="L52" s="29" t="inlineStr">
        <is>
          <t>LOW</t>
        </is>
      </c>
      <c r="M52" s="29" t="inlineStr">
        <is>
          <t>LOW</t>
        </is>
      </c>
      <c r="N52" s="29" t="inlineStr">
        <is>
          <t>0.7748148148148148</t>
        </is>
      </c>
      <c r="O52" s="29" t="inlineStr">
        <is>
          <t>FAIR</t>
        </is>
      </c>
      <c r="P52" s="29" t="inlineStr">
        <is>
          <t>FAIR</t>
        </is>
      </c>
      <c r="Q52" s="29" t="inlineStr">
        <is>
          <t>FAIR</t>
        </is>
      </c>
      <c r="R52" s="29" t="inlineStr">
        <is>
          <t>0.883291104654336</t>
        </is>
      </c>
      <c r="S52" s="29" t="inlineStr">
        <is>
          <t>HIGH</t>
        </is>
      </c>
      <c r="T52" s="29" t="inlineStr">
        <is>
          <t>HIGH</t>
        </is>
      </c>
      <c r="U52" s="29" t="inlineStr">
        <is>
          <t>0.2857142857142857</t>
        </is>
      </c>
      <c r="V52" s="29" t="inlineStr">
        <is>
          <t>MEDIUM_RISK</t>
        </is>
      </c>
      <c r="W52" s="29" t="inlineStr">
        <is>
          <t>중위험</t>
        </is>
      </c>
      <c r="X52" s="29" t="inlineStr">
        <is>
          <t>MEDIUM_RISK</t>
        </is>
      </c>
      <c r="Y52" s="29" t="inlineStr">
        <is>
          <t>0.695536763680257</t>
        </is>
      </c>
      <c r="Z52" s="29" t="inlineStr">
        <is>
          <t>MEDIUM</t>
        </is>
      </c>
      <c r="AA52" s="29" t="inlineStr">
        <is>
          <t>MEDIUM</t>
        </is>
      </c>
      <c r="AB52" s="29" t="inlineStr">
        <is>
          <t>0.08100242357773374</t>
        </is>
      </c>
      <c r="AC52" s="29" t="inlineStr">
        <is>
          <t>False</t>
        </is>
      </c>
      <c r="AD52" s="29" t="inlineStr">
        <is>
          <t>False</t>
        </is>
      </c>
      <c r="AE52" s="29" t="inlineStr">
        <is>
          <t>valuation_credit_ml_overlay_candidate.csv</t>
        </is>
      </c>
      <c r="AF52" s="29" t="inlineStr">
        <is>
          <t>208개 반도체 reference universe. Valuation Agent가 자체 intake 폴더로 복제해 Peer/ML/대시보드 비교에 사용.</t>
        </is>
      </c>
      <c r="AG52" s="29" t="inlineStr">
        <is>
          <t>TOP_REFERENCE</t>
        </is>
      </c>
      <c r="AH52" s="29" t="inlineStr">
        <is>
          <t>False</t>
        </is>
      </c>
    </row>
    <row r="53" ht="24" customHeight="1">
      <c r="A53" s="24" t="inlineStr">
        <is>
          <t>163</t>
        </is>
      </c>
      <c r="B53" s="24" t="inlineStr">
        <is>
          <t>해당 없음</t>
        </is>
      </c>
      <c r="C53" s="24" t="inlineStr">
        <is>
          <t>링크제니시스</t>
        </is>
      </c>
      <c r="D53" s="24" t="inlineStr">
        <is>
          <t>219420</t>
        </is>
      </c>
      <c r="E53" s="24" t="inlineStr">
        <is>
          <t>KOSDAQ</t>
        </is>
      </c>
      <c r="F53" s="24" t="inlineStr">
        <is>
          <t>후공정/패키징/테스트</t>
        </is>
      </c>
      <c r="G53" s="24" t="inlineStr">
        <is>
          <t>후공정/패키징/테스트</t>
        </is>
      </c>
      <c r="H53" s="24" t="inlineStr">
        <is>
          <t>False</t>
        </is>
      </c>
      <c r="I53" s="24" t="inlineStr">
        <is>
          <t>True</t>
        </is>
      </c>
      <c r="J53" s="24" t="inlineStr">
        <is>
          <t>OK</t>
        </is>
      </c>
      <c r="K53" s="24" t="inlineStr">
        <is>
          <t>데이터 사용 가능</t>
        </is>
      </c>
      <c r="L53" s="24" t="inlineStr">
        <is>
          <t>LOW</t>
        </is>
      </c>
      <c r="M53" s="24" t="inlineStr">
        <is>
          <t>LOW</t>
        </is>
      </c>
      <c r="N53" s="24" t="inlineStr">
        <is>
          <t>0.7522962962962964</t>
        </is>
      </c>
      <c r="O53" s="24" t="inlineStr">
        <is>
          <t>ATTRACTIVE</t>
        </is>
      </c>
      <c r="P53" s="24" t="inlineStr">
        <is>
          <t>가치 매력</t>
        </is>
      </c>
      <c r="Q53" s="24" t="inlineStr">
        <is>
          <t>ATTRACTIVE</t>
        </is>
      </c>
      <c r="R53" s="24" t="inlineStr">
        <is>
          <t>0.8724992666433111</t>
        </is>
      </c>
      <c r="S53" s="24" t="inlineStr">
        <is>
          <t>HIGH</t>
        </is>
      </c>
      <c r="T53" s="24" t="inlineStr">
        <is>
          <t>HIGH</t>
        </is>
      </c>
      <c r="U53" s="24" t="inlineStr">
        <is>
          <t>0.0714285714285714</t>
        </is>
      </c>
      <c r="V53" s="24" t="inlineStr">
        <is>
          <t>LOW_RISK</t>
        </is>
      </c>
      <c r="W53" s="24" t="inlineStr">
        <is>
          <t>저위험</t>
        </is>
      </c>
      <c r="X53" s="24" t="inlineStr">
        <is>
          <t>LOW_RISK</t>
        </is>
      </c>
      <c r="Y53" s="24" t="inlineStr">
        <is>
          <t>0.8663667518810074</t>
        </is>
      </c>
      <c r="Z53" s="24" t="inlineStr">
        <is>
          <t>HIGH</t>
        </is>
      </c>
      <c r="AA53" s="24" t="inlineStr">
        <is>
          <t>HIGH</t>
        </is>
      </c>
      <c r="AB53" s="24" t="inlineStr">
        <is>
          <t>0.1247344063934745</t>
        </is>
      </c>
      <c r="AC53" s="24" t="inlineStr">
        <is>
          <t>False</t>
        </is>
      </c>
      <c r="AD53" s="24" t="inlineStr">
        <is>
          <t>False</t>
        </is>
      </c>
      <c r="AE53" s="24" t="inlineStr">
        <is>
          <t>valuation_credit_ml_overlay_candidate.csv</t>
        </is>
      </c>
      <c r="AF53" s="24" t="inlineStr">
        <is>
          <t>208개 반도체 reference universe. Valuation Agent가 자체 intake 폴더로 복제해 Peer/ML/대시보드 비교에 사용.</t>
        </is>
      </c>
      <c r="AG53" s="24" t="inlineStr">
        <is>
          <t>TOP_REFERENCE</t>
        </is>
      </c>
      <c r="AH53" s="24" t="inlineStr">
        <is>
          <t>False</t>
        </is>
      </c>
    </row>
    <row r="54" ht="24" customHeight="1">
      <c r="A54" s="29" t="inlineStr">
        <is>
          <t>65</t>
        </is>
      </c>
      <c r="B54" s="29" t="inlineStr">
        <is>
          <t>해당 없음</t>
        </is>
      </c>
      <c r="C54" s="29" t="inlineStr">
        <is>
          <t>유니트론텍</t>
        </is>
      </c>
      <c r="D54" s="29" t="inlineStr">
        <is>
          <t>142210</t>
        </is>
      </c>
      <c r="E54" s="29" t="inlineStr">
        <is>
          <t>KOSDAQ</t>
        </is>
      </c>
      <c r="F54" s="29" t="inlineStr">
        <is>
          <t>팹리스/설계</t>
        </is>
      </c>
      <c r="G54" s="29" t="inlineStr">
        <is>
          <t>팹리스/설계</t>
        </is>
      </c>
      <c r="H54" s="29" t="inlineStr">
        <is>
          <t>False</t>
        </is>
      </c>
      <c r="I54" s="29" t="inlineStr">
        <is>
          <t>True</t>
        </is>
      </c>
      <c r="J54" s="29" t="inlineStr">
        <is>
          <t>OK</t>
        </is>
      </c>
      <c r="K54" s="29" t="inlineStr">
        <is>
          <t>데이터 사용 가능</t>
        </is>
      </c>
      <c r="L54" s="29" t="inlineStr">
        <is>
          <t>LOW</t>
        </is>
      </c>
      <c r="M54" s="29" t="inlineStr">
        <is>
          <t>LOW</t>
        </is>
      </c>
      <c r="N54" s="29" t="inlineStr">
        <is>
          <t>0.7478787878787879</t>
        </is>
      </c>
      <c r="O54" s="29" t="inlineStr">
        <is>
          <t>FAIR</t>
        </is>
      </c>
      <c r="P54" s="29" t="inlineStr">
        <is>
          <t>FAIR</t>
        </is>
      </c>
      <c r="Q54" s="29" t="inlineStr">
        <is>
          <t>FAIR</t>
        </is>
      </c>
      <c r="R54" s="29" t="inlineStr">
        <is>
          <t>0.8593164302034415</t>
        </is>
      </c>
      <c r="S54" s="29" t="inlineStr">
        <is>
          <t>HIGH</t>
        </is>
      </c>
      <c r="T54" s="29" t="inlineStr">
        <is>
          <t>HIGH</t>
        </is>
      </c>
      <c r="U54" s="29" t="inlineStr">
        <is>
          <t>0.3571428571428571</t>
        </is>
      </c>
      <c r="V54" s="29" t="inlineStr">
        <is>
          <t>MEDIUM_RISK</t>
        </is>
      </c>
      <c r="W54" s="29" t="inlineStr">
        <is>
          <t>중위험</t>
        </is>
      </c>
      <c r="X54" s="29" t="inlineStr">
        <is>
          <t>MEDIUM_RISK</t>
        </is>
      </c>
      <c r="Y54" s="29" t="inlineStr">
        <is>
          <t>0.6687746551665015</t>
        </is>
      </c>
      <c r="Z54" s="29" t="inlineStr">
        <is>
          <t>MEDIUM</t>
        </is>
      </c>
      <c r="AA54" s="29" t="inlineStr">
        <is>
          <t>MEDIUM</t>
        </is>
      </c>
      <c r="AB54" s="29" t="inlineStr">
        <is>
          <t>0.05354194050015521</t>
        </is>
      </c>
      <c r="AC54" s="29" t="inlineStr">
        <is>
          <t>False</t>
        </is>
      </c>
      <c r="AD54" s="29" t="inlineStr">
        <is>
          <t>False</t>
        </is>
      </c>
      <c r="AE54" s="29" t="inlineStr">
        <is>
          <t>valuation_credit_ml_overlay_candidate.csv</t>
        </is>
      </c>
      <c r="AF54" s="29" t="inlineStr">
        <is>
          <t>208개 반도체 reference universe. Valuation Agent가 자체 intake 폴더로 복제해 Peer/ML/대시보드 비교에 사용.</t>
        </is>
      </c>
      <c r="AG54" s="29" t="inlineStr">
        <is>
          <t>TOP_REFERENCE</t>
        </is>
      </c>
      <c r="AH54" s="29" t="inlineStr">
        <is>
          <t>False</t>
        </is>
      </c>
    </row>
    <row r="55" ht="24" customHeight="1">
      <c r="A55" s="24" t="inlineStr">
        <is>
          <t>139</t>
        </is>
      </c>
      <c r="B55" s="24" t="inlineStr">
        <is>
          <t>해당 없음</t>
        </is>
      </c>
      <c r="C55" s="24" t="inlineStr">
        <is>
          <t>월덱스</t>
        </is>
      </c>
      <c r="D55" s="24" t="inlineStr">
        <is>
          <t>101160</t>
        </is>
      </c>
      <c r="E55" s="24" t="inlineStr">
        <is>
          <t>KOSDAQ</t>
        </is>
      </c>
      <c r="F55" s="24" t="inlineStr">
        <is>
          <t>소재</t>
        </is>
      </c>
      <c r="G55" s="24" t="inlineStr">
        <is>
          <t>소재</t>
        </is>
      </c>
      <c r="H55" s="24" t="inlineStr">
        <is>
          <t>False</t>
        </is>
      </c>
      <c r="I55" s="24" t="inlineStr">
        <is>
          <t>True</t>
        </is>
      </c>
      <c r="J55" s="24" t="inlineStr">
        <is>
          <t>OK</t>
        </is>
      </c>
      <c r="K55" s="24" t="inlineStr">
        <is>
          <t>데이터 사용 가능</t>
        </is>
      </c>
      <c r="L55" s="24" t="inlineStr">
        <is>
          <t>LOW</t>
        </is>
      </c>
      <c r="M55" s="24" t="inlineStr">
        <is>
          <t>LOW</t>
        </is>
      </c>
      <c r="N55" s="24" t="inlineStr">
        <is>
          <t>0.745897435897436</t>
        </is>
      </c>
      <c r="O55" s="24" t="inlineStr">
        <is>
          <t>ATTRACTIVE</t>
        </is>
      </c>
      <c r="P55" s="24" t="inlineStr">
        <is>
          <t>가치 매력</t>
        </is>
      </c>
      <c r="Q55" s="24" t="inlineStr">
        <is>
          <t>ATTRACTIVE</t>
        </is>
      </c>
      <c r="R55" s="24" t="inlineStr">
        <is>
          <t>0.9476922450763601</t>
        </is>
      </c>
      <c r="S55" s="24" t="inlineStr">
        <is>
          <t>HIGH</t>
        </is>
      </c>
      <c r="T55" s="24" t="inlineStr">
        <is>
          <t>HIGH</t>
        </is>
      </c>
      <c r="U55" s="24" t="inlineStr">
        <is>
          <t>0.0</t>
        </is>
      </c>
      <c r="V55" s="24" t="inlineStr">
        <is>
          <t>LOW_RISK</t>
        </is>
      </c>
      <c r="W55" s="24" t="inlineStr">
        <is>
          <t>저위험</t>
        </is>
      </c>
      <c r="X55" s="24" t="inlineStr">
        <is>
          <t>LOW_RISK</t>
        </is>
      </c>
      <c r="Y55" s="24" t="inlineStr">
        <is>
          <t>0.9681016473230849</t>
        </is>
      </c>
      <c r="Z55" s="24" t="inlineStr">
        <is>
          <t>HIGH</t>
        </is>
      </c>
      <c r="AA55" s="24" t="inlineStr">
        <is>
          <t>HIGH</t>
        </is>
      </c>
      <c r="AB55" s="24" t="inlineStr">
        <is>
          <t>0.15527064195126172</t>
        </is>
      </c>
      <c r="AC55" s="24" t="inlineStr">
        <is>
          <t>False</t>
        </is>
      </c>
      <c r="AD55" s="24" t="inlineStr">
        <is>
          <t>False</t>
        </is>
      </c>
      <c r="AE55" s="24" t="inlineStr">
        <is>
          <t>valuation_credit_ml_overlay_candidate.csv</t>
        </is>
      </c>
      <c r="AF55" s="24" t="inlineStr">
        <is>
          <t>208개 반도체 reference universe. Valuation Agent가 자체 intake 폴더로 복제해 Peer/ML/대시보드 비교에 사용.</t>
        </is>
      </c>
      <c r="AG55" s="24" t="inlineStr">
        <is>
          <t>TOP_REFERENCE</t>
        </is>
      </c>
      <c r="AH55" s="24" t="inlineStr">
        <is>
          <t>False</t>
        </is>
      </c>
    </row>
    <row r="56" ht="24" customHeight="1">
      <c r="A56" s="29" t="inlineStr">
        <is>
          <t>60</t>
        </is>
      </c>
      <c r="B56" s="29" t="inlineStr">
        <is>
          <t>해당 없음</t>
        </is>
      </c>
      <c r="C56" s="29" t="inlineStr">
        <is>
          <t>앤씨앤</t>
        </is>
      </c>
      <c r="D56" s="29" t="inlineStr">
        <is>
          <t>092600</t>
        </is>
      </c>
      <c r="E56" s="29" t="inlineStr">
        <is>
          <t>KOSDAQ</t>
        </is>
      </c>
      <c r="F56" s="29" t="inlineStr">
        <is>
          <t>팹리스/설계</t>
        </is>
      </c>
      <c r="G56" s="29" t="inlineStr">
        <is>
          <t>팹리스/설계</t>
        </is>
      </c>
      <c r="H56" s="29" t="inlineStr">
        <is>
          <t>False</t>
        </is>
      </c>
      <c r="I56" s="29" t="inlineStr">
        <is>
          <t>True</t>
        </is>
      </c>
      <c r="J56" s="29" t="inlineStr">
        <is>
          <t>OK</t>
        </is>
      </c>
      <c r="K56" s="29" t="inlineStr">
        <is>
          <t>데이터 사용 가능</t>
        </is>
      </c>
      <c r="L56" s="29" t="inlineStr">
        <is>
          <t>LOW</t>
        </is>
      </c>
      <c r="M56" s="29" t="inlineStr">
        <is>
          <t>LOW</t>
        </is>
      </c>
      <c r="N56" s="29" t="inlineStr">
        <is>
          <t>0.7450505050505051</t>
        </is>
      </c>
      <c r="O56" s="29" t="inlineStr">
        <is>
          <t>FAIR</t>
        </is>
      </c>
      <c r="P56" s="29" t="inlineStr">
        <is>
          <t>FAIR</t>
        </is>
      </c>
      <c r="Q56" s="29" t="inlineStr">
        <is>
          <t>FAIR</t>
        </is>
      </c>
      <c r="R56" s="29" t="inlineStr">
        <is>
          <t>0.8450252323777523</t>
        </is>
      </c>
      <c r="S56" s="29" t="inlineStr">
        <is>
          <t>HIGH</t>
        </is>
      </c>
      <c r="T56" s="29" t="inlineStr">
        <is>
          <t>HIGH</t>
        </is>
      </c>
      <c r="U56" s="29" t="inlineStr">
        <is>
          <t>0.5</t>
        </is>
      </c>
      <c r="V56" s="29" t="inlineStr">
        <is>
          <t>HIGH_RISK</t>
        </is>
      </c>
      <c r="W56" s="29" t="inlineStr">
        <is>
          <t>고위험</t>
        </is>
      </c>
      <c r="X56" s="29" t="inlineStr">
        <is>
          <t>HIGH_RISK</t>
        </is>
      </c>
      <c r="Y56" s="29" t="inlineStr">
        <is>
          <t>0.6852720703017778</t>
        </is>
      </c>
      <c r="Z56" s="29" t="inlineStr">
        <is>
          <t>MEDIUM</t>
        </is>
      </c>
      <c r="AA56" s="29" t="inlineStr">
        <is>
          <t>MEDIUM</t>
        </is>
      </c>
      <c r="AB56" s="29" t="inlineStr">
        <is>
          <t>0.05126917274476802</t>
        </is>
      </c>
      <c r="AC56" s="29" t="inlineStr">
        <is>
          <t>False</t>
        </is>
      </c>
      <c r="AD56" s="29" t="inlineStr">
        <is>
          <t>False</t>
        </is>
      </c>
      <c r="AE56" s="29" t="inlineStr">
        <is>
          <t>valuation_credit_ml_overlay_candidate.csv</t>
        </is>
      </c>
      <c r="AF56" s="29" t="inlineStr">
        <is>
          <t>208개 반도체 reference universe. Valuation Agent가 자체 intake 폴더로 복제해 Peer/ML/대시보드 비교에 사용.</t>
        </is>
      </c>
      <c r="AG56" s="29" t="inlineStr">
        <is>
          <t>TOP_REFERENCE</t>
        </is>
      </c>
      <c r="AH56" s="29" t="inlineStr">
        <is>
          <t>False</t>
        </is>
      </c>
    </row>
    <row r="57" ht="24" customHeight="1">
      <c r="A57" s="24" t="inlineStr">
        <is>
          <t>147</t>
        </is>
      </c>
      <c r="B57" s="24" t="inlineStr">
        <is>
          <t>해당 없음</t>
        </is>
      </c>
      <c r="C57" s="24" t="inlineStr">
        <is>
          <t>퓨릿</t>
        </is>
      </c>
      <c r="D57" s="24" t="inlineStr">
        <is>
          <t>445180</t>
        </is>
      </c>
      <c r="E57" s="24" t="inlineStr">
        <is>
          <t>KOSDAQ</t>
        </is>
      </c>
      <c r="F57" s="24" t="inlineStr">
        <is>
          <t>소재</t>
        </is>
      </c>
      <c r="G57" s="24" t="inlineStr">
        <is>
          <t>소재</t>
        </is>
      </c>
      <c r="H57" s="24" t="inlineStr">
        <is>
          <t>False</t>
        </is>
      </c>
      <c r="I57" s="24" t="inlineStr">
        <is>
          <t>True</t>
        </is>
      </c>
      <c r="J57" s="24" t="inlineStr">
        <is>
          <t>OK_LIMITED_HISTORY_OR_GROWTH_NA</t>
        </is>
      </c>
      <c r="K57" s="24" t="inlineStr">
        <is>
          <t>데이터 사용 가능</t>
        </is>
      </c>
      <c r="L57" s="24" t="inlineStr">
        <is>
          <t>LOW</t>
        </is>
      </c>
      <c r="M57" s="24" t="inlineStr">
        <is>
          <t>LOW</t>
        </is>
      </c>
      <c r="N57" s="24" t="inlineStr">
        <is>
          <t>0.7448717948717948</t>
        </is>
      </c>
      <c r="O57" s="24" t="inlineStr">
        <is>
          <t>ATTRACTIVE</t>
        </is>
      </c>
      <c r="P57" s="24" t="inlineStr">
        <is>
          <t>가치 매력</t>
        </is>
      </c>
      <c r="Q57" s="24" t="inlineStr">
        <is>
          <t>ATTRACTIVE</t>
        </is>
      </c>
      <c r="R57" s="24" t="inlineStr">
        <is>
          <t>0.8817607106455689</t>
        </is>
      </c>
      <c r="S57" s="24" t="inlineStr">
        <is>
          <t>HIGH</t>
        </is>
      </c>
      <c r="T57" s="24" t="inlineStr">
        <is>
          <t>HIGH</t>
        </is>
      </c>
      <c r="U57" s="24" t="inlineStr">
        <is>
          <t>0.0714285714285714</t>
        </is>
      </c>
      <c r="V57" s="24" t="inlineStr">
        <is>
          <t>LOW_RISK</t>
        </is>
      </c>
      <c r="W57" s="24" t="inlineStr">
        <is>
          <t>저위험</t>
        </is>
      </c>
      <c r="X57" s="24" t="inlineStr">
        <is>
          <t>LOW_RISK</t>
        </is>
      </c>
      <c r="Y57" s="24" t="inlineStr">
        <is>
          <t>0.9587686707140917</t>
        </is>
      </c>
      <c r="Z57" s="24" t="inlineStr">
        <is>
          <t>HIGH</t>
        </is>
      </c>
      <c r="AA57" s="24" t="inlineStr">
        <is>
          <t>HIGH</t>
        </is>
      </c>
      <c r="AB57" s="24" t="inlineStr">
        <is>
          <t>0.09055441585311619</t>
        </is>
      </c>
      <c r="AC57" s="24" t="inlineStr">
        <is>
          <t>False</t>
        </is>
      </c>
      <c r="AD57" s="24" t="inlineStr">
        <is>
          <t>True</t>
        </is>
      </c>
      <c r="AE57" s="24" t="inlineStr">
        <is>
          <t>valuation_credit_ml_overlay_candidate.csv</t>
        </is>
      </c>
      <c r="AF57" s="24" t="inlineStr">
        <is>
          <t>208개 반도체 reference universe. Valuation Agent가 자체 intake 폴더로 복제해 Peer/ML/대시보드 비교에 사용.</t>
        </is>
      </c>
      <c r="AG57" s="24" t="inlineStr">
        <is>
          <t>TOP_REFERENCE</t>
        </is>
      </c>
      <c r="AH57" s="24" t="inlineStr">
        <is>
          <t>False</t>
        </is>
      </c>
    </row>
    <row r="58" ht="24" customHeight="1">
      <c r="A58" s="29" t="inlineStr">
        <is>
          <t>47</t>
        </is>
      </c>
      <c r="B58" s="29" t="inlineStr">
        <is>
          <t>해당 없음</t>
        </is>
      </c>
      <c r="C58" s="29" t="inlineStr">
        <is>
          <t>마이크로컨텍솔</t>
        </is>
      </c>
      <c r="D58" s="29" t="inlineStr">
        <is>
          <t>098120</t>
        </is>
      </c>
      <c r="E58" s="29" t="inlineStr">
        <is>
          <t>KOSDAQ</t>
        </is>
      </c>
      <c r="F58" s="29" t="inlineStr">
        <is>
          <t>팹리스/설계</t>
        </is>
      </c>
      <c r="G58" s="29" t="inlineStr">
        <is>
          <t>팹리스/설계</t>
        </is>
      </c>
      <c r="H58" s="29" t="inlineStr">
        <is>
          <t>False</t>
        </is>
      </c>
      <c r="I58" s="29" t="inlineStr">
        <is>
          <t>True</t>
        </is>
      </c>
      <c r="J58" s="29" t="inlineStr">
        <is>
          <t>OK</t>
        </is>
      </c>
      <c r="K58" s="29" t="inlineStr">
        <is>
          <t>데이터 사용 가능</t>
        </is>
      </c>
      <c r="L58" s="29" t="inlineStr">
        <is>
          <t>LOW</t>
        </is>
      </c>
      <c r="M58" s="29" t="inlineStr">
        <is>
          <t>LOW</t>
        </is>
      </c>
      <c r="N58" s="29" t="inlineStr">
        <is>
          <t>0.7383838383838384</t>
        </is>
      </c>
      <c r="O58" s="29" t="inlineStr">
        <is>
          <t>ATTRACTIVE</t>
        </is>
      </c>
      <c r="P58" s="29" t="inlineStr">
        <is>
          <t>가치 매력</t>
        </is>
      </c>
      <c r="Q58" s="29" t="inlineStr">
        <is>
          <t>ATTRACTIVE</t>
        </is>
      </c>
      <c r="R58" s="29" t="inlineStr">
        <is>
          <t>0.8262966149459129</t>
        </is>
      </c>
      <c r="S58" s="29" t="inlineStr">
        <is>
          <t>HIGH</t>
        </is>
      </c>
      <c r="T58" s="29" t="inlineStr">
        <is>
          <t>HIGH</t>
        </is>
      </c>
      <c r="U58" s="29" t="inlineStr">
        <is>
          <t>0.1428571428571428</t>
        </is>
      </c>
      <c r="V58" s="29" t="inlineStr">
        <is>
          <t>LOW_RISK</t>
        </is>
      </c>
      <c r="W58" s="29" t="inlineStr">
        <is>
          <t>저위험</t>
        </is>
      </c>
      <c r="X58" s="29" t="inlineStr">
        <is>
          <t>LOW_RISK</t>
        </is>
      </c>
      <c r="Y58" s="29" t="inlineStr">
        <is>
          <t>0.7491981695245683</t>
        </is>
      </c>
      <c r="Z58" s="29" t="inlineStr">
        <is>
          <t>HIGH</t>
        </is>
      </c>
      <c r="AA58" s="29" t="inlineStr">
        <is>
          <t>HIGH</t>
        </is>
      </c>
      <c r="AB58" s="29" t="inlineStr">
        <is>
          <t>0.08427857084894262</t>
        </is>
      </c>
      <c r="AC58" s="29" t="inlineStr">
        <is>
          <t>False</t>
        </is>
      </c>
      <c r="AD58" s="29" t="inlineStr">
        <is>
          <t>False</t>
        </is>
      </c>
      <c r="AE58" s="29" t="inlineStr">
        <is>
          <t>valuation_credit_ml_overlay_candidate.csv</t>
        </is>
      </c>
      <c r="AF58" s="29" t="inlineStr">
        <is>
          <t>208개 반도체 reference universe. Valuation Agent가 자체 intake 폴더로 복제해 Peer/ML/대시보드 비교에 사용.</t>
        </is>
      </c>
      <c r="AG58" s="29" t="inlineStr">
        <is>
          <t>TOP_REFERENCE</t>
        </is>
      </c>
      <c r="AH58" s="29" t="inlineStr">
        <is>
          <t>False</t>
        </is>
      </c>
    </row>
    <row r="59" ht="24" customHeight="1">
      <c r="A59" s="24" t="inlineStr">
        <is>
          <t>189</t>
        </is>
      </c>
      <c r="B59" s="24" t="inlineStr">
        <is>
          <t>해당 없음</t>
        </is>
      </c>
      <c r="C59" s="24" t="inlineStr">
        <is>
          <t>프로텍</t>
        </is>
      </c>
      <c r="D59" s="24" t="inlineStr">
        <is>
          <t>053610</t>
        </is>
      </c>
      <c r="E59" s="24" t="inlineStr">
        <is>
          <t>KOSDAQ</t>
        </is>
      </c>
      <c r="F59" s="24" t="inlineStr">
        <is>
          <t>후공정/패키징/테스트</t>
        </is>
      </c>
      <c r="G59" s="24" t="inlineStr">
        <is>
          <t>후공정/패키징/테스트</t>
        </is>
      </c>
      <c r="H59" s="24" t="inlineStr">
        <is>
          <t>False</t>
        </is>
      </c>
      <c r="I59" s="24" t="inlineStr">
        <is>
          <t>True</t>
        </is>
      </c>
      <c r="J59" s="24" t="inlineStr">
        <is>
          <t>OK</t>
        </is>
      </c>
      <c r="K59" s="24" t="inlineStr">
        <is>
          <t>데이터 사용 가능</t>
        </is>
      </c>
      <c r="L59" s="24" t="inlineStr">
        <is>
          <t>LOW</t>
        </is>
      </c>
      <c r="M59" s="24" t="inlineStr">
        <is>
          <t>LOW</t>
        </is>
      </c>
      <c r="N59" s="24" t="inlineStr">
        <is>
          <t>0.7342222222222222</t>
        </is>
      </c>
      <c r="O59" s="24" t="inlineStr">
        <is>
          <t>FAIR</t>
        </is>
      </c>
      <c r="P59" s="24" t="inlineStr">
        <is>
          <t>FAIR</t>
        </is>
      </c>
      <c r="Q59" s="24" t="inlineStr">
        <is>
          <t>FAIR</t>
        </is>
      </c>
      <c r="R59" s="24" t="inlineStr">
        <is>
          <t>0.8971257561900263</t>
        </is>
      </c>
      <c r="S59" s="24" t="inlineStr">
        <is>
          <t>HIGH</t>
        </is>
      </c>
      <c r="T59" s="24" t="inlineStr">
        <is>
          <t>HIGH</t>
        </is>
      </c>
      <c r="U59" s="24" t="inlineStr">
        <is>
          <t>0.0714285714285714</t>
        </is>
      </c>
      <c r="V59" s="24" t="inlineStr">
        <is>
          <t>LOW_RISK</t>
        </is>
      </c>
      <c r="W59" s="24" t="inlineStr">
        <is>
          <t>저위험</t>
        </is>
      </c>
      <c r="X59" s="24" t="inlineStr">
        <is>
          <t>LOW_RISK</t>
        </is>
      </c>
      <c r="Y59" s="24" t="inlineStr">
        <is>
          <t>0.9163768919768406</t>
        </is>
      </c>
      <c r="Z59" s="24" t="inlineStr">
        <is>
          <t>HIGH</t>
        </is>
      </c>
      <c r="AA59" s="24" t="inlineStr">
        <is>
          <t>HIGH</t>
        </is>
      </c>
      <c r="AB59" s="24" t="inlineStr">
        <is>
          <t>0.04594870251712977</t>
        </is>
      </c>
      <c r="AC59" s="24" t="inlineStr">
        <is>
          <t>False</t>
        </is>
      </c>
      <c r="AD59" s="24" t="inlineStr">
        <is>
          <t>False</t>
        </is>
      </c>
      <c r="AE59" s="24" t="inlineStr">
        <is>
          <t>valuation_credit_ml_overlay_candidate.csv</t>
        </is>
      </c>
      <c r="AF59" s="24" t="inlineStr">
        <is>
          <t>208개 반도체 reference universe. Valuation Agent가 자체 intake 폴더로 복제해 Peer/ML/대시보드 비교에 사용.</t>
        </is>
      </c>
      <c r="AG59" s="24" t="inlineStr">
        <is>
          <t>TOP_REFERENCE</t>
        </is>
      </c>
      <c r="AH59" s="24" t="inlineStr">
        <is>
          <t>False</t>
        </is>
      </c>
    </row>
    <row r="60" ht="24" customHeight="1">
      <c r="A60" s="29" t="inlineStr">
        <is>
          <t>55</t>
        </is>
      </c>
      <c r="B60" s="29" t="inlineStr">
        <is>
          <t>해당 없음</t>
        </is>
      </c>
      <c r="C60" s="29" t="inlineStr">
        <is>
          <t>아이앤씨</t>
        </is>
      </c>
      <c r="D60" s="29" t="inlineStr">
        <is>
          <t>052860</t>
        </is>
      </c>
      <c r="E60" s="29" t="inlineStr">
        <is>
          <t>KOSDAQ</t>
        </is>
      </c>
      <c r="F60" s="29" t="inlineStr">
        <is>
          <t>팹리스/설계</t>
        </is>
      </c>
      <c r="G60" s="29" t="inlineStr">
        <is>
          <t>팹리스/설계</t>
        </is>
      </c>
      <c r="H60" s="29" t="inlineStr">
        <is>
          <t>False</t>
        </is>
      </c>
      <c r="I60" s="29" t="inlineStr">
        <is>
          <t>True</t>
        </is>
      </c>
      <c r="J60" s="29" t="inlineStr">
        <is>
          <t>OK</t>
        </is>
      </c>
      <c r="K60" s="29" t="inlineStr">
        <is>
          <t>데이터 사용 가능</t>
        </is>
      </c>
      <c r="L60" s="29" t="inlineStr">
        <is>
          <t>LOW</t>
        </is>
      </c>
      <c r="M60" s="29" t="inlineStr">
        <is>
          <t>LOW</t>
        </is>
      </c>
      <c r="N60" s="29" t="inlineStr">
        <is>
          <t>0.7325252525252526</t>
        </is>
      </c>
      <c r="O60" s="29" t="inlineStr">
        <is>
          <t>ATTRACTIVE</t>
        </is>
      </c>
      <c r="P60" s="29" t="inlineStr">
        <is>
          <t>가치 매력</t>
        </is>
      </c>
      <c r="Q60" s="29" t="inlineStr">
        <is>
          <t>ATTRACTIVE</t>
        </is>
      </c>
      <c r="R60" s="29" t="inlineStr">
        <is>
          <t>0.9267130449922303</t>
        </is>
      </c>
      <c r="S60" s="29" t="inlineStr">
        <is>
          <t>HIGH</t>
        </is>
      </c>
      <c r="T60" s="29" t="inlineStr">
        <is>
          <t>HIGH</t>
        </is>
      </c>
      <c r="U60" s="29" t="inlineStr">
        <is>
          <t>0.0</t>
        </is>
      </c>
      <c r="V60" s="29" t="inlineStr">
        <is>
          <t>LOW_RISK</t>
        </is>
      </c>
      <c r="W60" s="29" t="inlineStr">
        <is>
          <t>저위험</t>
        </is>
      </c>
      <c r="X60" s="29" t="inlineStr">
        <is>
          <t>LOW_RISK</t>
        </is>
      </c>
      <c r="Y60" s="29" t="inlineStr">
        <is>
          <t>0.8920304728976969</t>
        </is>
      </c>
      <c r="Z60" s="29" t="inlineStr">
        <is>
          <t>HIGH</t>
        </is>
      </c>
      <c r="AA60" s="29" t="inlineStr">
        <is>
          <t>HIGH</t>
        </is>
      </c>
      <c r="AB60" s="29" t="inlineStr">
        <is>
          <t>0.022475117759514655</t>
        </is>
      </c>
      <c r="AC60" s="29" t="inlineStr">
        <is>
          <t>False</t>
        </is>
      </c>
      <c r="AD60" s="29" t="inlineStr">
        <is>
          <t>False</t>
        </is>
      </c>
      <c r="AE60" s="29" t="inlineStr">
        <is>
          <t>valuation_credit_ml_overlay_candidate.csv</t>
        </is>
      </c>
      <c r="AF60" s="29" t="inlineStr">
        <is>
          <t>208개 반도체 reference universe. Valuation Agent가 자체 intake 폴더로 복제해 Peer/ML/대시보드 비교에 사용.</t>
        </is>
      </c>
      <c r="AG60" s="29" t="inlineStr">
        <is>
          <t>TOP_REFERENCE</t>
        </is>
      </c>
      <c r="AH60" s="29" t="inlineStr">
        <is>
          <t>False</t>
        </is>
      </c>
    </row>
    <row r="61" ht="24" customHeight="1">
      <c r="A61" s="24" t="inlineStr">
        <is>
          <t>88</t>
        </is>
      </c>
      <c r="B61" s="24" t="inlineStr">
        <is>
          <t>해당 없음</t>
        </is>
      </c>
      <c r="C61" s="24" t="inlineStr">
        <is>
          <t>비아트론</t>
        </is>
      </c>
      <c r="D61" s="24" t="inlineStr">
        <is>
          <t>141000</t>
        </is>
      </c>
      <c r="E61" s="24" t="inlineStr">
        <is>
          <t>KOSDAQ</t>
        </is>
      </c>
      <c r="F61" s="24" t="inlineStr">
        <is>
          <t>장비</t>
        </is>
      </c>
      <c r="G61" s="24" t="inlineStr">
        <is>
          <t>장비</t>
        </is>
      </c>
      <c r="H61" s="24" t="inlineStr">
        <is>
          <t>False</t>
        </is>
      </c>
      <c r="I61" s="24" t="inlineStr">
        <is>
          <t>True</t>
        </is>
      </c>
      <c r="J61" s="24" t="inlineStr">
        <is>
          <t>OK</t>
        </is>
      </c>
      <c r="K61" s="24" t="inlineStr">
        <is>
          <t>데이터 사용 가능</t>
        </is>
      </c>
      <c r="L61" s="24" t="inlineStr">
        <is>
          <t>LOW</t>
        </is>
      </c>
      <c r="M61" s="24" t="inlineStr">
        <is>
          <t>LOW</t>
        </is>
      </c>
      <c r="N61" s="24" t="inlineStr">
        <is>
          <t>0.7105333333333335</t>
        </is>
      </c>
      <c r="O61" s="24" t="inlineStr">
        <is>
          <t>ATTRACTIVE</t>
        </is>
      </c>
      <c r="P61" s="24" t="inlineStr">
        <is>
          <t>가치 매력</t>
        </is>
      </c>
      <c r="Q61" s="24" t="inlineStr">
        <is>
          <t>ATTRACTIVE</t>
        </is>
      </c>
      <c r="R61" s="24" t="inlineStr">
        <is>
          <t>0.934708213344448</t>
        </is>
      </c>
      <c r="S61" s="24" t="inlineStr">
        <is>
          <t>HIGH</t>
        </is>
      </c>
      <c r="T61" s="24" t="inlineStr">
        <is>
          <t>HIGH</t>
        </is>
      </c>
      <c r="U61" s="24" t="inlineStr">
        <is>
          <t>0.0</t>
        </is>
      </c>
      <c r="V61" s="24" t="inlineStr">
        <is>
          <t>LOW_RISK</t>
        </is>
      </c>
      <c r="W61" s="24" t="inlineStr">
        <is>
          <t>저위험</t>
        </is>
      </c>
      <c r="X61" s="24" t="inlineStr">
        <is>
          <t>LOW_RISK</t>
        </is>
      </c>
      <c r="Y61" s="24" t="inlineStr">
        <is>
          <t>0.9411184099481913</t>
        </is>
      </c>
      <c r="Z61" s="24" t="inlineStr">
        <is>
          <t>HIGH</t>
        </is>
      </c>
      <c r="AA61" s="24" t="inlineStr">
        <is>
          <t>HIGH</t>
        </is>
      </c>
      <c r="AB61" s="24" t="inlineStr">
        <is>
          <t>0.11715633071246634</t>
        </is>
      </c>
      <c r="AC61" s="24" t="inlineStr">
        <is>
          <t>False</t>
        </is>
      </c>
      <c r="AD61" s="24" t="inlineStr">
        <is>
          <t>False</t>
        </is>
      </c>
      <c r="AE61" s="24" t="inlineStr">
        <is>
          <t>valuation_credit_ml_overlay_candidate.csv</t>
        </is>
      </c>
      <c r="AF61" s="24" t="inlineStr">
        <is>
          <t>208개 반도체 reference universe. Valuation Agent가 자체 intake 폴더로 복제해 Peer/ML/대시보드 비교에 사용.</t>
        </is>
      </c>
      <c r="AG61" s="24" t="inlineStr">
        <is>
          <t>TOP_REFERENCE</t>
        </is>
      </c>
      <c r="AH61" s="24" t="inlineStr">
        <is>
          <t>False</t>
        </is>
      </c>
    </row>
    <row r="62" ht="24" customHeight="1">
      <c r="A62" s="29" t="inlineStr">
        <is>
          <t>203</t>
        </is>
      </c>
      <c r="B62" s="29" t="inlineStr">
        <is>
          <t>해당 없음</t>
        </is>
      </c>
      <c r="C62" s="29" t="inlineStr">
        <is>
          <t>인터플렉스</t>
        </is>
      </c>
      <c r="D62" s="29" t="inlineStr">
        <is>
          <t>051370</t>
        </is>
      </c>
      <c r="E62" s="29" t="inlineStr">
        <is>
          <t>KOSDAQ</t>
        </is>
      </c>
      <c r="F62" s="29" t="inlineStr">
        <is>
          <t>부품/기판</t>
        </is>
      </c>
      <c r="G62" s="29" t="inlineStr">
        <is>
          <t>부품/기판</t>
        </is>
      </c>
      <c r="H62" s="29" t="inlineStr">
        <is>
          <t>False</t>
        </is>
      </c>
      <c r="I62" s="29" t="inlineStr">
        <is>
          <t>True</t>
        </is>
      </c>
      <c r="J62" s="29" t="inlineStr">
        <is>
          <t>OK</t>
        </is>
      </c>
      <c r="K62" s="29" t="inlineStr">
        <is>
          <t>데이터 사용 가능</t>
        </is>
      </c>
      <c r="L62" s="29" t="inlineStr">
        <is>
          <t>LOW</t>
        </is>
      </c>
      <c r="M62" s="29" t="inlineStr">
        <is>
          <t>LOW</t>
        </is>
      </c>
      <c r="N62" s="29" t="inlineStr">
        <is>
          <t>0.709047619047619</t>
        </is>
      </c>
      <c r="O62" s="29" t="inlineStr">
        <is>
          <t>FAIR</t>
        </is>
      </c>
      <c r="P62" s="29" t="inlineStr">
        <is>
          <t>FAIR</t>
        </is>
      </c>
      <c r="Q62" s="29" t="inlineStr">
        <is>
          <t>FAIR</t>
        </is>
      </c>
      <c r="R62" s="29" t="inlineStr">
        <is>
          <t>0.904555257888918</t>
        </is>
      </c>
      <c r="S62" s="29" t="inlineStr">
        <is>
          <t>HIGH</t>
        </is>
      </c>
      <c r="T62" s="29" t="inlineStr">
        <is>
          <t>HIGH</t>
        </is>
      </c>
      <c r="U62" s="29" t="inlineStr">
        <is>
          <t>0.0714285714285714</t>
        </is>
      </c>
      <c r="V62" s="29" t="inlineStr">
        <is>
          <t>LOW_RISK</t>
        </is>
      </c>
      <c r="W62" s="29" t="inlineStr">
        <is>
          <t>저위험</t>
        </is>
      </c>
      <c r="X62" s="29" t="inlineStr">
        <is>
          <t>LOW_RISK</t>
        </is>
      </c>
      <c r="Y62" s="29" t="inlineStr">
        <is>
          <t>0.8421993774288782</t>
        </is>
      </c>
      <c r="Z62" s="29" t="inlineStr">
        <is>
          <t>HIGH</t>
        </is>
      </c>
      <c r="AA62" s="29" t="inlineStr">
        <is>
          <t>HIGH</t>
        </is>
      </c>
      <c r="AB62" s="29" t="inlineStr">
        <is>
          <t>0.04875174090091772</t>
        </is>
      </c>
      <c r="AC62" s="29" t="inlineStr">
        <is>
          <t>False</t>
        </is>
      </c>
      <c r="AD62" s="29" t="inlineStr">
        <is>
          <t>False</t>
        </is>
      </c>
      <c r="AE62" s="29" t="inlineStr">
        <is>
          <t>valuation_credit_ml_overlay_candidate.csv</t>
        </is>
      </c>
      <c r="AF62" s="29" t="inlineStr">
        <is>
          <t>208개 반도체 reference universe. Valuation Agent가 자체 intake 폴더로 복제해 Peer/ML/대시보드 비교에 사용.</t>
        </is>
      </c>
      <c r="AG62" s="29" t="inlineStr">
        <is>
          <t>TOP_REFERENCE</t>
        </is>
      </c>
      <c r="AH62" s="29" t="inlineStr">
        <is>
          <t>False</t>
        </is>
      </c>
    </row>
    <row r="63" ht="24" customHeight="1"/>
    <row r="64" ht="24" customHeight="1"/>
    <row r="65" ht="24" customHeight="1">
      <c r="A65" s="22" t="inlineStr">
        <is>
          <t>208개 전체 Universe</t>
        </is>
      </c>
    </row>
    <row r="66" ht="24" customHeight="1">
      <c r="A66" s="25" t="inlineStr">
        <is>
          <t>Universe 순번</t>
        </is>
      </c>
      <c r="B66" s="25" t="inlineStr">
        <is>
          <t>기업코드</t>
        </is>
      </c>
      <c r="C66" s="25" t="inlineStr">
        <is>
          <t>기업명</t>
        </is>
      </c>
      <c r="D66" s="25" t="inlineStr">
        <is>
          <t>종목코드</t>
        </is>
      </c>
      <c r="E66" s="25" t="inlineStr">
        <is>
          <t>시장</t>
        </is>
      </c>
      <c r="F66" s="25" t="inlineStr">
        <is>
          <t>피어 그룹</t>
        </is>
      </c>
      <c r="G66" s="25" t="inlineStr">
        <is>
          <t>반도체 세부군</t>
        </is>
      </c>
      <c r="H66" s="25" t="inlineStr">
        <is>
          <t>5개 핵심기업</t>
        </is>
      </c>
      <c r="I66" s="25" t="inlineStr">
        <is>
          <t>market_data_available</t>
        </is>
      </c>
      <c r="J66" s="25" t="inlineStr">
        <is>
          <t>데이터 품질</t>
        </is>
      </c>
      <c r="K66" s="25" t="inlineStr">
        <is>
          <t>데이터 품질 해석</t>
        </is>
      </c>
      <c r="L66" s="25" t="inlineStr">
        <is>
          <t>수동검토 우선순위</t>
        </is>
      </c>
      <c r="M66" s="25" t="inlineStr">
        <is>
          <t>수동검토 우선순위 해석</t>
        </is>
      </c>
      <c r="N66" s="25" t="inlineStr">
        <is>
          <t>Valuation Proxy 점수</t>
        </is>
      </c>
      <c r="O66" s="25" t="inlineStr">
        <is>
          <t>Valuation Proxy 라벨</t>
        </is>
      </c>
      <c r="P66" s="25" t="inlineStr">
        <is>
          <t>가치 라벨</t>
        </is>
      </c>
      <c r="Q66" s="25" t="inlineStr">
        <is>
          <t>valuation_pred_label</t>
        </is>
      </c>
      <c r="R66" s="25" t="inlineStr">
        <is>
          <t>Valuation 신뢰도</t>
        </is>
      </c>
      <c r="S66" s="25" t="inlineStr">
        <is>
          <t>valuation_confidence_bucket</t>
        </is>
      </c>
      <c r="T66" s="25" t="inlineStr">
        <is>
          <t>valuation_confidence_bucket_kr</t>
        </is>
      </c>
      <c r="U66" s="25" t="inlineStr">
        <is>
          <t>Credit Risk 점수</t>
        </is>
      </c>
      <c r="V66" s="25" t="inlineStr">
        <is>
          <t>Credit Risk 라벨</t>
        </is>
      </c>
      <c r="W66" s="25" t="inlineStr">
        <is>
          <t>신용위험 라벨</t>
        </is>
      </c>
      <c r="X66" s="25" t="inlineStr">
        <is>
          <t>credit_pred_label</t>
        </is>
      </c>
      <c r="Y66" s="25" t="inlineStr">
        <is>
          <t>Credit 신뢰도</t>
        </is>
      </c>
      <c r="Z66" s="25" t="inlineStr">
        <is>
          <t>credit_confidence_bucket</t>
        </is>
      </c>
      <c r="AA66" s="25" t="inlineStr">
        <is>
          <t>credit_confidence_bucket_kr</t>
        </is>
      </c>
      <c r="AB66" s="25" t="inlineStr">
        <is>
          <t>Credit 이상치 점수</t>
        </is>
      </c>
      <c r="AC66" s="25" t="inlineStr">
        <is>
          <t>credit_anomaly_flag_top15pct</t>
        </is>
      </c>
      <c r="AD66" s="25" t="inlineStr">
        <is>
          <t>auditor_requires_human_review</t>
        </is>
      </c>
      <c r="AE66" s="25" t="inlineStr">
        <is>
          <t>출처 유형</t>
        </is>
      </c>
      <c r="AF66" s="25" t="inlineStr">
        <is>
          <t>출처 설명</t>
        </is>
      </c>
    </row>
    <row r="67" ht="24" customHeight="1">
      <c r="A67" s="24" t="inlineStr">
        <is>
          <t>10</t>
        </is>
      </c>
      <c r="B67" s="24" t="inlineStr">
        <is>
          <t>해당 없음</t>
        </is>
      </c>
      <c r="C67" s="24" t="inlineStr">
        <is>
          <t>미코</t>
        </is>
      </c>
      <c r="D67" s="24" t="inlineStr">
        <is>
          <t>059090</t>
        </is>
      </c>
      <c r="E67" s="24" t="inlineStr">
        <is>
          <t>KOSDAQ</t>
        </is>
      </c>
      <c r="F67" s="24" t="inlineStr">
        <is>
          <t>IDM/제조/메모리</t>
        </is>
      </c>
      <c r="G67" s="24" t="inlineStr">
        <is>
          <t>IDM/제조/메모리</t>
        </is>
      </c>
      <c r="H67" s="24" t="inlineStr">
        <is>
          <t>False</t>
        </is>
      </c>
      <c r="I67" s="24" t="inlineStr">
        <is>
          <t>True</t>
        </is>
      </c>
      <c r="J67" s="24" t="inlineStr">
        <is>
          <t>OK</t>
        </is>
      </c>
      <c r="K67" s="24" t="inlineStr">
        <is>
          <t>데이터 사용 가능</t>
        </is>
      </c>
      <c r="L67" s="24" t="inlineStr">
        <is>
          <t>LOW</t>
        </is>
      </c>
      <c r="M67" s="24" t="inlineStr">
        <is>
          <t>LOW</t>
        </is>
      </c>
      <c r="N67" s="24" t="inlineStr">
        <is>
          <t>0.7733333333333334</t>
        </is>
      </c>
      <c r="O67" s="24" t="inlineStr">
        <is>
          <t>FAIR</t>
        </is>
      </c>
      <c r="P67" s="24" t="inlineStr">
        <is>
          <t>FAIR</t>
        </is>
      </c>
      <c r="Q67" s="24" t="inlineStr">
        <is>
          <t>FAIR</t>
        </is>
      </c>
      <c r="R67" s="24" t="inlineStr">
        <is>
          <t>0.9066669659525092</t>
        </is>
      </c>
      <c r="S67" s="24" t="inlineStr">
        <is>
          <t>HIGH</t>
        </is>
      </c>
      <c r="T67" s="24" t="inlineStr">
        <is>
          <t>HIGH</t>
        </is>
      </c>
      <c r="U67" s="24" t="inlineStr">
        <is>
          <t>0.2142857142857142</t>
        </is>
      </c>
      <c r="V67" s="24" t="inlineStr">
        <is>
          <t>MEDIUM_RISK</t>
        </is>
      </c>
      <c r="W67" s="24" t="inlineStr">
        <is>
          <t>중위험</t>
        </is>
      </c>
      <c r="X67" s="24" t="inlineStr">
        <is>
          <t>MEDIUM_RISK</t>
        </is>
      </c>
      <c r="Y67" s="24" t="inlineStr">
        <is>
          <t>0.6769145960065608</t>
        </is>
      </c>
      <c r="Z67" s="24" t="inlineStr">
        <is>
          <t>MEDIUM</t>
        </is>
      </c>
      <c r="AA67" s="24" t="inlineStr">
        <is>
          <t>MEDIUM</t>
        </is>
      </c>
      <c r="AB67" s="24" t="inlineStr">
        <is>
          <t>0.10646038380774528</t>
        </is>
      </c>
      <c r="AC67" s="24" t="inlineStr">
        <is>
          <t>False</t>
        </is>
      </c>
      <c r="AD67" s="24" t="inlineStr">
        <is>
          <t>False</t>
        </is>
      </c>
      <c r="AE67" s="24" t="inlineStr">
        <is>
          <t>valuation_credit_ml_overlay_candidate.csv</t>
        </is>
      </c>
      <c r="AF67" s="24" t="inlineStr">
        <is>
          <t>208개 반도체 reference universe. Valuation Agent가 자체 intake 폴더로 복제해 Peer/ML/대시보드 비교에 사용.</t>
        </is>
      </c>
    </row>
    <row r="68" ht="24" customHeight="1">
      <c r="A68" s="29" t="inlineStr">
        <is>
          <t>22</t>
        </is>
      </c>
      <c r="B68" s="29" t="inlineStr">
        <is>
          <t>해당 없음</t>
        </is>
      </c>
      <c r="C68" s="29" t="inlineStr">
        <is>
          <t>엘디티</t>
        </is>
      </c>
      <c r="D68" s="29" t="inlineStr">
        <is>
          <t>096870</t>
        </is>
      </c>
      <c r="E68" s="29" t="inlineStr">
        <is>
          <t>KOSDAQ</t>
        </is>
      </c>
      <c r="F68" s="29" t="inlineStr">
        <is>
          <t>IDM/제조/메모리</t>
        </is>
      </c>
      <c r="G68" s="29" t="inlineStr">
        <is>
          <t>IDM/제조/메모리</t>
        </is>
      </c>
      <c r="H68" s="29" t="inlineStr">
        <is>
          <t>False</t>
        </is>
      </c>
      <c r="I68" s="29" t="inlineStr">
        <is>
          <t>True</t>
        </is>
      </c>
      <c r="J68" s="29" t="inlineStr">
        <is>
          <t>OK</t>
        </is>
      </c>
      <c r="K68" s="29" t="inlineStr">
        <is>
          <t>데이터 사용 가능</t>
        </is>
      </c>
      <c r="L68" s="29" t="inlineStr">
        <is>
          <t>LOW</t>
        </is>
      </c>
      <c r="M68" s="29" t="inlineStr">
        <is>
          <t>LOW</t>
        </is>
      </c>
      <c r="N68" s="29" t="inlineStr">
        <is>
          <t>0.7518333333333332</t>
        </is>
      </c>
      <c r="O68" s="29" t="inlineStr">
        <is>
          <t>ATTRACTIVE</t>
        </is>
      </c>
      <c r="P68" s="29" t="inlineStr">
        <is>
          <t>가치 매력</t>
        </is>
      </c>
      <c r="Q68" s="29" t="inlineStr">
        <is>
          <t>ATTRACTIVE</t>
        </is>
      </c>
      <c r="R68" s="29" t="inlineStr">
        <is>
          <t>0.8817908899004964</t>
        </is>
      </c>
      <c r="S68" s="29" t="inlineStr">
        <is>
          <t>HIGH</t>
        </is>
      </c>
      <c r="T68" s="29" t="inlineStr">
        <is>
          <t>HIGH</t>
        </is>
      </c>
      <c r="U68" s="29" t="inlineStr">
        <is>
          <t>0.0714285714285714</t>
        </is>
      </c>
      <c r="V68" s="29" t="inlineStr">
        <is>
          <t>LOW_RISK</t>
        </is>
      </c>
      <c r="W68" s="29" t="inlineStr">
        <is>
          <t>저위험</t>
        </is>
      </c>
      <c r="X68" s="29" t="inlineStr">
        <is>
          <t>LOW_RISK</t>
        </is>
      </c>
      <c r="Y68" s="29" t="inlineStr">
        <is>
          <t>0.8068970516192283</t>
        </is>
      </c>
      <c r="Z68" s="29" t="inlineStr">
        <is>
          <t>HIGH</t>
        </is>
      </c>
      <c r="AA68" s="29" t="inlineStr">
        <is>
          <t>HIGH</t>
        </is>
      </c>
      <c r="AB68" s="29" t="inlineStr">
        <is>
          <t>0.2312715560027526</t>
        </is>
      </c>
      <c r="AC68" s="29" t="inlineStr">
        <is>
          <t>False</t>
        </is>
      </c>
      <c r="AD68" s="29" t="inlineStr">
        <is>
          <t>False</t>
        </is>
      </c>
      <c r="AE68" s="29" t="inlineStr">
        <is>
          <t>valuation_credit_ml_overlay_candidate.csv</t>
        </is>
      </c>
      <c r="AF68" s="29" t="inlineStr">
        <is>
          <t>208개 반도체 reference universe. Valuation Agent가 자체 intake 폴더로 복제해 Peer/ML/대시보드 비교에 사용.</t>
        </is>
      </c>
    </row>
    <row r="69" ht="24" customHeight="1">
      <c r="A69" s="24" t="inlineStr">
        <is>
          <t>9</t>
        </is>
      </c>
      <c r="B69" s="24" t="inlineStr">
        <is>
          <t>해당 없음</t>
        </is>
      </c>
      <c r="C69" s="24" t="inlineStr">
        <is>
          <t>메카로</t>
        </is>
      </c>
      <c r="D69" s="24" t="inlineStr">
        <is>
          <t>241770</t>
        </is>
      </c>
      <c r="E69" s="24" t="inlineStr">
        <is>
          <t>KOSDAQ</t>
        </is>
      </c>
      <c r="F69" s="24" t="inlineStr">
        <is>
          <t>IDM/제조/메모리</t>
        </is>
      </c>
      <c r="G69" s="24" t="inlineStr">
        <is>
          <t>IDM/제조/메모리</t>
        </is>
      </c>
      <c r="H69" s="24" t="inlineStr">
        <is>
          <t>False</t>
        </is>
      </c>
      <c r="I69" s="24" t="inlineStr">
        <is>
          <t>True</t>
        </is>
      </c>
      <c r="J69" s="24" t="inlineStr">
        <is>
          <t>OK</t>
        </is>
      </c>
      <c r="K69" s="24" t="inlineStr">
        <is>
          <t>데이터 사용 가능</t>
        </is>
      </c>
      <c r="L69" s="24" t="inlineStr">
        <is>
          <t>LOW</t>
        </is>
      </c>
      <c r="M69" s="24" t="inlineStr">
        <is>
          <t>LOW</t>
        </is>
      </c>
      <c r="N69" s="24" t="inlineStr">
        <is>
          <t>0.7476666666666667</t>
        </is>
      </c>
      <c r="O69" s="24" t="inlineStr">
        <is>
          <t>ATTRACTIVE</t>
        </is>
      </c>
      <c r="P69" s="24" t="inlineStr">
        <is>
          <t>가치 매력</t>
        </is>
      </c>
      <c r="Q69" s="24" t="inlineStr">
        <is>
          <t>ATTRACTIVE</t>
        </is>
      </c>
      <c r="R69" s="24" t="inlineStr">
        <is>
          <t>0.9154158498128573</t>
        </is>
      </c>
      <c r="S69" s="24" t="inlineStr">
        <is>
          <t>HIGH</t>
        </is>
      </c>
      <c r="T69" s="24" t="inlineStr">
        <is>
          <t>HIGH</t>
        </is>
      </c>
      <c r="U69" s="24" t="inlineStr">
        <is>
          <t>0.0</t>
        </is>
      </c>
      <c r="V69" s="24" t="inlineStr">
        <is>
          <t>LOW_RISK</t>
        </is>
      </c>
      <c r="W69" s="24" t="inlineStr">
        <is>
          <t>저위험</t>
        </is>
      </c>
      <c r="X69" s="24" t="inlineStr">
        <is>
          <t>LOW_RISK</t>
        </is>
      </c>
      <c r="Y69" s="24" t="inlineStr">
        <is>
          <t>0.9196609311939408</t>
        </is>
      </c>
      <c r="Z69" s="24" t="inlineStr">
        <is>
          <t>HIGH</t>
        </is>
      </c>
      <c r="AA69" s="24" t="inlineStr">
        <is>
          <t>HIGH</t>
        </is>
      </c>
      <c r="AB69" s="24" t="inlineStr">
        <is>
          <t>0.12775877727770685</t>
        </is>
      </c>
      <c r="AC69" s="24" t="inlineStr">
        <is>
          <t>False</t>
        </is>
      </c>
      <c r="AD69" s="24" t="inlineStr">
        <is>
          <t>False</t>
        </is>
      </c>
      <c r="AE69" s="24" t="inlineStr">
        <is>
          <t>valuation_credit_ml_overlay_candidate.csv</t>
        </is>
      </c>
      <c r="AF69" s="24" t="inlineStr">
        <is>
          <t>208개 반도체 reference universe. Valuation Agent가 자체 intake 폴더로 복제해 Peer/ML/대시보드 비교에 사용.</t>
        </is>
      </c>
    </row>
    <row r="70" ht="24" customHeight="1">
      <c r="A70" s="29" t="inlineStr">
        <is>
          <t>12</t>
        </is>
      </c>
      <c r="B70" s="29" t="inlineStr">
        <is>
          <t>해당 없음</t>
        </is>
      </c>
      <c r="C70" s="29" t="inlineStr">
        <is>
          <t>삼성전자</t>
        </is>
      </c>
      <c r="D70" s="29" t="inlineStr">
        <is>
          <t>005930</t>
        </is>
      </c>
      <c r="E70" s="29" t="inlineStr">
        <is>
          <t>KOSPI</t>
        </is>
      </c>
      <c r="F70" s="29" t="inlineStr">
        <is>
          <t>IDM/제조/메모리</t>
        </is>
      </c>
      <c r="G70" s="29" t="inlineStr">
        <is>
          <t>IDM/제조/메모리</t>
        </is>
      </c>
      <c r="H70" s="29" t="inlineStr">
        <is>
          <t>False</t>
        </is>
      </c>
      <c r="I70" s="29" t="inlineStr">
        <is>
          <t>True</t>
        </is>
      </c>
      <c r="J70" s="29" t="inlineStr">
        <is>
          <t>OK</t>
        </is>
      </c>
      <c r="K70" s="29" t="inlineStr">
        <is>
          <t>데이터 사용 가능</t>
        </is>
      </c>
      <c r="L70" s="29" t="inlineStr">
        <is>
          <t>LOW</t>
        </is>
      </c>
      <c r="M70" s="29" t="inlineStr">
        <is>
          <t>LOW</t>
        </is>
      </c>
      <c r="N70" s="29" t="inlineStr">
        <is>
          <t>0.7078333333333333</t>
        </is>
      </c>
      <c r="O70" s="29" t="inlineStr">
        <is>
          <t>ATTRACTIVE</t>
        </is>
      </c>
      <c r="P70" s="29" t="inlineStr">
        <is>
          <t>가치 매력</t>
        </is>
      </c>
      <c r="Q70" s="29" t="inlineStr">
        <is>
          <t>ATTRACTIVE</t>
        </is>
      </c>
      <c r="R70" s="29" t="inlineStr">
        <is>
          <t>0.9371541027950523</t>
        </is>
      </c>
      <c r="S70" s="29" t="inlineStr">
        <is>
          <t>HIGH</t>
        </is>
      </c>
      <c r="T70" s="29" t="inlineStr">
        <is>
          <t>HIGH</t>
        </is>
      </c>
      <c r="U70" s="29" t="inlineStr">
        <is>
          <t>0.0</t>
        </is>
      </c>
      <c r="V70" s="29" t="inlineStr">
        <is>
          <t>LOW_RISK</t>
        </is>
      </c>
      <c r="W70" s="29" t="inlineStr">
        <is>
          <t>저위험</t>
        </is>
      </c>
      <c r="X70" s="29" t="inlineStr">
        <is>
          <t>LOW_RISK</t>
        </is>
      </c>
      <c r="Y70" s="29" t="inlineStr">
        <is>
          <t>0.9760796731366836</t>
        </is>
      </c>
      <c r="Z70" s="29" t="inlineStr">
        <is>
          <t>HIGH</t>
        </is>
      </c>
      <c r="AA70" s="29" t="inlineStr">
        <is>
          <t>HIGH</t>
        </is>
      </c>
      <c r="AB70" s="29" t="inlineStr">
        <is>
          <t>0.4140062883705867</t>
        </is>
      </c>
      <c r="AC70" s="29" t="inlineStr">
        <is>
          <t>True</t>
        </is>
      </c>
      <c r="AD70" s="29" t="inlineStr">
        <is>
          <t>True</t>
        </is>
      </c>
      <c r="AE70" s="29" t="inlineStr">
        <is>
          <t>valuation_credit_ml_overlay_candidate.csv</t>
        </is>
      </c>
      <c r="AF70" s="29" t="inlineStr">
        <is>
          <t>208개 반도체 reference universe. Valuation Agent가 자체 intake 폴더로 복제해 Peer/ML/대시보드 비교에 사용.</t>
        </is>
      </c>
    </row>
    <row r="71" ht="24" customHeight="1">
      <c r="A71" s="24" t="inlineStr">
        <is>
          <t>4</t>
        </is>
      </c>
      <c r="B71" s="24" t="inlineStr">
        <is>
          <t>해당 없음</t>
        </is>
      </c>
      <c r="C71" s="24" t="inlineStr">
        <is>
          <t>SK하이닉스</t>
        </is>
      </c>
      <c r="D71" s="24" t="inlineStr">
        <is>
          <t>000660</t>
        </is>
      </c>
      <c r="E71" s="24" t="inlineStr">
        <is>
          <t>KOSPI</t>
        </is>
      </c>
      <c r="F71" s="24" t="inlineStr">
        <is>
          <t>IDM/제조/메모리</t>
        </is>
      </c>
      <c r="G71" s="24" t="inlineStr">
        <is>
          <t>IDM/제조/메모리</t>
        </is>
      </c>
      <c r="H71" s="24" t="inlineStr">
        <is>
          <t>False</t>
        </is>
      </c>
      <c r="I71" s="24" t="inlineStr">
        <is>
          <t>True</t>
        </is>
      </c>
      <c r="J71" s="24" t="inlineStr">
        <is>
          <t>OK</t>
        </is>
      </c>
      <c r="K71" s="24" t="inlineStr">
        <is>
          <t>데이터 사용 가능</t>
        </is>
      </c>
      <c r="L71" s="24" t="inlineStr">
        <is>
          <t>LOW</t>
        </is>
      </c>
      <c r="M71" s="24" t="inlineStr">
        <is>
          <t>LOW</t>
        </is>
      </c>
      <c r="N71" s="24" t="inlineStr">
        <is>
          <t>0.6933333333333334</t>
        </is>
      </c>
      <c r="O71" s="24" t="inlineStr">
        <is>
          <t>ATTRACTIVE</t>
        </is>
      </c>
      <c r="P71" s="24" t="inlineStr">
        <is>
          <t>가치 매력</t>
        </is>
      </c>
      <c r="Q71" s="24" t="inlineStr">
        <is>
          <t>ATTRACTIVE</t>
        </is>
      </c>
      <c r="R71" s="24" t="inlineStr">
        <is>
          <t>0.8582250965188642</t>
        </is>
      </c>
      <c r="S71" s="24" t="inlineStr">
        <is>
          <t>HIGH</t>
        </is>
      </c>
      <c r="T71" s="24" t="inlineStr">
        <is>
          <t>HIGH</t>
        </is>
      </c>
      <c r="U71" s="24" t="inlineStr">
        <is>
          <t>0.0</t>
        </is>
      </c>
      <c r="V71" s="24" t="inlineStr">
        <is>
          <t>LOW_RISK</t>
        </is>
      </c>
      <c r="W71" s="24" t="inlineStr">
        <is>
          <t>저위험</t>
        </is>
      </c>
      <c r="X71" s="24" t="inlineStr">
        <is>
          <t>LOW_RISK</t>
        </is>
      </c>
      <c r="Y71" s="24" t="inlineStr">
        <is>
          <t>0.9246810687108324</t>
        </is>
      </c>
      <c r="Z71" s="24" t="inlineStr">
        <is>
          <t>HIGH</t>
        </is>
      </c>
      <c r="AA71" s="24" t="inlineStr">
        <is>
          <t>HIGH</t>
        </is>
      </c>
      <c r="AB71" s="24" t="inlineStr">
        <is>
          <t>0.4530741670429333</t>
        </is>
      </c>
      <c r="AC71" s="24" t="inlineStr">
        <is>
          <t>True</t>
        </is>
      </c>
      <c r="AD71" s="24" t="inlineStr">
        <is>
          <t>True</t>
        </is>
      </c>
      <c r="AE71" s="24" t="inlineStr">
        <is>
          <t>valuation_credit_ml_overlay_candidate.csv</t>
        </is>
      </c>
      <c r="AF71" s="24" t="inlineStr">
        <is>
          <t>208개 반도체 reference universe. Valuation Agent가 자체 intake 폴더로 복제해 Peer/ML/대시보드 비교에 사용.</t>
        </is>
      </c>
    </row>
    <row r="72" ht="24" customHeight="1">
      <c r="A72" s="29" t="inlineStr">
        <is>
          <t>32</t>
        </is>
      </c>
      <c r="B72" s="29" t="inlineStr">
        <is>
          <t>해당 없음</t>
        </is>
      </c>
      <c r="C72" s="29" t="inlineStr">
        <is>
          <t>케이엔제이</t>
        </is>
      </c>
      <c r="D72" s="29" t="inlineStr">
        <is>
          <t>272110</t>
        </is>
      </c>
      <c r="E72" s="29" t="inlineStr">
        <is>
          <t>KOSDAQ</t>
        </is>
      </c>
      <c r="F72" s="29" t="inlineStr">
        <is>
          <t>IDM/제조/메모리</t>
        </is>
      </c>
      <c r="G72" s="29" t="inlineStr">
        <is>
          <t>IDM/제조/메모리</t>
        </is>
      </c>
      <c r="H72" s="29" t="inlineStr">
        <is>
          <t>False</t>
        </is>
      </c>
      <c r="I72" s="29" t="inlineStr">
        <is>
          <t>True</t>
        </is>
      </c>
      <c r="J72" s="29" t="inlineStr">
        <is>
          <t>OK</t>
        </is>
      </c>
      <c r="K72" s="29" t="inlineStr">
        <is>
          <t>데이터 사용 가능</t>
        </is>
      </c>
      <c r="L72" s="29" t="inlineStr">
        <is>
          <t>LOW</t>
        </is>
      </c>
      <c r="M72" s="29" t="inlineStr">
        <is>
          <t>LOW</t>
        </is>
      </c>
      <c r="N72" s="29" t="inlineStr">
        <is>
          <t>0.69</t>
        </is>
      </c>
      <c r="O72" s="29" t="inlineStr">
        <is>
          <t>FAIR</t>
        </is>
      </c>
      <c r="P72" s="29" t="inlineStr">
        <is>
          <t>FAIR</t>
        </is>
      </c>
      <c r="Q72" s="29" t="inlineStr">
        <is>
          <t>FAIR</t>
        </is>
      </c>
      <c r="R72" s="29" t="inlineStr">
        <is>
          <t>0.8941431334693103</t>
        </is>
      </c>
      <c r="S72" s="29" t="inlineStr">
        <is>
          <t>HIGH</t>
        </is>
      </c>
      <c r="T72" s="29" t="inlineStr">
        <is>
          <t>HIGH</t>
        </is>
      </c>
      <c r="U72" s="29" t="inlineStr">
        <is>
          <t>0.3571428571428571</t>
        </is>
      </c>
      <c r="V72" s="29" t="inlineStr">
        <is>
          <t>MEDIUM_RISK</t>
        </is>
      </c>
      <c r="W72" s="29" t="inlineStr">
        <is>
          <t>중위험</t>
        </is>
      </c>
      <c r="X72" s="29" t="inlineStr">
        <is>
          <t>MEDIUM_RISK</t>
        </is>
      </c>
      <c r="Y72" s="29" t="inlineStr">
        <is>
          <t>0.6916505304322266</t>
        </is>
      </c>
      <c r="Z72" s="29" t="inlineStr">
        <is>
          <t>MEDIUM</t>
        </is>
      </c>
      <c r="AA72" s="29" t="inlineStr">
        <is>
          <t>MEDIUM</t>
        </is>
      </c>
      <c r="AB72" s="29" t="inlineStr">
        <is>
          <t>0.08026450343217886</t>
        </is>
      </c>
      <c r="AC72" s="29" t="inlineStr">
        <is>
          <t>False</t>
        </is>
      </c>
      <c r="AD72" s="29" t="inlineStr">
        <is>
          <t>False</t>
        </is>
      </c>
      <c r="AE72" s="29" t="inlineStr">
        <is>
          <t>valuation_credit_ml_overlay_candidate.csv</t>
        </is>
      </c>
      <c r="AF72" s="29" t="inlineStr">
        <is>
          <t>208개 반도체 reference universe. Valuation Agent가 자체 intake 폴더로 복제해 Peer/ML/대시보드 비교에 사용.</t>
        </is>
      </c>
    </row>
    <row r="73" ht="24" customHeight="1">
      <c r="A73" s="24" t="inlineStr">
        <is>
          <t>40</t>
        </is>
      </c>
      <c r="B73" s="24" t="inlineStr">
        <is>
          <t>해당 없음</t>
        </is>
      </c>
      <c r="C73" s="24" t="inlineStr">
        <is>
          <t>한양디지텍</t>
        </is>
      </c>
      <c r="D73" s="24" t="inlineStr">
        <is>
          <t>078350</t>
        </is>
      </c>
      <c r="E73" s="24" t="inlineStr">
        <is>
          <t>KOSDAQ</t>
        </is>
      </c>
      <c r="F73" s="24" t="inlineStr">
        <is>
          <t>IDM/제조/메모리</t>
        </is>
      </c>
      <c r="G73" s="24" t="inlineStr">
        <is>
          <t>IDM/제조/메모리</t>
        </is>
      </c>
      <c r="H73" s="24" t="inlineStr">
        <is>
          <t>False</t>
        </is>
      </c>
      <c r="I73" s="24" t="inlineStr">
        <is>
          <t>True</t>
        </is>
      </c>
      <c r="J73" s="24" t="inlineStr">
        <is>
          <t>OK</t>
        </is>
      </c>
      <c r="K73" s="24" t="inlineStr">
        <is>
          <t>데이터 사용 가능</t>
        </is>
      </c>
      <c r="L73" s="24" t="inlineStr">
        <is>
          <t>LOW</t>
        </is>
      </c>
      <c r="M73" s="24" t="inlineStr">
        <is>
          <t>LOW</t>
        </is>
      </c>
      <c r="N73" s="24" t="inlineStr">
        <is>
          <t>0.6805000000000001</t>
        </is>
      </c>
      <c r="O73" s="24" t="inlineStr">
        <is>
          <t>ATTRACTIVE</t>
        </is>
      </c>
      <c r="P73" s="24" t="inlineStr">
        <is>
          <t>가치 매력</t>
        </is>
      </c>
      <c r="Q73" s="24" t="inlineStr">
        <is>
          <t>ATTRACTIVE</t>
        </is>
      </c>
      <c r="R73" s="24" t="inlineStr">
        <is>
          <t>0.8705426081647281</t>
        </is>
      </c>
      <c r="S73" s="24" t="inlineStr">
        <is>
          <t>HIGH</t>
        </is>
      </c>
      <c r="T73" s="24" t="inlineStr">
        <is>
          <t>HIGH</t>
        </is>
      </c>
      <c r="U73" s="24" t="inlineStr">
        <is>
          <t>0.0714285714285714</t>
        </is>
      </c>
      <c r="V73" s="24" t="inlineStr">
        <is>
          <t>LOW_RISK</t>
        </is>
      </c>
      <c r="W73" s="24" t="inlineStr">
        <is>
          <t>저위험</t>
        </is>
      </c>
      <c r="X73" s="24" t="inlineStr">
        <is>
          <t>LOW_RISK</t>
        </is>
      </c>
      <c r="Y73" s="24" t="inlineStr">
        <is>
          <t>0.7978732006060483</t>
        </is>
      </c>
      <c r="Z73" s="24" t="inlineStr">
        <is>
          <t>HIGH</t>
        </is>
      </c>
      <c r="AA73" s="24" t="inlineStr">
        <is>
          <t>HIGH</t>
        </is>
      </c>
      <c r="AB73" s="24" t="inlineStr">
        <is>
          <t>0.008155150389343335</t>
        </is>
      </c>
      <c r="AC73" s="24" t="inlineStr">
        <is>
          <t>False</t>
        </is>
      </c>
      <c r="AD73" s="24" t="inlineStr">
        <is>
          <t>False</t>
        </is>
      </c>
      <c r="AE73" s="24" t="inlineStr">
        <is>
          <t>valuation_credit_ml_overlay_candidate.csv</t>
        </is>
      </c>
      <c r="AF73" s="24" t="inlineStr">
        <is>
          <t>208개 반도체 reference universe. Valuation Agent가 자체 intake 폴더로 복제해 Peer/ML/대시보드 비교에 사용.</t>
        </is>
      </c>
    </row>
    <row r="74" ht="24" customHeight="1">
      <c r="A74" s="29" t="inlineStr">
        <is>
          <t>1</t>
        </is>
      </c>
      <c r="B74" s="29" t="inlineStr">
        <is>
          <t>해당 없음</t>
        </is>
      </c>
      <c r="C74" s="29" t="inlineStr">
        <is>
          <t>DB하이텍</t>
        </is>
      </c>
      <c r="D74" s="29" t="inlineStr">
        <is>
          <t>000990</t>
        </is>
      </c>
      <c r="E74" s="29" t="inlineStr">
        <is>
          <t>KOSPI</t>
        </is>
      </c>
      <c r="F74" s="29" t="inlineStr">
        <is>
          <t>IDM/제조/메모리</t>
        </is>
      </c>
      <c r="G74" s="29" t="inlineStr">
        <is>
          <t>IDM/제조/메모리</t>
        </is>
      </c>
      <c r="H74" s="29" t="inlineStr">
        <is>
          <t>False</t>
        </is>
      </c>
      <c r="I74" s="29" t="inlineStr">
        <is>
          <t>True</t>
        </is>
      </c>
      <c r="J74" s="29" t="inlineStr">
        <is>
          <t>OK</t>
        </is>
      </c>
      <c r="K74" s="29" t="inlineStr">
        <is>
          <t>데이터 사용 가능</t>
        </is>
      </c>
      <c r="L74" s="29" t="inlineStr">
        <is>
          <t>LOW</t>
        </is>
      </c>
      <c r="M74" s="29" t="inlineStr">
        <is>
          <t>LOW</t>
        </is>
      </c>
      <c r="N74" s="29" t="inlineStr">
        <is>
          <t>0.6653333333333333</t>
        </is>
      </c>
      <c r="O74" s="29" t="inlineStr">
        <is>
          <t>ATTRACTIVE</t>
        </is>
      </c>
      <c r="P74" s="29" t="inlineStr">
        <is>
          <t>가치 매력</t>
        </is>
      </c>
      <c r="Q74" s="29" t="inlineStr">
        <is>
          <t>ATTRACTIVE</t>
        </is>
      </c>
      <c r="R74" s="29" t="inlineStr">
        <is>
          <t>0.9104444876024207</t>
        </is>
      </c>
      <c r="S74" s="29" t="inlineStr">
        <is>
          <t>HIGH</t>
        </is>
      </c>
      <c r="T74" s="29" t="inlineStr">
        <is>
          <t>HIGH</t>
        </is>
      </c>
      <c r="U74" s="29" t="inlineStr">
        <is>
          <t>0.0</t>
        </is>
      </c>
      <c r="V74" s="29" t="inlineStr">
        <is>
          <t>LOW_RISK</t>
        </is>
      </c>
      <c r="W74" s="29" t="inlineStr">
        <is>
          <t>저위험</t>
        </is>
      </c>
      <c r="X74" s="29" t="inlineStr">
        <is>
          <t>LOW_RISK</t>
        </is>
      </c>
      <c r="Y74" s="29" t="inlineStr">
        <is>
          <t>0.9880726272379208</t>
        </is>
      </c>
      <c r="Z74" s="29" t="inlineStr">
        <is>
          <t>HIGH</t>
        </is>
      </c>
      <c r="AA74" s="29" t="inlineStr">
        <is>
          <t>HIGH</t>
        </is>
      </c>
      <c r="AB74" s="29" t="inlineStr">
        <is>
          <t>0.04988685023425709</t>
        </is>
      </c>
      <c r="AC74" s="29" t="inlineStr">
        <is>
          <t>False</t>
        </is>
      </c>
      <c r="AD74" s="29" t="inlineStr">
        <is>
          <t>False</t>
        </is>
      </c>
      <c r="AE74" s="29" t="inlineStr">
        <is>
          <t>valuation_credit_ml_overlay_candidate.csv</t>
        </is>
      </c>
      <c r="AF74" s="29" t="inlineStr">
        <is>
          <t>208개 반도체 reference universe. Valuation Agent가 자체 intake 폴더로 복제해 Peer/ML/대시보드 비교에 사용.</t>
        </is>
      </c>
    </row>
    <row r="75" ht="24" customHeight="1">
      <c r="A75" s="24" t="inlineStr">
        <is>
          <t>24</t>
        </is>
      </c>
      <c r="B75" s="24" t="inlineStr">
        <is>
          <t>해당 없음</t>
        </is>
      </c>
      <c r="C75" s="24" t="inlineStr">
        <is>
          <t>오디텍</t>
        </is>
      </c>
      <c r="D75" s="24" t="inlineStr">
        <is>
          <t>080520</t>
        </is>
      </c>
      <c r="E75" s="24" t="inlineStr">
        <is>
          <t>KOSDAQ</t>
        </is>
      </c>
      <c r="F75" s="24" t="inlineStr">
        <is>
          <t>IDM/제조/메모리</t>
        </is>
      </c>
      <c r="G75" s="24" t="inlineStr">
        <is>
          <t>IDM/제조/메모리</t>
        </is>
      </c>
      <c r="H75" s="24" t="inlineStr">
        <is>
          <t>False</t>
        </is>
      </c>
      <c r="I75" s="24" t="inlineStr">
        <is>
          <t>True</t>
        </is>
      </c>
      <c r="J75" s="24" t="inlineStr">
        <is>
          <t>OK</t>
        </is>
      </c>
      <c r="K75" s="24" t="inlineStr">
        <is>
          <t>데이터 사용 가능</t>
        </is>
      </c>
      <c r="L75" s="24" t="inlineStr">
        <is>
          <t>LOW</t>
        </is>
      </c>
      <c r="M75" s="24" t="inlineStr">
        <is>
          <t>LOW</t>
        </is>
      </c>
      <c r="N75" s="24" t="inlineStr">
        <is>
          <t>0.6083333333333334</t>
        </is>
      </c>
      <c r="O75" s="24" t="inlineStr">
        <is>
          <t>FAIR</t>
        </is>
      </c>
      <c r="P75" s="24" t="inlineStr">
        <is>
          <t>FAIR</t>
        </is>
      </c>
      <c r="Q75" s="24" t="inlineStr">
        <is>
          <t>FAIR</t>
        </is>
      </c>
      <c r="R75" s="24" t="inlineStr">
        <is>
          <t>0.8328575689014174</t>
        </is>
      </c>
      <c r="S75" s="24" t="inlineStr">
        <is>
          <t>HIGH</t>
        </is>
      </c>
      <c r="T75" s="24" t="inlineStr">
        <is>
          <t>HIGH</t>
        </is>
      </c>
      <c r="U75" s="24" t="inlineStr">
        <is>
          <t>0.4285714285714285</t>
        </is>
      </c>
      <c r="V75" s="24" t="inlineStr">
        <is>
          <t>HIGH_RISK</t>
        </is>
      </c>
      <c r="W75" s="24" t="inlineStr">
        <is>
          <t>고위험</t>
        </is>
      </c>
      <c r="X75" s="24" t="inlineStr">
        <is>
          <t>HIGH_RISK</t>
        </is>
      </c>
      <c r="Y75" s="24" t="inlineStr">
        <is>
          <t>0.5607063964580236</t>
        </is>
      </c>
      <c r="Z75" s="24" t="inlineStr">
        <is>
          <t>MEDIUM</t>
        </is>
      </c>
      <c r="AA75" s="24" t="inlineStr">
        <is>
          <t>MEDIUM</t>
        </is>
      </c>
      <c r="AB75" s="24" t="inlineStr">
        <is>
          <t>0.4397907707686155</t>
        </is>
      </c>
      <c r="AC75" s="24" t="inlineStr">
        <is>
          <t>True</t>
        </is>
      </c>
      <c r="AD75" s="24" t="inlineStr">
        <is>
          <t>True</t>
        </is>
      </c>
      <c r="AE75" s="24" t="inlineStr">
        <is>
          <t>valuation_credit_ml_overlay_candidate.csv</t>
        </is>
      </c>
      <c r="AF75" s="24" t="inlineStr">
        <is>
          <t>208개 반도체 reference universe. Valuation Agent가 자체 intake 폴더로 복제해 Peer/ML/대시보드 비교에 사용.</t>
        </is>
      </c>
    </row>
    <row r="76" ht="24" customHeight="1">
      <c r="A76" s="29" t="inlineStr">
        <is>
          <t>6</t>
        </is>
      </c>
      <c r="B76" s="29" t="inlineStr">
        <is>
          <t>해당 없음</t>
        </is>
      </c>
      <c r="C76" s="29" t="inlineStr">
        <is>
          <t>그린리소스</t>
        </is>
      </c>
      <c r="D76" s="29" t="inlineStr">
        <is>
          <t>402490</t>
        </is>
      </c>
      <c r="E76" s="29" t="inlineStr">
        <is>
          <t>KOSDAQ</t>
        </is>
      </c>
      <c r="F76" s="29" t="inlineStr">
        <is>
          <t>IDM/제조/메모리</t>
        </is>
      </c>
      <c r="G76" s="29" t="inlineStr">
        <is>
          <t>IDM/제조/메모리</t>
        </is>
      </c>
      <c r="H76" s="29" t="inlineStr">
        <is>
          <t>False</t>
        </is>
      </c>
      <c r="I76" s="29" t="inlineStr">
        <is>
          <t>True</t>
        </is>
      </c>
      <c r="J76" s="29" t="inlineStr">
        <is>
          <t>OK_LIMITED_HISTORY_OR_GROWTH_NA</t>
        </is>
      </c>
      <c r="K76" s="29" t="inlineStr">
        <is>
          <t>데이터 사용 가능</t>
        </is>
      </c>
      <c r="L76" s="29" t="inlineStr">
        <is>
          <t>LOW</t>
        </is>
      </c>
      <c r="M76" s="29" t="inlineStr">
        <is>
          <t>LOW</t>
        </is>
      </c>
      <c r="N76" s="29" t="inlineStr">
        <is>
          <t>0.6021666666666667</t>
        </is>
      </c>
      <c r="O76" s="29" t="inlineStr">
        <is>
          <t>FAIR</t>
        </is>
      </c>
      <c r="P76" s="29" t="inlineStr">
        <is>
          <t>FAIR</t>
        </is>
      </c>
      <c r="Q76" s="29" t="inlineStr">
        <is>
          <t>FAIR</t>
        </is>
      </c>
      <c r="R76" s="29" t="inlineStr">
        <is>
          <t>0.7869051998623771</t>
        </is>
      </c>
      <c r="S76" s="29" t="inlineStr">
        <is>
          <t>HIGH</t>
        </is>
      </c>
      <c r="T76" s="29" t="inlineStr">
        <is>
          <t>HIGH</t>
        </is>
      </c>
      <c r="U76" s="29" t="inlineStr">
        <is>
          <t>0.4285714285714285</t>
        </is>
      </c>
      <c r="V76" s="29" t="inlineStr">
        <is>
          <t>HIGH_RISK</t>
        </is>
      </c>
      <c r="W76" s="29" t="inlineStr">
        <is>
          <t>고위험</t>
        </is>
      </c>
      <c r="X76" s="29" t="inlineStr">
        <is>
          <t>HIGH_RISK</t>
        </is>
      </c>
      <c r="Y76" s="29" t="inlineStr">
        <is>
          <t>0.5860253292011965</t>
        </is>
      </c>
      <c r="Z76" s="29" t="inlineStr">
        <is>
          <t>MEDIUM</t>
        </is>
      </c>
      <c r="AA76" s="29" t="inlineStr">
        <is>
          <t>MEDIUM</t>
        </is>
      </c>
      <c r="AB76" s="29" t="inlineStr">
        <is>
          <t>0.04512954873345755</t>
        </is>
      </c>
      <c r="AC76" s="29" t="inlineStr">
        <is>
          <t>False</t>
        </is>
      </c>
      <c r="AD76" s="29" t="inlineStr">
        <is>
          <t>True</t>
        </is>
      </c>
      <c r="AE76" s="29" t="inlineStr">
        <is>
          <t>valuation_credit_ml_overlay_candidate.csv</t>
        </is>
      </c>
      <c r="AF76" s="29" t="inlineStr">
        <is>
          <t>208개 반도체 reference universe. Valuation Agent가 자체 intake 폴더로 복제해 Peer/ML/대시보드 비교에 사용.</t>
        </is>
      </c>
    </row>
    <row r="77" ht="24" customHeight="1">
      <c r="A77" s="24" t="inlineStr">
        <is>
          <t>8</t>
        </is>
      </c>
      <c r="B77" s="24" t="inlineStr">
        <is>
          <t>해당 없음</t>
        </is>
      </c>
      <c r="C77" s="24" t="inlineStr">
        <is>
          <t>루멘스</t>
        </is>
      </c>
      <c r="D77" s="24" t="inlineStr">
        <is>
          <t>038060</t>
        </is>
      </c>
      <c r="E77" s="24" t="inlineStr">
        <is>
          <t>KOSDAQ</t>
        </is>
      </c>
      <c r="F77" s="24" t="inlineStr">
        <is>
          <t>IDM/제조/메모리</t>
        </is>
      </c>
      <c r="G77" s="24" t="inlineStr">
        <is>
          <t>IDM/제조/메모리</t>
        </is>
      </c>
      <c r="H77" s="24" t="inlineStr">
        <is>
          <t>False</t>
        </is>
      </c>
      <c r="I77" s="24" t="inlineStr">
        <is>
          <t>True</t>
        </is>
      </c>
      <c r="J77" s="24" t="inlineStr">
        <is>
          <t>OK</t>
        </is>
      </c>
      <c r="K77" s="24" t="inlineStr">
        <is>
          <t>데이터 사용 가능</t>
        </is>
      </c>
      <c r="L77" s="24" t="inlineStr">
        <is>
          <t>LOW</t>
        </is>
      </c>
      <c r="M77" s="24" t="inlineStr">
        <is>
          <t>LOW</t>
        </is>
      </c>
      <c r="N77" s="24" t="inlineStr">
        <is>
          <t>0.5970000000000001</t>
        </is>
      </c>
      <c r="O77" s="24" t="inlineStr">
        <is>
          <t>FAIR</t>
        </is>
      </c>
      <c r="P77" s="24" t="inlineStr">
        <is>
          <t>FAIR</t>
        </is>
      </c>
      <c r="Q77" s="24" t="inlineStr">
        <is>
          <t>FAIR</t>
        </is>
      </c>
      <c r="R77" s="24" t="inlineStr">
        <is>
          <t>0.8437683700786414</t>
        </is>
      </c>
      <c r="S77" s="24" t="inlineStr">
        <is>
          <t>HIGH</t>
        </is>
      </c>
      <c r="T77" s="24" t="inlineStr">
        <is>
          <t>HIGH</t>
        </is>
      </c>
      <c r="U77" s="24" t="inlineStr">
        <is>
          <t>0.3571428571428571</t>
        </is>
      </c>
      <c r="V77" s="24" t="inlineStr">
        <is>
          <t>MEDIUM_RISK</t>
        </is>
      </c>
      <c r="W77" s="24" t="inlineStr">
        <is>
          <t>중위험</t>
        </is>
      </c>
      <c r="X77" s="24" t="inlineStr">
        <is>
          <t>MEDIUM_RISK</t>
        </is>
      </c>
      <c r="Y77" s="24" t="inlineStr">
        <is>
          <t>0.7365544810444915</t>
        </is>
      </c>
      <c r="Z77" s="24" t="inlineStr">
        <is>
          <t>HIGH</t>
        </is>
      </c>
      <c r="AA77" s="24" t="inlineStr">
        <is>
          <t>HIGH</t>
        </is>
      </c>
      <c r="AB77" s="24" t="inlineStr">
        <is>
          <t>0.0791711120821534</t>
        </is>
      </c>
      <c r="AC77" s="24" t="inlineStr">
        <is>
          <t>False</t>
        </is>
      </c>
      <c r="AD77" s="24" t="inlineStr">
        <is>
          <t>False</t>
        </is>
      </c>
      <c r="AE77" s="24" t="inlineStr">
        <is>
          <t>valuation_credit_ml_overlay_candidate.csv</t>
        </is>
      </c>
      <c r="AF77" s="24" t="inlineStr">
        <is>
          <t>208개 반도체 reference universe. Valuation Agent가 자체 intake 폴더로 복제해 Peer/ML/대시보드 비교에 사용.</t>
        </is>
      </c>
    </row>
    <row r="78" ht="24" customHeight="1">
      <c r="A78" s="29" t="inlineStr">
        <is>
          <t>37</t>
        </is>
      </c>
      <c r="B78" s="29" t="inlineStr">
        <is>
          <t>해당 없음</t>
        </is>
      </c>
      <c r="C78" s="29" t="inlineStr">
        <is>
          <t>피델릭스</t>
        </is>
      </c>
      <c r="D78" s="29" t="inlineStr">
        <is>
          <t>032580</t>
        </is>
      </c>
      <c r="E78" s="29" t="inlineStr">
        <is>
          <t>KOSDAQ</t>
        </is>
      </c>
      <c r="F78" s="29" t="inlineStr">
        <is>
          <t>IDM/제조/메모리</t>
        </is>
      </c>
      <c r="G78" s="29" t="inlineStr">
        <is>
          <t>IDM/제조/메모리</t>
        </is>
      </c>
      <c r="H78" s="29" t="inlineStr">
        <is>
          <t>False</t>
        </is>
      </c>
      <c r="I78" s="29" t="inlineStr">
        <is>
          <t>True</t>
        </is>
      </c>
      <c r="J78" s="29" t="inlineStr">
        <is>
          <t>OK</t>
        </is>
      </c>
      <c r="K78" s="29" t="inlineStr">
        <is>
          <t>데이터 사용 가능</t>
        </is>
      </c>
      <c r="L78" s="29" t="inlineStr">
        <is>
          <t>LOW</t>
        </is>
      </c>
      <c r="M78" s="29" t="inlineStr">
        <is>
          <t>LOW</t>
        </is>
      </c>
      <c r="N78" s="29" t="inlineStr">
        <is>
          <t>0.5873333333333334</t>
        </is>
      </c>
      <c r="O78" s="29" t="inlineStr">
        <is>
          <t>FAIR</t>
        </is>
      </c>
      <c r="P78" s="29" t="inlineStr">
        <is>
          <t>FAIR</t>
        </is>
      </c>
      <c r="Q78" s="29" t="inlineStr">
        <is>
          <t>FAIR</t>
        </is>
      </c>
      <c r="R78" s="29" t="inlineStr">
        <is>
          <t>0.8604826019551013</t>
        </is>
      </c>
      <c r="S78" s="29" t="inlineStr">
        <is>
          <t>HIGH</t>
        </is>
      </c>
      <c r="T78" s="29" t="inlineStr">
        <is>
          <t>HIGH</t>
        </is>
      </c>
      <c r="U78" s="29" t="inlineStr">
        <is>
          <t>0.5</t>
        </is>
      </c>
      <c r="V78" s="29" t="inlineStr">
        <is>
          <t>HIGH_RISK</t>
        </is>
      </c>
      <c r="W78" s="29" t="inlineStr">
        <is>
          <t>고위험</t>
        </is>
      </c>
      <c r="X78" s="29" t="inlineStr">
        <is>
          <t>HIGH_RISK</t>
        </is>
      </c>
      <c r="Y78" s="29" t="inlineStr">
        <is>
          <t>0.9138628953549666</t>
        </is>
      </c>
      <c r="Z78" s="29" t="inlineStr">
        <is>
          <t>HIGH</t>
        </is>
      </c>
      <c r="AA78" s="29" t="inlineStr">
        <is>
          <t>HIGH</t>
        </is>
      </c>
      <c r="AB78" s="29" t="inlineStr">
        <is>
          <t>0.0765288896391056</t>
        </is>
      </c>
      <c r="AC78" s="29" t="inlineStr">
        <is>
          <t>False</t>
        </is>
      </c>
      <c r="AD78" s="29" t="inlineStr">
        <is>
          <t>False</t>
        </is>
      </c>
      <c r="AE78" s="29" t="inlineStr">
        <is>
          <t>valuation_credit_ml_overlay_candidate.csv</t>
        </is>
      </c>
      <c r="AF78" s="29" t="inlineStr">
        <is>
          <t>208개 반도체 reference universe. Valuation Agent가 자체 intake 폴더로 복제해 Peer/ML/대시보드 비교에 사용.</t>
        </is>
      </c>
    </row>
    <row r="79" ht="24" customHeight="1">
      <c r="A79" s="24" t="inlineStr">
        <is>
          <t>21</t>
        </is>
      </c>
      <c r="B79" s="24" t="inlineStr">
        <is>
          <t>해당 없음</t>
        </is>
      </c>
      <c r="C79" s="24" t="inlineStr">
        <is>
          <t>엔시트론</t>
        </is>
      </c>
      <c r="D79" s="24" t="inlineStr">
        <is>
          <t>101400</t>
        </is>
      </c>
      <c r="E79" s="24" t="inlineStr">
        <is>
          <t>KOSDAQ</t>
        </is>
      </c>
      <c r="F79" s="24" t="inlineStr">
        <is>
          <t>IDM/제조/메모리</t>
        </is>
      </c>
      <c r="G79" s="24" t="inlineStr">
        <is>
          <t>IDM/제조/메모리</t>
        </is>
      </c>
      <c r="H79" s="24" t="inlineStr">
        <is>
          <t>False</t>
        </is>
      </c>
      <c r="I79" s="24" t="inlineStr">
        <is>
          <t>True</t>
        </is>
      </c>
      <c r="J79" s="24" t="inlineStr">
        <is>
          <t>OK</t>
        </is>
      </c>
      <c r="K79" s="24" t="inlineStr">
        <is>
          <t>데이터 사용 가능</t>
        </is>
      </c>
      <c r="L79" s="24" t="inlineStr">
        <is>
          <t>LOW</t>
        </is>
      </c>
      <c r="M79" s="24" t="inlineStr">
        <is>
          <t>LOW</t>
        </is>
      </c>
      <c r="N79" s="24" t="inlineStr">
        <is>
          <t>0.5773333333333333</t>
        </is>
      </c>
      <c r="O79" s="24" t="inlineStr">
        <is>
          <t>FAIR</t>
        </is>
      </c>
      <c r="P79" s="24" t="inlineStr">
        <is>
          <t>FAIR</t>
        </is>
      </c>
      <c r="Q79" s="24" t="inlineStr">
        <is>
          <t>FAIR</t>
        </is>
      </c>
      <c r="R79" s="24" t="inlineStr">
        <is>
          <t>0.8173941540342667</t>
        </is>
      </c>
      <c r="S79" s="24" t="inlineStr">
        <is>
          <t>HIGH</t>
        </is>
      </c>
      <c r="T79" s="24" t="inlineStr">
        <is>
          <t>HIGH</t>
        </is>
      </c>
      <c r="U79" s="24" t="inlineStr">
        <is>
          <t>0.3571428571428571</t>
        </is>
      </c>
      <c r="V79" s="24" t="inlineStr">
        <is>
          <t>MEDIUM_RISK</t>
        </is>
      </c>
      <c r="W79" s="24" t="inlineStr">
        <is>
          <t>중위험</t>
        </is>
      </c>
      <c r="X79" s="24" t="inlineStr">
        <is>
          <t>MEDIUM_RISK</t>
        </is>
      </c>
      <c r="Y79" s="24" t="inlineStr">
        <is>
          <t>0.7799614337035685</t>
        </is>
      </c>
      <c r="Z79" s="24" t="inlineStr">
        <is>
          <t>HIGH</t>
        </is>
      </c>
      <c r="AA79" s="24" t="inlineStr">
        <is>
          <t>HIGH</t>
        </is>
      </c>
      <c r="AB79" s="24" t="inlineStr">
        <is>
          <t>0.08202020185637905</t>
        </is>
      </c>
      <c r="AC79" s="24" t="inlineStr">
        <is>
          <t>False</t>
        </is>
      </c>
      <c r="AD79" s="24" t="inlineStr">
        <is>
          <t>False</t>
        </is>
      </c>
      <c r="AE79" s="24" t="inlineStr">
        <is>
          <t>valuation_credit_ml_overlay_candidate.csv</t>
        </is>
      </c>
      <c r="AF79" s="24" t="inlineStr">
        <is>
          <t>208개 반도체 reference universe. Valuation Agent가 자체 intake 폴더로 복제해 Peer/ML/대시보드 비교에 사용.</t>
        </is>
      </c>
    </row>
    <row r="80" ht="24" customHeight="1">
      <c r="A80" s="29" t="inlineStr">
        <is>
          <t>13</t>
        </is>
      </c>
      <c r="B80" s="29" t="inlineStr">
        <is>
          <t>해당 없음</t>
        </is>
      </c>
      <c r="C80" s="29" t="inlineStr">
        <is>
          <t>서울바이오시스</t>
        </is>
      </c>
      <c r="D80" s="29" t="inlineStr">
        <is>
          <t>092190</t>
        </is>
      </c>
      <c r="E80" s="29" t="inlineStr">
        <is>
          <t>KOSDAQ</t>
        </is>
      </c>
      <c r="F80" s="29" t="inlineStr">
        <is>
          <t>IDM/제조/메모리</t>
        </is>
      </c>
      <c r="G80" s="29" t="inlineStr">
        <is>
          <t>IDM/제조/메모리</t>
        </is>
      </c>
      <c r="H80" s="29" t="inlineStr">
        <is>
          <t>False</t>
        </is>
      </c>
      <c r="I80" s="29" t="inlineStr">
        <is>
          <t>True</t>
        </is>
      </c>
      <c r="J80" s="29" t="inlineStr">
        <is>
          <t>OK</t>
        </is>
      </c>
      <c r="K80" s="29" t="inlineStr">
        <is>
          <t>데이터 사용 가능</t>
        </is>
      </c>
      <c r="L80" s="29" t="inlineStr">
        <is>
          <t>LOW</t>
        </is>
      </c>
      <c r="M80" s="29" t="inlineStr">
        <is>
          <t>LOW</t>
        </is>
      </c>
      <c r="N80" s="29" t="inlineStr">
        <is>
          <t>0.5655</t>
        </is>
      </c>
      <c r="O80" s="29" t="inlineStr">
        <is>
          <t>FAIR</t>
        </is>
      </c>
      <c r="P80" s="29" t="inlineStr">
        <is>
          <t>FAIR</t>
        </is>
      </c>
      <c r="Q80" s="29" t="inlineStr">
        <is>
          <t>FAIR</t>
        </is>
      </c>
      <c r="R80" s="29" t="inlineStr">
        <is>
          <t>0.7336783523450653</t>
        </is>
      </c>
      <c r="S80" s="29" t="inlineStr">
        <is>
          <t>HIGH</t>
        </is>
      </c>
      <c r="T80" s="29" t="inlineStr">
        <is>
          <t>HIGH</t>
        </is>
      </c>
      <c r="U80" s="29" t="inlineStr">
        <is>
          <t>0.4285714285714285</t>
        </is>
      </c>
      <c r="V80" s="29" t="inlineStr">
        <is>
          <t>HIGH_RISK</t>
        </is>
      </c>
      <c r="W80" s="29" t="inlineStr">
        <is>
          <t>고위험</t>
        </is>
      </c>
      <c r="X80" s="29" t="inlineStr">
        <is>
          <t>MEDIUM_RISK</t>
        </is>
      </c>
      <c r="Y80" s="29" t="inlineStr">
        <is>
          <t>0.420701328500417</t>
        </is>
      </c>
      <c r="Z80" s="29" t="inlineStr">
        <is>
          <t>LOW</t>
        </is>
      </c>
      <c r="AA80" s="29" t="inlineStr">
        <is>
          <t>LOW</t>
        </is>
      </c>
      <c r="AB80" s="29" t="inlineStr">
        <is>
          <t>0.22867438374329632</t>
        </is>
      </c>
      <c r="AC80" s="29" t="inlineStr">
        <is>
          <t>False</t>
        </is>
      </c>
      <c r="AD80" s="29" t="inlineStr">
        <is>
          <t>True</t>
        </is>
      </c>
      <c r="AE80" s="29" t="inlineStr">
        <is>
          <t>valuation_credit_ml_overlay_candidate.csv</t>
        </is>
      </c>
      <c r="AF80" s="29" t="inlineStr">
        <is>
          <t>208개 반도체 reference universe. Valuation Agent가 자체 intake 폴더로 복제해 Peer/ML/대시보드 비교에 사용.</t>
        </is>
      </c>
    </row>
    <row r="81" ht="24" customHeight="1">
      <c r="A81" s="24" t="inlineStr">
        <is>
          <t>34</t>
        </is>
      </c>
      <c r="B81" s="24" t="inlineStr">
        <is>
          <t>해당 없음</t>
        </is>
      </c>
      <c r="C81" s="24" t="inlineStr">
        <is>
          <t>큐에스아이</t>
        </is>
      </c>
      <c r="D81" s="24" t="inlineStr">
        <is>
          <t>066310</t>
        </is>
      </c>
      <c r="E81" s="24" t="inlineStr">
        <is>
          <t>KOSDAQ</t>
        </is>
      </c>
      <c r="F81" s="24" t="inlineStr">
        <is>
          <t>IDM/제조/메모리</t>
        </is>
      </c>
      <c r="G81" s="24" t="inlineStr">
        <is>
          <t>IDM/제조/메모리</t>
        </is>
      </c>
      <c r="H81" s="24" t="inlineStr">
        <is>
          <t>False</t>
        </is>
      </c>
      <c r="I81" s="24" t="inlineStr">
        <is>
          <t>True</t>
        </is>
      </c>
      <c r="J81" s="24" t="inlineStr">
        <is>
          <t>OK</t>
        </is>
      </c>
      <c r="K81" s="24" t="inlineStr">
        <is>
          <t>데이터 사용 가능</t>
        </is>
      </c>
      <c r="L81" s="24" t="inlineStr">
        <is>
          <t>LOW</t>
        </is>
      </c>
      <c r="M81" s="24" t="inlineStr">
        <is>
          <t>LOW</t>
        </is>
      </c>
      <c r="N81" s="24" t="inlineStr">
        <is>
          <t>0.5423333333333333</t>
        </is>
      </c>
      <c r="O81" s="24" t="inlineStr">
        <is>
          <t>FAIR</t>
        </is>
      </c>
      <c r="P81" s="24" t="inlineStr">
        <is>
          <t>FAIR</t>
        </is>
      </c>
      <c r="Q81" s="24" t="inlineStr">
        <is>
          <t>FAIR</t>
        </is>
      </c>
      <c r="R81" s="24" t="inlineStr">
        <is>
          <t>0.5496283015517583</t>
        </is>
      </c>
      <c r="S81" s="24" t="inlineStr">
        <is>
          <t>MEDIUM</t>
        </is>
      </c>
      <c r="T81" s="24" t="inlineStr">
        <is>
          <t>MEDIUM</t>
        </is>
      </c>
      <c r="U81" s="24" t="inlineStr">
        <is>
          <t>0.0714285714285714</t>
        </is>
      </c>
      <c r="V81" s="24" t="inlineStr">
        <is>
          <t>LOW_RISK</t>
        </is>
      </c>
      <c r="W81" s="24" t="inlineStr">
        <is>
          <t>저위험</t>
        </is>
      </c>
      <c r="X81" s="24" t="inlineStr">
        <is>
          <t>LOW_RISK</t>
        </is>
      </c>
      <c r="Y81" s="24" t="inlineStr">
        <is>
          <t>0.8341403016587674</t>
        </is>
      </c>
      <c r="Z81" s="24" t="inlineStr">
        <is>
          <t>HIGH</t>
        </is>
      </c>
      <c r="AA81" s="24" t="inlineStr">
        <is>
          <t>HIGH</t>
        </is>
      </c>
      <c r="AB81" s="24" t="inlineStr">
        <is>
          <t>0.21446147407494193</t>
        </is>
      </c>
      <c r="AC81" s="24" t="inlineStr">
        <is>
          <t>False</t>
        </is>
      </c>
      <c r="AD81" s="24" t="inlineStr">
        <is>
          <t>False</t>
        </is>
      </c>
      <c r="AE81" s="24" t="inlineStr">
        <is>
          <t>valuation_credit_ml_overlay_candidate.csv</t>
        </is>
      </c>
      <c r="AF81" s="24" t="inlineStr">
        <is>
          <t>208개 반도체 reference universe. Valuation Agent가 자체 intake 폴더로 복제해 Peer/ML/대시보드 비교에 사용.</t>
        </is>
      </c>
    </row>
    <row r="82" ht="24" customHeight="1">
      <c r="A82" s="29" t="inlineStr">
        <is>
          <t>23</t>
        </is>
      </c>
      <c r="B82" s="29" t="inlineStr">
        <is>
          <t>해당 없음</t>
        </is>
      </c>
      <c r="C82" s="29" t="inlineStr">
        <is>
          <t>엘오티베큠</t>
        </is>
      </c>
      <c r="D82" s="29" t="inlineStr">
        <is>
          <t>083310</t>
        </is>
      </c>
      <c r="E82" s="29" t="inlineStr">
        <is>
          <t>KOSDAQ</t>
        </is>
      </c>
      <c r="F82" s="29" t="inlineStr">
        <is>
          <t>IDM/제조/메모리</t>
        </is>
      </c>
      <c r="G82" s="29" t="inlineStr">
        <is>
          <t>IDM/제조/메모리</t>
        </is>
      </c>
      <c r="H82" s="29" t="inlineStr">
        <is>
          <t>False</t>
        </is>
      </c>
      <c r="I82" s="29" t="inlineStr">
        <is>
          <t>True</t>
        </is>
      </c>
      <c r="J82" s="29" t="inlineStr">
        <is>
          <t>OK</t>
        </is>
      </c>
      <c r="K82" s="29" t="inlineStr">
        <is>
          <t>데이터 사용 가능</t>
        </is>
      </c>
      <c r="L82" s="29" t="inlineStr">
        <is>
          <t>LOW</t>
        </is>
      </c>
      <c r="M82" s="29" t="inlineStr">
        <is>
          <t>LOW</t>
        </is>
      </c>
      <c r="N82" s="29" t="inlineStr">
        <is>
          <t>0.538</t>
        </is>
      </c>
      <c r="O82" s="29" t="inlineStr">
        <is>
          <t>FAIR</t>
        </is>
      </c>
      <c r="P82" s="29" t="inlineStr">
        <is>
          <t>FAIR</t>
        </is>
      </c>
      <c r="Q82" s="29" t="inlineStr">
        <is>
          <t>FAIR</t>
        </is>
      </c>
      <c r="R82" s="29" t="inlineStr">
        <is>
          <t>0.860578291373445</t>
        </is>
      </c>
      <c r="S82" s="29" t="inlineStr">
        <is>
          <t>HIGH</t>
        </is>
      </c>
      <c r="T82" s="29" t="inlineStr">
        <is>
          <t>HIGH</t>
        </is>
      </c>
      <c r="U82" s="29" t="inlineStr">
        <is>
          <t>0.2142857142857142</t>
        </is>
      </c>
      <c r="V82" s="29" t="inlineStr">
        <is>
          <t>MEDIUM_RISK</t>
        </is>
      </c>
      <c r="W82" s="29" t="inlineStr">
        <is>
          <t>중위험</t>
        </is>
      </c>
      <c r="X82" s="29" t="inlineStr">
        <is>
          <t>MEDIUM_RISK</t>
        </is>
      </c>
      <c r="Y82" s="29" t="inlineStr">
        <is>
          <t>0.8356274138697954</t>
        </is>
      </c>
      <c r="Z82" s="29" t="inlineStr">
        <is>
          <t>HIGH</t>
        </is>
      </c>
      <c r="AA82" s="29" t="inlineStr">
        <is>
          <t>HIGH</t>
        </is>
      </c>
      <c r="AB82" s="29" t="inlineStr">
        <is>
          <t>0.04088276425948358</t>
        </is>
      </c>
      <c r="AC82" s="29" t="inlineStr">
        <is>
          <t>False</t>
        </is>
      </c>
      <c r="AD82" s="29" t="inlineStr">
        <is>
          <t>False</t>
        </is>
      </c>
      <c r="AE82" s="29" t="inlineStr">
        <is>
          <t>valuation_credit_ml_overlay_candidate.csv</t>
        </is>
      </c>
      <c r="AF82" s="29" t="inlineStr">
        <is>
          <t>208개 반도체 reference universe. Valuation Agent가 자체 intake 폴더로 복제해 Peer/ML/대시보드 비교에 사용.</t>
        </is>
      </c>
    </row>
    <row r="83" ht="24" customHeight="1">
      <c r="A83" s="24" t="inlineStr">
        <is>
          <t>11</t>
        </is>
      </c>
      <c r="B83" s="24" t="inlineStr">
        <is>
          <t>해당 없음</t>
        </is>
      </c>
      <c r="C83" s="24" t="inlineStr">
        <is>
          <t>비씨엔씨</t>
        </is>
      </c>
      <c r="D83" s="24" t="inlineStr">
        <is>
          <t>146320</t>
        </is>
      </c>
      <c r="E83" s="24" t="inlineStr">
        <is>
          <t>KOSDAQ</t>
        </is>
      </c>
      <c r="F83" s="24" t="inlineStr">
        <is>
          <t>IDM/제조/메모리</t>
        </is>
      </c>
      <c r="G83" s="24" t="inlineStr">
        <is>
          <t>IDM/제조/메모리</t>
        </is>
      </c>
      <c r="H83" s="24" t="inlineStr">
        <is>
          <t>False</t>
        </is>
      </c>
      <c r="I83" s="24" t="inlineStr">
        <is>
          <t>True</t>
        </is>
      </c>
      <c r="J83" s="24" t="inlineStr">
        <is>
          <t>KEY_ACCOUNT_PARTIAL_MISSING</t>
        </is>
      </c>
      <c r="K83" s="24" t="inlineStr">
        <is>
          <t>데이터 사용 가능</t>
        </is>
      </c>
      <c r="L83" s="24" t="inlineStr">
        <is>
          <t>MEDIUM</t>
        </is>
      </c>
      <c r="M83" s="24" t="inlineStr">
        <is>
          <t>MEDIUM</t>
        </is>
      </c>
      <c r="N83" s="24" t="inlineStr">
        <is>
          <t>0.5365833333333333</t>
        </is>
      </c>
      <c r="O83" s="24" t="inlineStr">
        <is>
          <t>FAIR</t>
        </is>
      </c>
      <c r="P83" s="24" t="inlineStr">
        <is>
          <t>FAIR</t>
        </is>
      </c>
      <c r="Q83" s="24" t="inlineStr">
        <is>
          <t>FAIR</t>
        </is>
      </c>
      <c r="R83" s="24" t="inlineStr">
        <is>
          <t>0.7033805368548921</t>
        </is>
      </c>
      <c r="S83" s="24" t="inlineStr">
        <is>
          <t>HIGH</t>
        </is>
      </c>
      <c r="T83" s="24" t="inlineStr">
        <is>
          <t>HIGH</t>
        </is>
      </c>
      <c r="U83" s="24" t="inlineStr">
        <is>
          <t>0.2857142857142857</t>
        </is>
      </c>
      <c r="V83" s="24" t="inlineStr">
        <is>
          <t>MEDIUM_RISK</t>
        </is>
      </c>
      <c r="W83" s="24" t="inlineStr">
        <is>
          <t>중위험</t>
        </is>
      </c>
      <c r="X83" s="24" t="inlineStr">
        <is>
          <t>MEDIUM_RISK</t>
        </is>
      </c>
      <c r="Y83" s="24" t="inlineStr">
        <is>
          <t>0.7333342608471988</t>
        </is>
      </c>
      <c r="Z83" s="24" t="inlineStr">
        <is>
          <t>HIGH</t>
        </is>
      </c>
      <c r="AA83" s="24" t="inlineStr">
        <is>
          <t>HIGH</t>
        </is>
      </c>
      <c r="AB83" s="24" t="inlineStr">
        <is>
          <t>0.031762409510830696</t>
        </is>
      </c>
      <c r="AC83" s="24" t="inlineStr">
        <is>
          <t>False</t>
        </is>
      </c>
      <c r="AD83" s="24" t="inlineStr">
        <is>
          <t>True</t>
        </is>
      </c>
      <c r="AE83" s="24" t="inlineStr">
        <is>
          <t>valuation_credit_ml_overlay_candidate.csv</t>
        </is>
      </c>
      <c r="AF83" s="24" t="inlineStr">
        <is>
          <t>208개 반도체 reference universe. Valuation Agent가 자체 intake 폴더로 복제해 Peer/ML/대시보드 비교에 사용.</t>
        </is>
      </c>
    </row>
    <row r="84" ht="24" customHeight="1">
      <c r="A84" s="29" t="inlineStr">
        <is>
          <t>36</t>
        </is>
      </c>
      <c r="B84" s="29" t="inlineStr">
        <is>
          <t>해당 없음</t>
        </is>
      </c>
      <c r="C84" s="29" t="inlineStr">
        <is>
          <t>티엘비</t>
        </is>
      </c>
      <c r="D84" s="29" t="inlineStr">
        <is>
          <t>356860</t>
        </is>
      </c>
      <c r="E84" s="29" t="inlineStr">
        <is>
          <t>KOSDAQ</t>
        </is>
      </c>
      <c r="F84" s="29" t="inlineStr">
        <is>
          <t>IDM/제조/메모리</t>
        </is>
      </c>
      <c r="G84" s="29" t="inlineStr">
        <is>
          <t>IDM/제조/메모리</t>
        </is>
      </c>
      <c r="H84" s="29" t="inlineStr">
        <is>
          <t>False</t>
        </is>
      </c>
      <c r="I84" s="29" t="inlineStr">
        <is>
          <t>True</t>
        </is>
      </c>
      <c r="J84" s="29" t="inlineStr">
        <is>
          <t>OK</t>
        </is>
      </c>
      <c r="K84" s="29" t="inlineStr">
        <is>
          <t>데이터 사용 가능</t>
        </is>
      </c>
      <c r="L84" s="29" t="inlineStr">
        <is>
          <t>LOW</t>
        </is>
      </c>
      <c r="M84" s="29" t="inlineStr">
        <is>
          <t>LOW</t>
        </is>
      </c>
      <c r="N84" s="29" t="inlineStr">
        <is>
          <t>0.5361666666666667</t>
        </is>
      </c>
      <c r="O84" s="29" t="inlineStr">
        <is>
          <t>FAIR</t>
        </is>
      </c>
      <c r="P84" s="29" t="inlineStr">
        <is>
          <t>FAIR</t>
        </is>
      </c>
      <c r="Q84" s="29" t="inlineStr">
        <is>
          <t>FAIR</t>
        </is>
      </c>
      <c r="R84" s="29" t="inlineStr">
        <is>
          <t>0.8509295904965918</t>
        </is>
      </c>
      <c r="S84" s="29" t="inlineStr">
        <is>
          <t>HIGH</t>
        </is>
      </c>
      <c r="T84" s="29" t="inlineStr">
        <is>
          <t>HIGH</t>
        </is>
      </c>
      <c r="U84" s="29" t="inlineStr">
        <is>
          <t>0.0714285714285714</t>
        </is>
      </c>
      <c r="V84" s="29" t="inlineStr">
        <is>
          <t>LOW_RISK</t>
        </is>
      </c>
      <c r="W84" s="29" t="inlineStr">
        <is>
          <t>저위험</t>
        </is>
      </c>
      <c r="X84" s="29" t="inlineStr">
        <is>
          <t>LOW_RISK</t>
        </is>
      </c>
      <c r="Y84" s="29" t="inlineStr">
        <is>
          <t>0.6625834729097503</t>
        </is>
      </c>
      <c r="Z84" s="29" t="inlineStr">
        <is>
          <t>MEDIUM</t>
        </is>
      </c>
      <c r="AA84" s="29" t="inlineStr">
        <is>
          <t>MEDIUM</t>
        </is>
      </c>
      <c r="AB84" s="29" t="inlineStr">
        <is>
          <t>0.01843936297746685</t>
        </is>
      </c>
      <c r="AC84" s="29" t="inlineStr">
        <is>
          <t>False</t>
        </is>
      </c>
      <c r="AD84" s="29" t="inlineStr">
        <is>
          <t>False</t>
        </is>
      </c>
      <c r="AE84" s="29" t="inlineStr">
        <is>
          <t>valuation_credit_ml_overlay_candidate.csv</t>
        </is>
      </c>
      <c r="AF84" s="29" t="inlineStr">
        <is>
          <t>208개 반도체 reference universe. Valuation Agent가 자체 intake 폴더로 복제해 Peer/ML/대시보드 비교에 사용.</t>
        </is>
      </c>
    </row>
    <row r="85" ht="24" customHeight="1">
      <c r="A85" s="24" t="inlineStr">
        <is>
          <t>38</t>
        </is>
      </c>
      <c r="B85" s="24" t="inlineStr">
        <is>
          <t>해당 없음</t>
        </is>
      </c>
      <c r="C85" s="24" t="inlineStr">
        <is>
          <t>하나머티리얼즈</t>
        </is>
      </c>
      <c r="D85" s="24" t="inlineStr">
        <is>
          <t>166090</t>
        </is>
      </c>
      <c r="E85" s="24" t="inlineStr">
        <is>
          <t>KOSDAQ GLOBAL</t>
        </is>
      </c>
      <c r="F85" s="24" t="inlineStr">
        <is>
          <t>IDM/제조/메모리</t>
        </is>
      </c>
      <c r="G85" s="24" t="inlineStr">
        <is>
          <t>IDM/제조/메모리</t>
        </is>
      </c>
      <c r="H85" s="24" t="inlineStr">
        <is>
          <t>False</t>
        </is>
      </c>
      <c r="I85" s="24" t="inlineStr">
        <is>
          <t>True</t>
        </is>
      </c>
      <c r="J85" s="24" t="inlineStr">
        <is>
          <t>OK</t>
        </is>
      </c>
      <c r="K85" s="24" t="inlineStr">
        <is>
          <t>데이터 사용 가능</t>
        </is>
      </c>
      <c r="L85" s="24" t="inlineStr">
        <is>
          <t>LOW</t>
        </is>
      </c>
      <c r="M85" s="24" t="inlineStr">
        <is>
          <t>LOW</t>
        </is>
      </c>
      <c r="N85" s="24" t="inlineStr">
        <is>
          <t>0.5321666666666667</t>
        </is>
      </c>
      <c r="O85" s="24" t="inlineStr">
        <is>
          <t>FAIR</t>
        </is>
      </c>
      <c r="P85" s="24" t="inlineStr">
        <is>
          <t>FAIR</t>
        </is>
      </c>
      <c r="Q85" s="24" t="inlineStr">
        <is>
          <t>ATTRACTIVE</t>
        </is>
      </c>
      <c r="R85" s="24" t="inlineStr">
        <is>
          <t>0.6425667923365267</t>
        </is>
      </c>
      <c r="S85" s="24" t="inlineStr">
        <is>
          <t>MEDIUM</t>
        </is>
      </c>
      <c r="T85" s="24" t="inlineStr">
        <is>
          <t>MEDIUM</t>
        </is>
      </c>
      <c r="U85" s="24" t="inlineStr">
        <is>
          <t>0.0</t>
        </is>
      </c>
      <c r="V85" s="24" t="inlineStr">
        <is>
          <t>LOW_RISK</t>
        </is>
      </c>
      <c r="W85" s="24" t="inlineStr">
        <is>
          <t>저위험</t>
        </is>
      </c>
      <c r="X85" s="24" t="inlineStr">
        <is>
          <t>LOW_RISK</t>
        </is>
      </c>
      <c r="Y85" s="24" t="inlineStr">
        <is>
          <t>0.9093779024453453</t>
        </is>
      </c>
      <c r="Z85" s="24" t="inlineStr">
        <is>
          <t>HIGH</t>
        </is>
      </c>
      <c r="AA85" s="24" t="inlineStr">
        <is>
          <t>HIGH</t>
        </is>
      </c>
      <c r="AB85" s="24" t="inlineStr">
        <is>
          <t>0.030620686282363033</t>
        </is>
      </c>
      <c r="AC85" s="24" t="inlineStr">
        <is>
          <t>False</t>
        </is>
      </c>
      <c r="AD85" s="24" t="inlineStr">
        <is>
          <t>False</t>
        </is>
      </c>
      <c r="AE85" s="24" t="inlineStr">
        <is>
          <t>valuation_credit_ml_overlay_candidate.csv</t>
        </is>
      </c>
      <c r="AF85" s="24" t="inlineStr">
        <is>
          <t>208개 반도체 reference universe. Valuation Agent가 자체 intake 폴더로 복제해 Peer/ML/대시보드 비교에 사용.</t>
        </is>
      </c>
    </row>
    <row r="86" ht="24" customHeight="1">
      <c r="A86" s="29" t="inlineStr">
        <is>
          <t>26</t>
        </is>
      </c>
      <c r="B86" s="29" t="inlineStr">
        <is>
          <t>해당 없음</t>
        </is>
      </c>
      <c r="C86" s="29" t="inlineStr">
        <is>
          <t>웰킵스하이텍</t>
        </is>
      </c>
      <c r="D86" s="29" t="inlineStr">
        <is>
          <t>043590</t>
        </is>
      </c>
      <c r="E86" s="29" t="inlineStr">
        <is>
          <t>KOSDAQ</t>
        </is>
      </c>
      <c r="F86" s="29" t="inlineStr">
        <is>
          <t>IDM/제조/메모리</t>
        </is>
      </c>
      <c r="G86" s="29" t="inlineStr">
        <is>
          <t>IDM/제조/메모리</t>
        </is>
      </c>
      <c r="H86" s="29" t="inlineStr">
        <is>
          <t>False</t>
        </is>
      </c>
      <c r="I86" s="29" t="inlineStr">
        <is>
          <t>True</t>
        </is>
      </c>
      <c r="J86" s="29" t="inlineStr">
        <is>
          <t>OK</t>
        </is>
      </c>
      <c r="K86" s="29" t="inlineStr">
        <is>
          <t>데이터 사용 가능</t>
        </is>
      </c>
      <c r="L86" s="29" t="inlineStr">
        <is>
          <t>LOW</t>
        </is>
      </c>
      <c r="M86" s="29" t="inlineStr">
        <is>
          <t>LOW</t>
        </is>
      </c>
      <c r="N86" s="29" t="inlineStr">
        <is>
          <t>0.5086666666666667</t>
        </is>
      </c>
      <c r="O86" s="29" t="inlineStr">
        <is>
          <t>FAIR</t>
        </is>
      </c>
      <c r="P86" s="29" t="inlineStr">
        <is>
          <t>FAIR</t>
        </is>
      </c>
      <c r="Q86" s="29" t="inlineStr">
        <is>
          <t>FAIR</t>
        </is>
      </c>
      <c r="R86" s="29" t="inlineStr">
        <is>
          <t>0.7753200487478359</t>
        </is>
      </c>
      <c r="S86" s="29" t="inlineStr">
        <is>
          <t>HIGH</t>
        </is>
      </c>
      <c r="T86" s="29" t="inlineStr">
        <is>
          <t>HIGH</t>
        </is>
      </c>
      <c r="U86" s="29" t="inlineStr">
        <is>
          <t>0.7142857142857143</t>
        </is>
      </c>
      <c r="V86" s="29" t="inlineStr">
        <is>
          <t>HIGH_RISK</t>
        </is>
      </c>
      <c r="W86" s="29" t="inlineStr">
        <is>
          <t>고위험</t>
        </is>
      </c>
      <c r="X86" s="29" t="inlineStr">
        <is>
          <t>HIGH_RISK</t>
        </is>
      </c>
      <c r="Y86" s="29" t="inlineStr">
        <is>
          <t>0.947839296487721</t>
        </is>
      </c>
      <c r="Z86" s="29" t="inlineStr">
        <is>
          <t>HIGH</t>
        </is>
      </c>
      <c r="AA86" s="29" t="inlineStr">
        <is>
          <t>HIGH</t>
        </is>
      </c>
      <c r="AB86" s="29" t="inlineStr">
        <is>
          <t>0.081041930024575</t>
        </is>
      </c>
      <c r="AC86" s="29" t="inlineStr">
        <is>
          <t>False</t>
        </is>
      </c>
      <c r="AD86" s="29" t="inlineStr">
        <is>
          <t>False</t>
        </is>
      </c>
      <c r="AE86" s="29" t="inlineStr">
        <is>
          <t>valuation_credit_ml_overlay_candidate.csv</t>
        </is>
      </c>
      <c r="AF86" s="29" t="inlineStr">
        <is>
          <t>208개 반도체 reference universe. Valuation Agent가 자체 intake 폴더로 복제해 Peer/ML/대시보드 비교에 사용.</t>
        </is>
      </c>
    </row>
    <row r="87" ht="24" customHeight="1">
      <c r="A87" s="24" t="inlineStr">
        <is>
          <t>35</t>
        </is>
      </c>
      <c r="B87" s="24" t="inlineStr">
        <is>
          <t>해당 없음</t>
        </is>
      </c>
      <c r="C87" s="24" t="inlineStr">
        <is>
          <t>테크엘</t>
        </is>
      </c>
      <c r="D87" s="24" t="inlineStr">
        <is>
          <t>064520</t>
        </is>
      </c>
      <c r="E87" s="24" t="inlineStr">
        <is>
          <t>KOSDAQ</t>
        </is>
      </c>
      <c r="F87" s="24" t="inlineStr">
        <is>
          <t>IDM/제조/메모리</t>
        </is>
      </c>
      <c r="G87" s="24" t="inlineStr">
        <is>
          <t>IDM/제조/메모리</t>
        </is>
      </c>
      <c r="H87" s="24" t="inlineStr">
        <is>
          <t>False</t>
        </is>
      </c>
      <c r="I87" s="24" t="inlineStr">
        <is>
          <t>True</t>
        </is>
      </c>
      <c r="J87" s="24" t="inlineStr">
        <is>
          <t>OK</t>
        </is>
      </c>
      <c r="K87" s="24" t="inlineStr">
        <is>
          <t>데이터 사용 가능</t>
        </is>
      </c>
      <c r="L87" s="24" t="inlineStr">
        <is>
          <t>LOW</t>
        </is>
      </c>
      <c r="M87" s="24" t="inlineStr">
        <is>
          <t>LOW</t>
        </is>
      </c>
      <c r="N87" s="24" t="inlineStr">
        <is>
          <t>0.4756666666666667</t>
        </is>
      </c>
      <c r="O87" s="24" t="inlineStr">
        <is>
          <t>FAIR</t>
        </is>
      </c>
      <c r="P87" s="24" t="inlineStr">
        <is>
          <t>FAIR</t>
        </is>
      </c>
      <c r="Q87" s="24" t="inlineStr">
        <is>
          <t>FAIR</t>
        </is>
      </c>
      <c r="R87" s="24" t="inlineStr">
        <is>
          <t>0.7806095936743286</t>
        </is>
      </c>
      <c r="S87" s="24" t="inlineStr">
        <is>
          <t>HIGH</t>
        </is>
      </c>
      <c r="T87" s="24" t="inlineStr">
        <is>
          <t>HIGH</t>
        </is>
      </c>
      <c r="U87" s="24" t="inlineStr">
        <is>
          <t>0.5</t>
        </is>
      </c>
      <c r="V87" s="24" t="inlineStr">
        <is>
          <t>HIGH_RISK</t>
        </is>
      </c>
      <c r="W87" s="24" t="inlineStr">
        <is>
          <t>고위험</t>
        </is>
      </c>
      <c r="X87" s="24" t="inlineStr">
        <is>
          <t>HIGH_RISK</t>
        </is>
      </c>
      <c r="Y87" s="24" t="inlineStr">
        <is>
          <t>0.8561648968032103</t>
        </is>
      </c>
      <c r="Z87" s="24" t="inlineStr">
        <is>
          <t>HIGH</t>
        </is>
      </c>
      <c r="AA87" s="24" t="inlineStr">
        <is>
          <t>HIGH</t>
        </is>
      </c>
      <c r="AB87" s="24" t="inlineStr">
        <is>
          <t>0.5330742789427354</t>
        </is>
      </c>
      <c r="AC87" s="24" t="inlineStr">
        <is>
          <t>True</t>
        </is>
      </c>
      <c r="AD87" s="24" t="inlineStr">
        <is>
          <t>True</t>
        </is>
      </c>
      <c r="AE87" s="24" t="inlineStr">
        <is>
          <t>valuation_credit_ml_overlay_candidate.csv</t>
        </is>
      </c>
      <c r="AF87" s="24" t="inlineStr">
        <is>
          <t>208개 반도체 reference universe. Valuation Agent가 자체 intake 폴더로 복제해 Peer/ML/대시보드 비교에 사용.</t>
        </is>
      </c>
    </row>
    <row r="88" ht="24" customHeight="1">
      <c r="A88" s="29" t="inlineStr">
        <is>
          <t>14</t>
        </is>
      </c>
      <c r="B88" s="29" t="inlineStr">
        <is>
          <t>해당 없음</t>
        </is>
      </c>
      <c r="C88" s="29" t="inlineStr">
        <is>
          <t>서울반도체</t>
        </is>
      </c>
      <c r="D88" s="29" t="inlineStr">
        <is>
          <t>046890</t>
        </is>
      </c>
      <c r="E88" s="29" t="inlineStr">
        <is>
          <t>KOSDAQ GLOBAL</t>
        </is>
      </c>
      <c r="F88" s="29" t="inlineStr">
        <is>
          <t>IDM/제조/메모리</t>
        </is>
      </c>
      <c r="G88" s="29" t="inlineStr">
        <is>
          <t>IDM/제조/메모리</t>
        </is>
      </c>
      <c r="H88" s="29" t="inlineStr">
        <is>
          <t>False</t>
        </is>
      </c>
      <c r="I88" s="29" t="inlineStr">
        <is>
          <t>True</t>
        </is>
      </c>
      <c r="J88" s="29" t="inlineStr">
        <is>
          <t>OK</t>
        </is>
      </c>
      <c r="K88" s="29" t="inlineStr">
        <is>
          <t>데이터 사용 가능</t>
        </is>
      </c>
      <c r="L88" s="29" t="inlineStr">
        <is>
          <t>LOW</t>
        </is>
      </c>
      <c r="M88" s="29" t="inlineStr">
        <is>
          <t>LOW</t>
        </is>
      </c>
      <c r="N88" s="29" t="inlineStr">
        <is>
          <t>0.4713333333333333</t>
        </is>
      </c>
      <c r="O88" s="29" t="inlineStr">
        <is>
          <t>FAIR</t>
        </is>
      </c>
      <c r="P88" s="29" t="inlineStr">
        <is>
          <t>FAIR</t>
        </is>
      </c>
      <c r="Q88" s="29" t="inlineStr">
        <is>
          <t>FAIR</t>
        </is>
      </c>
      <c r="R88" s="29" t="inlineStr">
        <is>
          <t>0.8223266790603506</t>
        </is>
      </c>
      <c r="S88" s="29" t="inlineStr">
        <is>
          <t>HIGH</t>
        </is>
      </c>
      <c r="T88" s="29" t="inlineStr">
        <is>
          <t>HIGH</t>
        </is>
      </c>
      <c r="U88" s="29" t="inlineStr">
        <is>
          <t>0.4285714285714285</t>
        </is>
      </c>
      <c r="V88" s="29" t="inlineStr">
        <is>
          <t>HIGH_RISK</t>
        </is>
      </c>
      <c r="W88" s="29" t="inlineStr">
        <is>
          <t>고위험</t>
        </is>
      </c>
      <c r="X88" s="29" t="inlineStr">
        <is>
          <t>HIGH_RISK</t>
        </is>
      </c>
      <c r="Y88" s="29" t="inlineStr">
        <is>
          <t>0.4638497062404094</t>
        </is>
      </c>
      <c r="Z88" s="29" t="inlineStr">
        <is>
          <t>LOW</t>
        </is>
      </c>
      <c r="AA88" s="29" t="inlineStr">
        <is>
          <t>LOW</t>
        </is>
      </c>
      <c r="AB88" s="29" t="inlineStr">
        <is>
          <t>0.03475805140959721</t>
        </is>
      </c>
      <c r="AC88" s="29" t="inlineStr">
        <is>
          <t>False</t>
        </is>
      </c>
      <c r="AD88" s="29" t="inlineStr">
        <is>
          <t>True</t>
        </is>
      </c>
      <c r="AE88" s="29" t="inlineStr">
        <is>
          <t>valuation_credit_ml_overlay_candidate.csv</t>
        </is>
      </c>
      <c r="AF88" s="29" t="inlineStr">
        <is>
          <t>208개 반도체 reference universe. Valuation Agent가 자체 intake 폴더로 복제해 Peer/ML/대시보드 비교에 사용.</t>
        </is>
      </c>
    </row>
    <row r="89" ht="24" customHeight="1">
      <c r="A89" s="24" t="inlineStr">
        <is>
          <t>2</t>
        </is>
      </c>
      <c r="B89" s="24" t="inlineStr">
        <is>
          <t>해당 없음</t>
        </is>
      </c>
      <c r="C89" s="24" t="inlineStr">
        <is>
          <t>HD현대에너지솔루션</t>
        </is>
      </c>
      <c r="D89" s="24" t="inlineStr">
        <is>
          <t>322000</t>
        </is>
      </c>
      <c r="E89" s="24" t="inlineStr">
        <is>
          <t>KOSPI</t>
        </is>
      </c>
      <c r="F89" s="24" t="inlineStr">
        <is>
          <t>IDM/제조/메모리</t>
        </is>
      </c>
      <c r="G89" s="24" t="inlineStr">
        <is>
          <t>IDM/제조/메모리</t>
        </is>
      </c>
      <c r="H89" s="24" t="inlineStr">
        <is>
          <t>False</t>
        </is>
      </c>
      <c r="I89" s="24" t="inlineStr">
        <is>
          <t>True</t>
        </is>
      </c>
      <c r="J89" s="24" t="inlineStr">
        <is>
          <t>OK</t>
        </is>
      </c>
      <c r="K89" s="24" t="inlineStr">
        <is>
          <t>데이터 사용 가능</t>
        </is>
      </c>
      <c r="L89" s="24" t="inlineStr">
        <is>
          <t>LOW</t>
        </is>
      </c>
      <c r="M89" s="24" t="inlineStr">
        <is>
          <t>LOW</t>
        </is>
      </c>
      <c r="N89" s="24" t="inlineStr">
        <is>
          <t>0.465</t>
        </is>
      </c>
      <c r="O89" s="24" t="inlineStr">
        <is>
          <t>FAIR</t>
        </is>
      </c>
      <c r="P89" s="24" t="inlineStr">
        <is>
          <t>FAIR</t>
        </is>
      </c>
      <c r="Q89" s="24" t="inlineStr">
        <is>
          <t>FAIR</t>
        </is>
      </c>
      <c r="R89" s="24" t="inlineStr">
        <is>
          <t>0.6226975287022534</t>
        </is>
      </c>
      <c r="S89" s="24" t="inlineStr">
        <is>
          <t>MEDIUM</t>
        </is>
      </c>
      <c r="T89" s="24" t="inlineStr">
        <is>
          <t>MEDIUM</t>
        </is>
      </c>
      <c r="U89" s="24" t="inlineStr">
        <is>
          <t>0.1428571428571428</t>
        </is>
      </c>
      <c r="V89" s="24" t="inlineStr">
        <is>
          <t>LOW_RISK</t>
        </is>
      </c>
      <c r="W89" s="24" t="inlineStr">
        <is>
          <t>저위험</t>
        </is>
      </c>
      <c r="X89" s="24" t="inlineStr">
        <is>
          <t>LOW_RISK</t>
        </is>
      </c>
      <c r="Y89" s="24" t="inlineStr">
        <is>
          <t>0.7991918320073205</t>
        </is>
      </c>
      <c r="Z89" s="24" t="inlineStr">
        <is>
          <t>HIGH</t>
        </is>
      </c>
      <c r="AA89" s="24" t="inlineStr">
        <is>
          <t>HIGH</t>
        </is>
      </c>
      <c r="AB89" s="24" t="inlineStr">
        <is>
          <t>0.09437249653360377</t>
        </is>
      </c>
      <c r="AC89" s="24" t="inlineStr">
        <is>
          <t>False</t>
        </is>
      </c>
      <c r="AD89" s="24" t="inlineStr">
        <is>
          <t>False</t>
        </is>
      </c>
      <c r="AE89" s="24" t="inlineStr">
        <is>
          <t>valuation_credit_ml_overlay_candidate.csv</t>
        </is>
      </c>
      <c r="AF89" s="24" t="inlineStr">
        <is>
          <t>208개 반도체 reference universe. Valuation Agent가 자체 intake 폴더로 복제해 Peer/ML/대시보드 비교에 사용.</t>
        </is>
      </c>
    </row>
    <row r="90" ht="24" customHeight="1">
      <c r="A90" s="29" t="inlineStr">
        <is>
          <t>25</t>
        </is>
      </c>
      <c r="B90" s="29" t="inlineStr">
        <is>
          <t>해당 없음</t>
        </is>
      </c>
      <c r="C90" s="29" t="inlineStr">
        <is>
          <t>와이투솔루션</t>
        </is>
      </c>
      <c r="D90" s="29" t="inlineStr">
        <is>
          <t>011690</t>
        </is>
      </c>
      <c r="E90" s="29" t="inlineStr">
        <is>
          <t>KOSPI</t>
        </is>
      </c>
      <c r="F90" s="29" t="inlineStr">
        <is>
          <t>IDM/제조/메모리</t>
        </is>
      </c>
      <c r="G90" s="29" t="inlineStr">
        <is>
          <t>IDM/제조/메모리</t>
        </is>
      </c>
      <c r="H90" s="29" t="inlineStr">
        <is>
          <t>False</t>
        </is>
      </c>
      <c r="I90" s="29" t="inlineStr">
        <is>
          <t>True</t>
        </is>
      </c>
      <c r="J90" s="29" t="inlineStr">
        <is>
          <t>OK</t>
        </is>
      </c>
      <c r="K90" s="29" t="inlineStr">
        <is>
          <t>데이터 사용 가능</t>
        </is>
      </c>
      <c r="L90" s="29" t="inlineStr">
        <is>
          <t>LOW</t>
        </is>
      </c>
      <c r="M90" s="29" t="inlineStr">
        <is>
          <t>LOW</t>
        </is>
      </c>
      <c r="N90" s="29" t="inlineStr">
        <is>
          <t>0.4601666666666666</t>
        </is>
      </c>
      <c r="O90" s="29" t="inlineStr">
        <is>
          <t>FAIR</t>
        </is>
      </c>
      <c r="P90" s="29" t="inlineStr">
        <is>
          <t>FAIR</t>
        </is>
      </c>
      <c r="Q90" s="29" t="inlineStr">
        <is>
          <t>FAIR</t>
        </is>
      </c>
      <c r="R90" s="29" t="inlineStr">
        <is>
          <t>0.7379153959384467</t>
        </is>
      </c>
      <c r="S90" s="29" t="inlineStr">
        <is>
          <t>HIGH</t>
        </is>
      </c>
      <c r="T90" s="29" t="inlineStr">
        <is>
          <t>HIGH</t>
        </is>
      </c>
      <c r="U90" s="29" t="inlineStr">
        <is>
          <t>0.5714285714285714</t>
        </is>
      </c>
      <c r="V90" s="29" t="inlineStr">
        <is>
          <t>HIGH_RISK</t>
        </is>
      </c>
      <c r="W90" s="29" t="inlineStr">
        <is>
          <t>고위험</t>
        </is>
      </c>
      <c r="X90" s="29" t="inlineStr">
        <is>
          <t>HIGH_RISK</t>
        </is>
      </c>
      <c r="Y90" s="29" t="inlineStr">
        <is>
          <t>0.8423633310679534</t>
        </is>
      </c>
      <c r="Z90" s="29" t="inlineStr">
        <is>
          <t>HIGH</t>
        </is>
      </c>
      <c r="AA90" s="29" t="inlineStr">
        <is>
          <t>HIGH</t>
        </is>
      </c>
      <c r="AB90" s="29" t="inlineStr">
        <is>
          <t>0.03670855345736708</t>
        </is>
      </c>
      <c r="AC90" s="29" t="inlineStr">
        <is>
          <t>False</t>
        </is>
      </c>
      <c r="AD90" s="29" t="inlineStr">
        <is>
          <t>False</t>
        </is>
      </c>
      <c r="AE90" s="29" t="inlineStr">
        <is>
          <t>valuation_credit_ml_overlay_candidate.csv</t>
        </is>
      </c>
      <c r="AF90" s="29" t="inlineStr">
        <is>
          <t>208개 반도체 reference universe. Valuation Agent가 자체 intake 폴더로 복제해 Peer/ML/대시보드 비교에 사용.</t>
        </is>
      </c>
    </row>
    <row r="91" ht="24" customHeight="1">
      <c r="A91" s="24" t="inlineStr">
        <is>
          <t>16</t>
        </is>
      </c>
      <c r="B91" s="24" t="inlineStr">
        <is>
          <t>해당 없음</t>
        </is>
      </c>
      <c r="C91" s="24" t="inlineStr">
        <is>
          <t>신성이엔지</t>
        </is>
      </c>
      <c r="D91" s="24" t="inlineStr">
        <is>
          <t>011930</t>
        </is>
      </c>
      <c r="E91" s="24" t="inlineStr">
        <is>
          <t>KOSPI</t>
        </is>
      </c>
      <c r="F91" s="24" t="inlineStr">
        <is>
          <t>IDM/제조/메모리</t>
        </is>
      </c>
      <c r="G91" s="24" t="inlineStr">
        <is>
          <t>IDM/제조/메모리</t>
        </is>
      </c>
      <c r="H91" s="24" t="inlineStr">
        <is>
          <t>False</t>
        </is>
      </c>
      <c r="I91" s="24" t="inlineStr">
        <is>
          <t>True</t>
        </is>
      </c>
      <c r="J91" s="24" t="inlineStr">
        <is>
          <t>OK</t>
        </is>
      </c>
      <c r="K91" s="24" t="inlineStr">
        <is>
          <t>데이터 사용 가능</t>
        </is>
      </c>
      <c r="L91" s="24" t="inlineStr">
        <is>
          <t>LOW</t>
        </is>
      </c>
      <c r="M91" s="24" t="inlineStr">
        <is>
          <t>LOW</t>
        </is>
      </c>
      <c r="N91" s="24" t="inlineStr">
        <is>
          <t>0.4551666666666667</t>
        </is>
      </c>
      <c r="O91" s="24" t="inlineStr">
        <is>
          <t>FAIR</t>
        </is>
      </c>
      <c r="P91" s="24" t="inlineStr">
        <is>
          <t>FAIR</t>
        </is>
      </c>
      <c r="Q91" s="24" t="inlineStr">
        <is>
          <t>FAIR</t>
        </is>
      </c>
      <c r="R91" s="24" t="inlineStr">
        <is>
          <t>0.7610157176994289</t>
        </is>
      </c>
      <c r="S91" s="24" t="inlineStr">
        <is>
          <t>HIGH</t>
        </is>
      </c>
      <c r="T91" s="24" t="inlineStr">
        <is>
          <t>HIGH</t>
        </is>
      </c>
      <c r="U91" s="24" t="inlineStr">
        <is>
          <t>0.5714285714285714</t>
        </is>
      </c>
      <c r="V91" s="24" t="inlineStr">
        <is>
          <t>HIGH_RISK</t>
        </is>
      </c>
      <c r="W91" s="24" t="inlineStr">
        <is>
          <t>고위험</t>
        </is>
      </c>
      <c r="X91" s="24" t="inlineStr">
        <is>
          <t>HIGH_RISK</t>
        </is>
      </c>
      <c r="Y91" s="24" t="inlineStr">
        <is>
          <t>0.8294308064443926</t>
        </is>
      </c>
      <c r="Z91" s="24" t="inlineStr">
        <is>
          <t>HIGH</t>
        </is>
      </c>
      <c r="AA91" s="24" t="inlineStr">
        <is>
          <t>HIGH</t>
        </is>
      </c>
      <c r="AB91" s="24" t="inlineStr">
        <is>
          <t>0.06151448502214275</t>
        </is>
      </c>
      <c r="AC91" s="24" t="inlineStr">
        <is>
          <t>False</t>
        </is>
      </c>
      <c r="AD91" s="24" t="inlineStr">
        <is>
          <t>False</t>
        </is>
      </c>
      <c r="AE91" s="24" t="inlineStr">
        <is>
          <t>valuation_credit_ml_overlay_candidate.csv</t>
        </is>
      </c>
      <c r="AF91" s="24" t="inlineStr">
        <is>
          <t>208개 반도체 reference universe. Valuation Agent가 자체 intake 폴더로 복제해 Peer/ML/대시보드 비교에 사용.</t>
        </is>
      </c>
    </row>
    <row r="92" ht="24" customHeight="1">
      <c r="A92" s="29" t="inlineStr">
        <is>
          <t>3</t>
        </is>
      </c>
      <c r="B92" s="29" t="inlineStr">
        <is>
          <t>해당 없음</t>
        </is>
      </c>
      <c r="C92" s="29" t="inlineStr">
        <is>
          <t>KEC</t>
        </is>
      </c>
      <c r="D92" s="29" t="inlineStr">
        <is>
          <t>092220</t>
        </is>
      </c>
      <c r="E92" s="29" t="inlineStr">
        <is>
          <t>KOSPI</t>
        </is>
      </c>
      <c r="F92" s="29" t="inlineStr">
        <is>
          <t>IDM/제조/메모리</t>
        </is>
      </c>
      <c r="G92" s="29" t="inlineStr">
        <is>
          <t>IDM/제조/메모리</t>
        </is>
      </c>
      <c r="H92" s="29" t="inlineStr">
        <is>
          <t>False</t>
        </is>
      </c>
      <c r="I92" s="29" t="inlineStr">
        <is>
          <t>True</t>
        </is>
      </c>
      <c r="J92" s="29" t="inlineStr">
        <is>
          <t>OK</t>
        </is>
      </c>
      <c r="K92" s="29" t="inlineStr">
        <is>
          <t>데이터 사용 가능</t>
        </is>
      </c>
      <c r="L92" s="29" t="inlineStr">
        <is>
          <t>LOW</t>
        </is>
      </c>
      <c r="M92" s="29" t="inlineStr">
        <is>
          <t>LOW</t>
        </is>
      </c>
      <c r="N92" s="29" t="inlineStr">
        <is>
          <t>0.4550000000000001</t>
        </is>
      </c>
      <c r="O92" s="29" t="inlineStr">
        <is>
          <t>FAIR</t>
        </is>
      </c>
      <c r="P92" s="29" t="inlineStr">
        <is>
          <t>FAIR</t>
        </is>
      </c>
      <c r="Q92" s="29" t="inlineStr">
        <is>
          <t>FAIR</t>
        </is>
      </c>
      <c r="R92" s="29" t="inlineStr">
        <is>
          <t>0.7937660338126779</t>
        </is>
      </c>
      <c r="S92" s="29" t="inlineStr">
        <is>
          <t>HIGH</t>
        </is>
      </c>
      <c r="T92" s="29" t="inlineStr">
        <is>
          <t>HIGH</t>
        </is>
      </c>
      <c r="U92" s="29" t="inlineStr">
        <is>
          <t>0.5</t>
        </is>
      </c>
      <c r="V92" s="29" t="inlineStr">
        <is>
          <t>HIGH_RISK</t>
        </is>
      </c>
      <c r="W92" s="29" t="inlineStr">
        <is>
          <t>고위험</t>
        </is>
      </c>
      <c r="X92" s="29" t="inlineStr">
        <is>
          <t>HIGH_RISK</t>
        </is>
      </c>
      <c r="Y92" s="29" t="inlineStr">
        <is>
          <t>0.7303610104178266</t>
        </is>
      </c>
      <c r="Z92" s="29" t="inlineStr">
        <is>
          <t>HIGH</t>
        </is>
      </c>
      <c r="AA92" s="29" t="inlineStr">
        <is>
          <t>HIGH</t>
        </is>
      </c>
      <c r="AB92" s="29" t="inlineStr">
        <is>
          <t>0.053989845114113894</t>
        </is>
      </c>
      <c r="AC92" s="29" t="inlineStr">
        <is>
          <t>False</t>
        </is>
      </c>
      <c r="AD92" s="29" t="inlineStr">
        <is>
          <t>False</t>
        </is>
      </c>
      <c r="AE92" s="29" t="inlineStr">
        <is>
          <t>valuation_credit_ml_overlay_candidate.csv</t>
        </is>
      </c>
      <c r="AF92" s="29" t="inlineStr">
        <is>
          <t>208개 반도체 reference universe. Valuation Agent가 자체 intake 폴더로 복제해 Peer/ML/대시보드 비교에 사용.</t>
        </is>
      </c>
    </row>
    <row r="93" ht="24" customHeight="1">
      <c r="A93" s="24" t="inlineStr">
        <is>
          <t>28</t>
        </is>
      </c>
      <c r="B93" s="24" t="inlineStr">
        <is>
          <t>해당 없음</t>
        </is>
      </c>
      <c r="C93" s="24" t="inlineStr">
        <is>
          <t>일진디스플</t>
        </is>
      </c>
      <c r="D93" s="24" t="inlineStr">
        <is>
          <t>020760</t>
        </is>
      </c>
      <c r="E93" s="24" t="inlineStr">
        <is>
          <t>KOSPI</t>
        </is>
      </c>
      <c r="F93" s="24" t="inlineStr">
        <is>
          <t>IDM/제조/메모리</t>
        </is>
      </c>
      <c r="G93" s="24" t="inlineStr">
        <is>
          <t>IDM/제조/메모리</t>
        </is>
      </c>
      <c r="H93" s="24" t="inlineStr">
        <is>
          <t>False</t>
        </is>
      </c>
      <c r="I93" s="24" t="inlineStr">
        <is>
          <t>True</t>
        </is>
      </c>
      <c r="J93" s="24" t="inlineStr">
        <is>
          <t>OK</t>
        </is>
      </c>
      <c r="K93" s="24" t="inlineStr">
        <is>
          <t>데이터 사용 가능</t>
        </is>
      </c>
      <c r="L93" s="24" t="inlineStr">
        <is>
          <t>LOW</t>
        </is>
      </c>
      <c r="M93" s="24" t="inlineStr">
        <is>
          <t>LOW</t>
        </is>
      </c>
      <c r="N93" s="24" t="inlineStr">
        <is>
          <t>0.4335</t>
        </is>
      </c>
      <c r="O93" s="24" t="inlineStr">
        <is>
          <t>FAIR</t>
        </is>
      </c>
      <c r="P93" s="24" t="inlineStr">
        <is>
          <t>FAIR</t>
        </is>
      </c>
      <c r="Q93" s="24" t="inlineStr">
        <is>
          <t>FAIR</t>
        </is>
      </c>
      <c r="R93" s="24" t="inlineStr">
        <is>
          <t>0.7887205359697603</t>
        </is>
      </c>
      <c r="S93" s="24" t="inlineStr">
        <is>
          <t>HIGH</t>
        </is>
      </c>
      <c r="T93" s="24" t="inlineStr">
        <is>
          <t>HIGH</t>
        </is>
      </c>
      <c r="U93" s="24" t="inlineStr">
        <is>
          <t>0.6428571428571429</t>
        </is>
      </c>
      <c r="V93" s="24" t="inlineStr">
        <is>
          <t>HIGH_RISK</t>
        </is>
      </c>
      <c r="W93" s="24" t="inlineStr">
        <is>
          <t>고위험</t>
        </is>
      </c>
      <c r="X93" s="24" t="inlineStr">
        <is>
          <t>HIGH_RISK</t>
        </is>
      </c>
      <c r="Y93" s="24" t="inlineStr">
        <is>
          <t>0.8165793827285804</t>
        </is>
      </c>
      <c r="Z93" s="24" t="inlineStr">
        <is>
          <t>HIGH</t>
        </is>
      </c>
      <c r="AA93" s="24" t="inlineStr">
        <is>
          <t>HIGH</t>
        </is>
      </c>
      <c r="AB93" s="24" t="inlineStr">
        <is>
          <t>0.21528045597611217</t>
        </is>
      </c>
      <c r="AC93" s="24" t="inlineStr">
        <is>
          <t>False</t>
        </is>
      </c>
      <c r="AD93" s="24" t="inlineStr">
        <is>
          <t>False</t>
        </is>
      </c>
      <c r="AE93" s="24" t="inlineStr">
        <is>
          <t>valuation_credit_ml_overlay_candidate.csv</t>
        </is>
      </c>
      <c r="AF93" s="24" t="inlineStr">
        <is>
          <t>208개 반도체 reference universe. Valuation Agent가 자체 intake 폴더로 복제해 Peer/ML/대시보드 비교에 사용.</t>
        </is>
      </c>
    </row>
    <row r="94" ht="24" customHeight="1">
      <c r="A94" s="29" t="inlineStr">
        <is>
          <t>7</t>
        </is>
      </c>
      <c r="B94" s="29" t="inlineStr">
        <is>
          <t>해당 없음</t>
        </is>
      </c>
      <c r="C94" s="29" t="inlineStr">
        <is>
          <t>덕산하이메탈</t>
        </is>
      </c>
      <c r="D94" s="29" t="inlineStr">
        <is>
          <t>077360</t>
        </is>
      </c>
      <c r="E94" s="29" t="inlineStr">
        <is>
          <t>KOSDAQ</t>
        </is>
      </c>
      <c r="F94" s="29" t="inlineStr">
        <is>
          <t>IDM/제조/메모리</t>
        </is>
      </c>
      <c r="G94" s="29" t="inlineStr">
        <is>
          <t>IDM/제조/메모리</t>
        </is>
      </c>
      <c r="H94" s="29" t="inlineStr">
        <is>
          <t>False</t>
        </is>
      </c>
      <c r="I94" s="29" t="inlineStr">
        <is>
          <t>True</t>
        </is>
      </c>
      <c r="J94" s="29" t="inlineStr">
        <is>
          <t>OK</t>
        </is>
      </c>
      <c r="K94" s="29" t="inlineStr">
        <is>
          <t>데이터 사용 가능</t>
        </is>
      </c>
      <c r="L94" s="29" t="inlineStr">
        <is>
          <t>LOW</t>
        </is>
      </c>
      <c r="M94" s="29" t="inlineStr">
        <is>
          <t>LOW</t>
        </is>
      </c>
      <c r="N94" s="29" t="inlineStr">
        <is>
          <t>0.4333333333333333</t>
        </is>
      </c>
      <c r="O94" s="29" t="inlineStr">
        <is>
          <t>FAIR</t>
        </is>
      </c>
      <c r="P94" s="29" t="inlineStr">
        <is>
          <t>FAIR</t>
        </is>
      </c>
      <c r="Q94" s="29" t="inlineStr">
        <is>
          <t>FAIR</t>
        </is>
      </c>
      <c r="R94" s="29" t="inlineStr">
        <is>
          <t>0.6698541971057747</t>
        </is>
      </c>
      <c r="S94" s="29" t="inlineStr">
        <is>
          <t>MEDIUM</t>
        </is>
      </c>
      <c r="T94" s="29" t="inlineStr">
        <is>
          <t>MEDIUM</t>
        </is>
      </c>
      <c r="U94" s="29" t="inlineStr">
        <is>
          <t>0.2857142857142857</t>
        </is>
      </c>
      <c r="V94" s="29" t="inlineStr">
        <is>
          <t>MEDIUM_RISK</t>
        </is>
      </c>
      <c r="W94" s="29" t="inlineStr">
        <is>
          <t>중위험</t>
        </is>
      </c>
      <c r="X94" s="29" t="inlineStr">
        <is>
          <t>MEDIUM_RISK</t>
        </is>
      </c>
      <c r="Y94" s="29" t="inlineStr">
        <is>
          <t>0.6576042698954024</t>
        </is>
      </c>
      <c r="Z94" s="29" t="inlineStr">
        <is>
          <t>MEDIUM</t>
        </is>
      </c>
      <c r="AA94" s="29" t="inlineStr">
        <is>
          <t>MEDIUM</t>
        </is>
      </c>
      <c r="AB94" s="29" t="inlineStr">
        <is>
          <t>0.07260471392088348</t>
        </is>
      </c>
      <c r="AC94" s="29" t="inlineStr">
        <is>
          <t>False</t>
        </is>
      </c>
      <c r="AD94" s="29" t="inlineStr">
        <is>
          <t>False</t>
        </is>
      </c>
      <c r="AE94" s="29" t="inlineStr">
        <is>
          <t>valuation_credit_ml_overlay_candidate.csv</t>
        </is>
      </c>
      <c r="AF94" s="29" t="inlineStr">
        <is>
          <t>208개 반도체 reference universe. Valuation Agent가 자체 intake 폴더로 복제해 Peer/ML/대시보드 비교에 사용.</t>
        </is>
      </c>
    </row>
    <row r="95" ht="24" customHeight="1">
      <c r="A95" s="24" t="inlineStr">
        <is>
          <t>20</t>
        </is>
      </c>
      <c r="B95" s="24" t="inlineStr">
        <is>
          <t>해당 없음</t>
        </is>
      </c>
      <c r="C95" s="24" t="inlineStr">
        <is>
          <t>에이디테크놀로지</t>
        </is>
      </c>
      <c r="D95" s="24" t="inlineStr">
        <is>
          <t>200710</t>
        </is>
      </c>
      <c r="E95" s="24" t="inlineStr">
        <is>
          <t>KOSDAQ</t>
        </is>
      </c>
      <c r="F95" s="24" t="inlineStr">
        <is>
          <t>IDM/제조/메모리</t>
        </is>
      </c>
      <c r="G95" s="24" t="inlineStr">
        <is>
          <t>IDM/제조/메모리</t>
        </is>
      </c>
      <c r="H95" s="24" t="inlineStr">
        <is>
          <t>False</t>
        </is>
      </c>
      <c r="I95" s="24" t="inlineStr">
        <is>
          <t>True</t>
        </is>
      </c>
      <c r="J95" s="24" t="inlineStr">
        <is>
          <t>OK</t>
        </is>
      </c>
      <c r="K95" s="24" t="inlineStr">
        <is>
          <t>데이터 사용 가능</t>
        </is>
      </c>
      <c r="L95" s="24" t="inlineStr">
        <is>
          <t>LOW</t>
        </is>
      </c>
      <c r="M95" s="24" t="inlineStr">
        <is>
          <t>LOW</t>
        </is>
      </c>
      <c r="N95" s="24" t="inlineStr">
        <is>
          <t>0.4271666666666666</t>
        </is>
      </c>
      <c r="O95" s="24" t="inlineStr">
        <is>
          <t>FAIR</t>
        </is>
      </c>
      <c r="P95" s="24" t="inlineStr">
        <is>
          <t>FAIR</t>
        </is>
      </c>
      <c r="Q95" s="24" t="inlineStr">
        <is>
          <t>FAIR</t>
        </is>
      </c>
      <c r="R95" s="24" t="inlineStr">
        <is>
          <t>0.6637416757093363</t>
        </is>
      </c>
      <c r="S95" s="24" t="inlineStr">
        <is>
          <t>MEDIUM</t>
        </is>
      </c>
      <c r="T95" s="24" t="inlineStr">
        <is>
          <t>MEDIUM</t>
        </is>
      </c>
      <c r="U95" s="24" t="inlineStr">
        <is>
          <t>0.2857142857142857</t>
        </is>
      </c>
      <c r="V95" s="24" t="inlineStr">
        <is>
          <t>MEDIUM_RISK</t>
        </is>
      </c>
      <c r="W95" s="24" t="inlineStr">
        <is>
          <t>중위험</t>
        </is>
      </c>
      <c r="X95" s="24" t="inlineStr">
        <is>
          <t>MEDIUM_RISK</t>
        </is>
      </c>
      <c r="Y95" s="24" t="inlineStr">
        <is>
          <t>0.4528354914042248</t>
        </is>
      </c>
      <c r="Z95" s="24" t="inlineStr">
        <is>
          <t>LOW</t>
        </is>
      </c>
      <c r="AA95" s="24" t="inlineStr">
        <is>
          <t>LOW</t>
        </is>
      </c>
      <c r="AB95" s="24" t="inlineStr">
        <is>
          <t>0.0588627097981607</t>
        </is>
      </c>
      <c r="AC95" s="24" t="inlineStr">
        <is>
          <t>False</t>
        </is>
      </c>
      <c r="AD95" s="24" t="inlineStr">
        <is>
          <t>True</t>
        </is>
      </c>
      <c r="AE95" s="24" t="inlineStr">
        <is>
          <t>valuation_credit_ml_overlay_candidate.csv</t>
        </is>
      </c>
      <c r="AF95" s="24" t="inlineStr">
        <is>
          <t>208개 반도체 reference universe. Valuation Agent가 자체 intake 폴더로 복제해 Peer/ML/대시보드 비교에 사용.</t>
        </is>
      </c>
    </row>
    <row r="96" ht="24" customHeight="1">
      <c r="A96" s="29" t="inlineStr">
        <is>
          <t>5</t>
        </is>
      </c>
      <c r="B96" s="29" t="inlineStr">
        <is>
          <t>해당 없음</t>
        </is>
      </c>
      <c r="C96" s="29" t="inlineStr">
        <is>
          <t>광전자</t>
        </is>
      </c>
      <c r="D96" s="29" t="inlineStr">
        <is>
          <t>017900</t>
        </is>
      </c>
      <c r="E96" s="29" t="inlineStr">
        <is>
          <t>KOSPI</t>
        </is>
      </c>
      <c r="F96" s="29" t="inlineStr">
        <is>
          <t>IDM/제조/메모리</t>
        </is>
      </c>
      <c r="G96" s="29" t="inlineStr">
        <is>
          <t>IDM/제조/메모리</t>
        </is>
      </c>
      <c r="H96" s="29" t="inlineStr">
        <is>
          <t>False</t>
        </is>
      </c>
      <c r="I96" s="29" t="inlineStr">
        <is>
          <t>True</t>
        </is>
      </c>
      <c r="J96" s="29" t="inlineStr">
        <is>
          <t>OK</t>
        </is>
      </c>
      <c r="K96" s="29" t="inlineStr">
        <is>
          <t>데이터 사용 가능</t>
        </is>
      </c>
      <c r="L96" s="29" t="inlineStr">
        <is>
          <t>LOW</t>
        </is>
      </c>
      <c r="M96" s="29" t="inlineStr">
        <is>
          <t>LOW</t>
        </is>
      </c>
      <c r="N96" s="29" t="inlineStr">
        <is>
          <t>0.4184166666666666</t>
        </is>
      </c>
      <c r="O96" s="29" t="inlineStr">
        <is>
          <t>EXPENSIVE</t>
        </is>
      </c>
      <c r="P96" s="29" t="inlineStr">
        <is>
          <t>EXPENSIVE</t>
        </is>
      </c>
      <c r="Q96" s="29" t="inlineStr">
        <is>
          <t>EXPENSIVE</t>
        </is>
      </c>
      <c r="R96" s="29" t="inlineStr">
        <is>
          <t>0.6817751829328556</t>
        </is>
      </c>
      <c r="S96" s="29" t="inlineStr">
        <is>
          <t>MEDIUM</t>
        </is>
      </c>
      <c r="T96" s="29" t="inlineStr">
        <is>
          <t>MEDIUM</t>
        </is>
      </c>
      <c r="U96" s="29" t="inlineStr">
        <is>
          <t>0.2142857142857142</t>
        </is>
      </c>
      <c r="V96" s="29" t="inlineStr">
        <is>
          <t>MEDIUM_RISK</t>
        </is>
      </c>
      <c r="W96" s="29" t="inlineStr">
        <is>
          <t>중위험</t>
        </is>
      </c>
      <c r="X96" s="29" t="inlineStr">
        <is>
          <t>LOW_RISK</t>
        </is>
      </c>
      <c r="Y96" s="29" t="inlineStr">
        <is>
          <t>0.4656539331033742</t>
        </is>
      </c>
      <c r="Z96" s="29" t="inlineStr">
        <is>
          <t>LOW</t>
        </is>
      </c>
      <c r="AA96" s="29" t="inlineStr">
        <is>
          <t>LOW</t>
        </is>
      </c>
      <c r="AB96" s="29" t="inlineStr">
        <is>
          <t>0.24789843408919227</t>
        </is>
      </c>
      <c r="AC96" s="29" t="inlineStr">
        <is>
          <t>True</t>
        </is>
      </c>
      <c r="AD96" s="29" t="inlineStr">
        <is>
          <t>True</t>
        </is>
      </c>
      <c r="AE96" s="29" t="inlineStr">
        <is>
          <t>valuation_credit_ml_overlay_candidate.csv</t>
        </is>
      </c>
      <c r="AF96" s="29" t="inlineStr">
        <is>
          <t>208개 반도체 reference universe. Valuation Agent가 자체 intake 폴더로 복제해 Peer/ML/대시보드 비교에 사용.</t>
        </is>
      </c>
    </row>
    <row r="97" ht="24" customHeight="1">
      <c r="A97" s="24" t="inlineStr">
        <is>
          <t>19</t>
        </is>
      </c>
      <c r="B97" s="24" t="inlineStr">
        <is>
          <t>해당 없음</t>
        </is>
      </c>
      <c r="C97" s="24" t="inlineStr">
        <is>
          <t>아진엑스텍</t>
        </is>
      </c>
      <c r="D97" s="24" t="inlineStr">
        <is>
          <t>059120</t>
        </is>
      </c>
      <c r="E97" s="24" t="inlineStr">
        <is>
          <t>KOSDAQ</t>
        </is>
      </c>
      <c r="F97" s="24" t="inlineStr">
        <is>
          <t>IDM/제조/메모리</t>
        </is>
      </c>
      <c r="G97" s="24" t="inlineStr">
        <is>
          <t>IDM/제조/메모리</t>
        </is>
      </c>
      <c r="H97" s="24" t="inlineStr">
        <is>
          <t>False</t>
        </is>
      </c>
      <c r="I97" s="24" t="inlineStr">
        <is>
          <t>True</t>
        </is>
      </c>
      <c r="J97" s="24" t="inlineStr">
        <is>
          <t>OK</t>
        </is>
      </c>
      <c r="K97" s="24" t="inlineStr">
        <is>
          <t>데이터 사용 가능</t>
        </is>
      </c>
      <c r="L97" s="24" t="inlineStr">
        <is>
          <t>LOW</t>
        </is>
      </c>
      <c r="M97" s="24" t="inlineStr">
        <is>
          <t>LOW</t>
        </is>
      </c>
      <c r="N97" s="24" t="inlineStr">
        <is>
          <t>0.4128333333333333</t>
        </is>
      </c>
      <c r="O97" s="24" t="inlineStr">
        <is>
          <t>EXPENSIVE</t>
        </is>
      </c>
      <c r="P97" s="24" t="inlineStr">
        <is>
          <t>EXPENSIVE</t>
        </is>
      </c>
      <c r="Q97" s="24" t="inlineStr">
        <is>
          <t>EXPENSIVE</t>
        </is>
      </c>
      <c r="R97" s="24" t="inlineStr">
        <is>
          <t>0.6635799672057409</t>
        </is>
      </c>
      <c r="S97" s="24" t="inlineStr">
        <is>
          <t>MEDIUM</t>
        </is>
      </c>
      <c r="T97" s="24" t="inlineStr">
        <is>
          <t>MEDIUM</t>
        </is>
      </c>
      <c r="U97" s="24" t="inlineStr">
        <is>
          <t>0.0714285714285714</t>
        </is>
      </c>
      <c r="V97" s="24" t="inlineStr">
        <is>
          <t>LOW_RISK</t>
        </is>
      </c>
      <c r="W97" s="24" t="inlineStr">
        <is>
          <t>저위험</t>
        </is>
      </c>
      <c r="X97" s="24" t="inlineStr">
        <is>
          <t>LOW_RISK</t>
        </is>
      </c>
      <c r="Y97" s="24" t="inlineStr">
        <is>
          <t>0.8000764213249202</t>
        </is>
      </c>
      <c r="Z97" s="24" t="inlineStr">
        <is>
          <t>HIGH</t>
        </is>
      </c>
      <c r="AA97" s="24" t="inlineStr">
        <is>
          <t>HIGH</t>
        </is>
      </c>
      <c r="AB97" s="24" t="inlineStr">
        <is>
          <t>0.21158533556078782</t>
        </is>
      </c>
      <c r="AC97" s="24" t="inlineStr">
        <is>
          <t>False</t>
        </is>
      </c>
      <c r="AD97" s="24" t="inlineStr">
        <is>
          <t>False</t>
        </is>
      </c>
      <c r="AE97" s="24" t="inlineStr">
        <is>
          <t>valuation_credit_ml_overlay_candidate.csv</t>
        </is>
      </c>
      <c r="AF97" s="24" t="inlineStr">
        <is>
          <t>208개 반도체 reference universe. Valuation Agent가 자체 intake 폴더로 복제해 Peer/ML/대시보드 비교에 사용.</t>
        </is>
      </c>
    </row>
    <row r="98" ht="24" customHeight="1">
      <c r="A98" s="29" t="inlineStr">
        <is>
          <t>33</t>
        </is>
      </c>
      <c r="B98" s="29" t="inlineStr">
        <is>
          <t>해당 없음</t>
        </is>
      </c>
      <c r="C98" s="29" t="inlineStr">
        <is>
          <t>코스텍시스</t>
        </is>
      </c>
      <c r="D98" s="29" t="inlineStr">
        <is>
          <t>355150</t>
        </is>
      </c>
      <c r="E98" s="29" t="inlineStr">
        <is>
          <t>KOSDAQ</t>
        </is>
      </c>
      <c r="F98" s="29" t="inlineStr">
        <is>
          <t>IDM/제조/메모리</t>
        </is>
      </c>
      <c r="G98" s="29" t="inlineStr">
        <is>
          <t>IDM/제조/메모리</t>
        </is>
      </c>
      <c r="H98" s="29" t="inlineStr">
        <is>
          <t>False</t>
        </is>
      </c>
      <c r="I98" s="29" t="inlineStr">
        <is>
          <t>True</t>
        </is>
      </c>
      <c r="J98" s="29" t="inlineStr">
        <is>
          <t>OK_LIMITED_HISTORY_OR_GROWTH_NA</t>
        </is>
      </c>
      <c r="K98" s="29" t="inlineStr">
        <is>
          <t>데이터 사용 가능</t>
        </is>
      </c>
      <c r="L98" s="29" t="inlineStr">
        <is>
          <t>LOW</t>
        </is>
      </c>
      <c r="M98" s="29" t="inlineStr">
        <is>
          <t>LOW</t>
        </is>
      </c>
      <c r="N98" s="29" t="inlineStr">
        <is>
          <t>0.4096666666666666</t>
        </is>
      </c>
      <c r="O98" s="29" t="inlineStr">
        <is>
          <t>EXPENSIVE</t>
        </is>
      </c>
      <c r="P98" s="29" t="inlineStr">
        <is>
          <t>EXPENSIVE</t>
        </is>
      </c>
      <c r="Q98" s="29" t="inlineStr">
        <is>
          <t>EXPENSIVE</t>
        </is>
      </c>
      <c r="R98" s="29" t="inlineStr">
        <is>
          <t>0.7518748972741711</t>
        </is>
      </c>
      <c r="S98" s="29" t="inlineStr">
        <is>
          <t>HIGH</t>
        </is>
      </c>
      <c r="T98" s="29" t="inlineStr">
        <is>
          <t>HIGH</t>
        </is>
      </c>
      <c r="U98" s="29" t="inlineStr">
        <is>
          <t>0.5</t>
        </is>
      </c>
      <c r="V98" s="29" t="inlineStr">
        <is>
          <t>HIGH_RISK</t>
        </is>
      </c>
      <c r="W98" s="29" t="inlineStr">
        <is>
          <t>고위험</t>
        </is>
      </c>
      <c r="X98" s="29" t="inlineStr">
        <is>
          <t>MEDIUM_RISK</t>
        </is>
      </c>
      <c r="Y98" s="29" t="inlineStr">
        <is>
          <t>0.4364687611213146</t>
        </is>
      </c>
      <c r="Z98" s="29" t="inlineStr">
        <is>
          <t>LOW</t>
        </is>
      </c>
      <c r="AA98" s="29" t="inlineStr">
        <is>
          <t>LOW</t>
        </is>
      </c>
      <c r="AB98" s="29" t="inlineStr">
        <is>
          <t>0.06817918975036392</t>
        </is>
      </c>
      <c r="AC98" s="29" t="inlineStr">
        <is>
          <t>False</t>
        </is>
      </c>
      <c r="AD98" s="29" t="inlineStr">
        <is>
          <t>True</t>
        </is>
      </c>
      <c r="AE98" s="29" t="inlineStr">
        <is>
          <t>valuation_credit_ml_overlay_candidate.csv</t>
        </is>
      </c>
      <c r="AF98" s="29" t="inlineStr">
        <is>
          <t>208개 반도체 reference universe. Valuation Agent가 자체 intake 폴더로 복제해 Peer/ML/대시보드 비교에 사용.</t>
        </is>
      </c>
    </row>
    <row r="99" ht="24" customHeight="1">
      <c r="A99" s="24" t="inlineStr">
        <is>
          <t>27</t>
        </is>
      </c>
      <c r="B99" s="24" t="inlineStr">
        <is>
          <t>해당 없음</t>
        </is>
      </c>
      <c r="C99" s="24" t="inlineStr">
        <is>
          <t>이미지스</t>
        </is>
      </c>
      <c r="D99" s="24" t="inlineStr">
        <is>
          <t>115610</t>
        </is>
      </c>
      <c r="E99" s="24" t="inlineStr">
        <is>
          <t>KOSDAQ</t>
        </is>
      </c>
      <c r="F99" s="24" t="inlineStr">
        <is>
          <t>IDM/제조/메모리</t>
        </is>
      </c>
      <c r="G99" s="24" t="inlineStr">
        <is>
          <t>IDM/제조/메모리</t>
        </is>
      </c>
      <c r="H99" s="24" t="inlineStr">
        <is>
          <t>False</t>
        </is>
      </c>
      <c r="I99" s="24" t="inlineStr">
        <is>
          <t>True</t>
        </is>
      </c>
      <c r="J99" s="24" t="inlineStr">
        <is>
          <t>OK</t>
        </is>
      </c>
      <c r="K99" s="24" t="inlineStr">
        <is>
          <t>데이터 사용 가능</t>
        </is>
      </c>
      <c r="L99" s="24" t="inlineStr">
        <is>
          <t>LOW</t>
        </is>
      </c>
      <c r="M99" s="24" t="inlineStr">
        <is>
          <t>LOW</t>
        </is>
      </c>
      <c r="N99" s="24" t="inlineStr">
        <is>
          <t>0.3633333333333334</t>
        </is>
      </c>
      <c r="O99" s="24" t="inlineStr">
        <is>
          <t>EXPENSIVE</t>
        </is>
      </c>
      <c r="P99" s="24" t="inlineStr">
        <is>
          <t>EXPENSIVE</t>
        </is>
      </c>
      <c r="Q99" s="24" t="inlineStr">
        <is>
          <t>EXPENSIVE</t>
        </is>
      </c>
      <c r="R99" s="24" t="inlineStr">
        <is>
          <t>0.7470098487547145</t>
        </is>
      </c>
      <c r="S99" s="24" t="inlineStr">
        <is>
          <t>HIGH</t>
        </is>
      </c>
      <c r="T99" s="24" t="inlineStr">
        <is>
          <t>HIGH</t>
        </is>
      </c>
      <c r="U99" s="24" t="inlineStr">
        <is>
          <t>0.6428571428571429</t>
        </is>
      </c>
      <c r="V99" s="24" t="inlineStr">
        <is>
          <t>HIGH_RISK</t>
        </is>
      </c>
      <c r="W99" s="24" t="inlineStr">
        <is>
          <t>고위험</t>
        </is>
      </c>
      <c r="X99" s="24" t="inlineStr">
        <is>
          <t>HIGH_RISK</t>
        </is>
      </c>
      <c r="Y99" s="24" t="inlineStr">
        <is>
          <t>0.935919815850912</t>
        </is>
      </c>
      <c r="Z99" s="24" t="inlineStr">
        <is>
          <t>HIGH</t>
        </is>
      </c>
      <c r="AA99" s="24" t="inlineStr">
        <is>
          <t>HIGH</t>
        </is>
      </c>
      <c r="AB99" s="24" t="inlineStr">
        <is>
          <t>0.1192433333650954</t>
        </is>
      </c>
      <c r="AC99" s="24" t="inlineStr">
        <is>
          <t>False</t>
        </is>
      </c>
      <c r="AD99" s="24" t="inlineStr">
        <is>
          <t>False</t>
        </is>
      </c>
      <c r="AE99" s="24" t="inlineStr">
        <is>
          <t>valuation_credit_ml_overlay_candidate.csv</t>
        </is>
      </c>
      <c r="AF99" s="24" t="inlineStr">
        <is>
          <t>208개 반도체 reference universe. Valuation Agent가 자체 intake 폴더로 복제해 Peer/ML/대시보드 비교에 사용.</t>
        </is>
      </c>
    </row>
    <row r="100" ht="24" customHeight="1">
      <c r="A100" s="29" t="inlineStr">
        <is>
          <t>15</t>
        </is>
      </c>
      <c r="B100" s="29" t="inlineStr">
        <is>
          <t>해당 없음</t>
        </is>
      </c>
      <c r="C100" s="29" t="inlineStr">
        <is>
          <t>시지트로닉스</t>
        </is>
      </c>
      <c r="D100" s="29" t="inlineStr">
        <is>
          <t>429270</t>
        </is>
      </c>
      <c r="E100" s="29" t="inlineStr">
        <is>
          <t>KOSDAQ</t>
        </is>
      </c>
      <c r="F100" s="29" t="inlineStr">
        <is>
          <t>IDM/제조/메모리</t>
        </is>
      </c>
      <c r="G100" s="29" t="inlineStr">
        <is>
          <t>IDM/제조/메모리</t>
        </is>
      </c>
      <c r="H100" s="29" t="inlineStr">
        <is>
          <t>False</t>
        </is>
      </c>
      <c r="I100" s="29" t="inlineStr">
        <is>
          <t>True</t>
        </is>
      </c>
      <c r="J100" s="29" t="inlineStr">
        <is>
          <t>OK_LIMITED_HISTORY_OR_GROWTH_NA</t>
        </is>
      </c>
      <c r="K100" s="29" t="inlineStr">
        <is>
          <t>데이터 사용 가능</t>
        </is>
      </c>
      <c r="L100" s="29" t="inlineStr">
        <is>
          <t>LOW</t>
        </is>
      </c>
      <c r="M100" s="29" t="inlineStr">
        <is>
          <t>LOW</t>
        </is>
      </c>
      <c r="N100" s="29" t="inlineStr">
        <is>
          <t>0.3513333333333333</t>
        </is>
      </c>
      <c r="O100" s="29" t="inlineStr">
        <is>
          <t>EXPENSIVE</t>
        </is>
      </c>
      <c r="P100" s="29" t="inlineStr">
        <is>
          <t>EXPENSIVE</t>
        </is>
      </c>
      <c r="Q100" s="29" t="inlineStr">
        <is>
          <t>EXPENSIVE</t>
        </is>
      </c>
      <c r="R100" s="29" t="inlineStr">
        <is>
          <t>0.8423539115807104</t>
        </is>
      </c>
      <c r="S100" s="29" t="inlineStr">
        <is>
          <t>HIGH</t>
        </is>
      </c>
      <c r="T100" s="29" t="inlineStr">
        <is>
          <t>HIGH</t>
        </is>
      </c>
      <c r="U100" s="29" t="inlineStr">
        <is>
          <t>0.7142857142857143</t>
        </is>
      </c>
      <c r="V100" s="29" t="inlineStr">
        <is>
          <t>HIGH_RISK</t>
        </is>
      </c>
      <c r="W100" s="29" t="inlineStr">
        <is>
          <t>고위험</t>
        </is>
      </c>
      <c r="X100" s="29" t="inlineStr">
        <is>
          <t>HIGH_RISK</t>
        </is>
      </c>
      <c r="Y100" s="29" t="inlineStr">
        <is>
          <t>0.981613431413146</t>
        </is>
      </c>
      <c r="Z100" s="29" t="inlineStr">
        <is>
          <t>HIGH</t>
        </is>
      </c>
      <c r="AA100" s="29" t="inlineStr">
        <is>
          <t>HIGH</t>
        </is>
      </c>
      <c r="AB100" s="29" t="inlineStr">
        <is>
          <t>0.19555712998632233</t>
        </is>
      </c>
      <c r="AC100" s="29" t="inlineStr">
        <is>
          <t>False</t>
        </is>
      </c>
      <c r="AD100" s="29" t="inlineStr">
        <is>
          <t>True</t>
        </is>
      </c>
      <c r="AE100" s="29" t="inlineStr">
        <is>
          <t>valuation_credit_ml_overlay_candidate.csv</t>
        </is>
      </c>
      <c r="AF100" s="29" t="inlineStr">
        <is>
          <t>208개 반도체 reference universe. Valuation Agent가 자체 intake 폴더로 복제해 Peer/ML/대시보드 비교에 사용.</t>
        </is>
      </c>
    </row>
    <row r="101" ht="24" customHeight="1">
      <c r="A101" s="24" t="inlineStr">
        <is>
          <t>30</t>
        </is>
      </c>
      <c r="B101" s="24" t="inlineStr">
        <is>
          <t>해당 없음</t>
        </is>
      </c>
      <c r="C101" s="24" t="inlineStr">
        <is>
          <t>지니틱스</t>
        </is>
      </c>
      <c r="D101" s="24" t="inlineStr">
        <is>
          <t>303030</t>
        </is>
      </c>
      <c r="E101" s="24" t="inlineStr">
        <is>
          <t>KOSDAQ</t>
        </is>
      </c>
      <c r="F101" s="24" t="inlineStr">
        <is>
          <t>IDM/제조/메모리</t>
        </is>
      </c>
      <c r="G101" s="24" t="inlineStr">
        <is>
          <t>IDM/제조/메모리</t>
        </is>
      </c>
      <c r="H101" s="24" t="inlineStr">
        <is>
          <t>False</t>
        </is>
      </c>
      <c r="I101" s="24" t="inlineStr">
        <is>
          <t>True</t>
        </is>
      </c>
      <c r="J101" s="24" t="inlineStr">
        <is>
          <t>OK</t>
        </is>
      </c>
      <c r="K101" s="24" t="inlineStr">
        <is>
          <t>데이터 사용 가능</t>
        </is>
      </c>
      <c r="L101" s="24" t="inlineStr">
        <is>
          <t>LOW</t>
        </is>
      </c>
      <c r="M101" s="24" t="inlineStr">
        <is>
          <t>LOW</t>
        </is>
      </c>
      <c r="N101" s="24" t="inlineStr">
        <is>
          <t>0.3293333333333333</t>
        </is>
      </c>
      <c r="O101" s="24" t="inlineStr">
        <is>
          <t>EXPENSIVE</t>
        </is>
      </c>
      <c r="P101" s="24" t="inlineStr">
        <is>
          <t>EXPENSIVE</t>
        </is>
      </c>
      <c r="Q101" s="24" t="inlineStr">
        <is>
          <t>EXPENSIVE</t>
        </is>
      </c>
      <c r="R101" s="24" t="inlineStr">
        <is>
          <t>0.6029464801919612</t>
        </is>
      </c>
      <c r="S101" s="24" t="inlineStr">
        <is>
          <t>MEDIUM</t>
        </is>
      </c>
      <c r="T101" s="24" t="inlineStr">
        <is>
          <t>MEDIUM</t>
        </is>
      </c>
      <c r="U101" s="24" t="inlineStr">
        <is>
          <t>0.7142857142857143</t>
        </is>
      </c>
      <c r="V101" s="24" t="inlineStr">
        <is>
          <t>HIGH_RISK</t>
        </is>
      </c>
      <c r="W101" s="24" t="inlineStr">
        <is>
          <t>고위험</t>
        </is>
      </c>
      <c r="X101" s="24" t="inlineStr">
        <is>
          <t>HIGH_RISK</t>
        </is>
      </c>
      <c r="Y101" s="24" t="inlineStr">
        <is>
          <t>0.9659545889371735</t>
        </is>
      </c>
      <c r="Z101" s="24" t="inlineStr">
        <is>
          <t>HIGH</t>
        </is>
      </c>
      <c r="AA101" s="24" t="inlineStr">
        <is>
          <t>HIGH</t>
        </is>
      </c>
      <c r="AB101" s="24" t="inlineStr">
        <is>
          <t>0.16363869698938038</t>
        </is>
      </c>
      <c r="AC101" s="24" t="inlineStr">
        <is>
          <t>False</t>
        </is>
      </c>
      <c r="AD101" s="24" t="inlineStr">
        <is>
          <t>False</t>
        </is>
      </c>
      <c r="AE101" s="24" t="inlineStr">
        <is>
          <t>valuation_credit_ml_overlay_candidate.csv</t>
        </is>
      </c>
      <c r="AF101" s="24" t="inlineStr">
        <is>
          <t>208개 반도체 reference universe. Valuation Agent가 자체 intake 폴더로 복제해 Peer/ML/대시보드 비교에 사용.</t>
        </is>
      </c>
    </row>
    <row r="102" ht="24" customHeight="1">
      <c r="A102" s="29" t="inlineStr">
        <is>
          <t>18</t>
        </is>
      </c>
      <c r="B102" s="29" t="inlineStr">
        <is>
          <t>해당 없음</t>
        </is>
      </c>
      <c r="C102" s="29" t="inlineStr">
        <is>
          <t>아이에스티이</t>
        </is>
      </c>
      <c r="D102" s="29" t="inlineStr">
        <is>
          <t>212710</t>
        </is>
      </c>
      <c r="E102" s="29" t="inlineStr">
        <is>
          <t>KOSDAQ</t>
        </is>
      </c>
      <c r="F102" s="29" t="inlineStr">
        <is>
          <t>IDM/제조/메모리</t>
        </is>
      </c>
      <c r="G102" s="29" t="inlineStr">
        <is>
          <t>IDM/제조/메모리</t>
        </is>
      </c>
      <c r="H102" s="29" t="inlineStr">
        <is>
          <t>False</t>
        </is>
      </c>
      <c r="I102" s="29" t="inlineStr">
        <is>
          <t>True</t>
        </is>
      </c>
      <c r="J102" s="29" t="inlineStr">
        <is>
          <t>OK_LIMITED_HISTORY_OR_GROWTH_NA</t>
        </is>
      </c>
      <c r="K102" s="29" t="inlineStr">
        <is>
          <t>데이터 사용 가능</t>
        </is>
      </c>
      <c r="L102" s="29" t="inlineStr">
        <is>
          <t>LOW</t>
        </is>
      </c>
      <c r="M102" s="29" t="inlineStr">
        <is>
          <t>LOW</t>
        </is>
      </c>
      <c r="N102" s="29" t="inlineStr">
        <is>
          <t>0.3126666666666666</t>
        </is>
      </c>
      <c r="O102" s="29" t="inlineStr">
        <is>
          <t>EXPENSIVE</t>
        </is>
      </c>
      <c r="P102" s="29" t="inlineStr">
        <is>
          <t>EXPENSIVE</t>
        </is>
      </c>
      <c r="Q102" s="29" t="inlineStr">
        <is>
          <t>EXPENSIVE</t>
        </is>
      </c>
      <c r="R102" s="29" t="inlineStr">
        <is>
          <t>0.6642993493743579</t>
        </is>
      </c>
      <c r="S102" s="29" t="inlineStr">
        <is>
          <t>MEDIUM</t>
        </is>
      </c>
      <c r="T102" s="29" t="inlineStr">
        <is>
          <t>MEDIUM</t>
        </is>
      </c>
      <c r="U102" s="29" t="inlineStr">
        <is>
          <t>0.7142857142857143</t>
        </is>
      </c>
      <c r="V102" s="29" t="inlineStr">
        <is>
          <t>HIGH_RISK</t>
        </is>
      </c>
      <c r="W102" s="29" t="inlineStr">
        <is>
          <t>고위험</t>
        </is>
      </c>
      <c r="X102" s="29" t="inlineStr">
        <is>
          <t>HIGH_RISK</t>
        </is>
      </c>
      <c r="Y102" s="29" t="inlineStr">
        <is>
          <t>0.7912115569930538</t>
        </is>
      </c>
      <c r="Z102" s="29" t="inlineStr">
        <is>
          <t>HIGH</t>
        </is>
      </c>
      <c r="AA102" s="29" t="inlineStr">
        <is>
          <t>HIGH</t>
        </is>
      </c>
      <c r="AB102" s="29" t="inlineStr">
        <is>
          <t>0.13664093420882184</t>
        </is>
      </c>
      <c r="AC102" s="29" t="inlineStr">
        <is>
          <t>False</t>
        </is>
      </c>
      <c r="AD102" s="29" t="inlineStr">
        <is>
          <t>True</t>
        </is>
      </c>
      <c r="AE102" s="29" t="inlineStr">
        <is>
          <t>valuation_credit_ml_overlay_candidate.csv</t>
        </is>
      </c>
      <c r="AF102" s="29" t="inlineStr">
        <is>
          <t>208개 반도체 reference universe. Valuation Agent가 자체 intake 폴더로 복제해 Peer/ML/대시보드 비교에 사용.</t>
        </is>
      </c>
    </row>
    <row r="103" ht="24" customHeight="1">
      <c r="A103" s="24" t="inlineStr">
        <is>
          <t>31</t>
        </is>
      </c>
      <c r="B103" s="24" t="inlineStr">
        <is>
          <t>해당 없음</t>
        </is>
      </c>
      <c r="C103" s="24" t="inlineStr">
        <is>
          <t>케이알엠</t>
        </is>
      </c>
      <c r="D103" s="24" t="inlineStr">
        <is>
          <t>093640</t>
        </is>
      </c>
      <c r="E103" s="24" t="inlineStr">
        <is>
          <t>KOSDAQ</t>
        </is>
      </c>
      <c r="F103" s="24" t="inlineStr">
        <is>
          <t>IDM/제조/메모리</t>
        </is>
      </c>
      <c r="G103" s="24" t="inlineStr">
        <is>
          <t>IDM/제조/메모리</t>
        </is>
      </c>
      <c r="H103" s="24" t="inlineStr">
        <is>
          <t>False</t>
        </is>
      </c>
      <c r="I103" s="24" t="inlineStr">
        <is>
          <t>True</t>
        </is>
      </c>
      <c r="J103" s="24" t="inlineStr">
        <is>
          <t>OK</t>
        </is>
      </c>
      <c r="K103" s="24" t="inlineStr">
        <is>
          <t>데이터 사용 가능</t>
        </is>
      </c>
      <c r="L103" s="24" t="inlineStr">
        <is>
          <t>LOW</t>
        </is>
      </c>
      <c r="M103" s="24" t="inlineStr">
        <is>
          <t>LOW</t>
        </is>
      </c>
      <c r="N103" s="24" t="inlineStr">
        <is>
          <t>0.301</t>
        </is>
      </c>
      <c r="O103" s="24" t="inlineStr">
        <is>
          <t>EXPENSIVE</t>
        </is>
      </c>
      <c r="P103" s="24" t="inlineStr">
        <is>
          <t>EXPENSIVE</t>
        </is>
      </c>
      <c r="Q103" s="24" t="inlineStr">
        <is>
          <t>EXPENSIVE</t>
        </is>
      </c>
      <c r="R103" s="24" t="inlineStr">
        <is>
          <t>0.7957205872008264</t>
        </is>
      </c>
      <c r="S103" s="24" t="inlineStr">
        <is>
          <t>HIGH</t>
        </is>
      </c>
      <c r="T103" s="24" t="inlineStr">
        <is>
          <t>HIGH</t>
        </is>
      </c>
      <c r="U103" s="24" t="inlineStr">
        <is>
          <t>0.4285714285714285</t>
        </is>
      </c>
      <c r="V103" s="24" t="inlineStr">
        <is>
          <t>HIGH_RISK</t>
        </is>
      </c>
      <c r="W103" s="24" t="inlineStr">
        <is>
          <t>고위험</t>
        </is>
      </c>
      <c r="X103" s="24" t="inlineStr">
        <is>
          <t>HIGH_RISK</t>
        </is>
      </c>
      <c r="Y103" s="24" t="inlineStr">
        <is>
          <t>0.9569765609780977</t>
        </is>
      </c>
      <c r="Z103" s="24" t="inlineStr">
        <is>
          <t>HIGH</t>
        </is>
      </c>
      <c r="AA103" s="24" t="inlineStr">
        <is>
          <t>HIGH</t>
        </is>
      </c>
      <c r="AB103" s="24" t="inlineStr">
        <is>
          <t>0.2926124347647049</t>
        </is>
      </c>
      <c r="AC103" s="24" t="inlineStr">
        <is>
          <t>True</t>
        </is>
      </c>
      <c r="AD103" s="24" t="inlineStr">
        <is>
          <t>True</t>
        </is>
      </c>
      <c r="AE103" s="24" t="inlineStr">
        <is>
          <t>valuation_credit_ml_overlay_candidate.csv</t>
        </is>
      </c>
      <c r="AF103" s="24" t="inlineStr">
        <is>
          <t>208개 반도체 reference universe. Valuation Agent가 자체 intake 폴더로 복제해 Peer/ML/대시보드 비교에 사용.</t>
        </is>
      </c>
    </row>
    <row r="104" ht="24" customHeight="1">
      <c r="A104" s="29" t="inlineStr">
        <is>
          <t>17</t>
        </is>
      </c>
      <c r="B104" s="29" t="inlineStr">
        <is>
          <t>해당 없음</t>
        </is>
      </c>
      <c r="C104" s="29" t="inlineStr">
        <is>
          <t>쏘닉스</t>
        </is>
      </c>
      <c r="D104" s="29" t="inlineStr">
        <is>
          <t>088280</t>
        </is>
      </c>
      <c r="E104" s="29" t="inlineStr">
        <is>
          <t>KOSDAQ</t>
        </is>
      </c>
      <c r="F104" s="29" t="inlineStr">
        <is>
          <t>IDM/제조/메모리</t>
        </is>
      </c>
      <c r="G104" s="29" t="inlineStr">
        <is>
          <t>IDM/제조/메모리</t>
        </is>
      </c>
      <c r="H104" s="29" t="inlineStr">
        <is>
          <t>False</t>
        </is>
      </c>
      <c r="I104" s="29" t="inlineStr">
        <is>
          <t>True</t>
        </is>
      </c>
      <c r="J104" s="29" t="inlineStr">
        <is>
          <t>OK_LIMITED_HISTORY_OR_GROWTH_NA</t>
        </is>
      </c>
      <c r="K104" s="29" t="inlineStr">
        <is>
          <t>데이터 사용 가능</t>
        </is>
      </c>
      <c r="L104" s="29" t="inlineStr">
        <is>
          <t>LOW</t>
        </is>
      </c>
      <c r="M104" s="29" t="inlineStr">
        <is>
          <t>LOW</t>
        </is>
      </c>
      <c r="N104" s="29" t="inlineStr">
        <is>
          <t>0.2925</t>
        </is>
      </c>
      <c r="O104" s="29" t="inlineStr">
        <is>
          <t>EXPENSIVE</t>
        </is>
      </c>
      <c r="P104" s="29" t="inlineStr">
        <is>
          <t>EXPENSIVE</t>
        </is>
      </c>
      <c r="Q104" s="29" t="inlineStr">
        <is>
          <t>EXPENSIVE</t>
        </is>
      </c>
      <c r="R104" s="29" t="inlineStr">
        <is>
          <t>0.9167677788852596</t>
        </is>
      </c>
      <c r="S104" s="29" t="inlineStr">
        <is>
          <t>HIGH</t>
        </is>
      </c>
      <c r="T104" s="29" t="inlineStr">
        <is>
          <t>HIGH</t>
        </is>
      </c>
      <c r="U104" s="29" t="inlineStr">
        <is>
          <t>0.5714285714285714</t>
        </is>
      </c>
      <c r="V104" s="29" t="inlineStr">
        <is>
          <t>HIGH_RISK</t>
        </is>
      </c>
      <c r="W104" s="29" t="inlineStr">
        <is>
          <t>고위험</t>
        </is>
      </c>
      <c r="X104" s="29" t="inlineStr">
        <is>
          <t>HIGH_RISK</t>
        </is>
      </c>
      <c r="Y104" s="29" t="inlineStr">
        <is>
          <t>0.9751947390683402</t>
        </is>
      </c>
      <c r="Z104" s="29" t="inlineStr">
        <is>
          <t>HIGH</t>
        </is>
      </c>
      <c r="AA104" s="29" t="inlineStr">
        <is>
          <t>HIGH</t>
        </is>
      </c>
      <c r="AB104" s="29" t="inlineStr">
        <is>
          <t>0.11312412490832129</t>
        </is>
      </c>
      <c r="AC104" s="29" t="inlineStr">
        <is>
          <t>False</t>
        </is>
      </c>
      <c r="AD104" s="29" t="inlineStr">
        <is>
          <t>True</t>
        </is>
      </c>
      <c r="AE104" s="29" t="inlineStr">
        <is>
          <t>valuation_credit_ml_overlay_candidate.csv</t>
        </is>
      </c>
      <c r="AF104" s="29" t="inlineStr">
        <is>
          <t>208개 반도체 reference universe. Valuation Agent가 자체 intake 폴더로 복제해 Peer/ML/대시보드 비교에 사용.</t>
        </is>
      </c>
    </row>
    <row r="105" ht="24" customHeight="1">
      <c r="A105" s="24" t="inlineStr">
        <is>
          <t>29</t>
        </is>
      </c>
      <c r="B105" s="24" t="inlineStr">
        <is>
          <t>해당 없음</t>
        </is>
      </c>
      <c r="C105" s="24" t="inlineStr">
        <is>
          <t>자람테크놀로지</t>
        </is>
      </c>
      <c r="D105" s="24" t="inlineStr">
        <is>
          <t>389020</t>
        </is>
      </c>
      <c r="E105" s="24" t="inlineStr">
        <is>
          <t>KOSDAQ</t>
        </is>
      </c>
      <c r="F105" s="24" t="inlineStr">
        <is>
          <t>IDM/제조/메모리</t>
        </is>
      </c>
      <c r="G105" s="24" t="inlineStr">
        <is>
          <t>IDM/제조/메모리</t>
        </is>
      </c>
      <c r="H105" s="24" t="inlineStr">
        <is>
          <t>False</t>
        </is>
      </c>
      <c r="I105" s="24" t="inlineStr">
        <is>
          <t>True</t>
        </is>
      </c>
      <c r="J105" s="24" t="inlineStr">
        <is>
          <t>OK</t>
        </is>
      </c>
      <c r="K105" s="24" t="inlineStr">
        <is>
          <t>데이터 사용 가능</t>
        </is>
      </c>
      <c r="L105" s="24" t="inlineStr">
        <is>
          <t>LOW</t>
        </is>
      </c>
      <c r="M105" s="24" t="inlineStr">
        <is>
          <t>LOW</t>
        </is>
      </c>
      <c r="N105" s="24" t="inlineStr">
        <is>
          <t>0.1995</t>
        </is>
      </c>
      <c r="O105" s="24" t="inlineStr">
        <is>
          <t>EXPENSIVE</t>
        </is>
      </c>
      <c r="P105" s="24" t="inlineStr">
        <is>
          <t>EXPENSIVE</t>
        </is>
      </c>
      <c r="Q105" s="24" t="inlineStr">
        <is>
          <t>EXPENSIVE</t>
        </is>
      </c>
      <c r="R105" s="24" t="inlineStr">
        <is>
          <t>0.6873284389381621</t>
        </is>
      </c>
      <c r="S105" s="24" t="inlineStr">
        <is>
          <t>MEDIUM</t>
        </is>
      </c>
      <c r="T105" s="24" t="inlineStr">
        <is>
          <t>MEDIUM</t>
        </is>
      </c>
      <c r="U105" s="24" t="inlineStr">
        <is>
          <t>0.2142857142857142</t>
        </is>
      </c>
      <c r="V105" s="24" t="inlineStr">
        <is>
          <t>MEDIUM_RISK</t>
        </is>
      </c>
      <c r="W105" s="24" t="inlineStr">
        <is>
          <t>중위험</t>
        </is>
      </c>
      <c r="X105" s="24" t="inlineStr">
        <is>
          <t>MEDIUM_RISK</t>
        </is>
      </c>
      <c r="Y105" s="24" t="inlineStr">
        <is>
          <t>0.7087592263635621</t>
        </is>
      </c>
      <c r="Z105" s="24" t="inlineStr">
        <is>
          <t>HIGH</t>
        </is>
      </c>
      <c r="AA105" s="24" t="inlineStr">
        <is>
          <t>HIGH</t>
        </is>
      </c>
      <c r="AB105" s="24" t="inlineStr">
        <is>
          <t>0.14222896108498048</t>
        </is>
      </c>
      <c r="AC105" s="24" t="inlineStr">
        <is>
          <t>False</t>
        </is>
      </c>
      <c r="AD105" s="24" t="inlineStr">
        <is>
          <t>False</t>
        </is>
      </c>
      <c r="AE105" s="24" t="inlineStr">
        <is>
          <t>valuation_credit_ml_overlay_candidate.csv</t>
        </is>
      </c>
      <c r="AF105" s="24" t="inlineStr">
        <is>
          <t>208개 반도체 reference universe. Valuation Agent가 자체 intake 폴더로 복제해 Peer/ML/대시보드 비교에 사용.</t>
        </is>
      </c>
    </row>
    <row r="106" ht="24" customHeight="1">
      <c r="A106" s="29" t="inlineStr">
        <is>
          <t>39</t>
        </is>
      </c>
      <c r="B106" s="29" t="inlineStr">
        <is>
          <t>해당 없음</t>
        </is>
      </c>
      <c r="C106" s="29" t="inlineStr">
        <is>
          <t>하이딥</t>
        </is>
      </c>
      <c r="D106" s="29" t="inlineStr">
        <is>
          <t>365590</t>
        </is>
      </c>
      <c r="E106" s="29" t="inlineStr">
        <is>
          <t>KOSDAQ</t>
        </is>
      </c>
      <c r="F106" s="29" t="inlineStr">
        <is>
          <t>IDM/제조/메모리</t>
        </is>
      </c>
      <c r="G106" s="29" t="inlineStr">
        <is>
          <t>IDM/제조/메모리</t>
        </is>
      </c>
      <c r="H106" s="29" t="inlineStr">
        <is>
          <t>False</t>
        </is>
      </c>
      <c r="I106" s="29" t="inlineStr">
        <is>
          <t>True</t>
        </is>
      </c>
      <c r="J106" s="29" t="inlineStr">
        <is>
          <t>OK</t>
        </is>
      </c>
      <c r="K106" s="29" t="inlineStr">
        <is>
          <t>데이터 사용 가능</t>
        </is>
      </c>
      <c r="L106" s="29" t="inlineStr">
        <is>
          <t>LOW</t>
        </is>
      </c>
      <c r="M106" s="29" t="inlineStr">
        <is>
          <t>LOW</t>
        </is>
      </c>
      <c r="N106" s="29" t="inlineStr">
        <is>
          <t>0.125</t>
        </is>
      </c>
      <c r="O106" s="29" t="inlineStr">
        <is>
          <t>EXPENSIVE</t>
        </is>
      </c>
      <c r="P106" s="29" t="inlineStr">
        <is>
          <t>EXPENSIVE</t>
        </is>
      </c>
      <c r="Q106" s="29" t="inlineStr">
        <is>
          <t>EXPENSIVE</t>
        </is>
      </c>
      <c r="R106" s="29" t="inlineStr">
        <is>
          <t>0.93355514861914</t>
        </is>
      </c>
      <c r="S106" s="29" t="inlineStr">
        <is>
          <t>HIGH</t>
        </is>
      </c>
      <c r="T106" s="29" t="inlineStr">
        <is>
          <t>HIGH</t>
        </is>
      </c>
      <c r="U106" s="29" t="inlineStr">
        <is>
          <t>0.8571428571428571</t>
        </is>
      </c>
      <c r="V106" s="29" t="inlineStr">
        <is>
          <t>HIGH_RISK</t>
        </is>
      </c>
      <c r="W106" s="29" t="inlineStr">
        <is>
          <t>고위험</t>
        </is>
      </c>
      <c r="X106" s="29" t="inlineStr">
        <is>
          <t>HIGH_RISK</t>
        </is>
      </c>
      <c r="Y106" s="29" t="inlineStr">
        <is>
          <t>0.9622719553866781</t>
        </is>
      </c>
      <c r="Z106" s="29" t="inlineStr">
        <is>
          <t>HIGH</t>
        </is>
      </c>
      <c r="AA106" s="29" t="inlineStr">
        <is>
          <t>HIGH</t>
        </is>
      </c>
      <c r="AB106" s="29" t="inlineStr">
        <is>
          <t>0.9999999977412558</t>
        </is>
      </c>
      <c r="AC106" s="29" t="inlineStr">
        <is>
          <t>True</t>
        </is>
      </c>
      <c r="AD106" s="29" t="inlineStr">
        <is>
          <t>True</t>
        </is>
      </c>
      <c r="AE106" s="29" t="inlineStr">
        <is>
          <t>valuation_credit_ml_overlay_candidate.csv</t>
        </is>
      </c>
      <c r="AF106" s="29" t="inlineStr">
        <is>
          <t>208개 반도체 reference universe. Valuation Agent가 자체 intake 폴더로 복제해 Peer/ML/대시보드 비교에 사용.</t>
        </is>
      </c>
    </row>
    <row r="107" ht="24" customHeight="1">
      <c r="A107" s="24" t="inlineStr">
        <is>
          <t>203</t>
        </is>
      </c>
      <c r="B107" s="24" t="inlineStr">
        <is>
          <t>해당 없음</t>
        </is>
      </c>
      <c r="C107" s="24" t="inlineStr">
        <is>
          <t>인터플렉스</t>
        </is>
      </c>
      <c r="D107" s="24" t="inlineStr">
        <is>
          <t>051370</t>
        </is>
      </c>
      <c r="E107" s="24" t="inlineStr">
        <is>
          <t>KOSDAQ</t>
        </is>
      </c>
      <c r="F107" s="24" t="inlineStr">
        <is>
          <t>부품/기판</t>
        </is>
      </c>
      <c r="G107" s="24" t="inlineStr">
        <is>
          <t>부품/기판</t>
        </is>
      </c>
      <c r="H107" s="24" t="inlineStr">
        <is>
          <t>False</t>
        </is>
      </c>
      <c r="I107" s="24" t="inlineStr">
        <is>
          <t>True</t>
        </is>
      </c>
      <c r="J107" s="24" t="inlineStr">
        <is>
          <t>OK</t>
        </is>
      </c>
      <c r="K107" s="24" t="inlineStr">
        <is>
          <t>데이터 사용 가능</t>
        </is>
      </c>
      <c r="L107" s="24" t="inlineStr">
        <is>
          <t>LOW</t>
        </is>
      </c>
      <c r="M107" s="24" t="inlineStr">
        <is>
          <t>LOW</t>
        </is>
      </c>
      <c r="N107" s="24" t="inlineStr">
        <is>
          <t>0.709047619047619</t>
        </is>
      </c>
      <c r="O107" s="24" t="inlineStr">
        <is>
          <t>FAIR</t>
        </is>
      </c>
      <c r="P107" s="24" t="inlineStr">
        <is>
          <t>FAIR</t>
        </is>
      </c>
      <c r="Q107" s="24" t="inlineStr">
        <is>
          <t>FAIR</t>
        </is>
      </c>
      <c r="R107" s="24" t="inlineStr">
        <is>
          <t>0.904555257888918</t>
        </is>
      </c>
      <c r="S107" s="24" t="inlineStr">
        <is>
          <t>HIGH</t>
        </is>
      </c>
      <c r="T107" s="24" t="inlineStr">
        <is>
          <t>HIGH</t>
        </is>
      </c>
      <c r="U107" s="24" t="inlineStr">
        <is>
          <t>0.0714285714285714</t>
        </is>
      </c>
      <c r="V107" s="24" t="inlineStr">
        <is>
          <t>LOW_RISK</t>
        </is>
      </c>
      <c r="W107" s="24" t="inlineStr">
        <is>
          <t>저위험</t>
        </is>
      </c>
      <c r="X107" s="24" t="inlineStr">
        <is>
          <t>LOW_RISK</t>
        </is>
      </c>
      <c r="Y107" s="24" t="inlineStr">
        <is>
          <t>0.8421993774288782</t>
        </is>
      </c>
      <c r="Z107" s="24" t="inlineStr">
        <is>
          <t>HIGH</t>
        </is>
      </c>
      <c r="AA107" s="24" t="inlineStr">
        <is>
          <t>HIGH</t>
        </is>
      </c>
      <c r="AB107" s="24" t="inlineStr">
        <is>
          <t>0.04875174090091772</t>
        </is>
      </c>
      <c r="AC107" s="24" t="inlineStr">
        <is>
          <t>False</t>
        </is>
      </c>
      <c r="AD107" s="24" t="inlineStr">
        <is>
          <t>False</t>
        </is>
      </c>
      <c r="AE107" s="24" t="inlineStr">
        <is>
          <t>valuation_credit_ml_overlay_candidate.csv</t>
        </is>
      </c>
      <c r="AF107" s="24" t="inlineStr">
        <is>
          <t>208개 반도체 reference universe. Valuation Agent가 자체 intake 폴더로 복제해 Peer/ML/대시보드 비교에 사용.</t>
        </is>
      </c>
    </row>
    <row r="108" ht="24" customHeight="1">
      <c r="A108" s="29" t="inlineStr">
        <is>
          <t>204</t>
        </is>
      </c>
      <c r="B108" s="29" t="inlineStr">
        <is>
          <t>해당 없음</t>
        </is>
      </c>
      <c r="C108" s="29" t="inlineStr">
        <is>
          <t>자화전자</t>
        </is>
      </c>
      <c r="D108" s="29" t="inlineStr">
        <is>
          <t>033240</t>
        </is>
      </c>
      <c r="E108" s="29" t="inlineStr">
        <is>
          <t>KOSPI</t>
        </is>
      </c>
      <c r="F108" s="29" t="inlineStr">
        <is>
          <t>부품/기판</t>
        </is>
      </c>
      <c r="G108" s="29" t="inlineStr">
        <is>
          <t>부품/기판</t>
        </is>
      </c>
      <c r="H108" s="29" t="inlineStr">
        <is>
          <t>False</t>
        </is>
      </c>
      <c r="I108" s="29" t="inlineStr">
        <is>
          <t>True</t>
        </is>
      </c>
      <c r="J108" s="29" t="inlineStr">
        <is>
          <t>OK</t>
        </is>
      </c>
      <c r="K108" s="29" t="inlineStr">
        <is>
          <t>데이터 사용 가능</t>
        </is>
      </c>
      <c r="L108" s="29" t="inlineStr">
        <is>
          <t>LOW</t>
        </is>
      </c>
      <c r="M108" s="29" t="inlineStr">
        <is>
          <t>LOW</t>
        </is>
      </c>
      <c r="N108" s="29" t="inlineStr">
        <is>
          <t>0.6647619047619049</t>
        </is>
      </c>
      <c r="O108" s="29" t="inlineStr">
        <is>
          <t>FAIR</t>
        </is>
      </c>
      <c r="P108" s="29" t="inlineStr">
        <is>
          <t>FAIR</t>
        </is>
      </c>
      <c r="Q108" s="29" t="inlineStr">
        <is>
          <t>FAIR</t>
        </is>
      </c>
      <c r="R108" s="29" t="inlineStr">
        <is>
          <t>0.9380223994723259</t>
        </is>
      </c>
      <c r="S108" s="29" t="inlineStr">
        <is>
          <t>HIGH</t>
        </is>
      </c>
      <c r="T108" s="29" t="inlineStr">
        <is>
          <t>HIGH</t>
        </is>
      </c>
      <c r="U108" s="29" t="inlineStr">
        <is>
          <t>0.0714285714285714</t>
        </is>
      </c>
      <c r="V108" s="29" t="inlineStr">
        <is>
          <t>LOW_RISK</t>
        </is>
      </c>
      <c r="W108" s="29" t="inlineStr">
        <is>
          <t>저위험</t>
        </is>
      </c>
      <c r="X108" s="29" t="inlineStr">
        <is>
          <t>LOW_RISK</t>
        </is>
      </c>
      <c r="Y108" s="29" t="inlineStr">
        <is>
          <t>0.7827117376718701</t>
        </is>
      </c>
      <c r="Z108" s="29" t="inlineStr">
        <is>
          <t>HIGH</t>
        </is>
      </c>
      <c r="AA108" s="29" t="inlineStr">
        <is>
          <t>HIGH</t>
        </is>
      </c>
      <c r="AB108" s="29" t="inlineStr">
        <is>
          <t>0.004560941446629287</t>
        </is>
      </c>
      <c r="AC108" s="29" t="inlineStr">
        <is>
          <t>False</t>
        </is>
      </c>
      <c r="AD108" s="29" t="inlineStr">
        <is>
          <t>False</t>
        </is>
      </c>
      <c r="AE108" s="29" t="inlineStr">
        <is>
          <t>valuation_credit_ml_overlay_candidate.csv</t>
        </is>
      </c>
      <c r="AF108" s="29" t="inlineStr">
        <is>
          <t>208개 반도체 reference universe. Valuation Agent가 자체 intake 폴더로 복제해 Peer/ML/대시보드 비교에 사용.</t>
        </is>
      </c>
    </row>
    <row r="109" ht="24" customHeight="1">
      <c r="A109" s="24" t="inlineStr">
        <is>
          <t>206</t>
        </is>
      </c>
      <c r="B109" s="24" t="inlineStr">
        <is>
          <t>해당 없음</t>
        </is>
      </c>
      <c r="C109" s="24" t="inlineStr">
        <is>
          <t>코미코</t>
        </is>
      </c>
      <c r="D109" s="24" t="inlineStr">
        <is>
          <t>183300</t>
        </is>
      </c>
      <c r="E109" s="24" t="inlineStr">
        <is>
          <t>KOSDAQ GLOBAL</t>
        </is>
      </c>
      <c r="F109" s="24" t="inlineStr">
        <is>
          <t>부품/기판</t>
        </is>
      </c>
      <c r="G109" s="24" t="inlineStr">
        <is>
          <t>부품/기판</t>
        </is>
      </c>
      <c r="H109" s="24" t="inlineStr">
        <is>
          <t>False</t>
        </is>
      </c>
      <c r="I109" s="24" t="inlineStr">
        <is>
          <t>True</t>
        </is>
      </c>
      <c r="J109" s="24" t="inlineStr">
        <is>
          <t>OK</t>
        </is>
      </c>
      <c r="K109" s="24" t="inlineStr">
        <is>
          <t>데이터 사용 가능</t>
        </is>
      </c>
      <c r="L109" s="24" t="inlineStr">
        <is>
          <t>LOW</t>
        </is>
      </c>
      <c r="M109" s="24" t="inlineStr">
        <is>
          <t>LOW</t>
        </is>
      </c>
      <c r="N109" s="24" t="inlineStr">
        <is>
          <t>0.6342857142857143</t>
        </is>
      </c>
      <c r="O109" s="24" t="inlineStr">
        <is>
          <t>FAIR</t>
        </is>
      </c>
      <c r="P109" s="24" t="inlineStr">
        <is>
          <t>FAIR</t>
        </is>
      </c>
      <c r="Q109" s="24" t="inlineStr">
        <is>
          <t>FAIR</t>
        </is>
      </c>
      <c r="R109" s="24" t="inlineStr">
        <is>
          <t>0.8305894153326006</t>
        </is>
      </c>
      <c r="S109" s="24" t="inlineStr">
        <is>
          <t>HIGH</t>
        </is>
      </c>
      <c r="T109" s="24" t="inlineStr">
        <is>
          <t>HIGH</t>
        </is>
      </c>
      <c r="U109" s="24" t="inlineStr">
        <is>
          <t>0.3571428571428571</t>
        </is>
      </c>
      <c r="V109" s="24" t="inlineStr">
        <is>
          <t>MEDIUM_RISK</t>
        </is>
      </c>
      <c r="W109" s="24" t="inlineStr">
        <is>
          <t>중위험</t>
        </is>
      </c>
      <c r="X109" s="24" t="inlineStr">
        <is>
          <t>MEDIUM_RISK</t>
        </is>
      </c>
      <c r="Y109" s="24" t="inlineStr">
        <is>
          <t>0.6510391794232897</t>
        </is>
      </c>
      <c r="Z109" s="24" t="inlineStr">
        <is>
          <t>MEDIUM</t>
        </is>
      </c>
      <c r="AA109" s="24" t="inlineStr">
        <is>
          <t>MEDIUM</t>
        </is>
      </c>
      <c r="AB109" s="24" t="inlineStr">
        <is>
          <t>0.08075637337557524</t>
        </is>
      </c>
      <c r="AC109" s="24" t="inlineStr">
        <is>
          <t>False</t>
        </is>
      </c>
      <c r="AD109" s="24" t="inlineStr">
        <is>
          <t>False</t>
        </is>
      </c>
      <c r="AE109" s="24" t="inlineStr">
        <is>
          <t>valuation_credit_ml_overlay_candidate.csv</t>
        </is>
      </c>
      <c r="AF109" s="24" t="inlineStr">
        <is>
          <t>208개 반도체 reference universe. Valuation Agent가 자체 intake 폴더로 복제해 Peer/ML/대시보드 비교에 사용.</t>
        </is>
      </c>
    </row>
    <row r="110" ht="24" customHeight="1">
      <c r="A110" s="29" t="inlineStr">
        <is>
          <t>196</t>
        </is>
      </c>
      <c r="B110" s="29" t="inlineStr">
        <is>
          <t>해당 없음</t>
        </is>
      </c>
      <c r="C110" s="29" t="inlineStr">
        <is>
          <t>비에이치</t>
        </is>
      </c>
      <c r="D110" s="29" t="inlineStr">
        <is>
          <t>090460</t>
        </is>
      </c>
      <c r="E110" s="29" t="inlineStr">
        <is>
          <t>KOSPI</t>
        </is>
      </c>
      <c r="F110" s="29" t="inlineStr">
        <is>
          <t>부품/기판</t>
        </is>
      </c>
      <c r="G110" s="29" t="inlineStr">
        <is>
          <t>부품/기판</t>
        </is>
      </c>
      <c r="H110" s="29" t="inlineStr">
        <is>
          <t>False</t>
        </is>
      </c>
      <c r="I110" s="29" t="inlineStr">
        <is>
          <t>True</t>
        </is>
      </c>
      <c r="J110" s="29" t="inlineStr">
        <is>
          <t>OK</t>
        </is>
      </c>
      <c r="K110" s="29" t="inlineStr">
        <is>
          <t>데이터 사용 가능</t>
        </is>
      </c>
      <c r="L110" s="29" t="inlineStr">
        <is>
          <t>LOW</t>
        </is>
      </c>
      <c r="M110" s="29" t="inlineStr">
        <is>
          <t>LOW</t>
        </is>
      </c>
      <c r="N110" s="29" t="inlineStr">
        <is>
          <t>0.5752380952380951</t>
        </is>
      </c>
      <c r="O110" s="29" t="inlineStr">
        <is>
          <t>FAIR</t>
        </is>
      </c>
      <c r="P110" s="29" t="inlineStr">
        <is>
          <t>FAIR</t>
        </is>
      </c>
      <c r="Q110" s="29" t="inlineStr">
        <is>
          <t>FAIR</t>
        </is>
      </c>
      <c r="R110" s="29" t="inlineStr">
        <is>
          <t>0.5078538652826</t>
        </is>
      </c>
      <c r="S110" s="29" t="inlineStr">
        <is>
          <t>MEDIUM</t>
        </is>
      </c>
      <c r="T110" s="29" t="inlineStr">
        <is>
          <t>MEDIUM</t>
        </is>
      </c>
      <c r="U110" s="29" t="inlineStr">
        <is>
          <t>0.0</t>
        </is>
      </c>
      <c r="V110" s="29" t="inlineStr">
        <is>
          <t>LOW_RISK</t>
        </is>
      </c>
      <c r="W110" s="29" t="inlineStr">
        <is>
          <t>저위험</t>
        </is>
      </c>
      <c r="X110" s="29" t="inlineStr">
        <is>
          <t>LOW_RISK</t>
        </is>
      </c>
      <c r="Y110" s="29" t="inlineStr">
        <is>
          <t>0.8498731799769995</t>
        </is>
      </c>
      <c r="Z110" s="29" t="inlineStr">
        <is>
          <t>HIGH</t>
        </is>
      </c>
      <c r="AA110" s="29" t="inlineStr">
        <is>
          <t>HIGH</t>
        </is>
      </c>
      <c r="AB110" s="29" t="inlineStr">
        <is>
          <t>0.004189789054000619</t>
        </is>
      </c>
      <c r="AC110" s="29" t="inlineStr">
        <is>
          <t>False</t>
        </is>
      </c>
      <c r="AD110" s="29" t="inlineStr">
        <is>
          <t>False</t>
        </is>
      </c>
      <c r="AE110" s="29" t="inlineStr">
        <is>
          <t>valuation_credit_ml_overlay_candidate.csv</t>
        </is>
      </c>
      <c r="AF110" s="29" t="inlineStr">
        <is>
          <t>208개 반도체 reference universe. Valuation Agent가 자체 intake 폴더로 복제해 Peer/ML/대시보드 비교에 사용.</t>
        </is>
      </c>
    </row>
    <row r="111" ht="24" customHeight="1">
      <c r="A111" s="24" t="inlineStr">
        <is>
          <t>198</t>
        </is>
      </c>
      <c r="B111" s="24" t="inlineStr">
        <is>
          <t>해당 없음</t>
        </is>
      </c>
      <c r="C111" s="24" t="inlineStr">
        <is>
          <t>심텍홀딩스</t>
        </is>
      </c>
      <c r="D111" s="24" t="inlineStr">
        <is>
          <t>036710</t>
        </is>
      </c>
      <c r="E111" s="24" t="inlineStr">
        <is>
          <t>KOSDAQ</t>
        </is>
      </c>
      <c r="F111" s="24" t="inlineStr">
        <is>
          <t>부품/기판</t>
        </is>
      </c>
      <c r="G111" s="24" t="inlineStr">
        <is>
          <t>부품/기판</t>
        </is>
      </c>
      <c r="H111" s="24" t="inlineStr">
        <is>
          <t>False</t>
        </is>
      </c>
      <c r="I111" s="24" t="inlineStr">
        <is>
          <t>True</t>
        </is>
      </c>
      <c r="J111" s="24" t="inlineStr">
        <is>
          <t>OK</t>
        </is>
      </c>
      <c r="K111" s="24" t="inlineStr">
        <is>
          <t>데이터 사용 가능</t>
        </is>
      </c>
      <c r="L111" s="24" t="inlineStr">
        <is>
          <t>LOW</t>
        </is>
      </c>
      <c r="M111" s="24" t="inlineStr">
        <is>
          <t>LOW</t>
        </is>
      </c>
      <c r="N111" s="24" t="inlineStr">
        <is>
          <t>0.5323809523809524</t>
        </is>
      </c>
      <c r="O111" s="24" t="inlineStr">
        <is>
          <t>FAIR</t>
        </is>
      </c>
      <c r="P111" s="24" t="inlineStr">
        <is>
          <t>FAIR</t>
        </is>
      </c>
      <c r="Q111" s="24" t="inlineStr">
        <is>
          <t>FAIR</t>
        </is>
      </c>
      <c r="R111" s="24" t="inlineStr">
        <is>
          <t>0.726519318190825</t>
        </is>
      </c>
      <c r="S111" s="24" t="inlineStr">
        <is>
          <t>HIGH</t>
        </is>
      </c>
      <c r="T111" s="24" t="inlineStr">
        <is>
          <t>HIGH</t>
        </is>
      </c>
      <c r="U111" s="24" t="inlineStr">
        <is>
          <t>0.7857142857142857</t>
        </is>
      </c>
      <c r="V111" s="24" t="inlineStr">
        <is>
          <t>HIGH_RISK</t>
        </is>
      </c>
      <c r="W111" s="24" t="inlineStr">
        <is>
          <t>고위험</t>
        </is>
      </c>
      <c r="X111" s="24" t="inlineStr">
        <is>
          <t>HIGH_RISK</t>
        </is>
      </c>
      <c r="Y111" s="24" t="inlineStr">
        <is>
          <t>0.9494990496511118</t>
        </is>
      </c>
      <c r="Z111" s="24" t="inlineStr">
        <is>
          <t>HIGH</t>
        </is>
      </c>
      <c r="AA111" s="24" t="inlineStr">
        <is>
          <t>HIGH</t>
        </is>
      </c>
      <c r="AB111" s="24" t="inlineStr">
        <is>
          <t>0.2133344405871512</t>
        </is>
      </c>
      <c r="AC111" s="24" t="inlineStr">
        <is>
          <t>False</t>
        </is>
      </c>
      <c r="AD111" s="24" t="inlineStr">
        <is>
          <t>False</t>
        </is>
      </c>
      <c r="AE111" s="24" t="inlineStr">
        <is>
          <t>valuation_credit_ml_overlay_candidate.csv</t>
        </is>
      </c>
      <c r="AF111" s="24" t="inlineStr">
        <is>
          <t>208개 반도체 reference universe. Valuation Agent가 자체 intake 폴더로 복제해 Peer/ML/대시보드 비교에 사용.</t>
        </is>
      </c>
    </row>
    <row r="112" ht="24" customHeight="1">
      <c r="A112" s="29" t="inlineStr">
        <is>
          <t>201</t>
        </is>
      </c>
      <c r="B112" s="29" t="inlineStr">
        <is>
          <t>해당 없음</t>
        </is>
      </c>
      <c r="C112" s="29" t="inlineStr">
        <is>
          <t>엠디바이스</t>
        </is>
      </c>
      <c r="D112" s="29" t="inlineStr">
        <is>
          <t>226590</t>
        </is>
      </c>
      <c r="E112" s="29" t="inlineStr">
        <is>
          <t>KOSDAQ</t>
        </is>
      </c>
      <c r="F112" s="29" t="inlineStr">
        <is>
          <t>부품/기판</t>
        </is>
      </c>
      <c r="G112" s="29" t="inlineStr">
        <is>
          <t>부품/기판</t>
        </is>
      </c>
      <c r="H112" s="29" t="inlineStr">
        <is>
          <t>False</t>
        </is>
      </c>
      <c r="I112" s="29" t="inlineStr">
        <is>
          <t>True</t>
        </is>
      </c>
      <c r="J112" s="29" t="inlineStr">
        <is>
          <t>OK_LIMITED_HISTORY_OR_GROWTH_NA</t>
        </is>
      </c>
      <c r="K112" s="29" t="inlineStr">
        <is>
          <t>데이터 사용 가능</t>
        </is>
      </c>
      <c r="L112" s="29" t="inlineStr">
        <is>
          <t>LOW</t>
        </is>
      </c>
      <c r="M112" s="29" t="inlineStr">
        <is>
          <t>LOW</t>
        </is>
      </c>
      <c r="N112" s="29" t="inlineStr">
        <is>
          <t>0.531904761904762</t>
        </is>
      </c>
      <c r="O112" s="29" t="inlineStr">
        <is>
          <t>FAIR</t>
        </is>
      </c>
      <c r="P112" s="29" t="inlineStr">
        <is>
          <t>FAIR</t>
        </is>
      </c>
      <c r="Q112" s="29" t="inlineStr">
        <is>
          <t>FAIR</t>
        </is>
      </c>
      <c r="R112" s="29" t="inlineStr">
        <is>
          <t>0.7655361666958056</t>
        </is>
      </c>
      <c r="S112" s="29" t="inlineStr">
        <is>
          <t>HIGH</t>
        </is>
      </c>
      <c r="T112" s="29" t="inlineStr">
        <is>
          <t>HIGH</t>
        </is>
      </c>
      <c r="U112" s="29" t="inlineStr">
        <is>
          <t>0.4285714285714285</t>
        </is>
      </c>
      <c r="V112" s="29" t="inlineStr">
        <is>
          <t>HIGH_RISK</t>
        </is>
      </c>
      <c r="W112" s="29" t="inlineStr">
        <is>
          <t>고위험</t>
        </is>
      </c>
      <c r="X112" s="29" t="inlineStr">
        <is>
          <t>HIGH_RISK</t>
        </is>
      </c>
      <c r="Y112" s="29" t="inlineStr">
        <is>
          <t>0.5435613311923726</t>
        </is>
      </c>
      <c r="Z112" s="29" t="inlineStr">
        <is>
          <t>MEDIUM</t>
        </is>
      </c>
      <c r="AA112" s="29" t="inlineStr">
        <is>
          <t>MEDIUM</t>
        </is>
      </c>
      <c r="AB112" s="29" t="inlineStr">
        <is>
          <t>0.09953338023728169</t>
        </is>
      </c>
      <c r="AC112" s="29" t="inlineStr">
        <is>
          <t>False</t>
        </is>
      </c>
      <c r="AD112" s="29" t="inlineStr">
        <is>
          <t>True</t>
        </is>
      </c>
      <c r="AE112" s="29" t="inlineStr">
        <is>
          <t>valuation_credit_ml_overlay_candidate.csv</t>
        </is>
      </c>
      <c r="AF112" s="29" t="inlineStr">
        <is>
          <t>208개 반도체 reference universe. Valuation Agent가 자체 intake 폴더로 복제해 Peer/ML/대시보드 비교에 사용.</t>
        </is>
      </c>
    </row>
    <row r="113" ht="24" customHeight="1">
      <c r="A113" s="24" t="inlineStr">
        <is>
          <t>207</t>
        </is>
      </c>
      <c r="B113" s="24" t="inlineStr">
        <is>
          <t>해당 없음</t>
        </is>
      </c>
      <c r="C113" s="24" t="inlineStr">
        <is>
          <t>타이거일렉</t>
        </is>
      </c>
      <c r="D113" s="24" t="inlineStr">
        <is>
          <t>219130</t>
        </is>
      </c>
      <c r="E113" s="24" t="inlineStr">
        <is>
          <t>KOSDAQ</t>
        </is>
      </c>
      <c r="F113" s="24" t="inlineStr">
        <is>
          <t>부품/기판</t>
        </is>
      </c>
      <c r="G113" s="24" t="inlineStr">
        <is>
          <t>부품/기판</t>
        </is>
      </c>
      <c r="H113" s="24" t="inlineStr">
        <is>
          <t>False</t>
        </is>
      </c>
      <c r="I113" s="24" t="inlineStr">
        <is>
          <t>True</t>
        </is>
      </c>
      <c r="J113" s="24" t="inlineStr">
        <is>
          <t>OK</t>
        </is>
      </c>
      <c r="K113" s="24" t="inlineStr">
        <is>
          <t>데이터 사용 가능</t>
        </is>
      </c>
      <c r="L113" s="24" t="inlineStr">
        <is>
          <t>LOW</t>
        </is>
      </c>
      <c r="M113" s="24" t="inlineStr">
        <is>
          <t>LOW</t>
        </is>
      </c>
      <c r="N113" s="24" t="inlineStr">
        <is>
          <t>0.5066666666666667</t>
        </is>
      </c>
      <c r="O113" s="24" t="inlineStr">
        <is>
          <t>FAIR</t>
        </is>
      </c>
      <c r="P113" s="24" t="inlineStr">
        <is>
          <t>FAIR</t>
        </is>
      </c>
      <c r="Q113" s="24" t="inlineStr">
        <is>
          <t>FAIR</t>
        </is>
      </c>
      <c r="R113" s="24" t="inlineStr">
        <is>
          <t>0.6463040733623892</t>
        </is>
      </c>
      <c r="S113" s="24" t="inlineStr">
        <is>
          <t>MEDIUM</t>
        </is>
      </c>
      <c r="T113" s="24" t="inlineStr">
        <is>
          <t>MEDIUM</t>
        </is>
      </c>
      <c r="U113" s="24" t="inlineStr">
        <is>
          <t>0.1428571428571428</t>
        </is>
      </c>
      <c r="V113" s="24" t="inlineStr">
        <is>
          <t>LOW_RISK</t>
        </is>
      </c>
      <c r="W113" s="24" t="inlineStr">
        <is>
          <t>저위험</t>
        </is>
      </c>
      <c r="X113" s="24" t="inlineStr">
        <is>
          <t>LOW_RISK</t>
        </is>
      </c>
      <c r="Y113" s="24" t="inlineStr">
        <is>
          <t>0.6693838501840603</t>
        </is>
      </c>
      <c r="Z113" s="24" t="inlineStr">
        <is>
          <t>MEDIUM</t>
        </is>
      </c>
      <c r="AA113" s="24" t="inlineStr">
        <is>
          <t>MEDIUM</t>
        </is>
      </c>
      <c r="AB113" s="24" t="inlineStr">
        <is>
          <t>0.019101509586453232</t>
        </is>
      </c>
      <c r="AC113" s="24" t="inlineStr">
        <is>
          <t>False</t>
        </is>
      </c>
      <c r="AD113" s="24" t="inlineStr">
        <is>
          <t>False</t>
        </is>
      </c>
      <c r="AE113" s="24" t="inlineStr">
        <is>
          <t>valuation_credit_ml_overlay_candidate.csv</t>
        </is>
      </c>
      <c r="AF113" s="24" t="inlineStr">
        <is>
          <t>208개 반도체 reference universe. Valuation Agent가 자체 intake 폴더로 복제해 Peer/ML/대시보드 비교에 사용.</t>
        </is>
      </c>
    </row>
    <row r="114" ht="24" customHeight="1">
      <c r="A114" s="29" t="inlineStr">
        <is>
          <t>202</t>
        </is>
      </c>
      <c r="B114" s="29" t="inlineStr">
        <is>
          <t>해당 없음</t>
        </is>
      </c>
      <c r="C114" s="29" t="inlineStr">
        <is>
          <t>이수페타시스</t>
        </is>
      </c>
      <c r="D114" s="29" t="inlineStr">
        <is>
          <t>007660</t>
        </is>
      </c>
      <c r="E114" s="29" t="inlineStr">
        <is>
          <t>KOSPI</t>
        </is>
      </c>
      <c r="F114" s="29" t="inlineStr">
        <is>
          <t>부품/기판</t>
        </is>
      </c>
      <c r="G114" s="29" t="inlineStr">
        <is>
          <t>부품/기판</t>
        </is>
      </c>
      <c r="H114" s="29" t="inlineStr">
        <is>
          <t>False</t>
        </is>
      </c>
      <c r="I114" s="29" t="inlineStr">
        <is>
          <t>True</t>
        </is>
      </c>
      <c r="J114" s="29" t="inlineStr">
        <is>
          <t>OK</t>
        </is>
      </c>
      <c r="K114" s="29" t="inlineStr">
        <is>
          <t>데이터 사용 가능</t>
        </is>
      </c>
      <c r="L114" s="29" t="inlineStr">
        <is>
          <t>LOW</t>
        </is>
      </c>
      <c r="M114" s="29" t="inlineStr">
        <is>
          <t>LOW</t>
        </is>
      </c>
      <c r="N114" s="29" t="inlineStr">
        <is>
          <t>0.5061904761904762</t>
        </is>
      </c>
      <c r="O114" s="29" t="inlineStr">
        <is>
          <t>FAIR</t>
        </is>
      </c>
      <c r="P114" s="29" t="inlineStr">
        <is>
          <t>FAIR</t>
        </is>
      </c>
      <c r="Q114" s="29" t="inlineStr">
        <is>
          <t>FAIR</t>
        </is>
      </c>
      <c r="R114" s="29" t="inlineStr">
        <is>
          <t>0.599589540069591</t>
        </is>
      </c>
      <c r="S114" s="29" t="inlineStr">
        <is>
          <t>MEDIUM</t>
        </is>
      </c>
      <c r="T114" s="29" t="inlineStr">
        <is>
          <t>MEDIUM</t>
        </is>
      </c>
      <c r="U114" s="29" t="inlineStr">
        <is>
          <t>0.0</t>
        </is>
      </c>
      <c r="V114" s="29" t="inlineStr">
        <is>
          <t>LOW_RISK</t>
        </is>
      </c>
      <c r="W114" s="29" t="inlineStr">
        <is>
          <t>저위험</t>
        </is>
      </c>
      <c r="X114" s="29" t="inlineStr">
        <is>
          <t>LOW_RISK</t>
        </is>
      </c>
      <c r="Y114" s="29" t="inlineStr">
        <is>
          <t>0.8732919913777979</t>
        </is>
      </c>
      <c r="Z114" s="29" t="inlineStr">
        <is>
          <t>HIGH</t>
        </is>
      </c>
      <c r="AA114" s="29" t="inlineStr">
        <is>
          <t>HIGH</t>
        </is>
      </c>
      <c r="AB114" s="29" t="inlineStr">
        <is>
          <t>0.038896158054804106</t>
        </is>
      </c>
      <c r="AC114" s="29" t="inlineStr">
        <is>
          <t>False</t>
        </is>
      </c>
      <c r="AD114" s="29" t="inlineStr">
        <is>
          <t>False</t>
        </is>
      </c>
      <c r="AE114" s="29" t="inlineStr">
        <is>
          <t>valuation_credit_ml_overlay_candidate.csv</t>
        </is>
      </c>
      <c r="AF114" s="29" t="inlineStr">
        <is>
          <t>208개 반도체 reference universe. Valuation Agent가 자체 intake 폴더로 복제해 Peer/ML/대시보드 비교에 사용.</t>
        </is>
      </c>
    </row>
    <row r="115" ht="24" customHeight="1">
      <c r="A115" s="24" t="inlineStr">
        <is>
          <t>205</t>
        </is>
      </c>
      <c r="B115" s="24" t="inlineStr">
        <is>
          <t>해당 없음</t>
        </is>
      </c>
      <c r="C115" s="24" t="inlineStr">
        <is>
          <t>코리아써키트</t>
        </is>
      </c>
      <c r="D115" s="24" t="inlineStr">
        <is>
          <t>007810</t>
        </is>
      </c>
      <c r="E115" s="24" t="inlineStr">
        <is>
          <t>KOSPI</t>
        </is>
      </c>
      <c r="F115" s="24" t="inlineStr">
        <is>
          <t>부품/기판</t>
        </is>
      </c>
      <c r="G115" s="24" t="inlineStr">
        <is>
          <t>부품/기판</t>
        </is>
      </c>
      <c r="H115" s="24" t="inlineStr">
        <is>
          <t>False</t>
        </is>
      </c>
      <c r="I115" s="24" t="inlineStr">
        <is>
          <t>True</t>
        </is>
      </c>
      <c r="J115" s="24" t="inlineStr">
        <is>
          <t>OK</t>
        </is>
      </c>
      <c r="K115" s="24" t="inlineStr">
        <is>
          <t>데이터 사용 가능</t>
        </is>
      </c>
      <c r="L115" s="24" t="inlineStr">
        <is>
          <t>LOW</t>
        </is>
      </c>
      <c r="M115" s="24" t="inlineStr">
        <is>
          <t>LOW</t>
        </is>
      </c>
      <c r="N115" s="24" t="inlineStr">
        <is>
          <t>0.4676190476190476</t>
        </is>
      </c>
      <c r="O115" s="24" t="inlineStr">
        <is>
          <t>FAIR</t>
        </is>
      </c>
      <c r="P115" s="24" t="inlineStr">
        <is>
          <t>FAIR</t>
        </is>
      </c>
      <c r="Q115" s="24" t="inlineStr">
        <is>
          <t>FAIR</t>
        </is>
      </c>
      <c r="R115" s="24" t="inlineStr">
        <is>
          <t>0.8409076697911426</t>
        </is>
      </c>
      <c r="S115" s="24" t="inlineStr">
        <is>
          <t>HIGH</t>
        </is>
      </c>
      <c r="T115" s="24" t="inlineStr">
        <is>
          <t>HIGH</t>
        </is>
      </c>
      <c r="U115" s="24" t="inlineStr">
        <is>
          <t>0.2857142857142857</t>
        </is>
      </c>
      <c r="V115" s="24" t="inlineStr">
        <is>
          <t>MEDIUM_RISK</t>
        </is>
      </c>
      <c r="W115" s="24" t="inlineStr">
        <is>
          <t>중위험</t>
        </is>
      </c>
      <c r="X115" s="24" t="inlineStr">
        <is>
          <t>LOW_RISK</t>
        </is>
      </c>
      <c r="Y115" s="24" t="inlineStr">
        <is>
          <t>0.5792263126697852</t>
        </is>
      </c>
      <c r="Z115" s="24" t="inlineStr">
        <is>
          <t>MEDIUM</t>
        </is>
      </c>
      <c r="AA115" s="24" t="inlineStr">
        <is>
          <t>MEDIUM</t>
        </is>
      </c>
      <c r="AB115" s="24" t="inlineStr">
        <is>
          <t>0.03298450854390864</t>
        </is>
      </c>
      <c r="AC115" s="24" t="inlineStr">
        <is>
          <t>False</t>
        </is>
      </c>
      <c r="AD115" s="24" t="inlineStr">
        <is>
          <t>False</t>
        </is>
      </c>
      <c r="AE115" s="24" t="inlineStr">
        <is>
          <t>valuation_credit_ml_overlay_candidate.csv</t>
        </is>
      </c>
      <c r="AF115" s="24" t="inlineStr">
        <is>
          <t>208개 반도체 reference universe. Valuation Agent가 자체 intake 폴더로 복제해 Peer/ML/대시보드 비교에 사용.</t>
        </is>
      </c>
    </row>
    <row r="116" ht="24" customHeight="1">
      <c r="A116" s="29" t="inlineStr">
        <is>
          <t>200</t>
        </is>
      </c>
      <c r="B116" s="29" t="inlineStr">
        <is>
          <t>해당 없음</t>
        </is>
      </c>
      <c r="C116" s="29" t="inlineStr">
        <is>
          <t>아이티엠반도체</t>
        </is>
      </c>
      <c r="D116" s="29" t="inlineStr">
        <is>
          <t>084850</t>
        </is>
      </c>
      <c r="E116" s="29" t="inlineStr">
        <is>
          <t>KOSDAQ GLOBAL</t>
        </is>
      </c>
      <c r="F116" s="29" t="inlineStr">
        <is>
          <t>부품/기판</t>
        </is>
      </c>
      <c r="G116" s="29" t="inlineStr">
        <is>
          <t>부품/기판</t>
        </is>
      </c>
      <c r="H116" s="29" t="inlineStr">
        <is>
          <t>False</t>
        </is>
      </c>
      <c r="I116" s="29" t="inlineStr">
        <is>
          <t>True</t>
        </is>
      </c>
      <c r="J116" s="29" t="inlineStr">
        <is>
          <t>OK</t>
        </is>
      </c>
      <c r="K116" s="29" t="inlineStr">
        <is>
          <t>데이터 사용 가능</t>
        </is>
      </c>
      <c r="L116" s="29" t="inlineStr">
        <is>
          <t>LOW</t>
        </is>
      </c>
      <c r="M116" s="29" t="inlineStr">
        <is>
          <t>LOW</t>
        </is>
      </c>
      <c r="N116" s="29" t="inlineStr">
        <is>
          <t>0.4123809523809524</t>
        </is>
      </c>
      <c r="O116" s="29" t="inlineStr">
        <is>
          <t>EXPENSIVE</t>
        </is>
      </c>
      <c r="P116" s="29" t="inlineStr">
        <is>
          <t>EXPENSIVE</t>
        </is>
      </c>
      <c r="Q116" s="29" t="inlineStr">
        <is>
          <t>EXPENSIVE</t>
        </is>
      </c>
      <c r="R116" s="29" t="inlineStr">
        <is>
          <t>0.599341656390115</t>
        </is>
      </c>
      <c r="S116" s="29" t="inlineStr">
        <is>
          <t>MEDIUM</t>
        </is>
      </c>
      <c r="T116" s="29" t="inlineStr">
        <is>
          <t>MEDIUM</t>
        </is>
      </c>
      <c r="U116" s="29" t="inlineStr">
        <is>
          <t>0.5</t>
        </is>
      </c>
      <c r="V116" s="29" t="inlineStr">
        <is>
          <t>HIGH_RISK</t>
        </is>
      </c>
      <c r="W116" s="29" t="inlineStr">
        <is>
          <t>고위험</t>
        </is>
      </c>
      <c r="X116" s="29" t="inlineStr">
        <is>
          <t>HIGH_RISK</t>
        </is>
      </c>
      <c r="Y116" s="29" t="inlineStr">
        <is>
          <t>0.5842218052758918</t>
        </is>
      </c>
      <c r="Z116" s="29" t="inlineStr">
        <is>
          <t>MEDIUM</t>
        </is>
      </c>
      <c r="AA116" s="29" t="inlineStr">
        <is>
          <t>MEDIUM</t>
        </is>
      </c>
      <c r="AB116" s="29" t="inlineStr">
        <is>
          <t>0.24031195088694401</t>
        </is>
      </c>
      <c r="AC116" s="29" t="inlineStr">
        <is>
          <t>True</t>
        </is>
      </c>
      <c r="AD116" s="29" t="inlineStr">
        <is>
          <t>True</t>
        </is>
      </c>
      <c r="AE116" s="29" t="inlineStr">
        <is>
          <t>valuation_credit_ml_overlay_candidate.csv</t>
        </is>
      </c>
      <c r="AF116" s="29" t="inlineStr">
        <is>
          <t>208개 반도체 reference universe. Valuation Agent가 자체 intake 폴더로 복제해 Peer/ML/대시보드 비교에 사용.</t>
        </is>
      </c>
    </row>
    <row r="117" ht="24" customHeight="1">
      <c r="A117" s="24" t="inlineStr">
        <is>
          <t>195</t>
        </is>
      </c>
      <c r="B117" s="24" t="inlineStr">
        <is>
          <t>해당 없음</t>
        </is>
      </c>
      <c r="C117" s="24" t="inlineStr">
        <is>
          <t>대덕전자</t>
        </is>
      </c>
      <c r="D117" s="24" t="inlineStr">
        <is>
          <t>353200</t>
        </is>
      </c>
      <c r="E117" s="24" t="inlineStr">
        <is>
          <t>KOSPI</t>
        </is>
      </c>
      <c r="F117" s="24" t="inlineStr">
        <is>
          <t>부품/기판</t>
        </is>
      </c>
      <c r="G117" s="24" t="inlineStr">
        <is>
          <t>부품/기판</t>
        </is>
      </c>
      <c r="H117" s="24" t="inlineStr">
        <is>
          <t>False</t>
        </is>
      </c>
      <c r="I117" s="24" t="inlineStr">
        <is>
          <t>True</t>
        </is>
      </c>
      <c r="J117" s="24" t="inlineStr">
        <is>
          <t>OK</t>
        </is>
      </c>
      <c r="K117" s="24" t="inlineStr">
        <is>
          <t>데이터 사용 가능</t>
        </is>
      </c>
      <c r="L117" s="24" t="inlineStr">
        <is>
          <t>LOW</t>
        </is>
      </c>
      <c r="M117" s="24" t="inlineStr">
        <is>
          <t>LOW</t>
        </is>
      </c>
      <c r="N117" s="24" t="inlineStr">
        <is>
          <t>0.3966666666666666</t>
        </is>
      </c>
      <c r="O117" s="24" t="inlineStr">
        <is>
          <t>EXPENSIVE</t>
        </is>
      </c>
      <c r="P117" s="24" t="inlineStr">
        <is>
          <t>EXPENSIVE</t>
        </is>
      </c>
      <c r="Q117" s="24" t="inlineStr">
        <is>
          <t>EXPENSIVE</t>
        </is>
      </c>
      <c r="R117" s="24" t="inlineStr">
        <is>
          <t>0.6645756407915718</t>
        </is>
      </c>
      <c r="S117" s="24" t="inlineStr">
        <is>
          <t>MEDIUM</t>
        </is>
      </c>
      <c r="T117" s="24" t="inlineStr">
        <is>
          <t>MEDIUM</t>
        </is>
      </c>
      <c r="U117" s="24" t="inlineStr">
        <is>
          <t>0.1428571428571428</t>
        </is>
      </c>
      <c r="V117" s="24" t="inlineStr">
        <is>
          <t>LOW_RISK</t>
        </is>
      </c>
      <c r="W117" s="24" t="inlineStr">
        <is>
          <t>저위험</t>
        </is>
      </c>
      <c r="X117" s="24" t="inlineStr">
        <is>
          <t>LOW_RISK</t>
        </is>
      </c>
      <c r="Y117" s="24" t="inlineStr">
        <is>
          <t>0.8790575945794377</t>
        </is>
      </c>
      <c r="Z117" s="24" t="inlineStr">
        <is>
          <t>HIGH</t>
        </is>
      </c>
      <c r="AA117" s="24" t="inlineStr">
        <is>
          <t>HIGH</t>
        </is>
      </c>
      <c r="AB117" s="24" t="inlineStr">
        <is>
          <t>0.04079572535822507</t>
        </is>
      </c>
      <c r="AC117" s="24" t="inlineStr">
        <is>
          <t>False</t>
        </is>
      </c>
      <c r="AD117" s="24" t="inlineStr">
        <is>
          <t>False</t>
        </is>
      </c>
      <c r="AE117" s="24" t="inlineStr">
        <is>
          <t>valuation_credit_ml_overlay_candidate.csv</t>
        </is>
      </c>
      <c r="AF117" s="24" t="inlineStr">
        <is>
          <t>208개 반도체 reference universe. Valuation Agent가 자체 intake 폴더로 복제해 Peer/ML/대시보드 비교에 사용.</t>
        </is>
      </c>
    </row>
    <row r="118" ht="24" customHeight="1">
      <c r="A118" s="29" t="inlineStr">
        <is>
          <t>197</t>
        </is>
      </c>
      <c r="B118" s="29" t="inlineStr">
        <is>
          <t>해당 없음</t>
        </is>
      </c>
      <c r="C118" s="29" t="inlineStr">
        <is>
          <t>심텍</t>
        </is>
      </c>
      <c r="D118" s="29" t="inlineStr">
        <is>
          <t>222800</t>
        </is>
      </c>
      <c r="E118" s="29" t="inlineStr">
        <is>
          <t>KOSDAQ GLOBAL</t>
        </is>
      </c>
      <c r="F118" s="29" t="inlineStr">
        <is>
          <t>부품/기판</t>
        </is>
      </c>
      <c r="G118" s="29" t="inlineStr">
        <is>
          <t>부품/기판</t>
        </is>
      </c>
      <c r="H118" s="29" t="inlineStr">
        <is>
          <t>False</t>
        </is>
      </c>
      <c r="I118" s="29" t="inlineStr">
        <is>
          <t>True</t>
        </is>
      </c>
      <c r="J118" s="29" t="inlineStr">
        <is>
          <t>OK</t>
        </is>
      </c>
      <c r="K118" s="29" t="inlineStr">
        <is>
          <t>데이터 사용 가능</t>
        </is>
      </c>
      <c r="L118" s="29" t="inlineStr">
        <is>
          <t>LOW</t>
        </is>
      </c>
      <c r="M118" s="29" t="inlineStr">
        <is>
          <t>LOW</t>
        </is>
      </c>
      <c r="N118" s="29" t="inlineStr">
        <is>
          <t>0.3776190476190476</t>
        </is>
      </c>
      <c r="O118" s="29" t="inlineStr">
        <is>
          <t>EXPENSIVE</t>
        </is>
      </c>
      <c r="P118" s="29" t="inlineStr">
        <is>
          <t>EXPENSIVE</t>
        </is>
      </c>
      <c r="Q118" s="29" t="inlineStr">
        <is>
          <t>EXPENSIVE</t>
        </is>
      </c>
      <c r="R118" s="29" t="inlineStr">
        <is>
          <t>0.5170784842162837</t>
        </is>
      </c>
      <c r="S118" s="29" t="inlineStr">
        <is>
          <t>MEDIUM</t>
        </is>
      </c>
      <c r="T118" s="29" t="inlineStr">
        <is>
          <t>MEDIUM</t>
        </is>
      </c>
      <c r="U118" s="29" t="inlineStr">
        <is>
          <t>0.5714285714285714</t>
        </is>
      </c>
      <c r="V118" s="29" t="inlineStr">
        <is>
          <t>HIGH_RISK</t>
        </is>
      </c>
      <c r="W118" s="29" t="inlineStr">
        <is>
          <t>고위험</t>
        </is>
      </c>
      <c r="X118" s="29" t="inlineStr">
        <is>
          <t>HIGH_RISK</t>
        </is>
      </c>
      <c r="Y118" s="29" t="inlineStr">
        <is>
          <t>0.8465973773812472</t>
        </is>
      </c>
      <c r="Z118" s="29" t="inlineStr">
        <is>
          <t>HIGH</t>
        </is>
      </c>
      <c r="AA118" s="29" t="inlineStr">
        <is>
          <t>HIGH</t>
        </is>
      </c>
      <c r="AB118" s="29" t="inlineStr">
        <is>
          <t>0.10596332114746113</t>
        </is>
      </c>
      <c r="AC118" s="29" t="inlineStr">
        <is>
          <t>False</t>
        </is>
      </c>
      <c r="AD118" s="29" t="inlineStr">
        <is>
          <t>False</t>
        </is>
      </c>
      <c r="AE118" s="29" t="inlineStr">
        <is>
          <t>valuation_credit_ml_overlay_candidate.csv</t>
        </is>
      </c>
      <c r="AF118" s="29" t="inlineStr">
        <is>
          <t>208개 반도체 reference universe. Valuation Agent가 자체 intake 폴더로 복제해 Peer/ML/대시보드 비교에 사용.</t>
        </is>
      </c>
    </row>
    <row r="119" ht="24" customHeight="1">
      <c r="A119" s="24" t="inlineStr">
        <is>
          <t>199</t>
        </is>
      </c>
      <c r="B119" s="24" t="inlineStr">
        <is>
          <t>해당 없음</t>
        </is>
      </c>
      <c r="C119" s="24" t="inlineStr">
        <is>
          <t>아이에이</t>
        </is>
      </c>
      <c r="D119" s="24" t="inlineStr">
        <is>
          <t>038880</t>
        </is>
      </c>
      <c r="E119" s="24" t="inlineStr">
        <is>
          <t>KOSDAQ</t>
        </is>
      </c>
      <c r="F119" s="24" t="inlineStr">
        <is>
          <t>부품/기판</t>
        </is>
      </c>
      <c r="G119" s="24" t="inlineStr">
        <is>
          <t>부품/기판</t>
        </is>
      </c>
      <c r="H119" s="24" t="inlineStr">
        <is>
          <t>False</t>
        </is>
      </c>
      <c r="I119" s="24" t="inlineStr">
        <is>
          <t>True</t>
        </is>
      </c>
      <c r="J119" s="24" t="inlineStr">
        <is>
          <t>OK</t>
        </is>
      </c>
      <c r="K119" s="24" t="inlineStr">
        <is>
          <t>데이터 사용 가능</t>
        </is>
      </c>
      <c r="L119" s="24" t="inlineStr">
        <is>
          <t>LOW</t>
        </is>
      </c>
      <c r="M119" s="24" t="inlineStr">
        <is>
          <t>LOW</t>
        </is>
      </c>
      <c r="N119" s="24" t="inlineStr">
        <is>
          <t>0.3776190476190476</t>
        </is>
      </c>
      <c r="O119" s="24" t="inlineStr">
        <is>
          <t>EXPENSIVE</t>
        </is>
      </c>
      <c r="P119" s="24" t="inlineStr">
        <is>
          <t>EXPENSIVE</t>
        </is>
      </c>
      <c r="Q119" s="24" t="inlineStr">
        <is>
          <t>EXPENSIVE</t>
        </is>
      </c>
      <c r="R119" s="24" t="inlineStr">
        <is>
          <t>0.7739089828714508</t>
        </is>
      </c>
      <c r="S119" s="24" t="inlineStr">
        <is>
          <t>HIGH</t>
        </is>
      </c>
      <c r="T119" s="24" t="inlineStr">
        <is>
          <t>HIGH</t>
        </is>
      </c>
      <c r="U119" s="24" t="inlineStr">
        <is>
          <t>0.7142857142857143</t>
        </is>
      </c>
      <c r="V119" s="24" t="inlineStr">
        <is>
          <t>HIGH_RISK</t>
        </is>
      </c>
      <c r="W119" s="24" t="inlineStr">
        <is>
          <t>고위험</t>
        </is>
      </c>
      <c r="X119" s="24" t="inlineStr">
        <is>
          <t>HIGH_RISK</t>
        </is>
      </c>
      <c r="Y119" s="24" t="inlineStr">
        <is>
          <t>0.9768034906818953</t>
        </is>
      </c>
      <c r="Z119" s="24" t="inlineStr">
        <is>
          <t>HIGH</t>
        </is>
      </c>
      <c r="AA119" s="24" t="inlineStr">
        <is>
          <t>HIGH</t>
        </is>
      </c>
      <c r="AB119" s="24" t="inlineStr">
        <is>
          <t>0.2681205370430481</t>
        </is>
      </c>
      <c r="AC119" s="24" t="inlineStr">
        <is>
          <t>True</t>
        </is>
      </c>
      <c r="AD119" s="24" t="inlineStr">
        <is>
          <t>True</t>
        </is>
      </c>
      <c r="AE119" s="24" t="inlineStr">
        <is>
          <t>valuation_credit_ml_overlay_candidate.csv</t>
        </is>
      </c>
      <c r="AF119" s="24" t="inlineStr">
        <is>
          <t>208개 반도체 reference universe. Valuation Agent가 자체 intake 폴더로 복제해 Peer/ML/대시보드 비교에 사용.</t>
        </is>
      </c>
    </row>
    <row r="120" ht="24" customHeight="1">
      <c r="A120" s="29" t="inlineStr">
        <is>
          <t>208</t>
        </is>
      </c>
      <c r="B120" s="29" t="inlineStr">
        <is>
          <t>해당 없음</t>
        </is>
      </c>
      <c r="C120" s="29" t="inlineStr">
        <is>
          <t>3S</t>
        </is>
      </c>
      <c r="D120" s="29" t="inlineStr">
        <is>
          <t>060310</t>
        </is>
      </c>
      <c r="E120" s="29" t="inlineStr">
        <is>
          <t>KOSDAQ</t>
        </is>
      </c>
      <c r="F120" s="29" t="inlineStr">
        <is>
          <t>부품/기판</t>
        </is>
      </c>
      <c r="G120" s="29" t="inlineStr">
        <is>
          <t>부품/웨이퍼캐리어</t>
        </is>
      </c>
      <c r="H120" s="29" t="inlineStr">
        <is>
          <t>False</t>
        </is>
      </c>
      <c r="I120" s="29" t="inlineStr">
        <is>
          <t>True</t>
        </is>
      </c>
      <c r="J120" s="29" t="inlineStr">
        <is>
          <t>OK</t>
        </is>
      </c>
      <c r="K120" s="29" t="inlineStr">
        <is>
          <t>데이터 사용 가능</t>
        </is>
      </c>
      <c r="L120" s="29" t="inlineStr">
        <is>
          <t>LOW</t>
        </is>
      </c>
      <c r="M120" s="29" t="inlineStr">
        <is>
          <t>LOW</t>
        </is>
      </c>
      <c r="N120" s="29" t="inlineStr">
        <is>
          <t>0.3409523809523809</t>
        </is>
      </c>
      <c r="O120" s="29" t="inlineStr">
        <is>
          <t>EXPENSIVE</t>
        </is>
      </c>
      <c r="P120" s="29" t="inlineStr">
        <is>
          <t>EXPENSIVE</t>
        </is>
      </c>
      <c r="Q120" s="29" t="inlineStr">
        <is>
          <t>EXPENSIVE</t>
        </is>
      </c>
      <c r="R120" s="29" t="inlineStr">
        <is>
          <t>0.8755971854841007</t>
        </is>
      </c>
      <c r="S120" s="29" t="inlineStr">
        <is>
          <t>HIGH</t>
        </is>
      </c>
      <c r="T120" s="29" t="inlineStr">
        <is>
          <t>HIGH</t>
        </is>
      </c>
      <c r="U120" s="29" t="inlineStr">
        <is>
          <t>0.5714285714285714</t>
        </is>
      </c>
      <c r="V120" s="29" t="inlineStr">
        <is>
          <t>HIGH_RISK</t>
        </is>
      </c>
      <c r="W120" s="29" t="inlineStr">
        <is>
          <t>고위험</t>
        </is>
      </c>
      <c r="X120" s="29" t="inlineStr">
        <is>
          <t>HIGH_RISK</t>
        </is>
      </c>
      <c r="Y120" s="29" t="inlineStr">
        <is>
          <t>0.9688627439088098</t>
        </is>
      </c>
      <c r="Z120" s="29" t="inlineStr">
        <is>
          <t>HIGH</t>
        </is>
      </c>
      <c r="AA120" s="29" t="inlineStr">
        <is>
          <t>HIGH</t>
        </is>
      </c>
      <c r="AB120" s="29" t="inlineStr">
        <is>
          <t>0.13174199880530135</t>
        </is>
      </c>
      <c r="AC120" s="29" t="inlineStr">
        <is>
          <t>False</t>
        </is>
      </c>
      <c r="AD120" s="29" t="inlineStr">
        <is>
          <t>False</t>
        </is>
      </c>
      <c r="AE120" s="29" t="inlineStr">
        <is>
          <t>valuation_credit_ml_overlay_candidate.csv</t>
        </is>
      </c>
      <c r="AF120" s="29" t="inlineStr">
        <is>
          <t>208개 반도체 reference universe. Valuation Agent가 자체 intake 폴더로 복제해 Peer/ML/대시보드 비교에 사용.</t>
        </is>
      </c>
    </row>
    <row r="121" ht="24" customHeight="1">
      <c r="A121" s="24" t="inlineStr">
        <is>
          <t>139</t>
        </is>
      </c>
      <c r="B121" s="24" t="inlineStr">
        <is>
          <t>해당 없음</t>
        </is>
      </c>
      <c r="C121" s="24" t="inlineStr">
        <is>
          <t>월덱스</t>
        </is>
      </c>
      <c r="D121" s="24" t="inlineStr">
        <is>
          <t>101160</t>
        </is>
      </c>
      <c r="E121" s="24" t="inlineStr">
        <is>
          <t>KOSDAQ</t>
        </is>
      </c>
      <c r="F121" s="24" t="inlineStr">
        <is>
          <t>소재</t>
        </is>
      </c>
      <c r="G121" s="24" t="inlineStr">
        <is>
          <t>소재</t>
        </is>
      </c>
      <c r="H121" s="24" t="inlineStr">
        <is>
          <t>False</t>
        </is>
      </c>
      <c r="I121" s="24" t="inlineStr">
        <is>
          <t>True</t>
        </is>
      </c>
      <c r="J121" s="24" t="inlineStr">
        <is>
          <t>OK</t>
        </is>
      </c>
      <c r="K121" s="24" t="inlineStr">
        <is>
          <t>데이터 사용 가능</t>
        </is>
      </c>
      <c r="L121" s="24" t="inlineStr">
        <is>
          <t>LOW</t>
        </is>
      </c>
      <c r="M121" s="24" t="inlineStr">
        <is>
          <t>LOW</t>
        </is>
      </c>
      <c r="N121" s="24" t="inlineStr">
        <is>
          <t>0.745897435897436</t>
        </is>
      </c>
      <c r="O121" s="24" t="inlineStr">
        <is>
          <t>ATTRACTIVE</t>
        </is>
      </c>
      <c r="P121" s="24" t="inlineStr">
        <is>
          <t>가치 매력</t>
        </is>
      </c>
      <c r="Q121" s="24" t="inlineStr">
        <is>
          <t>ATTRACTIVE</t>
        </is>
      </c>
      <c r="R121" s="24" t="inlineStr">
        <is>
          <t>0.9476922450763601</t>
        </is>
      </c>
      <c r="S121" s="24" t="inlineStr">
        <is>
          <t>HIGH</t>
        </is>
      </c>
      <c r="T121" s="24" t="inlineStr">
        <is>
          <t>HIGH</t>
        </is>
      </c>
      <c r="U121" s="24" t="inlineStr">
        <is>
          <t>0.0</t>
        </is>
      </c>
      <c r="V121" s="24" t="inlineStr">
        <is>
          <t>LOW_RISK</t>
        </is>
      </c>
      <c r="W121" s="24" t="inlineStr">
        <is>
          <t>저위험</t>
        </is>
      </c>
      <c r="X121" s="24" t="inlineStr">
        <is>
          <t>LOW_RISK</t>
        </is>
      </c>
      <c r="Y121" s="24" t="inlineStr">
        <is>
          <t>0.9681016473230849</t>
        </is>
      </c>
      <c r="Z121" s="24" t="inlineStr">
        <is>
          <t>HIGH</t>
        </is>
      </c>
      <c r="AA121" s="24" t="inlineStr">
        <is>
          <t>HIGH</t>
        </is>
      </c>
      <c r="AB121" s="24" t="inlineStr">
        <is>
          <t>0.15527064195126172</t>
        </is>
      </c>
      <c r="AC121" s="24" t="inlineStr">
        <is>
          <t>False</t>
        </is>
      </c>
      <c r="AD121" s="24" t="inlineStr">
        <is>
          <t>False</t>
        </is>
      </c>
      <c r="AE121" s="24" t="inlineStr">
        <is>
          <t>valuation_credit_ml_overlay_candidate.csv</t>
        </is>
      </c>
      <c r="AF121" s="24" t="inlineStr">
        <is>
          <t>208개 반도체 reference universe. Valuation Agent가 자체 intake 폴더로 복제해 Peer/ML/대시보드 비교에 사용.</t>
        </is>
      </c>
    </row>
    <row r="122" ht="24" customHeight="1">
      <c r="A122" s="29" t="inlineStr">
        <is>
          <t>147</t>
        </is>
      </c>
      <c r="B122" s="29" t="inlineStr">
        <is>
          <t>해당 없음</t>
        </is>
      </c>
      <c r="C122" s="29" t="inlineStr">
        <is>
          <t>퓨릿</t>
        </is>
      </c>
      <c r="D122" s="29" t="inlineStr">
        <is>
          <t>445180</t>
        </is>
      </c>
      <c r="E122" s="29" t="inlineStr">
        <is>
          <t>KOSDAQ</t>
        </is>
      </c>
      <c r="F122" s="29" t="inlineStr">
        <is>
          <t>소재</t>
        </is>
      </c>
      <c r="G122" s="29" t="inlineStr">
        <is>
          <t>소재</t>
        </is>
      </c>
      <c r="H122" s="29" t="inlineStr">
        <is>
          <t>False</t>
        </is>
      </c>
      <c r="I122" s="29" t="inlineStr">
        <is>
          <t>True</t>
        </is>
      </c>
      <c r="J122" s="29" t="inlineStr">
        <is>
          <t>OK_LIMITED_HISTORY_OR_GROWTH_NA</t>
        </is>
      </c>
      <c r="K122" s="29" t="inlineStr">
        <is>
          <t>데이터 사용 가능</t>
        </is>
      </c>
      <c r="L122" s="29" t="inlineStr">
        <is>
          <t>LOW</t>
        </is>
      </c>
      <c r="M122" s="29" t="inlineStr">
        <is>
          <t>LOW</t>
        </is>
      </c>
      <c r="N122" s="29" t="inlineStr">
        <is>
          <t>0.7448717948717948</t>
        </is>
      </c>
      <c r="O122" s="29" t="inlineStr">
        <is>
          <t>ATTRACTIVE</t>
        </is>
      </c>
      <c r="P122" s="29" t="inlineStr">
        <is>
          <t>가치 매력</t>
        </is>
      </c>
      <c r="Q122" s="29" t="inlineStr">
        <is>
          <t>ATTRACTIVE</t>
        </is>
      </c>
      <c r="R122" s="29" t="inlineStr">
        <is>
          <t>0.8817607106455689</t>
        </is>
      </c>
      <c r="S122" s="29" t="inlineStr">
        <is>
          <t>HIGH</t>
        </is>
      </c>
      <c r="T122" s="29" t="inlineStr">
        <is>
          <t>HIGH</t>
        </is>
      </c>
      <c r="U122" s="29" t="inlineStr">
        <is>
          <t>0.0714285714285714</t>
        </is>
      </c>
      <c r="V122" s="29" t="inlineStr">
        <is>
          <t>LOW_RISK</t>
        </is>
      </c>
      <c r="W122" s="29" t="inlineStr">
        <is>
          <t>저위험</t>
        </is>
      </c>
      <c r="X122" s="29" t="inlineStr">
        <is>
          <t>LOW_RISK</t>
        </is>
      </c>
      <c r="Y122" s="29" t="inlineStr">
        <is>
          <t>0.9587686707140917</t>
        </is>
      </c>
      <c r="Z122" s="29" t="inlineStr">
        <is>
          <t>HIGH</t>
        </is>
      </c>
      <c r="AA122" s="29" t="inlineStr">
        <is>
          <t>HIGH</t>
        </is>
      </c>
      <c r="AB122" s="29" t="inlineStr">
        <is>
          <t>0.09055441585311619</t>
        </is>
      </c>
      <c r="AC122" s="29" t="inlineStr">
        <is>
          <t>False</t>
        </is>
      </c>
      <c r="AD122" s="29" t="inlineStr">
        <is>
          <t>True</t>
        </is>
      </c>
      <c r="AE122" s="29" t="inlineStr">
        <is>
          <t>valuation_credit_ml_overlay_candidate.csv</t>
        </is>
      </c>
      <c r="AF122" s="29" t="inlineStr">
        <is>
          <t>208개 반도체 reference universe. Valuation Agent가 자체 intake 폴더로 복제해 Peer/ML/대시보드 비교에 사용.</t>
        </is>
      </c>
    </row>
    <row r="123" ht="24" customHeight="1">
      <c r="A123" s="24" t="inlineStr">
        <is>
          <t>141</t>
        </is>
      </c>
      <c r="B123" s="24" t="inlineStr">
        <is>
          <t>해당 없음</t>
        </is>
      </c>
      <c r="C123" s="24" t="inlineStr">
        <is>
          <t>이엔에프테크놀로지</t>
        </is>
      </c>
      <c r="D123" s="24" t="inlineStr">
        <is>
          <t>102710</t>
        </is>
      </c>
      <c r="E123" s="24" t="inlineStr">
        <is>
          <t>KOSDAQ</t>
        </is>
      </c>
      <c r="F123" s="24" t="inlineStr">
        <is>
          <t>소재</t>
        </is>
      </c>
      <c r="G123" s="24" t="inlineStr">
        <is>
          <t>소재</t>
        </is>
      </c>
      <c r="H123" s="24" t="inlineStr">
        <is>
          <t>False</t>
        </is>
      </c>
      <c r="I123" s="24" t="inlineStr">
        <is>
          <t>True</t>
        </is>
      </c>
      <c r="J123" s="24" t="inlineStr">
        <is>
          <t>OK</t>
        </is>
      </c>
      <c r="K123" s="24" t="inlineStr">
        <is>
          <t>데이터 사용 가능</t>
        </is>
      </c>
      <c r="L123" s="24" t="inlineStr">
        <is>
          <t>LOW</t>
        </is>
      </c>
      <c r="M123" s="24" t="inlineStr">
        <is>
          <t>LOW</t>
        </is>
      </c>
      <c r="N123" s="24" t="inlineStr">
        <is>
          <t>0.7061538461538462</t>
        </is>
      </c>
      <c r="O123" s="24" t="inlineStr">
        <is>
          <t>ATTRACTIVE</t>
        </is>
      </c>
      <c r="P123" s="24" t="inlineStr">
        <is>
          <t>가치 매력</t>
        </is>
      </c>
      <c r="Q123" s="24" t="inlineStr">
        <is>
          <t>ATTRACTIVE</t>
        </is>
      </c>
      <c r="R123" s="24" t="inlineStr">
        <is>
          <t>0.9371627732042065</t>
        </is>
      </c>
      <c r="S123" s="24" t="inlineStr">
        <is>
          <t>HIGH</t>
        </is>
      </c>
      <c r="T123" s="24" t="inlineStr">
        <is>
          <t>HIGH</t>
        </is>
      </c>
      <c r="U123" s="24" t="inlineStr">
        <is>
          <t>0.0</t>
        </is>
      </c>
      <c r="V123" s="24" t="inlineStr">
        <is>
          <t>LOW_RISK</t>
        </is>
      </c>
      <c r="W123" s="24" t="inlineStr">
        <is>
          <t>저위험</t>
        </is>
      </c>
      <c r="X123" s="24" t="inlineStr">
        <is>
          <t>LOW_RISK</t>
        </is>
      </c>
      <c r="Y123" s="24" t="inlineStr">
        <is>
          <t>0.8730332003988217</t>
        </is>
      </c>
      <c r="Z123" s="24" t="inlineStr">
        <is>
          <t>HIGH</t>
        </is>
      </c>
      <c r="AA123" s="24" t="inlineStr">
        <is>
          <t>HIGH</t>
        </is>
      </c>
      <c r="AB123" s="24" t="inlineStr">
        <is>
          <t>0.01762692878431683</t>
        </is>
      </c>
      <c r="AC123" s="24" t="inlineStr">
        <is>
          <t>False</t>
        </is>
      </c>
      <c r="AD123" s="24" t="inlineStr">
        <is>
          <t>False</t>
        </is>
      </c>
      <c r="AE123" s="24" t="inlineStr">
        <is>
          <t>valuation_credit_ml_overlay_candidate.csv</t>
        </is>
      </c>
      <c r="AF123" s="24" t="inlineStr">
        <is>
          <t>208개 반도체 reference universe. Valuation Agent가 자체 intake 폴더로 복제해 Peer/ML/대시보드 비교에 사용.</t>
        </is>
      </c>
    </row>
    <row r="124" ht="24" customHeight="1">
      <c r="A124" s="29" t="inlineStr">
        <is>
          <t>138</t>
        </is>
      </c>
      <c r="B124" s="29" t="inlineStr">
        <is>
          <t>해당 없음</t>
        </is>
      </c>
      <c r="C124" s="29" t="inlineStr">
        <is>
          <t>원익머트리얼즈</t>
        </is>
      </c>
      <c r="D124" s="29" t="inlineStr">
        <is>
          <t>104830</t>
        </is>
      </c>
      <c r="E124" s="29" t="inlineStr">
        <is>
          <t>KOSDAQ</t>
        </is>
      </c>
      <c r="F124" s="29" t="inlineStr">
        <is>
          <t>소재</t>
        </is>
      </c>
      <c r="G124" s="29" t="inlineStr">
        <is>
          <t>소재</t>
        </is>
      </c>
      <c r="H124" s="29" t="inlineStr">
        <is>
          <t>False</t>
        </is>
      </c>
      <c r="I124" s="29" t="inlineStr">
        <is>
          <t>True</t>
        </is>
      </c>
      <c r="J124" s="29" t="inlineStr">
        <is>
          <t>OK</t>
        </is>
      </c>
      <c r="K124" s="29" t="inlineStr">
        <is>
          <t>데이터 사용 가능</t>
        </is>
      </c>
      <c r="L124" s="29" t="inlineStr">
        <is>
          <t>LOW</t>
        </is>
      </c>
      <c r="M124" s="29" t="inlineStr">
        <is>
          <t>LOW</t>
        </is>
      </c>
      <c r="N124" s="29" t="inlineStr">
        <is>
          <t>0.6682051282051282</t>
        </is>
      </c>
      <c r="O124" s="29" t="inlineStr">
        <is>
          <t>FAIR</t>
        </is>
      </c>
      <c r="P124" s="29" t="inlineStr">
        <is>
          <t>FAIR</t>
        </is>
      </c>
      <c r="Q124" s="29" t="inlineStr">
        <is>
          <t>FAIR</t>
        </is>
      </c>
      <c r="R124" s="29" t="inlineStr">
        <is>
          <t>0.9160049727267536</t>
        </is>
      </c>
      <c r="S124" s="29" t="inlineStr">
        <is>
          <t>HIGH</t>
        </is>
      </c>
      <c r="T124" s="29" t="inlineStr">
        <is>
          <t>HIGH</t>
        </is>
      </c>
      <c r="U124" s="29" t="inlineStr">
        <is>
          <t>0.0714285714285714</t>
        </is>
      </c>
      <c r="V124" s="29" t="inlineStr">
        <is>
          <t>LOW_RISK</t>
        </is>
      </c>
      <c r="W124" s="29" t="inlineStr">
        <is>
          <t>저위험</t>
        </is>
      </c>
      <c r="X124" s="29" t="inlineStr">
        <is>
          <t>LOW_RISK</t>
        </is>
      </c>
      <c r="Y124" s="29" t="inlineStr">
        <is>
          <t>0.9269592012859288</t>
        </is>
      </c>
      <c r="Z124" s="29" t="inlineStr">
        <is>
          <t>HIGH</t>
        </is>
      </c>
      <c r="AA124" s="29" t="inlineStr">
        <is>
          <t>HIGH</t>
        </is>
      </c>
      <c r="AB124" s="29" t="inlineStr">
        <is>
          <t>0.08809933839296093</t>
        </is>
      </c>
      <c r="AC124" s="29" t="inlineStr">
        <is>
          <t>False</t>
        </is>
      </c>
      <c r="AD124" s="29" t="inlineStr">
        <is>
          <t>False</t>
        </is>
      </c>
      <c r="AE124" s="29" t="inlineStr">
        <is>
          <t>valuation_credit_ml_overlay_candidate.csv</t>
        </is>
      </c>
      <c r="AF124" s="29" t="inlineStr">
        <is>
          <t>208개 반도체 reference universe. Valuation Agent가 자체 intake 폴더로 복제해 Peer/ML/대시보드 비교에 사용.</t>
        </is>
      </c>
    </row>
    <row r="125" ht="24" customHeight="1">
      <c r="A125" s="24" t="inlineStr">
        <is>
          <t>130</t>
        </is>
      </c>
      <c r="B125" s="24" t="inlineStr">
        <is>
          <t>해당 없음</t>
        </is>
      </c>
      <c r="C125" s="24" t="inlineStr">
        <is>
          <t>솔브레인홀딩스</t>
        </is>
      </c>
      <c r="D125" s="24" t="inlineStr">
        <is>
          <t>036830</t>
        </is>
      </c>
      <c r="E125" s="24" t="inlineStr">
        <is>
          <t>KOSDAQ GLOBAL</t>
        </is>
      </c>
      <c r="F125" s="24" t="inlineStr">
        <is>
          <t>소재</t>
        </is>
      </c>
      <c r="G125" s="24" t="inlineStr">
        <is>
          <t>소재</t>
        </is>
      </c>
      <c r="H125" s="24" t="inlineStr">
        <is>
          <t>False</t>
        </is>
      </c>
      <c r="I125" s="24" t="inlineStr">
        <is>
          <t>True</t>
        </is>
      </c>
      <c r="J125" s="24" t="inlineStr">
        <is>
          <t>OK</t>
        </is>
      </c>
      <c r="K125" s="24" t="inlineStr">
        <is>
          <t>데이터 사용 가능</t>
        </is>
      </c>
      <c r="L125" s="24" t="inlineStr">
        <is>
          <t>LOW</t>
        </is>
      </c>
      <c r="M125" s="24" t="inlineStr">
        <is>
          <t>LOW</t>
        </is>
      </c>
      <c r="N125" s="24" t="inlineStr">
        <is>
          <t>0.6666666666666667</t>
        </is>
      </c>
      <c r="O125" s="24" t="inlineStr">
        <is>
          <t>ATTRACTIVE</t>
        </is>
      </c>
      <c r="P125" s="24" t="inlineStr">
        <is>
          <t>가치 매력</t>
        </is>
      </c>
      <c r="Q125" s="24" t="inlineStr">
        <is>
          <t>ATTRACTIVE</t>
        </is>
      </c>
      <c r="R125" s="24" t="inlineStr">
        <is>
          <t>0.5229115612060397</t>
        </is>
      </c>
      <c r="S125" s="24" t="inlineStr">
        <is>
          <t>MEDIUM</t>
        </is>
      </c>
      <c r="T125" s="24" t="inlineStr">
        <is>
          <t>MEDIUM</t>
        </is>
      </c>
      <c r="U125" s="24" t="inlineStr">
        <is>
          <t>0.0</t>
        </is>
      </c>
      <c r="V125" s="24" t="inlineStr">
        <is>
          <t>LOW_RISK</t>
        </is>
      </c>
      <c r="W125" s="24" t="inlineStr">
        <is>
          <t>저위험</t>
        </is>
      </c>
      <c r="X125" s="24" t="inlineStr">
        <is>
          <t>LOW_RISK</t>
        </is>
      </c>
      <c r="Y125" s="24" t="inlineStr">
        <is>
          <t>0.8942479649490351</t>
        </is>
      </c>
      <c r="Z125" s="24" t="inlineStr">
        <is>
          <t>HIGH</t>
        </is>
      </c>
      <c r="AA125" s="24" t="inlineStr">
        <is>
          <t>HIGH</t>
        </is>
      </c>
      <c r="AB125" s="24" t="inlineStr">
        <is>
          <t>0.13058276838656327</t>
        </is>
      </c>
      <c r="AC125" s="24" t="inlineStr">
        <is>
          <t>False</t>
        </is>
      </c>
      <c r="AD125" s="24" t="inlineStr">
        <is>
          <t>False</t>
        </is>
      </c>
      <c r="AE125" s="24" t="inlineStr">
        <is>
          <t>valuation_credit_ml_overlay_candidate.csv</t>
        </is>
      </c>
      <c r="AF125" s="24" t="inlineStr">
        <is>
          <t>208개 반도체 reference universe. Valuation Agent가 자체 intake 폴더로 복제해 Peer/ML/대시보드 비교에 사용.</t>
        </is>
      </c>
    </row>
    <row r="126" ht="24" customHeight="1">
      <c r="A126" s="29" t="inlineStr">
        <is>
          <t>148</t>
        </is>
      </c>
      <c r="B126" s="29" t="inlineStr">
        <is>
          <t>hansol</t>
        </is>
      </c>
      <c r="C126" s="29" t="inlineStr">
        <is>
          <t>한솔케미칼</t>
        </is>
      </c>
      <c r="D126" s="29" t="inlineStr">
        <is>
          <t>014680</t>
        </is>
      </c>
      <c r="E126" s="29" t="inlineStr">
        <is>
          <t>KOSPI</t>
        </is>
      </c>
      <c r="F126" s="29" t="inlineStr">
        <is>
          <t>소재</t>
        </is>
      </c>
      <c r="G126" s="29" t="inlineStr">
        <is>
          <t>소재</t>
        </is>
      </c>
      <c r="H126" s="29" t="inlineStr">
        <is>
          <t>True</t>
        </is>
      </c>
      <c r="I126" s="29" t="inlineStr">
        <is>
          <t>True</t>
        </is>
      </c>
      <c r="J126" s="29" t="inlineStr">
        <is>
          <t>OK</t>
        </is>
      </c>
      <c r="K126" s="29" t="inlineStr">
        <is>
          <t>데이터 사용 가능</t>
        </is>
      </c>
      <c r="L126" s="29" t="inlineStr">
        <is>
          <t>LOW</t>
        </is>
      </c>
      <c r="M126" s="29" t="inlineStr">
        <is>
          <t>LOW</t>
        </is>
      </c>
      <c r="N126" s="29" t="inlineStr">
        <is>
          <t>0.6330769230769231</t>
        </is>
      </c>
      <c r="O126" s="29" t="inlineStr">
        <is>
          <t>ATTRACTIVE</t>
        </is>
      </c>
      <c r="P126" s="29" t="inlineStr">
        <is>
          <t>가치 매력</t>
        </is>
      </c>
      <c r="Q126" s="29" t="inlineStr">
        <is>
          <t>ATTRACTIVE</t>
        </is>
      </c>
      <c r="R126" s="29" t="inlineStr">
        <is>
          <t>0.8364696976606926</t>
        </is>
      </c>
      <c r="S126" s="29" t="inlineStr">
        <is>
          <t>HIGH</t>
        </is>
      </c>
      <c r="T126" s="29" t="inlineStr">
        <is>
          <t>HIGH</t>
        </is>
      </c>
      <c r="U126" s="29" t="inlineStr">
        <is>
          <t>0.0</t>
        </is>
      </c>
      <c r="V126" s="29" t="inlineStr">
        <is>
          <t>LOW_RISK</t>
        </is>
      </c>
      <c r="W126" s="29" t="inlineStr">
        <is>
          <t>저위험</t>
        </is>
      </c>
      <c r="X126" s="29" t="inlineStr">
        <is>
          <t>LOW_RISK</t>
        </is>
      </c>
      <c r="Y126" s="29" t="inlineStr">
        <is>
          <t>0.9711543901439185</t>
        </is>
      </c>
      <c r="Z126" s="29" t="inlineStr">
        <is>
          <t>HIGH</t>
        </is>
      </c>
      <c r="AA126" s="29" t="inlineStr">
        <is>
          <t>HIGH</t>
        </is>
      </c>
      <c r="AB126" s="29" t="inlineStr">
        <is>
          <t>0.058190310497948615</t>
        </is>
      </c>
      <c r="AC126" s="29" t="inlineStr">
        <is>
          <t>False</t>
        </is>
      </c>
      <c r="AD126" s="29" t="inlineStr">
        <is>
          <t>False</t>
        </is>
      </c>
      <c r="AE126" s="29" t="inlineStr">
        <is>
          <t>valuation_credit_ml_overlay_candidate.csv</t>
        </is>
      </c>
      <c r="AF126" s="29" t="inlineStr">
        <is>
          <t>208개 반도체 reference universe. Valuation Agent가 자체 intake 폴더로 복제해 Peer/ML/대시보드 비교에 사용.</t>
        </is>
      </c>
    </row>
    <row r="127" ht="24" customHeight="1">
      <c r="A127" s="24" t="inlineStr">
        <is>
          <t>140</t>
        </is>
      </c>
      <c r="B127" s="24" t="inlineStr">
        <is>
          <t>해당 없음</t>
        </is>
      </c>
      <c r="C127" s="24" t="inlineStr">
        <is>
          <t>이녹스첨단소재</t>
        </is>
      </c>
      <c r="D127" s="24" t="inlineStr">
        <is>
          <t>272290</t>
        </is>
      </c>
      <c r="E127" s="24" t="inlineStr">
        <is>
          <t>KOSDAQ GLOBAL</t>
        </is>
      </c>
      <c r="F127" s="24" t="inlineStr">
        <is>
          <t>소재</t>
        </is>
      </c>
      <c r="G127" s="24" t="inlineStr">
        <is>
          <t>소재</t>
        </is>
      </c>
      <c r="H127" s="24" t="inlineStr">
        <is>
          <t>False</t>
        </is>
      </c>
      <c r="I127" s="24" t="inlineStr">
        <is>
          <t>True</t>
        </is>
      </c>
      <c r="J127" s="24" t="inlineStr">
        <is>
          <t>OK</t>
        </is>
      </c>
      <c r="K127" s="24" t="inlineStr">
        <is>
          <t>데이터 사용 가능</t>
        </is>
      </c>
      <c r="L127" s="24" t="inlineStr">
        <is>
          <t>LOW</t>
        </is>
      </c>
      <c r="M127" s="24" t="inlineStr">
        <is>
          <t>LOW</t>
        </is>
      </c>
      <c r="N127" s="24" t="inlineStr">
        <is>
          <t>0.6312820512820514</t>
        </is>
      </c>
      <c r="O127" s="24" t="inlineStr">
        <is>
          <t>FAIR</t>
        </is>
      </c>
      <c r="P127" s="24" t="inlineStr">
        <is>
          <t>FAIR</t>
        </is>
      </c>
      <c r="Q127" s="24" t="inlineStr">
        <is>
          <t>FAIR</t>
        </is>
      </c>
      <c r="R127" s="24" t="inlineStr">
        <is>
          <t>0.900184891106931</t>
        </is>
      </c>
      <c r="S127" s="24" t="inlineStr">
        <is>
          <t>HIGH</t>
        </is>
      </c>
      <c r="T127" s="24" t="inlineStr">
        <is>
          <t>HIGH</t>
        </is>
      </c>
      <c r="U127" s="24" t="inlineStr">
        <is>
          <t>0.0714285714285714</t>
        </is>
      </c>
      <c r="V127" s="24" t="inlineStr">
        <is>
          <t>LOW_RISK</t>
        </is>
      </c>
      <c r="W127" s="24" t="inlineStr">
        <is>
          <t>저위험</t>
        </is>
      </c>
      <c r="X127" s="24" t="inlineStr">
        <is>
          <t>LOW_RISK</t>
        </is>
      </c>
      <c r="Y127" s="24" t="inlineStr">
        <is>
          <t>0.7417939360948919</t>
        </is>
      </c>
      <c r="Z127" s="24" t="inlineStr">
        <is>
          <t>HIGH</t>
        </is>
      </c>
      <c r="AA127" s="24" t="inlineStr">
        <is>
          <t>HIGH</t>
        </is>
      </c>
      <c r="AB127" s="24" t="inlineStr">
        <is>
          <t>0.06763542968359648</t>
        </is>
      </c>
      <c r="AC127" s="24" t="inlineStr">
        <is>
          <t>False</t>
        </is>
      </c>
      <c r="AD127" s="24" t="inlineStr">
        <is>
          <t>False</t>
        </is>
      </c>
      <c r="AE127" s="24" t="inlineStr">
        <is>
          <t>valuation_credit_ml_overlay_candidate.csv</t>
        </is>
      </c>
      <c r="AF127" s="24" t="inlineStr">
        <is>
          <t>208개 반도체 reference universe. Valuation Agent가 자체 intake 폴더로 복제해 Peer/ML/대시보드 비교에 사용.</t>
        </is>
      </c>
    </row>
    <row r="128" ht="24" customHeight="1">
      <c r="A128" s="29" t="inlineStr">
        <is>
          <t>133</t>
        </is>
      </c>
      <c r="B128" s="29" t="inlineStr">
        <is>
          <t>ltc</t>
        </is>
      </c>
      <c r="C128" s="29" t="inlineStr">
        <is>
          <t>엘티씨</t>
        </is>
      </c>
      <c r="D128" s="29" t="inlineStr">
        <is>
          <t>170920</t>
        </is>
      </c>
      <c r="E128" s="29" t="inlineStr">
        <is>
          <t>KOSDAQ</t>
        </is>
      </c>
      <c r="F128" s="29" t="inlineStr">
        <is>
          <t>소재</t>
        </is>
      </c>
      <c r="G128" s="29" t="inlineStr">
        <is>
          <t>소재</t>
        </is>
      </c>
      <c r="H128" s="29" t="inlineStr">
        <is>
          <t>True</t>
        </is>
      </c>
      <c r="I128" s="29" t="inlineStr">
        <is>
          <t>True</t>
        </is>
      </c>
      <c r="J128" s="29" t="inlineStr">
        <is>
          <t>OK</t>
        </is>
      </c>
      <c r="K128" s="29" t="inlineStr">
        <is>
          <t>데이터 사용 가능</t>
        </is>
      </c>
      <c r="L128" s="29" t="inlineStr">
        <is>
          <t>LOW</t>
        </is>
      </c>
      <c r="M128" s="29" t="inlineStr">
        <is>
          <t>LOW</t>
        </is>
      </c>
      <c r="N128" s="29" t="inlineStr">
        <is>
          <t>0.5838461538461538</t>
        </is>
      </c>
      <c r="O128" s="29" t="inlineStr">
        <is>
          <t>FAIR</t>
        </is>
      </c>
      <c r="P128" s="29" t="inlineStr">
        <is>
          <t>FAIR</t>
        </is>
      </c>
      <c r="Q128" s="29" t="inlineStr">
        <is>
          <t>ATTRACTIVE</t>
        </is>
      </c>
      <c r="R128" s="29" t="inlineStr">
        <is>
          <t>0.6353016273848794</t>
        </is>
      </c>
      <c r="S128" s="29" t="inlineStr">
        <is>
          <t>MEDIUM</t>
        </is>
      </c>
      <c r="T128" s="29" t="inlineStr">
        <is>
          <t>MEDIUM</t>
        </is>
      </c>
      <c r="U128" s="29" t="inlineStr">
        <is>
          <t>0.0</t>
        </is>
      </c>
      <c r="V128" s="29" t="inlineStr">
        <is>
          <t>LOW_RISK</t>
        </is>
      </c>
      <c r="W128" s="29" t="inlineStr">
        <is>
          <t>저위험</t>
        </is>
      </c>
      <c r="X128" s="29" t="inlineStr">
        <is>
          <t>LOW_RISK</t>
        </is>
      </c>
      <c r="Y128" s="29" t="inlineStr">
        <is>
          <t>0.9205018564538214</t>
        </is>
      </c>
      <c r="Z128" s="29" t="inlineStr">
        <is>
          <t>HIGH</t>
        </is>
      </c>
      <c r="AA128" s="29" t="inlineStr">
        <is>
          <t>HIGH</t>
        </is>
      </c>
      <c r="AB128" s="29" t="inlineStr">
        <is>
          <t>0.0038993876391341673</t>
        </is>
      </c>
      <c r="AC128" s="29" t="inlineStr">
        <is>
          <t>False</t>
        </is>
      </c>
      <c r="AD128" s="29" t="inlineStr">
        <is>
          <t>False</t>
        </is>
      </c>
      <c r="AE128" s="29" t="inlineStr">
        <is>
          <t>valuation_credit_ml_overlay_candidate.csv</t>
        </is>
      </c>
      <c r="AF128" s="29" t="inlineStr">
        <is>
          <t>208개 반도체 reference universe. Valuation Agent가 자체 intake 폴더로 복제해 Peer/ML/대시보드 비교에 사용.</t>
        </is>
      </c>
    </row>
    <row r="129" ht="24" customHeight="1">
      <c r="A129" s="24" t="inlineStr">
        <is>
          <t>146</t>
        </is>
      </c>
      <c r="B129" s="24" t="inlineStr">
        <is>
          <t>해당 없음</t>
        </is>
      </c>
      <c r="C129" s="24" t="inlineStr">
        <is>
          <t>티이엠씨</t>
        </is>
      </c>
      <c r="D129" s="24" t="inlineStr">
        <is>
          <t>425040</t>
        </is>
      </c>
      <c r="E129" s="24" t="inlineStr">
        <is>
          <t>KOSDAQ</t>
        </is>
      </c>
      <c r="F129" s="24" t="inlineStr">
        <is>
          <t>소재</t>
        </is>
      </c>
      <c r="G129" s="24" t="inlineStr">
        <is>
          <t>소재</t>
        </is>
      </c>
      <c r="H129" s="24" t="inlineStr">
        <is>
          <t>False</t>
        </is>
      </c>
      <c r="I129" s="24" t="inlineStr">
        <is>
          <t>True</t>
        </is>
      </c>
      <c r="J129" s="24" t="inlineStr">
        <is>
          <t>OK</t>
        </is>
      </c>
      <c r="K129" s="24" t="inlineStr">
        <is>
          <t>데이터 사용 가능</t>
        </is>
      </c>
      <c r="L129" s="24" t="inlineStr">
        <is>
          <t>LOW</t>
        </is>
      </c>
      <c r="M129" s="24" t="inlineStr">
        <is>
          <t>LOW</t>
        </is>
      </c>
      <c r="N129" s="24" t="inlineStr">
        <is>
          <t>0.5666666666666668</t>
        </is>
      </c>
      <c r="O129" s="24" t="inlineStr">
        <is>
          <t>FAIR</t>
        </is>
      </c>
      <c r="P129" s="24" t="inlineStr">
        <is>
          <t>FAIR</t>
        </is>
      </c>
      <c r="Q129" s="24" t="inlineStr">
        <is>
          <t>FAIR</t>
        </is>
      </c>
      <c r="R129" s="24" t="inlineStr">
        <is>
          <t>0.8720430887980049</t>
        </is>
      </c>
      <c r="S129" s="24" t="inlineStr">
        <is>
          <t>HIGH</t>
        </is>
      </c>
      <c r="T129" s="24" t="inlineStr">
        <is>
          <t>HIGH</t>
        </is>
      </c>
      <c r="U129" s="24" t="inlineStr">
        <is>
          <t>0.0714285714285714</t>
        </is>
      </c>
      <c r="V129" s="24" t="inlineStr">
        <is>
          <t>LOW_RISK</t>
        </is>
      </c>
      <c r="W129" s="24" t="inlineStr">
        <is>
          <t>저위험</t>
        </is>
      </c>
      <c r="X129" s="24" t="inlineStr">
        <is>
          <t>LOW_RISK</t>
        </is>
      </c>
      <c r="Y129" s="24" t="inlineStr">
        <is>
          <t>0.7252297088077002</t>
        </is>
      </c>
      <c r="Z129" s="24" t="inlineStr">
        <is>
          <t>HIGH</t>
        </is>
      </c>
      <c r="AA129" s="24" t="inlineStr">
        <is>
          <t>HIGH</t>
        </is>
      </c>
      <c r="AB129" s="24" t="inlineStr">
        <is>
          <t>0.006424650558916757</t>
        </is>
      </c>
      <c r="AC129" s="24" t="inlineStr">
        <is>
          <t>False</t>
        </is>
      </c>
      <c r="AD129" s="24" t="inlineStr">
        <is>
          <t>False</t>
        </is>
      </c>
      <c r="AE129" s="24" t="inlineStr">
        <is>
          <t>valuation_credit_ml_overlay_candidate.csv</t>
        </is>
      </c>
      <c r="AF129" s="24" t="inlineStr">
        <is>
          <t>208개 반도체 reference universe. Valuation Agent가 자체 intake 폴더로 복제해 Peer/ML/대시보드 비교에 사용.</t>
        </is>
      </c>
    </row>
    <row r="130" ht="24" customHeight="1">
      <c r="A130" s="29" t="inlineStr">
        <is>
          <t>131</t>
        </is>
      </c>
      <c r="B130" s="29" t="inlineStr">
        <is>
          <t>해당 없음</t>
        </is>
      </c>
      <c r="C130" s="29" t="inlineStr">
        <is>
          <t>에스앤에스텍</t>
        </is>
      </c>
      <c r="D130" s="29" t="inlineStr">
        <is>
          <t>101490</t>
        </is>
      </c>
      <c r="E130" s="29" t="inlineStr">
        <is>
          <t>KOSDAQ</t>
        </is>
      </c>
      <c r="F130" s="29" t="inlineStr">
        <is>
          <t>소재</t>
        </is>
      </c>
      <c r="G130" s="29" t="inlineStr">
        <is>
          <t>소재</t>
        </is>
      </c>
      <c r="H130" s="29" t="inlineStr">
        <is>
          <t>False</t>
        </is>
      </c>
      <c r="I130" s="29" t="inlineStr">
        <is>
          <t>True</t>
        </is>
      </c>
      <c r="J130" s="29" t="inlineStr">
        <is>
          <t>OK</t>
        </is>
      </c>
      <c r="K130" s="29" t="inlineStr">
        <is>
          <t>데이터 사용 가능</t>
        </is>
      </c>
      <c r="L130" s="29" t="inlineStr">
        <is>
          <t>LOW</t>
        </is>
      </c>
      <c r="M130" s="29" t="inlineStr">
        <is>
          <t>LOW</t>
        </is>
      </c>
      <c r="N130" s="29" t="inlineStr">
        <is>
          <t>0.5653846153846155</t>
        </is>
      </c>
      <c r="O130" s="29" t="inlineStr">
        <is>
          <t>FAIR</t>
        </is>
      </c>
      <c r="P130" s="29" t="inlineStr">
        <is>
          <t>FAIR</t>
        </is>
      </c>
      <c r="Q130" s="29" t="inlineStr">
        <is>
          <t>FAIR</t>
        </is>
      </c>
      <c r="R130" s="29" t="inlineStr">
        <is>
          <t>0.7907123507381016</t>
        </is>
      </c>
      <c r="S130" s="29" t="inlineStr">
        <is>
          <t>HIGH</t>
        </is>
      </c>
      <c r="T130" s="29" t="inlineStr">
        <is>
          <t>HIGH</t>
        </is>
      </c>
      <c r="U130" s="29" t="inlineStr">
        <is>
          <t>0.0714285714285714</t>
        </is>
      </c>
      <c r="V130" s="29" t="inlineStr">
        <is>
          <t>LOW_RISK</t>
        </is>
      </c>
      <c r="W130" s="29" t="inlineStr">
        <is>
          <t>저위험</t>
        </is>
      </c>
      <c r="X130" s="29" t="inlineStr">
        <is>
          <t>LOW_RISK</t>
        </is>
      </c>
      <c r="Y130" s="29" t="inlineStr">
        <is>
          <t>0.877704032267338</t>
        </is>
      </c>
      <c r="Z130" s="29" t="inlineStr">
        <is>
          <t>HIGH</t>
        </is>
      </c>
      <c r="AA130" s="29" t="inlineStr">
        <is>
          <t>HIGH</t>
        </is>
      </c>
      <c r="AB130" s="29" t="inlineStr">
        <is>
          <t>0.05130595484789171</t>
        </is>
      </c>
      <c r="AC130" s="29" t="inlineStr">
        <is>
          <t>False</t>
        </is>
      </c>
      <c r="AD130" s="29" t="inlineStr">
        <is>
          <t>False</t>
        </is>
      </c>
      <c r="AE130" s="29" t="inlineStr">
        <is>
          <t>valuation_credit_ml_overlay_candidate.csv</t>
        </is>
      </c>
      <c r="AF130" s="29" t="inlineStr">
        <is>
          <t>208개 반도체 reference universe. Valuation Agent가 자체 intake 폴더로 복제해 Peer/ML/대시보드 비교에 사용.</t>
        </is>
      </c>
    </row>
    <row r="131" ht="24" customHeight="1">
      <c r="A131" s="24" t="inlineStr">
        <is>
          <t>142</t>
        </is>
      </c>
      <c r="B131" s="24" t="inlineStr">
        <is>
          <t>해당 없음</t>
        </is>
      </c>
      <c r="C131" s="24" t="inlineStr">
        <is>
          <t>제이아이테크</t>
        </is>
      </c>
      <c r="D131" s="24" t="inlineStr">
        <is>
          <t>417500</t>
        </is>
      </c>
      <c r="E131" s="24" t="inlineStr">
        <is>
          <t>KOSDAQ</t>
        </is>
      </c>
      <c r="F131" s="24" t="inlineStr">
        <is>
          <t>소재</t>
        </is>
      </c>
      <c r="G131" s="24" t="inlineStr">
        <is>
          <t>소재</t>
        </is>
      </c>
      <c r="H131" s="24" t="inlineStr">
        <is>
          <t>False</t>
        </is>
      </c>
      <c r="I131" s="24" t="inlineStr">
        <is>
          <t>True</t>
        </is>
      </c>
      <c r="J131" s="24" t="inlineStr">
        <is>
          <t>OK</t>
        </is>
      </c>
      <c r="K131" s="24" t="inlineStr">
        <is>
          <t>데이터 사용 가능</t>
        </is>
      </c>
      <c r="L131" s="24" t="inlineStr">
        <is>
          <t>LOW</t>
        </is>
      </c>
      <c r="M131" s="24" t="inlineStr">
        <is>
          <t>LOW</t>
        </is>
      </c>
      <c r="N131" s="24" t="inlineStr">
        <is>
          <t>0.5264102564102564</t>
        </is>
      </c>
      <c r="O131" s="24" t="inlineStr">
        <is>
          <t>FAIR</t>
        </is>
      </c>
      <c r="P131" s="24" t="inlineStr">
        <is>
          <t>FAIR</t>
        </is>
      </c>
      <c r="Q131" s="24" t="inlineStr">
        <is>
          <t>FAIR</t>
        </is>
      </c>
      <c r="R131" s="24" t="inlineStr">
        <is>
          <t>0.8525733569966568</t>
        </is>
      </c>
      <c r="S131" s="24" t="inlineStr">
        <is>
          <t>HIGH</t>
        </is>
      </c>
      <c r="T131" s="24" t="inlineStr">
        <is>
          <t>HIGH</t>
        </is>
      </c>
      <c r="U131" s="24" t="inlineStr">
        <is>
          <t>0.0714285714285714</t>
        </is>
      </c>
      <c r="V131" s="24" t="inlineStr">
        <is>
          <t>LOW_RISK</t>
        </is>
      </c>
      <c r="W131" s="24" t="inlineStr">
        <is>
          <t>저위험</t>
        </is>
      </c>
      <c r="X131" s="24" t="inlineStr">
        <is>
          <t>LOW_RISK</t>
        </is>
      </c>
      <c r="Y131" s="24" t="inlineStr">
        <is>
          <t>0.7562204122456074</t>
        </is>
      </c>
      <c r="Z131" s="24" t="inlineStr">
        <is>
          <t>HIGH</t>
        </is>
      </c>
      <c r="AA131" s="24" t="inlineStr">
        <is>
          <t>HIGH</t>
        </is>
      </c>
      <c r="AB131" s="24" t="inlineStr">
        <is>
          <t>0.026961826720125225</t>
        </is>
      </c>
      <c r="AC131" s="24" t="inlineStr">
        <is>
          <t>False</t>
        </is>
      </c>
      <c r="AD131" s="24" t="inlineStr">
        <is>
          <t>False</t>
        </is>
      </c>
      <c r="AE131" s="24" t="inlineStr">
        <is>
          <t>valuation_credit_ml_overlay_candidate.csv</t>
        </is>
      </c>
      <c r="AF131" s="24" t="inlineStr">
        <is>
          <t>208개 반도체 reference universe. Valuation Agent가 자체 intake 폴더로 복제해 Peer/ML/대시보드 비교에 사용.</t>
        </is>
      </c>
    </row>
    <row r="132" ht="24" customHeight="1">
      <c r="A132" s="29" t="inlineStr">
        <is>
          <t>137</t>
        </is>
      </c>
      <c r="B132" s="29" t="inlineStr">
        <is>
          <t>해당 없음</t>
        </is>
      </c>
      <c r="C132" s="29" t="inlineStr">
        <is>
          <t>원익QnC</t>
        </is>
      </c>
      <c r="D132" s="29" t="inlineStr">
        <is>
          <t>074600</t>
        </is>
      </c>
      <c r="E132" s="29" t="inlineStr">
        <is>
          <t>KOSDAQ GLOBAL</t>
        </is>
      </c>
      <c r="F132" s="29" t="inlineStr">
        <is>
          <t>소재</t>
        </is>
      </c>
      <c r="G132" s="29" t="inlineStr">
        <is>
          <t>소재</t>
        </is>
      </c>
      <c r="H132" s="29" t="inlineStr">
        <is>
          <t>False</t>
        </is>
      </c>
      <c r="I132" s="29" t="inlineStr">
        <is>
          <t>True</t>
        </is>
      </c>
      <c r="J132" s="29" t="inlineStr">
        <is>
          <t>OK</t>
        </is>
      </c>
      <c r="K132" s="29" t="inlineStr">
        <is>
          <t>데이터 사용 가능</t>
        </is>
      </c>
      <c r="L132" s="29" t="inlineStr">
        <is>
          <t>LOW</t>
        </is>
      </c>
      <c r="M132" s="29" t="inlineStr">
        <is>
          <t>LOW</t>
        </is>
      </c>
      <c r="N132" s="29" t="inlineStr">
        <is>
          <t>0.5156410256410257</t>
        </is>
      </c>
      <c r="O132" s="29" t="inlineStr">
        <is>
          <t>FAIR</t>
        </is>
      </c>
      <c r="P132" s="29" t="inlineStr">
        <is>
          <t>FAIR</t>
        </is>
      </c>
      <c r="Q132" s="29" t="inlineStr">
        <is>
          <t>ATTRACTIVE</t>
        </is>
      </c>
      <c r="R132" s="29" t="inlineStr">
        <is>
          <t>0.4211836082778998</t>
        </is>
      </c>
      <c r="S132" s="29" t="inlineStr">
        <is>
          <t>LOW</t>
        </is>
      </c>
      <c r="T132" s="29" t="inlineStr">
        <is>
          <t>LOW</t>
        </is>
      </c>
      <c r="U132" s="29" t="inlineStr">
        <is>
          <t>0.2857142857142857</t>
        </is>
      </c>
      <c r="V132" s="29" t="inlineStr">
        <is>
          <t>MEDIUM_RISK</t>
        </is>
      </c>
      <c r="W132" s="29" t="inlineStr">
        <is>
          <t>중위험</t>
        </is>
      </c>
      <c r="X132" s="29" t="inlineStr">
        <is>
          <t>MEDIUM_RISK</t>
        </is>
      </c>
      <c r="Y132" s="29" t="inlineStr">
        <is>
          <t>0.6182675579184692</t>
        </is>
      </c>
      <c r="Z132" s="29" t="inlineStr">
        <is>
          <t>MEDIUM</t>
        </is>
      </c>
      <c r="AA132" s="29" t="inlineStr">
        <is>
          <t>MEDIUM</t>
        </is>
      </c>
      <c r="AB132" s="29" t="inlineStr">
        <is>
          <t>0.07153695388648715</t>
        </is>
      </c>
      <c r="AC132" s="29" t="inlineStr">
        <is>
          <t>False</t>
        </is>
      </c>
      <c r="AD132" s="29" t="inlineStr">
        <is>
          <t>True</t>
        </is>
      </c>
      <c r="AE132" s="29" t="inlineStr">
        <is>
          <t>valuation_credit_ml_overlay_candidate.csv</t>
        </is>
      </c>
      <c r="AF132" s="29" t="inlineStr">
        <is>
          <t>208개 반도체 reference universe. Valuation Agent가 자체 intake 폴더로 복제해 Peer/ML/대시보드 비교에 사용.</t>
        </is>
      </c>
    </row>
    <row r="133" ht="24" customHeight="1">
      <c r="A133" s="24" t="inlineStr">
        <is>
          <t>134</t>
        </is>
      </c>
      <c r="B133" s="24" t="inlineStr">
        <is>
          <t>해당 없음</t>
        </is>
      </c>
      <c r="C133" s="24" t="inlineStr">
        <is>
          <t>엠케이전자</t>
        </is>
      </c>
      <c r="D133" s="24" t="inlineStr">
        <is>
          <t>033160</t>
        </is>
      </c>
      <c r="E133" s="24" t="inlineStr">
        <is>
          <t>KOSDAQ</t>
        </is>
      </c>
      <c r="F133" s="24" t="inlineStr">
        <is>
          <t>소재</t>
        </is>
      </c>
      <c r="G133" s="24" t="inlineStr">
        <is>
          <t>소재</t>
        </is>
      </c>
      <c r="H133" s="24" t="inlineStr">
        <is>
          <t>False</t>
        </is>
      </c>
      <c r="I133" s="24" t="inlineStr">
        <is>
          <t>True</t>
        </is>
      </c>
      <c r="J133" s="24" t="inlineStr">
        <is>
          <t>OK</t>
        </is>
      </c>
      <c r="K133" s="24" t="inlineStr">
        <is>
          <t>데이터 사용 가능</t>
        </is>
      </c>
      <c r="L133" s="24" t="inlineStr">
        <is>
          <t>LOW</t>
        </is>
      </c>
      <c r="M133" s="24" t="inlineStr">
        <is>
          <t>LOW</t>
        </is>
      </c>
      <c r="N133" s="24" t="inlineStr">
        <is>
          <t>0.5105128205128205</t>
        </is>
      </c>
      <c r="O133" s="24" t="inlineStr">
        <is>
          <t>FAIR</t>
        </is>
      </c>
      <c r="P133" s="24" t="inlineStr">
        <is>
          <t>FAIR</t>
        </is>
      </c>
      <c r="Q133" s="24" t="inlineStr">
        <is>
          <t>FAIR</t>
        </is>
      </c>
      <c r="R133" s="24" t="inlineStr">
        <is>
          <t>0.801168459079624</t>
        </is>
      </c>
      <c r="S133" s="24" t="inlineStr">
        <is>
          <t>HIGH</t>
        </is>
      </c>
      <c r="T133" s="24" t="inlineStr">
        <is>
          <t>HIGH</t>
        </is>
      </c>
      <c r="U133" s="24" t="inlineStr">
        <is>
          <t>0.5714285714285714</t>
        </is>
      </c>
      <c r="V133" s="24" t="inlineStr">
        <is>
          <t>HIGH_RISK</t>
        </is>
      </c>
      <c r="W133" s="24" t="inlineStr">
        <is>
          <t>고위험</t>
        </is>
      </c>
      <c r="X133" s="24" t="inlineStr">
        <is>
          <t>HIGH_RISK</t>
        </is>
      </c>
      <c r="Y133" s="24" t="inlineStr">
        <is>
          <t>0.6458821552404778</t>
        </is>
      </c>
      <c r="Z133" s="24" t="inlineStr">
        <is>
          <t>MEDIUM</t>
        </is>
      </c>
      <c r="AA133" s="24" t="inlineStr">
        <is>
          <t>MEDIUM</t>
        </is>
      </c>
      <c r="AB133" s="24" t="inlineStr">
        <is>
          <t>0.06935231891152775</t>
        </is>
      </c>
      <c r="AC133" s="24" t="inlineStr">
        <is>
          <t>False</t>
        </is>
      </c>
      <c r="AD133" s="24" t="inlineStr">
        <is>
          <t>False</t>
        </is>
      </c>
      <c r="AE133" s="24" t="inlineStr">
        <is>
          <t>valuation_credit_ml_overlay_candidate.csv</t>
        </is>
      </c>
      <c r="AF133" s="24" t="inlineStr">
        <is>
          <t>208개 반도체 reference universe. Valuation Agent가 자체 intake 폴더로 복제해 Peer/ML/대시보드 비교에 사용.</t>
        </is>
      </c>
    </row>
    <row r="134" ht="24" customHeight="1">
      <c r="A134" s="29" t="inlineStr">
        <is>
          <t>136</t>
        </is>
      </c>
      <c r="B134" s="29" t="inlineStr">
        <is>
          <t>해당 없음</t>
        </is>
      </c>
      <c r="C134" s="29" t="inlineStr">
        <is>
          <t>와이엠티</t>
        </is>
      </c>
      <c r="D134" s="29" t="inlineStr">
        <is>
          <t>251370</t>
        </is>
      </c>
      <c r="E134" s="29" t="inlineStr">
        <is>
          <t>KOSDAQ</t>
        </is>
      </c>
      <c r="F134" s="29" t="inlineStr">
        <is>
          <t>소재</t>
        </is>
      </c>
      <c r="G134" s="29" t="inlineStr">
        <is>
          <t>소재</t>
        </is>
      </c>
      <c r="H134" s="29" t="inlineStr">
        <is>
          <t>False</t>
        </is>
      </c>
      <c r="I134" s="29" t="inlineStr">
        <is>
          <t>True</t>
        </is>
      </c>
      <c r="J134" s="29" t="inlineStr">
        <is>
          <t>OK</t>
        </is>
      </c>
      <c r="K134" s="29" t="inlineStr">
        <is>
          <t>데이터 사용 가능</t>
        </is>
      </c>
      <c r="L134" s="29" t="inlineStr">
        <is>
          <t>LOW</t>
        </is>
      </c>
      <c r="M134" s="29" t="inlineStr">
        <is>
          <t>LOW</t>
        </is>
      </c>
      <c r="N134" s="29" t="inlineStr">
        <is>
          <t>0.4989743589743589</t>
        </is>
      </c>
      <c r="O134" s="29" t="inlineStr">
        <is>
          <t>FAIR</t>
        </is>
      </c>
      <c r="P134" s="29" t="inlineStr">
        <is>
          <t>FAIR</t>
        </is>
      </c>
      <c r="Q134" s="29" t="inlineStr">
        <is>
          <t>FAIR</t>
        </is>
      </c>
      <c r="R134" s="29" t="inlineStr">
        <is>
          <t>0.730943868859095</t>
        </is>
      </c>
      <c r="S134" s="29" t="inlineStr">
        <is>
          <t>HIGH</t>
        </is>
      </c>
      <c r="T134" s="29" t="inlineStr">
        <is>
          <t>HIGH</t>
        </is>
      </c>
      <c r="U134" s="29" t="inlineStr">
        <is>
          <t>0.2142857142857142</t>
        </is>
      </c>
      <c r="V134" s="29" t="inlineStr">
        <is>
          <t>MEDIUM_RISK</t>
        </is>
      </c>
      <c r="W134" s="29" t="inlineStr">
        <is>
          <t>중위험</t>
        </is>
      </c>
      <c r="X134" s="29" t="inlineStr">
        <is>
          <t>MEDIUM_RISK</t>
        </is>
      </c>
      <c r="Y134" s="29" t="inlineStr">
        <is>
          <t>0.4510396871808976</t>
        </is>
      </c>
      <c r="Z134" s="29" t="inlineStr">
        <is>
          <t>LOW</t>
        </is>
      </c>
      <c r="AA134" s="29" t="inlineStr">
        <is>
          <t>LOW</t>
        </is>
      </c>
      <c r="AB134" s="29" t="inlineStr">
        <is>
          <t>0.021802364937517606</t>
        </is>
      </c>
      <c r="AC134" s="29" t="inlineStr">
        <is>
          <t>False</t>
        </is>
      </c>
      <c r="AD134" s="29" t="inlineStr">
        <is>
          <t>True</t>
        </is>
      </c>
      <c r="AE134" s="29" t="inlineStr">
        <is>
          <t>valuation_credit_ml_overlay_candidate.csv</t>
        </is>
      </c>
      <c r="AF134" s="29" t="inlineStr">
        <is>
          <t>208개 반도체 reference universe. Valuation Agent가 자체 intake 폴더로 복제해 Peer/ML/대시보드 비교에 사용.</t>
        </is>
      </c>
    </row>
    <row r="135" ht="24" customHeight="1">
      <c r="A135" s="24" t="inlineStr">
        <is>
          <t>145</t>
        </is>
      </c>
      <c r="B135" s="24" t="inlineStr">
        <is>
          <t>해당 없음</t>
        </is>
      </c>
      <c r="C135" s="24" t="inlineStr">
        <is>
          <t>티씨케이</t>
        </is>
      </c>
      <c r="D135" s="24" t="inlineStr">
        <is>
          <t>064760</t>
        </is>
      </c>
      <c r="E135" s="24" t="inlineStr">
        <is>
          <t>KOSDAQ GLOBAL</t>
        </is>
      </c>
      <c r="F135" s="24" t="inlineStr">
        <is>
          <t>소재</t>
        </is>
      </c>
      <c r="G135" s="24" t="inlineStr">
        <is>
          <t>소재</t>
        </is>
      </c>
      <c r="H135" s="24" t="inlineStr">
        <is>
          <t>False</t>
        </is>
      </c>
      <c r="I135" s="24" t="inlineStr">
        <is>
          <t>True</t>
        </is>
      </c>
      <c r="J135" s="24" t="inlineStr">
        <is>
          <t>OK</t>
        </is>
      </c>
      <c r="K135" s="24" t="inlineStr">
        <is>
          <t>데이터 사용 가능</t>
        </is>
      </c>
      <c r="L135" s="24" t="inlineStr">
        <is>
          <t>LOW</t>
        </is>
      </c>
      <c r="M135" s="24" t="inlineStr">
        <is>
          <t>LOW</t>
        </is>
      </c>
      <c r="N135" s="24" t="inlineStr">
        <is>
          <t>0.4956410256410256</t>
        </is>
      </c>
      <c r="O135" s="24" t="inlineStr">
        <is>
          <t>FAIR</t>
        </is>
      </c>
      <c r="P135" s="24" t="inlineStr">
        <is>
          <t>FAIR</t>
        </is>
      </c>
      <c r="Q135" s="24" t="inlineStr">
        <is>
          <t>FAIR</t>
        </is>
      </c>
      <c r="R135" s="24" t="inlineStr">
        <is>
          <t>0.6535546916238612</t>
        </is>
      </c>
      <c r="S135" s="24" t="inlineStr">
        <is>
          <t>MEDIUM</t>
        </is>
      </c>
      <c r="T135" s="24" t="inlineStr">
        <is>
          <t>MEDIUM</t>
        </is>
      </c>
      <c r="U135" s="24" t="inlineStr">
        <is>
          <t>0.0</t>
        </is>
      </c>
      <c r="V135" s="24" t="inlineStr">
        <is>
          <t>LOW_RISK</t>
        </is>
      </c>
      <c r="W135" s="24" t="inlineStr">
        <is>
          <t>저위험</t>
        </is>
      </c>
      <c r="X135" s="24" t="inlineStr">
        <is>
          <t>LOW_RISK</t>
        </is>
      </c>
      <c r="Y135" s="24" t="inlineStr">
        <is>
          <t>0.7960429313317705</t>
        </is>
      </c>
      <c r="Z135" s="24" t="inlineStr">
        <is>
          <t>HIGH</t>
        </is>
      </c>
      <c r="AA135" s="24" t="inlineStr">
        <is>
          <t>HIGH</t>
        </is>
      </c>
      <c r="AB135" s="24" t="inlineStr">
        <is>
          <t>0.151556576218825</t>
        </is>
      </c>
      <c r="AC135" s="24" t="inlineStr">
        <is>
          <t>False</t>
        </is>
      </c>
      <c r="AD135" s="24" t="inlineStr">
        <is>
          <t>False</t>
        </is>
      </c>
      <c r="AE135" s="24" t="inlineStr">
        <is>
          <t>valuation_credit_ml_overlay_candidate.csv</t>
        </is>
      </c>
      <c r="AF135" s="24" t="inlineStr">
        <is>
          <t>208개 반도체 reference universe. Valuation Agent가 자체 intake 폴더로 복제해 Peer/ML/대시보드 비교에 사용.</t>
        </is>
      </c>
    </row>
    <row r="136" ht="24" customHeight="1">
      <c r="A136" s="29" t="inlineStr">
        <is>
          <t>126</t>
        </is>
      </c>
      <c r="B136" s="29" t="inlineStr">
        <is>
          <t>해당 없음</t>
        </is>
      </c>
      <c r="C136" s="29" t="inlineStr">
        <is>
          <t>동진쎄미켐</t>
        </is>
      </c>
      <c r="D136" s="29" t="inlineStr">
        <is>
          <t>005290</t>
        </is>
      </c>
      <c r="E136" s="29" t="inlineStr">
        <is>
          <t>KOSDAQ</t>
        </is>
      </c>
      <c r="F136" s="29" t="inlineStr">
        <is>
          <t>소재</t>
        </is>
      </c>
      <c r="G136" s="29" t="inlineStr">
        <is>
          <t>소재</t>
        </is>
      </c>
      <c r="H136" s="29" t="inlineStr">
        <is>
          <t>False</t>
        </is>
      </c>
      <c r="I136" s="29" t="inlineStr">
        <is>
          <t>True</t>
        </is>
      </c>
      <c r="J136" s="29" t="inlineStr">
        <is>
          <t>OK</t>
        </is>
      </c>
      <c r="K136" s="29" t="inlineStr">
        <is>
          <t>데이터 사용 가능</t>
        </is>
      </c>
      <c r="L136" s="29" t="inlineStr">
        <is>
          <t>LOW</t>
        </is>
      </c>
      <c r="M136" s="29" t="inlineStr">
        <is>
          <t>LOW</t>
        </is>
      </c>
      <c r="N136" s="29" t="inlineStr">
        <is>
          <t>0.4702564102564102</t>
        </is>
      </c>
      <c r="O136" s="29" t="inlineStr">
        <is>
          <t>FAIR</t>
        </is>
      </c>
      <c r="P136" s="29" t="inlineStr">
        <is>
          <t>FAIR</t>
        </is>
      </c>
      <c r="Q136" s="29" t="inlineStr">
        <is>
          <t>ATTRACTIVE</t>
        </is>
      </c>
      <c r="R136" s="29" t="inlineStr">
        <is>
          <t>0.48929755601795294</t>
        </is>
      </c>
      <c r="S136" s="29" t="inlineStr">
        <is>
          <t>LOW</t>
        </is>
      </c>
      <c r="T136" s="29" t="inlineStr">
        <is>
          <t>LOW</t>
        </is>
      </c>
      <c r="U136" s="29" t="inlineStr">
        <is>
          <t>0.0</t>
        </is>
      </c>
      <c r="V136" s="29" t="inlineStr">
        <is>
          <t>LOW_RISK</t>
        </is>
      </c>
      <c r="W136" s="29" t="inlineStr">
        <is>
          <t>저위험</t>
        </is>
      </c>
      <c r="X136" s="29" t="inlineStr">
        <is>
          <t>LOW_RISK</t>
        </is>
      </c>
      <c r="Y136" s="29" t="inlineStr">
        <is>
          <t>0.9474461757717627</t>
        </is>
      </c>
      <c r="Z136" s="29" t="inlineStr">
        <is>
          <t>HIGH</t>
        </is>
      </c>
      <c r="AA136" s="29" t="inlineStr">
        <is>
          <t>HIGH</t>
        </is>
      </c>
      <c r="AB136" s="29" t="inlineStr">
        <is>
          <t>0.021813937556984325</t>
        </is>
      </c>
      <c r="AC136" s="29" t="inlineStr">
        <is>
          <t>False</t>
        </is>
      </c>
      <c r="AD136" s="29" t="inlineStr">
        <is>
          <t>True</t>
        </is>
      </c>
      <c r="AE136" s="29" t="inlineStr">
        <is>
          <t>valuation_credit_ml_overlay_candidate.csv</t>
        </is>
      </c>
      <c r="AF136" s="29" t="inlineStr">
        <is>
          <t>208개 반도체 reference universe. Valuation Agent가 자체 intake 폴더로 복제해 Peer/ML/대시보드 비교에 사용.</t>
        </is>
      </c>
    </row>
    <row r="137" ht="24" customHeight="1">
      <c r="A137" s="24" t="inlineStr">
        <is>
          <t>144</t>
        </is>
      </c>
      <c r="B137" s="24" t="inlineStr">
        <is>
          <t>해당 없음</t>
        </is>
      </c>
      <c r="C137" s="24" t="inlineStr">
        <is>
          <t>켐트로닉스</t>
        </is>
      </c>
      <c r="D137" s="24" t="inlineStr">
        <is>
          <t>089010</t>
        </is>
      </c>
      <c r="E137" s="24" t="inlineStr">
        <is>
          <t>KOSDAQ</t>
        </is>
      </c>
      <c r="F137" s="24" t="inlineStr">
        <is>
          <t>소재</t>
        </is>
      </c>
      <c r="G137" s="24" t="inlineStr">
        <is>
          <t>소재</t>
        </is>
      </c>
      <c r="H137" s="24" t="inlineStr">
        <is>
          <t>False</t>
        </is>
      </c>
      <c r="I137" s="24" t="inlineStr">
        <is>
          <t>True</t>
        </is>
      </c>
      <c r="J137" s="24" t="inlineStr">
        <is>
          <t>OK</t>
        </is>
      </c>
      <c r="K137" s="24" t="inlineStr">
        <is>
          <t>데이터 사용 가능</t>
        </is>
      </c>
      <c r="L137" s="24" t="inlineStr">
        <is>
          <t>LOW</t>
        </is>
      </c>
      <c r="M137" s="24" t="inlineStr">
        <is>
          <t>LOW</t>
        </is>
      </c>
      <c r="N137" s="24" t="inlineStr">
        <is>
          <t>0.4412820512820513</t>
        </is>
      </c>
      <c r="O137" s="24" t="inlineStr">
        <is>
          <t>FAIR</t>
        </is>
      </c>
      <c r="P137" s="24" t="inlineStr">
        <is>
          <t>FAIR</t>
        </is>
      </c>
      <c r="Q137" s="24" t="inlineStr">
        <is>
          <t>FAIR</t>
        </is>
      </c>
      <c r="R137" s="24" t="inlineStr">
        <is>
          <t>0.7697961799623572</t>
        </is>
      </c>
      <c r="S137" s="24" t="inlineStr">
        <is>
          <t>HIGH</t>
        </is>
      </c>
      <c r="T137" s="24" t="inlineStr">
        <is>
          <t>HIGH</t>
        </is>
      </c>
      <c r="U137" s="24" t="inlineStr">
        <is>
          <t>0.3571428571428571</t>
        </is>
      </c>
      <c r="V137" s="24" t="inlineStr">
        <is>
          <t>MEDIUM_RISK</t>
        </is>
      </c>
      <c r="W137" s="24" t="inlineStr">
        <is>
          <t>중위험</t>
        </is>
      </c>
      <c r="X137" s="24" t="inlineStr">
        <is>
          <t>MEDIUM_RISK</t>
        </is>
      </c>
      <c r="Y137" s="24" t="inlineStr">
        <is>
          <t>0.46850853772952833</t>
        </is>
      </c>
      <c r="Z137" s="24" t="inlineStr">
        <is>
          <t>LOW</t>
        </is>
      </c>
      <c r="AA137" s="24" t="inlineStr">
        <is>
          <t>LOW</t>
        </is>
      </c>
      <c r="AB137" s="24" t="inlineStr">
        <is>
          <t>0.08001716573230905</t>
        </is>
      </c>
      <c r="AC137" s="24" t="inlineStr">
        <is>
          <t>False</t>
        </is>
      </c>
      <c r="AD137" s="24" t="inlineStr">
        <is>
          <t>True</t>
        </is>
      </c>
      <c r="AE137" s="24" t="inlineStr">
        <is>
          <t>valuation_credit_ml_overlay_candidate.csv</t>
        </is>
      </c>
      <c r="AF137" s="24" t="inlineStr">
        <is>
          <t>208개 반도체 reference universe. Valuation Agent가 자체 intake 폴더로 복제해 Peer/ML/대시보드 비교에 사용.</t>
        </is>
      </c>
    </row>
    <row r="138" ht="24" customHeight="1">
      <c r="A138" s="29" t="inlineStr">
        <is>
          <t>129</t>
        </is>
      </c>
      <c r="B138" s="29" t="inlineStr">
        <is>
          <t>해당 없음</t>
        </is>
      </c>
      <c r="C138" s="29" t="inlineStr">
        <is>
          <t>솔브레인</t>
        </is>
      </c>
      <c r="D138" s="29" t="inlineStr">
        <is>
          <t>357780</t>
        </is>
      </c>
      <c r="E138" s="29" t="inlineStr">
        <is>
          <t>KOSDAQ GLOBAL</t>
        </is>
      </c>
      <c r="F138" s="29" t="inlineStr">
        <is>
          <t>소재</t>
        </is>
      </c>
      <c r="G138" s="29" t="inlineStr">
        <is>
          <t>소재</t>
        </is>
      </c>
      <c r="H138" s="29" t="inlineStr">
        <is>
          <t>False</t>
        </is>
      </c>
      <c r="I138" s="29" t="inlineStr">
        <is>
          <t>True</t>
        </is>
      </c>
      <c r="J138" s="29" t="inlineStr">
        <is>
          <t>OK</t>
        </is>
      </c>
      <c r="K138" s="29" t="inlineStr">
        <is>
          <t>데이터 사용 가능</t>
        </is>
      </c>
      <c r="L138" s="29" t="inlineStr">
        <is>
          <t>LOW</t>
        </is>
      </c>
      <c r="M138" s="29" t="inlineStr">
        <is>
          <t>LOW</t>
        </is>
      </c>
      <c r="N138" s="29" t="inlineStr">
        <is>
          <t>0.4330769230769231</t>
        </is>
      </c>
      <c r="O138" s="29" t="inlineStr">
        <is>
          <t>FAIR</t>
        </is>
      </c>
      <c r="P138" s="29" t="inlineStr">
        <is>
          <t>FAIR</t>
        </is>
      </c>
      <c r="Q138" s="29" t="inlineStr">
        <is>
          <t>FAIR</t>
        </is>
      </c>
      <c r="R138" s="29" t="inlineStr">
        <is>
          <t>0.6367158518654258</t>
        </is>
      </c>
      <c r="S138" s="29" t="inlineStr">
        <is>
          <t>MEDIUM</t>
        </is>
      </c>
      <c r="T138" s="29" t="inlineStr">
        <is>
          <t>MEDIUM</t>
        </is>
      </c>
      <c r="U138" s="29" t="inlineStr">
        <is>
          <t>0.0</t>
        </is>
      </c>
      <c r="V138" s="29" t="inlineStr">
        <is>
          <t>LOW_RISK</t>
        </is>
      </c>
      <c r="W138" s="29" t="inlineStr">
        <is>
          <t>저위험</t>
        </is>
      </c>
      <c r="X138" s="29" t="inlineStr">
        <is>
          <t>LOW_RISK</t>
        </is>
      </c>
      <c r="Y138" s="29" t="inlineStr">
        <is>
          <t>0.9460528189989016</t>
        </is>
      </c>
      <c r="Z138" s="29" t="inlineStr">
        <is>
          <t>HIGH</t>
        </is>
      </c>
      <c r="AA138" s="29" t="inlineStr">
        <is>
          <t>HIGH</t>
        </is>
      </c>
      <c r="AB138" s="29" t="inlineStr">
        <is>
          <t>0.0320761550307272</t>
        </is>
      </c>
      <c r="AC138" s="29" t="inlineStr">
        <is>
          <t>False</t>
        </is>
      </c>
      <c r="AD138" s="29" t="inlineStr">
        <is>
          <t>False</t>
        </is>
      </c>
      <c r="AE138" s="29" t="inlineStr">
        <is>
          <t>valuation_credit_ml_overlay_candidate.csv</t>
        </is>
      </c>
      <c r="AF138" s="29" t="inlineStr">
        <is>
          <t>208개 반도체 reference universe. Valuation Agent가 자체 intake 폴더로 복제해 Peer/ML/대시보드 비교에 사용.</t>
        </is>
      </c>
    </row>
    <row r="139" ht="24" customHeight="1">
      <c r="A139" s="24" t="inlineStr">
        <is>
          <t>127</t>
        </is>
      </c>
      <c r="B139" s="24" t="inlineStr">
        <is>
          <t>해당 없음</t>
        </is>
      </c>
      <c r="C139" s="24" t="inlineStr">
        <is>
          <t>디엔에프</t>
        </is>
      </c>
      <c r="D139" s="24" t="inlineStr">
        <is>
          <t>092070</t>
        </is>
      </c>
      <c r="E139" s="24" t="inlineStr">
        <is>
          <t>KOSDAQ</t>
        </is>
      </c>
      <c r="F139" s="24" t="inlineStr">
        <is>
          <t>소재</t>
        </is>
      </c>
      <c r="G139" s="24" t="inlineStr">
        <is>
          <t>소재</t>
        </is>
      </c>
      <c r="H139" s="24" t="inlineStr">
        <is>
          <t>False</t>
        </is>
      </c>
      <c r="I139" s="24" t="inlineStr">
        <is>
          <t>True</t>
        </is>
      </c>
      <c r="J139" s="24" t="inlineStr">
        <is>
          <t>OK</t>
        </is>
      </c>
      <c r="K139" s="24" t="inlineStr">
        <is>
          <t>데이터 사용 가능</t>
        </is>
      </c>
      <c r="L139" s="24" t="inlineStr">
        <is>
          <t>LOW</t>
        </is>
      </c>
      <c r="M139" s="24" t="inlineStr">
        <is>
          <t>LOW</t>
        </is>
      </c>
      <c r="N139" s="24" t="inlineStr">
        <is>
          <t>0.4041025641025642</t>
        </is>
      </c>
      <c r="O139" s="24" t="inlineStr">
        <is>
          <t>EXPENSIVE</t>
        </is>
      </c>
      <c r="P139" s="24" t="inlineStr">
        <is>
          <t>EXPENSIVE</t>
        </is>
      </c>
      <c r="Q139" s="24" t="inlineStr">
        <is>
          <t>EXPENSIVE</t>
        </is>
      </c>
      <c r="R139" s="24" t="inlineStr">
        <is>
          <t>0.6833535693717029</t>
        </is>
      </c>
      <c r="S139" s="24" t="inlineStr">
        <is>
          <t>MEDIUM</t>
        </is>
      </c>
      <c r="T139" s="24" t="inlineStr">
        <is>
          <t>MEDIUM</t>
        </is>
      </c>
      <c r="U139" s="24" t="inlineStr">
        <is>
          <t>0.1428571428571428</t>
        </is>
      </c>
      <c r="V139" s="24" t="inlineStr">
        <is>
          <t>LOW_RISK</t>
        </is>
      </c>
      <c r="W139" s="24" t="inlineStr">
        <is>
          <t>저위험</t>
        </is>
      </c>
      <c r="X139" s="24" t="inlineStr">
        <is>
          <t>LOW_RISK</t>
        </is>
      </c>
      <c r="Y139" s="24" t="inlineStr">
        <is>
          <t>0.5929893794662974</t>
        </is>
      </c>
      <c r="Z139" s="24" t="inlineStr">
        <is>
          <t>MEDIUM</t>
        </is>
      </c>
      <c r="AA139" s="24" t="inlineStr">
        <is>
          <t>MEDIUM</t>
        </is>
      </c>
      <c r="AB139" s="24" t="inlineStr">
        <is>
          <t>0.12453521172683771</t>
        </is>
      </c>
      <c r="AC139" s="24" t="inlineStr">
        <is>
          <t>False</t>
        </is>
      </c>
      <c r="AD139" s="24" t="inlineStr">
        <is>
          <t>False</t>
        </is>
      </c>
      <c r="AE139" s="24" t="inlineStr">
        <is>
          <t>valuation_credit_ml_overlay_candidate.csv</t>
        </is>
      </c>
      <c r="AF139" s="24" t="inlineStr">
        <is>
          <t>208개 반도체 reference universe. Valuation Agent가 자체 intake 폴더로 복제해 Peer/ML/대시보드 비교에 사용.</t>
        </is>
      </c>
    </row>
    <row r="140" ht="24" customHeight="1">
      <c r="A140" s="29" t="inlineStr">
        <is>
          <t>135</t>
        </is>
      </c>
      <c r="B140" s="29" t="inlineStr">
        <is>
          <t>해당 없음</t>
        </is>
      </c>
      <c r="C140" s="29" t="inlineStr">
        <is>
          <t>와이씨켐</t>
        </is>
      </c>
      <c r="D140" s="29" t="inlineStr">
        <is>
          <t>112290</t>
        </is>
      </c>
      <c r="E140" s="29" t="inlineStr">
        <is>
          <t>KOSDAQ</t>
        </is>
      </c>
      <c r="F140" s="29" t="inlineStr">
        <is>
          <t>소재</t>
        </is>
      </c>
      <c r="G140" s="29" t="inlineStr">
        <is>
          <t>소재</t>
        </is>
      </c>
      <c r="H140" s="29" t="inlineStr">
        <is>
          <t>False</t>
        </is>
      </c>
      <c r="I140" s="29" t="inlineStr">
        <is>
          <t>True</t>
        </is>
      </c>
      <c r="J140" s="29" t="inlineStr">
        <is>
          <t>OK</t>
        </is>
      </c>
      <c r="K140" s="29" t="inlineStr">
        <is>
          <t>데이터 사용 가능</t>
        </is>
      </c>
      <c r="L140" s="29" t="inlineStr">
        <is>
          <t>LOW</t>
        </is>
      </c>
      <c r="M140" s="29" t="inlineStr">
        <is>
          <t>LOW</t>
        </is>
      </c>
      <c r="N140" s="29" t="inlineStr">
        <is>
          <t>0.3835897435897436</t>
        </is>
      </c>
      <c r="O140" s="29" t="inlineStr">
        <is>
          <t>EXPENSIVE</t>
        </is>
      </c>
      <c r="P140" s="29" t="inlineStr">
        <is>
          <t>EXPENSIVE</t>
        </is>
      </c>
      <c r="Q140" s="29" t="inlineStr">
        <is>
          <t>EXPENSIVE</t>
        </is>
      </c>
      <c r="R140" s="29" t="inlineStr">
        <is>
          <t>0.7576999610053956</t>
        </is>
      </c>
      <c r="S140" s="29" t="inlineStr">
        <is>
          <t>HIGH</t>
        </is>
      </c>
      <c r="T140" s="29" t="inlineStr">
        <is>
          <t>HIGH</t>
        </is>
      </c>
      <c r="U140" s="29" t="inlineStr">
        <is>
          <t>0.5</t>
        </is>
      </c>
      <c r="V140" s="29" t="inlineStr">
        <is>
          <t>HIGH_RISK</t>
        </is>
      </c>
      <c r="W140" s="29" t="inlineStr">
        <is>
          <t>고위험</t>
        </is>
      </c>
      <c r="X140" s="29" t="inlineStr">
        <is>
          <t>HIGH_RISK</t>
        </is>
      </c>
      <c r="Y140" s="29" t="inlineStr">
        <is>
          <t>0.5943318096005836</t>
        </is>
      </c>
      <c r="Z140" s="29" t="inlineStr">
        <is>
          <t>MEDIUM</t>
        </is>
      </c>
      <c r="AA140" s="29" t="inlineStr">
        <is>
          <t>MEDIUM</t>
        </is>
      </c>
      <c r="AB140" s="29" t="inlineStr">
        <is>
          <t>0.09923299749910795</t>
        </is>
      </c>
      <c r="AC140" s="29" t="inlineStr">
        <is>
          <t>False</t>
        </is>
      </c>
      <c r="AD140" s="29" t="inlineStr">
        <is>
          <t>False</t>
        </is>
      </c>
      <c r="AE140" s="29" t="inlineStr">
        <is>
          <t>valuation_credit_ml_overlay_candidate.csv</t>
        </is>
      </c>
      <c r="AF140" s="29" t="inlineStr">
        <is>
          <t>208개 반도체 reference universe. Valuation Agent가 자체 intake 폴더로 복제해 Peer/ML/대시보드 비교에 사용.</t>
        </is>
      </c>
    </row>
    <row r="141" ht="24" customHeight="1">
      <c r="A141" s="24" t="inlineStr">
        <is>
          <t>143</t>
        </is>
      </c>
      <c r="B141" s="24" t="inlineStr">
        <is>
          <t>해당 없음</t>
        </is>
      </c>
      <c r="C141" s="24" t="inlineStr">
        <is>
          <t>천보</t>
        </is>
      </c>
      <c r="D141" s="24" t="inlineStr">
        <is>
          <t>278280</t>
        </is>
      </c>
      <c r="E141" s="24" t="inlineStr">
        <is>
          <t>KOSDAQ</t>
        </is>
      </c>
      <c r="F141" s="24" t="inlineStr">
        <is>
          <t>소재</t>
        </is>
      </c>
      <c r="G141" s="24" t="inlineStr">
        <is>
          <t>소재</t>
        </is>
      </c>
      <c r="H141" s="24" t="inlineStr">
        <is>
          <t>False</t>
        </is>
      </c>
      <c r="I141" s="24" t="inlineStr">
        <is>
          <t>True</t>
        </is>
      </c>
      <c r="J141" s="24" t="inlineStr">
        <is>
          <t>OK</t>
        </is>
      </c>
      <c r="K141" s="24" t="inlineStr">
        <is>
          <t>데이터 사용 가능</t>
        </is>
      </c>
      <c r="L141" s="24" t="inlineStr">
        <is>
          <t>LOW</t>
        </is>
      </c>
      <c r="M141" s="24" t="inlineStr">
        <is>
          <t>LOW</t>
        </is>
      </c>
      <c r="N141" s="24" t="inlineStr">
        <is>
          <t>0.3387179487179487</t>
        </is>
      </c>
      <c r="O141" s="24" t="inlineStr">
        <is>
          <t>EXPENSIVE</t>
        </is>
      </c>
      <c r="P141" s="24" t="inlineStr">
        <is>
          <t>EXPENSIVE</t>
        </is>
      </c>
      <c r="Q141" s="24" t="inlineStr">
        <is>
          <t>EXPENSIVE</t>
        </is>
      </c>
      <c r="R141" s="24" t="inlineStr">
        <is>
          <t>0.5721835844163214</t>
        </is>
      </c>
      <c r="S141" s="24" t="inlineStr">
        <is>
          <t>MEDIUM</t>
        </is>
      </c>
      <c r="T141" s="24" t="inlineStr">
        <is>
          <t>MEDIUM</t>
        </is>
      </c>
      <c r="U141" s="24" t="inlineStr">
        <is>
          <t>0.3571428571428571</t>
        </is>
      </c>
      <c r="V141" s="24" t="inlineStr">
        <is>
          <t>MEDIUM_RISK</t>
        </is>
      </c>
      <c r="W141" s="24" t="inlineStr">
        <is>
          <t>중위험</t>
        </is>
      </c>
      <c r="X141" s="24" t="inlineStr">
        <is>
          <t>MEDIUM_RISK</t>
        </is>
      </c>
      <c r="Y141" s="24" t="inlineStr">
        <is>
          <t>0.6610625585827647</t>
        </is>
      </c>
      <c r="Z141" s="24" t="inlineStr">
        <is>
          <t>MEDIUM</t>
        </is>
      </c>
      <c r="AA141" s="24" t="inlineStr">
        <is>
          <t>MEDIUM</t>
        </is>
      </c>
      <c r="AB141" s="24" t="inlineStr">
        <is>
          <t>0.09911108426869078</t>
        </is>
      </c>
      <c r="AC141" s="24" t="inlineStr">
        <is>
          <t>False</t>
        </is>
      </c>
      <c r="AD141" s="24" t="inlineStr">
        <is>
          <t>False</t>
        </is>
      </c>
      <c r="AE141" s="24" t="inlineStr">
        <is>
          <t>valuation_credit_ml_overlay_candidate.csv</t>
        </is>
      </c>
      <c r="AF141" s="24" t="inlineStr">
        <is>
          <t>208개 반도체 reference universe. Valuation Agent가 자체 intake 폴더로 복제해 Peer/ML/대시보드 비교에 사용.</t>
        </is>
      </c>
    </row>
    <row r="142" ht="24" customHeight="1">
      <c r="A142" s="29" t="inlineStr">
        <is>
          <t>149</t>
        </is>
      </c>
      <c r="B142" s="29" t="inlineStr">
        <is>
          <t>해당 없음</t>
        </is>
      </c>
      <c r="C142" s="29" t="inlineStr">
        <is>
          <t>후성</t>
        </is>
      </c>
      <c r="D142" s="29" t="inlineStr">
        <is>
          <t>093370</t>
        </is>
      </c>
      <c r="E142" s="29" t="inlineStr">
        <is>
          <t>KOSPI</t>
        </is>
      </c>
      <c r="F142" s="29" t="inlineStr">
        <is>
          <t>소재</t>
        </is>
      </c>
      <c r="G142" s="29" t="inlineStr">
        <is>
          <t>소재</t>
        </is>
      </c>
      <c r="H142" s="29" t="inlineStr">
        <is>
          <t>False</t>
        </is>
      </c>
      <c r="I142" s="29" t="inlineStr">
        <is>
          <t>True</t>
        </is>
      </c>
      <c r="J142" s="29" t="inlineStr">
        <is>
          <t>OK</t>
        </is>
      </c>
      <c r="K142" s="29" t="inlineStr">
        <is>
          <t>데이터 사용 가능</t>
        </is>
      </c>
      <c r="L142" s="29" t="inlineStr">
        <is>
          <t>LOW</t>
        </is>
      </c>
      <c r="M142" s="29" t="inlineStr">
        <is>
          <t>LOW</t>
        </is>
      </c>
      <c r="N142" s="29" t="inlineStr">
        <is>
          <t>0.3387179487179487</t>
        </is>
      </c>
      <c r="O142" s="29" t="inlineStr">
        <is>
          <t>EXPENSIVE</t>
        </is>
      </c>
      <c r="P142" s="29" t="inlineStr">
        <is>
          <t>EXPENSIVE</t>
        </is>
      </c>
      <c r="Q142" s="29" t="inlineStr">
        <is>
          <t>EXPENSIVE</t>
        </is>
      </c>
      <c r="R142" s="29" t="inlineStr">
        <is>
          <t>0.7388215177779633</t>
        </is>
      </c>
      <c r="S142" s="29" t="inlineStr">
        <is>
          <t>HIGH</t>
        </is>
      </c>
      <c r="T142" s="29" t="inlineStr">
        <is>
          <t>HIGH</t>
        </is>
      </c>
      <c r="U142" s="29" t="inlineStr">
        <is>
          <t>0.1428571428571428</t>
        </is>
      </c>
      <c r="V142" s="29" t="inlineStr">
        <is>
          <t>LOW_RISK</t>
        </is>
      </c>
      <c r="W142" s="29" t="inlineStr">
        <is>
          <t>저위험</t>
        </is>
      </c>
      <c r="X142" s="29" t="inlineStr">
        <is>
          <t>LOW_RISK</t>
        </is>
      </c>
      <c r="Y142" s="29" t="inlineStr">
        <is>
          <t>0.6020102100460379</t>
        </is>
      </c>
      <c r="Z142" s="29" t="inlineStr">
        <is>
          <t>MEDIUM</t>
        </is>
      </c>
      <c r="AA142" s="29" t="inlineStr">
        <is>
          <t>MEDIUM</t>
        </is>
      </c>
      <c r="AB142" s="29" t="inlineStr">
        <is>
          <t>0.03702349009826696</t>
        </is>
      </c>
      <c r="AC142" s="29" t="inlineStr">
        <is>
          <t>False</t>
        </is>
      </c>
      <c r="AD142" s="29" t="inlineStr">
        <is>
          <t>False</t>
        </is>
      </c>
      <c r="AE142" s="29" t="inlineStr">
        <is>
          <t>valuation_credit_ml_overlay_candidate.csv</t>
        </is>
      </c>
      <c r="AF142" s="29" t="inlineStr">
        <is>
          <t>208개 반도체 reference universe. Valuation Agent가 자체 intake 폴더로 복제해 Peer/ML/대시보드 비교에 사용.</t>
        </is>
      </c>
    </row>
    <row r="143" ht="24" customHeight="1">
      <c r="A143" s="24" t="inlineStr">
        <is>
          <t>132</t>
        </is>
      </c>
      <c r="B143" s="24" t="inlineStr">
        <is>
          <t>해당 없음</t>
        </is>
      </c>
      <c r="C143" s="24" t="inlineStr">
        <is>
          <t>엘케이켐</t>
        </is>
      </c>
      <c r="D143" s="24" t="inlineStr">
        <is>
          <t>489500</t>
        </is>
      </c>
      <c r="E143" s="24" t="inlineStr">
        <is>
          <t>KOSDAQ</t>
        </is>
      </c>
      <c r="F143" s="24" t="inlineStr">
        <is>
          <t>소재</t>
        </is>
      </c>
      <c r="G143" s="24" t="inlineStr">
        <is>
          <t>소재</t>
        </is>
      </c>
      <c r="H143" s="24" t="inlineStr">
        <is>
          <t>False</t>
        </is>
      </c>
      <c r="I143" s="24" t="inlineStr">
        <is>
          <t>True</t>
        </is>
      </c>
      <c r="J143" s="24" t="inlineStr">
        <is>
          <t>OK_LIMITED_HISTORY_OR_GROWTH_NA</t>
        </is>
      </c>
      <c r="K143" s="24" t="inlineStr">
        <is>
          <t>데이터 사용 가능</t>
        </is>
      </c>
      <c r="L143" s="24" t="inlineStr">
        <is>
          <t>LOW</t>
        </is>
      </c>
      <c r="M143" s="24" t="inlineStr">
        <is>
          <t>LOW</t>
        </is>
      </c>
      <c r="N143" s="24" t="inlineStr">
        <is>
          <t>0.3238461538461538</t>
        </is>
      </c>
      <c r="O143" s="24" t="inlineStr">
        <is>
          <t>EXPENSIVE</t>
        </is>
      </c>
      <c r="P143" s="24" t="inlineStr">
        <is>
          <t>EXPENSIVE</t>
        </is>
      </c>
      <c r="Q143" s="24" t="inlineStr">
        <is>
          <t>EXPENSIVE</t>
        </is>
      </c>
      <c r="R143" s="24" t="inlineStr">
        <is>
          <t>0.702794478496214</t>
        </is>
      </c>
      <c r="S143" s="24" t="inlineStr">
        <is>
          <t>HIGH</t>
        </is>
      </c>
      <c r="T143" s="24" t="inlineStr">
        <is>
          <t>HIGH</t>
        </is>
      </c>
      <c r="U143" s="24" t="inlineStr">
        <is>
          <t>0.2857142857142857</t>
        </is>
      </c>
      <c r="V143" s="24" t="inlineStr">
        <is>
          <t>MEDIUM_RISK</t>
        </is>
      </c>
      <c r="W143" s="24" t="inlineStr">
        <is>
          <t>중위험</t>
        </is>
      </c>
      <c r="X143" s="24" t="inlineStr">
        <is>
          <t>MEDIUM_RISK</t>
        </is>
      </c>
      <c r="Y143" s="24" t="inlineStr">
        <is>
          <t>0.5536965458646373</t>
        </is>
      </c>
      <c r="Z143" s="24" t="inlineStr">
        <is>
          <t>MEDIUM</t>
        </is>
      </c>
      <c r="AA143" s="24" t="inlineStr">
        <is>
          <t>MEDIUM</t>
        </is>
      </c>
      <c r="AB143" s="24" t="inlineStr">
        <is>
          <t>0.25181847400004714</t>
        </is>
      </c>
      <c r="AC143" s="24" t="inlineStr">
        <is>
          <t>True</t>
        </is>
      </c>
      <c r="AD143" s="24" t="inlineStr">
        <is>
          <t>True</t>
        </is>
      </c>
      <c r="AE143" s="24" t="inlineStr">
        <is>
          <t>valuation_credit_ml_overlay_candidate.csv</t>
        </is>
      </c>
      <c r="AF143" s="24" t="inlineStr">
        <is>
          <t>208개 반도체 reference universe. Valuation Agent가 자체 intake 폴더로 복제해 Peer/ML/대시보드 비교에 사용.</t>
        </is>
      </c>
    </row>
    <row r="144" ht="24" customHeight="1">
      <c r="A144" s="29" t="inlineStr">
        <is>
          <t>124</t>
        </is>
      </c>
      <c r="B144" s="29" t="inlineStr">
        <is>
          <t>해당 없음</t>
        </is>
      </c>
      <c r="C144" s="29" t="inlineStr">
        <is>
          <t>SKC</t>
        </is>
      </c>
      <c r="D144" s="29" t="inlineStr">
        <is>
          <t>011790</t>
        </is>
      </c>
      <c r="E144" s="29" t="inlineStr">
        <is>
          <t>KOSPI</t>
        </is>
      </c>
      <c r="F144" s="29" t="inlineStr">
        <is>
          <t>소재</t>
        </is>
      </c>
      <c r="G144" s="29" t="inlineStr">
        <is>
          <t>소재</t>
        </is>
      </c>
      <c r="H144" s="29" t="inlineStr">
        <is>
          <t>False</t>
        </is>
      </c>
      <c r="I144" s="29" t="inlineStr">
        <is>
          <t>True</t>
        </is>
      </c>
      <c r="J144" s="29" t="inlineStr">
        <is>
          <t>OK</t>
        </is>
      </c>
      <c r="K144" s="29" t="inlineStr">
        <is>
          <t>데이터 사용 가능</t>
        </is>
      </c>
      <c r="L144" s="29" t="inlineStr">
        <is>
          <t>LOW</t>
        </is>
      </c>
      <c r="M144" s="29" t="inlineStr">
        <is>
          <t>LOW</t>
        </is>
      </c>
      <c r="N144" s="29" t="inlineStr">
        <is>
          <t>0.3217948717948718</t>
        </is>
      </c>
      <c r="O144" s="29" t="inlineStr">
        <is>
          <t>EXPENSIVE</t>
        </is>
      </c>
      <c r="P144" s="29" t="inlineStr">
        <is>
          <t>EXPENSIVE</t>
        </is>
      </c>
      <c r="Q144" s="29" t="inlineStr">
        <is>
          <t>EXPENSIVE</t>
        </is>
      </c>
      <c r="R144" s="29" t="inlineStr">
        <is>
          <t>0.865330691240198</t>
        </is>
      </c>
      <c r="S144" s="29" t="inlineStr">
        <is>
          <t>HIGH</t>
        </is>
      </c>
      <c r="T144" s="29" t="inlineStr">
        <is>
          <t>HIGH</t>
        </is>
      </c>
      <c r="U144" s="29" t="inlineStr">
        <is>
          <t>0.7142857142857143</t>
        </is>
      </c>
      <c r="V144" s="29" t="inlineStr">
        <is>
          <t>HIGH_RISK</t>
        </is>
      </c>
      <c r="W144" s="29" t="inlineStr">
        <is>
          <t>고위험</t>
        </is>
      </c>
      <c r="X144" s="29" t="inlineStr">
        <is>
          <t>HIGH_RISK</t>
        </is>
      </c>
      <c r="Y144" s="29" t="inlineStr">
        <is>
          <t>0.9272418560336225</t>
        </is>
      </c>
      <c r="Z144" s="29" t="inlineStr">
        <is>
          <t>HIGH</t>
        </is>
      </c>
      <c r="AA144" s="29" t="inlineStr">
        <is>
          <t>HIGH</t>
        </is>
      </c>
      <c r="AB144" s="29" t="inlineStr">
        <is>
          <t>0.23200310396853355</t>
        </is>
      </c>
      <c r="AC144" s="29" t="inlineStr">
        <is>
          <t>False</t>
        </is>
      </c>
      <c r="AD144" s="29" t="inlineStr">
        <is>
          <t>False</t>
        </is>
      </c>
      <c r="AE144" s="29" t="inlineStr">
        <is>
          <t>valuation_credit_ml_overlay_candidate.csv</t>
        </is>
      </c>
      <c r="AF144" s="29" t="inlineStr">
        <is>
          <t>208개 반도체 reference universe. Valuation Agent가 자체 intake 폴더로 복제해 Peer/ML/대시보드 비교에 사용.</t>
        </is>
      </c>
    </row>
    <row r="145" ht="24" customHeight="1">
      <c r="A145" s="24" t="inlineStr">
        <is>
          <t>128</t>
        </is>
      </c>
      <c r="B145" s="24" t="inlineStr">
        <is>
          <t>해당 없음</t>
        </is>
      </c>
      <c r="C145" s="24" t="inlineStr">
        <is>
          <t>레이크머티리얼즈</t>
        </is>
      </c>
      <c r="D145" s="24" t="inlineStr">
        <is>
          <t>281740</t>
        </is>
      </c>
      <c r="E145" s="24" t="inlineStr">
        <is>
          <t>KOSDAQ</t>
        </is>
      </c>
      <c r="F145" s="24" t="inlineStr">
        <is>
          <t>소재</t>
        </is>
      </c>
      <c r="G145" s="24" t="inlineStr">
        <is>
          <t>소재</t>
        </is>
      </c>
      <c r="H145" s="24" t="inlineStr">
        <is>
          <t>False</t>
        </is>
      </c>
      <c r="I145" s="24" t="inlineStr">
        <is>
          <t>True</t>
        </is>
      </c>
      <c r="J145" s="24" t="inlineStr">
        <is>
          <t>OK</t>
        </is>
      </c>
      <c r="K145" s="24" t="inlineStr">
        <is>
          <t>데이터 사용 가능</t>
        </is>
      </c>
      <c r="L145" s="24" t="inlineStr">
        <is>
          <t>LOW</t>
        </is>
      </c>
      <c r="M145" s="24" t="inlineStr">
        <is>
          <t>LOW</t>
        </is>
      </c>
      <c r="N145" s="24" t="inlineStr">
        <is>
          <t>0.2676923076923077</t>
        </is>
      </c>
      <c r="O145" s="24" t="inlineStr">
        <is>
          <t>EXPENSIVE</t>
        </is>
      </c>
      <c r="P145" s="24" t="inlineStr">
        <is>
          <t>EXPENSIVE</t>
        </is>
      </c>
      <c r="Q145" s="24" t="inlineStr">
        <is>
          <t>EXPENSIVE</t>
        </is>
      </c>
      <c r="R145" s="24" t="inlineStr">
        <is>
          <t>0.7822727417954645</t>
        </is>
      </c>
      <c r="S145" s="24" t="inlineStr">
        <is>
          <t>HIGH</t>
        </is>
      </c>
      <c r="T145" s="24" t="inlineStr">
        <is>
          <t>HIGH</t>
        </is>
      </c>
      <c r="U145" s="24" t="inlineStr">
        <is>
          <t>0.2857142857142857</t>
        </is>
      </c>
      <c r="V145" s="24" t="inlineStr">
        <is>
          <t>MEDIUM_RISK</t>
        </is>
      </c>
      <c r="W145" s="24" t="inlineStr">
        <is>
          <t>중위험</t>
        </is>
      </c>
      <c r="X145" s="24" t="inlineStr">
        <is>
          <t>LOW_RISK</t>
        </is>
      </c>
      <c r="Y145" s="24" t="inlineStr">
        <is>
          <t>0.44190315892256776</t>
        </is>
      </c>
      <c r="Z145" s="24" t="inlineStr">
        <is>
          <t>LOW</t>
        </is>
      </c>
      <c r="AA145" s="24" t="inlineStr">
        <is>
          <t>LOW</t>
        </is>
      </c>
      <c r="AB145" s="24" t="inlineStr">
        <is>
          <t>0.0525163305941587</t>
        </is>
      </c>
      <c r="AC145" s="24" t="inlineStr">
        <is>
          <t>False</t>
        </is>
      </c>
      <c r="AD145" s="24" t="inlineStr">
        <is>
          <t>True</t>
        </is>
      </c>
      <c r="AE145" s="24" t="inlineStr">
        <is>
          <t>valuation_credit_ml_overlay_candidate.csv</t>
        </is>
      </c>
      <c r="AF145" s="24" t="inlineStr">
        <is>
          <t>208개 반도체 reference universe. Valuation Agent가 자체 intake 폴더로 복제해 Peer/ML/대시보드 비교에 사용.</t>
        </is>
      </c>
    </row>
    <row r="146" ht="24" customHeight="1">
      <c r="A146" s="29" t="inlineStr">
        <is>
          <t>125</t>
        </is>
      </c>
      <c r="B146" s="29" t="inlineStr">
        <is>
          <t>duksan</t>
        </is>
      </c>
      <c r="C146" s="29" t="inlineStr">
        <is>
          <t>덕산테코피아</t>
        </is>
      </c>
      <c r="D146" s="29" t="inlineStr">
        <is>
          <t>317330</t>
        </is>
      </c>
      <c r="E146" s="29" t="inlineStr">
        <is>
          <t>KOSDAQ</t>
        </is>
      </c>
      <c r="F146" s="29" t="inlineStr">
        <is>
          <t>소재</t>
        </is>
      </c>
      <c r="G146" s="29" t="inlineStr">
        <is>
          <t>소재</t>
        </is>
      </c>
      <c r="H146" s="29" t="inlineStr">
        <is>
          <t>True</t>
        </is>
      </c>
      <c r="I146" s="29" t="inlineStr">
        <is>
          <t>True</t>
        </is>
      </c>
      <c r="J146" s="29" t="inlineStr">
        <is>
          <t>OK</t>
        </is>
      </c>
      <c r="K146" s="29" t="inlineStr">
        <is>
          <t>데이터 사용 가능</t>
        </is>
      </c>
      <c r="L146" s="29" t="inlineStr">
        <is>
          <t>LOW</t>
        </is>
      </c>
      <c r="M146" s="29" t="inlineStr">
        <is>
          <t>LOW</t>
        </is>
      </c>
      <c r="N146" s="29" t="inlineStr">
        <is>
          <t>0.251025641025641</t>
        </is>
      </c>
      <c r="O146" s="29" t="inlineStr">
        <is>
          <t>EXPENSIVE</t>
        </is>
      </c>
      <c r="P146" s="29" t="inlineStr">
        <is>
          <t>EXPENSIVE</t>
        </is>
      </c>
      <c r="Q146" s="29" t="inlineStr">
        <is>
          <t>EXPENSIVE</t>
        </is>
      </c>
      <c r="R146" s="29" t="inlineStr">
        <is>
          <t>0.9683283970250778</t>
        </is>
      </c>
      <c r="S146" s="29" t="inlineStr">
        <is>
          <t>HIGH</t>
        </is>
      </c>
      <c r="T146" s="29" t="inlineStr">
        <is>
          <t>HIGH</t>
        </is>
      </c>
      <c r="U146" s="29" t="inlineStr">
        <is>
          <t>0.7142857142857143</t>
        </is>
      </c>
      <c r="V146" s="29" t="inlineStr">
        <is>
          <t>HIGH_RISK</t>
        </is>
      </c>
      <c r="W146" s="29" t="inlineStr">
        <is>
          <t>고위험</t>
        </is>
      </c>
      <c r="X146" s="29" t="inlineStr">
        <is>
          <t>HIGH_RISK</t>
        </is>
      </c>
      <c r="Y146" s="29" t="inlineStr">
        <is>
          <t>0.9663044353705786</t>
        </is>
      </c>
      <c r="Z146" s="29" t="inlineStr">
        <is>
          <t>HIGH</t>
        </is>
      </c>
      <c r="AA146" s="29" t="inlineStr">
        <is>
          <t>HIGH</t>
        </is>
      </c>
      <c r="AB146" s="29" t="inlineStr">
        <is>
          <t>0.3843555232614074</t>
        </is>
      </c>
      <c r="AC146" s="29" t="inlineStr">
        <is>
          <t>True</t>
        </is>
      </c>
      <c r="AD146" s="29" t="inlineStr">
        <is>
          <t>True</t>
        </is>
      </c>
      <c r="AE146" s="29" t="inlineStr">
        <is>
          <t>valuation_credit_ml_overlay_candidate.csv</t>
        </is>
      </c>
      <c r="AF146" s="29" t="inlineStr">
        <is>
          <t>208개 반도체 reference universe. Valuation Agent가 자체 intake 폴더로 복제해 Peer/ML/대시보드 비교에 사용.</t>
        </is>
      </c>
    </row>
    <row r="147" ht="24" customHeight="1">
      <c r="A147" s="24" t="inlineStr">
        <is>
          <t>99</t>
        </is>
      </c>
      <c r="B147" s="24" t="inlineStr">
        <is>
          <t>해당 없음</t>
        </is>
      </c>
      <c r="C147" s="24" t="inlineStr">
        <is>
          <t>엔투텍</t>
        </is>
      </c>
      <c r="D147" s="24" t="inlineStr">
        <is>
          <t>227950</t>
        </is>
      </c>
      <c r="E147" s="24" t="inlineStr">
        <is>
          <t>KOSDAQ</t>
        </is>
      </c>
      <c r="F147" s="24" t="inlineStr">
        <is>
          <t>장비</t>
        </is>
      </c>
      <c r="G147" s="24" t="inlineStr">
        <is>
          <t>장비</t>
        </is>
      </c>
      <c r="H147" s="24" t="inlineStr">
        <is>
          <t>False</t>
        </is>
      </c>
      <c r="I147" s="24" t="inlineStr">
        <is>
          <t>True</t>
        </is>
      </c>
      <c r="J147" s="24" t="inlineStr">
        <is>
          <t>OK</t>
        </is>
      </c>
      <c r="K147" s="24" t="inlineStr">
        <is>
          <t>데이터 사용 가능</t>
        </is>
      </c>
      <c r="L147" s="24" t="inlineStr">
        <is>
          <t>LOW</t>
        </is>
      </c>
      <c r="M147" s="24" t="inlineStr">
        <is>
          <t>LOW</t>
        </is>
      </c>
      <c r="N147" s="24" t="inlineStr">
        <is>
          <t>0.8128666666666667</t>
        </is>
      </c>
      <c r="O147" s="24" t="inlineStr">
        <is>
          <t>ATTRACTIVE</t>
        </is>
      </c>
      <c r="P147" s="24" t="inlineStr">
        <is>
          <t>가치 매력</t>
        </is>
      </c>
      <c r="Q147" s="24" t="inlineStr">
        <is>
          <t>ATTRACTIVE</t>
        </is>
      </c>
      <c r="R147" s="24" t="inlineStr">
        <is>
          <t>0.8347222629406851</t>
        </is>
      </c>
      <c r="S147" s="24" t="inlineStr">
        <is>
          <t>HIGH</t>
        </is>
      </c>
      <c r="T147" s="24" t="inlineStr">
        <is>
          <t>HIGH</t>
        </is>
      </c>
      <c r="U147" s="24" t="inlineStr">
        <is>
          <t>0.2142857142857142</t>
        </is>
      </c>
      <c r="V147" s="24" t="inlineStr">
        <is>
          <t>MEDIUM_RISK</t>
        </is>
      </c>
      <c r="W147" s="24" t="inlineStr">
        <is>
          <t>중위험</t>
        </is>
      </c>
      <c r="X147" s="24" t="inlineStr">
        <is>
          <t>MEDIUM_RISK</t>
        </is>
      </c>
      <c r="Y147" s="24" t="inlineStr">
        <is>
          <t>0.5142933547274794</t>
        </is>
      </c>
      <c r="Z147" s="24" t="inlineStr">
        <is>
          <t>MEDIUM</t>
        </is>
      </c>
      <c r="AA147" s="24" t="inlineStr">
        <is>
          <t>MEDIUM</t>
        </is>
      </c>
      <c r="AB147" s="24" t="inlineStr">
        <is>
          <t>0.21193857896314997</t>
        </is>
      </c>
      <c r="AC147" s="24" t="inlineStr">
        <is>
          <t>False</t>
        </is>
      </c>
      <c r="AD147" s="24" t="inlineStr">
        <is>
          <t>False</t>
        </is>
      </c>
      <c r="AE147" s="24" t="inlineStr">
        <is>
          <t>valuation_credit_ml_overlay_candidate.csv</t>
        </is>
      </c>
      <c r="AF147" s="24" t="inlineStr">
        <is>
          <t>208개 반도체 reference universe. Valuation Agent가 자체 intake 폴더로 복제해 Peer/ML/대시보드 비교에 사용.</t>
        </is>
      </c>
    </row>
    <row r="148" ht="24" customHeight="1">
      <c r="A148" s="29" t="inlineStr">
        <is>
          <t>88</t>
        </is>
      </c>
      <c r="B148" s="29" t="inlineStr">
        <is>
          <t>해당 없음</t>
        </is>
      </c>
      <c r="C148" s="29" t="inlineStr">
        <is>
          <t>비아트론</t>
        </is>
      </c>
      <c r="D148" s="29" t="inlineStr">
        <is>
          <t>141000</t>
        </is>
      </c>
      <c r="E148" s="29" t="inlineStr">
        <is>
          <t>KOSDAQ</t>
        </is>
      </c>
      <c r="F148" s="29" t="inlineStr">
        <is>
          <t>장비</t>
        </is>
      </c>
      <c r="G148" s="29" t="inlineStr">
        <is>
          <t>장비</t>
        </is>
      </c>
      <c r="H148" s="29" t="inlineStr">
        <is>
          <t>False</t>
        </is>
      </c>
      <c r="I148" s="29" t="inlineStr">
        <is>
          <t>True</t>
        </is>
      </c>
      <c r="J148" s="29" t="inlineStr">
        <is>
          <t>OK</t>
        </is>
      </c>
      <c r="K148" s="29" t="inlineStr">
        <is>
          <t>데이터 사용 가능</t>
        </is>
      </c>
      <c r="L148" s="29" t="inlineStr">
        <is>
          <t>LOW</t>
        </is>
      </c>
      <c r="M148" s="29" t="inlineStr">
        <is>
          <t>LOW</t>
        </is>
      </c>
      <c r="N148" s="29" t="inlineStr">
        <is>
          <t>0.7105333333333335</t>
        </is>
      </c>
      <c r="O148" s="29" t="inlineStr">
        <is>
          <t>ATTRACTIVE</t>
        </is>
      </c>
      <c r="P148" s="29" t="inlineStr">
        <is>
          <t>가치 매력</t>
        </is>
      </c>
      <c r="Q148" s="29" t="inlineStr">
        <is>
          <t>ATTRACTIVE</t>
        </is>
      </c>
      <c r="R148" s="29" t="inlineStr">
        <is>
          <t>0.934708213344448</t>
        </is>
      </c>
      <c r="S148" s="29" t="inlineStr">
        <is>
          <t>HIGH</t>
        </is>
      </c>
      <c r="T148" s="29" t="inlineStr">
        <is>
          <t>HIGH</t>
        </is>
      </c>
      <c r="U148" s="29" t="inlineStr">
        <is>
          <t>0.0</t>
        </is>
      </c>
      <c r="V148" s="29" t="inlineStr">
        <is>
          <t>LOW_RISK</t>
        </is>
      </c>
      <c r="W148" s="29" t="inlineStr">
        <is>
          <t>저위험</t>
        </is>
      </c>
      <c r="X148" s="29" t="inlineStr">
        <is>
          <t>LOW_RISK</t>
        </is>
      </c>
      <c r="Y148" s="29" t="inlineStr">
        <is>
          <t>0.9411184099481913</t>
        </is>
      </c>
      <c r="Z148" s="29" t="inlineStr">
        <is>
          <t>HIGH</t>
        </is>
      </c>
      <c r="AA148" s="29" t="inlineStr">
        <is>
          <t>HIGH</t>
        </is>
      </c>
      <c r="AB148" s="29" t="inlineStr">
        <is>
          <t>0.11715633071246634</t>
        </is>
      </c>
      <c r="AC148" s="29" t="inlineStr">
        <is>
          <t>False</t>
        </is>
      </c>
      <c r="AD148" s="29" t="inlineStr">
        <is>
          <t>False</t>
        </is>
      </c>
      <c r="AE148" s="29" t="inlineStr">
        <is>
          <t>valuation_credit_ml_overlay_candidate.csv</t>
        </is>
      </c>
      <c r="AF148" s="29" t="inlineStr">
        <is>
          <t>208개 반도체 reference universe. Valuation Agent가 자체 intake 폴더로 복제해 Peer/ML/대시보드 비교에 사용.</t>
        </is>
      </c>
    </row>
    <row r="149" ht="24" customHeight="1">
      <c r="A149" s="24" t="inlineStr">
        <is>
          <t>112</t>
        </is>
      </c>
      <c r="B149" s="24" t="inlineStr">
        <is>
          <t>해당 없음</t>
        </is>
      </c>
      <c r="C149" s="24" t="inlineStr">
        <is>
          <t>케이씨</t>
        </is>
      </c>
      <c r="D149" s="24" t="inlineStr">
        <is>
          <t>029460</t>
        </is>
      </c>
      <c r="E149" s="24" t="inlineStr">
        <is>
          <t>KOSPI</t>
        </is>
      </c>
      <c r="F149" s="24" t="inlineStr">
        <is>
          <t>장비</t>
        </is>
      </c>
      <c r="G149" s="24" t="inlineStr">
        <is>
          <t>장비</t>
        </is>
      </c>
      <c r="H149" s="24" t="inlineStr">
        <is>
          <t>False</t>
        </is>
      </c>
      <c r="I149" s="24" t="inlineStr">
        <is>
          <t>True</t>
        </is>
      </c>
      <c r="J149" s="24" t="inlineStr">
        <is>
          <t>OK</t>
        </is>
      </c>
      <c r="K149" s="24" t="inlineStr">
        <is>
          <t>데이터 사용 가능</t>
        </is>
      </c>
      <c r="L149" s="24" t="inlineStr">
        <is>
          <t>LOW</t>
        </is>
      </c>
      <c r="M149" s="24" t="inlineStr">
        <is>
          <t>LOW</t>
        </is>
      </c>
      <c r="N149" s="24" t="inlineStr">
        <is>
          <t>0.7065333333333332</t>
        </is>
      </c>
      <c r="O149" s="24" t="inlineStr">
        <is>
          <t>ATTRACTIVE</t>
        </is>
      </c>
      <c r="P149" s="24" t="inlineStr">
        <is>
          <t>가치 매력</t>
        </is>
      </c>
      <c r="Q149" s="24" t="inlineStr">
        <is>
          <t>ATTRACTIVE</t>
        </is>
      </c>
      <c r="R149" s="24" t="inlineStr">
        <is>
          <t>0.9151708177015135</t>
        </is>
      </c>
      <c r="S149" s="24" t="inlineStr">
        <is>
          <t>HIGH</t>
        </is>
      </c>
      <c r="T149" s="24" t="inlineStr">
        <is>
          <t>HIGH</t>
        </is>
      </c>
      <c r="U149" s="24" t="inlineStr">
        <is>
          <t>0.0</t>
        </is>
      </c>
      <c r="V149" s="24" t="inlineStr">
        <is>
          <t>LOW_RISK</t>
        </is>
      </c>
      <c r="W149" s="24" t="inlineStr">
        <is>
          <t>저위험</t>
        </is>
      </c>
      <c r="X149" s="24" t="inlineStr">
        <is>
          <t>LOW_RISK</t>
        </is>
      </c>
      <c r="Y149" s="24" t="inlineStr">
        <is>
          <t>0.883115363364621</t>
        </is>
      </c>
      <c r="Z149" s="24" t="inlineStr">
        <is>
          <t>HIGH</t>
        </is>
      </c>
      <c r="AA149" s="24" t="inlineStr">
        <is>
          <t>HIGH</t>
        </is>
      </c>
      <c r="AB149" s="24" t="inlineStr">
        <is>
          <t>0.07036651203602409</t>
        </is>
      </c>
      <c r="AC149" s="24" t="inlineStr">
        <is>
          <t>False</t>
        </is>
      </c>
      <c r="AD149" s="24" t="inlineStr">
        <is>
          <t>False</t>
        </is>
      </c>
      <c r="AE149" s="24" t="inlineStr">
        <is>
          <t>valuation_credit_ml_overlay_candidate.csv</t>
        </is>
      </c>
      <c r="AF149" s="24" t="inlineStr">
        <is>
          <t>208개 반도체 reference universe. Valuation Agent가 자체 intake 폴더로 복제해 Peer/ML/대시보드 비교에 사용.</t>
        </is>
      </c>
    </row>
    <row r="150" ht="24" customHeight="1">
      <c r="A150" s="29" t="inlineStr">
        <is>
          <t>81</t>
        </is>
      </c>
      <c r="B150" s="29" t="inlineStr">
        <is>
          <t>해당 없음</t>
        </is>
      </c>
      <c r="C150" s="29" t="inlineStr">
        <is>
          <t>더코디</t>
        </is>
      </c>
      <c r="D150" s="29" t="inlineStr">
        <is>
          <t>224060</t>
        </is>
      </c>
      <c r="E150" s="29" t="inlineStr">
        <is>
          <t>KOSDAQ</t>
        </is>
      </c>
      <c r="F150" s="29" t="inlineStr">
        <is>
          <t>장비</t>
        </is>
      </c>
      <c r="G150" s="29" t="inlineStr">
        <is>
          <t>장비</t>
        </is>
      </c>
      <c r="H150" s="29" t="inlineStr">
        <is>
          <t>False</t>
        </is>
      </c>
      <c r="I150" s="29" t="inlineStr">
        <is>
          <t>True</t>
        </is>
      </c>
      <c r="J150" s="29" t="inlineStr">
        <is>
          <t>OK</t>
        </is>
      </c>
      <c r="K150" s="29" t="inlineStr">
        <is>
          <t>데이터 사용 가능</t>
        </is>
      </c>
      <c r="L150" s="29" t="inlineStr">
        <is>
          <t>LOW</t>
        </is>
      </c>
      <c r="M150" s="29" t="inlineStr">
        <is>
          <t>LOW</t>
        </is>
      </c>
      <c r="N150" s="29" t="inlineStr">
        <is>
          <t>0.6908666666666667</t>
        </is>
      </c>
      <c r="O150" s="29" t="inlineStr">
        <is>
          <t>FAIR</t>
        </is>
      </c>
      <c r="P150" s="29" t="inlineStr">
        <is>
          <t>FAIR</t>
        </is>
      </c>
      <c r="Q150" s="29" t="inlineStr">
        <is>
          <t>FAIR</t>
        </is>
      </c>
      <c r="R150" s="29" t="inlineStr">
        <is>
          <t>0.6613330626239345</t>
        </is>
      </c>
      <c r="S150" s="29" t="inlineStr">
        <is>
          <t>MEDIUM</t>
        </is>
      </c>
      <c r="T150" s="29" t="inlineStr">
        <is>
          <t>MEDIUM</t>
        </is>
      </c>
      <c r="U150" s="29" t="inlineStr">
        <is>
          <t>0.8571428571428571</t>
        </is>
      </c>
      <c r="V150" s="29" t="inlineStr">
        <is>
          <t>HIGH_RISK</t>
        </is>
      </c>
      <c r="W150" s="29" t="inlineStr">
        <is>
          <t>고위험</t>
        </is>
      </c>
      <c r="X150" s="29" t="inlineStr">
        <is>
          <t>HIGH_RISK</t>
        </is>
      </c>
      <c r="Y150" s="29" t="inlineStr">
        <is>
          <t>0.5690179270143122</t>
        </is>
      </c>
      <c r="Z150" s="29" t="inlineStr">
        <is>
          <t>MEDIUM</t>
        </is>
      </c>
      <c r="AA150" s="29" t="inlineStr">
        <is>
          <t>MEDIUM</t>
        </is>
      </c>
      <c r="AB150" s="29" t="inlineStr">
        <is>
          <t>0.3728446721783581</t>
        </is>
      </c>
      <c r="AC150" s="29" t="inlineStr">
        <is>
          <t>True</t>
        </is>
      </c>
      <c r="AD150" s="29" t="inlineStr">
        <is>
          <t>True</t>
        </is>
      </c>
      <c r="AE150" s="29" t="inlineStr">
        <is>
          <t>valuation_credit_ml_overlay_candidate.csv</t>
        </is>
      </c>
      <c r="AF150" s="29" t="inlineStr">
        <is>
          <t>208개 반도체 reference universe. Valuation Agent가 자체 intake 폴더로 복제해 Peer/ML/대시보드 비교에 사용.</t>
        </is>
      </c>
    </row>
    <row r="151" ht="24" customHeight="1">
      <c r="A151" s="24" t="inlineStr">
        <is>
          <t>76</t>
        </is>
      </c>
      <c r="B151" s="24" t="inlineStr">
        <is>
          <t>해당 없음</t>
        </is>
      </c>
      <c r="C151" s="24" t="inlineStr">
        <is>
          <t>KPX케미칼</t>
        </is>
      </c>
      <c r="D151" s="24" t="inlineStr">
        <is>
          <t>025000</t>
        </is>
      </c>
      <c r="E151" s="24" t="inlineStr">
        <is>
          <t>KOSPI</t>
        </is>
      </c>
      <c r="F151" s="24" t="inlineStr">
        <is>
          <t>장비</t>
        </is>
      </c>
      <c r="G151" s="24" t="inlineStr">
        <is>
          <t>장비</t>
        </is>
      </c>
      <c r="H151" s="24" t="inlineStr">
        <is>
          <t>False</t>
        </is>
      </c>
      <c r="I151" s="24" t="inlineStr">
        <is>
          <t>True</t>
        </is>
      </c>
      <c r="J151" s="24" t="inlineStr">
        <is>
          <t>OK</t>
        </is>
      </c>
      <c r="K151" s="24" t="inlineStr">
        <is>
          <t>데이터 사용 가능</t>
        </is>
      </c>
      <c r="L151" s="24" t="inlineStr">
        <is>
          <t>LOW</t>
        </is>
      </c>
      <c r="M151" s="24" t="inlineStr">
        <is>
          <t>LOW</t>
        </is>
      </c>
      <c r="N151" s="24" t="inlineStr">
        <is>
          <t>0.6876</t>
        </is>
      </c>
      <c r="O151" s="24" t="inlineStr">
        <is>
          <t>ATTRACTIVE</t>
        </is>
      </c>
      <c r="P151" s="24" t="inlineStr">
        <is>
          <t>가치 매력</t>
        </is>
      </c>
      <c r="Q151" s="24" t="inlineStr">
        <is>
          <t>ATTRACTIVE</t>
        </is>
      </c>
      <c r="R151" s="24" t="inlineStr">
        <is>
          <t>0.9091955435785402</t>
        </is>
      </c>
      <c r="S151" s="24" t="inlineStr">
        <is>
          <t>HIGH</t>
        </is>
      </c>
      <c r="T151" s="24" t="inlineStr">
        <is>
          <t>HIGH</t>
        </is>
      </c>
      <c r="U151" s="24" t="inlineStr">
        <is>
          <t>0.0</t>
        </is>
      </c>
      <c r="V151" s="24" t="inlineStr">
        <is>
          <t>LOW_RISK</t>
        </is>
      </c>
      <c r="W151" s="24" t="inlineStr">
        <is>
          <t>저위험</t>
        </is>
      </c>
      <c r="X151" s="24" t="inlineStr">
        <is>
          <t>LOW_RISK</t>
        </is>
      </c>
      <c r="Y151" s="24" t="inlineStr">
        <is>
          <t>0.9222174142026104</t>
        </is>
      </c>
      <c r="Z151" s="24" t="inlineStr">
        <is>
          <t>HIGH</t>
        </is>
      </c>
      <c r="AA151" s="24" t="inlineStr">
        <is>
          <t>HIGH</t>
        </is>
      </c>
      <c r="AB151" s="24" t="inlineStr">
        <is>
          <t>0.13901835477996793</t>
        </is>
      </c>
      <c r="AC151" s="24" t="inlineStr">
        <is>
          <t>False</t>
        </is>
      </c>
      <c r="AD151" s="24" t="inlineStr">
        <is>
          <t>False</t>
        </is>
      </c>
      <c r="AE151" s="24" t="inlineStr">
        <is>
          <t>valuation_credit_ml_overlay_candidate.csv</t>
        </is>
      </c>
      <c r="AF151" s="24" t="inlineStr">
        <is>
          <t>208개 반도체 reference universe. Valuation Agent가 자체 intake 폴더로 복제해 Peer/ML/대시보드 비교에 사용.</t>
        </is>
      </c>
    </row>
    <row r="152" ht="24" customHeight="1">
      <c r="A152" s="29" t="inlineStr">
        <is>
          <t>91</t>
        </is>
      </c>
      <c r="B152" s="29" t="inlineStr">
        <is>
          <t>해당 없음</t>
        </is>
      </c>
      <c r="C152" s="29" t="inlineStr">
        <is>
          <t>성도이엔지</t>
        </is>
      </c>
      <c r="D152" s="29" t="inlineStr">
        <is>
          <t>037350</t>
        </is>
      </c>
      <c r="E152" s="29" t="inlineStr">
        <is>
          <t>KOSDAQ</t>
        </is>
      </c>
      <c r="F152" s="29" t="inlineStr">
        <is>
          <t>장비</t>
        </is>
      </c>
      <c r="G152" s="29" t="inlineStr">
        <is>
          <t>장비</t>
        </is>
      </c>
      <c r="H152" s="29" t="inlineStr">
        <is>
          <t>False</t>
        </is>
      </c>
      <c r="I152" s="29" t="inlineStr">
        <is>
          <t>True</t>
        </is>
      </c>
      <c r="J152" s="29" t="inlineStr">
        <is>
          <t>OK</t>
        </is>
      </c>
      <c r="K152" s="29" t="inlineStr">
        <is>
          <t>데이터 사용 가능</t>
        </is>
      </c>
      <c r="L152" s="29" t="inlineStr">
        <is>
          <t>LOW</t>
        </is>
      </c>
      <c r="M152" s="29" t="inlineStr">
        <is>
          <t>LOW</t>
        </is>
      </c>
      <c r="N152" s="29" t="inlineStr">
        <is>
          <t>0.6874666666666667</t>
        </is>
      </c>
      <c r="O152" s="29" t="inlineStr">
        <is>
          <t>ATTRACTIVE</t>
        </is>
      </c>
      <c r="P152" s="29" t="inlineStr">
        <is>
          <t>가치 매력</t>
        </is>
      </c>
      <c r="Q152" s="29" t="inlineStr">
        <is>
          <t>ATTRACTIVE</t>
        </is>
      </c>
      <c r="R152" s="29" t="inlineStr">
        <is>
          <t>0.9250659167833418</t>
        </is>
      </c>
      <c r="S152" s="29" t="inlineStr">
        <is>
          <t>HIGH</t>
        </is>
      </c>
      <c r="T152" s="29" t="inlineStr">
        <is>
          <t>HIGH</t>
        </is>
      </c>
      <c r="U152" s="29" t="inlineStr">
        <is>
          <t>0.0</t>
        </is>
      </c>
      <c r="V152" s="29" t="inlineStr">
        <is>
          <t>LOW_RISK</t>
        </is>
      </c>
      <c r="W152" s="29" t="inlineStr">
        <is>
          <t>저위험</t>
        </is>
      </c>
      <c r="X152" s="29" t="inlineStr">
        <is>
          <t>LOW_RISK</t>
        </is>
      </c>
      <c r="Y152" s="29" t="inlineStr">
        <is>
          <t>0.7848826000183735</t>
        </is>
      </c>
      <c r="Z152" s="29" t="inlineStr">
        <is>
          <t>HIGH</t>
        </is>
      </c>
      <c r="AA152" s="29" t="inlineStr">
        <is>
          <t>HIGH</t>
        </is>
      </c>
      <c r="AB152" s="29" t="inlineStr">
        <is>
          <t>0.02320770424808947</t>
        </is>
      </c>
      <c r="AC152" s="29" t="inlineStr">
        <is>
          <t>False</t>
        </is>
      </c>
      <c r="AD152" s="29" t="inlineStr">
        <is>
          <t>False</t>
        </is>
      </c>
      <c r="AE152" s="29" t="inlineStr">
        <is>
          <t>valuation_credit_ml_overlay_candidate.csv</t>
        </is>
      </c>
      <c r="AF152" s="29" t="inlineStr">
        <is>
          <t>208개 반도체 reference universe. Valuation Agent가 자체 intake 폴더로 복제해 Peer/ML/대시보드 비교에 사용.</t>
        </is>
      </c>
    </row>
    <row r="153" ht="24" customHeight="1">
      <c r="A153" s="24" t="inlineStr">
        <is>
          <t>105</t>
        </is>
      </c>
      <c r="B153" s="24" t="inlineStr">
        <is>
          <t>해당 없음</t>
        </is>
      </c>
      <c r="C153" s="24" t="inlineStr">
        <is>
          <t>유니퀘스트</t>
        </is>
      </c>
      <c r="D153" s="24" t="inlineStr">
        <is>
          <t>077500</t>
        </is>
      </c>
      <c r="E153" s="24" t="inlineStr">
        <is>
          <t>KOSPI</t>
        </is>
      </c>
      <c r="F153" s="24" t="inlineStr">
        <is>
          <t>장비</t>
        </is>
      </c>
      <c r="G153" s="24" t="inlineStr">
        <is>
          <t>장비</t>
        </is>
      </c>
      <c r="H153" s="24" t="inlineStr">
        <is>
          <t>False</t>
        </is>
      </c>
      <c r="I153" s="24" t="inlineStr">
        <is>
          <t>True</t>
        </is>
      </c>
      <c r="J153" s="24" t="inlineStr">
        <is>
          <t>OK</t>
        </is>
      </c>
      <c r="K153" s="24" t="inlineStr">
        <is>
          <t>데이터 사용 가능</t>
        </is>
      </c>
      <c r="L153" s="24" t="inlineStr">
        <is>
          <t>LOW</t>
        </is>
      </c>
      <c r="M153" s="24" t="inlineStr">
        <is>
          <t>LOW</t>
        </is>
      </c>
      <c r="N153" s="24" t="inlineStr">
        <is>
          <t>0.6784</t>
        </is>
      </c>
      <c r="O153" s="24" t="inlineStr">
        <is>
          <t>ATTRACTIVE</t>
        </is>
      </c>
      <c r="P153" s="24" t="inlineStr">
        <is>
          <t>가치 매력</t>
        </is>
      </c>
      <c r="Q153" s="24" t="inlineStr">
        <is>
          <t>ATTRACTIVE</t>
        </is>
      </c>
      <c r="R153" s="24" t="inlineStr">
        <is>
          <t>0.8881603628406226</t>
        </is>
      </c>
      <c r="S153" s="24" t="inlineStr">
        <is>
          <t>HIGH</t>
        </is>
      </c>
      <c r="T153" s="24" t="inlineStr">
        <is>
          <t>HIGH</t>
        </is>
      </c>
      <c r="U153" s="24" t="inlineStr">
        <is>
          <t>0.0</t>
        </is>
      </c>
      <c r="V153" s="24" t="inlineStr">
        <is>
          <t>LOW_RISK</t>
        </is>
      </c>
      <c r="W153" s="24" t="inlineStr">
        <is>
          <t>저위험</t>
        </is>
      </c>
      <c r="X153" s="24" t="inlineStr">
        <is>
          <t>LOW_RISK</t>
        </is>
      </c>
      <c r="Y153" s="24" t="inlineStr">
        <is>
          <t>0.8138676885332061</t>
        </is>
      </c>
      <c r="Z153" s="24" t="inlineStr">
        <is>
          <t>HIGH</t>
        </is>
      </c>
      <c r="AA153" s="24" t="inlineStr">
        <is>
          <t>HIGH</t>
        </is>
      </c>
      <c r="AB153" s="24" t="inlineStr">
        <is>
          <t>0.042139285734196785</t>
        </is>
      </c>
      <c r="AC153" s="24" t="inlineStr">
        <is>
          <t>False</t>
        </is>
      </c>
      <c r="AD153" s="24" t="inlineStr">
        <is>
          <t>False</t>
        </is>
      </c>
      <c r="AE153" s="24" t="inlineStr">
        <is>
          <t>valuation_credit_ml_overlay_candidate.csv</t>
        </is>
      </c>
      <c r="AF153" s="24" t="inlineStr">
        <is>
          <t>208개 반도체 reference universe. Valuation Agent가 자체 intake 폴더로 복제해 Peer/ML/대시보드 비교에 사용.</t>
        </is>
      </c>
    </row>
    <row r="154" ht="24" customHeight="1">
      <c r="A154" s="29" t="inlineStr">
        <is>
          <t>123</t>
        </is>
      </c>
      <c r="B154" s="29" t="inlineStr">
        <is>
          <t>해당 없음</t>
        </is>
      </c>
      <c r="C154" s="29" t="inlineStr">
        <is>
          <t>한솔아이원스</t>
        </is>
      </c>
      <c r="D154" s="29" t="inlineStr">
        <is>
          <t>114810</t>
        </is>
      </c>
      <c r="E154" s="29" t="inlineStr">
        <is>
          <t>KOSDAQ</t>
        </is>
      </c>
      <c r="F154" s="29" t="inlineStr">
        <is>
          <t>장비</t>
        </is>
      </c>
      <c r="G154" s="29" t="inlineStr">
        <is>
          <t>장비</t>
        </is>
      </c>
      <c r="H154" s="29" t="inlineStr">
        <is>
          <t>False</t>
        </is>
      </c>
      <c r="I154" s="29" t="inlineStr">
        <is>
          <t>True</t>
        </is>
      </c>
      <c r="J154" s="29" t="inlineStr">
        <is>
          <t>OK</t>
        </is>
      </c>
      <c r="K154" s="29" t="inlineStr">
        <is>
          <t>데이터 사용 가능</t>
        </is>
      </c>
      <c r="L154" s="29" t="inlineStr">
        <is>
          <t>LOW</t>
        </is>
      </c>
      <c r="M154" s="29" t="inlineStr">
        <is>
          <t>LOW</t>
        </is>
      </c>
      <c r="N154" s="29" t="inlineStr">
        <is>
          <t>0.6648</t>
        </is>
      </c>
      <c r="O154" s="29" t="inlineStr">
        <is>
          <t>ATTRACTIVE</t>
        </is>
      </c>
      <c r="P154" s="29" t="inlineStr">
        <is>
          <t>가치 매력</t>
        </is>
      </c>
      <c r="Q154" s="29" t="inlineStr">
        <is>
          <t>ATTRACTIVE</t>
        </is>
      </c>
      <c r="R154" s="29" t="inlineStr">
        <is>
          <t>0.9031428820161691</t>
        </is>
      </c>
      <c r="S154" s="29" t="inlineStr">
        <is>
          <t>HIGH</t>
        </is>
      </c>
      <c r="T154" s="29" t="inlineStr">
        <is>
          <t>HIGH</t>
        </is>
      </c>
      <c r="U154" s="29" t="inlineStr">
        <is>
          <t>0.1428571428571428</t>
        </is>
      </c>
      <c r="V154" s="29" t="inlineStr">
        <is>
          <t>LOW_RISK</t>
        </is>
      </c>
      <c r="W154" s="29" t="inlineStr">
        <is>
          <t>저위험</t>
        </is>
      </c>
      <c r="X154" s="29" t="inlineStr">
        <is>
          <t>LOW_RISK</t>
        </is>
      </c>
      <c r="Y154" s="29" t="inlineStr">
        <is>
          <t>0.8626763542915618</t>
        </is>
      </c>
      <c r="Z154" s="29" t="inlineStr">
        <is>
          <t>HIGH</t>
        </is>
      </c>
      <c r="AA154" s="29" t="inlineStr">
        <is>
          <t>HIGH</t>
        </is>
      </c>
      <c r="AB154" s="29" t="inlineStr">
        <is>
          <t>0.040357003305963514</t>
        </is>
      </c>
      <c r="AC154" s="29" t="inlineStr">
        <is>
          <t>False</t>
        </is>
      </c>
      <c r="AD154" s="29" t="inlineStr">
        <is>
          <t>False</t>
        </is>
      </c>
      <c r="AE154" s="29" t="inlineStr">
        <is>
          <t>valuation_credit_ml_overlay_candidate.csv</t>
        </is>
      </c>
      <c r="AF154" s="29" t="inlineStr">
        <is>
          <t>208개 반도체 reference universe. Valuation Agent가 자체 intake 폴더로 복제해 Peer/ML/대시보드 비교에 사용.</t>
        </is>
      </c>
    </row>
    <row r="155" ht="24" customHeight="1">
      <c r="A155" s="24" t="inlineStr">
        <is>
          <t>74</t>
        </is>
      </c>
      <c r="B155" s="24" t="inlineStr">
        <is>
          <t>해당 없음</t>
        </is>
      </c>
      <c r="C155" s="24" t="inlineStr">
        <is>
          <t>GST</t>
        </is>
      </c>
      <c r="D155" s="24" t="inlineStr">
        <is>
          <t>083450</t>
        </is>
      </c>
      <c r="E155" s="24" t="inlineStr">
        <is>
          <t>KOSDAQ</t>
        </is>
      </c>
      <c r="F155" s="24" t="inlineStr">
        <is>
          <t>장비</t>
        </is>
      </c>
      <c r="G155" s="24" t="inlineStr">
        <is>
          <t>장비</t>
        </is>
      </c>
      <c r="H155" s="24" t="inlineStr">
        <is>
          <t>False</t>
        </is>
      </c>
      <c r="I155" s="24" t="inlineStr">
        <is>
          <t>True</t>
        </is>
      </c>
      <c r="J155" s="24" t="inlineStr">
        <is>
          <t>OK</t>
        </is>
      </c>
      <c r="K155" s="24" t="inlineStr">
        <is>
          <t>데이터 사용 가능</t>
        </is>
      </c>
      <c r="L155" s="24" t="inlineStr">
        <is>
          <t>LOW</t>
        </is>
      </c>
      <c r="M155" s="24" t="inlineStr">
        <is>
          <t>LOW</t>
        </is>
      </c>
      <c r="N155" s="24" t="inlineStr">
        <is>
          <t>0.6474666666666666</t>
        </is>
      </c>
      <c r="O155" s="24" t="inlineStr">
        <is>
          <t>ATTRACTIVE</t>
        </is>
      </c>
      <c r="P155" s="24" t="inlineStr">
        <is>
          <t>가치 매력</t>
        </is>
      </c>
      <c r="Q155" s="24" t="inlineStr">
        <is>
          <t>ATTRACTIVE</t>
        </is>
      </c>
      <c r="R155" s="24" t="inlineStr">
        <is>
          <t>0.900491542853433</t>
        </is>
      </c>
      <c r="S155" s="24" t="inlineStr">
        <is>
          <t>HIGH</t>
        </is>
      </c>
      <c r="T155" s="24" t="inlineStr">
        <is>
          <t>HIGH</t>
        </is>
      </c>
      <c r="U155" s="24" t="inlineStr">
        <is>
          <t>0.0</t>
        </is>
      </c>
      <c r="V155" s="24" t="inlineStr">
        <is>
          <t>LOW_RISK</t>
        </is>
      </c>
      <c r="W155" s="24" t="inlineStr">
        <is>
          <t>저위험</t>
        </is>
      </c>
      <c r="X155" s="24" t="inlineStr">
        <is>
          <t>LOW_RISK</t>
        </is>
      </c>
      <c r="Y155" s="24" t="inlineStr">
        <is>
          <t>0.9914514013000448</t>
        </is>
      </c>
      <c r="Z155" s="24" t="inlineStr">
        <is>
          <t>HIGH</t>
        </is>
      </c>
      <c r="AA155" s="24" t="inlineStr">
        <is>
          <t>HIGH</t>
        </is>
      </c>
      <c r="AB155" s="24" t="inlineStr">
        <is>
          <t>0.030956097033645616</t>
        </is>
      </c>
      <c r="AC155" s="24" t="inlineStr">
        <is>
          <t>False</t>
        </is>
      </c>
      <c r="AD155" s="24" t="inlineStr">
        <is>
          <t>False</t>
        </is>
      </c>
      <c r="AE155" s="24" t="inlineStr">
        <is>
          <t>valuation_credit_ml_overlay_candidate.csv</t>
        </is>
      </c>
      <c r="AF155" s="24" t="inlineStr">
        <is>
          <t>208개 반도체 reference universe. Valuation Agent가 자체 intake 폴더로 복제해 Peer/ML/대시보드 비교에 사용.</t>
        </is>
      </c>
    </row>
    <row r="156" ht="24" customHeight="1">
      <c r="A156" s="29" t="inlineStr">
        <is>
          <t>117</t>
        </is>
      </c>
      <c r="B156" s="29" t="inlineStr">
        <is>
          <t>해당 없음</t>
        </is>
      </c>
      <c r="C156" s="29" t="inlineStr">
        <is>
          <t>티이엠씨씨엔에스</t>
        </is>
      </c>
      <c r="D156" s="29" t="inlineStr">
        <is>
          <t>241790</t>
        </is>
      </c>
      <c r="E156" s="29" t="inlineStr">
        <is>
          <t>KOSDAQ</t>
        </is>
      </c>
      <c r="F156" s="29" t="inlineStr">
        <is>
          <t>장비</t>
        </is>
      </c>
      <c r="G156" s="29" t="inlineStr">
        <is>
          <t>장비</t>
        </is>
      </c>
      <c r="H156" s="29" t="inlineStr">
        <is>
          <t>False</t>
        </is>
      </c>
      <c r="I156" s="29" t="inlineStr">
        <is>
          <t>True</t>
        </is>
      </c>
      <c r="J156" s="29" t="inlineStr">
        <is>
          <t>OK</t>
        </is>
      </c>
      <c r="K156" s="29" t="inlineStr">
        <is>
          <t>데이터 사용 가능</t>
        </is>
      </c>
      <c r="L156" s="29" t="inlineStr">
        <is>
          <t>LOW</t>
        </is>
      </c>
      <c r="M156" s="29" t="inlineStr">
        <is>
          <t>LOW</t>
        </is>
      </c>
      <c r="N156" s="29" t="inlineStr">
        <is>
          <t>0.6393333333333333</t>
        </is>
      </c>
      <c r="O156" s="29" t="inlineStr">
        <is>
          <t>ATTRACTIVE</t>
        </is>
      </c>
      <c r="P156" s="29" t="inlineStr">
        <is>
          <t>가치 매력</t>
        </is>
      </c>
      <c r="Q156" s="29" t="inlineStr">
        <is>
          <t>ATTRACTIVE</t>
        </is>
      </c>
      <c r="R156" s="29" t="inlineStr">
        <is>
          <t>0.8915695356337118</t>
        </is>
      </c>
      <c r="S156" s="29" t="inlineStr">
        <is>
          <t>HIGH</t>
        </is>
      </c>
      <c r="T156" s="29" t="inlineStr">
        <is>
          <t>HIGH</t>
        </is>
      </c>
      <c r="U156" s="29" t="inlineStr">
        <is>
          <t>0.0714285714285714</t>
        </is>
      </c>
      <c r="V156" s="29" t="inlineStr">
        <is>
          <t>LOW_RISK</t>
        </is>
      </c>
      <c r="W156" s="29" t="inlineStr">
        <is>
          <t>저위험</t>
        </is>
      </c>
      <c r="X156" s="29" t="inlineStr">
        <is>
          <t>LOW_RISK</t>
        </is>
      </c>
      <c r="Y156" s="29" t="inlineStr">
        <is>
          <t>0.8390932561788113</t>
        </is>
      </c>
      <c r="Z156" s="29" t="inlineStr">
        <is>
          <t>HIGH</t>
        </is>
      </c>
      <c r="AA156" s="29" t="inlineStr">
        <is>
          <t>HIGH</t>
        </is>
      </c>
      <c r="AB156" s="29" t="inlineStr">
        <is>
          <t>0.02833353868990863</t>
        </is>
      </c>
      <c r="AC156" s="29" t="inlineStr">
        <is>
          <t>False</t>
        </is>
      </c>
      <c r="AD156" s="29" t="inlineStr">
        <is>
          <t>False</t>
        </is>
      </c>
      <c r="AE156" s="29" t="inlineStr">
        <is>
          <t>valuation_credit_ml_overlay_candidate.csv</t>
        </is>
      </c>
      <c r="AF156" s="29" t="inlineStr">
        <is>
          <t>208개 반도체 reference universe. Valuation Agent가 자체 intake 폴더로 복제해 Peer/ML/대시보드 비교에 사용.</t>
        </is>
      </c>
    </row>
    <row r="157" ht="24" customHeight="1">
      <c r="A157" s="24" t="inlineStr">
        <is>
          <t>82</t>
        </is>
      </c>
      <c r="B157" s="24" t="inlineStr">
        <is>
          <t>해당 없음</t>
        </is>
      </c>
      <c r="C157" s="24" t="inlineStr">
        <is>
          <t>디아이티</t>
        </is>
      </c>
      <c r="D157" s="24" t="inlineStr">
        <is>
          <t>110990</t>
        </is>
      </c>
      <c r="E157" s="24" t="inlineStr">
        <is>
          <t>KOSDAQ</t>
        </is>
      </c>
      <c r="F157" s="24" t="inlineStr">
        <is>
          <t>장비</t>
        </is>
      </c>
      <c r="G157" s="24" t="inlineStr">
        <is>
          <t>장비</t>
        </is>
      </c>
      <c r="H157" s="24" t="inlineStr">
        <is>
          <t>False</t>
        </is>
      </c>
      <c r="I157" s="24" t="inlineStr">
        <is>
          <t>True</t>
        </is>
      </c>
      <c r="J157" s="24" t="inlineStr">
        <is>
          <t>OK</t>
        </is>
      </c>
      <c r="K157" s="24" t="inlineStr">
        <is>
          <t>데이터 사용 가능</t>
        </is>
      </c>
      <c r="L157" s="24" t="inlineStr">
        <is>
          <t>LOW</t>
        </is>
      </c>
      <c r="M157" s="24" t="inlineStr">
        <is>
          <t>LOW</t>
        </is>
      </c>
      <c r="N157" s="24" t="inlineStr">
        <is>
          <t>0.6341333333333333</t>
        </is>
      </c>
      <c r="O157" s="24" t="inlineStr">
        <is>
          <t>ATTRACTIVE</t>
        </is>
      </c>
      <c r="P157" s="24" t="inlineStr">
        <is>
          <t>가치 매력</t>
        </is>
      </c>
      <c r="Q157" s="24" t="inlineStr">
        <is>
          <t>ATTRACTIVE</t>
        </is>
      </c>
      <c r="R157" s="24" t="inlineStr">
        <is>
          <t>0.8847780199048246</t>
        </is>
      </c>
      <c r="S157" s="24" t="inlineStr">
        <is>
          <t>HIGH</t>
        </is>
      </c>
      <c r="T157" s="24" t="inlineStr">
        <is>
          <t>HIGH</t>
        </is>
      </c>
      <c r="U157" s="24" t="inlineStr">
        <is>
          <t>0.0</t>
        </is>
      </c>
      <c r="V157" s="24" t="inlineStr">
        <is>
          <t>LOW_RISK</t>
        </is>
      </c>
      <c r="W157" s="24" t="inlineStr">
        <is>
          <t>저위험</t>
        </is>
      </c>
      <c r="X157" s="24" t="inlineStr">
        <is>
          <t>LOW_RISK</t>
        </is>
      </c>
      <c r="Y157" s="24" t="inlineStr">
        <is>
          <t>0.9680387620928</t>
        </is>
      </c>
      <c r="Z157" s="24" t="inlineStr">
        <is>
          <t>HIGH</t>
        </is>
      </c>
      <c r="AA157" s="24" t="inlineStr">
        <is>
          <t>HIGH</t>
        </is>
      </c>
      <c r="AB157" s="24" t="inlineStr">
        <is>
          <t>0.10339551954594055</t>
        </is>
      </c>
      <c r="AC157" s="24" t="inlineStr">
        <is>
          <t>False</t>
        </is>
      </c>
      <c r="AD157" s="24" t="inlineStr">
        <is>
          <t>False</t>
        </is>
      </c>
      <c r="AE157" s="24" t="inlineStr">
        <is>
          <t>valuation_credit_ml_overlay_candidate.csv</t>
        </is>
      </c>
      <c r="AF157" s="24" t="inlineStr">
        <is>
          <t>208개 반도체 reference universe. Valuation Agent가 자체 intake 폴더로 복제해 Peer/ML/대시보드 비교에 사용.</t>
        </is>
      </c>
    </row>
    <row r="158" ht="24" customHeight="1">
      <c r="A158" s="29" t="inlineStr">
        <is>
          <t>113</t>
        </is>
      </c>
      <c r="B158" s="29" t="inlineStr">
        <is>
          <t>해당 없음</t>
        </is>
      </c>
      <c r="C158" s="29" t="inlineStr">
        <is>
          <t>케이씨텍</t>
        </is>
      </c>
      <c r="D158" s="29" t="inlineStr">
        <is>
          <t>281820</t>
        </is>
      </c>
      <c r="E158" s="29" t="inlineStr">
        <is>
          <t>KOSPI</t>
        </is>
      </c>
      <c r="F158" s="29" t="inlineStr">
        <is>
          <t>장비</t>
        </is>
      </c>
      <c r="G158" s="29" t="inlineStr">
        <is>
          <t>장비</t>
        </is>
      </c>
      <c r="H158" s="29" t="inlineStr">
        <is>
          <t>False</t>
        </is>
      </c>
      <c r="I158" s="29" t="inlineStr">
        <is>
          <t>True</t>
        </is>
      </c>
      <c r="J158" s="29" t="inlineStr">
        <is>
          <t>OK</t>
        </is>
      </c>
      <c r="K158" s="29" t="inlineStr">
        <is>
          <t>데이터 사용 가능</t>
        </is>
      </c>
      <c r="L158" s="29" t="inlineStr">
        <is>
          <t>LOW</t>
        </is>
      </c>
      <c r="M158" s="29" t="inlineStr">
        <is>
          <t>LOW</t>
        </is>
      </c>
      <c r="N158" s="29" t="inlineStr">
        <is>
          <t>0.6314666666666666</t>
        </is>
      </c>
      <c r="O158" s="29" t="inlineStr">
        <is>
          <t>ATTRACTIVE</t>
        </is>
      </c>
      <c r="P158" s="29" t="inlineStr">
        <is>
          <t>가치 매력</t>
        </is>
      </c>
      <c r="Q158" s="29" t="inlineStr">
        <is>
          <t>ATTRACTIVE</t>
        </is>
      </c>
      <c r="R158" s="29" t="inlineStr">
        <is>
          <t>0.8895261430914092</t>
        </is>
      </c>
      <c r="S158" s="29" t="inlineStr">
        <is>
          <t>HIGH</t>
        </is>
      </c>
      <c r="T158" s="29" t="inlineStr">
        <is>
          <t>HIGH</t>
        </is>
      </c>
      <c r="U158" s="29" t="inlineStr">
        <is>
          <t>0.0</t>
        </is>
      </c>
      <c r="V158" s="29" t="inlineStr">
        <is>
          <t>LOW_RISK</t>
        </is>
      </c>
      <c r="W158" s="29" t="inlineStr">
        <is>
          <t>저위험</t>
        </is>
      </c>
      <c r="X158" s="29" t="inlineStr">
        <is>
          <t>LOW_RISK</t>
        </is>
      </c>
      <c r="Y158" s="29" t="inlineStr">
        <is>
          <t>0.9840164809601727</t>
        </is>
      </c>
      <c r="Z158" s="29" t="inlineStr">
        <is>
          <t>HIGH</t>
        </is>
      </c>
      <c r="AA158" s="29" t="inlineStr">
        <is>
          <t>HIGH</t>
        </is>
      </c>
      <c r="AB158" s="29" t="inlineStr">
        <is>
          <t>0.08604596455969397</t>
        </is>
      </c>
      <c r="AC158" s="29" t="inlineStr">
        <is>
          <t>False</t>
        </is>
      </c>
      <c r="AD158" s="29" t="inlineStr">
        <is>
          <t>False</t>
        </is>
      </c>
      <c r="AE158" s="29" t="inlineStr">
        <is>
          <t>valuation_credit_ml_overlay_candidate.csv</t>
        </is>
      </c>
      <c r="AF158" s="29" t="inlineStr">
        <is>
          <t>208개 반도체 reference universe. Valuation Agent가 자체 intake 폴더로 복제해 Peer/ML/대시보드 비교에 사용.</t>
        </is>
      </c>
    </row>
    <row r="159" ht="24" customHeight="1">
      <c r="A159" s="24" t="inlineStr">
        <is>
          <t>85</t>
        </is>
      </c>
      <c r="B159" s="24" t="inlineStr">
        <is>
          <t>해당 없음</t>
        </is>
      </c>
      <c r="C159" s="24" t="inlineStr">
        <is>
          <t>로체시스템즈</t>
        </is>
      </c>
      <c r="D159" s="24" t="inlineStr">
        <is>
          <t>071280</t>
        </is>
      </c>
      <c r="E159" s="24" t="inlineStr">
        <is>
          <t>KOSDAQ</t>
        </is>
      </c>
      <c r="F159" s="24" t="inlineStr">
        <is>
          <t>장비</t>
        </is>
      </c>
      <c r="G159" s="24" t="inlineStr">
        <is>
          <t>장비</t>
        </is>
      </c>
      <c r="H159" s="24" t="inlineStr">
        <is>
          <t>False</t>
        </is>
      </c>
      <c r="I159" s="24" t="inlineStr">
        <is>
          <t>True</t>
        </is>
      </c>
      <c r="J159" s="24" t="inlineStr">
        <is>
          <t>OK</t>
        </is>
      </c>
      <c r="K159" s="24" t="inlineStr">
        <is>
          <t>데이터 사용 가능</t>
        </is>
      </c>
      <c r="L159" s="24" t="inlineStr">
        <is>
          <t>LOW</t>
        </is>
      </c>
      <c r="M159" s="24" t="inlineStr">
        <is>
          <t>LOW</t>
        </is>
      </c>
      <c r="N159" s="24" t="inlineStr">
        <is>
          <t>0.6258666666666667</t>
        </is>
      </c>
      <c r="O159" s="24" t="inlineStr">
        <is>
          <t>ATTRACTIVE</t>
        </is>
      </c>
      <c r="P159" s="24" t="inlineStr">
        <is>
          <t>가치 매력</t>
        </is>
      </c>
      <c r="Q159" s="24" t="inlineStr">
        <is>
          <t>ATTRACTIVE</t>
        </is>
      </c>
      <c r="R159" s="24" t="inlineStr">
        <is>
          <t>0.9642438845844894</t>
        </is>
      </c>
      <c r="S159" s="24" t="inlineStr">
        <is>
          <t>HIGH</t>
        </is>
      </c>
      <c r="T159" s="24" t="inlineStr">
        <is>
          <t>HIGH</t>
        </is>
      </c>
      <c r="U159" s="24" t="inlineStr">
        <is>
          <t>0.0714285714285714</t>
        </is>
      </c>
      <c r="V159" s="24" t="inlineStr">
        <is>
          <t>LOW_RISK</t>
        </is>
      </c>
      <c r="W159" s="24" t="inlineStr">
        <is>
          <t>저위험</t>
        </is>
      </c>
      <c r="X159" s="24" t="inlineStr">
        <is>
          <t>LOW_RISK</t>
        </is>
      </c>
      <c r="Y159" s="24" t="inlineStr">
        <is>
          <t>0.865361141095959</t>
        </is>
      </c>
      <c r="Z159" s="24" t="inlineStr">
        <is>
          <t>HIGH</t>
        </is>
      </c>
      <c r="AA159" s="24" t="inlineStr">
        <is>
          <t>HIGH</t>
        </is>
      </c>
      <c r="AB159" s="24" t="inlineStr">
        <is>
          <t>0.12835380231692475</t>
        </is>
      </c>
      <c r="AC159" s="24" t="inlineStr">
        <is>
          <t>False</t>
        </is>
      </c>
      <c r="AD159" s="24" t="inlineStr">
        <is>
          <t>False</t>
        </is>
      </c>
      <c r="AE159" s="24" t="inlineStr">
        <is>
          <t>valuation_credit_ml_overlay_candidate.csv</t>
        </is>
      </c>
      <c r="AF159" s="24" t="inlineStr">
        <is>
          <t>208개 반도체 reference universe. Valuation Agent가 자체 intake 폴더로 복제해 Peer/ML/대시보드 비교에 사용.</t>
        </is>
      </c>
    </row>
    <row r="160" ht="24" customHeight="1">
      <c r="A160" s="29" t="inlineStr">
        <is>
          <t>95</t>
        </is>
      </c>
      <c r="B160" s="29" t="inlineStr">
        <is>
          <t>해당 없음</t>
        </is>
      </c>
      <c r="C160" s="29" t="inlineStr">
        <is>
          <t>아이씨디</t>
        </is>
      </c>
      <c r="D160" s="29" t="inlineStr">
        <is>
          <t>040910</t>
        </is>
      </c>
      <c r="E160" s="29" t="inlineStr">
        <is>
          <t>KOSDAQ</t>
        </is>
      </c>
      <c r="F160" s="29" t="inlineStr">
        <is>
          <t>장비</t>
        </is>
      </c>
      <c r="G160" s="29" t="inlineStr">
        <is>
          <t>장비</t>
        </is>
      </c>
      <c r="H160" s="29" t="inlineStr">
        <is>
          <t>False</t>
        </is>
      </c>
      <c r="I160" s="29" t="inlineStr">
        <is>
          <t>True</t>
        </is>
      </c>
      <c r="J160" s="29" t="inlineStr">
        <is>
          <t>OK</t>
        </is>
      </c>
      <c r="K160" s="29" t="inlineStr">
        <is>
          <t>데이터 사용 가능</t>
        </is>
      </c>
      <c r="L160" s="29" t="inlineStr">
        <is>
          <t>LOW</t>
        </is>
      </c>
      <c r="M160" s="29" t="inlineStr">
        <is>
          <t>LOW</t>
        </is>
      </c>
      <c r="N160" s="29" t="inlineStr">
        <is>
          <t>0.6158666666666667</t>
        </is>
      </c>
      <c r="O160" s="29" t="inlineStr">
        <is>
          <t>FAIR</t>
        </is>
      </c>
      <c r="P160" s="29" t="inlineStr">
        <is>
          <t>FAIR</t>
        </is>
      </c>
      <c r="Q160" s="29" t="inlineStr">
        <is>
          <t>FAIR</t>
        </is>
      </c>
      <c r="R160" s="29" t="inlineStr">
        <is>
          <t>0.692546582663732</t>
        </is>
      </c>
      <c r="S160" s="29" t="inlineStr">
        <is>
          <t>MEDIUM</t>
        </is>
      </c>
      <c r="T160" s="29" t="inlineStr">
        <is>
          <t>MEDIUM</t>
        </is>
      </c>
      <c r="U160" s="29" t="inlineStr">
        <is>
          <t>0.0714285714285714</t>
        </is>
      </c>
      <c r="V160" s="29" t="inlineStr">
        <is>
          <t>LOW_RISK</t>
        </is>
      </c>
      <c r="W160" s="29" t="inlineStr">
        <is>
          <t>저위험</t>
        </is>
      </c>
      <c r="X160" s="29" t="inlineStr">
        <is>
          <t>LOW_RISK</t>
        </is>
      </c>
      <c r="Y160" s="29" t="inlineStr">
        <is>
          <t>0.44849044524296083</t>
        </is>
      </c>
      <c r="Z160" s="29" t="inlineStr">
        <is>
          <t>LOW</t>
        </is>
      </c>
      <c r="AA160" s="29" t="inlineStr">
        <is>
          <t>LOW</t>
        </is>
      </c>
      <c r="AB160" s="29" t="inlineStr">
        <is>
          <t>0.036739402266510075</t>
        </is>
      </c>
      <c r="AC160" s="29" t="inlineStr">
        <is>
          <t>False</t>
        </is>
      </c>
      <c r="AD160" s="29" t="inlineStr">
        <is>
          <t>True</t>
        </is>
      </c>
      <c r="AE160" s="29" t="inlineStr">
        <is>
          <t>valuation_credit_ml_overlay_candidate.csv</t>
        </is>
      </c>
      <c r="AF160" s="29" t="inlineStr">
        <is>
          <t>208개 반도체 reference universe. Valuation Agent가 자체 intake 폴더로 복제해 Peer/ML/대시보드 비교에 사용.</t>
        </is>
      </c>
    </row>
    <row r="161" ht="24" customHeight="1">
      <c r="A161" s="24" t="inlineStr">
        <is>
          <t>96</t>
        </is>
      </c>
      <c r="B161" s="24" t="inlineStr">
        <is>
          <t>해당 없음</t>
        </is>
      </c>
      <c r="C161" s="24" t="inlineStr">
        <is>
          <t>에스에프에이</t>
        </is>
      </c>
      <c r="D161" s="24" t="inlineStr">
        <is>
          <t>056190</t>
        </is>
      </c>
      <c r="E161" s="24" t="inlineStr">
        <is>
          <t>KOSDAQ GLOBAL</t>
        </is>
      </c>
      <c r="F161" s="24" t="inlineStr">
        <is>
          <t>장비</t>
        </is>
      </c>
      <c r="G161" s="24" t="inlineStr">
        <is>
          <t>장비</t>
        </is>
      </c>
      <c r="H161" s="24" t="inlineStr">
        <is>
          <t>False</t>
        </is>
      </c>
      <c r="I161" s="24" t="inlineStr">
        <is>
          <t>True</t>
        </is>
      </c>
      <c r="J161" s="24" t="inlineStr">
        <is>
          <t>OK</t>
        </is>
      </c>
      <c r="K161" s="24" t="inlineStr">
        <is>
          <t>데이터 사용 가능</t>
        </is>
      </c>
      <c r="L161" s="24" t="inlineStr">
        <is>
          <t>LOW</t>
        </is>
      </c>
      <c r="M161" s="24" t="inlineStr">
        <is>
          <t>LOW</t>
        </is>
      </c>
      <c r="N161" s="24" t="inlineStr">
        <is>
          <t>0.6098666666666667</t>
        </is>
      </c>
      <c r="O161" s="24" t="inlineStr">
        <is>
          <t>ATTRACTIVE</t>
        </is>
      </c>
      <c r="P161" s="24" t="inlineStr">
        <is>
          <t>가치 매력</t>
        </is>
      </c>
      <c r="Q161" s="24" t="inlineStr">
        <is>
          <t>ATTRACTIVE</t>
        </is>
      </c>
      <c r="R161" s="24" t="inlineStr">
        <is>
          <t>0.8690882589557657</t>
        </is>
      </c>
      <c r="S161" s="24" t="inlineStr">
        <is>
          <t>HIGH</t>
        </is>
      </c>
      <c r="T161" s="24" t="inlineStr">
        <is>
          <t>HIGH</t>
        </is>
      </c>
      <c r="U161" s="24" t="inlineStr">
        <is>
          <t>0.0</t>
        </is>
      </c>
      <c r="V161" s="24" t="inlineStr">
        <is>
          <t>LOW_RISK</t>
        </is>
      </c>
      <c r="W161" s="24" t="inlineStr">
        <is>
          <t>저위험</t>
        </is>
      </c>
      <c r="X161" s="24" t="inlineStr">
        <is>
          <t>LOW_RISK</t>
        </is>
      </c>
      <c r="Y161" s="24" t="inlineStr">
        <is>
          <t>0.9436125736629892</t>
        </is>
      </c>
      <c r="Z161" s="24" t="inlineStr">
        <is>
          <t>HIGH</t>
        </is>
      </c>
      <c r="AA161" s="24" t="inlineStr">
        <is>
          <t>HIGH</t>
        </is>
      </c>
      <c r="AB161" s="24" t="inlineStr">
        <is>
          <t>0.014784178233183152</t>
        </is>
      </c>
      <c r="AC161" s="24" t="inlineStr">
        <is>
          <t>False</t>
        </is>
      </c>
      <c r="AD161" s="24" t="inlineStr">
        <is>
          <t>False</t>
        </is>
      </c>
      <c r="AE161" s="24" t="inlineStr">
        <is>
          <t>valuation_credit_ml_overlay_candidate.csv</t>
        </is>
      </c>
      <c r="AF161" s="24" t="inlineStr">
        <is>
          <t>208개 반도체 reference universe. Valuation Agent가 자체 intake 폴더로 복제해 Peer/ML/대시보드 비교에 사용.</t>
        </is>
      </c>
    </row>
    <row r="162" ht="24" customHeight="1">
      <c r="A162" s="29" t="inlineStr">
        <is>
          <t>89</t>
        </is>
      </c>
      <c r="B162" s="29" t="inlineStr">
        <is>
          <t>해당 없음</t>
        </is>
      </c>
      <c r="C162" s="29" t="inlineStr">
        <is>
          <t>삼양엔씨켐</t>
        </is>
      </c>
      <c r="D162" s="29" t="inlineStr">
        <is>
          <t>482630</t>
        </is>
      </c>
      <c r="E162" s="29" t="inlineStr">
        <is>
          <t>KOSDAQ</t>
        </is>
      </c>
      <c r="F162" s="29" t="inlineStr">
        <is>
          <t>장비</t>
        </is>
      </c>
      <c r="G162" s="29" t="inlineStr">
        <is>
          <t>장비</t>
        </is>
      </c>
      <c r="H162" s="29" t="inlineStr">
        <is>
          <t>False</t>
        </is>
      </c>
      <c r="I162" s="29" t="inlineStr">
        <is>
          <t>True</t>
        </is>
      </c>
      <c r="J162" s="29" t="inlineStr">
        <is>
          <t>OK_LIMITED_HISTORY_OR_GROWTH_NA</t>
        </is>
      </c>
      <c r="K162" s="29" t="inlineStr">
        <is>
          <t>데이터 사용 가능</t>
        </is>
      </c>
      <c r="L162" s="29" t="inlineStr">
        <is>
          <t>LOW</t>
        </is>
      </c>
      <c r="M162" s="29" t="inlineStr">
        <is>
          <t>LOW</t>
        </is>
      </c>
      <c r="N162" s="29" t="inlineStr">
        <is>
          <t>0.5993333333333333</t>
        </is>
      </c>
      <c r="O162" s="29" t="inlineStr">
        <is>
          <t>ATTRACTIVE</t>
        </is>
      </c>
      <c r="P162" s="29" t="inlineStr">
        <is>
          <t>가치 매력</t>
        </is>
      </c>
      <c r="Q162" s="29" t="inlineStr">
        <is>
          <t>ATTRACTIVE</t>
        </is>
      </c>
      <c r="R162" s="29" t="inlineStr">
        <is>
          <t>0.6408467710997098</t>
        </is>
      </c>
      <c r="S162" s="29" t="inlineStr">
        <is>
          <t>MEDIUM</t>
        </is>
      </c>
      <c r="T162" s="29" t="inlineStr">
        <is>
          <t>MEDIUM</t>
        </is>
      </c>
      <c r="U162" s="29" t="inlineStr">
        <is>
          <t>0.0714285714285714</t>
        </is>
      </c>
      <c r="V162" s="29" t="inlineStr">
        <is>
          <t>LOW_RISK</t>
        </is>
      </c>
      <c r="W162" s="29" t="inlineStr">
        <is>
          <t>저위험</t>
        </is>
      </c>
      <c r="X162" s="29" t="inlineStr">
        <is>
          <t>LOW_RISK</t>
        </is>
      </c>
      <c r="Y162" s="29" t="inlineStr">
        <is>
          <t>0.9401160844253347</t>
        </is>
      </c>
      <c r="Z162" s="29" t="inlineStr">
        <is>
          <t>HIGH</t>
        </is>
      </c>
      <c r="AA162" s="29" t="inlineStr">
        <is>
          <t>HIGH</t>
        </is>
      </c>
      <c r="AB162" s="29" t="inlineStr">
        <is>
          <t>0.028901776832829695</t>
        </is>
      </c>
      <c r="AC162" s="29" t="inlineStr">
        <is>
          <t>False</t>
        </is>
      </c>
      <c r="AD162" s="29" t="inlineStr">
        <is>
          <t>True</t>
        </is>
      </c>
      <c r="AE162" s="29" t="inlineStr">
        <is>
          <t>valuation_credit_ml_overlay_candidate.csv</t>
        </is>
      </c>
      <c r="AF162" s="29" t="inlineStr">
        <is>
          <t>208개 반도체 reference universe. Valuation Agent가 자체 intake 폴더로 복제해 Peer/ML/대시보드 비교에 사용.</t>
        </is>
      </c>
    </row>
    <row r="163" ht="24" customHeight="1">
      <c r="A163" s="24" t="inlineStr">
        <is>
          <t>92</t>
        </is>
      </c>
      <c r="B163" s="24" t="inlineStr">
        <is>
          <t>해당 없음</t>
        </is>
      </c>
      <c r="C163" s="24" t="inlineStr">
        <is>
          <t>싸이맥스</t>
        </is>
      </c>
      <c r="D163" s="24" t="inlineStr">
        <is>
          <t>160980</t>
        </is>
      </c>
      <c r="E163" s="24" t="inlineStr">
        <is>
          <t>KOSDAQ</t>
        </is>
      </c>
      <c r="F163" s="24" t="inlineStr">
        <is>
          <t>장비</t>
        </is>
      </c>
      <c r="G163" s="24" t="inlineStr">
        <is>
          <t>장비</t>
        </is>
      </c>
      <c r="H163" s="24" t="inlineStr">
        <is>
          <t>False</t>
        </is>
      </c>
      <c r="I163" s="24" t="inlineStr">
        <is>
          <t>True</t>
        </is>
      </c>
      <c r="J163" s="24" t="inlineStr">
        <is>
          <t>OK</t>
        </is>
      </c>
      <c r="K163" s="24" t="inlineStr">
        <is>
          <t>데이터 사용 가능</t>
        </is>
      </c>
      <c r="L163" s="24" t="inlineStr">
        <is>
          <t>LOW</t>
        </is>
      </c>
      <c r="M163" s="24" t="inlineStr">
        <is>
          <t>LOW</t>
        </is>
      </c>
      <c r="N163" s="24" t="inlineStr">
        <is>
          <t>0.5961333333333334</t>
        </is>
      </c>
      <c r="O163" s="24" t="inlineStr">
        <is>
          <t>ATTRACTIVE</t>
        </is>
      </c>
      <c r="P163" s="24" t="inlineStr">
        <is>
          <t>가치 매력</t>
        </is>
      </c>
      <c r="Q163" s="24" t="inlineStr">
        <is>
          <t>ATTRACTIVE</t>
        </is>
      </c>
      <c r="R163" s="24" t="inlineStr">
        <is>
          <t>0.8128181122496774</t>
        </is>
      </c>
      <c r="S163" s="24" t="inlineStr">
        <is>
          <t>HIGH</t>
        </is>
      </c>
      <c r="T163" s="24" t="inlineStr">
        <is>
          <t>HIGH</t>
        </is>
      </c>
      <c r="U163" s="24" t="inlineStr">
        <is>
          <t>0.0</t>
        </is>
      </c>
      <c r="V163" s="24" t="inlineStr">
        <is>
          <t>LOW_RISK</t>
        </is>
      </c>
      <c r="W163" s="24" t="inlineStr">
        <is>
          <t>저위험</t>
        </is>
      </c>
      <c r="X163" s="24" t="inlineStr">
        <is>
          <t>LOW_RISK</t>
        </is>
      </c>
      <c r="Y163" s="24" t="inlineStr">
        <is>
          <t>0.9687749577011366</t>
        </is>
      </c>
      <c r="Z163" s="24" t="inlineStr">
        <is>
          <t>HIGH</t>
        </is>
      </c>
      <c r="AA163" s="24" t="inlineStr">
        <is>
          <t>HIGH</t>
        </is>
      </c>
      <c r="AB163" s="24" t="inlineStr">
        <is>
          <t>0.14360930410301745</t>
        </is>
      </c>
      <c r="AC163" s="24" t="inlineStr">
        <is>
          <t>False</t>
        </is>
      </c>
      <c r="AD163" s="24" t="inlineStr">
        <is>
          <t>False</t>
        </is>
      </c>
      <c r="AE163" s="24" t="inlineStr">
        <is>
          <t>valuation_credit_ml_overlay_candidate.csv</t>
        </is>
      </c>
      <c r="AF163" s="24" t="inlineStr">
        <is>
          <t>208개 반도체 reference universe. Valuation Agent가 자체 intake 폴더로 복제해 Peer/ML/대시보드 비교에 사용.</t>
        </is>
      </c>
    </row>
    <row r="164" ht="24" customHeight="1">
      <c r="A164" s="29" t="inlineStr">
        <is>
          <t>80</t>
        </is>
      </c>
      <c r="B164" s="29" t="inlineStr">
        <is>
          <t>해당 없음</t>
        </is>
      </c>
      <c r="C164" s="29" t="inlineStr">
        <is>
          <t>뉴파워프라즈마</t>
        </is>
      </c>
      <c r="D164" s="29" t="inlineStr">
        <is>
          <t>144960</t>
        </is>
      </c>
      <c r="E164" s="29" t="inlineStr">
        <is>
          <t>KOSDAQ</t>
        </is>
      </c>
      <c r="F164" s="29" t="inlineStr">
        <is>
          <t>장비</t>
        </is>
      </c>
      <c r="G164" s="29" t="inlineStr">
        <is>
          <t>장비</t>
        </is>
      </c>
      <c r="H164" s="29" t="inlineStr">
        <is>
          <t>False</t>
        </is>
      </c>
      <c r="I164" s="29" t="inlineStr">
        <is>
          <t>True</t>
        </is>
      </c>
      <c r="J164" s="29" t="inlineStr">
        <is>
          <t>OK</t>
        </is>
      </c>
      <c r="K164" s="29" t="inlineStr">
        <is>
          <t>데이터 사용 가능</t>
        </is>
      </c>
      <c r="L164" s="29" t="inlineStr">
        <is>
          <t>LOW</t>
        </is>
      </c>
      <c r="M164" s="29" t="inlineStr">
        <is>
          <t>LOW</t>
        </is>
      </c>
      <c r="N164" s="29" t="inlineStr">
        <is>
          <t>0.5749333333333334</t>
        </is>
      </c>
      <c r="O164" s="29" t="inlineStr">
        <is>
          <t>FAIR</t>
        </is>
      </c>
      <c r="P164" s="29" t="inlineStr">
        <is>
          <t>FAIR</t>
        </is>
      </c>
      <c r="Q164" s="29" t="inlineStr">
        <is>
          <t>FAIR</t>
        </is>
      </c>
      <c r="R164" s="29" t="inlineStr">
        <is>
          <t>0.868464354966477</t>
        </is>
      </c>
      <c r="S164" s="29" t="inlineStr">
        <is>
          <t>HIGH</t>
        </is>
      </c>
      <c r="T164" s="29" t="inlineStr">
        <is>
          <t>HIGH</t>
        </is>
      </c>
      <c r="U164" s="29" t="inlineStr">
        <is>
          <t>0.2142857142857142</t>
        </is>
      </c>
      <c r="V164" s="29" t="inlineStr">
        <is>
          <t>MEDIUM_RISK</t>
        </is>
      </c>
      <c r="W164" s="29" t="inlineStr">
        <is>
          <t>중위험</t>
        </is>
      </c>
      <c r="X164" s="29" t="inlineStr">
        <is>
          <t>MEDIUM_RISK</t>
        </is>
      </c>
      <c r="Y164" s="29" t="inlineStr">
        <is>
          <t>0.7046290499893975</t>
        </is>
      </c>
      <c r="Z164" s="29" t="inlineStr">
        <is>
          <t>HIGH</t>
        </is>
      </c>
      <c r="AA164" s="29" t="inlineStr">
        <is>
          <t>HIGH</t>
        </is>
      </c>
      <c r="AB164" s="29" t="inlineStr">
        <is>
          <t>0.04196333332906741</t>
        </is>
      </c>
      <c r="AC164" s="29" t="inlineStr">
        <is>
          <t>False</t>
        </is>
      </c>
      <c r="AD164" s="29" t="inlineStr">
        <is>
          <t>False</t>
        </is>
      </c>
      <c r="AE164" s="29" t="inlineStr">
        <is>
          <t>valuation_credit_ml_overlay_candidate.csv</t>
        </is>
      </c>
      <c r="AF164" s="29" t="inlineStr">
        <is>
          <t>208개 반도체 reference universe. Valuation Agent가 자체 intake 폴더로 복제해 Peer/ML/대시보드 비교에 사용.</t>
        </is>
      </c>
    </row>
    <row r="165" ht="24" customHeight="1">
      <c r="A165" s="24" t="inlineStr">
        <is>
          <t>107</t>
        </is>
      </c>
      <c r="B165" s="24" t="inlineStr">
        <is>
          <t>해당 없음</t>
        </is>
      </c>
      <c r="C165" s="24" t="inlineStr">
        <is>
          <t>이엘씨</t>
        </is>
      </c>
      <c r="D165" s="24" t="inlineStr">
        <is>
          <t>041520</t>
        </is>
      </c>
      <c r="E165" s="24" t="inlineStr">
        <is>
          <t>KOSDAQ</t>
        </is>
      </c>
      <c r="F165" s="24" t="inlineStr">
        <is>
          <t>장비</t>
        </is>
      </c>
      <c r="G165" s="24" t="inlineStr">
        <is>
          <t>장비</t>
        </is>
      </c>
      <c r="H165" s="24" t="inlineStr">
        <is>
          <t>False</t>
        </is>
      </c>
      <c r="I165" s="24" t="inlineStr">
        <is>
          <t>True</t>
        </is>
      </c>
      <c r="J165" s="24" t="inlineStr">
        <is>
          <t>OK</t>
        </is>
      </c>
      <c r="K165" s="24" t="inlineStr">
        <is>
          <t>데이터 사용 가능</t>
        </is>
      </c>
      <c r="L165" s="24" t="inlineStr">
        <is>
          <t>LOW</t>
        </is>
      </c>
      <c r="M165" s="24" t="inlineStr">
        <is>
          <t>LOW</t>
        </is>
      </c>
      <c r="N165" s="24" t="inlineStr">
        <is>
          <t>0.5722</t>
        </is>
      </c>
      <c r="O165" s="24" t="inlineStr">
        <is>
          <t>FAIR</t>
        </is>
      </c>
      <c r="P165" s="24" t="inlineStr">
        <is>
          <t>FAIR</t>
        </is>
      </c>
      <c r="Q165" s="24" t="inlineStr">
        <is>
          <t>FAIR</t>
        </is>
      </c>
      <c r="R165" s="24" t="inlineStr">
        <is>
          <t>0.7059172837936919</t>
        </is>
      </c>
      <c r="S165" s="24" t="inlineStr">
        <is>
          <t>HIGH</t>
        </is>
      </c>
      <c r="T165" s="24" t="inlineStr">
        <is>
          <t>HIGH</t>
        </is>
      </c>
      <c r="U165" s="24" t="inlineStr">
        <is>
          <t>0.3571428571428571</t>
        </is>
      </c>
      <c r="V165" s="24" t="inlineStr">
        <is>
          <t>MEDIUM_RISK</t>
        </is>
      </c>
      <c r="W165" s="24" t="inlineStr">
        <is>
          <t>중위험</t>
        </is>
      </c>
      <c r="X165" s="24" t="inlineStr">
        <is>
          <t>MEDIUM_RISK</t>
        </is>
      </c>
      <c r="Y165" s="24" t="inlineStr">
        <is>
          <t>0.6140431256310129</t>
        </is>
      </c>
      <c r="Z165" s="24" t="inlineStr">
        <is>
          <t>MEDIUM</t>
        </is>
      </c>
      <c r="AA165" s="24" t="inlineStr">
        <is>
          <t>MEDIUM</t>
        </is>
      </c>
      <c r="AB165" s="24" t="inlineStr">
        <is>
          <t>0.48123065048868763</t>
        </is>
      </c>
      <c r="AC165" s="24" t="inlineStr">
        <is>
          <t>True</t>
        </is>
      </c>
      <c r="AD165" s="24" t="inlineStr">
        <is>
          <t>True</t>
        </is>
      </c>
      <c r="AE165" s="24" t="inlineStr">
        <is>
          <t>valuation_credit_ml_overlay_candidate.csv</t>
        </is>
      </c>
      <c r="AF165" s="24" t="inlineStr">
        <is>
          <t>208개 반도체 reference universe. Valuation Agent가 자체 intake 폴더로 복제해 Peer/ML/대시보드 비교에 사용.</t>
        </is>
      </c>
    </row>
    <row r="166" ht="24" customHeight="1">
      <c r="A166" s="29" t="inlineStr">
        <is>
          <t>119</t>
        </is>
      </c>
      <c r="B166" s="29" t="inlineStr">
        <is>
          <t>해당 없음</t>
        </is>
      </c>
      <c r="C166" s="29" t="inlineStr">
        <is>
          <t>포인트엔지니어링</t>
        </is>
      </c>
      <c r="D166" s="29" t="inlineStr">
        <is>
          <t>256630</t>
        </is>
      </c>
      <c r="E166" s="29" t="inlineStr">
        <is>
          <t>KOSDAQ</t>
        </is>
      </c>
      <c r="F166" s="29" t="inlineStr">
        <is>
          <t>장비</t>
        </is>
      </c>
      <c r="G166" s="29" t="inlineStr">
        <is>
          <t>장비</t>
        </is>
      </c>
      <c r="H166" s="29" t="inlineStr">
        <is>
          <t>False</t>
        </is>
      </c>
      <c r="I166" s="29" t="inlineStr">
        <is>
          <t>True</t>
        </is>
      </c>
      <c r="J166" s="29" t="inlineStr">
        <is>
          <t>OK</t>
        </is>
      </c>
      <c r="K166" s="29" t="inlineStr">
        <is>
          <t>데이터 사용 가능</t>
        </is>
      </c>
      <c r="L166" s="29" t="inlineStr">
        <is>
          <t>LOW</t>
        </is>
      </c>
      <c r="M166" s="29" t="inlineStr">
        <is>
          <t>LOW</t>
        </is>
      </c>
      <c r="N166" s="29" t="inlineStr">
        <is>
          <t>0.5648666666666666</t>
        </is>
      </c>
      <c r="O166" s="29" t="inlineStr">
        <is>
          <t>FAIR</t>
        </is>
      </c>
      <c r="P166" s="29" t="inlineStr">
        <is>
          <t>FAIR</t>
        </is>
      </c>
      <c r="Q166" s="29" t="inlineStr">
        <is>
          <t>FAIR</t>
        </is>
      </c>
      <c r="R166" s="29" t="inlineStr">
        <is>
          <t>0.735270480034121</t>
        </is>
      </c>
      <c r="S166" s="29" t="inlineStr">
        <is>
          <t>HIGH</t>
        </is>
      </c>
      <c r="T166" s="29" t="inlineStr">
        <is>
          <t>HIGH</t>
        </is>
      </c>
      <c r="U166" s="29" t="inlineStr">
        <is>
          <t>0.1428571428571428</t>
        </is>
      </c>
      <c r="V166" s="29" t="inlineStr">
        <is>
          <t>LOW_RISK</t>
        </is>
      </c>
      <c r="W166" s="29" t="inlineStr">
        <is>
          <t>저위험</t>
        </is>
      </c>
      <c r="X166" s="29" t="inlineStr">
        <is>
          <t>LOW_RISK</t>
        </is>
      </c>
      <c r="Y166" s="29" t="inlineStr">
        <is>
          <t>0.46973098100913</t>
        </is>
      </c>
      <c r="Z166" s="29" t="inlineStr">
        <is>
          <t>LOW</t>
        </is>
      </c>
      <c r="AA166" s="29" t="inlineStr">
        <is>
          <t>LOW</t>
        </is>
      </c>
      <c r="AB166" s="29" t="inlineStr">
        <is>
          <t>0.13639895278143657</t>
        </is>
      </c>
      <c r="AC166" s="29" t="inlineStr">
        <is>
          <t>False</t>
        </is>
      </c>
      <c r="AD166" s="29" t="inlineStr">
        <is>
          <t>True</t>
        </is>
      </c>
      <c r="AE166" s="29" t="inlineStr">
        <is>
          <t>valuation_credit_ml_overlay_candidate.csv</t>
        </is>
      </c>
      <c r="AF166" s="29" t="inlineStr">
        <is>
          <t>208개 반도체 reference universe. Valuation Agent가 자체 intake 폴더로 복제해 Peer/ML/대시보드 비교에 사용.</t>
        </is>
      </c>
    </row>
    <row r="167" ht="24" customHeight="1">
      <c r="A167" s="24" t="inlineStr">
        <is>
          <t>116</t>
        </is>
      </c>
      <c r="B167" s="24" t="inlineStr">
        <is>
          <t>해당 없음</t>
        </is>
      </c>
      <c r="C167" s="24" t="inlineStr">
        <is>
          <t>테스</t>
        </is>
      </c>
      <c r="D167" s="24" t="inlineStr">
        <is>
          <t>095610</t>
        </is>
      </c>
      <c r="E167" s="24" t="inlineStr">
        <is>
          <t>KOSDAQ</t>
        </is>
      </c>
      <c r="F167" s="24" t="inlineStr">
        <is>
          <t>장비</t>
        </is>
      </c>
      <c r="G167" s="24" t="inlineStr">
        <is>
          <t>장비</t>
        </is>
      </c>
      <c r="H167" s="24" t="inlineStr">
        <is>
          <t>False</t>
        </is>
      </c>
      <c r="I167" s="24" t="inlineStr">
        <is>
          <t>True</t>
        </is>
      </c>
      <c r="J167" s="24" t="inlineStr">
        <is>
          <t>OK</t>
        </is>
      </c>
      <c r="K167" s="24" t="inlineStr">
        <is>
          <t>데이터 사용 가능</t>
        </is>
      </c>
      <c r="L167" s="24" t="inlineStr">
        <is>
          <t>LOW</t>
        </is>
      </c>
      <c r="M167" s="24" t="inlineStr">
        <is>
          <t>LOW</t>
        </is>
      </c>
      <c r="N167" s="24" t="inlineStr">
        <is>
          <t>0.5640000000000001</t>
        </is>
      </c>
      <c r="O167" s="24" t="inlineStr">
        <is>
          <t>FAIR</t>
        </is>
      </c>
      <c r="P167" s="24" t="inlineStr">
        <is>
          <t>FAIR</t>
        </is>
      </c>
      <c r="Q167" s="24" t="inlineStr">
        <is>
          <t>FAIR</t>
        </is>
      </c>
      <c r="R167" s="24" t="inlineStr">
        <is>
          <t>0.5083695341145091</t>
        </is>
      </c>
      <c r="S167" s="24" t="inlineStr">
        <is>
          <t>MEDIUM</t>
        </is>
      </c>
      <c r="T167" s="24" t="inlineStr">
        <is>
          <t>MEDIUM</t>
        </is>
      </c>
      <c r="U167" s="24" t="inlineStr">
        <is>
          <t>0.1428571428571428</t>
        </is>
      </c>
      <c r="V167" s="24" t="inlineStr">
        <is>
          <t>LOW_RISK</t>
        </is>
      </c>
      <c r="W167" s="24" t="inlineStr">
        <is>
          <t>저위험</t>
        </is>
      </c>
      <c r="X167" s="24" t="inlineStr">
        <is>
          <t>LOW_RISK</t>
        </is>
      </c>
      <c r="Y167" s="24" t="inlineStr">
        <is>
          <t>0.8915902677510841</t>
        </is>
      </c>
      <c r="Z167" s="24" t="inlineStr">
        <is>
          <t>HIGH</t>
        </is>
      </c>
      <c r="AA167" s="24" t="inlineStr">
        <is>
          <t>HIGH</t>
        </is>
      </c>
      <c r="AB167" s="24" t="inlineStr">
        <is>
          <t>0.04910195891941634</t>
        </is>
      </c>
      <c r="AC167" s="24" t="inlineStr">
        <is>
          <t>False</t>
        </is>
      </c>
      <c r="AD167" s="24" t="inlineStr">
        <is>
          <t>False</t>
        </is>
      </c>
      <c r="AE167" s="24" t="inlineStr">
        <is>
          <t>valuation_credit_ml_overlay_candidate.csv</t>
        </is>
      </c>
      <c r="AF167" s="24" t="inlineStr">
        <is>
          <t>208개 반도체 reference universe. Valuation Agent가 자체 intake 폴더로 복제해 Peer/ML/대시보드 비교에 사용.</t>
        </is>
      </c>
    </row>
    <row r="168" ht="24" customHeight="1">
      <c r="A168" s="29" t="inlineStr">
        <is>
          <t>104</t>
        </is>
      </c>
      <c r="B168" s="29" t="inlineStr">
        <is>
          <t>해당 없음</t>
        </is>
      </c>
      <c r="C168" s="29" t="inlineStr">
        <is>
          <t>유니셈</t>
        </is>
      </c>
      <c r="D168" s="29" t="inlineStr">
        <is>
          <t>036200</t>
        </is>
      </c>
      <c r="E168" s="29" t="inlineStr">
        <is>
          <t>KOSDAQ</t>
        </is>
      </c>
      <c r="F168" s="29" t="inlineStr">
        <is>
          <t>장비</t>
        </is>
      </c>
      <c r="G168" s="29" t="inlineStr">
        <is>
          <t>장비</t>
        </is>
      </c>
      <c r="H168" s="29" t="inlineStr">
        <is>
          <t>False</t>
        </is>
      </c>
      <c r="I168" s="29" t="inlineStr">
        <is>
          <t>True</t>
        </is>
      </c>
      <c r="J168" s="29" t="inlineStr">
        <is>
          <t>OK</t>
        </is>
      </c>
      <c r="K168" s="29" t="inlineStr">
        <is>
          <t>데이터 사용 가능</t>
        </is>
      </c>
      <c r="L168" s="29" t="inlineStr">
        <is>
          <t>LOW</t>
        </is>
      </c>
      <c r="M168" s="29" t="inlineStr">
        <is>
          <t>LOW</t>
        </is>
      </c>
      <c r="N168" s="29" t="inlineStr">
        <is>
          <t>0.5409333333333334</t>
        </is>
      </c>
      <c r="O168" s="29" t="inlineStr">
        <is>
          <t>FAIR</t>
        </is>
      </c>
      <c r="P168" s="29" t="inlineStr">
        <is>
          <t>FAIR</t>
        </is>
      </c>
      <c r="Q168" s="29" t="inlineStr">
        <is>
          <t>FAIR</t>
        </is>
      </c>
      <c r="R168" s="29" t="inlineStr">
        <is>
          <t>0.751305499027411</t>
        </is>
      </c>
      <c r="S168" s="29" t="inlineStr">
        <is>
          <t>HIGH</t>
        </is>
      </c>
      <c r="T168" s="29" t="inlineStr">
        <is>
          <t>HIGH</t>
        </is>
      </c>
      <c r="U168" s="29" t="inlineStr">
        <is>
          <t>0.2142857142857142</t>
        </is>
      </c>
      <c r="V168" s="29" t="inlineStr">
        <is>
          <t>MEDIUM_RISK</t>
        </is>
      </c>
      <c r="W168" s="29" t="inlineStr">
        <is>
          <t>중위험</t>
        </is>
      </c>
      <c r="X168" s="29" t="inlineStr">
        <is>
          <t>MEDIUM_RISK</t>
        </is>
      </c>
      <c r="Y168" s="29" t="inlineStr">
        <is>
          <t>0.7587275691055257</t>
        </is>
      </c>
      <c r="Z168" s="29" t="inlineStr">
        <is>
          <t>HIGH</t>
        </is>
      </c>
      <c r="AA168" s="29" t="inlineStr">
        <is>
          <t>HIGH</t>
        </is>
      </c>
      <c r="AB168" s="29" t="inlineStr">
        <is>
          <t>0.05351211711100475</t>
        </is>
      </c>
      <c r="AC168" s="29" t="inlineStr">
        <is>
          <t>False</t>
        </is>
      </c>
      <c r="AD168" s="29" t="inlineStr">
        <is>
          <t>False</t>
        </is>
      </c>
      <c r="AE168" s="29" t="inlineStr">
        <is>
          <t>valuation_credit_ml_overlay_candidate.csv</t>
        </is>
      </c>
      <c r="AF168" s="29" t="inlineStr">
        <is>
          <t>208개 반도체 reference universe. Valuation Agent가 자체 intake 폴더로 복제해 Peer/ML/대시보드 비교에 사용.</t>
        </is>
      </c>
    </row>
    <row r="169" ht="24" customHeight="1">
      <c r="A169" s="24" t="inlineStr">
        <is>
          <t>121</t>
        </is>
      </c>
      <c r="B169" s="24" t="inlineStr">
        <is>
          <t>해당 없음</t>
        </is>
      </c>
      <c r="C169" s="24" t="inlineStr">
        <is>
          <t>피에스케이홀딩스</t>
        </is>
      </c>
      <c r="D169" s="24" t="inlineStr">
        <is>
          <t>031980</t>
        </is>
      </c>
      <c r="E169" s="24" t="inlineStr">
        <is>
          <t>KOSDAQ</t>
        </is>
      </c>
      <c r="F169" s="24" t="inlineStr">
        <is>
          <t>장비</t>
        </is>
      </c>
      <c r="G169" s="24" t="inlineStr">
        <is>
          <t>장비</t>
        </is>
      </c>
      <c r="H169" s="24" t="inlineStr">
        <is>
          <t>False</t>
        </is>
      </c>
      <c r="I169" s="24" t="inlineStr">
        <is>
          <t>True</t>
        </is>
      </c>
      <c r="J169" s="24" t="inlineStr">
        <is>
          <t>OK</t>
        </is>
      </c>
      <c r="K169" s="24" t="inlineStr">
        <is>
          <t>데이터 사용 가능</t>
        </is>
      </c>
      <c r="L169" s="24" t="inlineStr">
        <is>
          <t>LOW</t>
        </is>
      </c>
      <c r="M169" s="24" t="inlineStr">
        <is>
          <t>LOW</t>
        </is>
      </c>
      <c r="N169" s="24" t="inlineStr">
        <is>
          <t>0.5385333333333334</t>
        </is>
      </c>
      <c r="O169" s="24" t="inlineStr">
        <is>
          <t>FAIR</t>
        </is>
      </c>
      <c r="P169" s="24" t="inlineStr">
        <is>
          <t>FAIR</t>
        </is>
      </c>
      <c r="Q169" s="24" t="inlineStr">
        <is>
          <t>FAIR</t>
        </is>
      </c>
      <c r="R169" s="24" t="inlineStr">
        <is>
          <t>0.7521125976897308</t>
        </is>
      </c>
      <c r="S169" s="24" t="inlineStr">
        <is>
          <t>HIGH</t>
        </is>
      </c>
      <c r="T169" s="24" t="inlineStr">
        <is>
          <t>HIGH</t>
        </is>
      </c>
      <c r="U169" s="24" t="inlineStr">
        <is>
          <t>0.0</t>
        </is>
      </c>
      <c r="V169" s="24" t="inlineStr">
        <is>
          <t>LOW_RISK</t>
        </is>
      </c>
      <c r="W169" s="24" t="inlineStr">
        <is>
          <t>저위험</t>
        </is>
      </c>
      <c r="X169" s="24" t="inlineStr">
        <is>
          <t>LOW_RISK</t>
        </is>
      </c>
      <c r="Y169" s="24" t="inlineStr">
        <is>
          <t>0.936112522374784</t>
        </is>
      </c>
      <c r="Z169" s="24" t="inlineStr">
        <is>
          <t>HIGH</t>
        </is>
      </c>
      <c r="AA169" s="24" t="inlineStr">
        <is>
          <t>HIGH</t>
        </is>
      </c>
      <c r="AB169" s="24" t="inlineStr">
        <is>
          <t>0.21000654030466528</t>
        </is>
      </c>
      <c r="AC169" s="24" t="inlineStr">
        <is>
          <t>False</t>
        </is>
      </c>
      <c r="AD169" s="24" t="inlineStr">
        <is>
          <t>False</t>
        </is>
      </c>
      <c r="AE169" s="24" t="inlineStr">
        <is>
          <t>valuation_credit_ml_overlay_candidate.csv</t>
        </is>
      </c>
      <c r="AF169" s="24" t="inlineStr">
        <is>
          <t>208개 반도체 reference universe. Valuation Agent가 자체 intake 폴더로 복제해 Peer/ML/대시보드 비교에 사용.</t>
        </is>
      </c>
    </row>
    <row r="170" ht="24" customHeight="1">
      <c r="A170" s="29" t="inlineStr">
        <is>
          <t>102</t>
        </is>
      </c>
      <c r="B170" s="29" t="inlineStr">
        <is>
          <t>해당 없음</t>
        </is>
      </c>
      <c r="C170" s="29" t="inlineStr">
        <is>
          <t>워트</t>
        </is>
      </c>
      <c r="D170" s="29" t="inlineStr">
        <is>
          <t>396470</t>
        </is>
      </c>
      <c r="E170" s="29" t="inlineStr">
        <is>
          <t>KOSDAQ</t>
        </is>
      </c>
      <c r="F170" s="29" t="inlineStr">
        <is>
          <t>장비</t>
        </is>
      </c>
      <c r="G170" s="29" t="inlineStr">
        <is>
          <t>장비</t>
        </is>
      </c>
      <c r="H170" s="29" t="inlineStr">
        <is>
          <t>False</t>
        </is>
      </c>
      <c r="I170" s="29" t="inlineStr">
        <is>
          <t>True</t>
        </is>
      </c>
      <c r="J170" s="29" t="inlineStr">
        <is>
          <t>OK_LIMITED_HISTORY_OR_GROWTH_NA</t>
        </is>
      </c>
      <c r="K170" s="29" t="inlineStr">
        <is>
          <t>데이터 사용 가능</t>
        </is>
      </c>
      <c r="L170" s="29" t="inlineStr">
        <is>
          <t>LOW</t>
        </is>
      </c>
      <c r="M170" s="29" t="inlineStr">
        <is>
          <t>LOW</t>
        </is>
      </c>
      <c r="N170" s="29" t="inlineStr">
        <is>
          <t>0.5384000000000001</t>
        </is>
      </c>
      <c r="O170" s="29" t="inlineStr">
        <is>
          <t>FAIR</t>
        </is>
      </c>
      <c r="P170" s="29" t="inlineStr">
        <is>
          <t>FAIR</t>
        </is>
      </c>
      <c r="Q170" s="29" t="inlineStr">
        <is>
          <t>FAIR</t>
        </is>
      </c>
      <c r="R170" s="29" t="inlineStr">
        <is>
          <t>0.6073344328439819</t>
        </is>
      </c>
      <c r="S170" s="29" t="inlineStr">
        <is>
          <t>MEDIUM</t>
        </is>
      </c>
      <c r="T170" s="29" t="inlineStr">
        <is>
          <t>MEDIUM</t>
        </is>
      </c>
      <c r="U170" s="29" t="inlineStr">
        <is>
          <t>0.0714285714285714</t>
        </is>
      </c>
      <c r="V170" s="29" t="inlineStr">
        <is>
          <t>LOW_RISK</t>
        </is>
      </c>
      <c r="W170" s="29" t="inlineStr">
        <is>
          <t>저위험</t>
        </is>
      </c>
      <c r="X170" s="29" t="inlineStr">
        <is>
          <t>LOW_RISK</t>
        </is>
      </c>
      <c r="Y170" s="29" t="inlineStr">
        <is>
          <t>0.8767524187887936</t>
        </is>
      </c>
      <c r="Z170" s="29" t="inlineStr">
        <is>
          <t>HIGH</t>
        </is>
      </c>
      <c r="AA170" s="29" t="inlineStr">
        <is>
          <t>HIGH</t>
        </is>
      </c>
      <c r="AB170" s="29" t="inlineStr">
        <is>
          <t>0.4537372664198796</t>
        </is>
      </c>
      <c r="AC170" s="29" t="inlineStr">
        <is>
          <t>True</t>
        </is>
      </c>
      <c r="AD170" s="29" t="inlineStr">
        <is>
          <t>True</t>
        </is>
      </c>
      <c r="AE170" s="29" t="inlineStr">
        <is>
          <t>valuation_credit_ml_overlay_candidate.csv</t>
        </is>
      </c>
      <c r="AF170" s="29" t="inlineStr">
        <is>
          <t>208개 반도체 reference universe. Valuation Agent가 자체 intake 폴더로 복제해 Peer/ML/대시보드 비교에 사용.</t>
        </is>
      </c>
    </row>
    <row r="171" ht="24" customHeight="1">
      <c r="A171" s="24" t="inlineStr">
        <is>
          <t>120</t>
        </is>
      </c>
      <c r="B171" s="24" t="inlineStr">
        <is>
          <t>해당 없음</t>
        </is>
      </c>
      <c r="C171" s="24" t="inlineStr">
        <is>
          <t>피에스케이</t>
        </is>
      </c>
      <c r="D171" s="24" t="inlineStr">
        <is>
          <t>319660</t>
        </is>
      </c>
      <c r="E171" s="24" t="inlineStr">
        <is>
          <t>KOSDAQ GLOBAL</t>
        </is>
      </c>
      <c r="F171" s="24" t="inlineStr">
        <is>
          <t>장비</t>
        </is>
      </c>
      <c r="G171" s="24" t="inlineStr">
        <is>
          <t>장비</t>
        </is>
      </c>
      <c r="H171" s="24" t="inlineStr">
        <is>
          <t>False</t>
        </is>
      </c>
      <c r="I171" s="24" t="inlineStr">
        <is>
          <t>True</t>
        </is>
      </c>
      <c r="J171" s="24" t="inlineStr">
        <is>
          <t>OK</t>
        </is>
      </c>
      <c r="K171" s="24" t="inlineStr">
        <is>
          <t>데이터 사용 가능</t>
        </is>
      </c>
      <c r="L171" s="24" t="inlineStr">
        <is>
          <t>LOW</t>
        </is>
      </c>
      <c r="M171" s="24" t="inlineStr">
        <is>
          <t>LOW</t>
        </is>
      </c>
      <c r="N171" s="24" t="inlineStr">
        <is>
          <t>0.5357333333333333</t>
        </is>
      </c>
      <c r="O171" s="24" t="inlineStr">
        <is>
          <t>FAIR</t>
        </is>
      </c>
      <c r="P171" s="24" t="inlineStr">
        <is>
          <t>FAIR</t>
        </is>
      </c>
      <c r="Q171" s="24" t="inlineStr">
        <is>
          <t>FAIR</t>
        </is>
      </c>
      <c r="R171" s="24" t="inlineStr">
        <is>
          <t>0.7072072873445469</t>
        </is>
      </c>
      <c r="S171" s="24" t="inlineStr">
        <is>
          <t>HIGH</t>
        </is>
      </c>
      <c r="T171" s="24" t="inlineStr">
        <is>
          <t>HIGH</t>
        </is>
      </c>
      <c r="U171" s="24" t="inlineStr">
        <is>
          <t>0.0</t>
        </is>
      </c>
      <c r="V171" s="24" t="inlineStr">
        <is>
          <t>LOW_RISK</t>
        </is>
      </c>
      <c r="W171" s="24" t="inlineStr">
        <is>
          <t>저위험</t>
        </is>
      </c>
      <c r="X171" s="24" t="inlineStr">
        <is>
          <t>LOW_RISK</t>
        </is>
      </c>
      <c r="Y171" s="24" t="inlineStr">
        <is>
          <t>0.9811059783961981</t>
        </is>
      </c>
      <c r="Z171" s="24" t="inlineStr">
        <is>
          <t>HIGH</t>
        </is>
      </c>
      <c r="AA171" s="24" t="inlineStr">
        <is>
          <t>HIGH</t>
        </is>
      </c>
      <c r="AB171" s="24" t="inlineStr">
        <is>
          <t>0.06486271422414225</t>
        </is>
      </c>
      <c r="AC171" s="24" t="inlineStr">
        <is>
          <t>False</t>
        </is>
      </c>
      <c r="AD171" s="24" t="inlineStr">
        <is>
          <t>False</t>
        </is>
      </c>
      <c r="AE171" s="24" t="inlineStr">
        <is>
          <t>valuation_credit_ml_overlay_candidate.csv</t>
        </is>
      </c>
      <c r="AF171" s="24" t="inlineStr">
        <is>
          <t>208개 반도체 reference universe. Valuation Agent가 자체 intake 폴더로 복제해 Peer/ML/대시보드 비교에 사용.</t>
        </is>
      </c>
    </row>
    <row r="172" ht="24" customHeight="1">
      <c r="A172" s="29" t="inlineStr">
        <is>
          <t>87</t>
        </is>
      </c>
      <c r="B172" s="29" t="inlineStr">
        <is>
          <t>해당 없음</t>
        </is>
      </c>
      <c r="C172" s="29" t="inlineStr">
        <is>
          <t>브이엠</t>
        </is>
      </c>
      <c r="D172" s="29" t="inlineStr">
        <is>
          <t>089970</t>
        </is>
      </c>
      <c r="E172" s="29" t="inlineStr">
        <is>
          <t>KOSDAQ</t>
        </is>
      </c>
      <c r="F172" s="29" t="inlineStr">
        <is>
          <t>장비</t>
        </is>
      </c>
      <c r="G172" s="29" t="inlineStr">
        <is>
          <t>장비</t>
        </is>
      </c>
      <c r="H172" s="29" t="inlineStr">
        <is>
          <t>False</t>
        </is>
      </c>
      <c r="I172" s="29" t="inlineStr">
        <is>
          <t>True</t>
        </is>
      </c>
      <c r="J172" s="29" t="inlineStr">
        <is>
          <t>OK</t>
        </is>
      </c>
      <c r="K172" s="29" t="inlineStr">
        <is>
          <t>데이터 사용 가능</t>
        </is>
      </c>
      <c r="L172" s="29" t="inlineStr">
        <is>
          <t>LOW</t>
        </is>
      </c>
      <c r="M172" s="29" t="inlineStr">
        <is>
          <t>LOW</t>
        </is>
      </c>
      <c r="N172" s="29" t="inlineStr">
        <is>
          <t>0.5204000000000001</t>
        </is>
      </c>
      <c r="O172" s="29" t="inlineStr">
        <is>
          <t>FAIR</t>
        </is>
      </c>
      <c r="P172" s="29" t="inlineStr">
        <is>
          <t>FAIR</t>
        </is>
      </c>
      <c r="Q172" s="29" t="inlineStr">
        <is>
          <t>FAIR</t>
        </is>
      </c>
      <c r="R172" s="29" t="inlineStr">
        <is>
          <t>0.737579554357605</t>
        </is>
      </c>
      <c r="S172" s="29" t="inlineStr">
        <is>
          <t>HIGH</t>
        </is>
      </c>
      <c r="T172" s="29" t="inlineStr">
        <is>
          <t>HIGH</t>
        </is>
      </c>
      <c r="U172" s="29" t="inlineStr">
        <is>
          <t>0.0</t>
        </is>
      </c>
      <c r="V172" s="29" t="inlineStr">
        <is>
          <t>LOW_RISK</t>
        </is>
      </c>
      <c r="W172" s="29" t="inlineStr">
        <is>
          <t>저위험</t>
        </is>
      </c>
      <c r="X172" s="29" t="inlineStr">
        <is>
          <t>LOW_RISK</t>
        </is>
      </c>
      <c r="Y172" s="29" t="inlineStr">
        <is>
          <t>0.9262131686985617</t>
        </is>
      </c>
      <c r="Z172" s="29" t="inlineStr">
        <is>
          <t>HIGH</t>
        </is>
      </c>
      <c r="AA172" s="29" t="inlineStr">
        <is>
          <t>HIGH</t>
        </is>
      </c>
      <c r="AB172" s="29" t="inlineStr">
        <is>
          <t>0.095895233286532</t>
        </is>
      </c>
      <c r="AC172" s="29" t="inlineStr">
        <is>
          <t>False</t>
        </is>
      </c>
      <c r="AD172" s="29" t="inlineStr">
        <is>
          <t>False</t>
        </is>
      </c>
      <c r="AE172" s="29" t="inlineStr">
        <is>
          <t>valuation_credit_ml_overlay_candidate.csv</t>
        </is>
      </c>
      <c r="AF172" s="29" t="inlineStr">
        <is>
          <t>208개 반도체 reference universe. Valuation Agent가 자체 intake 폴더로 복제해 Peer/ML/대시보드 비교에 사용.</t>
        </is>
      </c>
    </row>
    <row r="173" ht="24" customHeight="1">
      <c r="A173" s="24" t="inlineStr">
        <is>
          <t>114</t>
        </is>
      </c>
      <c r="B173" s="24" t="inlineStr">
        <is>
          <t>해당 없음</t>
        </is>
      </c>
      <c r="C173" s="24" t="inlineStr">
        <is>
          <t>코세스</t>
        </is>
      </c>
      <c r="D173" s="24" t="inlineStr">
        <is>
          <t>089890</t>
        </is>
      </c>
      <c r="E173" s="24" t="inlineStr">
        <is>
          <t>KOSDAQ</t>
        </is>
      </c>
      <c r="F173" s="24" t="inlineStr">
        <is>
          <t>장비</t>
        </is>
      </c>
      <c r="G173" s="24" t="inlineStr">
        <is>
          <t>장비</t>
        </is>
      </c>
      <c r="H173" s="24" t="inlineStr">
        <is>
          <t>False</t>
        </is>
      </c>
      <c r="I173" s="24" t="inlineStr">
        <is>
          <t>True</t>
        </is>
      </c>
      <c r="J173" s="24" t="inlineStr">
        <is>
          <t>OK</t>
        </is>
      </c>
      <c r="K173" s="24" t="inlineStr">
        <is>
          <t>데이터 사용 가능</t>
        </is>
      </c>
      <c r="L173" s="24" t="inlineStr">
        <is>
          <t>LOW</t>
        </is>
      </c>
      <c r="M173" s="24" t="inlineStr">
        <is>
          <t>LOW</t>
        </is>
      </c>
      <c r="N173" s="24" t="inlineStr">
        <is>
          <t>0.4978666666666667</t>
        </is>
      </c>
      <c r="O173" s="24" t="inlineStr">
        <is>
          <t>FAIR</t>
        </is>
      </c>
      <c r="P173" s="24" t="inlineStr">
        <is>
          <t>FAIR</t>
        </is>
      </c>
      <c r="Q173" s="24" t="inlineStr">
        <is>
          <t>FAIR</t>
        </is>
      </c>
      <c r="R173" s="24" t="inlineStr">
        <is>
          <t>0.7228094449358575</t>
        </is>
      </c>
      <c r="S173" s="24" t="inlineStr">
        <is>
          <t>HIGH</t>
        </is>
      </c>
      <c r="T173" s="24" t="inlineStr">
        <is>
          <t>HIGH</t>
        </is>
      </c>
      <c r="U173" s="24" t="inlineStr">
        <is>
          <t>0.0714285714285714</t>
        </is>
      </c>
      <c r="V173" s="24" t="inlineStr">
        <is>
          <t>LOW_RISK</t>
        </is>
      </c>
      <c r="W173" s="24" t="inlineStr">
        <is>
          <t>저위험</t>
        </is>
      </c>
      <c r="X173" s="24" t="inlineStr">
        <is>
          <t>LOW_RISK</t>
        </is>
      </c>
      <c r="Y173" s="24" t="inlineStr">
        <is>
          <t>0.7776657060311913</t>
        </is>
      </c>
      <c r="Z173" s="24" t="inlineStr">
        <is>
          <t>HIGH</t>
        </is>
      </c>
      <c r="AA173" s="24" t="inlineStr">
        <is>
          <t>HIGH</t>
        </is>
      </c>
      <c r="AB173" s="24" t="inlineStr">
        <is>
          <t>0.08712413247882898</t>
        </is>
      </c>
      <c r="AC173" s="24" t="inlineStr">
        <is>
          <t>False</t>
        </is>
      </c>
      <c r="AD173" s="24" t="inlineStr">
        <is>
          <t>False</t>
        </is>
      </c>
      <c r="AE173" s="24" t="inlineStr">
        <is>
          <t>valuation_credit_ml_overlay_candidate.csv</t>
        </is>
      </c>
      <c r="AF173" s="24" t="inlineStr">
        <is>
          <t>208개 반도체 reference universe. Valuation Agent가 자체 intake 폴더로 복제해 Peer/ML/대시보드 비교에 사용.</t>
        </is>
      </c>
    </row>
    <row r="174" ht="24" customHeight="1">
      <c r="A174" s="29" t="inlineStr">
        <is>
          <t>115</t>
        </is>
      </c>
      <c r="B174" s="29" t="inlineStr">
        <is>
          <t>해당 없음</t>
        </is>
      </c>
      <c r="C174" s="29" t="inlineStr">
        <is>
          <t>코스텍시스템</t>
        </is>
      </c>
      <c r="D174" s="29" t="inlineStr">
        <is>
          <t>169670</t>
        </is>
      </c>
      <c r="E174" s="29" t="inlineStr">
        <is>
          <t>KONEX</t>
        </is>
      </c>
      <c r="F174" s="29" t="inlineStr">
        <is>
          <t>장비</t>
        </is>
      </c>
      <c r="G174" s="29" t="inlineStr">
        <is>
          <t>장비</t>
        </is>
      </c>
      <c r="H174" s="29" t="inlineStr">
        <is>
          <t>False</t>
        </is>
      </c>
      <c r="I174" s="29" t="inlineStr">
        <is>
          <t>True</t>
        </is>
      </c>
      <c r="J174" s="29" t="inlineStr">
        <is>
          <t>NO_DART_FINANCIAL_DATA</t>
        </is>
      </c>
      <c r="K174" s="29" t="inlineStr">
        <is>
          <t>데이터 사용 가능</t>
        </is>
      </c>
      <c r="L174" s="29" t="inlineStr">
        <is>
          <t>HIGH</t>
        </is>
      </c>
      <c r="M174" s="29" t="inlineStr">
        <is>
          <t>HIGH</t>
        </is>
      </c>
      <c r="N174" s="29" t="inlineStr">
        <is>
          <t>0.4959999999999999</t>
        </is>
      </c>
      <c r="O174" s="29" t="inlineStr">
        <is>
          <t>FAIR</t>
        </is>
      </c>
      <c r="P174" s="29" t="inlineStr">
        <is>
          <t>FAIR</t>
        </is>
      </c>
      <c r="Q174" s="29" t="inlineStr">
        <is>
          <t>FAIR</t>
        </is>
      </c>
      <c r="R174" s="29" t="inlineStr">
        <is>
          <t>0.9640840061970892</t>
        </is>
      </c>
      <c r="S174" s="29" t="inlineStr">
        <is>
          <t>HIGH</t>
        </is>
      </c>
      <c r="T174" s="29" t="inlineStr">
        <is>
          <t>HIGH</t>
        </is>
      </c>
      <c r="U174" s="29" t="inlineStr">
        <is>
          <t>0.2142857142857142</t>
        </is>
      </c>
      <c r="V174" s="29" t="inlineStr">
        <is>
          <t>MEDIUM_RISK</t>
        </is>
      </c>
      <c r="W174" s="29" t="inlineStr">
        <is>
          <t>중위험</t>
        </is>
      </c>
      <c r="X174" s="29" t="inlineStr">
        <is>
          <t>MEDIUM_RISK</t>
        </is>
      </c>
      <c r="Y174" s="29" t="inlineStr">
        <is>
          <t>0.7627943410657042</t>
        </is>
      </c>
      <c r="Z174" s="29" t="inlineStr">
        <is>
          <t>HIGH</t>
        </is>
      </c>
      <c r="AA174" s="29" t="inlineStr">
        <is>
          <t>HIGH</t>
        </is>
      </c>
      <c r="AB174" s="29" t="inlineStr">
        <is>
          <t>0.1642174593956627</t>
        </is>
      </c>
      <c r="AC174" s="29" t="inlineStr">
        <is>
          <t>False</t>
        </is>
      </c>
      <c r="AD174" s="29" t="inlineStr">
        <is>
          <t>True</t>
        </is>
      </c>
      <c r="AE174" s="29" t="inlineStr">
        <is>
          <t>valuation_credit_ml_overlay_candidate.csv</t>
        </is>
      </c>
      <c r="AF174" s="29" t="inlineStr">
        <is>
          <t>208개 반도체 reference universe. Valuation Agent가 자체 intake 폴더로 복제해 Peer/ML/대시보드 비교에 사용.</t>
        </is>
      </c>
    </row>
    <row r="175" ht="24" customHeight="1">
      <c r="A175" s="24" t="inlineStr">
        <is>
          <t>75</t>
        </is>
      </c>
      <c r="B175" s="24" t="inlineStr">
        <is>
          <t>해당 없음</t>
        </is>
      </c>
      <c r="C175" s="24" t="inlineStr">
        <is>
          <t>HPSP</t>
        </is>
      </c>
      <c r="D175" s="24" t="inlineStr">
        <is>
          <t>403870</t>
        </is>
      </c>
      <c r="E175" s="24" t="inlineStr">
        <is>
          <t>KOSDAQ GLOBAL</t>
        </is>
      </c>
      <c r="F175" s="24" t="inlineStr">
        <is>
          <t>장비</t>
        </is>
      </c>
      <c r="G175" s="24" t="inlineStr">
        <is>
          <t>장비</t>
        </is>
      </c>
      <c r="H175" s="24" t="inlineStr">
        <is>
          <t>False</t>
        </is>
      </c>
      <c r="I175" s="24" t="inlineStr">
        <is>
          <t>True</t>
        </is>
      </c>
      <c r="J175" s="24" t="inlineStr">
        <is>
          <t>OK</t>
        </is>
      </c>
      <c r="K175" s="24" t="inlineStr">
        <is>
          <t>데이터 사용 가능</t>
        </is>
      </c>
      <c r="L175" s="24" t="inlineStr">
        <is>
          <t>LOW</t>
        </is>
      </c>
      <c r="M175" s="24" t="inlineStr">
        <is>
          <t>LOW</t>
        </is>
      </c>
      <c r="N175" s="24" t="inlineStr">
        <is>
          <t>0.4751999999999999</t>
        </is>
      </c>
      <c r="O175" s="24" t="inlineStr">
        <is>
          <t>FAIR</t>
        </is>
      </c>
      <c r="P175" s="24" t="inlineStr">
        <is>
          <t>FAIR</t>
        </is>
      </c>
      <c r="Q175" s="24" t="inlineStr">
        <is>
          <t>FAIR</t>
        </is>
      </c>
      <c r="R175" s="24" t="inlineStr">
        <is>
          <t>0.7108284021978194</t>
        </is>
      </c>
      <c r="S175" s="24" t="inlineStr">
        <is>
          <t>HIGH</t>
        </is>
      </c>
      <c r="T175" s="24" t="inlineStr">
        <is>
          <t>HIGH</t>
        </is>
      </c>
      <c r="U175" s="24" t="inlineStr">
        <is>
          <t>0.0</t>
        </is>
      </c>
      <c r="V175" s="24" t="inlineStr">
        <is>
          <t>LOW_RISK</t>
        </is>
      </c>
      <c r="W175" s="24" t="inlineStr">
        <is>
          <t>저위험</t>
        </is>
      </c>
      <c r="X175" s="24" t="inlineStr">
        <is>
          <t>LOW_RISK</t>
        </is>
      </c>
      <c r="Y175" s="24" t="inlineStr">
        <is>
          <t>0.9192147630692069</t>
        </is>
      </c>
      <c r="Z175" s="24" t="inlineStr">
        <is>
          <t>HIGH</t>
        </is>
      </c>
      <c r="AA175" s="24" t="inlineStr">
        <is>
          <t>HIGH</t>
        </is>
      </c>
      <c r="AB175" s="24" t="inlineStr">
        <is>
          <t>0.3306557234104388</t>
        </is>
      </c>
      <c r="AC175" s="24" t="inlineStr">
        <is>
          <t>True</t>
        </is>
      </c>
      <c r="AD175" s="24" t="inlineStr">
        <is>
          <t>True</t>
        </is>
      </c>
      <c r="AE175" s="24" t="inlineStr">
        <is>
          <t>valuation_credit_ml_overlay_candidate.csv</t>
        </is>
      </c>
      <c r="AF175" s="24" t="inlineStr">
        <is>
          <t>208개 반도체 reference universe. Valuation Agent가 자체 intake 폴더로 복제해 Peer/ML/대시보드 비교에 사용.</t>
        </is>
      </c>
    </row>
    <row r="176" ht="24" customHeight="1">
      <c r="A176" s="29" t="inlineStr">
        <is>
          <t>103</t>
        </is>
      </c>
      <c r="B176" s="29" t="inlineStr">
        <is>
          <t>해당 없음</t>
        </is>
      </c>
      <c r="C176" s="29" t="inlineStr">
        <is>
          <t>원익IPS</t>
        </is>
      </c>
      <c r="D176" s="29" t="inlineStr">
        <is>
          <t>240810</t>
        </is>
      </c>
      <c r="E176" s="29" t="inlineStr">
        <is>
          <t>KOSDAQ GLOBAL</t>
        </is>
      </c>
      <c r="F176" s="29" t="inlineStr">
        <is>
          <t>장비</t>
        </is>
      </c>
      <c r="G176" s="29" t="inlineStr">
        <is>
          <t>장비</t>
        </is>
      </c>
      <c r="H176" s="29" t="inlineStr">
        <is>
          <t>False</t>
        </is>
      </c>
      <c r="I176" s="29" t="inlineStr">
        <is>
          <t>True</t>
        </is>
      </c>
      <c r="J176" s="29" t="inlineStr">
        <is>
          <t>OK</t>
        </is>
      </c>
      <c r="K176" s="29" t="inlineStr">
        <is>
          <t>데이터 사용 가능</t>
        </is>
      </c>
      <c r="L176" s="29" t="inlineStr">
        <is>
          <t>LOW</t>
        </is>
      </c>
      <c r="M176" s="29" t="inlineStr">
        <is>
          <t>LOW</t>
        </is>
      </c>
      <c r="N176" s="29" t="inlineStr">
        <is>
          <t>0.4634666666666667</t>
        </is>
      </c>
      <c r="O176" s="29" t="inlineStr">
        <is>
          <t>FAIR</t>
        </is>
      </c>
      <c r="P176" s="29" t="inlineStr">
        <is>
          <t>FAIR</t>
        </is>
      </c>
      <c r="Q176" s="29" t="inlineStr">
        <is>
          <t>FAIR</t>
        </is>
      </c>
      <c r="R176" s="29" t="inlineStr">
        <is>
          <t>0.5727476694226805</t>
        </is>
      </c>
      <c r="S176" s="29" t="inlineStr">
        <is>
          <t>MEDIUM</t>
        </is>
      </c>
      <c r="T176" s="29" t="inlineStr">
        <is>
          <t>MEDIUM</t>
        </is>
      </c>
      <c r="U176" s="29" t="inlineStr">
        <is>
          <t>0.0714285714285714</t>
        </is>
      </c>
      <c r="V176" s="29" t="inlineStr">
        <is>
          <t>LOW_RISK</t>
        </is>
      </c>
      <c r="W176" s="29" t="inlineStr">
        <is>
          <t>저위험</t>
        </is>
      </c>
      <c r="X176" s="29" t="inlineStr">
        <is>
          <t>LOW_RISK</t>
        </is>
      </c>
      <c r="Y176" s="29" t="inlineStr">
        <is>
          <t>0.9598478437041975</t>
        </is>
      </c>
      <c r="Z176" s="29" t="inlineStr">
        <is>
          <t>HIGH</t>
        </is>
      </c>
      <c r="AA176" s="29" t="inlineStr">
        <is>
          <t>HIGH</t>
        </is>
      </c>
      <c r="AB176" s="29" t="inlineStr">
        <is>
          <t>0.08568837626660758</t>
        </is>
      </c>
      <c r="AC176" s="29" t="inlineStr">
        <is>
          <t>False</t>
        </is>
      </c>
      <c r="AD176" s="29" t="inlineStr">
        <is>
          <t>False</t>
        </is>
      </c>
      <c r="AE176" s="29" t="inlineStr">
        <is>
          <t>valuation_credit_ml_overlay_candidate.csv</t>
        </is>
      </c>
      <c r="AF176" s="29" t="inlineStr">
        <is>
          <t>208개 반도체 reference universe. Valuation Agent가 자체 intake 폴더로 복제해 Peer/ML/대시보드 비교에 사용.</t>
        </is>
      </c>
    </row>
    <row r="177" ht="24" customHeight="1">
      <c r="A177" s="24" t="inlineStr">
        <is>
          <t>118</t>
        </is>
      </c>
      <c r="B177" s="24" t="inlineStr">
        <is>
          <t>해당 없음</t>
        </is>
      </c>
      <c r="C177" s="24" t="inlineStr">
        <is>
          <t>파크시스템스</t>
        </is>
      </c>
      <c r="D177" s="24" t="inlineStr">
        <is>
          <t>140860</t>
        </is>
      </c>
      <c r="E177" s="24" t="inlineStr">
        <is>
          <t>KOSDAQ GLOBAL</t>
        </is>
      </c>
      <c r="F177" s="24" t="inlineStr">
        <is>
          <t>장비</t>
        </is>
      </c>
      <c r="G177" s="24" t="inlineStr">
        <is>
          <t>장비</t>
        </is>
      </c>
      <c r="H177" s="24" t="inlineStr">
        <is>
          <t>False</t>
        </is>
      </c>
      <c r="I177" s="24" t="inlineStr">
        <is>
          <t>True</t>
        </is>
      </c>
      <c r="J177" s="24" t="inlineStr">
        <is>
          <t>OK</t>
        </is>
      </c>
      <c r="K177" s="24" t="inlineStr">
        <is>
          <t>데이터 사용 가능</t>
        </is>
      </c>
      <c r="L177" s="24" t="inlineStr">
        <is>
          <t>LOW</t>
        </is>
      </c>
      <c r="M177" s="24" t="inlineStr">
        <is>
          <t>LOW</t>
        </is>
      </c>
      <c r="N177" s="24" t="inlineStr">
        <is>
          <t>0.4611999999999999</t>
        </is>
      </c>
      <c r="O177" s="24" t="inlineStr">
        <is>
          <t>FAIR</t>
        </is>
      </c>
      <c r="P177" s="24" t="inlineStr">
        <is>
          <t>FAIR</t>
        </is>
      </c>
      <c r="Q177" s="24" t="inlineStr">
        <is>
          <t>FAIR</t>
        </is>
      </c>
      <c r="R177" s="24" t="inlineStr">
        <is>
          <t>0.7158734205313764</t>
        </is>
      </c>
      <c r="S177" s="24" t="inlineStr">
        <is>
          <t>HIGH</t>
        </is>
      </c>
      <c r="T177" s="24" t="inlineStr">
        <is>
          <t>HIGH</t>
        </is>
      </c>
      <c r="U177" s="24" t="inlineStr">
        <is>
          <t>0.0714285714285714</t>
        </is>
      </c>
      <c r="V177" s="24" t="inlineStr">
        <is>
          <t>LOW_RISK</t>
        </is>
      </c>
      <c r="W177" s="24" t="inlineStr">
        <is>
          <t>저위험</t>
        </is>
      </c>
      <c r="X177" s="24" t="inlineStr">
        <is>
          <t>LOW_RISK</t>
        </is>
      </c>
      <c r="Y177" s="24" t="inlineStr">
        <is>
          <t>0.8562648725642331</t>
        </is>
      </c>
      <c r="Z177" s="24" t="inlineStr">
        <is>
          <t>HIGH</t>
        </is>
      </c>
      <c r="AA177" s="24" t="inlineStr">
        <is>
          <t>HIGH</t>
        </is>
      </c>
      <c r="AB177" s="24" t="inlineStr">
        <is>
          <t>0.038412769981702295</t>
        </is>
      </c>
      <c r="AC177" s="24" t="inlineStr">
        <is>
          <t>False</t>
        </is>
      </c>
      <c r="AD177" s="24" t="inlineStr">
        <is>
          <t>False</t>
        </is>
      </c>
      <c r="AE177" s="24" t="inlineStr">
        <is>
          <t>valuation_credit_ml_overlay_candidate.csv</t>
        </is>
      </c>
      <c r="AF177" s="24" t="inlineStr">
        <is>
          <t>208개 반도체 reference universe. Valuation Agent가 자체 intake 폴더로 복제해 Peer/ML/대시보드 비교에 사용.</t>
        </is>
      </c>
    </row>
    <row r="178" ht="24" customHeight="1">
      <c r="A178" s="29" t="inlineStr">
        <is>
          <t>90</t>
        </is>
      </c>
      <c r="B178" s="29" t="inlineStr">
        <is>
          <t>해당 없음</t>
        </is>
      </c>
      <c r="C178" s="29" t="inlineStr">
        <is>
          <t>서플러스글로벌</t>
        </is>
      </c>
      <c r="D178" s="29" t="inlineStr">
        <is>
          <t>140070</t>
        </is>
      </c>
      <c r="E178" s="29" t="inlineStr">
        <is>
          <t>KOSDAQ</t>
        </is>
      </c>
      <c r="F178" s="29" t="inlineStr">
        <is>
          <t>장비</t>
        </is>
      </c>
      <c r="G178" s="29" t="inlineStr">
        <is>
          <t>장비</t>
        </is>
      </c>
      <c r="H178" s="29" t="inlineStr">
        <is>
          <t>False</t>
        </is>
      </c>
      <c r="I178" s="29" t="inlineStr">
        <is>
          <t>True</t>
        </is>
      </c>
      <c r="J178" s="29" t="inlineStr">
        <is>
          <t>OK</t>
        </is>
      </c>
      <c r="K178" s="29" t="inlineStr">
        <is>
          <t>데이터 사용 가능</t>
        </is>
      </c>
      <c r="L178" s="29" t="inlineStr">
        <is>
          <t>LOW</t>
        </is>
      </c>
      <c r="M178" s="29" t="inlineStr">
        <is>
          <t>LOW</t>
        </is>
      </c>
      <c r="N178" s="29" t="inlineStr">
        <is>
          <t>0.4594666666666667</t>
        </is>
      </c>
      <c r="O178" s="29" t="inlineStr">
        <is>
          <t>FAIR</t>
        </is>
      </c>
      <c r="P178" s="29" t="inlineStr">
        <is>
          <t>FAIR</t>
        </is>
      </c>
      <c r="Q178" s="29" t="inlineStr">
        <is>
          <t>FAIR</t>
        </is>
      </c>
      <c r="R178" s="29" t="inlineStr">
        <is>
          <t>0.6515364241286621</t>
        </is>
      </c>
      <c r="S178" s="29" t="inlineStr">
        <is>
          <t>MEDIUM</t>
        </is>
      </c>
      <c r="T178" s="29" t="inlineStr">
        <is>
          <t>MEDIUM</t>
        </is>
      </c>
      <c r="U178" s="29" t="inlineStr">
        <is>
          <t>0.7142857142857143</t>
        </is>
      </c>
      <c r="V178" s="29" t="inlineStr">
        <is>
          <t>HIGH_RISK</t>
        </is>
      </c>
      <c r="W178" s="29" t="inlineStr">
        <is>
          <t>고위험</t>
        </is>
      </c>
      <c r="X178" s="29" t="inlineStr">
        <is>
          <t>HIGH_RISK</t>
        </is>
      </c>
      <c r="Y178" s="29" t="inlineStr">
        <is>
          <t>0.9338637410254204</t>
        </is>
      </c>
      <c r="Z178" s="29" t="inlineStr">
        <is>
          <t>HIGH</t>
        </is>
      </c>
      <c r="AA178" s="29" t="inlineStr">
        <is>
          <t>HIGH</t>
        </is>
      </c>
      <c r="AB178" s="29" t="inlineStr">
        <is>
          <t>0.11246105889395507</t>
        </is>
      </c>
      <c r="AC178" s="29" t="inlineStr">
        <is>
          <t>False</t>
        </is>
      </c>
      <c r="AD178" s="29" t="inlineStr">
        <is>
          <t>False</t>
        </is>
      </c>
      <c r="AE178" s="29" t="inlineStr">
        <is>
          <t>valuation_credit_ml_overlay_candidate.csv</t>
        </is>
      </c>
      <c r="AF178" s="29" t="inlineStr">
        <is>
          <t>208개 반도체 reference universe. Valuation Agent가 자체 intake 폴더로 복제해 Peer/ML/대시보드 비교에 사용.</t>
        </is>
      </c>
    </row>
    <row r="179" ht="24" customHeight="1">
      <c r="A179" s="24" t="inlineStr">
        <is>
          <t>97</t>
        </is>
      </c>
      <c r="B179" s="24" t="inlineStr">
        <is>
          <t>해당 없음</t>
        </is>
      </c>
      <c r="C179" s="24" t="inlineStr">
        <is>
          <t>에스티아이</t>
        </is>
      </c>
      <c r="D179" s="24" t="inlineStr">
        <is>
          <t>039440</t>
        </is>
      </c>
      <c r="E179" s="24" t="inlineStr">
        <is>
          <t>KOSDAQ</t>
        </is>
      </c>
      <c r="F179" s="24" t="inlineStr">
        <is>
          <t>장비</t>
        </is>
      </c>
      <c r="G179" s="24" t="inlineStr">
        <is>
          <t>장비</t>
        </is>
      </c>
      <c r="H179" s="24" t="inlineStr">
        <is>
          <t>False</t>
        </is>
      </c>
      <c r="I179" s="24" t="inlineStr">
        <is>
          <t>True</t>
        </is>
      </c>
      <c r="J179" s="24" t="inlineStr">
        <is>
          <t>OK</t>
        </is>
      </c>
      <c r="K179" s="24" t="inlineStr">
        <is>
          <t>데이터 사용 가능</t>
        </is>
      </c>
      <c r="L179" s="24" t="inlineStr">
        <is>
          <t>LOW</t>
        </is>
      </c>
      <c r="M179" s="24" t="inlineStr">
        <is>
          <t>LOW</t>
        </is>
      </c>
      <c r="N179" s="24" t="inlineStr">
        <is>
          <t>0.4549999999999999</t>
        </is>
      </c>
      <c r="O179" s="24" t="inlineStr">
        <is>
          <t>FAIR</t>
        </is>
      </c>
      <c r="P179" s="24" t="inlineStr">
        <is>
          <t>FAIR</t>
        </is>
      </c>
      <c r="Q179" s="24" t="inlineStr">
        <is>
          <t>FAIR</t>
        </is>
      </c>
      <c r="R179" s="24" t="inlineStr">
        <is>
          <t>0.53270990340385</t>
        </is>
      </c>
      <c r="S179" s="24" t="inlineStr">
        <is>
          <t>MEDIUM</t>
        </is>
      </c>
      <c r="T179" s="24" t="inlineStr">
        <is>
          <t>MEDIUM</t>
        </is>
      </c>
      <c r="U179" s="24" t="inlineStr">
        <is>
          <t>0.0</t>
        </is>
      </c>
      <c r="V179" s="24" t="inlineStr">
        <is>
          <t>LOW_RISK</t>
        </is>
      </c>
      <c r="W179" s="24" t="inlineStr">
        <is>
          <t>저위험</t>
        </is>
      </c>
      <c r="X179" s="24" t="inlineStr">
        <is>
          <t>LOW_RISK</t>
        </is>
      </c>
      <c r="Y179" s="24" t="inlineStr">
        <is>
          <t>0.911990788525375</t>
        </is>
      </c>
      <c r="Z179" s="24" t="inlineStr">
        <is>
          <t>HIGH</t>
        </is>
      </c>
      <c r="AA179" s="24" t="inlineStr">
        <is>
          <t>HIGH</t>
        </is>
      </c>
      <c r="AB179" s="24" t="inlineStr">
        <is>
          <t>0.012946139293246964</t>
        </is>
      </c>
      <c r="AC179" s="24" t="inlineStr">
        <is>
          <t>False</t>
        </is>
      </c>
      <c r="AD179" s="24" t="inlineStr">
        <is>
          <t>False</t>
        </is>
      </c>
      <c r="AE179" s="24" t="inlineStr">
        <is>
          <t>valuation_credit_ml_overlay_candidate.csv</t>
        </is>
      </c>
      <c r="AF179" s="24" t="inlineStr">
        <is>
          <t>208개 반도체 reference universe. Valuation Agent가 자체 intake 폴더로 복제해 Peer/ML/대시보드 비교에 사용.</t>
        </is>
      </c>
    </row>
    <row r="180" ht="24" customHeight="1">
      <c r="A180" s="29" t="inlineStr">
        <is>
          <t>106</t>
        </is>
      </c>
      <c r="B180" s="29" t="inlineStr">
        <is>
          <t>해당 없음</t>
        </is>
      </c>
      <c r="C180" s="29" t="inlineStr">
        <is>
          <t>유진테크</t>
        </is>
      </c>
      <c r="D180" s="29" t="inlineStr">
        <is>
          <t>084370</t>
        </is>
      </c>
      <c r="E180" s="29" t="inlineStr">
        <is>
          <t>KOSDAQ</t>
        </is>
      </c>
      <c r="F180" s="29" t="inlineStr">
        <is>
          <t>장비</t>
        </is>
      </c>
      <c r="G180" s="29" t="inlineStr">
        <is>
          <t>장비</t>
        </is>
      </c>
      <c r="H180" s="29" t="inlineStr">
        <is>
          <t>False</t>
        </is>
      </c>
      <c r="I180" s="29" t="inlineStr">
        <is>
          <t>True</t>
        </is>
      </c>
      <c r="J180" s="29" t="inlineStr">
        <is>
          <t>OK</t>
        </is>
      </c>
      <c r="K180" s="29" t="inlineStr">
        <is>
          <t>데이터 사용 가능</t>
        </is>
      </c>
      <c r="L180" s="29" t="inlineStr">
        <is>
          <t>LOW</t>
        </is>
      </c>
      <c r="M180" s="29" t="inlineStr">
        <is>
          <t>LOW</t>
        </is>
      </c>
      <c r="N180" s="29" t="inlineStr">
        <is>
          <t>0.4335999999999999</t>
        </is>
      </c>
      <c r="O180" s="29" t="inlineStr">
        <is>
          <t>FAIR</t>
        </is>
      </c>
      <c r="P180" s="29" t="inlineStr">
        <is>
          <t>FAIR</t>
        </is>
      </c>
      <c r="Q180" s="29" t="inlineStr">
        <is>
          <t>FAIR</t>
        </is>
      </c>
      <c r="R180" s="29" t="inlineStr">
        <is>
          <t>0.7415227894291446</t>
        </is>
      </c>
      <c r="S180" s="29" t="inlineStr">
        <is>
          <t>HIGH</t>
        </is>
      </c>
      <c r="T180" s="29" t="inlineStr">
        <is>
          <t>HIGH</t>
        </is>
      </c>
      <c r="U180" s="29" t="inlineStr">
        <is>
          <t>0.0</t>
        </is>
      </c>
      <c r="V180" s="29" t="inlineStr">
        <is>
          <t>LOW_RISK</t>
        </is>
      </c>
      <c r="W180" s="29" t="inlineStr">
        <is>
          <t>저위험</t>
        </is>
      </c>
      <c r="X180" s="29" t="inlineStr">
        <is>
          <t>LOW_RISK</t>
        </is>
      </c>
      <c r="Y180" s="29" t="inlineStr">
        <is>
          <t>0.972105078189685</t>
        </is>
      </c>
      <c r="Z180" s="29" t="inlineStr">
        <is>
          <t>HIGH</t>
        </is>
      </c>
      <c r="AA180" s="29" t="inlineStr">
        <is>
          <t>HIGH</t>
        </is>
      </c>
      <c r="AB180" s="29" t="inlineStr">
        <is>
          <t>0.06698695126425369</t>
        </is>
      </c>
      <c r="AC180" s="29" t="inlineStr">
        <is>
          <t>False</t>
        </is>
      </c>
      <c r="AD180" s="29" t="inlineStr">
        <is>
          <t>False</t>
        </is>
      </c>
      <c r="AE180" s="29" t="inlineStr">
        <is>
          <t>valuation_credit_ml_overlay_candidate.csv</t>
        </is>
      </c>
      <c r="AF180" s="29" t="inlineStr">
        <is>
          <t>208개 반도체 reference universe. Valuation Agent가 자체 intake 폴더로 복제해 Peer/ML/대시보드 비교에 사용.</t>
        </is>
      </c>
    </row>
    <row r="181" ht="24" customHeight="1">
      <c r="A181" s="24" t="inlineStr">
        <is>
          <t>109</t>
        </is>
      </c>
      <c r="B181" s="24" t="inlineStr">
        <is>
          <t>해당 없음</t>
        </is>
      </c>
      <c r="C181" s="24" t="inlineStr">
        <is>
          <t>제우스</t>
        </is>
      </c>
      <c r="D181" s="24" t="inlineStr">
        <is>
          <t>079370</t>
        </is>
      </c>
      <c r="E181" s="24" t="inlineStr">
        <is>
          <t>KOSDAQ</t>
        </is>
      </c>
      <c r="F181" s="24" t="inlineStr">
        <is>
          <t>장비</t>
        </is>
      </c>
      <c r="G181" s="24" t="inlineStr">
        <is>
          <t>장비</t>
        </is>
      </c>
      <c r="H181" s="24" t="inlineStr">
        <is>
          <t>False</t>
        </is>
      </c>
      <c r="I181" s="24" t="inlineStr">
        <is>
          <t>True</t>
        </is>
      </c>
      <c r="J181" s="24" t="inlineStr">
        <is>
          <t>OK</t>
        </is>
      </c>
      <c r="K181" s="24" t="inlineStr">
        <is>
          <t>데이터 사용 가능</t>
        </is>
      </c>
      <c r="L181" s="24" t="inlineStr">
        <is>
          <t>LOW</t>
        </is>
      </c>
      <c r="M181" s="24" t="inlineStr">
        <is>
          <t>LOW</t>
        </is>
      </c>
      <c r="N181" s="24" t="inlineStr">
        <is>
          <t>0.4258666666666666</t>
        </is>
      </c>
      <c r="O181" s="24" t="inlineStr">
        <is>
          <t>FAIR</t>
        </is>
      </c>
      <c r="P181" s="24" t="inlineStr">
        <is>
          <t>FAIR</t>
        </is>
      </c>
      <c r="Q181" s="24" t="inlineStr">
        <is>
          <t>FAIR</t>
        </is>
      </c>
      <c r="R181" s="24" t="inlineStr">
        <is>
          <t>0.7744454918412472</t>
        </is>
      </c>
      <c r="S181" s="24" t="inlineStr">
        <is>
          <t>HIGH</t>
        </is>
      </c>
      <c r="T181" s="24" t="inlineStr">
        <is>
          <t>HIGH</t>
        </is>
      </c>
      <c r="U181" s="24" t="inlineStr">
        <is>
          <t>0.2142857142857142</t>
        </is>
      </c>
      <c r="V181" s="24" t="inlineStr">
        <is>
          <t>MEDIUM_RISK</t>
        </is>
      </c>
      <c r="W181" s="24" t="inlineStr">
        <is>
          <t>중위험</t>
        </is>
      </c>
      <c r="X181" s="24" t="inlineStr">
        <is>
          <t>MEDIUM_RISK</t>
        </is>
      </c>
      <c r="Y181" s="24" t="inlineStr">
        <is>
          <t>0.7526716293270965</t>
        </is>
      </c>
      <c r="Z181" s="24" t="inlineStr">
        <is>
          <t>HIGH</t>
        </is>
      </c>
      <c r="AA181" s="24" t="inlineStr">
        <is>
          <t>HIGH</t>
        </is>
      </c>
      <c r="AB181" s="24" t="inlineStr">
        <is>
          <t>0.011543006177035572</t>
        </is>
      </c>
      <c r="AC181" s="24" t="inlineStr">
        <is>
          <t>False</t>
        </is>
      </c>
      <c r="AD181" s="24" t="inlineStr">
        <is>
          <t>False</t>
        </is>
      </c>
      <c r="AE181" s="24" t="inlineStr">
        <is>
          <t>valuation_credit_ml_overlay_candidate.csv</t>
        </is>
      </c>
      <c r="AF181" s="24" t="inlineStr">
        <is>
          <t>208개 반도체 reference universe. Valuation Agent가 자체 intake 폴더로 복제해 Peer/ML/대시보드 비교에 사용.</t>
        </is>
      </c>
    </row>
    <row r="182" ht="24" customHeight="1">
      <c r="A182" s="29" t="inlineStr">
        <is>
          <t>83</t>
        </is>
      </c>
      <c r="B182" s="29" t="inlineStr">
        <is>
          <t>해당 없음</t>
        </is>
      </c>
      <c r="C182" s="29" t="inlineStr">
        <is>
          <t>램테크놀러지</t>
        </is>
      </c>
      <c r="D182" s="29" t="inlineStr">
        <is>
          <t>171010</t>
        </is>
      </c>
      <c r="E182" s="29" t="inlineStr">
        <is>
          <t>KOSDAQ</t>
        </is>
      </c>
      <c r="F182" s="29" t="inlineStr">
        <is>
          <t>장비</t>
        </is>
      </c>
      <c r="G182" s="29" t="inlineStr">
        <is>
          <t>장비</t>
        </is>
      </c>
      <c r="H182" s="29" t="inlineStr">
        <is>
          <t>False</t>
        </is>
      </c>
      <c r="I182" s="29" t="inlineStr">
        <is>
          <t>True</t>
        </is>
      </c>
      <c r="J182" s="29" t="inlineStr">
        <is>
          <t>OK</t>
        </is>
      </c>
      <c r="K182" s="29" t="inlineStr">
        <is>
          <t>데이터 사용 가능</t>
        </is>
      </c>
      <c r="L182" s="29" t="inlineStr">
        <is>
          <t>LOW</t>
        </is>
      </c>
      <c r="M182" s="29" t="inlineStr">
        <is>
          <t>LOW</t>
        </is>
      </c>
      <c r="N182" s="29" t="inlineStr">
        <is>
          <t>0.4097333333333334</t>
        </is>
      </c>
      <c r="O182" s="29" t="inlineStr">
        <is>
          <t>EXPENSIVE</t>
        </is>
      </c>
      <c r="P182" s="29" t="inlineStr">
        <is>
          <t>EXPENSIVE</t>
        </is>
      </c>
      <c r="Q182" s="29" t="inlineStr">
        <is>
          <t>FAIR</t>
        </is>
      </c>
      <c r="R182" s="29" t="inlineStr">
        <is>
          <t>0.500591784236833</t>
        </is>
      </c>
      <c r="S182" s="29" t="inlineStr">
        <is>
          <t>MEDIUM</t>
        </is>
      </c>
      <c r="T182" s="29" t="inlineStr">
        <is>
          <t>MEDIUM</t>
        </is>
      </c>
      <c r="U182" s="29" t="inlineStr">
        <is>
          <t>0.6428571428571429</t>
        </is>
      </c>
      <c r="V182" s="29" t="inlineStr">
        <is>
          <t>HIGH_RISK</t>
        </is>
      </c>
      <c r="W182" s="29" t="inlineStr">
        <is>
          <t>고위험</t>
        </is>
      </c>
      <c r="X182" s="29" t="inlineStr">
        <is>
          <t>HIGH_RISK</t>
        </is>
      </c>
      <c r="Y182" s="29" t="inlineStr">
        <is>
          <t>0.7085071659992903</t>
        </is>
      </c>
      <c r="Z182" s="29" t="inlineStr">
        <is>
          <t>HIGH</t>
        </is>
      </c>
      <c r="AA182" s="29" t="inlineStr">
        <is>
          <t>HIGH</t>
        </is>
      </c>
      <c r="AB182" s="29" t="inlineStr">
        <is>
          <t>0.08748635209855961</t>
        </is>
      </c>
      <c r="AC182" s="29" t="inlineStr">
        <is>
          <t>False</t>
        </is>
      </c>
      <c r="AD182" s="29" t="inlineStr">
        <is>
          <t>False</t>
        </is>
      </c>
      <c r="AE182" s="29" t="inlineStr">
        <is>
          <t>valuation_credit_ml_overlay_candidate.csv</t>
        </is>
      </c>
      <c r="AF182" s="29" t="inlineStr">
        <is>
          <t>208개 반도체 reference universe. Valuation Agent가 자체 intake 폴더로 복제해 Peer/ML/대시보드 비교에 사용.</t>
        </is>
      </c>
    </row>
    <row r="183" ht="24" customHeight="1">
      <c r="A183" s="24" t="inlineStr">
        <is>
          <t>108</t>
        </is>
      </c>
      <c r="B183" s="24" t="inlineStr">
        <is>
          <t>해당 없음</t>
        </is>
      </c>
      <c r="C183" s="24" t="inlineStr">
        <is>
          <t>저스템</t>
        </is>
      </c>
      <c r="D183" s="24" t="inlineStr">
        <is>
          <t>417840</t>
        </is>
      </c>
      <c r="E183" s="24" t="inlineStr">
        <is>
          <t>KOSDAQ</t>
        </is>
      </c>
      <c r="F183" s="24" t="inlineStr">
        <is>
          <t>장비</t>
        </is>
      </c>
      <c r="G183" s="24" t="inlineStr">
        <is>
          <t>장비</t>
        </is>
      </c>
      <c r="H183" s="24" t="inlineStr">
        <is>
          <t>False</t>
        </is>
      </c>
      <c r="I183" s="24" t="inlineStr">
        <is>
          <t>True</t>
        </is>
      </c>
      <c r="J183" s="24" t="inlineStr">
        <is>
          <t>OK</t>
        </is>
      </c>
      <c r="K183" s="24" t="inlineStr">
        <is>
          <t>데이터 사용 가능</t>
        </is>
      </c>
      <c r="L183" s="24" t="inlineStr">
        <is>
          <t>LOW</t>
        </is>
      </c>
      <c r="M183" s="24" t="inlineStr">
        <is>
          <t>LOW</t>
        </is>
      </c>
      <c r="N183" s="24" t="inlineStr">
        <is>
          <t>0.4036</t>
        </is>
      </c>
      <c r="O183" s="24" t="inlineStr">
        <is>
          <t>EXPENSIVE</t>
        </is>
      </c>
      <c r="P183" s="24" t="inlineStr">
        <is>
          <t>EXPENSIVE</t>
        </is>
      </c>
      <c r="Q183" s="24" t="inlineStr">
        <is>
          <t>EXPENSIVE</t>
        </is>
      </c>
      <c r="R183" s="24" t="inlineStr">
        <is>
          <t>0.7213257522774291</t>
        </is>
      </c>
      <c r="S183" s="24" t="inlineStr">
        <is>
          <t>HIGH</t>
        </is>
      </c>
      <c r="T183" s="24" t="inlineStr">
        <is>
          <t>HIGH</t>
        </is>
      </c>
      <c r="U183" s="24" t="inlineStr">
        <is>
          <t>0.2857142857142857</t>
        </is>
      </c>
      <c r="V183" s="24" t="inlineStr">
        <is>
          <t>MEDIUM_RISK</t>
        </is>
      </c>
      <c r="W183" s="24" t="inlineStr">
        <is>
          <t>중위험</t>
        </is>
      </c>
      <c r="X183" s="24" t="inlineStr">
        <is>
          <t>MEDIUM_RISK</t>
        </is>
      </c>
      <c r="Y183" s="24" t="inlineStr">
        <is>
          <t>0.6200895030304687</t>
        </is>
      </c>
      <c r="Z183" s="24" t="inlineStr">
        <is>
          <t>MEDIUM</t>
        </is>
      </c>
      <c r="AA183" s="24" t="inlineStr">
        <is>
          <t>MEDIUM</t>
        </is>
      </c>
      <c r="AB183" s="24" t="inlineStr">
        <is>
          <t>0.06530461326030516</t>
        </is>
      </c>
      <c r="AC183" s="24" t="inlineStr">
        <is>
          <t>False</t>
        </is>
      </c>
      <c r="AD183" s="24" t="inlineStr">
        <is>
          <t>False</t>
        </is>
      </c>
      <c r="AE183" s="24" t="inlineStr">
        <is>
          <t>valuation_credit_ml_overlay_candidate.csv</t>
        </is>
      </c>
      <c r="AF183" s="24" t="inlineStr">
        <is>
          <t>208개 반도체 reference universe. Valuation Agent가 자체 intake 폴더로 복제해 Peer/ML/대시보드 비교에 사용.</t>
        </is>
      </c>
    </row>
    <row r="184" ht="24" customHeight="1">
      <c r="A184" s="29" t="inlineStr">
        <is>
          <t>111</t>
        </is>
      </c>
      <c r="B184" s="29" t="inlineStr">
        <is>
          <t>해당 없음</t>
        </is>
      </c>
      <c r="C184" s="29" t="inlineStr">
        <is>
          <t>지아이에스</t>
        </is>
      </c>
      <c r="D184" s="29" t="inlineStr">
        <is>
          <t>306620</t>
        </is>
      </c>
      <c r="E184" s="29" t="inlineStr">
        <is>
          <t>KOSDAQ</t>
        </is>
      </c>
      <c r="F184" s="29" t="inlineStr">
        <is>
          <t>장비</t>
        </is>
      </c>
      <c r="G184" s="29" t="inlineStr">
        <is>
          <t>장비</t>
        </is>
      </c>
      <c r="H184" s="29" t="inlineStr">
        <is>
          <t>False</t>
        </is>
      </c>
      <c r="I184" s="29" t="inlineStr">
        <is>
          <t>True</t>
        </is>
      </c>
      <c r="J184" s="29" t="inlineStr">
        <is>
          <t>OK</t>
        </is>
      </c>
      <c r="K184" s="29" t="inlineStr">
        <is>
          <t>데이터 사용 가능</t>
        </is>
      </c>
      <c r="L184" s="29" t="inlineStr">
        <is>
          <t>LOW</t>
        </is>
      </c>
      <c r="M184" s="29" t="inlineStr">
        <is>
          <t>LOW</t>
        </is>
      </c>
      <c r="N184" s="29" t="inlineStr">
        <is>
          <t>0.4014666666666666</t>
        </is>
      </c>
      <c r="O184" s="29" t="inlineStr">
        <is>
          <t>EXPENSIVE</t>
        </is>
      </c>
      <c r="P184" s="29" t="inlineStr">
        <is>
          <t>EXPENSIVE</t>
        </is>
      </c>
      <c r="Q184" s="29" t="inlineStr">
        <is>
          <t>EXPENSIVE</t>
        </is>
      </c>
      <c r="R184" s="29" t="inlineStr">
        <is>
          <t>0.745903271306321</t>
        </is>
      </c>
      <c r="S184" s="29" t="inlineStr">
        <is>
          <t>HIGH</t>
        </is>
      </c>
      <c r="T184" s="29" t="inlineStr">
        <is>
          <t>HIGH</t>
        </is>
      </c>
      <c r="U184" s="29" t="inlineStr">
        <is>
          <t>0.5714285714285714</t>
        </is>
      </c>
      <c r="V184" s="29" t="inlineStr">
        <is>
          <t>HIGH_RISK</t>
        </is>
      </c>
      <c r="W184" s="29" t="inlineStr">
        <is>
          <t>고위험</t>
        </is>
      </c>
      <c r="X184" s="29" t="inlineStr">
        <is>
          <t>HIGH_RISK</t>
        </is>
      </c>
      <c r="Y184" s="29" t="inlineStr">
        <is>
          <t>0.7985810664806972</t>
        </is>
      </c>
      <c r="Z184" s="29" t="inlineStr">
        <is>
          <t>HIGH</t>
        </is>
      </c>
      <c r="AA184" s="29" t="inlineStr">
        <is>
          <t>HIGH</t>
        </is>
      </c>
      <c r="AB184" s="29" t="inlineStr">
        <is>
          <t>0.10027107402555603</t>
        </is>
      </c>
      <c r="AC184" s="29" t="inlineStr">
        <is>
          <t>False</t>
        </is>
      </c>
      <c r="AD184" s="29" t="inlineStr">
        <is>
          <t>False</t>
        </is>
      </c>
      <c r="AE184" s="29" t="inlineStr">
        <is>
          <t>valuation_credit_ml_overlay_candidate.csv</t>
        </is>
      </c>
      <c r="AF184" s="29" t="inlineStr">
        <is>
          <t>208개 반도체 reference universe. Valuation Agent가 자체 intake 폴더로 복제해 Peer/ML/대시보드 비교에 사용.</t>
        </is>
      </c>
    </row>
    <row r="185" ht="24" customHeight="1">
      <c r="A185" s="24" t="inlineStr">
        <is>
          <t>98</t>
        </is>
      </c>
      <c r="B185" s="24" t="inlineStr">
        <is>
          <t>해당 없음</t>
        </is>
      </c>
      <c r="C185" s="24" t="inlineStr">
        <is>
          <t>에프에스티</t>
        </is>
      </c>
      <c r="D185" s="24" t="inlineStr">
        <is>
          <t>036810</t>
        </is>
      </c>
      <c r="E185" s="24" t="inlineStr">
        <is>
          <t>KOSDAQ</t>
        </is>
      </c>
      <c r="F185" s="24" t="inlineStr">
        <is>
          <t>장비</t>
        </is>
      </c>
      <c r="G185" s="24" t="inlineStr">
        <is>
          <t>장비</t>
        </is>
      </c>
      <c r="H185" s="24" t="inlineStr">
        <is>
          <t>False</t>
        </is>
      </c>
      <c r="I185" s="24" t="inlineStr">
        <is>
          <t>True</t>
        </is>
      </c>
      <c r="J185" s="24" t="inlineStr">
        <is>
          <t>OK</t>
        </is>
      </c>
      <c r="K185" s="24" t="inlineStr">
        <is>
          <t>데이터 사용 가능</t>
        </is>
      </c>
      <c r="L185" s="24" t="inlineStr">
        <is>
          <t>LOW</t>
        </is>
      </c>
      <c r="M185" s="24" t="inlineStr">
        <is>
          <t>LOW</t>
        </is>
      </c>
      <c r="N185" s="24" t="inlineStr">
        <is>
          <t>0.3826666666666666</t>
        </is>
      </c>
      <c r="O185" s="24" t="inlineStr">
        <is>
          <t>EXPENSIVE</t>
        </is>
      </c>
      <c r="P185" s="24" t="inlineStr">
        <is>
          <t>EXPENSIVE</t>
        </is>
      </c>
      <c r="Q185" s="24" t="inlineStr">
        <is>
          <t>EXPENSIVE</t>
        </is>
      </c>
      <c r="R185" s="24" t="inlineStr">
        <is>
          <t>0.8925631629286743</t>
        </is>
      </c>
      <c r="S185" s="24" t="inlineStr">
        <is>
          <t>HIGH</t>
        </is>
      </c>
      <c r="T185" s="24" t="inlineStr">
        <is>
          <t>HIGH</t>
        </is>
      </c>
      <c r="U185" s="24" t="inlineStr">
        <is>
          <t>0.5</t>
        </is>
      </c>
      <c r="V185" s="24" t="inlineStr">
        <is>
          <t>HIGH_RISK</t>
        </is>
      </c>
      <c r="W185" s="24" t="inlineStr">
        <is>
          <t>고위험</t>
        </is>
      </c>
      <c r="X185" s="24" t="inlineStr">
        <is>
          <t>HIGH_RISK</t>
        </is>
      </c>
      <c r="Y185" s="24" t="inlineStr">
        <is>
          <t>0.6842794288306946</t>
        </is>
      </c>
      <c r="Z185" s="24" t="inlineStr">
        <is>
          <t>MEDIUM</t>
        </is>
      </c>
      <c r="AA185" s="24" t="inlineStr">
        <is>
          <t>MEDIUM</t>
        </is>
      </c>
      <c r="AB185" s="24" t="inlineStr">
        <is>
          <t>0.03870825972114044</t>
        </is>
      </c>
      <c r="AC185" s="24" t="inlineStr">
        <is>
          <t>False</t>
        </is>
      </c>
      <c r="AD185" s="24" t="inlineStr">
        <is>
          <t>False</t>
        </is>
      </c>
      <c r="AE185" s="24" t="inlineStr">
        <is>
          <t>valuation_credit_ml_overlay_candidate.csv</t>
        </is>
      </c>
      <c r="AF185" s="24" t="inlineStr">
        <is>
          <t>208개 반도체 reference universe. Valuation Agent가 자체 intake 폴더로 복제해 Peer/ML/대시보드 비교에 사용.</t>
        </is>
      </c>
    </row>
    <row r="186" ht="24" customHeight="1">
      <c r="A186" s="29" t="inlineStr">
        <is>
          <t>78</t>
        </is>
      </c>
      <c r="B186" s="29" t="inlineStr">
        <is>
          <t>해당 없음</t>
        </is>
      </c>
      <c r="C186" s="29" t="inlineStr">
        <is>
          <t>나노신소재</t>
        </is>
      </c>
      <c r="D186" s="29" t="inlineStr">
        <is>
          <t>121600</t>
        </is>
      </c>
      <c r="E186" s="29" t="inlineStr">
        <is>
          <t>KOSDAQ</t>
        </is>
      </c>
      <c r="F186" s="29" t="inlineStr">
        <is>
          <t>장비</t>
        </is>
      </c>
      <c r="G186" s="29" t="inlineStr">
        <is>
          <t>장비</t>
        </is>
      </c>
      <c r="H186" s="29" t="inlineStr">
        <is>
          <t>False</t>
        </is>
      </c>
      <c r="I186" s="29" t="inlineStr">
        <is>
          <t>True</t>
        </is>
      </c>
      <c r="J186" s="29" t="inlineStr">
        <is>
          <t>OK</t>
        </is>
      </c>
      <c r="K186" s="29" t="inlineStr">
        <is>
          <t>데이터 사용 가능</t>
        </is>
      </c>
      <c r="L186" s="29" t="inlineStr">
        <is>
          <t>LOW</t>
        </is>
      </c>
      <c r="M186" s="29" t="inlineStr">
        <is>
          <t>LOW</t>
        </is>
      </c>
      <c r="N186" s="29" t="inlineStr">
        <is>
          <t>0.3822666666666666</t>
        </is>
      </c>
      <c r="O186" s="29" t="inlineStr">
        <is>
          <t>EXPENSIVE</t>
        </is>
      </c>
      <c r="P186" s="29" t="inlineStr">
        <is>
          <t>EXPENSIVE</t>
        </is>
      </c>
      <c r="Q186" s="29" t="inlineStr">
        <is>
          <t>EXPENSIVE</t>
        </is>
      </c>
      <c r="R186" s="29" t="inlineStr">
        <is>
          <t>0.7555342246021253</t>
        </is>
      </c>
      <c r="S186" s="29" t="inlineStr">
        <is>
          <t>HIGH</t>
        </is>
      </c>
      <c r="T186" s="29" t="inlineStr">
        <is>
          <t>HIGH</t>
        </is>
      </c>
      <c r="U186" s="29" t="inlineStr">
        <is>
          <t>0.0</t>
        </is>
      </c>
      <c r="V186" s="29" t="inlineStr">
        <is>
          <t>LOW_RISK</t>
        </is>
      </c>
      <c r="W186" s="29" t="inlineStr">
        <is>
          <t>저위험</t>
        </is>
      </c>
      <c r="X186" s="29" t="inlineStr">
        <is>
          <t>LOW_RISK</t>
        </is>
      </c>
      <c r="Y186" s="29" t="inlineStr">
        <is>
          <t>0.6225133085657061</t>
        </is>
      </c>
      <c r="Z186" s="29" t="inlineStr">
        <is>
          <t>MEDIUM</t>
        </is>
      </c>
      <c r="AA186" s="29" t="inlineStr">
        <is>
          <t>MEDIUM</t>
        </is>
      </c>
      <c r="AB186" s="29" t="inlineStr">
        <is>
          <t>0.006422827813209868</t>
        </is>
      </c>
      <c r="AC186" s="29" t="inlineStr">
        <is>
          <t>False</t>
        </is>
      </c>
      <c r="AD186" s="29" t="inlineStr">
        <is>
          <t>False</t>
        </is>
      </c>
      <c r="AE186" s="29" t="inlineStr">
        <is>
          <t>valuation_credit_ml_overlay_candidate.csv</t>
        </is>
      </c>
      <c r="AF186" s="29" t="inlineStr">
        <is>
          <t>208개 반도체 reference universe. Valuation Agent가 자체 intake 폴더로 복제해 Peer/ML/대시보드 비교에 사용.</t>
        </is>
      </c>
    </row>
    <row r="187" ht="24" customHeight="1">
      <c r="A187" s="24" t="inlineStr">
        <is>
          <t>93</t>
        </is>
      </c>
      <c r="B187" s="24" t="inlineStr">
        <is>
          <t>해당 없음</t>
        </is>
      </c>
      <c r="C187" s="24" t="inlineStr">
        <is>
          <t>씨엠티엑스</t>
        </is>
      </c>
      <c r="D187" s="24" t="inlineStr">
        <is>
          <t>388210</t>
        </is>
      </c>
      <c r="E187" s="24" t="inlineStr">
        <is>
          <t>KOSDAQ</t>
        </is>
      </c>
      <c r="F187" s="24" t="inlineStr">
        <is>
          <t>장비</t>
        </is>
      </c>
      <c r="G187" s="24" t="inlineStr">
        <is>
          <t>장비</t>
        </is>
      </c>
      <c r="H187" s="24" t="inlineStr">
        <is>
          <t>False</t>
        </is>
      </c>
      <c r="I187" s="24" t="inlineStr">
        <is>
          <t>True</t>
        </is>
      </c>
      <c r="J187" s="24" t="inlineStr">
        <is>
          <t>OK_LIMITED_HISTORY_OR_GROWTH_NA</t>
        </is>
      </c>
      <c r="K187" s="24" t="inlineStr">
        <is>
          <t>데이터 사용 가능</t>
        </is>
      </c>
      <c r="L187" s="24" t="inlineStr">
        <is>
          <t>LOW</t>
        </is>
      </c>
      <c r="M187" s="24" t="inlineStr">
        <is>
          <t>LOW</t>
        </is>
      </c>
      <c r="N187" s="24" t="inlineStr">
        <is>
          <t>0.3652666666666667</t>
        </is>
      </c>
      <c r="O187" s="24" t="inlineStr">
        <is>
          <t>EXPENSIVE</t>
        </is>
      </c>
      <c r="P187" s="24" t="inlineStr">
        <is>
          <t>EXPENSIVE</t>
        </is>
      </c>
      <c r="Q187" s="24" t="inlineStr">
        <is>
          <t>EXPENSIVE</t>
        </is>
      </c>
      <c r="R187" s="24" t="inlineStr">
        <is>
          <t>0.7157707609420977</t>
        </is>
      </c>
      <c r="S187" s="24" t="inlineStr">
        <is>
          <t>HIGH</t>
        </is>
      </c>
      <c r="T187" s="24" t="inlineStr">
        <is>
          <t>HIGH</t>
        </is>
      </c>
      <c r="U187" s="24" t="inlineStr">
        <is>
          <t>0.2142857142857142</t>
        </is>
      </c>
      <c r="V187" s="24" t="inlineStr">
        <is>
          <t>MEDIUM_RISK</t>
        </is>
      </c>
      <c r="W187" s="24" t="inlineStr">
        <is>
          <t>중위험</t>
        </is>
      </c>
      <c r="X187" s="24" t="inlineStr">
        <is>
          <t>MEDIUM_RISK</t>
        </is>
      </c>
      <c r="Y187" s="24" t="inlineStr">
        <is>
          <t>0.6836967884951827</t>
        </is>
      </c>
      <c r="Z187" s="24" t="inlineStr">
        <is>
          <t>MEDIUM</t>
        </is>
      </c>
      <c r="AA187" s="24" t="inlineStr">
        <is>
          <t>MEDIUM</t>
        </is>
      </c>
      <c r="AB187" s="24" t="inlineStr">
        <is>
          <t>0.10495929656754996</t>
        </is>
      </c>
      <c r="AC187" s="24" t="inlineStr">
        <is>
          <t>False</t>
        </is>
      </c>
      <c r="AD187" s="24" t="inlineStr">
        <is>
          <t>True</t>
        </is>
      </c>
      <c r="AE187" s="24" t="inlineStr">
        <is>
          <t>valuation_credit_ml_overlay_candidate.csv</t>
        </is>
      </c>
      <c r="AF187" s="24" t="inlineStr">
        <is>
          <t>208개 반도체 reference universe. Valuation Agent가 자체 intake 폴더로 복제해 Peer/ML/대시보드 비교에 사용.</t>
        </is>
      </c>
    </row>
    <row r="188" ht="24" customHeight="1">
      <c r="A188" s="29" t="inlineStr">
        <is>
          <t>94</t>
        </is>
      </c>
      <c r="B188" s="29" t="inlineStr">
        <is>
          <t>해당 없음</t>
        </is>
      </c>
      <c r="C188" s="29" t="inlineStr">
        <is>
          <t>아스플로</t>
        </is>
      </c>
      <c r="D188" s="29" t="inlineStr">
        <is>
          <t>159010</t>
        </is>
      </c>
      <c r="E188" s="29" t="inlineStr">
        <is>
          <t>KOSDAQ</t>
        </is>
      </c>
      <c r="F188" s="29" t="inlineStr">
        <is>
          <t>장비</t>
        </is>
      </c>
      <c r="G188" s="29" t="inlineStr">
        <is>
          <t>장비</t>
        </is>
      </c>
      <c r="H188" s="29" t="inlineStr">
        <is>
          <t>False</t>
        </is>
      </c>
      <c r="I188" s="29" t="inlineStr">
        <is>
          <t>True</t>
        </is>
      </c>
      <c r="J188" s="29" t="inlineStr">
        <is>
          <t>OK</t>
        </is>
      </c>
      <c r="K188" s="29" t="inlineStr">
        <is>
          <t>데이터 사용 가능</t>
        </is>
      </c>
      <c r="L188" s="29" t="inlineStr">
        <is>
          <t>LOW</t>
        </is>
      </c>
      <c r="M188" s="29" t="inlineStr">
        <is>
          <t>LOW</t>
        </is>
      </c>
      <c r="N188" s="29" t="inlineStr">
        <is>
          <t>0.3025333333333333</t>
        </is>
      </c>
      <c r="O188" s="29" t="inlineStr">
        <is>
          <t>EXPENSIVE</t>
        </is>
      </c>
      <c r="P188" s="29" t="inlineStr">
        <is>
          <t>EXPENSIVE</t>
        </is>
      </c>
      <c r="Q188" s="29" t="inlineStr">
        <is>
          <t>EXPENSIVE</t>
        </is>
      </c>
      <c r="R188" s="29" t="inlineStr">
        <is>
          <t>0.8970141905473263</t>
        </is>
      </c>
      <c r="S188" s="29" t="inlineStr">
        <is>
          <t>HIGH</t>
        </is>
      </c>
      <c r="T188" s="29" t="inlineStr">
        <is>
          <t>HIGH</t>
        </is>
      </c>
      <c r="U188" s="29" t="inlineStr">
        <is>
          <t>0.5714285714285714</t>
        </is>
      </c>
      <c r="V188" s="29" t="inlineStr">
        <is>
          <t>HIGH_RISK</t>
        </is>
      </c>
      <c r="W188" s="29" t="inlineStr">
        <is>
          <t>고위험</t>
        </is>
      </c>
      <c r="X188" s="29" t="inlineStr">
        <is>
          <t>HIGH_RISK</t>
        </is>
      </c>
      <c r="Y188" s="29" t="inlineStr">
        <is>
          <t>0.9808254047374049</t>
        </is>
      </c>
      <c r="Z188" s="29" t="inlineStr">
        <is>
          <t>HIGH</t>
        </is>
      </c>
      <c r="AA188" s="29" t="inlineStr">
        <is>
          <t>HIGH</t>
        </is>
      </c>
      <c r="AB188" s="29" t="inlineStr">
        <is>
          <t>0.04621877213272216</t>
        </is>
      </c>
      <c r="AC188" s="29" t="inlineStr">
        <is>
          <t>False</t>
        </is>
      </c>
      <c r="AD188" s="29" t="inlineStr">
        <is>
          <t>False</t>
        </is>
      </c>
      <c r="AE188" s="29" t="inlineStr">
        <is>
          <t>valuation_credit_ml_overlay_candidate.csv</t>
        </is>
      </c>
      <c r="AF188" s="29" t="inlineStr">
        <is>
          <t>208개 반도체 reference universe. Valuation Agent가 자체 intake 폴더로 복제해 Peer/ML/대시보드 비교에 사용.</t>
        </is>
      </c>
    </row>
    <row r="189" ht="24" customHeight="1">
      <c r="A189" s="24" t="inlineStr">
        <is>
          <t>101</t>
        </is>
      </c>
      <c r="B189" s="24" t="inlineStr">
        <is>
          <t>해당 없음</t>
        </is>
      </c>
      <c r="C189" s="24" t="inlineStr">
        <is>
          <t>오로스테크놀로지</t>
        </is>
      </c>
      <c r="D189" s="24" t="inlineStr">
        <is>
          <t>322310</t>
        </is>
      </c>
      <c r="E189" s="24" t="inlineStr">
        <is>
          <t>KOSDAQ</t>
        </is>
      </c>
      <c r="F189" s="24" t="inlineStr">
        <is>
          <t>장비</t>
        </is>
      </c>
      <c r="G189" s="24" t="inlineStr">
        <is>
          <t>장비</t>
        </is>
      </c>
      <c r="H189" s="24" t="inlineStr">
        <is>
          <t>False</t>
        </is>
      </c>
      <c r="I189" s="24" t="inlineStr">
        <is>
          <t>True</t>
        </is>
      </c>
      <c r="J189" s="24" t="inlineStr">
        <is>
          <t>OK</t>
        </is>
      </c>
      <c r="K189" s="24" t="inlineStr">
        <is>
          <t>데이터 사용 가능</t>
        </is>
      </c>
      <c r="L189" s="24" t="inlineStr">
        <is>
          <t>LOW</t>
        </is>
      </c>
      <c r="M189" s="24" t="inlineStr">
        <is>
          <t>LOW</t>
        </is>
      </c>
      <c r="N189" s="24" t="inlineStr">
        <is>
          <t>0.2969333333333333</t>
        </is>
      </c>
      <c r="O189" s="24" t="inlineStr">
        <is>
          <t>EXPENSIVE</t>
        </is>
      </c>
      <c r="P189" s="24" t="inlineStr">
        <is>
          <t>EXPENSIVE</t>
        </is>
      </c>
      <c r="Q189" s="24" t="inlineStr">
        <is>
          <t>EXPENSIVE</t>
        </is>
      </c>
      <c r="R189" s="24" t="inlineStr">
        <is>
          <t>0.9263479879516093</t>
        </is>
      </c>
      <c r="S189" s="24" t="inlineStr">
        <is>
          <t>HIGH</t>
        </is>
      </c>
      <c r="T189" s="24" t="inlineStr">
        <is>
          <t>HIGH</t>
        </is>
      </c>
      <c r="U189" s="24" t="inlineStr">
        <is>
          <t>0.2857142857142857</t>
        </is>
      </c>
      <c r="V189" s="24" t="inlineStr">
        <is>
          <t>MEDIUM_RISK</t>
        </is>
      </c>
      <c r="W189" s="24" t="inlineStr">
        <is>
          <t>중위험</t>
        </is>
      </c>
      <c r="X189" s="24" t="inlineStr">
        <is>
          <t>HIGH_RISK</t>
        </is>
      </c>
      <c r="Y189" s="24" t="inlineStr">
        <is>
          <t>0.5823799649469713</t>
        </is>
      </c>
      <c r="Z189" s="24" t="inlineStr">
        <is>
          <t>MEDIUM</t>
        </is>
      </c>
      <c r="AA189" s="24" t="inlineStr">
        <is>
          <t>MEDIUM</t>
        </is>
      </c>
      <c r="AB189" s="24" t="inlineStr">
        <is>
          <t>0.025687830037607388</t>
        </is>
      </c>
      <c r="AC189" s="24" t="inlineStr">
        <is>
          <t>False</t>
        </is>
      </c>
      <c r="AD189" s="24" t="inlineStr">
        <is>
          <t>False</t>
        </is>
      </c>
      <c r="AE189" s="24" t="inlineStr">
        <is>
          <t>valuation_credit_ml_overlay_candidate.csv</t>
        </is>
      </c>
      <c r="AF189" s="24" t="inlineStr">
        <is>
          <t>208개 반도체 reference universe. Valuation Agent가 자체 intake 폴더로 복제해 Peer/ML/대시보드 비교에 사용.</t>
        </is>
      </c>
    </row>
    <row r="190" ht="24" customHeight="1">
      <c r="A190" s="29" t="inlineStr">
        <is>
          <t>84</t>
        </is>
      </c>
      <c r="B190" s="29" t="inlineStr">
        <is>
          <t>해당 없음</t>
        </is>
      </c>
      <c r="C190" s="29" t="inlineStr">
        <is>
          <t>러셀</t>
        </is>
      </c>
      <c r="D190" s="29" t="inlineStr">
        <is>
          <t>217500</t>
        </is>
      </c>
      <c r="E190" s="29" t="inlineStr">
        <is>
          <t>KOSDAQ</t>
        </is>
      </c>
      <c r="F190" s="29" t="inlineStr">
        <is>
          <t>장비</t>
        </is>
      </c>
      <c r="G190" s="29" t="inlineStr">
        <is>
          <t>장비</t>
        </is>
      </c>
      <c r="H190" s="29" t="inlineStr">
        <is>
          <t>False</t>
        </is>
      </c>
      <c r="I190" s="29" t="inlineStr">
        <is>
          <t>True</t>
        </is>
      </c>
      <c r="J190" s="29" t="inlineStr">
        <is>
          <t>OK</t>
        </is>
      </c>
      <c r="K190" s="29" t="inlineStr">
        <is>
          <t>데이터 사용 가능</t>
        </is>
      </c>
      <c r="L190" s="29" t="inlineStr">
        <is>
          <t>LOW</t>
        </is>
      </c>
      <c r="M190" s="29" t="inlineStr">
        <is>
          <t>LOW</t>
        </is>
      </c>
      <c r="N190" s="29" t="inlineStr">
        <is>
          <t>0.2889333333333334</t>
        </is>
      </c>
      <c r="O190" s="29" t="inlineStr">
        <is>
          <t>EXPENSIVE</t>
        </is>
      </c>
      <c r="P190" s="29" t="inlineStr">
        <is>
          <t>EXPENSIVE</t>
        </is>
      </c>
      <c r="Q190" s="29" t="inlineStr">
        <is>
          <t>EXPENSIVE</t>
        </is>
      </c>
      <c r="R190" s="29" t="inlineStr">
        <is>
          <t>0.873177337125051</t>
        </is>
      </c>
      <c r="S190" s="29" t="inlineStr">
        <is>
          <t>HIGH</t>
        </is>
      </c>
      <c r="T190" s="29" t="inlineStr">
        <is>
          <t>HIGH</t>
        </is>
      </c>
      <c r="U190" s="29" t="inlineStr">
        <is>
          <t>0.5714285714285714</t>
        </is>
      </c>
      <c r="V190" s="29" t="inlineStr">
        <is>
          <t>HIGH_RISK</t>
        </is>
      </c>
      <c r="W190" s="29" t="inlineStr">
        <is>
          <t>고위험</t>
        </is>
      </c>
      <c r="X190" s="29" t="inlineStr">
        <is>
          <t>HIGH_RISK</t>
        </is>
      </c>
      <c r="Y190" s="29" t="inlineStr">
        <is>
          <t>0.9431199578760465</t>
        </is>
      </c>
      <c r="Z190" s="29" t="inlineStr">
        <is>
          <t>HIGH</t>
        </is>
      </c>
      <c r="AA190" s="29" t="inlineStr">
        <is>
          <t>HIGH</t>
        </is>
      </c>
      <c r="AB190" s="29" t="inlineStr">
        <is>
          <t>0.17682420550247213</t>
        </is>
      </c>
      <c r="AC190" s="29" t="inlineStr">
        <is>
          <t>False</t>
        </is>
      </c>
      <c r="AD190" s="29" t="inlineStr">
        <is>
          <t>False</t>
        </is>
      </c>
      <c r="AE190" s="29" t="inlineStr">
        <is>
          <t>valuation_credit_ml_overlay_candidate.csv</t>
        </is>
      </c>
      <c r="AF190" s="29" t="inlineStr">
        <is>
          <t>208개 반도체 reference universe. Valuation Agent가 자체 intake 폴더로 복제해 Peer/ML/대시보드 비교에 사용.</t>
        </is>
      </c>
    </row>
    <row r="191" ht="24" customHeight="1">
      <c r="A191" s="24" t="inlineStr">
        <is>
          <t>86</t>
        </is>
      </c>
      <c r="B191" s="24" t="inlineStr">
        <is>
          <t>해당 없음</t>
        </is>
      </c>
      <c r="C191" s="24" t="inlineStr">
        <is>
          <t>미래컴퍼니</t>
        </is>
      </c>
      <c r="D191" s="24" t="inlineStr">
        <is>
          <t>049950</t>
        </is>
      </c>
      <c r="E191" s="24" t="inlineStr">
        <is>
          <t>KOSDAQ</t>
        </is>
      </c>
      <c r="F191" s="24" t="inlineStr">
        <is>
          <t>장비</t>
        </is>
      </c>
      <c r="G191" s="24" t="inlineStr">
        <is>
          <t>장비</t>
        </is>
      </c>
      <c r="H191" s="24" t="inlineStr">
        <is>
          <t>False</t>
        </is>
      </c>
      <c r="I191" s="24" t="inlineStr">
        <is>
          <t>True</t>
        </is>
      </c>
      <c r="J191" s="24" t="inlineStr">
        <is>
          <t>OK</t>
        </is>
      </c>
      <c r="K191" s="24" t="inlineStr">
        <is>
          <t>데이터 사용 가능</t>
        </is>
      </c>
      <c r="L191" s="24" t="inlineStr">
        <is>
          <t>LOW</t>
        </is>
      </c>
      <c r="M191" s="24" t="inlineStr">
        <is>
          <t>LOW</t>
        </is>
      </c>
      <c r="N191" s="24" t="inlineStr">
        <is>
          <t>0.2874666666666666</t>
        </is>
      </c>
      <c r="O191" s="24" t="inlineStr">
        <is>
          <t>EXPENSIVE</t>
        </is>
      </c>
      <c r="P191" s="24" t="inlineStr">
        <is>
          <t>EXPENSIVE</t>
        </is>
      </c>
      <c r="Q191" s="24" t="inlineStr">
        <is>
          <t>EXPENSIVE</t>
        </is>
      </c>
      <c r="R191" s="24" t="inlineStr">
        <is>
          <t>0.8354805452058427</t>
        </is>
      </c>
      <c r="S191" s="24" t="inlineStr">
        <is>
          <t>HIGH</t>
        </is>
      </c>
      <c r="T191" s="24" t="inlineStr">
        <is>
          <t>HIGH</t>
        </is>
      </c>
      <c r="U191" s="24" t="inlineStr">
        <is>
          <t>0.4285714285714285</t>
        </is>
      </c>
      <c r="V191" s="24" t="inlineStr">
        <is>
          <t>HIGH_RISK</t>
        </is>
      </c>
      <c r="W191" s="24" t="inlineStr">
        <is>
          <t>고위험</t>
        </is>
      </c>
      <c r="X191" s="24" t="inlineStr">
        <is>
          <t>HIGH_RISK</t>
        </is>
      </c>
      <c r="Y191" s="24" t="inlineStr">
        <is>
          <t>0.8989374267322742</t>
        </is>
      </c>
      <c r="Z191" s="24" t="inlineStr">
        <is>
          <t>HIGH</t>
        </is>
      </c>
      <c r="AA191" s="24" t="inlineStr">
        <is>
          <t>HIGH</t>
        </is>
      </c>
      <c r="AB191" s="24" t="inlineStr">
        <is>
          <t>0.23454395430777328</t>
        </is>
      </c>
      <c r="AC191" s="24" t="inlineStr">
        <is>
          <t>True</t>
        </is>
      </c>
      <c r="AD191" s="24" t="inlineStr">
        <is>
          <t>True</t>
        </is>
      </c>
      <c r="AE191" s="24" t="inlineStr">
        <is>
          <t>valuation_credit_ml_overlay_candidate.csv</t>
        </is>
      </c>
      <c r="AF191" s="24" t="inlineStr">
        <is>
          <t>208개 반도체 reference universe. Valuation Agent가 자체 intake 폴더로 복제해 Peer/ML/대시보드 비교에 사용.</t>
        </is>
      </c>
    </row>
    <row r="192" ht="24" customHeight="1">
      <c r="A192" s="29" t="inlineStr">
        <is>
          <t>100</t>
        </is>
      </c>
      <c r="B192" s="29" t="inlineStr">
        <is>
          <t>해당 없음</t>
        </is>
      </c>
      <c r="C192" s="29" t="inlineStr">
        <is>
          <t>예스티</t>
        </is>
      </c>
      <c r="D192" s="29" t="inlineStr">
        <is>
          <t>122640</t>
        </is>
      </c>
      <c r="E192" s="29" t="inlineStr">
        <is>
          <t>KOSDAQ</t>
        </is>
      </c>
      <c r="F192" s="29" t="inlineStr">
        <is>
          <t>장비</t>
        </is>
      </c>
      <c r="G192" s="29" t="inlineStr">
        <is>
          <t>장비</t>
        </is>
      </c>
      <c r="H192" s="29" t="inlineStr">
        <is>
          <t>False</t>
        </is>
      </c>
      <c r="I192" s="29" t="inlineStr">
        <is>
          <t>True</t>
        </is>
      </c>
      <c r="J192" s="29" t="inlineStr">
        <is>
          <t>OK</t>
        </is>
      </c>
      <c r="K192" s="29" t="inlineStr">
        <is>
          <t>데이터 사용 가능</t>
        </is>
      </c>
      <c r="L192" s="29" t="inlineStr">
        <is>
          <t>LOW</t>
        </is>
      </c>
      <c r="M192" s="29" t="inlineStr">
        <is>
          <t>LOW</t>
        </is>
      </c>
      <c r="N192" s="29" t="inlineStr">
        <is>
          <t>0.2778666666666666</t>
        </is>
      </c>
      <c r="O192" s="29" t="inlineStr">
        <is>
          <t>EXPENSIVE</t>
        </is>
      </c>
      <c r="P192" s="29" t="inlineStr">
        <is>
          <t>EXPENSIVE</t>
        </is>
      </c>
      <c r="Q192" s="29" t="inlineStr">
        <is>
          <t>EXPENSIVE</t>
        </is>
      </c>
      <c r="R192" s="29" t="inlineStr">
        <is>
          <t>0.8070752756860592</t>
        </is>
      </c>
      <c r="S192" s="29" t="inlineStr">
        <is>
          <t>HIGH</t>
        </is>
      </c>
      <c r="T192" s="29" t="inlineStr">
        <is>
          <t>HIGH</t>
        </is>
      </c>
      <c r="U192" s="29" t="inlineStr">
        <is>
          <t>0.2142857142857142</t>
        </is>
      </c>
      <c r="V192" s="29" t="inlineStr">
        <is>
          <t>MEDIUM_RISK</t>
        </is>
      </c>
      <c r="W192" s="29" t="inlineStr">
        <is>
          <t>중위험</t>
        </is>
      </c>
      <c r="X192" s="29" t="inlineStr">
        <is>
          <t>MEDIUM_RISK</t>
        </is>
      </c>
      <c r="Y192" s="29" t="inlineStr">
        <is>
          <t>0.6435379731563315</t>
        </is>
      </c>
      <c r="Z192" s="29" t="inlineStr">
        <is>
          <t>MEDIUM</t>
        </is>
      </c>
      <c r="AA192" s="29" t="inlineStr">
        <is>
          <t>MEDIUM</t>
        </is>
      </c>
      <c r="AB192" s="29" t="inlineStr">
        <is>
          <t>0.013991683799831916</t>
        </is>
      </c>
      <c r="AC192" s="29" t="inlineStr">
        <is>
          <t>False</t>
        </is>
      </c>
      <c r="AD192" s="29" t="inlineStr">
        <is>
          <t>False</t>
        </is>
      </c>
      <c r="AE192" s="29" t="inlineStr">
        <is>
          <t>valuation_credit_ml_overlay_candidate.csv</t>
        </is>
      </c>
      <c r="AF192" s="29" t="inlineStr">
        <is>
          <t>208개 반도체 reference universe. Valuation Agent가 자체 intake 폴더로 복제해 Peer/ML/대시보드 비교에 사용.</t>
        </is>
      </c>
    </row>
    <row r="193" ht="24" customHeight="1">
      <c r="A193" s="24" t="inlineStr">
        <is>
          <t>77</t>
        </is>
      </c>
      <c r="B193" s="24" t="inlineStr">
        <is>
          <t>해당 없음</t>
        </is>
      </c>
      <c r="C193" s="24" t="inlineStr">
        <is>
          <t>기가레인</t>
        </is>
      </c>
      <c r="D193" s="24" t="inlineStr">
        <is>
          <t>049080</t>
        </is>
      </c>
      <c r="E193" s="24" t="inlineStr">
        <is>
          <t>KOSDAQ</t>
        </is>
      </c>
      <c r="F193" s="24" t="inlineStr">
        <is>
          <t>장비</t>
        </is>
      </c>
      <c r="G193" s="24" t="inlineStr">
        <is>
          <t>장비</t>
        </is>
      </c>
      <c r="H193" s="24" t="inlineStr">
        <is>
          <t>False</t>
        </is>
      </c>
      <c r="I193" s="24" t="inlineStr">
        <is>
          <t>True</t>
        </is>
      </c>
      <c r="J193" s="24" t="inlineStr">
        <is>
          <t>OK</t>
        </is>
      </c>
      <c r="K193" s="24" t="inlineStr">
        <is>
          <t>데이터 사용 가능</t>
        </is>
      </c>
      <c r="L193" s="24" t="inlineStr">
        <is>
          <t>LOW</t>
        </is>
      </c>
      <c r="M193" s="24" t="inlineStr">
        <is>
          <t>LOW</t>
        </is>
      </c>
      <c r="N193" s="24" t="inlineStr">
        <is>
          <t>0.2353333333333333</t>
        </is>
      </c>
      <c r="O193" s="24" t="inlineStr">
        <is>
          <t>EXPENSIVE</t>
        </is>
      </c>
      <c r="P193" s="24" t="inlineStr">
        <is>
          <t>EXPENSIVE</t>
        </is>
      </c>
      <c r="Q193" s="24" t="inlineStr">
        <is>
          <t>EXPENSIVE</t>
        </is>
      </c>
      <c r="R193" s="24" t="inlineStr">
        <is>
          <t>0.9628494209555842</t>
        </is>
      </c>
      <c r="S193" s="24" t="inlineStr">
        <is>
          <t>HIGH</t>
        </is>
      </c>
      <c r="T193" s="24" t="inlineStr">
        <is>
          <t>HIGH</t>
        </is>
      </c>
      <c r="U193" s="24" t="inlineStr">
        <is>
          <t>0.5</t>
        </is>
      </c>
      <c r="V193" s="24" t="inlineStr">
        <is>
          <t>HIGH_RISK</t>
        </is>
      </c>
      <c r="W193" s="24" t="inlineStr">
        <is>
          <t>고위험</t>
        </is>
      </c>
      <c r="X193" s="24" t="inlineStr">
        <is>
          <t>HIGH_RISK</t>
        </is>
      </c>
      <c r="Y193" s="24" t="inlineStr">
        <is>
          <t>0.9675100472985046</t>
        </is>
      </c>
      <c r="Z193" s="24" t="inlineStr">
        <is>
          <t>HIGH</t>
        </is>
      </c>
      <c r="AA193" s="24" t="inlineStr">
        <is>
          <t>HIGH</t>
        </is>
      </c>
      <c r="AB193" s="24" t="inlineStr">
        <is>
          <t>0.24264303605410006</t>
        </is>
      </c>
      <c r="AC193" s="24" t="inlineStr">
        <is>
          <t>True</t>
        </is>
      </c>
      <c r="AD193" s="24" t="inlineStr">
        <is>
          <t>True</t>
        </is>
      </c>
      <c r="AE193" s="24" t="inlineStr">
        <is>
          <t>valuation_credit_ml_overlay_candidate.csv</t>
        </is>
      </c>
      <c r="AF193" s="24" t="inlineStr">
        <is>
          <t>208개 반도체 reference universe. Valuation Agent가 자체 intake 폴더로 복제해 Peer/ML/대시보드 비교에 사용.</t>
        </is>
      </c>
    </row>
    <row r="194" ht="24" customHeight="1">
      <c r="A194" s="29" t="inlineStr">
        <is>
          <t>79</t>
        </is>
      </c>
      <c r="B194" s="29" t="inlineStr">
        <is>
          <t>해당 없음</t>
        </is>
      </c>
      <c r="C194" s="29" t="inlineStr">
        <is>
          <t>넥스틴</t>
        </is>
      </c>
      <c r="D194" s="29" t="inlineStr">
        <is>
          <t>348210</t>
        </is>
      </c>
      <c r="E194" s="29" t="inlineStr">
        <is>
          <t>KOSDAQ GLOBAL</t>
        </is>
      </c>
      <c r="F194" s="29" t="inlineStr">
        <is>
          <t>장비</t>
        </is>
      </c>
      <c r="G194" s="29" t="inlineStr">
        <is>
          <t>장비</t>
        </is>
      </c>
      <c r="H194" s="29" t="inlineStr">
        <is>
          <t>False</t>
        </is>
      </c>
      <c r="I194" s="29" t="inlineStr">
        <is>
          <t>True</t>
        </is>
      </c>
      <c r="J194" s="29" t="inlineStr">
        <is>
          <t>OK</t>
        </is>
      </c>
      <c r="K194" s="29" t="inlineStr">
        <is>
          <t>데이터 사용 가능</t>
        </is>
      </c>
      <c r="L194" s="29" t="inlineStr">
        <is>
          <t>LOW</t>
        </is>
      </c>
      <c r="M194" s="29" t="inlineStr">
        <is>
          <t>LOW</t>
        </is>
      </c>
      <c r="N194" s="29" t="inlineStr">
        <is>
          <t>0.2353333333333333</t>
        </is>
      </c>
      <c r="O194" s="29" t="inlineStr">
        <is>
          <t>EXPENSIVE</t>
        </is>
      </c>
      <c r="P194" s="29" t="inlineStr">
        <is>
          <t>EXPENSIVE</t>
        </is>
      </c>
      <c r="Q194" s="29" t="inlineStr">
        <is>
          <t>EXPENSIVE</t>
        </is>
      </c>
      <c r="R194" s="29" t="inlineStr">
        <is>
          <t>0.7906546201121369</t>
        </is>
      </c>
      <c r="S194" s="29" t="inlineStr">
        <is>
          <t>HIGH</t>
        </is>
      </c>
      <c r="T194" s="29" t="inlineStr">
        <is>
          <t>HIGH</t>
        </is>
      </c>
      <c r="U194" s="29" t="inlineStr">
        <is>
          <t>0.4285714285714285</t>
        </is>
      </c>
      <c r="V194" s="29" t="inlineStr">
        <is>
          <t>HIGH_RISK</t>
        </is>
      </c>
      <c r="W194" s="29" t="inlineStr">
        <is>
          <t>고위험</t>
        </is>
      </c>
      <c r="X194" s="29" t="inlineStr">
        <is>
          <t>HIGH_RISK</t>
        </is>
      </c>
      <c r="Y194" s="29" t="inlineStr">
        <is>
          <t>0.8216799677089676</t>
        </is>
      </c>
      <c r="Z194" s="29" t="inlineStr">
        <is>
          <t>HIGH</t>
        </is>
      </c>
      <c r="AA194" s="29" t="inlineStr">
        <is>
          <t>HIGH</t>
        </is>
      </c>
      <c r="AB194" s="29" t="inlineStr">
        <is>
          <t>0.0826003513380603</t>
        </is>
      </c>
      <c r="AC194" s="29" t="inlineStr">
        <is>
          <t>False</t>
        </is>
      </c>
      <c r="AD194" s="29" t="inlineStr">
        <is>
          <t>False</t>
        </is>
      </c>
      <c r="AE194" s="29" t="inlineStr">
        <is>
          <t>valuation_credit_ml_overlay_candidate.csv</t>
        </is>
      </c>
      <c r="AF194" s="29" t="inlineStr">
        <is>
          <t>208개 반도체 reference universe. Valuation Agent가 자체 intake 폴더로 복제해 Peer/ML/대시보드 비교에 사용.</t>
        </is>
      </c>
    </row>
    <row r="195" ht="24" customHeight="1">
      <c r="A195" s="24" t="inlineStr">
        <is>
          <t>110</t>
        </is>
      </c>
      <c r="B195" s="24" t="inlineStr">
        <is>
          <t>해당 없음</t>
        </is>
      </c>
      <c r="C195" s="24" t="inlineStr">
        <is>
          <t>주성엔지니어링</t>
        </is>
      </c>
      <c r="D195" s="24" t="inlineStr">
        <is>
          <t>036930</t>
        </is>
      </c>
      <c r="E195" s="24" t="inlineStr">
        <is>
          <t>KOSDAQ GLOBAL</t>
        </is>
      </c>
      <c r="F195" s="24" t="inlineStr">
        <is>
          <t>장비</t>
        </is>
      </c>
      <c r="G195" s="24" t="inlineStr">
        <is>
          <t>장비</t>
        </is>
      </c>
      <c r="H195" s="24" t="inlineStr">
        <is>
          <t>False</t>
        </is>
      </c>
      <c r="I195" s="24" t="inlineStr">
        <is>
          <t>True</t>
        </is>
      </c>
      <c r="J195" s="24" t="inlineStr">
        <is>
          <t>OK</t>
        </is>
      </c>
      <c r="K195" s="24" t="inlineStr">
        <is>
          <t>데이터 사용 가능</t>
        </is>
      </c>
      <c r="L195" s="24" t="inlineStr">
        <is>
          <t>LOW</t>
        </is>
      </c>
      <c r="M195" s="24" t="inlineStr">
        <is>
          <t>LOW</t>
        </is>
      </c>
      <c r="N195" s="24" t="inlineStr">
        <is>
          <t>0.2335999999999999</t>
        </is>
      </c>
      <c r="O195" s="24" t="inlineStr">
        <is>
          <t>EXPENSIVE</t>
        </is>
      </c>
      <c r="P195" s="24" t="inlineStr">
        <is>
          <t>EXPENSIVE</t>
        </is>
      </c>
      <c r="Q195" s="24" t="inlineStr">
        <is>
          <t>EXPENSIVE</t>
        </is>
      </c>
      <c r="R195" s="24" t="inlineStr">
        <is>
          <t>0.7918979957613304</t>
        </is>
      </c>
      <c r="S195" s="24" t="inlineStr">
        <is>
          <t>HIGH</t>
        </is>
      </c>
      <c r="T195" s="24" t="inlineStr">
        <is>
          <t>HIGH</t>
        </is>
      </c>
      <c r="U195" s="24" t="inlineStr">
        <is>
          <t>0.2857142857142857</t>
        </is>
      </c>
      <c r="V195" s="24" t="inlineStr">
        <is>
          <t>MEDIUM_RISK</t>
        </is>
      </c>
      <c r="W195" s="24" t="inlineStr">
        <is>
          <t>중위험</t>
        </is>
      </c>
      <c r="X195" s="24" t="inlineStr">
        <is>
          <t>MEDIUM_RISK</t>
        </is>
      </c>
      <c r="Y195" s="24" t="inlineStr">
        <is>
          <t>0.4347911224964779</t>
        </is>
      </c>
      <c r="Z195" s="24" t="inlineStr">
        <is>
          <t>LOW</t>
        </is>
      </c>
      <c r="AA195" s="24" t="inlineStr">
        <is>
          <t>LOW</t>
        </is>
      </c>
      <c r="AB195" s="24" t="inlineStr">
        <is>
          <t>0.0617535897003664</t>
        </is>
      </c>
      <c r="AC195" s="24" t="inlineStr">
        <is>
          <t>False</t>
        </is>
      </c>
      <c r="AD195" s="24" t="inlineStr">
        <is>
          <t>True</t>
        </is>
      </c>
      <c r="AE195" s="24" t="inlineStr">
        <is>
          <t>valuation_credit_ml_overlay_candidate.csv</t>
        </is>
      </c>
      <c r="AF195" s="24" t="inlineStr">
        <is>
          <t>208개 반도체 reference universe. Valuation Agent가 자체 intake 폴더로 복제해 Peer/ML/대시보드 비교에 사용.</t>
        </is>
      </c>
    </row>
    <row r="196" ht="24" customHeight="1">
      <c r="A196" s="29" t="inlineStr">
        <is>
          <t>122</t>
        </is>
      </c>
      <c r="B196" s="29" t="inlineStr">
        <is>
          <t>해당 없음</t>
        </is>
      </c>
      <c r="C196" s="29" t="inlineStr">
        <is>
          <t>필옵틱스</t>
        </is>
      </c>
      <c r="D196" s="29" t="inlineStr">
        <is>
          <t>161580</t>
        </is>
      </c>
      <c r="E196" s="29" t="inlineStr">
        <is>
          <t>KOSDAQ</t>
        </is>
      </c>
      <c r="F196" s="29" t="inlineStr">
        <is>
          <t>장비</t>
        </is>
      </c>
      <c r="G196" s="29" t="inlineStr">
        <is>
          <t>장비</t>
        </is>
      </c>
      <c r="H196" s="29" t="inlineStr">
        <is>
          <t>False</t>
        </is>
      </c>
      <c r="I196" s="29" t="inlineStr">
        <is>
          <t>True</t>
        </is>
      </c>
      <c r="J196" s="29" t="inlineStr">
        <is>
          <t>OK</t>
        </is>
      </c>
      <c r="K196" s="29" t="inlineStr">
        <is>
          <t>데이터 사용 가능</t>
        </is>
      </c>
      <c r="L196" s="29" t="inlineStr">
        <is>
          <t>LOW</t>
        </is>
      </c>
      <c r="M196" s="29" t="inlineStr">
        <is>
          <t>LOW</t>
        </is>
      </c>
      <c r="N196" s="29" t="inlineStr">
        <is>
          <t>0.1741333333333333</t>
        </is>
      </c>
      <c r="O196" s="29" t="inlineStr">
        <is>
          <t>EXPENSIVE</t>
        </is>
      </c>
      <c r="P196" s="29" t="inlineStr">
        <is>
          <t>EXPENSIVE</t>
        </is>
      </c>
      <c r="Q196" s="29" t="inlineStr">
        <is>
          <t>EXPENSIVE</t>
        </is>
      </c>
      <c r="R196" s="29" t="inlineStr">
        <is>
          <t>0.9632435860929522</t>
        </is>
      </c>
      <c r="S196" s="29" t="inlineStr">
        <is>
          <t>HIGH</t>
        </is>
      </c>
      <c r="T196" s="29" t="inlineStr">
        <is>
          <t>HIGH</t>
        </is>
      </c>
      <c r="U196" s="29" t="inlineStr">
        <is>
          <t>0.2857142857142857</t>
        </is>
      </c>
      <c r="V196" s="29" t="inlineStr">
        <is>
          <t>MEDIUM_RISK</t>
        </is>
      </c>
      <c r="W196" s="29" t="inlineStr">
        <is>
          <t>중위험</t>
        </is>
      </c>
      <c r="X196" s="29" t="inlineStr">
        <is>
          <t>MEDIUM_RISK</t>
        </is>
      </c>
      <c r="Y196" s="29" t="inlineStr">
        <is>
          <t>0.6167987381468966</t>
        </is>
      </c>
      <c r="Z196" s="29" t="inlineStr">
        <is>
          <t>MEDIUM</t>
        </is>
      </c>
      <c r="AA196" s="29" t="inlineStr">
        <is>
          <t>MEDIUM</t>
        </is>
      </c>
      <c r="AB196" s="29" t="inlineStr">
        <is>
          <t>0.06203854489426491</t>
        </is>
      </c>
      <c r="AC196" s="29" t="inlineStr">
        <is>
          <t>False</t>
        </is>
      </c>
      <c r="AD196" s="29" t="inlineStr">
        <is>
          <t>False</t>
        </is>
      </c>
      <c r="AE196" s="29" t="inlineStr">
        <is>
          <t>valuation_credit_ml_overlay_candidate.csv</t>
        </is>
      </c>
      <c r="AF196" s="29" t="inlineStr">
        <is>
          <t>208개 반도체 reference universe. Valuation Agent가 자체 intake 폴더로 복제해 Peer/ML/대시보드 비교에 사용.</t>
        </is>
      </c>
    </row>
    <row r="197" ht="24" customHeight="1">
      <c r="A197" s="24" t="inlineStr">
        <is>
          <t>62</t>
        </is>
      </c>
      <c r="B197" s="24" t="inlineStr">
        <is>
          <t>해당 없음</t>
        </is>
      </c>
      <c r="C197" s="24" t="inlineStr">
        <is>
          <t>에스에이엠티</t>
        </is>
      </c>
      <c r="D197" s="24" t="inlineStr">
        <is>
          <t>031330</t>
        </is>
      </c>
      <c r="E197" s="24" t="inlineStr">
        <is>
          <t>KOSDAQ</t>
        </is>
      </c>
      <c r="F197" s="24" t="inlineStr">
        <is>
          <t>팹리스/설계</t>
        </is>
      </c>
      <c r="G197" s="24" t="inlineStr">
        <is>
          <t>팹리스/설계</t>
        </is>
      </c>
      <c r="H197" s="24" t="inlineStr">
        <is>
          <t>False</t>
        </is>
      </c>
      <c r="I197" s="24" t="inlineStr">
        <is>
          <t>True</t>
        </is>
      </c>
      <c r="J197" s="24" t="inlineStr">
        <is>
          <t>OK</t>
        </is>
      </c>
      <c r="K197" s="24" t="inlineStr">
        <is>
          <t>데이터 사용 가능</t>
        </is>
      </c>
      <c r="L197" s="24" t="inlineStr">
        <is>
          <t>LOW</t>
        </is>
      </c>
      <c r="M197" s="24" t="inlineStr">
        <is>
          <t>LOW</t>
        </is>
      </c>
      <c r="N197" s="24" t="inlineStr">
        <is>
          <t>0.7838383838383839</t>
        </is>
      </c>
      <c r="O197" s="24" t="inlineStr">
        <is>
          <t>FAIR</t>
        </is>
      </c>
      <c r="P197" s="24" t="inlineStr">
        <is>
          <t>FAIR</t>
        </is>
      </c>
      <c r="Q197" s="24" t="inlineStr">
        <is>
          <t>FAIR</t>
        </is>
      </c>
      <c r="R197" s="24" t="inlineStr">
        <is>
          <t>0.8575928985222669</t>
        </is>
      </c>
      <c r="S197" s="24" t="inlineStr">
        <is>
          <t>HIGH</t>
        </is>
      </c>
      <c r="T197" s="24" t="inlineStr">
        <is>
          <t>HIGH</t>
        </is>
      </c>
      <c r="U197" s="24" t="inlineStr">
        <is>
          <t>0.5</t>
        </is>
      </c>
      <c r="V197" s="24" t="inlineStr">
        <is>
          <t>HIGH_RISK</t>
        </is>
      </c>
      <c r="W197" s="24" t="inlineStr">
        <is>
          <t>고위험</t>
        </is>
      </c>
      <c r="X197" s="24" t="inlineStr">
        <is>
          <t>HIGH_RISK</t>
        </is>
      </c>
      <c r="Y197" s="24" t="inlineStr">
        <is>
          <t>0.5021487096911619</t>
        </is>
      </c>
      <c r="Z197" s="24" t="inlineStr">
        <is>
          <t>MEDIUM</t>
        </is>
      </c>
      <c r="AA197" s="24" t="inlineStr">
        <is>
          <t>MEDIUM</t>
        </is>
      </c>
      <c r="AB197" s="24" t="inlineStr">
        <is>
          <t>0.11372149345925425</t>
        </is>
      </c>
      <c r="AC197" s="24" t="inlineStr">
        <is>
          <t>False</t>
        </is>
      </c>
      <c r="AD197" s="24" t="inlineStr">
        <is>
          <t>False</t>
        </is>
      </c>
      <c r="AE197" s="24" t="inlineStr">
        <is>
          <t>valuation_credit_ml_overlay_candidate.csv</t>
        </is>
      </c>
      <c r="AF197" s="24" t="inlineStr">
        <is>
          <t>208개 반도체 reference universe. Valuation Agent가 자체 intake 폴더로 복제해 Peer/ML/대시보드 비교에 사용.</t>
        </is>
      </c>
    </row>
    <row r="198" ht="24" customHeight="1">
      <c r="A198" s="29" t="inlineStr">
        <is>
          <t>65</t>
        </is>
      </c>
      <c r="B198" s="29" t="inlineStr">
        <is>
          <t>해당 없음</t>
        </is>
      </c>
      <c r="C198" s="29" t="inlineStr">
        <is>
          <t>유니트론텍</t>
        </is>
      </c>
      <c r="D198" s="29" t="inlineStr">
        <is>
          <t>142210</t>
        </is>
      </c>
      <c r="E198" s="29" t="inlineStr">
        <is>
          <t>KOSDAQ</t>
        </is>
      </c>
      <c r="F198" s="29" t="inlineStr">
        <is>
          <t>팹리스/설계</t>
        </is>
      </c>
      <c r="G198" s="29" t="inlineStr">
        <is>
          <t>팹리스/설계</t>
        </is>
      </c>
      <c r="H198" s="29" t="inlineStr">
        <is>
          <t>False</t>
        </is>
      </c>
      <c r="I198" s="29" t="inlineStr">
        <is>
          <t>True</t>
        </is>
      </c>
      <c r="J198" s="29" t="inlineStr">
        <is>
          <t>OK</t>
        </is>
      </c>
      <c r="K198" s="29" t="inlineStr">
        <is>
          <t>데이터 사용 가능</t>
        </is>
      </c>
      <c r="L198" s="29" t="inlineStr">
        <is>
          <t>LOW</t>
        </is>
      </c>
      <c r="M198" s="29" t="inlineStr">
        <is>
          <t>LOW</t>
        </is>
      </c>
      <c r="N198" s="29" t="inlineStr">
        <is>
          <t>0.7478787878787879</t>
        </is>
      </c>
      <c r="O198" s="29" t="inlineStr">
        <is>
          <t>FAIR</t>
        </is>
      </c>
      <c r="P198" s="29" t="inlineStr">
        <is>
          <t>FAIR</t>
        </is>
      </c>
      <c r="Q198" s="29" t="inlineStr">
        <is>
          <t>FAIR</t>
        </is>
      </c>
      <c r="R198" s="29" t="inlineStr">
        <is>
          <t>0.8593164302034415</t>
        </is>
      </c>
      <c r="S198" s="29" t="inlineStr">
        <is>
          <t>HIGH</t>
        </is>
      </c>
      <c r="T198" s="29" t="inlineStr">
        <is>
          <t>HIGH</t>
        </is>
      </c>
      <c r="U198" s="29" t="inlineStr">
        <is>
          <t>0.3571428571428571</t>
        </is>
      </c>
      <c r="V198" s="29" t="inlineStr">
        <is>
          <t>MEDIUM_RISK</t>
        </is>
      </c>
      <c r="W198" s="29" t="inlineStr">
        <is>
          <t>중위험</t>
        </is>
      </c>
      <c r="X198" s="29" t="inlineStr">
        <is>
          <t>MEDIUM_RISK</t>
        </is>
      </c>
      <c r="Y198" s="29" t="inlineStr">
        <is>
          <t>0.6687746551665015</t>
        </is>
      </c>
      <c r="Z198" s="29" t="inlineStr">
        <is>
          <t>MEDIUM</t>
        </is>
      </c>
      <c r="AA198" s="29" t="inlineStr">
        <is>
          <t>MEDIUM</t>
        </is>
      </c>
      <c r="AB198" s="29" t="inlineStr">
        <is>
          <t>0.05354194050015521</t>
        </is>
      </c>
      <c r="AC198" s="29" t="inlineStr">
        <is>
          <t>False</t>
        </is>
      </c>
      <c r="AD198" s="29" t="inlineStr">
        <is>
          <t>False</t>
        </is>
      </c>
      <c r="AE198" s="29" t="inlineStr">
        <is>
          <t>valuation_credit_ml_overlay_candidate.csv</t>
        </is>
      </c>
      <c r="AF198" s="29" t="inlineStr">
        <is>
          <t>208개 반도체 reference universe. Valuation Agent가 자체 intake 폴더로 복제해 Peer/ML/대시보드 비교에 사용.</t>
        </is>
      </c>
    </row>
    <row r="199" ht="24" customHeight="1">
      <c r="A199" s="24" t="inlineStr">
        <is>
          <t>60</t>
        </is>
      </c>
      <c r="B199" s="24" t="inlineStr">
        <is>
          <t>해당 없음</t>
        </is>
      </c>
      <c r="C199" s="24" t="inlineStr">
        <is>
          <t>앤씨앤</t>
        </is>
      </c>
      <c r="D199" s="24" t="inlineStr">
        <is>
          <t>092600</t>
        </is>
      </c>
      <c r="E199" s="24" t="inlineStr">
        <is>
          <t>KOSDAQ</t>
        </is>
      </c>
      <c r="F199" s="24" t="inlineStr">
        <is>
          <t>팹리스/설계</t>
        </is>
      </c>
      <c r="G199" s="24" t="inlineStr">
        <is>
          <t>팹리스/설계</t>
        </is>
      </c>
      <c r="H199" s="24" t="inlineStr">
        <is>
          <t>False</t>
        </is>
      </c>
      <c r="I199" s="24" t="inlineStr">
        <is>
          <t>True</t>
        </is>
      </c>
      <c r="J199" s="24" t="inlineStr">
        <is>
          <t>OK</t>
        </is>
      </c>
      <c r="K199" s="24" t="inlineStr">
        <is>
          <t>데이터 사용 가능</t>
        </is>
      </c>
      <c r="L199" s="24" t="inlineStr">
        <is>
          <t>LOW</t>
        </is>
      </c>
      <c r="M199" s="24" t="inlineStr">
        <is>
          <t>LOW</t>
        </is>
      </c>
      <c r="N199" s="24" t="inlineStr">
        <is>
          <t>0.7450505050505051</t>
        </is>
      </c>
      <c r="O199" s="24" t="inlineStr">
        <is>
          <t>FAIR</t>
        </is>
      </c>
      <c r="P199" s="24" t="inlineStr">
        <is>
          <t>FAIR</t>
        </is>
      </c>
      <c r="Q199" s="24" t="inlineStr">
        <is>
          <t>FAIR</t>
        </is>
      </c>
      <c r="R199" s="24" t="inlineStr">
        <is>
          <t>0.8450252323777523</t>
        </is>
      </c>
      <c r="S199" s="24" t="inlineStr">
        <is>
          <t>HIGH</t>
        </is>
      </c>
      <c r="T199" s="24" t="inlineStr">
        <is>
          <t>HIGH</t>
        </is>
      </c>
      <c r="U199" s="24" t="inlineStr">
        <is>
          <t>0.5</t>
        </is>
      </c>
      <c r="V199" s="24" t="inlineStr">
        <is>
          <t>HIGH_RISK</t>
        </is>
      </c>
      <c r="W199" s="24" t="inlineStr">
        <is>
          <t>고위험</t>
        </is>
      </c>
      <c r="X199" s="24" t="inlineStr">
        <is>
          <t>HIGH_RISK</t>
        </is>
      </c>
      <c r="Y199" s="24" t="inlineStr">
        <is>
          <t>0.6852720703017778</t>
        </is>
      </c>
      <c r="Z199" s="24" t="inlineStr">
        <is>
          <t>MEDIUM</t>
        </is>
      </c>
      <c r="AA199" s="24" t="inlineStr">
        <is>
          <t>MEDIUM</t>
        </is>
      </c>
      <c r="AB199" s="24" t="inlineStr">
        <is>
          <t>0.05126917274476802</t>
        </is>
      </c>
      <c r="AC199" s="24" t="inlineStr">
        <is>
          <t>False</t>
        </is>
      </c>
      <c r="AD199" s="24" t="inlineStr">
        <is>
          <t>False</t>
        </is>
      </c>
      <c r="AE199" s="24" t="inlineStr">
        <is>
          <t>valuation_credit_ml_overlay_candidate.csv</t>
        </is>
      </c>
      <c r="AF199" s="24" t="inlineStr">
        <is>
          <t>208개 반도체 reference universe. Valuation Agent가 자체 intake 폴더로 복제해 Peer/ML/대시보드 비교에 사용.</t>
        </is>
      </c>
    </row>
    <row r="200" ht="24" customHeight="1">
      <c r="A200" s="29" t="inlineStr">
        <is>
          <t>47</t>
        </is>
      </c>
      <c r="B200" s="29" t="inlineStr">
        <is>
          <t>해당 없음</t>
        </is>
      </c>
      <c r="C200" s="29" t="inlineStr">
        <is>
          <t>마이크로컨텍솔</t>
        </is>
      </c>
      <c r="D200" s="29" t="inlineStr">
        <is>
          <t>098120</t>
        </is>
      </c>
      <c r="E200" s="29" t="inlineStr">
        <is>
          <t>KOSDAQ</t>
        </is>
      </c>
      <c r="F200" s="29" t="inlineStr">
        <is>
          <t>팹리스/설계</t>
        </is>
      </c>
      <c r="G200" s="29" t="inlineStr">
        <is>
          <t>팹리스/설계</t>
        </is>
      </c>
      <c r="H200" s="29" t="inlineStr">
        <is>
          <t>False</t>
        </is>
      </c>
      <c r="I200" s="29" t="inlineStr">
        <is>
          <t>True</t>
        </is>
      </c>
      <c r="J200" s="29" t="inlineStr">
        <is>
          <t>OK</t>
        </is>
      </c>
      <c r="K200" s="29" t="inlineStr">
        <is>
          <t>데이터 사용 가능</t>
        </is>
      </c>
      <c r="L200" s="29" t="inlineStr">
        <is>
          <t>LOW</t>
        </is>
      </c>
      <c r="M200" s="29" t="inlineStr">
        <is>
          <t>LOW</t>
        </is>
      </c>
      <c r="N200" s="29" t="inlineStr">
        <is>
          <t>0.7383838383838384</t>
        </is>
      </c>
      <c r="O200" s="29" t="inlineStr">
        <is>
          <t>ATTRACTIVE</t>
        </is>
      </c>
      <c r="P200" s="29" t="inlineStr">
        <is>
          <t>가치 매력</t>
        </is>
      </c>
      <c r="Q200" s="29" t="inlineStr">
        <is>
          <t>ATTRACTIVE</t>
        </is>
      </c>
      <c r="R200" s="29" t="inlineStr">
        <is>
          <t>0.8262966149459129</t>
        </is>
      </c>
      <c r="S200" s="29" t="inlineStr">
        <is>
          <t>HIGH</t>
        </is>
      </c>
      <c r="T200" s="29" t="inlineStr">
        <is>
          <t>HIGH</t>
        </is>
      </c>
      <c r="U200" s="29" t="inlineStr">
        <is>
          <t>0.1428571428571428</t>
        </is>
      </c>
      <c r="V200" s="29" t="inlineStr">
        <is>
          <t>LOW_RISK</t>
        </is>
      </c>
      <c r="W200" s="29" t="inlineStr">
        <is>
          <t>저위험</t>
        </is>
      </c>
      <c r="X200" s="29" t="inlineStr">
        <is>
          <t>LOW_RISK</t>
        </is>
      </c>
      <c r="Y200" s="29" t="inlineStr">
        <is>
          <t>0.7491981695245683</t>
        </is>
      </c>
      <c r="Z200" s="29" t="inlineStr">
        <is>
          <t>HIGH</t>
        </is>
      </c>
      <c r="AA200" s="29" t="inlineStr">
        <is>
          <t>HIGH</t>
        </is>
      </c>
      <c r="AB200" s="29" t="inlineStr">
        <is>
          <t>0.08427857084894262</t>
        </is>
      </c>
      <c r="AC200" s="29" t="inlineStr">
        <is>
          <t>False</t>
        </is>
      </c>
      <c r="AD200" s="29" t="inlineStr">
        <is>
          <t>False</t>
        </is>
      </c>
      <c r="AE200" s="29" t="inlineStr">
        <is>
          <t>valuation_credit_ml_overlay_candidate.csv</t>
        </is>
      </c>
      <c r="AF200" s="29" t="inlineStr">
        <is>
          <t>208개 반도체 reference universe. Valuation Agent가 자체 intake 폴더로 복제해 Peer/ML/대시보드 비교에 사용.</t>
        </is>
      </c>
    </row>
    <row r="201" ht="24" customHeight="1">
      <c r="A201" s="24" t="inlineStr">
        <is>
          <t>55</t>
        </is>
      </c>
      <c r="B201" s="24" t="inlineStr">
        <is>
          <t>해당 없음</t>
        </is>
      </c>
      <c r="C201" s="24" t="inlineStr">
        <is>
          <t>아이앤씨</t>
        </is>
      </c>
      <c r="D201" s="24" t="inlineStr">
        <is>
          <t>052860</t>
        </is>
      </c>
      <c r="E201" s="24" t="inlineStr">
        <is>
          <t>KOSDAQ</t>
        </is>
      </c>
      <c r="F201" s="24" t="inlineStr">
        <is>
          <t>팹리스/설계</t>
        </is>
      </c>
      <c r="G201" s="24" t="inlineStr">
        <is>
          <t>팹리스/설계</t>
        </is>
      </c>
      <c r="H201" s="24" t="inlineStr">
        <is>
          <t>False</t>
        </is>
      </c>
      <c r="I201" s="24" t="inlineStr">
        <is>
          <t>True</t>
        </is>
      </c>
      <c r="J201" s="24" t="inlineStr">
        <is>
          <t>OK</t>
        </is>
      </c>
      <c r="K201" s="24" t="inlineStr">
        <is>
          <t>데이터 사용 가능</t>
        </is>
      </c>
      <c r="L201" s="24" t="inlineStr">
        <is>
          <t>LOW</t>
        </is>
      </c>
      <c r="M201" s="24" t="inlineStr">
        <is>
          <t>LOW</t>
        </is>
      </c>
      <c r="N201" s="24" t="inlineStr">
        <is>
          <t>0.7325252525252526</t>
        </is>
      </c>
      <c r="O201" s="24" t="inlineStr">
        <is>
          <t>ATTRACTIVE</t>
        </is>
      </c>
      <c r="P201" s="24" t="inlineStr">
        <is>
          <t>가치 매력</t>
        </is>
      </c>
      <c r="Q201" s="24" t="inlineStr">
        <is>
          <t>ATTRACTIVE</t>
        </is>
      </c>
      <c r="R201" s="24" t="inlineStr">
        <is>
          <t>0.9267130449922303</t>
        </is>
      </c>
      <c r="S201" s="24" t="inlineStr">
        <is>
          <t>HIGH</t>
        </is>
      </c>
      <c r="T201" s="24" t="inlineStr">
        <is>
          <t>HIGH</t>
        </is>
      </c>
      <c r="U201" s="24" t="inlineStr">
        <is>
          <t>0.0</t>
        </is>
      </c>
      <c r="V201" s="24" t="inlineStr">
        <is>
          <t>LOW_RISK</t>
        </is>
      </c>
      <c r="W201" s="24" t="inlineStr">
        <is>
          <t>저위험</t>
        </is>
      </c>
      <c r="X201" s="24" t="inlineStr">
        <is>
          <t>LOW_RISK</t>
        </is>
      </c>
      <c r="Y201" s="24" t="inlineStr">
        <is>
          <t>0.8920304728976969</t>
        </is>
      </c>
      <c r="Z201" s="24" t="inlineStr">
        <is>
          <t>HIGH</t>
        </is>
      </c>
      <c r="AA201" s="24" t="inlineStr">
        <is>
          <t>HIGH</t>
        </is>
      </c>
      <c r="AB201" s="24" t="inlineStr">
        <is>
          <t>0.022475117759514655</t>
        </is>
      </c>
      <c r="AC201" s="24" t="inlineStr">
        <is>
          <t>False</t>
        </is>
      </c>
      <c r="AD201" s="24" t="inlineStr">
        <is>
          <t>False</t>
        </is>
      </c>
      <c r="AE201" s="24" t="inlineStr">
        <is>
          <t>valuation_credit_ml_overlay_candidate.csv</t>
        </is>
      </c>
      <c r="AF201" s="24" t="inlineStr">
        <is>
          <t>208개 반도체 reference universe. Valuation Agent가 자체 intake 폴더로 복제해 Peer/ML/대시보드 비교에 사용.</t>
        </is>
      </c>
    </row>
    <row r="202" ht="24" customHeight="1">
      <c r="A202" s="29" t="inlineStr">
        <is>
          <t>48</t>
        </is>
      </c>
      <c r="B202" s="29" t="inlineStr">
        <is>
          <t>해당 없음</t>
        </is>
      </c>
      <c r="C202" s="29" t="inlineStr">
        <is>
          <t>매커스</t>
        </is>
      </c>
      <c r="D202" s="29" t="inlineStr">
        <is>
          <t>093520</t>
        </is>
      </c>
      <c r="E202" s="29" t="inlineStr">
        <is>
          <t>KOSDAQ</t>
        </is>
      </c>
      <c r="F202" s="29" t="inlineStr">
        <is>
          <t>팹리스/설계</t>
        </is>
      </c>
      <c r="G202" s="29" t="inlineStr">
        <is>
          <t>팹리스/설계</t>
        </is>
      </c>
      <c r="H202" s="29" t="inlineStr">
        <is>
          <t>False</t>
        </is>
      </c>
      <c r="I202" s="29" t="inlineStr">
        <is>
          <t>True</t>
        </is>
      </c>
      <c r="J202" s="29" t="inlineStr">
        <is>
          <t>OK</t>
        </is>
      </c>
      <c r="K202" s="29" t="inlineStr">
        <is>
          <t>데이터 사용 가능</t>
        </is>
      </c>
      <c r="L202" s="29" t="inlineStr">
        <is>
          <t>LOW</t>
        </is>
      </c>
      <c r="M202" s="29" t="inlineStr">
        <is>
          <t>LOW</t>
        </is>
      </c>
      <c r="N202" s="29" t="inlineStr">
        <is>
          <t>0.7056565656565656</t>
        </is>
      </c>
      <c r="O202" s="29" t="inlineStr">
        <is>
          <t>ATTRACTIVE</t>
        </is>
      </c>
      <c r="P202" s="29" t="inlineStr">
        <is>
          <t>가치 매력</t>
        </is>
      </c>
      <c r="Q202" s="29" t="inlineStr">
        <is>
          <t>ATTRACTIVE</t>
        </is>
      </c>
      <c r="R202" s="29" t="inlineStr">
        <is>
          <t>0.9375173489226767</t>
        </is>
      </c>
      <c r="S202" s="29" t="inlineStr">
        <is>
          <t>HIGH</t>
        </is>
      </c>
      <c r="T202" s="29" t="inlineStr">
        <is>
          <t>HIGH</t>
        </is>
      </c>
      <c r="U202" s="29" t="inlineStr">
        <is>
          <t>0.0</t>
        </is>
      </c>
      <c r="V202" s="29" t="inlineStr">
        <is>
          <t>LOW_RISK</t>
        </is>
      </c>
      <c r="W202" s="29" t="inlineStr">
        <is>
          <t>저위험</t>
        </is>
      </c>
      <c r="X202" s="29" t="inlineStr">
        <is>
          <t>LOW_RISK</t>
        </is>
      </c>
      <c r="Y202" s="29" t="inlineStr">
        <is>
          <t>0.8297390345025338</t>
        </is>
      </c>
      <c r="Z202" s="29" t="inlineStr">
        <is>
          <t>HIGH</t>
        </is>
      </c>
      <c r="AA202" s="29" t="inlineStr">
        <is>
          <t>HIGH</t>
        </is>
      </c>
      <c r="AB202" s="29" t="inlineStr">
        <is>
          <t>0.08420442573717486</t>
        </is>
      </c>
      <c r="AC202" s="29" t="inlineStr">
        <is>
          <t>False</t>
        </is>
      </c>
      <c r="AD202" s="29" t="inlineStr">
        <is>
          <t>False</t>
        </is>
      </c>
      <c r="AE202" s="29" t="inlineStr">
        <is>
          <t>valuation_credit_ml_overlay_candidate.csv</t>
        </is>
      </c>
      <c r="AF202" s="29" t="inlineStr">
        <is>
          <t>208개 반도체 reference universe. Valuation Agent가 자체 intake 폴더로 복제해 Peer/ML/대시보드 비교에 사용.</t>
        </is>
      </c>
    </row>
    <row r="203" ht="24" customHeight="1">
      <c r="A203" s="24" t="inlineStr">
        <is>
          <t>41</t>
        </is>
      </c>
      <c r="B203" s="24" t="inlineStr">
        <is>
          <t>해당 없음</t>
        </is>
      </c>
      <c r="C203" s="24" t="inlineStr">
        <is>
          <t>LX세미콘</t>
        </is>
      </c>
      <c r="D203" s="24" t="inlineStr">
        <is>
          <t>108320</t>
        </is>
      </c>
      <c r="E203" s="24" t="inlineStr">
        <is>
          <t>KOSPI</t>
        </is>
      </c>
      <c r="F203" s="24" t="inlineStr">
        <is>
          <t>팹리스/설계</t>
        </is>
      </c>
      <c r="G203" s="24" t="inlineStr">
        <is>
          <t>팹리스/설계</t>
        </is>
      </c>
      <c r="H203" s="24" t="inlineStr">
        <is>
          <t>False</t>
        </is>
      </c>
      <c r="I203" s="24" t="inlineStr">
        <is>
          <t>True</t>
        </is>
      </c>
      <c r="J203" s="24" t="inlineStr">
        <is>
          <t>OK</t>
        </is>
      </c>
      <c r="K203" s="24" t="inlineStr">
        <is>
          <t>데이터 사용 가능</t>
        </is>
      </c>
      <c r="L203" s="24" t="inlineStr">
        <is>
          <t>LOW</t>
        </is>
      </c>
      <c r="M203" s="24" t="inlineStr">
        <is>
          <t>LOW</t>
        </is>
      </c>
      <c r="N203" s="24" t="inlineStr">
        <is>
          <t>0.6953535353535354</t>
        </is>
      </c>
      <c r="O203" s="24" t="inlineStr">
        <is>
          <t>ATTRACTIVE</t>
        </is>
      </c>
      <c r="P203" s="24" t="inlineStr">
        <is>
          <t>가치 매력</t>
        </is>
      </c>
      <c r="Q203" s="24" t="inlineStr">
        <is>
          <t>ATTRACTIVE</t>
        </is>
      </c>
      <c r="R203" s="24" t="inlineStr">
        <is>
          <t>0.951012131492064</t>
        </is>
      </c>
      <c r="S203" s="24" t="inlineStr">
        <is>
          <t>HIGH</t>
        </is>
      </c>
      <c r="T203" s="24" t="inlineStr">
        <is>
          <t>HIGH</t>
        </is>
      </c>
      <c r="U203" s="24" t="inlineStr">
        <is>
          <t>0.0</t>
        </is>
      </c>
      <c r="V203" s="24" t="inlineStr">
        <is>
          <t>LOW_RISK</t>
        </is>
      </c>
      <c r="W203" s="24" t="inlineStr">
        <is>
          <t>저위험</t>
        </is>
      </c>
      <c r="X203" s="24" t="inlineStr">
        <is>
          <t>LOW_RISK</t>
        </is>
      </c>
      <c r="Y203" s="24" t="inlineStr">
        <is>
          <t>0.9675260077633142</t>
        </is>
      </c>
      <c r="Z203" s="24" t="inlineStr">
        <is>
          <t>HIGH</t>
        </is>
      </c>
      <c r="AA203" s="24" t="inlineStr">
        <is>
          <t>HIGH</t>
        </is>
      </c>
      <c r="AB203" s="24" t="inlineStr">
        <is>
          <t>0.0526549169074082</t>
        </is>
      </c>
      <c r="AC203" s="24" t="inlineStr">
        <is>
          <t>False</t>
        </is>
      </c>
      <c r="AD203" s="24" t="inlineStr">
        <is>
          <t>False</t>
        </is>
      </c>
      <c r="AE203" s="24" t="inlineStr">
        <is>
          <t>valuation_credit_ml_overlay_candidate.csv</t>
        </is>
      </c>
      <c r="AF203" s="24" t="inlineStr">
        <is>
          <t>208개 반도체 reference universe. Valuation Agent가 자체 intake 폴더로 복제해 Peer/ML/대시보드 비교에 사용.</t>
        </is>
      </c>
    </row>
    <row r="204" ht="24" customHeight="1">
      <c r="A204" s="29" t="inlineStr">
        <is>
          <t>61</t>
        </is>
      </c>
      <c r="B204" s="29" t="inlineStr">
        <is>
          <t>해당 없음</t>
        </is>
      </c>
      <c r="C204" s="29" t="inlineStr">
        <is>
          <t>어보브반도체</t>
        </is>
      </c>
      <c r="D204" s="29" t="inlineStr">
        <is>
          <t>102120</t>
        </is>
      </c>
      <c r="E204" s="29" t="inlineStr">
        <is>
          <t>KOSDAQ</t>
        </is>
      </c>
      <c r="F204" s="29" t="inlineStr">
        <is>
          <t>팹리스/설계</t>
        </is>
      </c>
      <c r="G204" s="29" t="inlineStr">
        <is>
          <t>팹리스/설계</t>
        </is>
      </c>
      <c r="H204" s="29" t="inlineStr">
        <is>
          <t>False</t>
        </is>
      </c>
      <c r="I204" s="29" t="inlineStr">
        <is>
          <t>True</t>
        </is>
      </c>
      <c r="J204" s="29" t="inlineStr">
        <is>
          <t>OK</t>
        </is>
      </c>
      <c r="K204" s="29" t="inlineStr">
        <is>
          <t>데이터 사용 가능</t>
        </is>
      </c>
      <c r="L204" s="29" t="inlineStr">
        <is>
          <t>LOW</t>
        </is>
      </c>
      <c r="M204" s="29" t="inlineStr">
        <is>
          <t>LOW</t>
        </is>
      </c>
      <c r="N204" s="29" t="inlineStr">
        <is>
          <t>0.6933333333333332</t>
        </is>
      </c>
      <c r="O204" s="29" t="inlineStr">
        <is>
          <t>FAIR</t>
        </is>
      </c>
      <c r="P204" s="29" t="inlineStr">
        <is>
          <t>FAIR</t>
        </is>
      </c>
      <c r="Q204" s="29" t="inlineStr">
        <is>
          <t>FAIR</t>
        </is>
      </c>
      <c r="R204" s="29" t="inlineStr">
        <is>
          <t>0.9028406871788379</t>
        </is>
      </c>
      <c r="S204" s="29" t="inlineStr">
        <is>
          <t>HIGH</t>
        </is>
      </c>
      <c r="T204" s="29" t="inlineStr">
        <is>
          <t>HIGH</t>
        </is>
      </c>
      <c r="U204" s="29" t="inlineStr">
        <is>
          <t>0.0714285714285714</t>
        </is>
      </c>
      <c r="V204" s="29" t="inlineStr">
        <is>
          <t>LOW_RISK</t>
        </is>
      </c>
      <c r="W204" s="29" t="inlineStr">
        <is>
          <t>저위험</t>
        </is>
      </c>
      <c r="X204" s="29" t="inlineStr">
        <is>
          <t>LOW_RISK</t>
        </is>
      </c>
      <c r="Y204" s="29" t="inlineStr">
        <is>
          <t>0.7134163381020407</t>
        </is>
      </c>
      <c r="Z204" s="29" t="inlineStr">
        <is>
          <t>HIGH</t>
        </is>
      </c>
      <c r="AA204" s="29" t="inlineStr">
        <is>
          <t>HIGH</t>
        </is>
      </c>
      <c r="AB204" s="29" t="inlineStr">
        <is>
          <t>0.020764615542161708</t>
        </is>
      </c>
      <c r="AC204" s="29" t="inlineStr">
        <is>
          <t>False</t>
        </is>
      </c>
      <c r="AD204" s="29" t="inlineStr">
        <is>
          <t>False</t>
        </is>
      </c>
      <c r="AE204" s="29" t="inlineStr">
        <is>
          <t>valuation_credit_ml_overlay_candidate.csv</t>
        </is>
      </c>
      <c r="AF204" s="29" t="inlineStr">
        <is>
          <t>208개 반도체 reference universe. Valuation Agent가 자체 intake 폴더로 복제해 Peer/ML/대시보드 비교에 사용.</t>
        </is>
      </c>
    </row>
    <row r="205" ht="24" customHeight="1">
      <c r="A205" s="24" t="inlineStr">
        <is>
          <t>58</t>
        </is>
      </c>
      <c r="B205" s="24" t="inlineStr">
        <is>
          <t>해당 없음</t>
        </is>
      </c>
      <c r="C205" s="24" t="inlineStr">
        <is>
          <t>알에프세미</t>
        </is>
      </c>
      <c r="D205" s="24" t="inlineStr">
        <is>
          <t>096610</t>
        </is>
      </c>
      <c r="E205" s="24" t="inlineStr">
        <is>
          <t>KOSDAQ</t>
        </is>
      </c>
      <c r="F205" s="24" t="inlineStr">
        <is>
          <t>팹리스/설계</t>
        </is>
      </c>
      <c r="G205" s="24" t="inlineStr">
        <is>
          <t>팹리스/설계</t>
        </is>
      </c>
      <c r="H205" s="24" t="inlineStr">
        <is>
          <t>False</t>
        </is>
      </c>
      <c r="I205" s="24" t="inlineStr">
        <is>
          <t>True</t>
        </is>
      </c>
      <c r="J205" s="24" t="inlineStr">
        <is>
          <t>OK</t>
        </is>
      </c>
      <c r="K205" s="24" t="inlineStr">
        <is>
          <t>데이터 사용 가능</t>
        </is>
      </c>
      <c r="L205" s="24" t="inlineStr">
        <is>
          <t>LOW</t>
        </is>
      </c>
      <c r="M205" s="24" t="inlineStr">
        <is>
          <t>LOW</t>
        </is>
      </c>
      <c r="N205" s="24" t="inlineStr">
        <is>
          <t>0.603030303030303</t>
        </is>
      </c>
      <c r="O205" s="24" t="inlineStr">
        <is>
          <t>ATTRACTIVE</t>
        </is>
      </c>
      <c r="P205" s="24" t="inlineStr">
        <is>
          <t>가치 매력</t>
        </is>
      </c>
      <c r="Q205" s="24" t="inlineStr">
        <is>
          <t>ATTRACTIVE</t>
        </is>
      </c>
      <c r="R205" s="24" t="inlineStr">
        <is>
          <t>0.8083150256499313</t>
        </is>
      </c>
      <c r="S205" s="24" t="inlineStr">
        <is>
          <t>HIGH</t>
        </is>
      </c>
      <c r="T205" s="24" t="inlineStr">
        <is>
          <t>HIGH</t>
        </is>
      </c>
      <c r="U205" s="24" t="inlineStr">
        <is>
          <t>0.0714285714285714</t>
        </is>
      </c>
      <c r="V205" s="24" t="inlineStr">
        <is>
          <t>LOW_RISK</t>
        </is>
      </c>
      <c r="W205" s="24" t="inlineStr">
        <is>
          <t>저위험</t>
        </is>
      </c>
      <c r="X205" s="24" t="inlineStr">
        <is>
          <t>LOW_RISK</t>
        </is>
      </c>
      <c r="Y205" s="24" t="inlineStr">
        <is>
          <t>0.8655657172147194</t>
        </is>
      </c>
      <c r="Z205" s="24" t="inlineStr">
        <is>
          <t>HIGH</t>
        </is>
      </c>
      <c r="AA205" s="24" t="inlineStr">
        <is>
          <t>HIGH</t>
        </is>
      </c>
      <c r="AB205" s="24" t="inlineStr">
        <is>
          <t>0.30686355706948754</t>
        </is>
      </c>
      <c r="AC205" s="24" t="inlineStr">
        <is>
          <t>True</t>
        </is>
      </c>
      <c r="AD205" s="24" t="inlineStr">
        <is>
          <t>True</t>
        </is>
      </c>
      <c r="AE205" s="24" t="inlineStr">
        <is>
          <t>valuation_credit_ml_overlay_candidate.csv</t>
        </is>
      </c>
      <c r="AF205" s="24" t="inlineStr">
        <is>
          <t>208개 반도체 reference universe. Valuation Agent가 자체 intake 폴더로 복제해 Peer/ML/대시보드 비교에 사용.</t>
        </is>
      </c>
    </row>
    <row r="206" ht="24" customHeight="1">
      <c r="A206" s="29" t="inlineStr">
        <is>
          <t>66</t>
        </is>
      </c>
      <c r="B206" s="29" t="inlineStr">
        <is>
          <t>해당 없음</t>
        </is>
      </c>
      <c r="C206" s="29" t="inlineStr">
        <is>
          <t>제주반도체</t>
        </is>
      </c>
      <c r="D206" s="29" t="inlineStr">
        <is>
          <t>080220</t>
        </is>
      </c>
      <c r="E206" s="29" t="inlineStr">
        <is>
          <t>KOSDAQ</t>
        </is>
      </c>
      <c r="F206" s="29" t="inlineStr">
        <is>
          <t>팹리스/설계</t>
        </is>
      </c>
      <c r="G206" s="29" t="inlineStr">
        <is>
          <t>팹리스/설계</t>
        </is>
      </c>
      <c r="H206" s="29" t="inlineStr">
        <is>
          <t>False</t>
        </is>
      </c>
      <c r="I206" s="29" t="inlineStr">
        <is>
          <t>True</t>
        </is>
      </c>
      <c r="J206" s="29" t="inlineStr">
        <is>
          <t>OK</t>
        </is>
      </c>
      <c r="K206" s="29" t="inlineStr">
        <is>
          <t>데이터 사용 가능</t>
        </is>
      </c>
      <c r="L206" s="29" t="inlineStr">
        <is>
          <t>LOW</t>
        </is>
      </c>
      <c r="M206" s="29" t="inlineStr">
        <is>
          <t>LOW</t>
        </is>
      </c>
      <c r="N206" s="29" t="inlineStr">
        <is>
          <t>0.5917171717171718</t>
        </is>
      </c>
      <c r="O206" s="29" t="inlineStr">
        <is>
          <t>ATTRACTIVE</t>
        </is>
      </c>
      <c r="P206" s="29" t="inlineStr">
        <is>
          <t>가치 매력</t>
        </is>
      </c>
      <c r="Q206" s="29" t="inlineStr">
        <is>
          <t>ATTRACTIVE</t>
        </is>
      </c>
      <c r="R206" s="29" t="inlineStr">
        <is>
          <t>0.6955424557105586</t>
        </is>
      </c>
      <c r="S206" s="29" t="inlineStr">
        <is>
          <t>MEDIUM</t>
        </is>
      </c>
      <c r="T206" s="29" t="inlineStr">
        <is>
          <t>MEDIUM</t>
        </is>
      </c>
      <c r="U206" s="29" t="inlineStr">
        <is>
          <t>0.0</t>
        </is>
      </c>
      <c r="V206" s="29" t="inlineStr">
        <is>
          <t>LOW_RISK</t>
        </is>
      </c>
      <c r="W206" s="29" t="inlineStr">
        <is>
          <t>저위험</t>
        </is>
      </c>
      <c r="X206" s="29" t="inlineStr">
        <is>
          <t>LOW_RISK</t>
        </is>
      </c>
      <c r="Y206" s="29" t="inlineStr">
        <is>
          <t>0.9206625395821784</t>
        </is>
      </c>
      <c r="Z206" s="29" t="inlineStr">
        <is>
          <t>HIGH</t>
        </is>
      </c>
      <c r="AA206" s="29" t="inlineStr">
        <is>
          <t>HIGH</t>
        </is>
      </c>
      <c r="AB206" s="29" t="inlineStr">
        <is>
          <t>0.022944474321634056</t>
        </is>
      </c>
      <c r="AC206" s="29" t="inlineStr">
        <is>
          <t>False</t>
        </is>
      </c>
      <c r="AD206" s="29" t="inlineStr">
        <is>
          <t>False</t>
        </is>
      </c>
      <c r="AE206" s="29" t="inlineStr">
        <is>
          <t>valuation_credit_ml_overlay_candidate.csv</t>
        </is>
      </c>
      <c r="AF206" s="29" t="inlineStr">
        <is>
          <t>208개 반도체 reference universe. Valuation Agent가 자체 intake 폴더로 복제해 Peer/ML/대시보드 비교에 사용.</t>
        </is>
      </c>
    </row>
    <row r="207" ht="24" customHeight="1">
      <c r="A207" s="24" t="inlineStr">
        <is>
          <t>71</t>
        </is>
      </c>
      <c r="B207" s="24" t="inlineStr">
        <is>
          <t>해당 없음</t>
        </is>
      </c>
      <c r="C207" s="24" t="inlineStr">
        <is>
          <t>티에스이</t>
        </is>
      </c>
      <c r="D207" s="24" t="inlineStr">
        <is>
          <t>131290</t>
        </is>
      </c>
      <c r="E207" s="24" t="inlineStr">
        <is>
          <t>KOSDAQ</t>
        </is>
      </c>
      <c r="F207" s="24" t="inlineStr">
        <is>
          <t>팹리스/설계</t>
        </is>
      </c>
      <c r="G207" s="24" t="inlineStr">
        <is>
          <t>팹리스/설계</t>
        </is>
      </c>
      <c r="H207" s="24" t="inlineStr">
        <is>
          <t>False</t>
        </is>
      </c>
      <c r="I207" s="24" t="inlineStr">
        <is>
          <t>True</t>
        </is>
      </c>
      <c r="J207" s="24" t="inlineStr">
        <is>
          <t>OK</t>
        </is>
      </c>
      <c r="K207" s="24" t="inlineStr">
        <is>
          <t>데이터 사용 가능</t>
        </is>
      </c>
      <c r="L207" s="24" t="inlineStr">
        <is>
          <t>LOW</t>
        </is>
      </c>
      <c r="M207" s="24" t="inlineStr">
        <is>
          <t>LOW</t>
        </is>
      </c>
      <c r="N207" s="24" t="inlineStr">
        <is>
          <t>0.5880808080808082</t>
        </is>
      </c>
      <c r="O207" s="24" t="inlineStr">
        <is>
          <t>ATTRACTIVE</t>
        </is>
      </c>
      <c r="P207" s="24" t="inlineStr">
        <is>
          <t>가치 매력</t>
        </is>
      </c>
      <c r="Q207" s="24" t="inlineStr">
        <is>
          <t>ATTRACTIVE</t>
        </is>
      </c>
      <c r="R207" s="24" t="inlineStr">
        <is>
          <t>0.7390287615028212</t>
        </is>
      </c>
      <c r="S207" s="24" t="inlineStr">
        <is>
          <t>HIGH</t>
        </is>
      </c>
      <c r="T207" s="24" t="inlineStr">
        <is>
          <t>HIGH</t>
        </is>
      </c>
      <c r="U207" s="24" t="inlineStr">
        <is>
          <t>0.0</t>
        </is>
      </c>
      <c r="V207" s="24" t="inlineStr">
        <is>
          <t>LOW_RISK</t>
        </is>
      </c>
      <c r="W207" s="24" t="inlineStr">
        <is>
          <t>저위험</t>
        </is>
      </c>
      <c r="X207" s="24" t="inlineStr">
        <is>
          <t>LOW_RISK</t>
        </is>
      </c>
      <c r="Y207" s="24" t="inlineStr">
        <is>
          <t>0.9709748314872512</t>
        </is>
      </c>
      <c r="Z207" s="24" t="inlineStr">
        <is>
          <t>HIGH</t>
        </is>
      </c>
      <c r="AA207" s="24" t="inlineStr">
        <is>
          <t>HIGH</t>
        </is>
      </c>
      <c r="AB207" s="24" t="inlineStr">
        <is>
          <t>0.018067787318761474</t>
        </is>
      </c>
      <c r="AC207" s="24" t="inlineStr">
        <is>
          <t>False</t>
        </is>
      </c>
      <c r="AD207" s="24" t="inlineStr">
        <is>
          <t>False</t>
        </is>
      </c>
      <c r="AE207" s="24" t="inlineStr">
        <is>
          <t>valuation_credit_ml_overlay_candidate.csv</t>
        </is>
      </c>
      <c r="AF207" s="24" t="inlineStr">
        <is>
          <t>208개 반도체 reference universe. Valuation Agent가 자체 intake 폴더로 복제해 Peer/ML/대시보드 비교에 사용.</t>
        </is>
      </c>
    </row>
    <row r="208" ht="24" customHeight="1">
      <c r="A208" s="29" t="inlineStr">
        <is>
          <t>53</t>
        </is>
      </c>
      <c r="B208" s="29" t="inlineStr">
        <is>
          <t>해당 없음</t>
        </is>
      </c>
      <c r="C208" s="29" t="inlineStr">
        <is>
          <t>아나패스</t>
        </is>
      </c>
      <c r="D208" s="29" t="inlineStr">
        <is>
          <t>123860</t>
        </is>
      </c>
      <c r="E208" s="29" t="inlineStr">
        <is>
          <t>KOSDAQ</t>
        </is>
      </c>
      <c r="F208" s="29" t="inlineStr">
        <is>
          <t>팹리스/설계</t>
        </is>
      </c>
      <c r="G208" s="29" t="inlineStr">
        <is>
          <t>팹리스/설계</t>
        </is>
      </c>
      <c r="H208" s="29" t="inlineStr">
        <is>
          <t>False</t>
        </is>
      </c>
      <c r="I208" s="29" t="inlineStr">
        <is>
          <t>True</t>
        </is>
      </c>
      <c r="J208" s="29" t="inlineStr">
        <is>
          <t>OK</t>
        </is>
      </c>
      <c r="K208" s="29" t="inlineStr">
        <is>
          <t>데이터 사용 가능</t>
        </is>
      </c>
      <c r="L208" s="29" t="inlineStr">
        <is>
          <t>LOW</t>
        </is>
      </c>
      <c r="M208" s="29" t="inlineStr">
        <is>
          <t>LOW</t>
        </is>
      </c>
      <c r="N208" s="29" t="inlineStr">
        <is>
          <t>0.5761616161616162</t>
        </is>
      </c>
      <c r="O208" s="29" t="inlineStr">
        <is>
          <t>FAIR</t>
        </is>
      </c>
      <c r="P208" s="29" t="inlineStr">
        <is>
          <t>FAIR</t>
        </is>
      </c>
      <c r="Q208" s="29" t="inlineStr">
        <is>
          <t>ATTRACTIVE</t>
        </is>
      </c>
      <c r="R208" s="29" t="inlineStr">
        <is>
          <t>0.510332377942325</t>
        </is>
      </c>
      <c r="S208" s="29" t="inlineStr">
        <is>
          <t>MEDIUM</t>
        </is>
      </c>
      <c r="T208" s="29" t="inlineStr">
        <is>
          <t>MEDIUM</t>
        </is>
      </c>
      <c r="U208" s="29" t="inlineStr">
        <is>
          <t>0.0</t>
        </is>
      </c>
      <c r="V208" s="29" t="inlineStr">
        <is>
          <t>LOW_RISK</t>
        </is>
      </c>
      <c r="W208" s="29" t="inlineStr">
        <is>
          <t>저위험</t>
        </is>
      </c>
      <c r="X208" s="29" t="inlineStr">
        <is>
          <t>LOW_RISK</t>
        </is>
      </c>
      <c r="Y208" s="29" t="inlineStr">
        <is>
          <t>0.9162612285765747</t>
        </is>
      </c>
      <c r="Z208" s="29" t="inlineStr">
        <is>
          <t>HIGH</t>
        </is>
      </c>
      <c r="AA208" s="29" t="inlineStr">
        <is>
          <t>HIGH</t>
        </is>
      </c>
      <c r="AB208" s="29" t="inlineStr">
        <is>
          <t>0.10416084144507474</t>
        </is>
      </c>
      <c r="AC208" s="29" t="inlineStr">
        <is>
          <t>False</t>
        </is>
      </c>
      <c r="AD208" s="29" t="inlineStr">
        <is>
          <t>False</t>
        </is>
      </c>
      <c r="AE208" s="29" t="inlineStr">
        <is>
          <t>valuation_credit_ml_overlay_candidate.csv</t>
        </is>
      </c>
      <c r="AF208" s="29" t="inlineStr">
        <is>
          <t>208개 반도체 reference universe. Valuation Agent가 자체 intake 폴더로 복제해 Peer/ML/대시보드 비교에 사용.</t>
        </is>
      </c>
    </row>
    <row r="209" ht="24" customHeight="1">
      <c r="A209" s="24" t="inlineStr">
        <is>
          <t>68</t>
        </is>
      </c>
      <c r="B209" s="24" t="inlineStr">
        <is>
          <t>해당 없음</t>
        </is>
      </c>
      <c r="C209" s="24" t="inlineStr">
        <is>
          <t>코아시아</t>
        </is>
      </c>
      <c r="D209" s="24" t="inlineStr">
        <is>
          <t>045970</t>
        </is>
      </c>
      <c r="E209" s="24" t="inlineStr">
        <is>
          <t>KOSDAQ</t>
        </is>
      </c>
      <c r="F209" s="24" t="inlineStr">
        <is>
          <t>팹리스/설계</t>
        </is>
      </c>
      <c r="G209" s="24" t="inlineStr">
        <is>
          <t>팹리스/설계</t>
        </is>
      </c>
      <c r="H209" s="24" t="inlineStr">
        <is>
          <t>False</t>
        </is>
      </c>
      <c r="I209" s="24" t="inlineStr">
        <is>
          <t>True</t>
        </is>
      </c>
      <c r="J209" s="24" t="inlineStr">
        <is>
          <t>OK</t>
        </is>
      </c>
      <c r="K209" s="24" t="inlineStr">
        <is>
          <t>데이터 사용 가능</t>
        </is>
      </c>
      <c r="L209" s="24" t="inlineStr">
        <is>
          <t>LOW</t>
        </is>
      </c>
      <c r="M209" s="24" t="inlineStr">
        <is>
          <t>LOW</t>
        </is>
      </c>
      <c r="N209" s="24" t="inlineStr">
        <is>
          <t>0.5612121212121212</t>
        </is>
      </c>
      <c r="O209" s="24" t="inlineStr">
        <is>
          <t>FAIR</t>
        </is>
      </c>
      <c r="P209" s="24" t="inlineStr">
        <is>
          <t>FAIR</t>
        </is>
      </c>
      <c r="Q209" s="24" t="inlineStr">
        <is>
          <t>FAIR</t>
        </is>
      </c>
      <c r="R209" s="24" t="inlineStr">
        <is>
          <t>0.811266524244761</t>
        </is>
      </c>
      <c r="S209" s="24" t="inlineStr">
        <is>
          <t>HIGH</t>
        </is>
      </c>
      <c r="T209" s="24" t="inlineStr">
        <is>
          <t>HIGH</t>
        </is>
      </c>
      <c r="U209" s="24" t="inlineStr">
        <is>
          <t>0.5</t>
        </is>
      </c>
      <c r="V209" s="24" t="inlineStr">
        <is>
          <t>HIGH_RISK</t>
        </is>
      </c>
      <c r="W209" s="24" t="inlineStr">
        <is>
          <t>고위험</t>
        </is>
      </c>
      <c r="X209" s="24" t="inlineStr">
        <is>
          <t>HIGH_RISK</t>
        </is>
      </c>
      <c r="Y209" s="24" t="inlineStr">
        <is>
          <t>0.7677840717507917</t>
        </is>
      </c>
      <c r="Z209" s="24" t="inlineStr">
        <is>
          <t>HIGH</t>
        </is>
      </c>
      <c r="AA209" s="24" t="inlineStr">
        <is>
          <t>HIGH</t>
        </is>
      </c>
      <c r="AB209" s="24" t="inlineStr">
        <is>
          <t>0.06747219473464933</t>
        </is>
      </c>
      <c r="AC209" s="24" t="inlineStr">
        <is>
          <t>False</t>
        </is>
      </c>
      <c r="AD209" s="24" t="inlineStr">
        <is>
          <t>False</t>
        </is>
      </c>
      <c r="AE209" s="24" t="inlineStr">
        <is>
          <t>valuation_credit_ml_overlay_candidate.csv</t>
        </is>
      </c>
      <c r="AF209" s="24" t="inlineStr">
        <is>
          <t>208개 반도체 reference universe. Valuation Agent가 자체 intake 폴더로 복제해 Peer/ML/대시보드 비교에 사용.</t>
        </is>
      </c>
    </row>
    <row r="210" ht="24" customHeight="1">
      <c r="A210" s="29" t="inlineStr">
        <is>
          <t>73</t>
        </is>
      </c>
      <c r="B210" s="29" t="inlineStr">
        <is>
          <t>해당 없음</t>
        </is>
      </c>
      <c r="C210" s="29" t="inlineStr">
        <is>
          <t>픽셀플러스</t>
        </is>
      </c>
      <c r="D210" s="29" t="inlineStr">
        <is>
          <t>087600</t>
        </is>
      </c>
      <c r="E210" s="29" t="inlineStr">
        <is>
          <t>KOSDAQ</t>
        </is>
      </c>
      <c r="F210" s="29" t="inlineStr">
        <is>
          <t>팹리스/설계</t>
        </is>
      </c>
      <c r="G210" s="29" t="inlineStr">
        <is>
          <t>팹리스/설계</t>
        </is>
      </c>
      <c r="H210" s="29" t="inlineStr">
        <is>
          <t>False</t>
        </is>
      </c>
      <c r="I210" s="29" t="inlineStr">
        <is>
          <t>True</t>
        </is>
      </c>
      <c r="J210" s="29" t="inlineStr">
        <is>
          <t>OK</t>
        </is>
      </c>
      <c r="K210" s="29" t="inlineStr">
        <is>
          <t>데이터 사용 가능</t>
        </is>
      </c>
      <c r="L210" s="29" t="inlineStr">
        <is>
          <t>LOW</t>
        </is>
      </c>
      <c r="M210" s="29" t="inlineStr">
        <is>
          <t>LOW</t>
        </is>
      </c>
      <c r="N210" s="29" t="inlineStr">
        <is>
          <t>0.543030303030303</t>
        </is>
      </c>
      <c r="O210" s="29" t="inlineStr">
        <is>
          <t>FAIR</t>
        </is>
      </c>
      <c r="P210" s="29" t="inlineStr">
        <is>
          <t>FAIR</t>
        </is>
      </c>
      <c r="Q210" s="29" t="inlineStr">
        <is>
          <t>FAIR</t>
        </is>
      </c>
      <c r="R210" s="29" t="inlineStr">
        <is>
          <t>0.8353732583827468</t>
        </is>
      </c>
      <c r="S210" s="29" t="inlineStr">
        <is>
          <t>HIGH</t>
        </is>
      </c>
      <c r="T210" s="29" t="inlineStr">
        <is>
          <t>HIGH</t>
        </is>
      </c>
      <c r="U210" s="29" t="inlineStr">
        <is>
          <t>0.2857142857142857</t>
        </is>
      </c>
      <c r="V210" s="29" t="inlineStr">
        <is>
          <t>MEDIUM_RISK</t>
        </is>
      </c>
      <c r="W210" s="29" t="inlineStr">
        <is>
          <t>중위험</t>
        </is>
      </c>
      <c r="X210" s="29" t="inlineStr">
        <is>
          <t>MEDIUM_RISK</t>
        </is>
      </c>
      <c r="Y210" s="29" t="inlineStr">
        <is>
          <t>0.8277119254156154</t>
        </is>
      </c>
      <c r="Z210" s="29" t="inlineStr">
        <is>
          <t>HIGH</t>
        </is>
      </c>
      <c r="AA210" s="29" t="inlineStr">
        <is>
          <t>HIGH</t>
        </is>
      </c>
      <c r="AB210" s="29" t="inlineStr">
        <is>
          <t>0.08861749399056779</t>
        </is>
      </c>
      <c r="AC210" s="29" t="inlineStr">
        <is>
          <t>False</t>
        </is>
      </c>
      <c r="AD210" s="29" t="inlineStr">
        <is>
          <t>False</t>
        </is>
      </c>
      <c r="AE210" s="29" t="inlineStr">
        <is>
          <t>valuation_credit_ml_overlay_candidate.csv</t>
        </is>
      </c>
      <c r="AF210" s="29" t="inlineStr">
        <is>
          <t>208개 반도체 reference universe. Valuation Agent가 자체 intake 폴더로 복제해 Peer/ML/대시보드 비교에 사용.</t>
        </is>
      </c>
    </row>
    <row r="211" ht="24" customHeight="1">
      <c r="A211" s="24" t="inlineStr">
        <is>
          <t>67</t>
        </is>
      </c>
      <c r="B211" s="24" t="inlineStr">
        <is>
          <t>해당 없음</t>
        </is>
      </c>
      <c r="C211" s="24" t="inlineStr">
        <is>
          <t>칩스앤미디어</t>
        </is>
      </c>
      <c r="D211" s="24" t="inlineStr">
        <is>
          <t>094360</t>
        </is>
      </c>
      <c r="E211" s="24" t="inlineStr">
        <is>
          <t>KOSDAQ</t>
        </is>
      </c>
      <c r="F211" s="24" t="inlineStr">
        <is>
          <t>팹리스/설계</t>
        </is>
      </c>
      <c r="G211" s="24" t="inlineStr">
        <is>
          <t>팹리스/설계</t>
        </is>
      </c>
      <c r="H211" s="24" t="inlineStr">
        <is>
          <t>False</t>
        </is>
      </c>
      <c r="I211" s="24" t="inlineStr">
        <is>
          <t>True</t>
        </is>
      </c>
      <c r="J211" s="24" t="inlineStr">
        <is>
          <t>OK</t>
        </is>
      </c>
      <c r="K211" s="24" t="inlineStr">
        <is>
          <t>데이터 사용 가능</t>
        </is>
      </c>
      <c r="L211" s="24" t="inlineStr">
        <is>
          <t>LOW</t>
        </is>
      </c>
      <c r="M211" s="24" t="inlineStr">
        <is>
          <t>LOW</t>
        </is>
      </c>
      <c r="N211" s="24" t="inlineStr">
        <is>
          <t>0.5424242424242424</t>
        </is>
      </c>
      <c r="O211" s="24" t="inlineStr">
        <is>
          <t>FAIR</t>
        </is>
      </c>
      <c r="P211" s="24" t="inlineStr">
        <is>
          <t>FAIR</t>
        </is>
      </c>
      <c r="Q211" s="24" t="inlineStr">
        <is>
          <t>FAIR</t>
        </is>
      </c>
      <c r="R211" s="24" t="inlineStr">
        <is>
          <t>0.44740744488593415</t>
        </is>
      </c>
      <c r="S211" s="24" t="inlineStr">
        <is>
          <t>LOW</t>
        </is>
      </c>
      <c r="T211" s="24" t="inlineStr">
        <is>
          <t>LOW</t>
        </is>
      </c>
      <c r="U211" s="24" t="inlineStr">
        <is>
          <t>0.0</t>
        </is>
      </c>
      <c r="V211" s="24" t="inlineStr">
        <is>
          <t>LOW_RISK</t>
        </is>
      </c>
      <c r="W211" s="24" t="inlineStr">
        <is>
          <t>저위험</t>
        </is>
      </c>
      <c r="X211" s="24" t="inlineStr">
        <is>
          <t>LOW_RISK</t>
        </is>
      </c>
      <c r="Y211" s="24" t="inlineStr">
        <is>
          <t>0.9394752479511282</t>
        </is>
      </c>
      <c r="Z211" s="24" t="inlineStr">
        <is>
          <t>HIGH</t>
        </is>
      </c>
      <c r="AA211" s="24" t="inlineStr">
        <is>
          <t>HIGH</t>
        </is>
      </c>
      <c r="AB211" s="24" t="inlineStr">
        <is>
          <t>0.1165162896524789</t>
        </is>
      </c>
      <c r="AC211" s="24" t="inlineStr">
        <is>
          <t>False</t>
        </is>
      </c>
      <c r="AD211" s="24" t="inlineStr">
        <is>
          <t>True</t>
        </is>
      </c>
      <c r="AE211" s="24" t="inlineStr">
        <is>
          <t>valuation_credit_ml_overlay_candidate.csv</t>
        </is>
      </c>
      <c r="AF211" s="24" t="inlineStr">
        <is>
          <t>208개 반도체 reference universe. Valuation Agent가 자체 intake 폴더로 복제해 Peer/ML/대시보드 비교에 사용.</t>
        </is>
      </c>
    </row>
    <row r="212" ht="24" customHeight="1">
      <c r="A212" s="29" t="inlineStr">
        <is>
          <t>57</t>
        </is>
      </c>
      <c r="B212" s="29" t="inlineStr">
        <is>
          <t>해당 없음</t>
        </is>
      </c>
      <c r="C212" s="29" t="inlineStr">
        <is>
          <t>아이케이세미콘</t>
        </is>
      </c>
      <c r="D212" s="29" t="inlineStr">
        <is>
          <t>149010</t>
        </is>
      </c>
      <c r="E212" s="29" t="inlineStr">
        <is>
          <t>KONEX</t>
        </is>
      </c>
      <c r="F212" s="29" t="inlineStr">
        <is>
          <t>팹리스/설계</t>
        </is>
      </c>
      <c r="G212" s="29" t="inlineStr">
        <is>
          <t>팹리스/설계</t>
        </is>
      </c>
      <c r="H212" s="29" t="inlineStr">
        <is>
          <t>False</t>
        </is>
      </c>
      <c r="I212" s="29" t="inlineStr">
        <is>
          <t>True</t>
        </is>
      </c>
      <c r="J212" s="29" t="inlineStr">
        <is>
          <t>NO_DART_FINANCIAL_DATA</t>
        </is>
      </c>
      <c r="K212" s="29" t="inlineStr">
        <is>
          <t>데이터 사용 가능</t>
        </is>
      </c>
      <c r="L212" s="29" t="inlineStr">
        <is>
          <t>HIGH</t>
        </is>
      </c>
      <c r="M212" s="29" t="inlineStr">
        <is>
          <t>HIGH</t>
        </is>
      </c>
      <c r="N212" s="29" t="inlineStr">
        <is>
          <t>0.497979797979798</t>
        </is>
      </c>
      <c r="O212" s="29" t="inlineStr">
        <is>
          <t>FAIR</t>
        </is>
      </c>
      <c r="P212" s="29" t="inlineStr">
        <is>
          <t>FAIR</t>
        </is>
      </c>
      <c r="Q212" s="29" t="inlineStr">
        <is>
          <t>FAIR</t>
        </is>
      </c>
      <c r="R212" s="29" t="inlineStr">
        <is>
          <t>0.9626560040296214</t>
        </is>
      </c>
      <c r="S212" s="29" t="inlineStr">
        <is>
          <t>HIGH</t>
        </is>
      </c>
      <c r="T212" s="29" t="inlineStr">
        <is>
          <t>HIGH</t>
        </is>
      </c>
      <c r="U212" s="29" t="inlineStr">
        <is>
          <t>0.6428571428571429</t>
        </is>
      </c>
      <c r="V212" s="29" t="inlineStr">
        <is>
          <t>HIGH_RISK</t>
        </is>
      </c>
      <c r="W212" s="29" t="inlineStr">
        <is>
          <t>고위험</t>
        </is>
      </c>
      <c r="X212" s="29" t="inlineStr">
        <is>
          <t>HIGH_RISK</t>
        </is>
      </c>
      <c r="Y212" s="29" t="inlineStr">
        <is>
          <t>0.7070645883552188</t>
        </is>
      </c>
      <c r="Z212" s="29" t="inlineStr">
        <is>
          <t>HIGH</t>
        </is>
      </c>
      <c r="AA212" s="29" t="inlineStr">
        <is>
          <t>HIGH</t>
        </is>
      </c>
      <c r="AB212" s="29" t="inlineStr">
        <is>
          <t>0.07589516599498297</t>
        </is>
      </c>
      <c r="AC212" s="29" t="inlineStr">
        <is>
          <t>False</t>
        </is>
      </c>
      <c r="AD212" s="29" t="inlineStr">
        <is>
          <t>True</t>
        </is>
      </c>
      <c r="AE212" s="29" t="inlineStr">
        <is>
          <t>valuation_credit_ml_overlay_candidate.csv</t>
        </is>
      </c>
      <c r="AF212" s="29" t="inlineStr">
        <is>
          <t>208개 반도체 reference universe. Valuation Agent가 자체 intake 폴더로 복제해 Peer/ML/대시보드 비교에 사용.</t>
        </is>
      </c>
    </row>
    <row r="213" ht="24" customHeight="1">
      <c r="A213" s="24" t="inlineStr">
        <is>
          <t>70</t>
        </is>
      </c>
      <c r="B213" s="24" t="inlineStr">
        <is>
          <t>해당 없음</t>
        </is>
      </c>
      <c r="C213" s="24" t="inlineStr">
        <is>
          <t>텔레칩스</t>
        </is>
      </c>
      <c r="D213" s="24" t="inlineStr">
        <is>
          <t>054450</t>
        </is>
      </c>
      <c r="E213" s="24" t="inlineStr">
        <is>
          <t>KOSDAQ</t>
        </is>
      </c>
      <c r="F213" s="24" t="inlineStr">
        <is>
          <t>팹리스/설계</t>
        </is>
      </c>
      <c r="G213" s="24" t="inlineStr">
        <is>
          <t>팹리스/설계</t>
        </is>
      </c>
      <c r="H213" s="24" t="inlineStr">
        <is>
          <t>False</t>
        </is>
      </c>
      <c r="I213" s="24" t="inlineStr">
        <is>
          <t>True</t>
        </is>
      </c>
      <c r="J213" s="24" t="inlineStr">
        <is>
          <t>OK</t>
        </is>
      </c>
      <c r="K213" s="24" t="inlineStr">
        <is>
          <t>데이터 사용 가능</t>
        </is>
      </c>
      <c r="L213" s="24" t="inlineStr">
        <is>
          <t>LOW</t>
        </is>
      </c>
      <c r="M213" s="24" t="inlineStr">
        <is>
          <t>LOW</t>
        </is>
      </c>
      <c r="N213" s="24" t="inlineStr">
        <is>
          <t>0.4943434343434343</t>
        </is>
      </c>
      <c r="O213" s="24" t="inlineStr">
        <is>
          <t>FAIR</t>
        </is>
      </c>
      <c r="P213" s="24" t="inlineStr">
        <is>
          <t>FAIR</t>
        </is>
      </c>
      <c r="Q213" s="24" t="inlineStr">
        <is>
          <t>EXPENSIVE</t>
        </is>
      </c>
      <c r="R213" s="24" t="inlineStr">
        <is>
          <t>0.5716537225721987</t>
        </is>
      </c>
      <c r="S213" s="24" t="inlineStr">
        <is>
          <t>MEDIUM</t>
        </is>
      </c>
      <c r="T213" s="24" t="inlineStr">
        <is>
          <t>MEDIUM</t>
        </is>
      </c>
      <c r="U213" s="24" t="inlineStr">
        <is>
          <t>0.7142857142857143</t>
        </is>
      </c>
      <c r="V213" s="24" t="inlineStr">
        <is>
          <t>HIGH_RISK</t>
        </is>
      </c>
      <c r="W213" s="24" t="inlineStr">
        <is>
          <t>고위험</t>
        </is>
      </c>
      <c r="X213" s="24" t="inlineStr">
        <is>
          <t>HIGH_RISK</t>
        </is>
      </c>
      <c r="Y213" s="24" t="inlineStr">
        <is>
          <t>0.9759550340612091</t>
        </is>
      </c>
      <c r="Z213" s="24" t="inlineStr">
        <is>
          <t>HIGH</t>
        </is>
      </c>
      <c r="AA213" s="24" t="inlineStr">
        <is>
          <t>HIGH</t>
        </is>
      </c>
      <c r="AB213" s="24" t="inlineStr">
        <is>
          <t>0.07328745198510121</t>
        </is>
      </c>
      <c r="AC213" s="24" t="inlineStr">
        <is>
          <t>False</t>
        </is>
      </c>
      <c r="AD213" s="24" t="inlineStr">
        <is>
          <t>False</t>
        </is>
      </c>
      <c r="AE213" s="24" t="inlineStr">
        <is>
          <t>valuation_credit_ml_overlay_candidate.csv</t>
        </is>
      </c>
      <c r="AF213" s="24" t="inlineStr">
        <is>
          <t>208개 반도체 reference universe. Valuation Agent가 자체 intake 폴더로 복제해 Peer/ML/대시보드 비교에 사용.</t>
        </is>
      </c>
    </row>
    <row r="214" ht="24" customHeight="1">
      <c r="A214" s="29" t="inlineStr">
        <is>
          <t>59</t>
        </is>
      </c>
      <c r="B214" s="29" t="inlineStr">
        <is>
          <t>해당 없음</t>
        </is>
      </c>
      <c r="C214" s="29" t="inlineStr">
        <is>
          <t>알파칩스</t>
        </is>
      </c>
      <c r="D214" s="29" t="inlineStr">
        <is>
          <t>117670</t>
        </is>
      </c>
      <c r="E214" s="29" t="inlineStr">
        <is>
          <t>KOSDAQ</t>
        </is>
      </c>
      <c r="F214" s="29" t="inlineStr">
        <is>
          <t>팹리스/설계</t>
        </is>
      </c>
      <c r="G214" s="29" t="inlineStr">
        <is>
          <t>팹리스/설계</t>
        </is>
      </c>
      <c r="H214" s="29" t="inlineStr">
        <is>
          <t>False</t>
        </is>
      </c>
      <c r="I214" s="29" t="inlineStr">
        <is>
          <t>True</t>
        </is>
      </c>
      <c r="J214" s="29" t="inlineStr">
        <is>
          <t>OK</t>
        </is>
      </c>
      <c r="K214" s="29" t="inlineStr">
        <is>
          <t>데이터 사용 가능</t>
        </is>
      </c>
      <c r="L214" s="29" t="inlineStr">
        <is>
          <t>LOW</t>
        </is>
      </c>
      <c r="M214" s="29" t="inlineStr">
        <is>
          <t>LOW</t>
        </is>
      </c>
      <c r="N214" s="29" t="inlineStr">
        <is>
          <t>0.4826262626262627</t>
        </is>
      </c>
      <c r="O214" s="29" t="inlineStr">
        <is>
          <t>FAIR</t>
        </is>
      </c>
      <c r="P214" s="29" t="inlineStr">
        <is>
          <t>FAIR</t>
        </is>
      </c>
      <c r="Q214" s="29" t="inlineStr">
        <is>
          <t>FAIR</t>
        </is>
      </c>
      <c r="R214" s="29" t="inlineStr">
        <is>
          <t>0.7398835550872951</t>
        </is>
      </c>
      <c r="S214" s="29" t="inlineStr">
        <is>
          <t>HIGH</t>
        </is>
      </c>
      <c r="T214" s="29" t="inlineStr">
        <is>
          <t>HIGH</t>
        </is>
      </c>
      <c r="U214" s="29" t="inlineStr">
        <is>
          <t>0.2857142857142857</t>
        </is>
      </c>
      <c r="V214" s="29" t="inlineStr">
        <is>
          <t>MEDIUM_RISK</t>
        </is>
      </c>
      <c r="W214" s="29" t="inlineStr">
        <is>
          <t>중위험</t>
        </is>
      </c>
      <c r="X214" s="29" t="inlineStr">
        <is>
          <t>MEDIUM_RISK</t>
        </is>
      </c>
      <c r="Y214" s="29" t="inlineStr">
        <is>
          <t>0.8321400367761521</t>
        </is>
      </c>
      <c r="Z214" s="29" t="inlineStr">
        <is>
          <t>HIGH</t>
        </is>
      </c>
      <c r="AA214" s="29" t="inlineStr">
        <is>
          <t>HIGH</t>
        </is>
      </c>
      <c r="AB214" s="29" t="inlineStr">
        <is>
          <t>0.06605777558134833</t>
        </is>
      </c>
      <c r="AC214" s="29" t="inlineStr">
        <is>
          <t>False</t>
        </is>
      </c>
      <c r="AD214" s="29" t="inlineStr">
        <is>
          <t>False</t>
        </is>
      </c>
      <c r="AE214" s="29" t="inlineStr">
        <is>
          <t>valuation_credit_ml_overlay_candidate.csv</t>
        </is>
      </c>
      <c r="AF214" s="29" t="inlineStr">
        <is>
          <t>208개 반도체 reference universe. Valuation Agent가 자체 intake 폴더로 복제해 Peer/ML/대시보드 비교에 사용.</t>
        </is>
      </c>
    </row>
    <row r="215" ht="24" customHeight="1">
      <c r="A215" s="24" t="inlineStr">
        <is>
          <t>46</t>
        </is>
      </c>
      <c r="B215" s="24" t="inlineStr">
        <is>
          <t>해당 없음</t>
        </is>
      </c>
      <c r="C215" s="24" t="inlineStr">
        <is>
          <t>라온로보틱스</t>
        </is>
      </c>
      <c r="D215" s="24" t="inlineStr">
        <is>
          <t>232680</t>
        </is>
      </c>
      <c r="E215" s="24" t="inlineStr">
        <is>
          <t>KOSDAQ</t>
        </is>
      </c>
      <c r="F215" s="24" t="inlineStr">
        <is>
          <t>팹리스/설계</t>
        </is>
      </c>
      <c r="G215" s="24" t="inlineStr">
        <is>
          <t>팹리스/설계</t>
        </is>
      </c>
      <c r="H215" s="24" t="inlineStr">
        <is>
          <t>False</t>
        </is>
      </c>
      <c r="I215" s="24" t="inlineStr">
        <is>
          <t>True</t>
        </is>
      </c>
      <c r="J215" s="24" t="inlineStr">
        <is>
          <t>OK</t>
        </is>
      </c>
      <c r="K215" s="24" t="inlineStr">
        <is>
          <t>데이터 사용 가능</t>
        </is>
      </c>
      <c r="L215" s="24" t="inlineStr">
        <is>
          <t>LOW</t>
        </is>
      </c>
      <c r="M215" s="24" t="inlineStr">
        <is>
          <t>LOW</t>
        </is>
      </c>
      <c r="N215" s="24" t="inlineStr">
        <is>
          <t>0.4745454545454545</t>
        </is>
      </c>
      <c r="O215" s="24" t="inlineStr">
        <is>
          <t>FAIR</t>
        </is>
      </c>
      <c r="P215" s="24" t="inlineStr">
        <is>
          <t>FAIR</t>
        </is>
      </c>
      <c r="Q215" s="24" t="inlineStr">
        <is>
          <t>FAIR</t>
        </is>
      </c>
      <c r="R215" s="24" t="inlineStr">
        <is>
          <t>0.7863374675167921</t>
        </is>
      </c>
      <c r="S215" s="24" t="inlineStr">
        <is>
          <t>HIGH</t>
        </is>
      </c>
      <c r="T215" s="24" t="inlineStr">
        <is>
          <t>HIGH</t>
        </is>
      </c>
      <c r="U215" s="24" t="inlineStr">
        <is>
          <t>0.1428571428571428</t>
        </is>
      </c>
      <c r="V215" s="24" t="inlineStr">
        <is>
          <t>LOW_RISK</t>
        </is>
      </c>
      <c r="W215" s="24" t="inlineStr">
        <is>
          <t>저위험</t>
        </is>
      </c>
      <c r="X215" s="24" t="inlineStr">
        <is>
          <t>LOW_RISK</t>
        </is>
      </c>
      <c r="Y215" s="24" t="inlineStr">
        <is>
          <t>0.6877521386643212</t>
        </is>
      </c>
      <c r="Z215" s="24" t="inlineStr">
        <is>
          <t>MEDIUM</t>
        </is>
      </c>
      <c r="AA215" s="24" t="inlineStr">
        <is>
          <t>MEDIUM</t>
        </is>
      </c>
      <c r="AB215" s="24" t="inlineStr">
        <is>
          <t>0.026169607074936322</t>
        </is>
      </c>
      <c r="AC215" s="24" t="inlineStr">
        <is>
          <t>False</t>
        </is>
      </c>
      <c r="AD215" s="24" t="inlineStr">
        <is>
          <t>False</t>
        </is>
      </c>
      <c r="AE215" s="24" t="inlineStr">
        <is>
          <t>valuation_credit_ml_overlay_candidate.csv</t>
        </is>
      </c>
      <c r="AF215" s="24" t="inlineStr">
        <is>
          <t>208개 반도체 reference universe. Valuation Agent가 자체 intake 폴더로 복제해 Peer/ML/대시보드 비교에 사용.</t>
        </is>
      </c>
    </row>
    <row r="216" ht="24" customHeight="1">
      <c r="A216" s="29" t="inlineStr">
        <is>
          <t>51</t>
        </is>
      </c>
      <c r="B216" s="29" t="inlineStr">
        <is>
          <t>해당 없음</t>
        </is>
      </c>
      <c r="C216" s="29" t="inlineStr">
        <is>
          <t>싸이닉솔루션</t>
        </is>
      </c>
      <c r="D216" s="29" t="inlineStr">
        <is>
          <t>234030</t>
        </is>
      </c>
      <c r="E216" s="29" t="inlineStr">
        <is>
          <t>KOSDAQ</t>
        </is>
      </c>
      <c r="F216" s="29" t="inlineStr">
        <is>
          <t>팹리스/설계</t>
        </is>
      </c>
      <c r="G216" s="29" t="inlineStr">
        <is>
          <t>팹리스/설계</t>
        </is>
      </c>
      <c r="H216" s="29" t="inlineStr">
        <is>
          <t>False</t>
        </is>
      </c>
      <c r="I216" s="29" t="inlineStr">
        <is>
          <t>True</t>
        </is>
      </c>
      <c r="J216" s="29" t="inlineStr">
        <is>
          <t>OK_LIMITED_HISTORY_OR_GROWTH_NA</t>
        </is>
      </c>
      <c r="K216" s="29" t="inlineStr">
        <is>
          <t>데이터 사용 가능</t>
        </is>
      </c>
      <c r="L216" s="29" t="inlineStr">
        <is>
          <t>LOW</t>
        </is>
      </c>
      <c r="M216" s="29" t="inlineStr">
        <is>
          <t>LOW</t>
        </is>
      </c>
      <c r="N216" s="29" t="inlineStr">
        <is>
          <t>0.4670707070707071</t>
        </is>
      </c>
      <c r="O216" s="29" t="inlineStr">
        <is>
          <t>FAIR</t>
        </is>
      </c>
      <c r="P216" s="29" t="inlineStr">
        <is>
          <t>FAIR</t>
        </is>
      </c>
      <c r="Q216" s="29" t="inlineStr">
        <is>
          <t>FAIR</t>
        </is>
      </c>
      <c r="R216" s="29" t="inlineStr">
        <is>
          <t>0.7962034217650586</t>
        </is>
      </c>
      <c r="S216" s="29" t="inlineStr">
        <is>
          <t>HIGH</t>
        </is>
      </c>
      <c r="T216" s="29" t="inlineStr">
        <is>
          <t>HIGH</t>
        </is>
      </c>
      <c r="U216" s="29" t="inlineStr">
        <is>
          <t>0.3571428571428571</t>
        </is>
      </c>
      <c r="V216" s="29" t="inlineStr">
        <is>
          <t>MEDIUM_RISK</t>
        </is>
      </c>
      <c r="W216" s="29" t="inlineStr">
        <is>
          <t>중위험</t>
        </is>
      </c>
      <c r="X216" s="29" t="inlineStr">
        <is>
          <t>MEDIUM_RISK</t>
        </is>
      </c>
      <c r="Y216" s="29" t="inlineStr">
        <is>
          <t>0.7381251250014311</t>
        </is>
      </c>
      <c r="Z216" s="29" t="inlineStr">
        <is>
          <t>HIGH</t>
        </is>
      </c>
      <c r="AA216" s="29" t="inlineStr">
        <is>
          <t>HIGH</t>
        </is>
      </c>
      <c r="AB216" s="29" t="inlineStr">
        <is>
          <t>0.06902922032160619</t>
        </is>
      </c>
      <c r="AC216" s="29" t="inlineStr">
        <is>
          <t>False</t>
        </is>
      </c>
      <c r="AD216" s="29" t="inlineStr">
        <is>
          <t>True</t>
        </is>
      </c>
      <c r="AE216" s="29" t="inlineStr">
        <is>
          <t>valuation_credit_ml_overlay_candidate.csv</t>
        </is>
      </c>
      <c r="AF216" s="29" t="inlineStr">
        <is>
          <t>208개 반도체 reference universe. Valuation Agent가 자체 intake 폴더로 복제해 Peer/ML/대시보드 비교에 사용.</t>
        </is>
      </c>
    </row>
    <row r="217" ht="24" customHeight="1">
      <c r="A217" s="24" t="inlineStr">
        <is>
          <t>56</t>
        </is>
      </c>
      <c r="B217" s="24" t="inlineStr">
        <is>
          <t>해당 없음</t>
        </is>
      </c>
      <c r="C217" s="24" t="inlineStr">
        <is>
          <t>아이언디바이스</t>
        </is>
      </c>
      <c r="D217" s="24" t="inlineStr">
        <is>
          <t>464500</t>
        </is>
      </c>
      <c r="E217" s="24" t="inlineStr">
        <is>
          <t>KOSDAQ</t>
        </is>
      </c>
      <c r="F217" s="24" t="inlineStr">
        <is>
          <t>팹리스/설계</t>
        </is>
      </c>
      <c r="G217" s="24" t="inlineStr">
        <is>
          <t>팹리스/설계</t>
        </is>
      </c>
      <c r="H217" s="24" t="inlineStr">
        <is>
          <t>False</t>
        </is>
      </c>
      <c r="I217" s="24" t="inlineStr">
        <is>
          <t>True</t>
        </is>
      </c>
      <c r="J217" s="24" t="inlineStr">
        <is>
          <t>OK_LIMITED_HISTORY_OR_GROWTH_NA</t>
        </is>
      </c>
      <c r="K217" s="24" t="inlineStr">
        <is>
          <t>데이터 사용 가능</t>
        </is>
      </c>
      <c r="L217" s="24" t="inlineStr">
        <is>
          <t>LOW</t>
        </is>
      </c>
      <c r="M217" s="24" t="inlineStr">
        <is>
          <t>LOW</t>
        </is>
      </c>
      <c r="N217" s="24" t="inlineStr">
        <is>
          <t>0.4278787878787879</t>
        </is>
      </c>
      <c r="O217" s="24" t="inlineStr">
        <is>
          <t>FAIR</t>
        </is>
      </c>
      <c r="P217" s="24" t="inlineStr">
        <is>
          <t>FAIR</t>
        </is>
      </c>
      <c r="Q217" s="24" t="inlineStr">
        <is>
          <t>EXPENSIVE</t>
        </is>
      </c>
      <c r="R217" s="24" t="inlineStr">
        <is>
          <t>0.767854918982104</t>
        </is>
      </c>
      <c r="S217" s="24" t="inlineStr">
        <is>
          <t>HIGH</t>
        </is>
      </c>
      <c r="T217" s="24" t="inlineStr">
        <is>
          <t>HIGH</t>
        </is>
      </c>
      <c r="U217" s="24" t="inlineStr">
        <is>
          <t>0.5714285714285714</t>
        </is>
      </c>
      <c r="V217" s="24" t="inlineStr">
        <is>
          <t>HIGH_RISK</t>
        </is>
      </c>
      <c r="W217" s="24" t="inlineStr">
        <is>
          <t>고위험</t>
        </is>
      </c>
      <c r="X217" s="24" t="inlineStr">
        <is>
          <t>HIGH_RISK</t>
        </is>
      </c>
      <c r="Y217" s="24" t="inlineStr">
        <is>
          <t>0.9669454138137473</t>
        </is>
      </c>
      <c r="Z217" s="24" t="inlineStr">
        <is>
          <t>HIGH</t>
        </is>
      </c>
      <c r="AA217" s="24" t="inlineStr">
        <is>
          <t>HIGH</t>
        </is>
      </c>
      <c r="AB217" s="24" t="inlineStr">
        <is>
          <t>0.37904191381671964</t>
        </is>
      </c>
      <c r="AC217" s="24" t="inlineStr">
        <is>
          <t>True</t>
        </is>
      </c>
      <c r="AD217" s="24" t="inlineStr">
        <is>
          <t>True</t>
        </is>
      </c>
      <c r="AE217" s="24" t="inlineStr">
        <is>
          <t>valuation_credit_ml_overlay_candidate.csv</t>
        </is>
      </c>
      <c r="AF217" s="24" t="inlineStr">
        <is>
          <t>208개 반도체 reference universe. Valuation Agent가 자체 intake 폴더로 복제해 Peer/ML/대시보드 비교에 사용.</t>
        </is>
      </c>
    </row>
    <row r="218" ht="24" customHeight="1">
      <c r="A218" s="29" t="inlineStr">
        <is>
          <t>52</t>
        </is>
      </c>
      <c r="B218" s="29" t="inlineStr">
        <is>
          <t>해당 없음</t>
        </is>
      </c>
      <c r="C218" s="29" t="inlineStr">
        <is>
          <t>쓰리에이로직스</t>
        </is>
      </c>
      <c r="D218" s="29" t="inlineStr">
        <is>
          <t>177900</t>
        </is>
      </c>
      <c r="E218" s="29" t="inlineStr">
        <is>
          <t>KOSDAQ</t>
        </is>
      </c>
      <c r="F218" s="29" t="inlineStr">
        <is>
          <t>팹리스/설계</t>
        </is>
      </c>
      <c r="G218" s="29" t="inlineStr">
        <is>
          <t>팹리스/설계</t>
        </is>
      </c>
      <c r="H218" s="29" t="inlineStr">
        <is>
          <t>False</t>
        </is>
      </c>
      <c r="I218" s="29" t="inlineStr">
        <is>
          <t>True</t>
        </is>
      </c>
      <c r="J218" s="29" t="inlineStr">
        <is>
          <t>OK_LIMITED_HISTORY_OR_GROWTH_NA</t>
        </is>
      </c>
      <c r="K218" s="29" t="inlineStr">
        <is>
          <t>데이터 사용 가능</t>
        </is>
      </c>
      <c r="L218" s="29" t="inlineStr">
        <is>
          <t>LOW</t>
        </is>
      </c>
      <c r="M218" s="29" t="inlineStr">
        <is>
          <t>LOW</t>
        </is>
      </c>
      <c r="N218" s="29" t="inlineStr">
        <is>
          <t>0.4266666666666666</t>
        </is>
      </c>
      <c r="O218" s="29" t="inlineStr">
        <is>
          <t>FAIR</t>
        </is>
      </c>
      <c r="P218" s="29" t="inlineStr">
        <is>
          <t>FAIR</t>
        </is>
      </c>
      <c r="Q218" s="29" t="inlineStr">
        <is>
          <t>EXPENSIVE</t>
        </is>
      </c>
      <c r="R218" s="29" t="inlineStr">
        <is>
          <t>0.5793703556022938</t>
        </is>
      </c>
      <c r="S218" s="29" t="inlineStr">
        <is>
          <t>MEDIUM</t>
        </is>
      </c>
      <c r="T218" s="29" t="inlineStr">
        <is>
          <t>MEDIUM</t>
        </is>
      </c>
      <c r="U218" s="29" t="inlineStr">
        <is>
          <t>0.5714285714285714</t>
        </is>
      </c>
      <c r="V218" s="29" t="inlineStr">
        <is>
          <t>HIGH_RISK</t>
        </is>
      </c>
      <c r="W218" s="29" t="inlineStr">
        <is>
          <t>고위험</t>
        </is>
      </c>
      <c r="X218" s="29" t="inlineStr">
        <is>
          <t>HIGH_RISK</t>
        </is>
      </c>
      <c r="Y218" s="29" t="inlineStr">
        <is>
          <t>0.947298040301951</t>
        </is>
      </c>
      <c r="Z218" s="29" t="inlineStr">
        <is>
          <t>HIGH</t>
        </is>
      </c>
      <c r="AA218" s="29" t="inlineStr">
        <is>
          <t>HIGH</t>
        </is>
      </c>
      <c r="AB218" s="29" t="inlineStr">
        <is>
          <t>0.09970421258194967</t>
        </is>
      </c>
      <c r="AC218" s="29" t="inlineStr">
        <is>
          <t>False</t>
        </is>
      </c>
      <c r="AD218" s="29" t="inlineStr">
        <is>
          <t>True</t>
        </is>
      </c>
      <c r="AE218" s="29" t="inlineStr">
        <is>
          <t>valuation_credit_ml_overlay_candidate.csv</t>
        </is>
      </c>
      <c r="AF218" s="29" t="inlineStr">
        <is>
          <t>208개 반도체 reference universe. Valuation Agent가 자체 intake 폴더로 복제해 Peer/ML/대시보드 비교에 사용.</t>
        </is>
      </c>
    </row>
    <row r="219" ht="24" customHeight="1">
      <c r="A219" s="24" t="inlineStr">
        <is>
          <t>43</t>
        </is>
      </c>
      <c r="B219" s="24" t="inlineStr">
        <is>
          <t>해당 없음</t>
        </is>
      </c>
      <c r="C219" s="24" t="inlineStr">
        <is>
          <t>넥스트칩</t>
        </is>
      </c>
      <c r="D219" s="24" t="inlineStr">
        <is>
          <t>396270</t>
        </is>
      </c>
      <c r="E219" s="24" t="inlineStr">
        <is>
          <t>KOSDAQ</t>
        </is>
      </c>
      <c r="F219" s="24" t="inlineStr">
        <is>
          <t>팹리스/설계</t>
        </is>
      </c>
      <c r="G219" s="24" t="inlineStr">
        <is>
          <t>팹리스/설계</t>
        </is>
      </c>
      <c r="H219" s="24" t="inlineStr">
        <is>
          <t>False</t>
        </is>
      </c>
      <c r="I219" s="24" t="inlineStr">
        <is>
          <t>True</t>
        </is>
      </c>
      <c r="J219" s="24" t="inlineStr">
        <is>
          <t>OK</t>
        </is>
      </c>
      <c r="K219" s="24" t="inlineStr">
        <is>
          <t>데이터 사용 가능</t>
        </is>
      </c>
      <c r="L219" s="24" t="inlineStr">
        <is>
          <t>LOW</t>
        </is>
      </c>
      <c r="M219" s="24" t="inlineStr">
        <is>
          <t>LOW</t>
        </is>
      </c>
      <c r="N219" s="24" t="inlineStr">
        <is>
          <t>0.3743434343434344</t>
        </is>
      </c>
      <c r="O219" s="24" t="inlineStr">
        <is>
          <t>EXPENSIVE</t>
        </is>
      </c>
      <c r="P219" s="24" t="inlineStr">
        <is>
          <t>EXPENSIVE</t>
        </is>
      </c>
      <c r="Q219" s="24" t="inlineStr">
        <is>
          <t>EXPENSIVE</t>
        </is>
      </c>
      <c r="R219" s="24" t="inlineStr">
        <is>
          <t>0.9380466040149497</t>
        </is>
      </c>
      <c r="S219" s="24" t="inlineStr">
        <is>
          <t>HIGH</t>
        </is>
      </c>
      <c r="T219" s="24" t="inlineStr">
        <is>
          <t>HIGH</t>
        </is>
      </c>
      <c r="U219" s="24" t="inlineStr">
        <is>
          <t>0.7142857142857143</t>
        </is>
      </c>
      <c r="V219" s="24" t="inlineStr">
        <is>
          <t>HIGH_RISK</t>
        </is>
      </c>
      <c r="W219" s="24" t="inlineStr">
        <is>
          <t>고위험</t>
        </is>
      </c>
      <c r="X219" s="24" t="inlineStr">
        <is>
          <t>HIGH_RISK</t>
        </is>
      </c>
      <c r="Y219" s="24" t="inlineStr">
        <is>
          <t>0.9903921975513593</t>
        </is>
      </c>
      <c r="Z219" s="24" t="inlineStr">
        <is>
          <t>HIGH</t>
        </is>
      </c>
      <c r="AA219" s="24" t="inlineStr">
        <is>
          <t>HIGH</t>
        </is>
      </c>
      <c r="AB219" s="24" t="inlineStr">
        <is>
          <t>0.35370954409664757</t>
        </is>
      </c>
      <c r="AC219" s="24" t="inlineStr">
        <is>
          <t>True</t>
        </is>
      </c>
      <c r="AD219" s="24" t="inlineStr">
        <is>
          <t>True</t>
        </is>
      </c>
      <c r="AE219" s="24" t="inlineStr">
        <is>
          <t>valuation_credit_ml_overlay_candidate.csv</t>
        </is>
      </c>
      <c r="AF219" s="24" t="inlineStr">
        <is>
          <t>208개 반도체 reference universe. Valuation Agent가 자체 intake 폴더로 복제해 Peer/ML/대시보드 비교에 사용.</t>
        </is>
      </c>
    </row>
    <row r="220" ht="24" customHeight="1">
      <c r="A220" s="29" t="inlineStr">
        <is>
          <t>49</t>
        </is>
      </c>
      <c r="B220" s="29" t="inlineStr">
        <is>
          <t>해당 없음</t>
        </is>
      </c>
      <c r="C220" s="29" t="inlineStr">
        <is>
          <t>사피엔반도체</t>
        </is>
      </c>
      <c r="D220" s="29" t="inlineStr">
        <is>
          <t>452430</t>
        </is>
      </c>
      <c r="E220" s="29" t="inlineStr">
        <is>
          <t>KOSDAQ</t>
        </is>
      </c>
      <c r="F220" s="29" t="inlineStr">
        <is>
          <t>팹리스/설계</t>
        </is>
      </c>
      <c r="G220" s="29" t="inlineStr">
        <is>
          <t>팹리스/설계</t>
        </is>
      </c>
      <c r="H220" s="29" t="inlineStr">
        <is>
          <t>False</t>
        </is>
      </c>
      <c r="I220" s="29" t="inlineStr">
        <is>
          <t>True</t>
        </is>
      </c>
      <c r="J220" s="29" t="inlineStr">
        <is>
          <t>OK_LIMITED_HISTORY_OR_GROWTH_NA</t>
        </is>
      </c>
      <c r="K220" s="29" t="inlineStr">
        <is>
          <t>데이터 사용 가능</t>
        </is>
      </c>
      <c r="L220" s="29" t="inlineStr">
        <is>
          <t>LOW</t>
        </is>
      </c>
      <c r="M220" s="29" t="inlineStr">
        <is>
          <t>LOW</t>
        </is>
      </c>
      <c r="N220" s="29" t="inlineStr">
        <is>
          <t>0.3721212121212121</t>
        </is>
      </c>
      <c r="O220" s="29" t="inlineStr">
        <is>
          <t>EXPENSIVE</t>
        </is>
      </c>
      <c r="P220" s="29" t="inlineStr">
        <is>
          <t>EXPENSIVE</t>
        </is>
      </c>
      <c r="Q220" s="29" t="inlineStr">
        <is>
          <t>EXPENSIVE</t>
        </is>
      </c>
      <c r="R220" s="29" t="inlineStr">
        <is>
          <t>0.8482781866315999</t>
        </is>
      </c>
      <c r="S220" s="29" t="inlineStr">
        <is>
          <t>HIGH</t>
        </is>
      </c>
      <c r="T220" s="29" t="inlineStr">
        <is>
          <t>HIGH</t>
        </is>
      </c>
      <c r="U220" s="29" t="inlineStr">
        <is>
          <t>0.5714285714285714</t>
        </is>
      </c>
      <c r="V220" s="29" t="inlineStr">
        <is>
          <t>HIGH_RISK</t>
        </is>
      </c>
      <c r="W220" s="29" t="inlineStr">
        <is>
          <t>고위험</t>
        </is>
      </c>
      <c r="X220" s="29" t="inlineStr">
        <is>
          <t>MEDIUM_RISK</t>
        </is>
      </c>
      <c r="Y220" s="29" t="inlineStr">
        <is>
          <t>0.5745685064585346</t>
        </is>
      </c>
      <c r="Z220" s="29" t="inlineStr">
        <is>
          <t>MEDIUM</t>
        </is>
      </c>
      <c r="AA220" s="29" t="inlineStr">
        <is>
          <t>MEDIUM</t>
        </is>
      </c>
      <c r="AB220" s="29" t="inlineStr">
        <is>
          <t>0.12187984427462309</t>
        </is>
      </c>
      <c r="AC220" s="29" t="inlineStr">
        <is>
          <t>False</t>
        </is>
      </c>
      <c r="AD220" s="29" t="inlineStr">
        <is>
          <t>True</t>
        </is>
      </c>
      <c r="AE220" s="29" t="inlineStr">
        <is>
          <t>valuation_credit_ml_overlay_candidate.csv</t>
        </is>
      </c>
      <c r="AF220" s="29" t="inlineStr">
        <is>
          <t>208개 반도체 reference universe. Valuation Agent가 자체 intake 폴더로 복제해 Peer/ML/대시보드 비교에 사용.</t>
        </is>
      </c>
    </row>
    <row r="221" ht="24" customHeight="1">
      <c r="A221" s="24" t="inlineStr">
        <is>
          <t>44</t>
        </is>
      </c>
      <c r="B221" s="24" t="inlineStr">
        <is>
          <t>해당 없음</t>
        </is>
      </c>
      <c r="C221" s="24" t="inlineStr">
        <is>
          <t>동운아나텍</t>
        </is>
      </c>
      <c r="D221" s="24" t="inlineStr">
        <is>
          <t>094170</t>
        </is>
      </c>
      <c r="E221" s="24" t="inlineStr">
        <is>
          <t>KOSDAQ</t>
        </is>
      </c>
      <c r="F221" s="24" t="inlineStr">
        <is>
          <t>팹리스/설계</t>
        </is>
      </c>
      <c r="G221" s="24" t="inlineStr">
        <is>
          <t>팹리스/설계</t>
        </is>
      </c>
      <c r="H221" s="24" t="inlineStr">
        <is>
          <t>False</t>
        </is>
      </c>
      <c r="I221" s="24" t="inlineStr">
        <is>
          <t>True</t>
        </is>
      </c>
      <c r="J221" s="24" t="inlineStr">
        <is>
          <t>OK</t>
        </is>
      </c>
      <c r="K221" s="24" t="inlineStr">
        <is>
          <t>데이터 사용 가능</t>
        </is>
      </c>
      <c r="L221" s="24" t="inlineStr">
        <is>
          <t>LOW</t>
        </is>
      </c>
      <c r="M221" s="24" t="inlineStr">
        <is>
          <t>LOW</t>
        </is>
      </c>
      <c r="N221" s="24" t="inlineStr">
        <is>
          <t>0.3670707070707071</t>
        </is>
      </c>
      <c r="O221" s="24" t="inlineStr">
        <is>
          <t>EXPENSIVE</t>
        </is>
      </c>
      <c r="P221" s="24" t="inlineStr">
        <is>
          <t>EXPENSIVE</t>
        </is>
      </c>
      <c r="Q221" s="24" t="inlineStr">
        <is>
          <t>EXPENSIVE</t>
        </is>
      </c>
      <c r="R221" s="24" t="inlineStr">
        <is>
          <t>0.4894423516429773</t>
        </is>
      </c>
      <c r="S221" s="24" t="inlineStr">
        <is>
          <t>LOW</t>
        </is>
      </c>
      <c r="T221" s="24" t="inlineStr">
        <is>
          <t>LOW</t>
        </is>
      </c>
      <c r="U221" s="24" t="inlineStr">
        <is>
          <t>0.2142857142857142</t>
        </is>
      </c>
      <c r="V221" s="24" t="inlineStr">
        <is>
          <t>MEDIUM_RISK</t>
        </is>
      </c>
      <c r="W221" s="24" t="inlineStr">
        <is>
          <t>중위험</t>
        </is>
      </c>
      <c r="X221" s="24" t="inlineStr">
        <is>
          <t>MEDIUM_RISK</t>
        </is>
      </c>
      <c r="Y221" s="24" t="inlineStr">
        <is>
          <t>0.5063531969196903</t>
        </is>
      </c>
      <c r="Z221" s="24" t="inlineStr">
        <is>
          <t>MEDIUM</t>
        </is>
      </c>
      <c r="AA221" s="24" t="inlineStr">
        <is>
          <t>MEDIUM</t>
        </is>
      </c>
      <c r="AB221" s="24" t="inlineStr">
        <is>
          <t>0.09811976029987664</t>
        </is>
      </c>
      <c r="AC221" s="24" t="inlineStr">
        <is>
          <t>False</t>
        </is>
      </c>
      <c r="AD221" s="24" t="inlineStr">
        <is>
          <t>True</t>
        </is>
      </c>
      <c r="AE221" s="24" t="inlineStr">
        <is>
          <t>valuation_credit_ml_overlay_candidate.csv</t>
        </is>
      </c>
      <c r="AF221" s="24" t="inlineStr">
        <is>
          <t>208개 반도체 reference universe. Valuation Agent가 자체 intake 폴더로 복제해 Peer/ML/대시보드 비교에 사용.</t>
        </is>
      </c>
    </row>
    <row r="222" ht="24" customHeight="1">
      <c r="A222" s="29" t="inlineStr">
        <is>
          <t>50</t>
        </is>
      </c>
      <c r="B222" s="29" t="inlineStr">
        <is>
          <t>해당 없음</t>
        </is>
      </c>
      <c r="C222" s="29" t="inlineStr">
        <is>
          <t>세미파이브</t>
        </is>
      </c>
      <c r="D222" s="29" t="inlineStr">
        <is>
          <t>490470</t>
        </is>
      </c>
      <c r="E222" s="29" t="inlineStr">
        <is>
          <t>KOSDAQ</t>
        </is>
      </c>
      <c r="F222" s="29" t="inlineStr">
        <is>
          <t>팹리스/설계</t>
        </is>
      </c>
      <c r="G222" s="29" t="inlineStr">
        <is>
          <t>팹리스/설계</t>
        </is>
      </c>
      <c r="H222" s="29" t="inlineStr">
        <is>
          <t>False</t>
        </is>
      </c>
      <c r="I222" s="29" t="inlineStr">
        <is>
          <t>True</t>
        </is>
      </c>
      <c r="J222" s="29" t="inlineStr">
        <is>
          <t>OK_LIMITED_HISTORY_OR_GROWTH_NA</t>
        </is>
      </c>
      <c r="K222" s="29" t="inlineStr">
        <is>
          <t>데이터 사용 가능</t>
        </is>
      </c>
      <c r="L222" s="29" t="inlineStr">
        <is>
          <t>LOW</t>
        </is>
      </c>
      <c r="M222" s="29" t="inlineStr">
        <is>
          <t>LOW</t>
        </is>
      </c>
      <c r="N222" s="29" t="inlineStr">
        <is>
          <t>0.3646464646464646</t>
        </is>
      </c>
      <c r="O222" s="29" t="inlineStr">
        <is>
          <t>EXPENSIVE</t>
        </is>
      </c>
      <c r="P222" s="29" t="inlineStr">
        <is>
          <t>EXPENSIVE</t>
        </is>
      </c>
      <c r="Q222" s="29" t="inlineStr">
        <is>
          <t>EXPENSIVE</t>
        </is>
      </c>
      <c r="R222" s="29" t="inlineStr">
        <is>
          <t>0.9277538303818181</t>
        </is>
      </c>
      <c r="S222" s="29" t="inlineStr">
        <is>
          <t>HIGH</t>
        </is>
      </c>
      <c r="T222" s="29" t="inlineStr">
        <is>
          <t>HIGH</t>
        </is>
      </c>
      <c r="U222" s="29" t="inlineStr">
        <is>
          <t>0.5</t>
        </is>
      </c>
      <c r="V222" s="29" t="inlineStr">
        <is>
          <t>HIGH_RISK</t>
        </is>
      </c>
      <c r="W222" s="29" t="inlineStr">
        <is>
          <t>고위험</t>
        </is>
      </c>
      <c r="X222" s="29" t="inlineStr">
        <is>
          <t>HIGH_RISK</t>
        </is>
      </c>
      <c r="Y222" s="29" t="inlineStr">
        <is>
          <t>0.8726925242668786</t>
        </is>
      </c>
      <c r="Z222" s="29" t="inlineStr">
        <is>
          <t>HIGH</t>
        </is>
      </c>
      <c r="AA222" s="29" t="inlineStr">
        <is>
          <t>HIGH</t>
        </is>
      </c>
      <c r="AB222" s="29" t="inlineStr">
        <is>
          <t>0.10138163372341347</t>
        </is>
      </c>
      <c r="AC222" s="29" t="inlineStr">
        <is>
          <t>False</t>
        </is>
      </c>
      <c r="AD222" s="29" t="inlineStr">
        <is>
          <t>True</t>
        </is>
      </c>
      <c r="AE222" s="29" t="inlineStr">
        <is>
          <t>valuation_credit_ml_overlay_candidate.csv</t>
        </is>
      </c>
      <c r="AF222" s="29" t="inlineStr">
        <is>
          <t>208개 반도체 reference universe. Valuation Agent가 자체 intake 폴더로 복제해 Peer/ML/대시보드 비교에 사용.</t>
        </is>
      </c>
    </row>
    <row r="223" ht="24" customHeight="1">
      <c r="A223" s="24" t="inlineStr">
        <is>
          <t>63</t>
        </is>
      </c>
      <c r="B223" s="24" t="inlineStr">
        <is>
          <t>해당 없음</t>
        </is>
      </c>
      <c r="C223" s="24" t="inlineStr">
        <is>
          <t>에이직랜드</t>
        </is>
      </c>
      <c r="D223" s="24" t="inlineStr">
        <is>
          <t>445090</t>
        </is>
      </c>
      <c r="E223" s="24" t="inlineStr">
        <is>
          <t>KOSDAQ</t>
        </is>
      </c>
      <c r="F223" s="24" t="inlineStr">
        <is>
          <t>팹리스/설계</t>
        </is>
      </c>
      <c r="G223" s="24" t="inlineStr">
        <is>
          <t>팹리스/설계</t>
        </is>
      </c>
      <c r="H223" s="24" t="inlineStr">
        <is>
          <t>False</t>
        </is>
      </c>
      <c r="I223" s="24" t="inlineStr">
        <is>
          <t>True</t>
        </is>
      </c>
      <c r="J223" s="24" t="inlineStr">
        <is>
          <t>OK_LIMITED_HISTORY_OR_GROWTH_NA</t>
        </is>
      </c>
      <c r="K223" s="24" t="inlineStr">
        <is>
          <t>데이터 사용 가능</t>
        </is>
      </c>
      <c r="L223" s="24" t="inlineStr">
        <is>
          <t>LOW</t>
        </is>
      </c>
      <c r="M223" s="24" t="inlineStr">
        <is>
          <t>LOW</t>
        </is>
      </c>
      <c r="N223" s="24" t="inlineStr">
        <is>
          <t>0.3294949494949495</t>
        </is>
      </c>
      <c r="O223" s="24" t="inlineStr">
        <is>
          <t>EXPENSIVE</t>
        </is>
      </c>
      <c r="P223" s="24" t="inlineStr">
        <is>
          <t>EXPENSIVE</t>
        </is>
      </c>
      <c r="Q223" s="24" t="inlineStr">
        <is>
          <t>EXPENSIVE</t>
        </is>
      </c>
      <c r="R223" s="24" t="inlineStr">
        <is>
          <t>0.9058303131641584</t>
        </is>
      </c>
      <c r="S223" s="24" t="inlineStr">
        <is>
          <t>HIGH</t>
        </is>
      </c>
      <c r="T223" s="24" t="inlineStr">
        <is>
          <t>HIGH</t>
        </is>
      </c>
      <c r="U223" s="24" t="inlineStr">
        <is>
          <t>0.7857142857142857</t>
        </is>
      </c>
      <c r="V223" s="24" t="inlineStr">
        <is>
          <t>HIGH_RISK</t>
        </is>
      </c>
      <c r="W223" s="24" t="inlineStr">
        <is>
          <t>고위험</t>
        </is>
      </c>
      <c r="X223" s="24" t="inlineStr">
        <is>
          <t>HIGH_RISK</t>
        </is>
      </c>
      <c r="Y223" s="24" t="inlineStr">
        <is>
          <t>0.9947590219356869</t>
        </is>
      </c>
      <c r="Z223" s="24" t="inlineStr">
        <is>
          <t>HIGH</t>
        </is>
      </c>
      <c r="AA223" s="24" t="inlineStr">
        <is>
          <t>HIGH</t>
        </is>
      </c>
      <c r="AB223" s="24" t="inlineStr">
        <is>
          <t>0.22322767104490657</t>
        </is>
      </c>
      <c r="AC223" s="24" t="inlineStr">
        <is>
          <t>False</t>
        </is>
      </c>
      <c r="AD223" s="24" t="inlineStr">
        <is>
          <t>True</t>
        </is>
      </c>
      <c r="AE223" s="24" t="inlineStr">
        <is>
          <t>valuation_credit_ml_overlay_candidate.csv</t>
        </is>
      </c>
      <c r="AF223" s="24" t="inlineStr">
        <is>
          <t>208개 반도체 reference universe. Valuation Agent가 자체 intake 폴더로 복제해 Peer/ML/대시보드 비교에 사용.</t>
        </is>
      </c>
    </row>
    <row r="224" ht="24" customHeight="1">
      <c r="A224" s="29" t="inlineStr">
        <is>
          <t>45</t>
        </is>
      </c>
      <c r="B224" s="29" t="inlineStr">
        <is>
          <t>해당 없음</t>
        </is>
      </c>
      <c r="C224" s="29" t="inlineStr">
        <is>
          <t>라닉스</t>
        </is>
      </c>
      <c r="D224" s="29" t="inlineStr">
        <is>
          <t>317120</t>
        </is>
      </c>
      <c r="E224" s="29" t="inlineStr">
        <is>
          <t>KOSDAQ</t>
        </is>
      </c>
      <c r="F224" s="29" t="inlineStr">
        <is>
          <t>팹리스/설계</t>
        </is>
      </c>
      <c r="G224" s="29" t="inlineStr">
        <is>
          <t>팹리스/설계</t>
        </is>
      </c>
      <c r="H224" s="29" t="inlineStr">
        <is>
          <t>False</t>
        </is>
      </c>
      <c r="I224" s="29" t="inlineStr">
        <is>
          <t>True</t>
        </is>
      </c>
      <c r="J224" s="29" t="inlineStr">
        <is>
          <t>OK</t>
        </is>
      </c>
      <c r="K224" s="29" t="inlineStr">
        <is>
          <t>데이터 사용 가능</t>
        </is>
      </c>
      <c r="L224" s="29" t="inlineStr">
        <is>
          <t>LOW</t>
        </is>
      </c>
      <c r="M224" s="29" t="inlineStr">
        <is>
          <t>LOW</t>
        </is>
      </c>
      <c r="N224" s="29" t="inlineStr">
        <is>
          <t>0.3208080808080809</t>
        </is>
      </c>
      <c r="O224" s="29" t="inlineStr">
        <is>
          <t>EXPENSIVE</t>
        </is>
      </c>
      <c r="P224" s="29" t="inlineStr">
        <is>
          <t>EXPENSIVE</t>
        </is>
      </c>
      <c r="Q224" s="29" t="inlineStr">
        <is>
          <t>EXPENSIVE</t>
        </is>
      </c>
      <c r="R224" s="29" t="inlineStr">
        <is>
          <t>0.9281808400807596</t>
        </is>
      </c>
      <c r="S224" s="29" t="inlineStr">
        <is>
          <t>HIGH</t>
        </is>
      </c>
      <c r="T224" s="29" t="inlineStr">
        <is>
          <t>HIGH</t>
        </is>
      </c>
      <c r="U224" s="29" t="inlineStr">
        <is>
          <t>0.7142857142857143</t>
        </is>
      </c>
      <c r="V224" s="29" t="inlineStr">
        <is>
          <t>HIGH_RISK</t>
        </is>
      </c>
      <c r="W224" s="29" t="inlineStr">
        <is>
          <t>고위험</t>
        </is>
      </c>
      <c r="X224" s="29" t="inlineStr">
        <is>
          <t>HIGH_RISK</t>
        </is>
      </c>
      <c r="Y224" s="29" t="inlineStr">
        <is>
          <t>0.9891542031597422</t>
        </is>
      </c>
      <c r="Z224" s="29" t="inlineStr">
        <is>
          <t>HIGH</t>
        </is>
      </c>
      <c r="AA224" s="29" t="inlineStr">
        <is>
          <t>HIGH</t>
        </is>
      </c>
      <c r="AB224" s="29" t="inlineStr">
        <is>
          <t>0.2722138190712409</t>
        </is>
      </c>
      <c r="AC224" s="29" t="inlineStr">
        <is>
          <t>True</t>
        </is>
      </c>
      <c r="AD224" s="29" t="inlineStr">
        <is>
          <t>True</t>
        </is>
      </c>
      <c r="AE224" s="29" t="inlineStr">
        <is>
          <t>valuation_credit_ml_overlay_candidate.csv</t>
        </is>
      </c>
      <c r="AF224" s="29" t="inlineStr">
        <is>
          <t>208개 반도체 reference universe. Valuation Agent가 자체 intake 폴더로 복제해 Peer/ML/대시보드 비교에 사용.</t>
        </is>
      </c>
    </row>
    <row r="225" ht="24" customHeight="1">
      <c r="A225" s="24" t="inlineStr">
        <is>
          <t>42</t>
        </is>
      </c>
      <c r="B225" s="24" t="inlineStr">
        <is>
          <t>해당 없음</t>
        </is>
      </c>
      <c r="C225" s="24" t="inlineStr">
        <is>
          <t>가온칩스</t>
        </is>
      </c>
      <c r="D225" s="24" t="inlineStr">
        <is>
          <t>399720</t>
        </is>
      </c>
      <c r="E225" s="24" t="inlineStr">
        <is>
          <t>KOSDAQ</t>
        </is>
      </c>
      <c r="F225" s="24" t="inlineStr">
        <is>
          <t>팹리스/설계</t>
        </is>
      </c>
      <c r="G225" s="24" t="inlineStr">
        <is>
          <t>팹리스/설계</t>
        </is>
      </c>
      <c r="H225" s="24" t="inlineStr">
        <is>
          <t>False</t>
        </is>
      </c>
      <c r="I225" s="24" t="inlineStr">
        <is>
          <t>True</t>
        </is>
      </c>
      <c r="J225" s="24" t="inlineStr">
        <is>
          <t>OK</t>
        </is>
      </c>
      <c r="K225" s="24" t="inlineStr">
        <is>
          <t>데이터 사용 가능</t>
        </is>
      </c>
      <c r="L225" s="24" t="inlineStr">
        <is>
          <t>LOW</t>
        </is>
      </c>
      <c r="M225" s="24" t="inlineStr">
        <is>
          <t>LOW</t>
        </is>
      </c>
      <c r="N225" s="24" t="inlineStr">
        <is>
          <t>0.3119191919191919</t>
        </is>
      </c>
      <c r="O225" s="24" t="inlineStr">
        <is>
          <t>EXPENSIVE</t>
        </is>
      </c>
      <c r="P225" s="24" t="inlineStr">
        <is>
          <t>EXPENSIVE</t>
        </is>
      </c>
      <c r="Q225" s="24" t="inlineStr">
        <is>
          <t>EXPENSIVE</t>
        </is>
      </c>
      <c r="R225" s="24" t="inlineStr">
        <is>
          <t>0.9202856043409283</t>
        </is>
      </c>
      <c r="S225" s="24" t="inlineStr">
        <is>
          <t>HIGH</t>
        </is>
      </c>
      <c r="T225" s="24" t="inlineStr">
        <is>
          <t>HIGH</t>
        </is>
      </c>
      <c r="U225" s="24" t="inlineStr">
        <is>
          <t>0.5714285714285714</t>
        </is>
      </c>
      <c r="V225" s="24" t="inlineStr">
        <is>
          <t>HIGH_RISK</t>
        </is>
      </c>
      <c r="W225" s="24" t="inlineStr">
        <is>
          <t>고위험</t>
        </is>
      </c>
      <c r="X225" s="24" t="inlineStr">
        <is>
          <t>HIGH_RISK</t>
        </is>
      </c>
      <c r="Y225" s="24" t="inlineStr">
        <is>
          <t>0.9252273149693407</t>
        </is>
      </c>
      <c r="Z225" s="24" t="inlineStr">
        <is>
          <t>HIGH</t>
        </is>
      </c>
      <c r="AA225" s="24" t="inlineStr">
        <is>
          <t>HIGH</t>
        </is>
      </c>
      <c r="AB225" s="24" t="inlineStr">
        <is>
          <t>0.08996216176961074</t>
        </is>
      </c>
      <c r="AC225" s="24" t="inlineStr">
        <is>
          <t>False</t>
        </is>
      </c>
      <c r="AD225" s="24" t="inlineStr">
        <is>
          <t>False</t>
        </is>
      </c>
      <c r="AE225" s="24" t="inlineStr">
        <is>
          <t>valuation_credit_ml_overlay_candidate.csv</t>
        </is>
      </c>
      <c r="AF225" s="24" t="inlineStr">
        <is>
          <t>208개 반도체 reference universe. Valuation Agent가 자체 intake 폴더로 복제해 Peer/ML/대시보드 비교에 사용.</t>
        </is>
      </c>
    </row>
    <row r="226" ht="24" customHeight="1">
      <c r="A226" s="29" t="inlineStr">
        <is>
          <t>72</t>
        </is>
      </c>
      <c r="B226" s="29" t="inlineStr">
        <is>
          <t>해당 없음</t>
        </is>
      </c>
      <c r="C226" s="29" t="inlineStr">
        <is>
          <t>파두</t>
        </is>
      </c>
      <c r="D226" s="29" t="inlineStr">
        <is>
          <t>440110</t>
        </is>
      </c>
      <c r="E226" s="29" t="inlineStr">
        <is>
          <t>KOSDAQ</t>
        </is>
      </c>
      <c r="F226" s="29" t="inlineStr">
        <is>
          <t>팹리스/설계</t>
        </is>
      </c>
      <c r="G226" s="29" t="inlineStr">
        <is>
          <t>팹리스/설계</t>
        </is>
      </c>
      <c r="H226" s="29" t="inlineStr">
        <is>
          <t>False</t>
        </is>
      </c>
      <c r="I226" s="29" t="inlineStr">
        <is>
          <t>True</t>
        </is>
      </c>
      <c r="J226" s="29" t="inlineStr">
        <is>
          <t>OK_LIMITED_HISTORY_OR_GROWTH_NA</t>
        </is>
      </c>
      <c r="K226" s="29" t="inlineStr">
        <is>
          <t>데이터 사용 가능</t>
        </is>
      </c>
      <c r="L226" s="29" t="inlineStr">
        <is>
          <t>LOW</t>
        </is>
      </c>
      <c r="M226" s="29" t="inlineStr">
        <is>
          <t>LOW</t>
        </is>
      </c>
      <c r="N226" s="29" t="inlineStr">
        <is>
          <t>0.2817171717171717</t>
        </is>
      </c>
      <c r="O226" s="29" t="inlineStr">
        <is>
          <t>EXPENSIVE</t>
        </is>
      </c>
      <c r="P226" s="29" t="inlineStr">
        <is>
          <t>EXPENSIVE</t>
        </is>
      </c>
      <c r="Q226" s="29" t="inlineStr">
        <is>
          <t>EXPENSIVE</t>
        </is>
      </c>
      <c r="R226" s="29" t="inlineStr">
        <is>
          <t>0.9722302520284296</t>
        </is>
      </c>
      <c r="S226" s="29" t="inlineStr">
        <is>
          <t>HIGH</t>
        </is>
      </c>
      <c r="T226" s="29" t="inlineStr">
        <is>
          <t>HIGH</t>
        </is>
      </c>
      <c r="U226" s="29" t="inlineStr">
        <is>
          <t>0.7142857142857143</t>
        </is>
      </c>
      <c r="V226" s="29" t="inlineStr">
        <is>
          <t>HIGH_RISK</t>
        </is>
      </c>
      <c r="W226" s="29" t="inlineStr">
        <is>
          <t>고위험</t>
        </is>
      </c>
      <c r="X226" s="29" t="inlineStr">
        <is>
          <t>HIGH_RISK</t>
        </is>
      </c>
      <c r="Y226" s="29" t="inlineStr">
        <is>
          <t>0.9166704410023929</t>
        </is>
      </c>
      <c r="Z226" s="29" t="inlineStr">
        <is>
          <t>HIGH</t>
        </is>
      </c>
      <c r="AA226" s="29" t="inlineStr">
        <is>
          <t>HIGH</t>
        </is>
      </c>
      <c r="AB226" s="29" t="inlineStr">
        <is>
          <t>0.4892266150598854</t>
        </is>
      </c>
      <c r="AC226" s="29" t="inlineStr">
        <is>
          <t>True</t>
        </is>
      </c>
      <c r="AD226" s="29" t="inlineStr">
        <is>
          <t>True</t>
        </is>
      </c>
      <c r="AE226" s="29" t="inlineStr">
        <is>
          <t>valuation_credit_ml_overlay_candidate.csv</t>
        </is>
      </c>
      <c r="AF226" s="29" t="inlineStr">
        <is>
          <t>208개 반도체 reference universe. Valuation Agent가 자체 intake 폴더로 복제해 Peer/ML/대시보드 비교에 사용.</t>
        </is>
      </c>
    </row>
    <row r="227" ht="24" customHeight="1">
      <c r="A227" s="24" t="inlineStr">
        <is>
          <t>54</t>
        </is>
      </c>
      <c r="B227" s="24" t="inlineStr">
        <is>
          <t>해당 없음</t>
        </is>
      </c>
      <c r="C227" s="24" t="inlineStr">
        <is>
          <t>아이씨티케이</t>
        </is>
      </c>
      <c r="D227" s="24" t="inlineStr">
        <is>
          <t>456010</t>
        </is>
      </c>
      <c r="E227" s="24" t="inlineStr">
        <is>
          <t>KOSDAQ</t>
        </is>
      </c>
      <c r="F227" s="24" t="inlineStr">
        <is>
          <t>팹리스/설계</t>
        </is>
      </c>
      <c r="G227" s="24" t="inlineStr">
        <is>
          <t>팹리스/설계</t>
        </is>
      </c>
      <c r="H227" s="24" t="inlineStr">
        <is>
          <t>False</t>
        </is>
      </c>
      <c r="I227" s="24" t="inlineStr">
        <is>
          <t>True</t>
        </is>
      </c>
      <c r="J227" s="24" t="inlineStr">
        <is>
          <t>OK_LIMITED_HISTORY_OR_GROWTH_NA</t>
        </is>
      </c>
      <c r="K227" s="24" t="inlineStr">
        <is>
          <t>데이터 사용 가능</t>
        </is>
      </c>
      <c r="L227" s="24" t="inlineStr">
        <is>
          <t>LOW</t>
        </is>
      </c>
      <c r="M227" s="24" t="inlineStr">
        <is>
          <t>LOW</t>
        </is>
      </c>
      <c r="N227" s="24" t="inlineStr">
        <is>
          <t>0.2421212121212121</t>
        </is>
      </c>
      <c r="O227" s="24" t="inlineStr">
        <is>
          <t>EXPENSIVE</t>
        </is>
      </c>
      <c r="P227" s="24" t="inlineStr">
        <is>
          <t>EXPENSIVE</t>
        </is>
      </c>
      <c r="Q227" s="24" t="inlineStr">
        <is>
          <t>EXPENSIVE</t>
        </is>
      </c>
      <c r="R227" s="24" t="inlineStr">
        <is>
          <t>0.9318776222941163</t>
        </is>
      </c>
      <c r="S227" s="24" t="inlineStr">
        <is>
          <t>HIGH</t>
        </is>
      </c>
      <c r="T227" s="24" t="inlineStr">
        <is>
          <t>HIGH</t>
        </is>
      </c>
      <c r="U227" s="24" t="inlineStr">
        <is>
          <t>0.5714285714285714</t>
        </is>
      </c>
      <c r="V227" s="24" t="inlineStr">
        <is>
          <t>HIGH_RISK</t>
        </is>
      </c>
      <c r="W227" s="24" t="inlineStr">
        <is>
          <t>고위험</t>
        </is>
      </c>
      <c r="X227" s="24" t="inlineStr">
        <is>
          <t>HIGH_RISK</t>
        </is>
      </c>
      <c r="Y227" s="24" t="inlineStr">
        <is>
          <t>0.9704486787687135</t>
        </is>
      </c>
      <c r="Z227" s="24" t="inlineStr">
        <is>
          <t>HIGH</t>
        </is>
      </c>
      <c r="AA227" s="24" t="inlineStr">
        <is>
          <t>HIGH</t>
        </is>
      </c>
      <c r="AB227" s="24" t="inlineStr">
        <is>
          <t>0.44110450319077704</t>
        </is>
      </c>
      <c r="AC227" s="24" t="inlineStr">
        <is>
          <t>True</t>
        </is>
      </c>
      <c r="AD227" s="24" t="inlineStr">
        <is>
          <t>True</t>
        </is>
      </c>
      <c r="AE227" s="24" t="inlineStr">
        <is>
          <t>valuation_credit_ml_overlay_candidate.csv</t>
        </is>
      </c>
      <c r="AF227" s="24" t="inlineStr">
        <is>
          <t>208개 반도체 reference universe. Valuation Agent가 자체 intake 폴더로 복제해 Peer/ML/대시보드 비교에 사용.</t>
        </is>
      </c>
    </row>
    <row r="228" ht="24" customHeight="1">
      <c r="A228" s="29" t="inlineStr">
        <is>
          <t>64</t>
        </is>
      </c>
      <c r="B228" s="29" t="inlineStr">
        <is>
          <t>해당 없음</t>
        </is>
      </c>
      <c r="C228" s="29" t="inlineStr">
        <is>
          <t>오픈엣지테크놀로지</t>
        </is>
      </c>
      <c r="D228" s="29" t="inlineStr">
        <is>
          <t>394280</t>
        </is>
      </c>
      <c r="E228" s="29" t="inlineStr">
        <is>
          <t>KOSDAQ</t>
        </is>
      </c>
      <c r="F228" s="29" t="inlineStr">
        <is>
          <t>팹리스/설계</t>
        </is>
      </c>
      <c r="G228" s="29" t="inlineStr">
        <is>
          <t>팹리스/설계</t>
        </is>
      </c>
      <c r="H228" s="29" t="inlineStr">
        <is>
          <t>False</t>
        </is>
      </c>
      <c r="I228" s="29" t="inlineStr">
        <is>
          <t>True</t>
        </is>
      </c>
      <c r="J228" s="29" t="inlineStr">
        <is>
          <t>OK</t>
        </is>
      </c>
      <c r="K228" s="29" t="inlineStr">
        <is>
          <t>데이터 사용 가능</t>
        </is>
      </c>
      <c r="L228" s="29" t="inlineStr">
        <is>
          <t>LOW</t>
        </is>
      </c>
      <c r="M228" s="29" t="inlineStr">
        <is>
          <t>LOW</t>
        </is>
      </c>
      <c r="N228" s="29" t="inlineStr">
        <is>
          <t>0.2383838383838384</t>
        </is>
      </c>
      <c r="O228" s="29" t="inlineStr">
        <is>
          <t>EXPENSIVE</t>
        </is>
      </c>
      <c r="P228" s="29" t="inlineStr">
        <is>
          <t>EXPENSIVE</t>
        </is>
      </c>
      <c r="Q228" s="29" t="inlineStr">
        <is>
          <t>EXPENSIVE</t>
        </is>
      </c>
      <c r="R228" s="29" t="inlineStr">
        <is>
          <t>0.9776205348568181</t>
        </is>
      </c>
      <c r="S228" s="29" t="inlineStr">
        <is>
          <t>HIGH</t>
        </is>
      </c>
      <c r="T228" s="29" t="inlineStr">
        <is>
          <t>HIGH</t>
        </is>
      </c>
      <c r="U228" s="29" t="inlineStr">
        <is>
          <t>0.5714285714285714</t>
        </is>
      </c>
      <c r="V228" s="29" t="inlineStr">
        <is>
          <t>HIGH_RISK</t>
        </is>
      </c>
      <c r="W228" s="29" t="inlineStr">
        <is>
          <t>고위험</t>
        </is>
      </c>
      <c r="X228" s="29" t="inlineStr">
        <is>
          <t>HIGH_RISK</t>
        </is>
      </c>
      <c r="Y228" s="29" t="inlineStr">
        <is>
          <t>0.979409987987143</t>
        </is>
      </c>
      <c r="Z228" s="29" t="inlineStr">
        <is>
          <t>HIGH</t>
        </is>
      </c>
      <c r="AA228" s="29" t="inlineStr">
        <is>
          <t>HIGH</t>
        </is>
      </c>
      <c r="AB228" s="29" t="inlineStr">
        <is>
          <t>0.49673253879125484</t>
        </is>
      </c>
      <c r="AC228" s="29" t="inlineStr">
        <is>
          <t>True</t>
        </is>
      </c>
      <c r="AD228" s="29" t="inlineStr">
        <is>
          <t>True</t>
        </is>
      </c>
      <c r="AE228" s="29" t="inlineStr">
        <is>
          <t>valuation_credit_ml_overlay_candidate.csv</t>
        </is>
      </c>
      <c r="AF228" s="29" t="inlineStr">
        <is>
          <t>208개 반도체 reference universe. Valuation Agent가 자체 intake 폴더로 복제해 Peer/ML/대시보드 비교에 사용.</t>
        </is>
      </c>
    </row>
    <row r="229" ht="24" customHeight="1">
      <c r="A229" s="24" t="inlineStr">
        <is>
          <t>69</t>
        </is>
      </c>
      <c r="B229" s="24" t="inlineStr">
        <is>
          <t>해당 없음</t>
        </is>
      </c>
      <c r="C229" s="24" t="inlineStr">
        <is>
          <t>퀄리타스반도체</t>
        </is>
      </c>
      <c r="D229" s="24" t="inlineStr">
        <is>
          <t>432720</t>
        </is>
      </c>
      <c r="E229" s="24" t="inlineStr">
        <is>
          <t>KOSDAQ</t>
        </is>
      </c>
      <c r="F229" s="24" t="inlineStr">
        <is>
          <t>팹리스/설계</t>
        </is>
      </c>
      <c r="G229" s="24" t="inlineStr">
        <is>
          <t>팹리스/설계</t>
        </is>
      </c>
      <c r="H229" s="24" t="inlineStr">
        <is>
          <t>False</t>
        </is>
      </c>
      <c r="I229" s="24" t="inlineStr">
        <is>
          <t>True</t>
        </is>
      </c>
      <c r="J229" s="24" t="inlineStr">
        <is>
          <t>OK_LIMITED_HISTORY_OR_GROWTH_NA</t>
        </is>
      </c>
      <c r="K229" s="24" t="inlineStr">
        <is>
          <t>데이터 사용 가능</t>
        </is>
      </c>
      <c r="L229" s="24" t="inlineStr">
        <is>
          <t>LOW</t>
        </is>
      </c>
      <c r="M229" s="24" t="inlineStr">
        <is>
          <t>LOW</t>
        </is>
      </c>
      <c r="N229" s="24" t="inlineStr">
        <is>
          <t>0.2119191919191919</t>
        </is>
      </c>
      <c r="O229" s="24" t="inlineStr">
        <is>
          <t>EXPENSIVE</t>
        </is>
      </c>
      <c r="P229" s="24" t="inlineStr">
        <is>
          <t>EXPENSIVE</t>
        </is>
      </c>
      <c r="Q229" s="24" t="inlineStr">
        <is>
          <t>EXPENSIVE</t>
        </is>
      </c>
      <c r="R229" s="24" t="inlineStr">
        <is>
          <t>0.9844433173148716</t>
        </is>
      </c>
      <c r="S229" s="24" t="inlineStr">
        <is>
          <t>HIGH</t>
        </is>
      </c>
      <c r="T229" s="24" t="inlineStr">
        <is>
          <t>HIGH</t>
        </is>
      </c>
      <c r="U229" s="24" t="inlineStr">
        <is>
          <t>0.5714285714285714</t>
        </is>
      </c>
      <c r="V229" s="24" t="inlineStr">
        <is>
          <t>HIGH_RISK</t>
        </is>
      </c>
      <c r="W229" s="24" t="inlineStr">
        <is>
          <t>고위험</t>
        </is>
      </c>
      <c r="X229" s="24" t="inlineStr">
        <is>
          <t>HIGH_RISK</t>
        </is>
      </c>
      <c r="Y229" s="24" t="inlineStr">
        <is>
          <t>0.9775928777225235</t>
        </is>
      </c>
      <c r="Z229" s="24" t="inlineStr">
        <is>
          <t>HIGH</t>
        </is>
      </c>
      <c r="AA229" s="24" t="inlineStr">
        <is>
          <t>HIGH</t>
        </is>
      </c>
      <c r="AB229" s="24" t="inlineStr">
        <is>
          <t>0.7960673007059423</t>
        </is>
      </c>
      <c r="AC229" s="24" t="inlineStr">
        <is>
          <t>True</t>
        </is>
      </c>
      <c r="AD229" s="24" t="inlineStr">
        <is>
          <t>True</t>
        </is>
      </c>
      <c r="AE229" s="24" t="inlineStr">
        <is>
          <t>valuation_credit_ml_overlay_candidate.csv</t>
        </is>
      </c>
      <c r="AF229" s="24" t="inlineStr">
        <is>
          <t>208개 반도체 reference universe. Valuation Agent가 자체 intake 폴더로 복제해 Peer/ML/대시보드 비교에 사용.</t>
        </is>
      </c>
    </row>
    <row r="230" ht="24" customHeight="1">
      <c r="A230" s="29" t="inlineStr">
        <is>
          <t>168</t>
        </is>
      </c>
      <c r="B230" s="29" t="inlineStr">
        <is>
          <t>해당 없음</t>
        </is>
      </c>
      <c r="C230" s="29" t="inlineStr">
        <is>
          <t>성우테크론</t>
        </is>
      </c>
      <c r="D230" s="29" t="inlineStr">
        <is>
          <t>045300</t>
        </is>
      </c>
      <c r="E230" s="29" t="inlineStr">
        <is>
          <t>KOSDAQ</t>
        </is>
      </c>
      <c r="F230" s="29" t="inlineStr">
        <is>
          <t>후공정/패키징/테스트</t>
        </is>
      </c>
      <c r="G230" s="29" t="inlineStr">
        <is>
          <t>후공정/패키징/테스트</t>
        </is>
      </c>
      <c r="H230" s="29" t="inlineStr">
        <is>
          <t>False</t>
        </is>
      </c>
      <c r="I230" s="29" t="inlineStr">
        <is>
          <t>True</t>
        </is>
      </c>
      <c r="J230" s="29" t="inlineStr">
        <is>
          <t>OK</t>
        </is>
      </c>
      <c r="K230" s="29" t="inlineStr">
        <is>
          <t>데이터 사용 가능</t>
        </is>
      </c>
      <c r="L230" s="29" t="inlineStr">
        <is>
          <t>LOW</t>
        </is>
      </c>
      <c r="M230" s="29" t="inlineStr">
        <is>
          <t>LOW</t>
        </is>
      </c>
      <c r="N230" s="29" t="inlineStr">
        <is>
          <t>0.7764444444444445</t>
        </is>
      </c>
      <c r="O230" s="29" t="inlineStr">
        <is>
          <t>ATTRACTIVE</t>
        </is>
      </c>
      <c r="P230" s="29" t="inlineStr">
        <is>
          <t>가치 매력</t>
        </is>
      </c>
      <c r="Q230" s="29" t="inlineStr">
        <is>
          <t>ATTRACTIVE</t>
        </is>
      </c>
      <c r="R230" s="29" t="inlineStr">
        <is>
          <t>0.9526864248076319</t>
        </is>
      </c>
      <c r="S230" s="29" t="inlineStr">
        <is>
          <t>HIGH</t>
        </is>
      </c>
      <c r="T230" s="29" t="inlineStr">
        <is>
          <t>HIGH</t>
        </is>
      </c>
      <c r="U230" s="29" t="inlineStr">
        <is>
          <t>0.0714285714285714</t>
        </is>
      </c>
      <c r="V230" s="29" t="inlineStr">
        <is>
          <t>LOW_RISK</t>
        </is>
      </c>
      <c r="W230" s="29" t="inlineStr">
        <is>
          <t>저위험</t>
        </is>
      </c>
      <c r="X230" s="29" t="inlineStr">
        <is>
          <t>LOW_RISK</t>
        </is>
      </c>
      <c r="Y230" s="29" t="inlineStr">
        <is>
          <t>0.869939352370702</t>
        </is>
      </c>
      <c r="Z230" s="29" t="inlineStr">
        <is>
          <t>HIGH</t>
        </is>
      </c>
      <c r="AA230" s="29" t="inlineStr">
        <is>
          <t>HIGH</t>
        </is>
      </c>
      <c r="AB230" s="29" t="inlineStr">
        <is>
          <t>0.10286671144812394</t>
        </is>
      </c>
      <c r="AC230" s="29" t="inlineStr">
        <is>
          <t>False</t>
        </is>
      </c>
      <c r="AD230" s="29" t="inlineStr">
        <is>
          <t>False</t>
        </is>
      </c>
      <c r="AE230" s="29" t="inlineStr">
        <is>
          <t>valuation_credit_ml_overlay_candidate.csv</t>
        </is>
      </c>
      <c r="AF230" s="29" t="inlineStr">
        <is>
          <t>208개 반도체 reference universe. Valuation Agent가 자체 intake 폴더로 복제해 Peer/ML/대시보드 비교에 사용.</t>
        </is>
      </c>
    </row>
    <row r="231" ht="24" customHeight="1">
      <c r="A231" s="24" t="inlineStr">
        <is>
          <t>165</t>
        </is>
      </c>
      <c r="B231" s="24" t="inlineStr">
        <is>
          <t>해당 없음</t>
        </is>
      </c>
      <c r="C231" s="24" t="inlineStr">
        <is>
          <t>미래산업</t>
        </is>
      </c>
      <c r="D231" s="24" t="inlineStr">
        <is>
          <t>025560</t>
        </is>
      </c>
      <c r="E231" s="24" t="inlineStr">
        <is>
          <t>KOSPI</t>
        </is>
      </c>
      <c r="F231" s="24" t="inlineStr">
        <is>
          <t>후공정/패키징/테스트</t>
        </is>
      </c>
      <c r="G231" s="24" t="inlineStr">
        <is>
          <t>후공정/패키징/테스트</t>
        </is>
      </c>
      <c r="H231" s="24" t="inlineStr">
        <is>
          <t>False</t>
        </is>
      </c>
      <c r="I231" s="24" t="inlineStr">
        <is>
          <t>True</t>
        </is>
      </c>
      <c r="J231" s="24" t="inlineStr">
        <is>
          <t>OK</t>
        </is>
      </c>
      <c r="K231" s="24" t="inlineStr">
        <is>
          <t>데이터 사용 가능</t>
        </is>
      </c>
      <c r="L231" s="24" t="inlineStr">
        <is>
          <t>LOW</t>
        </is>
      </c>
      <c r="M231" s="24" t="inlineStr">
        <is>
          <t>LOW</t>
        </is>
      </c>
      <c r="N231" s="24" t="inlineStr">
        <is>
          <t>0.7748148148148148</t>
        </is>
      </c>
      <c r="O231" s="24" t="inlineStr">
        <is>
          <t>FAIR</t>
        </is>
      </c>
      <c r="P231" s="24" t="inlineStr">
        <is>
          <t>FAIR</t>
        </is>
      </c>
      <c r="Q231" s="24" t="inlineStr">
        <is>
          <t>FAIR</t>
        </is>
      </c>
      <c r="R231" s="24" t="inlineStr">
        <is>
          <t>0.883291104654336</t>
        </is>
      </c>
      <c r="S231" s="24" t="inlineStr">
        <is>
          <t>HIGH</t>
        </is>
      </c>
      <c r="T231" s="24" t="inlineStr">
        <is>
          <t>HIGH</t>
        </is>
      </c>
      <c r="U231" s="24" t="inlineStr">
        <is>
          <t>0.2857142857142857</t>
        </is>
      </c>
      <c r="V231" s="24" t="inlineStr">
        <is>
          <t>MEDIUM_RISK</t>
        </is>
      </c>
      <c r="W231" s="24" t="inlineStr">
        <is>
          <t>중위험</t>
        </is>
      </c>
      <c r="X231" s="24" t="inlineStr">
        <is>
          <t>MEDIUM_RISK</t>
        </is>
      </c>
      <c r="Y231" s="24" t="inlineStr">
        <is>
          <t>0.695536763680257</t>
        </is>
      </c>
      <c r="Z231" s="24" t="inlineStr">
        <is>
          <t>MEDIUM</t>
        </is>
      </c>
      <c r="AA231" s="24" t="inlineStr">
        <is>
          <t>MEDIUM</t>
        </is>
      </c>
      <c r="AB231" s="24" t="inlineStr">
        <is>
          <t>0.08100242357773374</t>
        </is>
      </c>
      <c r="AC231" s="24" t="inlineStr">
        <is>
          <t>False</t>
        </is>
      </c>
      <c r="AD231" s="24" t="inlineStr">
        <is>
          <t>False</t>
        </is>
      </c>
      <c r="AE231" s="24" t="inlineStr">
        <is>
          <t>valuation_credit_ml_overlay_candidate.csv</t>
        </is>
      </c>
      <c r="AF231" s="24" t="inlineStr">
        <is>
          <t>208개 반도체 reference universe. Valuation Agent가 자체 intake 폴더로 복제해 Peer/ML/대시보드 비교에 사용.</t>
        </is>
      </c>
    </row>
    <row r="232" ht="24" customHeight="1">
      <c r="A232" s="29" t="inlineStr">
        <is>
          <t>163</t>
        </is>
      </c>
      <c r="B232" s="29" t="inlineStr">
        <is>
          <t>해당 없음</t>
        </is>
      </c>
      <c r="C232" s="29" t="inlineStr">
        <is>
          <t>링크제니시스</t>
        </is>
      </c>
      <c r="D232" s="29" t="inlineStr">
        <is>
          <t>219420</t>
        </is>
      </c>
      <c r="E232" s="29" t="inlineStr">
        <is>
          <t>KOSDAQ</t>
        </is>
      </c>
      <c r="F232" s="29" t="inlineStr">
        <is>
          <t>후공정/패키징/테스트</t>
        </is>
      </c>
      <c r="G232" s="29" t="inlineStr">
        <is>
          <t>후공정/패키징/테스트</t>
        </is>
      </c>
      <c r="H232" s="29" t="inlineStr">
        <is>
          <t>False</t>
        </is>
      </c>
      <c r="I232" s="29" t="inlineStr">
        <is>
          <t>True</t>
        </is>
      </c>
      <c r="J232" s="29" t="inlineStr">
        <is>
          <t>OK</t>
        </is>
      </c>
      <c r="K232" s="29" t="inlineStr">
        <is>
          <t>데이터 사용 가능</t>
        </is>
      </c>
      <c r="L232" s="29" t="inlineStr">
        <is>
          <t>LOW</t>
        </is>
      </c>
      <c r="M232" s="29" t="inlineStr">
        <is>
          <t>LOW</t>
        </is>
      </c>
      <c r="N232" s="29" t="inlineStr">
        <is>
          <t>0.7522962962962964</t>
        </is>
      </c>
      <c r="O232" s="29" t="inlineStr">
        <is>
          <t>ATTRACTIVE</t>
        </is>
      </c>
      <c r="P232" s="29" t="inlineStr">
        <is>
          <t>가치 매력</t>
        </is>
      </c>
      <c r="Q232" s="29" t="inlineStr">
        <is>
          <t>ATTRACTIVE</t>
        </is>
      </c>
      <c r="R232" s="29" t="inlineStr">
        <is>
          <t>0.8724992666433111</t>
        </is>
      </c>
      <c r="S232" s="29" t="inlineStr">
        <is>
          <t>HIGH</t>
        </is>
      </c>
      <c r="T232" s="29" t="inlineStr">
        <is>
          <t>HIGH</t>
        </is>
      </c>
      <c r="U232" s="29" t="inlineStr">
        <is>
          <t>0.0714285714285714</t>
        </is>
      </c>
      <c r="V232" s="29" t="inlineStr">
        <is>
          <t>LOW_RISK</t>
        </is>
      </c>
      <c r="W232" s="29" t="inlineStr">
        <is>
          <t>저위험</t>
        </is>
      </c>
      <c r="X232" s="29" t="inlineStr">
        <is>
          <t>LOW_RISK</t>
        </is>
      </c>
      <c r="Y232" s="29" t="inlineStr">
        <is>
          <t>0.8663667518810074</t>
        </is>
      </c>
      <c r="Z232" s="29" t="inlineStr">
        <is>
          <t>HIGH</t>
        </is>
      </c>
      <c r="AA232" s="29" t="inlineStr">
        <is>
          <t>HIGH</t>
        </is>
      </c>
      <c r="AB232" s="29" t="inlineStr">
        <is>
          <t>0.1247344063934745</t>
        </is>
      </c>
      <c r="AC232" s="29" t="inlineStr">
        <is>
          <t>False</t>
        </is>
      </c>
      <c r="AD232" s="29" t="inlineStr">
        <is>
          <t>False</t>
        </is>
      </c>
      <c r="AE232" s="29" t="inlineStr">
        <is>
          <t>valuation_credit_ml_overlay_candidate.csv</t>
        </is>
      </c>
      <c r="AF232" s="29" t="inlineStr">
        <is>
          <t>208개 반도체 reference universe. Valuation Agent가 자체 intake 폴더로 복제해 Peer/ML/대시보드 비교에 사용.</t>
        </is>
      </c>
    </row>
    <row r="233" ht="24" customHeight="1">
      <c r="A233" s="24" t="inlineStr">
        <is>
          <t>189</t>
        </is>
      </c>
      <c r="B233" s="24" t="inlineStr">
        <is>
          <t>해당 없음</t>
        </is>
      </c>
      <c r="C233" s="24" t="inlineStr">
        <is>
          <t>프로텍</t>
        </is>
      </c>
      <c r="D233" s="24" t="inlineStr">
        <is>
          <t>053610</t>
        </is>
      </c>
      <c r="E233" s="24" t="inlineStr">
        <is>
          <t>KOSDAQ</t>
        </is>
      </c>
      <c r="F233" s="24" t="inlineStr">
        <is>
          <t>후공정/패키징/테스트</t>
        </is>
      </c>
      <c r="G233" s="24" t="inlineStr">
        <is>
          <t>후공정/패키징/테스트</t>
        </is>
      </c>
      <c r="H233" s="24" t="inlineStr">
        <is>
          <t>False</t>
        </is>
      </c>
      <c r="I233" s="24" t="inlineStr">
        <is>
          <t>True</t>
        </is>
      </c>
      <c r="J233" s="24" t="inlineStr">
        <is>
          <t>OK</t>
        </is>
      </c>
      <c r="K233" s="24" t="inlineStr">
        <is>
          <t>데이터 사용 가능</t>
        </is>
      </c>
      <c r="L233" s="24" t="inlineStr">
        <is>
          <t>LOW</t>
        </is>
      </c>
      <c r="M233" s="24" t="inlineStr">
        <is>
          <t>LOW</t>
        </is>
      </c>
      <c r="N233" s="24" t="inlineStr">
        <is>
          <t>0.7342222222222222</t>
        </is>
      </c>
      <c r="O233" s="24" t="inlineStr">
        <is>
          <t>FAIR</t>
        </is>
      </c>
      <c r="P233" s="24" t="inlineStr">
        <is>
          <t>FAIR</t>
        </is>
      </c>
      <c r="Q233" s="24" t="inlineStr">
        <is>
          <t>FAIR</t>
        </is>
      </c>
      <c r="R233" s="24" t="inlineStr">
        <is>
          <t>0.8971257561900263</t>
        </is>
      </c>
      <c r="S233" s="24" t="inlineStr">
        <is>
          <t>HIGH</t>
        </is>
      </c>
      <c r="T233" s="24" t="inlineStr">
        <is>
          <t>HIGH</t>
        </is>
      </c>
      <c r="U233" s="24" t="inlineStr">
        <is>
          <t>0.0714285714285714</t>
        </is>
      </c>
      <c r="V233" s="24" t="inlineStr">
        <is>
          <t>LOW_RISK</t>
        </is>
      </c>
      <c r="W233" s="24" t="inlineStr">
        <is>
          <t>저위험</t>
        </is>
      </c>
      <c r="X233" s="24" t="inlineStr">
        <is>
          <t>LOW_RISK</t>
        </is>
      </c>
      <c r="Y233" s="24" t="inlineStr">
        <is>
          <t>0.9163768919768406</t>
        </is>
      </c>
      <c r="Z233" s="24" t="inlineStr">
        <is>
          <t>HIGH</t>
        </is>
      </c>
      <c r="AA233" s="24" t="inlineStr">
        <is>
          <t>HIGH</t>
        </is>
      </c>
      <c r="AB233" s="24" t="inlineStr">
        <is>
          <t>0.04594870251712977</t>
        </is>
      </c>
      <c r="AC233" s="24" t="inlineStr">
        <is>
          <t>False</t>
        </is>
      </c>
      <c r="AD233" s="24" t="inlineStr">
        <is>
          <t>False</t>
        </is>
      </c>
      <c r="AE233" s="24" t="inlineStr">
        <is>
          <t>valuation_credit_ml_overlay_candidate.csv</t>
        </is>
      </c>
      <c r="AF233" s="24" t="inlineStr">
        <is>
          <t>208개 반도체 reference universe. Valuation Agent가 자체 intake 폴더로 복제해 Peer/ML/대시보드 비교에 사용.</t>
        </is>
      </c>
    </row>
    <row r="234" ht="24" customHeight="1">
      <c r="A234" s="29" t="inlineStr">
        <is>
          <t>188</t>
        </is>
      </c>
      <c r="B234" s="29" t="inlineStr">
        <is>
          <t>해당 없음</t>
        </is>
      </c>
      <c r="C234" s="29" t="inlineStr">
        <is>
          <t>프로이천</t>
        </is>
      </c>
      <c r="D234" s="29" t="inlineStr">
        <is>
          <t>321260</t>
        </is>
      </c>
      <c r="E234" s="29" t="inlineStr">
        <is>
          <t>KOSDAQ</t>
        </is>
      </c>
      <c r="F234" s="29" t="inlineStr">
        <is>
          <t>후공정/패키징/테스트</t>
        </is>
      </c>
      <c r="G234" s="29" t="inlineStr">
        <is>
          <t>후공정/패키징/테스트</t>
        </is>
      </c>
      <c r="H234" s="29" t="inlineStr">
        <is>
          <t>False</t>
        </is>
      </c>
      <c r="I234" s="29" t="inlineStr">
        <is>
          <t>True</t>
        </is>
      </c>
      <c r="J234" s="29" t="inlineStr">
        <is>
          <t>OK</t>
        </is>
      </c>
      <c r="K234" s="29" t="inlineStr">
        <is>
          <t>데이터 사용 가능</t>
        </is>
      </c>
      <c r="L234" s="29" t="inlineStr">
        <is>
          <t>LOW</t>
        </is>
      </c>
      <c r="M234" s="29" t="inlineStr">
        <is>
          <t>LOW</t>
        </is>
      </c>
      <c r="N234" s="29" t="inlineStr">
        <is>
          <t>0.6905185185185185</t>
        </is>
      </c>
      <c r="O234" s="29" t="inlineStr">
        <is>
          <t>ATTRACTIVE</t>
        </is>
      </c>
      <c r="P234" s="29" t="inlineStr">
        <is>
          <t>가치 매력</t>
        </is>
      </c>
      <c r="Q234" s="29" t="inlineStr">
        <is>
          <t>ATTRACTIVE</t>
        </is>
      </c>
      <c r="R234" s="29" t="inlineStr">
        <is>
          <t>0.9481469936627798</t>
        </is>
      </c>
      <c r="S234" s="29" t="inlineStr">
        <is>
          <t>HIGH</t>
        </is>
      </c>
      <c r="T234" s="29" t="inlineStr">
        <is>
          <t>HIGH</t>
        </is>
      </c>
      <c r="U234" s="29" t="inlineStr">
        <is>
          <t>0.1428571428571428</t>
        </is>
      </c>
      <c r="V234" s="29" t="inlineStr">
        <is>
          <t>LOW_RISK</t>
        </is>
      </c>
      <c r="W234" s="29" t="inlineStr">
        <is>
          <t>저위험</t>
        </is>
      </c>
      <c r="X234" s="29" t="inlineStr">
        <is>
          <t>LOW_RISK</t>
        </is>
      </c>
      <c r="Y234" s="29" t="inlineStr">
        <is>
          <t>0.7571217577270841</t>
        </is>
      </c>
      <c r="Z234" s="29" t="inlineStr">
        <is>
          <t>HIGH</t>
        </is>
      </c>
      <c r="AA234" s="29" t="inlineStr">
        <is>
          <t>HIGH</t>
        </is>
      </c>
      <c r="AB234" s="29" t="inlineStr">
        <is>
          <t>0.1980202748075635</t>
        </is>
      </c>
      <c r="AC234" s="29" t="inlineStr">
        <is>
          <t>False</t>
        </is>
      </c>
      <c r="AD234" s="29" t="inlineStr">
        <is>
          <t>False</t>
        </is>
      </c>
      <c r="AE234" s="29" t="inlineStr">
        <is>
          <t>valuation_credit_ml_overlay_candidate.csv</t>
        </is>
      </c>
      <c r="AF234" s="29" t="inlineStr">
        <is>
          <t>208개 반도체 reference universe. Valuation Agent가 자체 intake 폴더로 복제해 Peer/ML/대시보드 비교에 사용.</t>
        </is>
      </c>
    </row>
    <row r="235" ht="24" customHeight="1">
      <c r="A235" s="24" t="inlineStr">
        <is>
          <t>167</t>
        </is>
      </c>
      <c r="B235" s="24" t="inlineStr">
        <is>
          <t>해당 없음</t>
        </is>
      </c>
      <c r="C235" s="24" t="inlineStr">
        <is>
          <t>샘씨엔에스</t>
        </is>
      </c>
      <c r="D235" s="24" t="inlineStr">
        <is>
          <t>252990</t>
        </is>
      </c>
      <c r="E235" s="24" t="inlineStr">
        <is>
          <t>KOSDAQ</t>
        </is>
      </c>
      <c r="F235" s="24" t="inlineStr">
        <is>
          <t>후공정/패키징/테스트</t>
        </is>
      </c>
      <c r="G235" s="24" t="inlineStr">
        <is>
          <t>후공정/패키징/테스트</t>
        </is>
      </c>
      <c r="H235" s="24" t="inlineStr">
        <is>
          <t>False</t>
        </is>
      </c>
      <c r="I235" s="24" t="inlineStr">
        <is>
          <t>True</t>
        </is>
      </c>
      <c r="J235" s="24" t="inlineStr">
        <is>
          <t>OK</t>
        </is>
      </c>
      <c r="K235" s="24" t="inlineStr">
        <is>
          <t>데이터 사용 가능</t>
        </is>
      </c>
      <c r="L235" s="24" t="inlineStr">
        <is>
          <t>LOW</t>
        </is>
      </c>
      <c r="M235" s="24" t="inlineStr">
        <is>
          <t>LOW</t>
        </is>
      </c>
      <c r="N235" s="24" t="inlineStr">
        <is>
          <t>0.6491851851851852</t>
        </is>
      </c>
      <c r="O235" s="24" t="inlineStr">
        <is>
          <t>ATTRACTIVE</t>
        </is>
      </c>
      <c r="P235" s="24" t="inlineStr">
        <is>
          <t>가치 매력</t>
        </is>
      </c>
      <c r="Q235" s="24" t="inlineStr">
        <is>
          <t>ATTRACTIVE</t>
        </is>
      </c>
      <c r="R235" s="24" t="inlineStr">
        <is>
          <t>0.5521991152548656</t>
        </is>
      </c>
      <c r="S235" s="24" t="inlineStr">
        <is>
          <t>MEDIUM</t>
        </is>
      </c>
      <c r="T235" s="24" t="inlineStr">
        <is>
          <t>MEDIUM</t>
        </is>
      </c>
      <c r="U235" s="24" t="inlineStr">
        <is>
          <t>0.1428571428571428</t>
        </is>
      </c>
      <c r="V235" s="24" t="inlineStr">
        <is>
          <t>LOW_RISK</t>
        </is>
      </c>
      <c r="W235" s="24" t="inlineStr">
        <is>
          <t>저위험</t>
        </is>
      </c>
      <c r="X235" s="24" t="inlineStr">
        <is>
          <t>LOW_RISK</t>
        </is>
      </c>
      <c r="Y235" s="24" t="inlineStr">
        <is>
          <t>0.8184283672559926</t>
        </is>
      </c>
      <c r="Z235" s="24" t="inlineStr">
        <is>
          <t>HIGH</t>
        </is>
      </c>
      <c r="AA235" s="24" t="inlineStr">
        <is>
          <t>HIGH</t>
        </is>
      </c>
      <c r="AB235" s="24" t="inlineStr">
        <is>
          <t>0.02862485694144737</t>
        </is>
      </c>
      <c r="AC235" s="24" t="inlineStr">
        <is>
          <t>False</t>
        </is>
      </c>
      <c r="AD235" s="24" t="inlineStr">
        <is>
          <t>False</t>
        </is>
      </c>
      <c r="AE235" s="24" t="inlineStr">
        <is>
          <t>valuation_credit_ml_overlay_candidate.csv</t>
        </is>
      </c>
      <c r="AF235" s="24" t="inlineStr">
        <is>
          <t>208개 반도체 reference universe. Valuation Agent가 자체 intake 폴더로 복제해 Peer/ML/대시보드 비교에 사용.</t>
        </is>
      </c>
    </row>
    <row r="236" ht="24" customHeight="1">
      <c r="A236" s="29" t="inlineStr">
        <is>
          <t>191</t>
        </is>
      </c>
      <c r="B236" s="29" t="inlineStr">
        <is>
          <t>해당 없음</t>
        </is>
      </c>
      <c r="C236" s="29" t="inlineStr">
        <is>
          <t>하나마이크론</t>
        </is>
      </c>
      <c r="D236" s="29" t="inlineStr">
        <is>
          <t>067310</t>
        </is>
      </c>
      <c r="E236" s="29" t="inlineStr">
        <is>
          <t>KOSDAQ</t>
        </is>
      </c>
      <c r="F236" s="29" t="inlineStr">
        <is>
          <t>후공정/패키징/테스트</t>
        </is>
      </c>
      <c r="G236" s="29" t="inlineStr">
        <is>
          <t>후공정/패키징/테스트</t>
        </is>
      </c>
      <c r="H236" s="29" t="inlineStr">
        <is>
          <t>False</t>
        </is>
      </c>
      <c r="I236" s="29" t="inlineStr">
        <is>
          <t>True</t>
        </is>
      </c>
      <c r="J236" s="29" t="inlineStr">
        <is>
          <t>OK</t>
        </is>
      </c>
      <c r="K236" s="29" t="inlineStr">
        <is>
          <t>데이터 사용 가능</t>
        </is>
      </c>
      <c r="L236" s="29" t="inlineStr">
        <is>
          <t>LOW</t>
        </is>
      </c>
      <c r="M236" s="29" t="inlineStr">
        <is>
          <t>LOW</t>
        </is>
      </c>
      <c r="N236" s="29" t="inlineStr">
        <is>
          <t>0.6405925925925926</t>
        </is>
      </c>
      <c r="O236" s="29" t="inlineStr">
        <is>
          <t>ATTRACTIVE</t>
        </is>
      </c>
      <c r="P236" s="29" t="inlineStr">
        <is>
          <t>가치 매력</t>
        </is>
      </c>
      <c r="Q236" s="29" t="inlineStr">
        <is>
          <t>ATTRACTIVE</t>
        </is>
      </c>
      <c r="R236" s="29" t="inlineStr">
        <is>
          <t>0.8727001075083287</t>
        </is>
      </c>
      <c r="S236" s="29" t="inlineStr">
        <is>
          <t>HIGH</t>
        </is>
      </c>
      <c r="T236" s="29" t="inlineStr">
        <is>
          <t>HIGH</t>
        </is>
      </c>
      <c r="U236" s="29" t="inlineStr">
        <is>
          <t>0.2857142857142857</t>
        </is>
      </c>
      <c r="V236" s="29" t="inlineStr">
        <is>
          <t>MEDIUM_RISK</t>
        </is>
      </c>
      <c r="W236" s="29" t="inlineStr">
        <is>
          <t>중위험</t>
        </is>
      </c>
      <c r="X236" s="29" t="inlineStr">
        <is>
          <t>MEDIUM_RISK</t>
        </is>
      </c>
      <c r="Y236" s="29" t="inlineStr">
        <is>
          <t>0.4659076101576026</t>
        </is>
      </c>
      <c r="Z236" s="29" t="inlineStr">
        <is>
          <t>LOW</t>
        </is>
      </c>
      <c r="AA236" s="29" t="inlineStr">
        <is>
          <t>LOW</t>
        </is>
      </c>
      <c r="AB236" s="29" t="inlineStr">
        <is>
          <t>0.1167493316831868</t>
        </is>
      </c>
      <c r="AC236" s="29" t="inlineStr">
        <is>
          <t>False</t>
        </is>
      </c>
      <c r="AD236" s="29" t="inlineStr">
        <is>
          <t>True</t>
        </is>
      </c>
      <c r="AE236" s="29" t="inlineStr">
        <is>
          <t>valuation_credit_ml_overlay_candidate.csv</t>
        </is>
      </c>
      <c r="AF236" s="29" t="inlineStr">
        <is>
          <t>208개 반도체 reference universe. Valuation Agent가 자체 intake 폴더로 복제해 Peer/ML/대시보드 비교에 사용.</t>
        </is>
      </c>
    </row>
    <row r="237" ht="24" customHeight="1">
      <c r="A237" s="24" t="inlineStr">
        <is>
          <t>157</t>
        </is>
      </c>
      <c r="B237" s="24" t="inlineStr">
        <is>
          <t>nepes</t>
        </is>
      </c>
      <c r="C237" s="24" t="inlineStr">
        <is>
          <t>네패스</t>
        </is>
      </c>
      <c r="D237" s="24" t="inlineStr">
        <is>
          <t>033640</t>
        </is>
      </c>
      <c r="E237" s="24" t="inlineStr">
        <is>
          <t>KOSDAQ</t>
        </is>
      </c>
      <c r="F237" s="24" t="inlineStr">
        <is>
          <t>후공정/패키징/테스트</t>
        </is>
      </c>
      <c r="G237" s="24" t="inlineStr">
        <is>
          <t>후공정/패키징/테스트</t>
        </is>
      </c>
      <c r="H237" s="24" t="inlineStr">
        <is>
          <t>True</t>
        </is>
      </c>
      <c r="I237" s="24" t="inlineStr">
        <is>
          <t>True</t>
        </is>
      </c>
      <c r="J237" s="24" t="inlineStr">
        <is>
          <t>OK</t>
        </is>
      </c>
      <c r="K237" s="24" t="inlineStr">
        <is>
          <t>데이터 사용 가능</t>
        </is>
      </c>
      <c r="L237" s="24" t="inlineStr">
        <is>
          <t>LOW</t>
        </is>
      </c>
      <c r="M237" s="24" t="inlineStr">
        <is>
          <t>LOW</t>
        </is>
      </c>
      <c r="N237" s="24" t="inlineStr">
        <is>
          <t>0.6385185185185186</t>
        </is>
      </c>
      <c r="O237" s="24" t="inlineStr">
        <is>
          <t>ATTRACTIVE</t>
        </is>
      </c>
      <c r="P237" s="24" t="inlineStr">
        <is>
          <t>가치 매력</t>
        </is>
      </c>
      <c r="Q237" s="24" t="inlineStr">
        <is>
          <t>ATTRACTIVE</t>
        </is>
      </c>
      <c r="R237" s="24" t="inlineStr">
        <is>
          <t>0.8763685947958789</t>
        </is>
      </c>
      <c r="S237" s="24" t="inlineStr">
        <is>
          <t>HIGH</t>
        </is>
      </c>
      <c r="T237" s="24" t="inlineStr">
        <is>
          <t>HIGH</t>
        </is>
      </c>
      <c r="U237" s="24" t="inlineStr">
        <is>
          <t>0.2857142857142857</t>
        </is>
      </c>
      <c r="V237" s="24" t="inlineStr">
        <is>
          <t>MEDIUM_RISK</t>
        </is>
      </c>
      <c r="W237" s="24" t="inlineStr">
        <is>
          <t>중위험</t>
        </is>
      </c>
      <c r="X237" s="24" t="inlineStr">
        <is>
          <t>MEDIUM_RISK</t>
        </is>
      </c>
      <c r="Y237" s="24" t="inlineStr">
        <is>
          <t>0.5963458259503356</t>
        </is>
      </c>
      <c r="Z237" s="24" t="inlineStr">
        <is>
          <t>MEDIUM</t>
        </is>
      </c>
      <c r="AA237" s="24" t="inlineStr">
        <is>
          <t>MEDIUM</t>
        </is>
      </c>
      <c r="AB237" s="24" t="inlineStr">
        <is>
          <t>0.07896643996759804</t>
        </is>
      </c>
      <c r="AC237" s="24" t="inlineStr">
        <is>
          <t>False</t>
        </is>
      </c>
      <c r="AD237" s="24" t="inlineStr">
        <is>
          <t>False</t>
        </is>
      </c>
      <c r="AE237" s="24" t="inlineStr">
        <is>
          <t>valuation_credit_ml_overlay_candidate.csv</t>
        </is>
      </c>
      <c r="AF237" s="24" t="inlineStr">
        <is>
          <t>208개 반도체 reference universe. Valuation Agent가 자체 intake 폴더로 복제해 Peer/ML/대시보드 비교에 사용.</t>
        </is>
      </c>
    </row>
    <row r="238" ht="24" customHeight="1">
      <c r="A238" s="29" t="inlineStr">
        <is>
          <t>151</t>
        </is>
      </c>
      <c r="B238" s="29" t="inlineStr">
        <is>
          <t>해당 없음</t>
        </is>
      </c>
      <c r="C238" s="29" t="inlineStr">
        <is>
          <t>KX하이텍</t>
        </is>
      </c>
      <c r="D238" s="29" t="inlineStr">
        <is>
          <t>052900</t>
        </is>
      </c>
      <c r="E238" s="29" t="inlineStr">
        <is>
          <t>KOSDAQ</t>
        </is>
      </c>
      <c r="F238" s="29" t="inlineStr">
        <is>
          <t>후공정/패키징/테스트</t>
        </is>
      </c>
      <c r="G238" s="29" t="inlineStr">
        <is>
          <t>후공정/패키징/테스트</t>
        </is>
      </c>
      <c r="H238" s="29" t="inlineStr">
        <is>
          <t>False</t>
        </is>
      </c>
      <c r="I238" s="29" t="inlineStr">
        <is>
          <t>True</t>
        </is>
      </c>
      <c r="J238" s="29" t="inlineStr">
        <is>
          <t>OK</t>
        </is>
      </c>
      <c r="K238" s="29" t="inlineStr">
        <is>
          <t>데이터 사용 가능</t>
        </is>
      </c>
      <c r="L238" s="29" t="inlineStr">
        <is>
          <t>LOW</t>
        </is>
      </c>
      <c r="M238" s="29" t="inlineStr">
        <is>
          <t>LOW</t>
        </is>
      </c>
      <c r="N238" s="29" t="inlineStr">
        <is>
          <t>0.6361481481481482</t>
        </is>
      </c>
      <c r="O238" s="29" t="inlineStr">
        <is>
          <t>ATTRACTIVE</t>
        </is>
      </c>
      <c r="P238" s="29" t="inlineStr">
        <is>
          <t>가치 매력</t>
        </is>
      </c>
      <c r="Q238" s="29" t="inlineStr">
        <is>
          <t>ATTRACTIVE</t>
        </is>
      </c>
      <c r="R238" s="29" t="inlineStr">
        <is>
          <t>0.7896879678479897</t>
        </is>
      </c>
      <c r="S238" s="29" t="inlineStr">
        <is>
          <t>HIGH</t>
        </is>
      </c>
      <c r="T238" s="29" t="inlineStr">
        <is>
          <t>HIGH</t>
        </is>
      </c>
      <c r="U238" s="29" t="inlineStr">
        <is>
          <t>0.0714285714285714</t>
        </is>
      </c>
      <c r="V238" s="29" t="inlineStr">
        <is>
          <t>LOW_RISK</t>
        </is>
      </c>
      <c r="W238" s="29" t="inlineStr">
        <is>
          <t>저위험</t>
        </is>
      </c>
      <c r="X238" s="29" t="inlineStr">
        <is>
          <t>LOW_RISK</t>
        </is>
      </c>
      <c r="Y238" s="29" t="inlineStr">
        <is>
          <t>0.87015899446037</t>
        </is>
      </c>
      <c r="Z238" s="29" t="inlineStr">
        <is>
          <t>HIGH</t>
        </is>
      </c>
      <c r="AA238" s="29" t="inlineStr">
        <is>
          <t>HIGH</t>
        </is>
      </c>
      <c r="AB238" s="29" t="inlineStr">
        <is>
          <t>0.012348610212675635</t>
        </is>
      </c>
      <c r="AC238" s="29" t="inlineStr">
        <is>
          <t>False</t>
        </is>
      </c>
      <c r="AD238" s="29" t="inlineStr">
        <is>
          <t>False</t>
        </is>
      </c>
      <c r="AE238" s="29" t="inlineStr">
        <is>
          <t>valuation_credit_ml_overlay_candidate.csv</t>
        </is>
      </c>
      <c r="AF238" s="29" t="inlineStr">
        <is>
          <t>208개 반도체 reference universe. Valuation Agent가 자체 intake 폴더로 복제해 Peer/ML/대시보드 비교에 사용.</t>
        </is>
      </c>
    </row>
    <row r="239" ht="24" customHeight="1">
      <c r="A239" s="24" t="inlineStr">
        <is>
          <t>172</t>
        </is>
      </c>
      <c r="B239" s="24" t="inlineStr">
        <is>
          <t>해당 없음</t>
        </is>
      </c>
      <c r="C239" s="24" t="inlineStr">
        <is>
          <t>에이치엠넥스</t>
        </is>
      </c>
      <c r="D239" s="24" t="inlineStr">
        <is>
          <t>036170</t>
        </is>
      </c>
      <c r="E239" s="24" t="inlineStr">
        <is>
          <t>KOSDAQ</t>
        </is>
      </c>
      <c r="F239" s="24" t="inlineStr">
        <is>
          <t>후공정/패키징/테스트</t>
        </is>
      </c>
      <c r="G239" s="24" t="inlineStr">
        <is>
          <t>후공정/패키징/테스트</t>
        </is>
      </c>
      <c r="H239" s="24" t="inlineStr">
        <is>
          <t>False</t>
        </is>
      </c>
      <c r="I239" s="24" t="inlineStr">
        <is>
          <t>True</t>
        </is>
      </c>
      <c r="J239" s="24" t="inlineStr">
        <is>
          <t>OK</t>
        </is>
      </c>
      <c r="K239" s="24" t="inlineStr">
        <is>
          <t>데이터 사용 가능</t>
        </is>
      </c>
      <c r="L239" s="24" t="inlineStr">
        <is>
          <t>LOW</t>
        </is>
      </c>
      <c r="M239" s="24" t="inlineStr">
        <is>
          <t>LOW</t>
        </is>
      </c>
      <c r="N239" s="24" t="inlineStr">
        <is>
          <t>0.621037037037037</t>
        </is>
      </c>
      <c r="O239" s="24" t="inlineStr">
        <is>
          <t>FAIR</t>
        </is>
      </c>
      <c r="P239" s="24" t="inlineStr">
        <is>
          <t>FAIR</t>
        </is>
      </c>
      <c r="Q239" s="24" t="inlineStr">
        <is>
          <t>FAIR</t>
        </is>
      </c>
      <c r="R239" s="24" t="inlineStr">
        <is>
          <t>0.7433115072206052</t>
        </is>
      </c>
      <c r="S239" s="24" t="inlineStr">
        <is>
          <t>HIGH</t>
        </is>
      </c>
      <c r="T239" s="24" t="inlineStr">
        <is>
          <t>HIGH</t>
        </is>
      </c>
      <c r="U239" s="24" t="inlineStr">
        <is>
          <t>0.3571428571428571</t>
        </is>
      </c>
      <c r="V239" s="24" t="inlineStr">
        <is>
          <t>MEDIUM_RISK</t>
        </is>
      </c>
      <c r="W239" s="24" t="inlineStr">
        <is>
          <t>중위험</t>
        </is>
      </c>
      <c r="X239" s="24" t="inlineStr">
        <is>
          <t>MEDIUM_RISK</t>
        </is>
      </c>
      <c r="Y239" s="24" t="inlineStr">
        <is>
          <t>0.7084051764737881</t>
        </is>
      </c>
      <c r="Z239" s="24" t="inlineStr">
        <is>
          <t>HIGH</t>
        </is>
      </c>
      <c r="AA239" s="24" t="inlineStr">
        <is>
          <t>HIGH</t>
        </is>
      </c>
      <c r="AB239" s="24" t="inlineStr">
        <is>
          <t>0.3531105059628509</t>
        </is>
      </c>
      <c r="AC239" s="24" t="inlineStr">
        <is>
          <t>True</t>
        </is>
      </c>
      <c r="AD239" s="24" t="inlineStr">
        <is>
          <t>True</t>
        </is>
      </c>
      <c r="AE239" s="24" t="inlineStr">
        <is>
          <t>valuation_credit_ml_overlay_candidate.csv</t>
        </is>
      </c>
      <c r="AF239" s="24" t="inlineStr">
        <is>
          <t>208개 반도체 reference universe. Valuation Agent가 자체 intake 폴더로 복제해 Peer/ML/대시보드 비교에 사용.</t>
        </is>
      </c>
    </row>
    <row r="240" ht="24" customHeight="1">
      <c r="A240" s="29" t="inlineStr">
        <is>
          <t>162</t>
        </is>
      </c>
      <c r="B240" s="29" t="inlineStr">
        <is>
          <t>해당 없음</t>
        </is>
      </c>
      <c r="C240" s="29" t="inlineStr">
        <is>
          <t>리노공업</t>
        </is>
      </c>
      <c r="D240" s="29" t="inlineStr">
        <is>
          <t>058470</t>
        </is>
      </c>
      <c r="E240" s="29" t="inlineStr">
        <is>
          <t>KOSDAQ GLOBAL</t>
        </is>
      </c>
      <c r="F240" s="29" t="inlineStr">
        <is>
          <t>후공정/패키징/테스트</t>
        </is>
      </c>
      <c r="G240" s="29" t="inlineStr">
        <is>
          <t>후공정/패키징/테스트</t>
        </is>
      </c>
      <c r="H240" s="29" t="inlineStr">
        <is>
          <t>False</t>
        </is>
      </c>
      <c r="I240" s="29" t="inlineStr">
        <is>
          <t>True</t>
        </is>
      </c>
      <c r="J240" s="29" t="inlineStr">
        <is>
          <t>OK</t>
        </is>
      </c>
      <c r="K240" s="29" t="inlineStr">
        <is>
          <t>데이터 사용 가능</t>
        </is>
      </c>
      <c r="L240" s="29" t="inlineStr">
        <is>
          <t>LOW</t>
        </is>
      </c>
      <c r="M240" s="29" t="inlineStr">
        <is>
          <t>LOW</t>
        </is>
      </c>
      <c r="N240" s="29" t="inlineStr">
        <is>
          <t>0.6191111111111112</t>
        </is>
      </c>
      <c r="O240" s="29" t="inlineStr">
        <is>
          <t>ATTRACTIVE</t>
        </is>
      </c>
      <c r="P240" s="29" t="inlineStr">
        <is>
          <t>가치 매력</t>
        </is>
      </c>
      <c r="Q240" s="29" t="inlineStr">
        <is>
          <t>ATTRACTIVE</t>
        </is>
      </c>
      <c r="R240" s="29" t="inlineStr">
        <is>
          <t>0.6825301704423244</t>
        </is>
      </c>
      <c r="S240" s="29" t="inlineStr">
        <is>
          <t>MEDIUM</t>
        </is>
      </c>
      <c r="T240" s="29" t="inlineStr">
        <is>
          <t>MEDIUM</t>
        </is>
      </c>
      <c r="U240" s="29" t="inlineStr">
        <is>
          <t>0.0</t>
        </is>
      </c>
      <c r="V240" s="29" t="inlineStr">
        <is>
          <t>LOW_RISK</t>
        </is>
      </c>
      <c r="W240" s="29" t="inlineStr">
        <is>
          <t>저위험</t>
        </is>
      </c>
      <c r="X240" s="29" t="inlineStr">
        <is>
          <t>LOW_RISK</t>
        </is>
      </c>
      <c r="Y240" s="29" t="inlineStr">
        <is>
          <t>0.941163557572434</t>
        </is>
      </c>
      <c r="Z240" s="29" t="inlineStr">
        <is>
          <t>HIGH</t>
        </is>
      </c>
      <c r="AA240" s="29" t="inlineStr">
        <is>
          <t>HIGH</t>
        </is>
      </c>
      <c r="AB240" s="29" t="inlineStr">
        <is>
          <t>0.3137137380028342</t>
        </is>
      </c>
      <c r="AC240" s="29" t="inlineStr">
        <is>
          <t>True</t>
        </is>
      </c>
      <c r="AD240" s="29" t="inlineStr">
        <is>
          <t>True</t>
        </is>
      </c>
      <c r="AE240" s="29" t="inlineStr">
        <is>
          <t>valuation_credit_ml_overlay_candidate.csv</t>
        </is>
      </c>
      <c r="AF240" s="29" t="inlineStr">
        <is>
          <t>208개 반도체 reference universe. Valuation Agent가 자체 intake 폴더로 복제해 Peer/ML/대시보드 비교에 사용.</t>
        </is>
      </c>
    </row>
    <row r="241" ht="24" customHeight="1">
      <c r="A241" s="24" t="inlineStr">
        <is>
          <t>175</t>
        </is>
      </c>
      <c r="B241" s="24" t="inlineStr">
        <is>
          <t>해당 없음</t>
        </is>
      </c>
      <c r="C241" s="24" t="inlineStr">
        <is>
          <t>오킨스전자</t>
        </is>
      </c>
      <c r="D241" s="24" t="inlineStr">
        <is>
          <t>080580</t>
        </is>
      </c>
      <c r="E241" s="24" t="inlineStr">
        <is>
          <t>KOSDAQ</t>
        </is>
      </c>
      <c r="F241" s="24" t="inlineStr">
        <is>
          <t>후공정/패키징/테스트</t>
        </is>
      </c>
      <c r="G241" s="24" t="inlineStr">
        <is>
          <t>후공정/패키징/테스트</t>
        </is>
      </c>
      <c r="H241" s="24" t="inlineStr">
        <is>
          <t>False</t>
        </is>
      </c>
      <c r="I241" s="24" t="inlineStr">
        <is>
          <t>True</t>
        </is>
      </c>
      <c r="J241" s="24" t="inlineStr">
        <is>
          <t>OK</t>
        </is>
      </c>
      <c r="K241" s="24" t="inlineStr">
        <is>
          <t>데이터 사용 가능</t>
        </is>
      </c>
      <c r="L241" s="24" t="inlineStr">
        <is>
          <t>LOW</t>
        </is>
      </c>
      <c r="M241" s="24" t="inlineStr">
        <is>
          <t>LOW</t>
        </is>
      </c>
      <c r="N241" s="24" t="inlineStr">
        <is>
          <t>0.6062222222222222</t>
        </is>
      </c>
      <c r="O241" s="24" t="inlineStr">
        <is>
          <t>ATTRACTIVE</t>
        </is>
      </c>
      <c r="P241" s="24" t="inlineStr">
        <is>
          <t>가치 매력</t>
        </is>
      </c>
      <c r="Q241" s="24" t="inlineStr">
        <is>
          <t>ATTRACTIVE</t>
        </is>
      </c>
      <c r="R241" s="24" t="inlineStr">
        <is>
          <t>0.8105235691914331</t>
        </is>
      </c>
      <c r="S241" s="24" t="inlineStr">
        <is>
          <t>HIGH</t>
        </is>
      </c>
      <c r="T241" s="24" t="inlineStr">
        <is>
          <t>HIGH</t>
        </is>
      </c>
      <c r="U241" s="24" t="inlineStr">
        <is>
          <t>0.2142857142857142</t>
        </is>
      </c>
      <c r="V241" s="24" t="inlineStr">
        <is>
          <t>MEDIUM_RISK</t>
        </is>
      </c>
      <c r="W241" s="24" t="inlineStr">
        <is>
          <t>중위험</t>
        </is>
      </c>
      <c r="X241" s="24" t="inlineStr">
        <is>
          <t>MEDIUM_RISK</t>
        </is>
      </c>
      <c r="Y241" s="24" t="inlineStr">
        <is>
          <t>0.5565647223385506</t>
        </is>
      </c>
      <c r="Z241" s="24" t="inlineStr">
        <is>
          <t>MEDIUM</t>
        </is>
      </c>
      <c r="AA241" s="24" t="inlineStr">
        <is>
          <t>MEDIUM</t>
        </is>
      </c>
      <c r="AB241" s="24" t="inlineStr">
        <is>
          <t>0.05131400931985753</t>
        </is>
      </c>
      <c r="AC241" s="24" t="inlineStr">
        <is>
          <t>False</t>
        </is>
      </c>
      <c r="AD241" s="24" t="inlineStr">
        <is>
          <t>False</t>
        </is>
      </c>
      <c r="AE241" s="24" t="inlineStr">
        <is>
          <t>valuation_credit_ml_overlay_candidate.csv</t>
        </is>
      </c>
      <c r="AF241" s="24" t="inlineStr">
        <is>
          <t>208개 반도체 reference universe. Valuation Agent가 자체 intake 폴더로 복제해 Peer/ML/대시보드 비교에 사용.</t>
        </is>
      </c>
    </row>
    <row r="242" ht="24" customHeight="1">
      <c r="A242" s="29" t="inlineStr">
        <is>
          <t>160</t>
        </is>
      </c>
      <c r="B242" s="29" t="inlineStr">
        <is>
          <t>해당 없음</t>
        </is>
      </c>
      <c r="C242" s="29" t="inlineStr">
        <is>
          <t>디아이</t>
        </is>
      </c>
      <c r="D242" s="29" t="inlineStr">
        <is>
          <t>003160</t>
        </is>
      </c>
      <c r="E242" s="29" t="inlineStr">
        <is>
          <t>KOSPI</t>
        </is>
      </c>
      <c r="F242" s="29" t="inlineStr">
        <is>
          <t>후공정/패키징/테스트</t>
        </is>
      </c>
      <c r="G242" s="29" t="inlineStr">
        <is>
          <t>후공정/패키징/테스트</t>
        </is>
      </c>
      <c r="H242" s="29" t="inlineStr">
        <is>
          <t>False</t>
        </is>
      </c>
      <c r="I242" s="29" t="inlineStr">
        <is>
          <t>True</t>
        </is>
      </c>
      <c r="J242" s="29" t="inlineStr">
        <is>
          <t>OK</t>
        </is>
      </c>
      <c r="K242" s="29" t="inlineStr">
        <is>
          <t>데이터 사용 가능</t>
        </is>
      </c>
      <c r="L242" s="29" t="inlineStr">
        <is>
          <t>LOW</t>
        </is>
      </c>
      <c r="M242" s="29" t="inlineStr">
        <is>
          <t>LOW</t>
        </is>
      </c>
      <c r="N242" s="29" t="inlineStr">
        <is>
          <t>0.5875555555555555</t>
        </is>
      </c>
      <c r="O242" s="29" t="inlineStr">
        <is>
          <t>ATTRACTIVE</t>
        </is>
      </c>
      <c r="P242" s="29" t="inlineStr">
        <is>
          <t>가치 매력</t>
        </is>
      </c>
      <c r="Q242" s="29" t="inlineStr">
        <is>
          <t>ATTRACTIVE</t>
        </is>
      </c>
      <c r="R242" s="29" t="inlineStr">
        <is>
          <t>0.6560906263736197</t>
        </is>
      </c>
      <c r="S242" s="29" t="inlineStr">
        <is>
          <t>MEDIUM</t>
        </is>
      </c>
      <c r="T242" s="29" t="inlineStr">
        <is>
          <t>MEDIUM</t>
        </is>
      </c>
      <c r="U242" s="29" t="inlineStr">
        <is>
          <t>0.0714285714285714</t>
        </is>
      </c>
      <c r="V242" s="29" t="inlineStr">
        <is>
          <t>LOW_RISK</t>
        </is>
      </c>
      <c r="W242" s="29" t="inlineStr">
        <is>
          <t>저위험</t>
        </is>
      </c>
      <c r="X242" s="29" t="inlineStr">
        <is>
          <t>LOW_RISK</t>
        </is>
      </c>
      <c r="Y242" s="29" t="inlineStr">
        <is>
          <t>0.7571818581431954</t>
        </is>
      </c>
      <c r="Z242" s="29" t="inlineStr">
        <is>
          <t>HIGH</t>
        </is>
      </c>
      <c r="AA242" s="29" t="inlineStr">
        <is>
          <t>HIGH</t>
        </is>
      </c>
      <c r="AB242" s="29" t="inlineStr">
        <is>
          <t>0.027510707117244317</t>
        </is>
      </c>
      <c r="AC242" s="29" t="inlineStr">
        <is>
          <t>False</t>
        </is>
      </c>
      <c r="AD242" s="29" t="inlineStr">
        <is>
          <t>False</t>
        </is>
      </c>
      <c r="AE242" s="29" t="inlineStr">
        <is>
          <t>valuation_credit_ml_overlay_candidate.csv</t>
        </is>
      </c>
      <c r="AF242" s="29" t="inlineStr">
        <is>
          <t>208개 반도체 reference universe. Valuation Agent가 자체 intake 폴더로 복제해 Peer/ML/대시보드 비교에 사용.</t>
        </is>
      </c>
    </row>
    <row r="243" ht="24" customHeight="1">
      <c r="A243" s="24" t="inlineStr">
        <is>
          <t>174</t>
        </is>
      </c>
      <c r="B243" s="24" t="inlineStr">
        <is>
          <t>해당 없음</t>
        </is>
      </c>
      <c r="C243" s="24" t="inlineStr">
        <is>
          <t>엑시콘</t>
        </is>
      </c>
      <c r="D243" s="24" t="inlineStr">
        <is>
          <t>092870</t>
        </is>
      </c>
      <c r="E243" s="24" t="inlineStr">
        <is>
          <t>KOSDAQ</t>
        </is>
      </c>
      <c r="F243" s="24" t="inlineStr">
        <is>
          <t>후공정/패키징/테스트</t>
        </is>
      </c>
      <c r="G243" s="24" t="inlineStr">
        <is>
          <t>후공정/패키징/테스트</t>
        </is>
      </c>
      <c r="H243" s="24" t="inlineStr">
        <is>
          <t>False</t>
        </is>
      </c>
      <c r="I243" s="24" t="inlineStr">
        <is>
          <t>True</t>
        </is>
      </c>
      <c r="J243" s="24" t="inlineStr">
        <is>
          <t>OK</t>
        </is>
      </c>
      <c r="K243" s="24" t="inlineStr">
        <is>
          <t>데이터 사용 가능</t>
        </is>
      </c>
      <c r="L243" s="24" t="inlineStr">
        <is>
          <t>LOW</t>
        </is>
      </c>
      <c r="M243" s="24" t="inlineStr">
        <is>
          <t>LOW</t>
        </is>
      </c>
      <c r="N243" s="24" t="inlineStr">
        <is>
          <t>0.5711111111111111</t>
        </is>
      </c>
      <c r="O243" s="24" t="inlineStr">
        <is>
          <t>FAIR</t>
        </is>
      </c>
      <c r="P243" s="24" t="inlineStr">
        <is>
          <t>FAIR</t>
        </is>
      </c>
      <c r="Q243" s="24" t="inlineStr">
        <is>
          <t>FAIR</t>
        </is>
      </c>
      <c r="R243" s="24" t="inlineStr">
        <is>
          <t>0.7870958268046786</t>
        </is>
      </c>
      <c r="S243" s="24" t="inlineStr">
        <is>
          <t>HIGH</t>
        </is>
      </c>
      <c r="T243" s="24" t="inlineStr">
        <is>
          <t>HIGH</t>
        </is>
      </c>
      <c r="U243" s="24" t="inlineStr">
        <is>
          <t>0.2142857142857142</t>
        </is>
      </c>
      <c r="V243" s="24" t="inlineStr">
        <is>
          <t>MEDIUM_RISK</t>
        </is>
      </c>
      <c r="W243" s="24" t="inlineStr">
        <is>
          <t>중위험</t>
        </is>
      </c>
      <c r="X243" s="24" t="inlineStr">
        <is>
          <t>MEDIUM_RISK</t>
        </is>
      </c>
      <c r="Y243" s="24" t="inlineStr">
        <is>
          <t>0.6956414267155251</t>
        </is>
      </c>
      <c r="Z243" s="24" t="inlineStr">
        <is>
          <t>MEDIUM</t>
        </is>
      </c>
      <c r="AA243" s="24" t="inlineStr">
        <is>
          <t>MEDIUM</t>
        </is>
      </c>
      <c r="AB243" s="24" t="inlineStr">
        <is>
          <t>0.09079387845598708</t>
        </is>
      </c>
      <c r="AC243" s="24" t="inlineStr">
        <is>
          <t>False</t>
        </is>
      </c>
      <c r="AD243" s="24" t="inlineStr">
        <is>
          <t>False</t>
        </is>
      </c>
      <c r="AE243" s="24" t="inlineStr">
        <is>
          <t>valuation_credit_ml_overlay_candidate.csv</t>
        </is>
      </c>
      <c r="AF243" s="24" t="inlineStr">
        <is>
          <t>208개 반도체 reference universe. Valuation Agent가 자체 intake 폴더로 복제해 Peer/ML/대시보드 비교에 사용.</t>
        </is>
      </c>
    </row>
    <row r="244" ht="24" customHeight="1">
      <c r="A244" s="29" t="inlineStr">
        <is>
          <t>177</t>
        </is>
      </c>
      <c r="B244" s="29" t="inlineStr">
        <is>
          <t>해당 없음</t>
        </is>
      </c>
      <c r="C244" s="29" t="inlineStr">
        <is>
          <t>우리이앤엘하루틴</t>
        </is>
      </c>
      <c r="D244" s="29" t="inlineStr">
        <is>
          <t>153490</t>
        </is>
      </c>
      <c r="E244" s="29" t="inlineStr">
        <is>
          <t>KOSDAQ</t>
        </is>
      </c>
      <c r="F244" s="29" t="inlineStr">
        <is>
          <t>후공정/패키징/테스트</t>
        </is>
      </c>
      <c r="G244" s="29" t="inlineStr">
        <is>
          <t>후공정/패키징/테스트</t>
        </is>
      </c>
      <c r="H244" s="29" t="inlineStr">
        <is>
          <t>False</t>
        </is>
      </c>
      <c r="I244" s="29" t="inlineStr">
        <is>
          <t>True</t>
        </is>
      </c>
      <c r="J244" s="29" t="inlineStr">
        <is>
          <t>OK</t>
        </is>
      </c>
      <c r="K244" s="29" t="inlineStr">
        <is>
          <t>데이터 사용 가능</t>
        </is>
      </c>
      <c r="L244" s="29" t="inlineStr">
        <is>
          <t>LOW</t>
        </is>
      </c>
      <c r="M244" s="29" t="inlineStr">
        <is>
          <t>LOW</t>
        </is>
      </c>
      <c r="N244" s="29" t="inlineStr">
        <is>
          <t>0.5598518518518519</t>
        </is>
      </c>
      <c r="O244" s="29" t="inlineStr">
        <is>
          <t>FAIR</t>
        </is>
      </c>
      <c r="P244" s="29" t="inlineStr">
        <is>
          <t>FAIR</t>
        </is>
      </c>
      <c r="Q244" s="29" t="inlineStr">
        <is>
          <t>FAIR</t>
        </is>
      </c>
      <c r="R244" s="29" t="inlineStr">
        <is>
          <t>0.803860880134826</t>
        </is>
      </c>
      <c r="S244" s="29" t="inlineStr">
        <is>
          <t>HIGH</t>
        </is>
      </c>
      <c r="T244" s="29" t="inlineStr">
        <is>
          <t>HIGH</t>
        </is>
      </c>
      <c r="U244" s="29" t="inlineStr">
        <is>
          <t>0.1428571428571428</t>
        </is>
      </c>
      <c r="V244" s="29" t="inlineStr">
        <is>
          <t>LOW_RISK</t>
        </is>
      </c>
      <c r="W244" s="29" t="inlineStr">
        <is>
          <t>저위험</t>
        </is>
      </c>
      <c r="X244" s="29" t="inlineStr">
        <is>
          <t>LOW_RISK</t>
        </is>
      </c>
      <c r="Y244" s="29" t="inlineStr">
        <is>
          <t>0.5263237628250668</t>
        </is>
      </c>
      <c r="Z244" s="29" t="inlineStr">
        <is>
          <t>MEDIUM</t>
        </is>
      </c>
      <c r="AA244" s="29" t="inlineStr">
        <is>
          <t>MEDIUM</t>
        </is>
      </c>
      <c r="AB244" s="29" t="inlineStr">
        <is>
          <t>0.12425981563248314</t>
        </is>
      </c>
      <c r="AC244" s="29" t="inlineStr">
        <is>
          <t>False</t>
        </is>
      </c>
      <c r="AD244" s="29" t="inlineStr">
        <is>
          <t>False</t>
        </is>
      </c>
      <c r="AE244" s="29" t="inlineStr">
        <is>
          <t>valuation_credit_ml_overlay_candidate.csv</t>
        </is>
      </c>
      <c r="AF244" s="29" t="inlineStr">
        <is>
          <t>208개 반도체 reference universe. Valuation Agent가 자체 intake 폴더로 복제해 Peer/ML/대시보드 비교에 사용.</t>
        </is>
      </c>
    </row>
    <row r="245" ht="24" customHeight="1">
      <c r="A245" s="24" t="inlineStr">
        <is>
          <t>176</t>
        </is>
      </c>
      <c r="B245" s="24" t="inlineStr">
        <is>
          <t>해당 없음</t>
        </is>
      </c>
      <c r="C245" s="24" t="inlineStr">
        <is>
          <t>와이씨</t>
        </is>
      </c>
      <c r="D245" s="24" t="inlineStr">
        <is>
          <t>232140</t>
        </is>
      </c>
      <c r="E245" s="24" t="inlineStr">
        <is>
          <t>KOSDAQ</t>
        </is>
      </c>
      <c r="F245" s="24" t="inlineStr">
        <is>
          <t>후공정/패키징/테스트</t>
        </is>
      </c>
      <c r="G245" s="24" t="inlineStr">
        <is>
          <t>후공정/패키징/테스트</t>
        </is>
      </c>
      <c r="H245" s="24" t="inlineStr">
        <is>
          <t>False</t>
        </is>
      </c>
      <c r="I245" s="24" t="inlineStr">
        <is>
          <t>True</t>
        </is>
      </c>
      <c r="J245" s="24" t="inlineStr">
        <is>
          <t>OK</t>
        </is>
      </c>
      <c r="K245" s="24" t="inlineStr">
        <is>
          <t>데이터 사용 가능</t>
        </is>
      </c>
      <c r="L245" s="24" t="inlineStr">
        <is>
          <t>LOW</t>
        </is>
      </c>
      <c r="M245" s="24" t="inlineStr">
        <is>
          <t>LOW</t>
        </is>
      </c>
      <c r="N245" s="24" t="inlineStr">
        <is>
          <t>0.5573333333333333</t>
        </is>
      </c>
      <c r="O245" s="24" t="inlineStr">
        <is>
          <t>FAIR</t>
        </is>
      </c>
      <c r="P245" s="24" t="inlineStr">
        <is>
          <t>FAIR</t>
        </is>
      </c>
      <c r="Q245" s="24" t="inlineStr">
        <is>
          <t>FAIR</t>
        </is>
      </c>
      <c r="R245" s="24" t="inlineStr">
        <is>
          <t>0.5813875575219858</t>
        </is>
      </c>
      <c r="S245" s="24" t="inlineStr">
        <is>
          <t>MEDIUM</t>
        </is>
      </c>
      <c r="T245" s="24" t="inlineStr">
        <is>
          <t>MEDIUM</t>
        </is>
      </c>
      <c r="U245" s="24" t="inlineStr">
        <is>
          <t>0.0</t>
        </is>
      </c>
      <c r="V245" s="24" t="inlineStr">
        <is>
          <t>LOW_RISK</t>
        </is>
      </c>
      <c r="W245" s="24" t="inlineStr">
        <is>
          <t>저위험</t>
        </is>
      </c>
      <c r="X245" s="24" t="inlineStr">
        <is>
          <t>LOW_RISK</t>
        </is>
      </c>
      <c r="Y245" s="24" t="inlineStr">
        <is>
          <t>0.9779169949984006</t>
        </is>
      </c>
      <c r="Z245" s="24" t="inlineStr">
        <is>
          <t>HIGH</t>
        </is>
      </c>
      <c r="AA245" s="24" t="inlineStr">
        <is>
          <t>HIGH</t>
        </is>
      </c>
      <c r="AB245" s="24" t="inlineStr">
        <is>
          <t>0.027903490153269303</t>
        </is>
      </c>
      <c r="AC245" s="24" t="inlineStr">
        <is>
          <t>False</t>
        </is>
      </c>
      <c r="AD245" s="24" t="inlineStr">
        <is>
          <t>False</t>
        </is>
      </c>
      <c r="AE245" s="24" t="inlineStr">
        <is>
          <t>valuation_credit_ml_overlay_candidate.csv</t>
        </is>
      </c>
      <c r="AF245" s="24" t="inlineStr">
        <is>
          <t>208개 반도체 reference universe. Valuation Agent가 자체 intake 폴더로 복제해 Peer/ML/대시보드 비교에 사용.</t>
        </is>
      </c>
    </row>
    <row r="246" ht="24" customHeight="1">
      <c r="A246" s="29" t="inlineStr">
        <is>
          <t>155</t>
        </is>
      </c>
      <c r="B246" s="29" t="inlineStr">
        <is>
          <t>해당 없음</t>
        </is>
      </c>
      <c r="C246" s="29" t="inlineStr">
        <is>
          <t>기가비스</t>
        </is>
      </c>
      <c r="D246" s="29" t="inlineStr">
        <is>
          <t>420770</t>
        </is>
      </c>
      <c r="E246" s="29" t="inlineStr">
        <is>
          <t>KOSDAQ</t>
        </is>
      </c>
      <c r="F246" s="29" t="inlineStr">
        <is>
          <t>후공정/패키징/테스트</t>
        </is>
      </c>
      <c r="G246" s="29" t="inlineStr">
        <is>
          <t>후공정/패키징/테스트</t>
        </is>
      </c>
      <c r="H246" s="29" t="inlineStr">
        <is>
          <t>False</t>
        </is>
      </c>
      <c r="I246" s="29" t="inlineStr">
        <is>
          <t>True</t>
        </is>
      </c>
      <c r="J246" s="29" t="inlineStr">
        <is>
          <t>OK_LIMITED_HISTORY_OR_GROWTH_NA</t>
        </is>
      </c>
      <c r="K246" s="29" t="inlineStr">
        <is>
          <t>데이터 사용 가능</t>
        </is>
      </c>
      <c r="L246" s="29" t="inlineStr">
        <is>
          <t>LOW</t>
        </is>
      </c>
      <c r="M246" s="29" t="inlineStr">
        <is>
          <t>LOW</t>
        </is>
      </c>
      <c r="N246" s="29" t="inlineStr">
        <is>
          <t>0.5544444444444445</t>
        </is>
      </c>
      <c r="O246" s="29" t="inlineStr">
        <is>
          <t>FAIR</t>
        </is>
      </c>
      <c r="P246" s="29" t="inlineStr">
        <is>
          <t>FAIR</t>
        </is>
      </c>
      <c r="Q246" s="29" t="inlineStr">
        <is>
          <t>FAIR</t>
        </is>
      </c>
      <c r="R246" s="29" t="inlineStr">
        <is>
          <t>0.604283449323821</t>
        </is>
      </c>
      <c r="S246" s="29" t="inlineStr">
        <is>
          <t>MEDIUM</t>
        </is>
      </c>
      <c r="T246" s="29" t="inlineStr">
        <is>
          <t>MEDIUM</t>
        </is>
      </c>
      <c r="U246" s="29" t="inlineStr">
        <is>
          <t>0.0714285714285714</t>
        </is>
      </c>
      <c r="V246" s="29" t="inlineStr">
        <is>
          <t>LOW_RISK</t>
        </is>
      </c>
      <c r="W246" s="29" t="inlineStr">
        <is>
          <t>저위험</t>
        </is>
      </c>
      <c r="X246" s="29" t="inlineStr">
        <is>
          <t>LOW_RISK</t>
        </is>
      </c>
      <c r="Y246" s="29" t="inlineStr">
        <is>
          <t>0.9462252670112353</t>
        </is>
      </c>
      <c r="Z246" s="29" t="inlineStr">
        <is>
          <t>HIGH</t>
        </is>
      </c>
      <c r="AA246" s="29" t="inlineStr">
        <is>
          <t>HIGH</t>
        </is>
      </c>
      <c r="AB246" s="29" t="inlineStr">
        <is>
          <t>0.34444594339538714</t>
        </is>
      </c>
      <c r="AC246" s="29" t="inlineStr">
        <is>
          <t>True</t>
        </is>
      </c>
      <c r="AD246" s="29" t="inlineStr">
        <is>
          <t>True</t>
        </is>
      </c>
      <c r="AE246" s="29" t="inlineStr">
        <is>
          <t>valuation_credit_ml_overlay_candidate.csv</t>
        </is>
      </c>
      <c r="AF246" s="29" t="inlineStr">
        <is>
          <t>208개 반도체 reference universe. Valuation Agent가 자체 intake 폴더로 복제해 Peer/ML/대시보드 비교에 사용.</t>
        </is>
      </c>
    </row>
    <row r="247" ht="24" customHeight="1">
      <c r="A247" s="24" t="inlineStr">
        <is>
          <t>194</t>
        </is>
      </c>
      <c r="B247" s="24" t="inlineStr">
        <is>
          <t>해당 없음</t>
        </is>
      </c>
      <c r="C247" s="24" t="inlineStr">
        <is>
          <t>해성디에스</t>
        </is>
      </c>
      <c r="D247" s="24" t="inlineStr">
        <is>
          <t>195870</t>
        </is>
      </c>
      <c r="E247" s="24" t="inlineStr">
        <is>
          <t>KOSPI</t>
        </is>
      </c>
      <c r="F247" s="24" t="inlineStr">
        <is>
          <t>후공정/패키징/테스트</t>
        </is>
      </c>
      <c r="G247" s="24" t="inlineStr">
        <is>
          <t>후공정/패키징/테스트</t>
        </is>
      </c>
      <c r="H247" s="24" t="inlineStr">
        <is>
          <t>False</t>
        </is>
      </c>
      <c r="I247" s="24" t="inlineStr">
        <is>
          <t>True</t>
        </is>
      </c>
      <c r="J247" s="24" t="inlineStr">
        <is>
          <t>OK</t>
        </is>
      </c>
      <c r="K247" s="24" t="inlineStr">
        <is>
          <t>데이터 사용 가능</t>
        </is>
      </c>
      <c r="L247" s="24" t="inlineStr">
        <is>
          <t>LOW</t>
        </is>
      </c>
      <c r="M247" s="24" t="inlineStr">
        <is>
          <t>LOW</t>
        </is>
      </c>
      <c r="N247" s="24" t="inlineStr">
        <is>
          <t>0.5333333333333333</t>
        </is>
      </c>
      <c r="O247" s="24" t="inlineStr">
        <is>
          <t>FAIR</t>
        </is>
      </c>
      <c r="P247" s="24" t="inlineStr">
        <is>
          <t>FAIR</t>
        </is>
      </c>
      <c r="Q247" s="24" t="inlineStr">
        <is>
          <t>FAIR</t>
        </is>
      </c>
      <c r="R247" s="24" t="inlineStr">
        <is>
          <t>0.8942165906576592</t>
        </is>
      </c>
      <c r="S247" s="24" t="inlineStr">
        <is>
          <t>HIGH</t>
        </is>
      </c>
      <c r="T247" s="24" t="inlineStr">
        <is>
          <t>HIGH</t>
        </is>
      </c>
      <c r="U247" s="24" t="inlineStr">
        <is>
          <t>0.0714285714285714</t>
        </is>
      </c>
      <c r="V247" s="24" t="inlineStr">
        <is>
          <t>LOW_RISK</t>
        </is>
      </c>
      <c r="W247" s="24" t="inlineStr">
        <is>
          <t>저위험</t>
        </is>
      </c>
      <c r="X247" s="24" t="inlineStr">
        <is>
          <t>LOW_RISK</t>
        </is>
      </c>
      <c r="Y247" s="24" t="inlineStr">
        <is>
          <t>0.7552918248784374</t>
        </is>
      </c>
      <c r="Z247" s="24" t="inlineStr">
        <is>
          <t>HIGH</t>
        </is>
      </c>
      <c r="AA247" s="24" t="inlineStr">
        <is>
          <t>HIGH</t>
        </is>
      </c>
      <c r="AB247" s="24" t="inlineStr">
        <is>
          <t>0.0</t>
        </is>
      </c>
      <c r="AC247" s="24" t="inlineStr">
        <is>
          <t>False</t>
        </is>
      </c>
      <c r="AD247" s="24" t="inlineStr">
        <is>
          <t>False</t>
        </is>
      </c>
      <c r="AE247" s="24" t="inlineStr">
        <is>
          <t>valuation_credit_ml_overlay_candidate.csv</t>
        </is>
      </c>
      <c r="AF247" s="24" t="inlineStr">
        <is>
          <t>208개 반도체 reference universe. Valuation Agent가 자체 intake 폴더로 복제해 Peer/ML/대시보드 비교에 사용.</t>
        </is>
      </c>
    </row>
    <row r="248" ht="24" customHeight="1">
      <c r="A248" s="29" t="inlineStr">
        <is>
          <t>150</t>
        </is>
      </c>
      <c r="B248" s="29" t="inlineStr">
        <is>
          <t>해당 없음</t>
        </is>
      </c>
      <c r="C248" s="29" t="inlineStr">
        <is>
          <t>ISC</t>
        </is>
      </c>
      <c r="D248" s="29" t="inlineStr">
        <is>
          <t>095340</t>
        </is>
      </c>
      <c r="E248" s="29" t="inlineStr">
        <is>
          <t>KOSDAQ GLOBAL</t>
        </is>
      </c>
      <c r="F248" s="29" t="inlineStr">
        <is>
          <t>후공정/패키징/테스트</t>
        </is>
      </c>
      <c r="G248" s="29" t="inlineStr">
        <is>
          <t>후공정/패키징/테스트</t>
        </is>
      </c>
      <c r="H248" s="29" t="inlineStr">
        <is>
          <t>False</t>
        </is>
      </c>
      <c r="I248" s="29" t="inlineStr">
        <is>
          <t>True</t>
        </is>
      </c>
      <c r="J248" s="29" t="inlineStr">
        <is>
          <t>OK</t>
        </is>
      </c>
      <c r="K248" s="29" t="inlineStr">
        <is>
          <t>데이터 사용 가능</t>
        </is>
      </c>
      <c r="L248" s="29" t="inlineStr">
        <is>
          <t>LOW</t>
        </is>
      </c>
      <c r="M248" s="29" t="inlineStr">
        <is>
          <t>LOW</t>
        </is>
      </c>
      <c r="N248" s="29" t="inlineStr">
        <is>
          <t>0.5176296296296296</t>
        </is>
      </c>
      <c r="O248" s="29" t="inlineStr">
        <is>
          <t>FAIR</t>
        </is>
      </c>
      <c r="P248" s="29" t="inlineStr">
        <is>
          <t>FAIR</t>
        </is>
      </c>
      <c r="Q248" s="29" t="inlineStr">
        <is>
          <t>FAIR</t>
        </is>
      </c>
      <c r="R248" s="29" t="inlineStr">
        <is>
          <t>0.5753148434947495</t>
        </is>
      </c>
      <c r="S248" s="29" t="inlineStr">
        <is>
          <t>MEDIUM</t>
        </is>
      </c>
      <c r="T248" s="29" t="inlineStr">
        <is>
          <t>MEDIUM</t>
        </is>
      </c>
      <c r="U248" s="29" t="inlineStr">
        <is>
          <t>0.0</t>
        </is>
      </c>
      <c r="V248" s="29" t="inlineStr">
        <is>
          <t>LOW_RISK</t>
        </is>
      </c>
      <c r="W248" s="29" t="inlineStr">
        <is>
          <t>저위험</t>
        </is>
      </c>
      <c r="X248" s="29" t="inlineStr">
        <is>
          <t>LOW_RISK</t>
        </is>
      </c>
      <c r="Y248" s="29" t="inlineStr">
        <is>
          <t>0.9755870924998499</t>
        </is>
      </c>
      <c r="Z248" s="29" t="inlineStr">
        <is>
          <t>HIGH</t>
        </is>
      </c>
      <c r="AA248" s="29" t="inlineStr">
        <is>
          <t>HIGH</t>
        </is>
      </c>
      <c r="AB248" s="29" t="inlineStr">
        <is>
          <t>0.14006921921799445</t>
        </is>
      </c>
      <c r="AC248" s="29" t="inlineStr">
        <is>
          <t>False</t>
        </is>
      </c>
      <c r="AD248" s="29" t="inlineStr">
        <is>
          <t>False</t>
        </is>
      </c>
      <c r="AE248" s="29" t="inlineStr">
        <is>
          <t>valuation_credit_ml_overlay_candidate.csv</t>
        </is>
      </c>
      <c r="AF248" s="29" t="inlineStr">
        <is>
          <t>208개 반도체 reference universe. Valuation Agent가 자체 intake 폴더로 복제해 Peer/ML/대시보드 비교에 사용.</t>
        </is>
      </c>
    </row>
    <row r="249" ht="24" customHeight="1">
      <c r="A249" s="24" t="inlineStr">
        <is>
          <t>173</t>
        </is>
      </c>
      <c r="B249" s="24" t="inlineStr">
        <is>
          <t>해당 없음</t>
        </is>
      </c>
      <c r="C249" s="24" t="inlineStr">
        <is>
          <t>에이팩트</t>
        </is>
      </c>
      <c r="D249" s="24" t="inlineStr">
        <is>
          <t>200470</t>
        </is>
      </c>
      <c r="E249" s="24" t="inlineStr">
        <is>
          <t>KOSDAQ</t>
        </is>
      </c>
      <c r="F249" s="24" t="inlineStr">
        <is>
          <t>후공정/패키징/테스트</t>
        </is>
      </c>
      <c r="G249" s="24" t="inlineStr">
        <is>
          <t>후공정/패키징/테스트</t>
        </is>
      </c>
      <c r="H249" s="24" t="inlineStr">
        <is>
          <t>False</t>
        </is>
      </c>
      <c r="I249" s="24" t="inlineStr">
        <is>
          <t>True</t>
        </is>
      </c>
      <c r="J249" s="24" t="inlineStr">
        <is>
          <t>OK</t>
        </is>
      </c>
      <c r="K249" s="24" t="inlineStr">
        <is>
          <t>데이터 사용 가능</t>
        </is>
      </c>
      <c r="L249" s="24" t="inlineStr">
        <is>
          <t>LOW</t>
        </is>
      </c>
      <c r="M249" s="24" t="inlineStr">
        <is>
          <t>LOW</t>
        </is>
      </c>
      <c r="N249" s="24" t="inlineStr">
        <is>
          <t>0.5026666666666667</t>
        </is>
      </c>
      <c r="O249" s="24" t="inlineStr">
        <is>
          <t>FAIR</t>
        </is>
      </c>
      <c r="P249" s="24" t="inlineStr">
        <is>
          <t>FAIR</t>
        </is>
      </c>
      <c r="Q249" s="24" t="inlineStr">
        <is>
          <t>FAIR</t>
        </is>
      </c>
      <c r="R249" s="24" t="inlineStr">
        <is>
          <t>0.8010795762920226</t>
        </is>
      </c>
      <c r="S249" s="24" t="inlineStr">
        <is>
          <t>HIGH</t>
        </is>
      </c>
      <c r="T249" s="24" t="inlineStr">
        <is>
          <t>HIGH</t>
        </is>
      </c>
      <c r="U249" s="24" t="inlineStr">
        <is>
          <t>0.4285714285714285</t>
        </is>
      </c>
      <c r="V249" s="24" t="inlineStr">
        <is>
          <t>HIGH_RISK</t>
        </is>
      </c>
      <c r="W249" s="24" t="inlineStr">
        <is>
          <t>고위험</t>
        </is>
      </c>
      <c r="X249" s="24" t="inlineStr">
        <is>
          <t>MEDIUM_RISK</t>
        </is>
      </c>
      <c r="Y249" s="24" t="inlineStr">
        <is>
          <t>0.40666664980482187</t>
        </is>
      </c>
      <c r="Z249" s="24" t="inlineStr">
        <is>
          <t>LOW</t>
        </is>
      </c>
      <c r="AA249" s="24" t="inlineStr">
        <is>
          <t>LOW</t>
        </is>
      </c>
      <c r="AB249" s="24" t="inlineStr">
        <is>
          <t>0.060282917359955154</t>
        </is>
      </c>
      <c r="AC249" s="24" t="inlineStr">
        <is>
          <t>False</t>
        </is>
      </c>
      <c r="AD249" s="24" t="inlineStr">
        <is>
          <t>True</t>
        </is>
      </c>
      <c r="AE249" s="24" t="inlineStr">
        <is>
          <t>valuation_credit_ml_overlay_candidate.csv</t>
        </is>
      </c>
      <c r="AF249" s="24" t="inlineStr">
        <is>
          <t>208개 반도체 reference universe. Valuation Agent가 자체 intake 폴더로 복제해 Peer/ML/대시보드 비교에 사용.</t>
        </is>
      </c>
    </row>
    <row r="250" ht="24" customHeight="1">
      <c r="A250" s="29" t="inlineStr">
        <is>
          <t>166</t>
        </is>
      </c>
      <c r="B250" s="29" t="inlineStr">
        <is>
          <t>해당 없음</t>
        </is>
      </c>
      <c r="C250" s="29" t="inlineStr">
        <is>
          <t>삼성전기</t>
        </is>
      </c>
      <c r="D250" s="29" t="inlineStr">
        <is>
          <t>009150</t>
        </is>
      </c>
      <c r="E250" s="29" t="inlineStr">
        <is>
          <t>KOSPI</t>
        </is>
      </c>
      <c r="F250" s="29" t="inlineStr">
        <is>
          <t>후공정/패키징/테스트</t>
        </is>
      </c>
      <c r="G250" s="29" t="inlineStr">
        <is>
          <t>후공정/패키징/테스트</t>
        </is>
      </c>
      <c r="H250" s="29" t="inlineStr">
        <is>
          <t>False</t>
        </is>
      </c>
      <c r="I250" s="29" t="inlineStr">
        <is>
          <t>True</t>
        </is>
      </c>
      <c r="J250" s="29" t="inlineStr">
        <is>
          <t>OK</t>
        </is>
      </c>
      <c r="K250" s="29" t="inlineStr">
        <is>
          <t>데이터 사용 가능</t>
        </is>
      </c>
      <c r="L250" s="29" t="inlineStr">
        <is>
          <t>LOW</t>
        </is>
      </c>
      <c r="M250" s="29" t="inlineStr">
        <is>
          <t>LOW</t>
        </is>
      </c>
      <c r="N250" s="29" t="inlineStr">
        <is>
          <t>0.4957037037037037</t>
        </is>
      </c>
      <c r="O250" s="29" t="inlineStr">
        <is>
          <t>FAIR</t>
        </is>
      </c>
      <c r="P250" s="29" t="inlineStr">
        <is>
          <t>FAIR</t>
        </is>
      </c>
      <c r="Q250" s="29" t="inlineStr">
        <is>
          <t>FAIR</t>
        </is>
      </c>
      <c r="R250" s="29" t="inlineStr">
        <is>
          <t>0.5297655139045552</t>
        </is>
      </c>
      <c r="S250" s="29" t="inlineStr">
        <is>
          <t>MEDIUM</t>
        </is>
      </c>
      <c r="T250" s="29" t="inlineStr">
        <is>
          <t>MEDIUM</t>
        </is>
      </c>
      <c r="U250" s="29" t="inlineStr">
        <is>
          <t>0.0</t>
        </is>
      </c>
      <c r="V250" s="29" t="inlineStr">
        <is>
          <t>LOW_RISK</t>
        </is>
      </c>
      <c r="W250" s="29" t="inlineStr">
        <is>
          <t>저위험</t>
        </is>
      </c>
      <c r="X250" s="29" t="inlineStr">
        <is>
          <t>LOW_RISK</t>
        </is>
      </c>
      <c r="Y250" s="29" t="inlineStr">
        <is>
          <t>0.9613637696053304</t>
        </is>
      </c>
      <c r="Z250" s="29" t="inlineStr">
        <is>
          <t>HIGH</t>
        </is>
      </c>
      <c r="AA250" s="29" t="inlineStr">
        <is>
          <t>HIGH</t>
        </is>
      </c>
      <c r="AB250" s="29" t="inlineStr">
        <is>
          <t>0.09523408011479967</t>
        </is>
      </c>
      <c r="AC250" s="29" t="inlineStr">
        <is>
          <t>False</t>
        </is>
      </c>
      <c r="AD250" s="29" t="inlineStr">
        <is>
          <t>False</t>
        </is>
      </c>
      <c r="AE250" s="29" t="inlineStr">
        <is>
          <t>valuation_credit_ml_overlay_candidate.csv</t>
        </is>
      </c>
      <c r="AF250" s="29" t="inlineStr">
        <is>
          <t>208개 반도체 reference universe. Valuation Agent가 자체 intake 폴더로 복제해 Peer/ML/대시보드 비교에 사용.</t>
        </is>
      </c>
    </row>
    <row r="251" ht="24" customHeight="1">
      <c r="A251" s="24" t="inlineStr">
        <is>
          <t>171</t>
        </is>
      </c>
      <c r="B251" s="24" t="inlineStr">
        <is>
          <t>해당 없음</t>
        </is>
      </c>
      <c r="C251" s="24" t="inlineStr">
        <is>
          <t>에이엘티</t>
        </is>
      </c>
      <c r="D251" s="24" t="inlineStr">
        <is>
          <t>172670</t>
        </is>
      </c>
      <c r="E251" s="24" t="inlineStr">
        <is>
          <t>KOSDAQ</t>
        </is>
      </c>
      <c r="F251" s="24" t="inlineStr">
        <is>
          <t>후공정/패키징/테스트</t>
        </is>
      </c>
      <c r="G251" s="24" t="inlineStr">
        <is>
          <t>후공정/패키징/테스트</t>
        </is>
      </c>
      <c r="H251" s="24" t="inlineStr">
        <is>
          <t>False</t>
        </is>
      </c>
      <c r="I251" s="24" t="inlineStr">
        <is>
          <t>True</t>
        </is>
      </c>
      <c r="J251" s="24" t="inlineStr">
        <is>
          <t>OK</t>
        </is>
      </c>
      <c r="K251" s="24" t="inlineStr">
        <is>
          <t>데이터 사용 가능</t>
        </is>
      </c>
      <c r="L251" s="24" t="inlineStr">
        <is>
          <t>LOW</t>
        </is>
      </c>
      <c r="M251" s="24" t="inlineStr">
        <is>
          <t>LOW</t>
        </is>
      </c>
      <c r="N251" s="24" t="inlineStr">
        <is>
          <t>0.4877037037037036</t>
        </is>
      </c>
      <c r="O251" s="24" t="inlineStr">
        <is>
          <t>FAIR</t>
        </is>
      </c>
      <c r="P251" s="24" t="inlineStr">
        <is>
          <t>FAIR</t>
        </is>
      </c>
      <c r="Q251" s="24" t="inlineStr">
        <is>
          <t>FAIR</t>
        </is>
      </c>
      <c r="R251" s="24" t="inlineStr">
        <is>
          <t>0.5308622758067901</t>
        </is>
      </c>
      <c r="S251" s="24" t="inlineStr">
        <is>
          <t>MEDIUM</t>
        </is>
      </c>
      <c r="T251" s="24" t="inlineStr">
        <is>
          <t>MEDIUM</t>
        </is>
      </c>
      <c r="U251" s="24" t="inlineStr">
        <is>
          <t>0.3571428571428571</t>
        </is>
      </c>
      <c r="V251" s="24" t="inlineStr">
        <is>
          <t>MEDIUM_RISK</t>
        </is>
      </c>
      <c r="W251" s="24" t="inlineStr">
        <is>
          <t>중위험</t>
        </is>
      </c>
      <c r="X251" s="24" t="inlineStr">
        <is>
          <t>MEDIUM_RISK</t>
        </is>
      </c>
      <c r="Y251" s="24" t="inlineStr">
        <is>
          <t>0.6934148613969219</t>
        </is>
      </c>
      <c r="Z251" s="24" t="inlineStr">
        <is>
          <t>MEDIUM</t>
        </is>
      </c>
      <c r="AA251" s="24" t="inlineStr">
        <is>
          <t>MEDIUM</t>
        </is>
      </c>
      <c r="AB251" s="24" t="inlineStr">
        <is>
          <t>0.07946889412350498</t>
        </is>
      </c>
      <c r="AC251" s="24" t="inlineStr">
        <is>
          <t>False</t>
        </is>
      </c>
      <c r="AD251" s="24" t="inlineStr">
        <is>
          <t>False</t>
        </is>
      </c>
      <c r="AE251" s="24" t="inlineStr">
        <is>
          <t>valuation_credit_ml_overlay_candidate.csv</t>
        </is>
      </c>
      <c r="AF251" s="24" t="inlineStr">
        <is>
          <t>208개 반도체 reference universe. Valuation Agent가 자체 intake 폴더로 복제해 Peer/ML/대시보드 비교에 사용.</t>
        </is>
      </c>
    </row>
    <row r="252" ht="24" customHeight="1">
      <c r="A252" s="29" t="inlineStr">
        <is>
          <t>184</t>
        </is>
      </c>
      <c r="B252" s="29" t="inlineStr">
        <is>
          <t>해당 없음</t>
        </is>
      </c>
      <c r="C252" s="29" t="inlineStr">
        <is>
          <t>큐알티</t>
        </is>
      </c>
      <c r="D252" s="29" t="inlineStr">
        <is>
          <t>405100</t>
        </is>
      </c>
      <c r="E252" s="29" t="inlineStr">
        <is>
          <t>KOSDAQ</t>
        </is>
      </c>
      <c r="F252" s="29" t="inlineStr">
        <is>
          <t>후공정/패키징/테스트</t>
        </is>
      </c>
      <c r="G252" s="29" t="inlineStr">
        <is>
          <t>후공정/패키징/테스트</t>
        </is>
      </c>
      <c r="H252" s="29" t="inlineStr">
        <is>
          <t>False</t>
        </is>
      </c>
      <c r="I252" s="29" t="inlineStr">
        <is>
          <t>True</t>
        </is>
      </c>
      <c r="J252" s="29" t="inlineStr">
        <is>
          <t>OK</t>
        </is>
      </c>
      <c r="K252" s="29" t="inlineStr">
        <is>
          <t>데이터 사용 가능</t>
        </is>
      </c>
      <c r="L252" s="29" t="inlineStr">
        <is>
          <t>LOW</t>
        </is>
      </c>
      <c r="M252" s="29" t="inlineStr">
        <is>
          <t>LOW</t>
        </is>
      </c>
      <c r="N252" s="29" t="inlineStr">
        <is>
          <t>0.4782222222222222</t>
        </is>
      </c>
      <c r="O252" s="29" t="inlineStr">
        <is>
          <t>FAIR</t>
        </is>
      </c>
      <c r="P252" s="29" t="inlineStr">
        <is>
          <t>FAIR</t>
        </is>
      </c>
      <c r="Q252" s="29" t="inlineStr">
        <is>
          <t>ATTRACTIVE</t>
        </is>
      </c>
      <c r="R252" s="29" t="inlineStr">
        <is>
          <t>0.4463498311096922</t>
        </is>
      </c>
      <c r="S252" s="29" t="inlineStr">
        <is>
          <t>LOW</t>
        </is>
      </c>
      <c r="T252" s="29" t="inlineStr">
        <is>
          <t>LOW</t>
        </is>
      </c>
      <c r="U252" s="29" t="inlineStr">
        <is>
          <t>0.0</t>
        </is>
      </c>
      <c r="V252" s="29" t="inlineStr">
        <is>
          <t>LOW_RISK</t>
        </is>
      </c>
      <c r="W252" s="29" t="inlineStr">
        <is>
          <t>저위험</t>
        </is>
      </c>
      <c r="X252" s="29" t="inlineStr">
        <is>
          <t>LOW_RISK</t>
        </is>
      </c>
      <c r="Y252" s="29" t="inlineStr">
        <is>
          <t>0.8693080817598533</t>
        </is>
      </c>
      <c r="Z252" s="29" t="inlineStr">
        <is>
          <t>HIGH</t>
        </is>
      </c>
      <c r="AA252" s="29" t="inlineStr">
        <is>
          <t>HIGH</t>
        </is>
      </c>
      <c r="AB252" s="29" t="inlineStr">
        <is>
          <t>0.014158930737617927</t>
        </is>
      </c>
      <c r="AC252" s="29" t="inlineStr">
        <is>
          <t>False</t>
        </is>
      </c>
      <c r="AD252" s="29" t="inlineStr">
        <is>
          <t>True</t>
        </is>
      </c>
      <c r="AE252" s="29" t="inlineStr">
        <is>
          <t>valuation_credit_ml_overlay_candidate.csv</t>
        </is>
      </c>
      <c r="AF252" s="29" t="inlineStr">
        <is>
          <t>208개 반도체 reference universe. Valuation Agent가 자체 intake 폴더로 복제해 Peer/ML/대시보드 비교에 사용.</t>
        </is>
      </c>
    </row>
    <row r="253" ht="24" customHeight="1">
      <c r="A253" s="24" t="inlineStr">
        <is>
          <t>192</t>
        </is>
      </c>
      <c r="B253" s="24" t="inlineStr">
        <is>
          <t>hanmi</t>
        </is>
      </c>
      <c r="C253" s="24" t="inlineStr">
        <is>
          <t>한미반도체</t>
        </is>
      </c>
      <c r="D253" s="24" t="inlineStr">
        <is>
          <t>042700</t>
        </is>
      </c>
      <c r="E253" s="24" t="inlineStr">
        <is>
          <t>KOSPI</t>
        </is>
      </c>
      <c r="F253" s="24" t="inlineStr">
        <is>
          <t>후공정/패키징/테스트</t>
        </is>
      </c>
      <c r="G253" s="24" t="inlineStr">
        <is>
          <t>후공정/패키징/테스트</t>
        </is>
      </c>
      <c r="H253" s="24" t="inlineStr">
        <is>
          <t>True</t>
        </is>
      </c>
      <c r="I253" s="24" t="inlineStr">
        <is>
          <t>True</t>
        </is>
      </c>
      <c r="J253" s="24" t="inlineStr">
        <is>
          <t>OK</t>
        </is>
      </c>
      <c r="K253" s="24" t="inlineStr">
        <is>
          <t>데이터 사용 가능</t>
        </is>
      </c>
      <c r="L253" s="24" t="inlineStr">
        <is>
          <t>LOW</t>
        </is>
      </c>
      <c r="M253" s="24" t="inlineStr">
        <is>
          <t>LOW</t>
        </is>
      </c>
      <c r="N253" s="24" t="inlineStr">
        <is>
          <t>0.4712592592592592</t>
        </is>
      </c>
      <c r="O253" s="24" t="inlineStr">
        <is>
          <t>FAIR</t>
        </is>
      </c>
      <c r="P253" s="24" t="inlineStr">
        <is>
          <t>FAIR</t>
        </is>
      </c>
      <c r="Q253" s="24" t="inlineStr">
        <is>
          <t>FAIR</t>
        </is>
      </c>
      <c r="R253" s="24" t="inlineStr">
        <is>
          <t>0.618072727307107</t>
        </is>
      </c>
      <c r="S253" s="24" t="inlineStr">
        <is>
          <t>MEDIUM</t>
        </is>
      </c>
      <c r="T253" s="24" t="inlineStr">
        <is>
          <t>MEDIUM</t>
        </is>
      </c>
      <c r="U253" s="24" t="inlineStr">
        <is>
          <t>0.0</t>
        </is>
      </c>
      <c r="V253" s="24" t="inlineStr">
        <is>
          <t>LOW_RISK</t>
        </is>
      </c>
      <c r="W253" s="24" t="inlineStr">
        <is>
          <t>저위험</t>
        </is>
      </c>
      <c r="X253" s="24" t="inlineStr">
        <is>
          <t>LOW_RISK</t>
        </is>
      </c>
      <c r="Y253" s="24" t="inlineStr">
        <is>
          <t>0.9350232170644448</t>
        </is>
      </c>
      <c r="Z253" s="24" t="inlineStr">
        <is>
          <t>HIGH</t>
        </is>
      </c>
      <c r="AA253" s="24" t="inlineStr">
        <is>
          <t>HIGH</t>
        </is>
      </c>
      <c r="AB253" s="24" t="inlineStr">
        <is>
          <t>0.2707179947680644</t>
        </is>
      </c>
      <c r="AC253" s="24" t="inlineStr">
        <is>
          <t>True</t>
        </is>
      </c>
      <c r="AD253" s="24" t="inlineStr">
        <is>
          <t>True</t>
        </is>
      </c>
      <c r="AE253" s="24" t="inlineStr">
        <is>
          <t>valuation_credit_ml_overlay_candidate.csv</t>
        </is>
      </c>
      <c r="AF253" s="24" t="inlineStr">
        <is>
          <t>208개 반도체 reference universe. Valuation Agent가 자체 intake 폴더로 복제해 Peer/ML/대시보드 비교에 사용.</t>
        </is>
      </c>
    </row>
    <row r="254" ht="24" customHeight="1">
      <c r="A254" s="29" t="inlineStr">
        <is>
          <t>185</t>
        </is>
      </c>
      <c r="B254" s="29" t="inlineStr">
        <is>
          <t>해당 없음</t>
        </is>
      </c>
      <c r="C254" s="29" t="inlineStr">
        <is>
          <t>큐엠씨</t>
        </is>
      </c>
      <c r="D254" s="29" t="inlineStr">
        <is>
          <t>136660</t>
        </is>
      </c>
      <c r="E254" s="29" t="inlineStr">
        <is>
          <t>KONEX</t>
        </is>
      </c>
      <c r="F254" s="29" t="inlineStr">
        <is>
          <t>후공정/패키징/테스트</t>
        </is>
      </c>
      <c r="G254" s="29" t="inlineStr">
        <is>
          <t>후공정/패키징/테스트</t>
        </is>
      </c>
      <c r="H254" s="29" t="inlineStr">
        <is>
          <t>False</t>
        </is>
      </c>
      <c r="I254" s="29" t="inlineStr">
        <is>
          <t>True</t>
        </is>
      </c>
      <c r="J254" s="29" t="inlineStr">
        <is>
          <t>NO_DART_FINANCIAL_DATA</t>
        </is>
      </c>
      <c r="K254" s="29" t="inlineStr">
        <is>
          <t>데이터 사용 가능</t>
        </is>
      </c>
      <c r="L254" s="29" t="inlineStr">
        <is>
          <t>HIGH</t>
        </is>
      </c>
      <c r="M254" s="29" t="inlineStr">
        <is>
          <t>HIGH</t>
        </is>
      </c>
      <c r="N254" s="29" t="inlineStr">
        <is>
          <t>0.4711111111111111</t>
        </is>
      </c>
      <c r="O254" s="29" t="inlineStr">
        <is>
          <t>FAIR</t>
        </is>
      </c>
      <c r="P254" s="29" t="inlineStr">
        <is>
          <t>FAIR</t>
        </is>
      </c>
      <c r="Q254" s="29" t="inlineStr">
        <is>
          <t>FAIR</t>
        </is>
      </c>
      <c r="R254" s="29" t="inlineStr">
        <is>
          <t>0.9731046168075388</t>
        </is>
      </c>
      <c r="S254" s="29" t="inlineStr">
        <is>
          <t>HIGH</t>
        </is>
      </c>
      <c r="T254" s="29" t="inlineStr">
        <is>
          <t>HIGH</t>
        </is>
      </c>
      <c r="U254" s="29" t="inlineStr">
        <is>
          <t>0.2857142857142857</t>
        </is>
      </c>
      <c r="V254" s="29" t="inlineStr">
        <is>
          <t>MEDIUM_RISK</t>
        </is>
      </c>
      <c r="W254" s="29" t="inlineStr">
        <is>
          <t>중위험</t>
        </is>
      </c>
      <c r="X254" s="29" t="inlineStr">
        <is>
          <t>MEDIUM_RISK</t>
        </is>
      </c>
      <c r="Y254" s="29" t="inlineStr">
        <is>
          <t>0.7892126449586269</t>
        </is>
      </c>
      <c r="Z254" s="29" t="inlineStr">
        <is>
          <t>HIGH</t>
        </is>
      </c>
      <c r="AA254" s="29" t="inlineStr">
        <is>
          <t>HIGH</t>
        </is>
      </c>
      <c r="AB254" s="29" t="inlineStr">
        <is>
          <t>0.07859474908410963</t>
        </is>
      </c>
      <c r="AC254" s="29" t="inlineStr">
        <is>
          <t>False</t>
        </is>
      </c>
      <c r="AD254" s="29" t="inlineStr">
        <is>
          <t>True</t>
        </is>
      </c>
      <c r="AE254" s="29" t="inlineStr">
        <is>
          <t>valuation_credit_ml_overlay_candidate.csv</t>
        </is>
      </c>
      <c r="AF254" s="29" t="inlineStr">
        <is>
          <t>208개 반도체 reference universe. Valuation Agent가 자체 intake 폴더로 복제해 Peer/ML/대시보드 비교에 사용.</t>
        </is>
      </c>
    </row>
    <row r="255" ht="24" customHeight="1">
      <c r="A255" s="24" t="inlineStr">
        <is>
          <t>161</t>
        </is>
      </c>
      <c r="B255" s="24" t="inlineStr">
        <is>
          <t>해당 없음</t>
        </is>
      </c>
      <c r="C255" s="24" t="inlineStr">
        <is>
          <t>럭스피아</t>
        </is>
      </c>
      <c r="D255" s="24" t="inlineStr">
        <is>
          <t>092590</t>
        </is>
      </c>
      <c r="E255" s="24" t="inlineStr">
        <is>
          <t>KONEX</t>
        </is>
      </c>
      <c r="F255" s="24" t="inlineStr">
        <is>
          <t>후공정/패키징/테스트</t>
        </is>
      </c>
      <c r="G255" s="24" t="inlineStr">
        <is>
          <t>후공정/패키징/테스트</t>
        </is>
      </c>
      <c r="H255" s="24" t="inlineStr">
        <is>
          <t>False</t>
        </is>
      </c>
      <c r="I255" s="24" t="inlineStr">
        <is>
          <t>True</t>
        </is>
      </c>
      <c r="J255" s="24" t="inlineStr">
        <is>
          <t>NO_DART_FINANCIAL_DATA</t>
        </is>
      </c>
      <c r="K255" s="24" t="inlineStr">
        <is>
          <t>데이터 사용 가능</t>
        </is>
      </c>
      <c r="L255" s="24" t="inlineStr">
        <is>
          <t>HIGH</t>
        </is>
      </c>
      <c r="M255" s="24" t="inlineStr">
        <is>
          <t>HIGH</t>
        </is>
      </c>
      <c r="N255" s="24" t="inlineStr">
        <is>
          <t>0.4681481481481481</t>
        </is>
      </c>
      <c r="O255" s="24" t="inlineStr">
        <is>
          <t>FAIR</t>
        </is>
      </c>
      <c r="P255" s="24" t="inlineStr">
        <is>
          <t>FAIR</t>
        </is>
      </c>
      <c r="Q255" s="24" t="inlineStr">
        <is>
          <t>FAIR</t>
        </is>
      </c>
      <c r="R255" s="24" t="inlineStr">
        <is>
          <t>0.969533908094729</t>
        </is>
      </c>
      <c r="S255" s="24" t="inlineStr">
        <is>
          <t>HIGH</t>
        </is>
      </c>
      <c r="T255" s="24" t="inlineStr">
        <is>
          <t>HIGH</t>
        </is>
      </c>
      <c r="U255" s="24" t="inlineStr">
        <is>
          <t>0.2857142857142857</t>
        </is>
      </c>
      <c r="V255" s="24" t="inlineStr">
        <is>
          <t>MEDIUM_RISK</t>
        </is>
      </c>
      <c r="W255" s="24" t="inlineStr">
        <is>
          <t>중위험</t>
        </is>
      </c>
      <c r="X255" s="24" t="inlineStr">
        <is>
          <t>MEDIUM_RISK</t>
        </is>
      </c>
      <c r="Y255" s="24" t="inlineStr">
        <is>
          <t>0.7911598348888624</t>
        </is>
      </c>
      <c r="Z255" s="24" t="inlineStr">
        <is>
          <t>HIGH</t>
        </is>
      </c>
      <c r="AA255" s="24" t="inlineStr">
        <is>
          <t>HIGH</t>
        </is>
      </c>
      <c r="AB255" s="24" t="inlineStr">
        <is>
          <t>0.2507708118458056</t>
        </is>
      </c>
      <c r="AC255" s="24" t="inlineStr">
        <is>
          <t>True</t>
        </is>
      </c>
      <c r="AD255" s="24" t="inlineStr">
        <is>
          <t>True</t>
        </is>
      </c>
      <c r="AE255" s="24" t="inlineStr">
        <is>
          <t>valuation_credit_ml_overlay_candidate.csv</t>
        </is>
      </c>
      <c r="AF255" s="24" t="inlineStr">
        <is>
          <t>208개 반도체 reference universe. Valuation Agent가 자체 intake 폴더로 복제해 Peer/ML/대시보드 비교에 사용.</t>
        </is>
      </c>
    </row>
    <row r="256" ht="24" customHeight="1">
      <c r="A256" s="29" t="inlineStr">
        <is>
          <t>170</t>
        </is>
      </c>
      <c r="B256" s="29" t="inlineStr">
        <is>
          <t>해당 없음</t>
        </is>
      </c>
      <c r="C256" s="29" t="inlineStr">
        <is>
          <t>아이텍</t>
        </is>
      </c>
      <c r="D256" s="29" t="inlineStr">
        <is>
          <t>119830</t>
        </is>
      </c>
      <c r="E256" s="29" t="inlineStr">
        <is>
          <t>KOSDAQ</t>
        </is>
      </c>
      <c r="F256" s="29" t="inlineStr">
        <is>
          <t>후공정/패키징/테스트</t>
        </is>
      </c>
      <c r="G256" s="29" t="inlineStr">
        <is>
          <t>후공정/패키징/테스트</t>
        </is>
      </c>
      <c r="H256" s="29" t="inlineStr">
        <is>
          <t>False</t>
        </is>
      </c>
      <c r="I256" s="29" t="inlineStr">
        <is>
          <t>True</t>
        </is>
      </c>
      <c r="J256" s="29" t="inlineStr">
        <is>
          <t>OK</t>
        </is>
      </c>
      <c r="K256" s="29" t="inlineStr">
        <is>
          <t>데이터 사용 가능</t>
        </is>
      </c>
      <c r="L256" s="29" t="inlineStr">
        <is>
          <t>LOW</t>
        </is>
      </c>
      <c r="M256" s="29" t="inlineStr">
        <is>
          <t>LOW</t>
        </is>
      </c>
      <c r="N256" s="29" t="inlineStr">
        <is>
          <t>0.4573333333333333</t>
        </is>
      </c>
      <c r="O256" s="29" t="inlineStr">
        <is>
          <t>FAIR</t>
        </is>
      </c>
      <c r="P256" s="29" t="inlineStr">
        <is>
          <t>FAIR</t>
        </is>
      </c>
      <c r="Q256" s="29" t="inlineStr">
        <is>
          <t>FAIR</t>
        </is>
      </c>
      <c r="R256" s="29" t="inlineStr">
        <is>
          <t>0.6018206034002739</t>
        </is>
      </c>
      <c r="S256" s="29" t="inlineStr">
        <is>
          <t>MEDIUM</t>
        </is>
      </c>
      <c r="T256" s="29" t="inlineStr">
        <is>
          <t>MEDIUM</t>
        </is>
      </c>
      <c r="U256" s="29" t="inlineStr">
        <is>
          <t>0.2142857142857142</t>
        </is>
      </c>
      <c r="V256" s="29" t="inlineStr">
        <is>
          <t>MEDIUM_RISK</t>
        </is>
      </c>
      <c r="W256" s="29" t="inlineStr">
        <is>
          <t>중위험</t>
        </is>
      </c>
      <c r="X256" s="29" t="inlineStr">
        <is>
          <t>MEDIUM_RISK</t>
        </is>
      </c>
      <c r="Y256" s="29" t="inlineStr">
        <is>
          <t>0.793957358322354</t>
        </is>
      </c>
      <c r="Z256" s="29" t="inlineStr">
        <is>
          <t>HIGH</t>
        </is>
      </c>
      <c r="AA256" s="29" t="inlineStr">
        <is>
          <t>HIGH</t>
        </is>
      </c>
      <c r="AB256" s="29" t="inlineStr">
        <is>
          <t>0.17465361432297097</t>
        </is>
      </c>
      <c r="AC256" s="29" t="inlineStr">
        <is>
          <t>False</t>
        </is>
      </c>
      <c r="AD256" s="29" t="inlineStr">
        <is>
          <t>False</t>
        </is>
      </c>
      <c r="AE256" s="29" t="inlineStr">
        <is>
          <t>valuation_credit_ml_overlay_candidate.csv</t>
        </is>
      </c>
      <c r="AF256" s="29" t="inlineStr">
        <is>
          <t>208개 반도체 reference universe. Valuation Agent가 자체 intake 폴더로 복제해 Peer/ML/대시보드 비교에 사용.</t>
        </is>
      </c>
    </row>
    <row r="257" ht="24" customHeight="1">
      <c r="A257" s="24" t="inlineStr">
        <is>
          <t>179</t>
        </is>
      </c>
      <c r="B257" s="24" t="inlineStr">
        <is>
          <t>해당 없음</t>
        </is>
      </c>
      <c r="C257" s="24" t="inlineStr">
        <is>
          <t>윈팩</t>
        </is>
      </c>
      <c r="D257" s="24" t="inlineStr">
        <is>
          <t>097800</t>
        </is>
      </c>
      <c r="E257" s="24" t="inlineStr">
        <is>
          <t>KOSDAQ</t>
        </is>
      </c>
      <c r="F257" s="24" t="inlineStr">
        <is>
          <t>후공정/패키징/테스트</t>
        </is>
      </c>
      <c r="G257" s="24" t="inlineStr">
        <is>
          <t>후공정/패키징/테스트</t>
        </is>
      </c>
      <c r="H257" s="24" t="inlineStr">
        <is>
          <t>False</t>
        </is>
      </c>
      <c r="I257" s="24" t="inlineStr">
        <is>
          <t>True</t>
        </is>
      </c>
      <c r="J257" s="24" t="inlineStr">
        <is>
          <t>OK</t>
        </is>
      </c>
      <c r="K257" s="24" t="inlineStr">
        <is>
          <t>데이터 사용 가능</t>
        </is>
      </c>
      <c r="L257" s="24" t="inlineStr">
        <is>
          <t>LOW</t>
        </is>
      </c>
      <c r="M257" s="24" t="inlineStr">
        <is>
          <t>LOW</t>
        </is>
      </c>
      <c r="N257" s="24" t="inlineStr">
        <is>
          <t>0.4417777777777778</t>
        </is>
      </c>
      <c r="O257" s="24" t="inlineStr">
        <is>
          <t>FAIR</t>
        </is>
      </c>
      <c r="P257" s="24" t="inlineStr">
        <is>
          <t>FAIR</t>
        </is>
      </c>
      <c r="Q257" s="24" t="inlineStr">
        <is>
          <t>FAIR</t>
        </is>
      </c>
      <c r="R257" s="24" t="inlineStr">
        <is>
          <t>0.5735742758518154</t>
        </is>
      </c>
      <c r="S257" s="24" t="inlineStr">
        <is>
          <t>MEDIUM</t>
        </is>
      </c>
      <c r="T257" s="24" t="inlineStr">
        <is>
          <t>MEDIUM</t>
        </is>
      </c>
      <c r="U257" s="24" t="inlineStr">
        <is>
          <t>0.7142857142857143</t>
        </is>
      </c>
      <c r="V257" s="24" t="inlineStr">
        <is>
          <t>HIGH_RISK</t>
        </is>
      </c>
      <c r="W257" s="24" t="inlineStr">
        <is>
          <t>고위험</t>
        </is>
      </c>
      <c r="X257" s="24" t="inlineStr">
        <is>
          <t>HIGH_RISK</t>
        </is>
      </c>
      <c r="Y257" s="24" t="inlineStr">
        <is>
          <t>0.9273765785577542</t>
        </is>
      </c>
      <c r="Z257" s="24" t="inlineStr">
        <is>
          <t>HIGH</t>
        </is>
      </c>
      <c r="AA257" s="24" t="inlineStr">
        <is>
          <t>HIGH</t>
        </is>
      </c>
      <c r="AB257" s="24" t="inlineStr">
        <is>
          <t>0.09157899320413745</t>
        </is>
      </c>
      <c r="AC257" s="24" t="inlineStr">
        <is>
          <t>False</t>
        </is>
      </c>
      <c r="AD257" s="24" t="inlineStr">
        <is>
          <t>False</t>
        </is>
      </c>
      <c r="AE257" s="24" t="inlineStr">
        <is>
          <t>valuation_credit_ml_overlay_candidate.csv</t>
        </is>
      </c>
      <c r="AF257" s="24" t="inlineStr">
        <is>
          <t>208개 반도체 reference universe. Valuation Agent가 자체 intake 폴더로 복제해 Peer/ML/대시보드 비교에 사용.</t>
        </is>
      </c>
    </row>
    <row r="258" ht="24" customHeight="1">
      <c r="A258" s="29" t="inlineStr">
        <is>
          <t>187</t>
        </is>
      </c>
      <c r="B258" s="29" t="inlineStr">
        <is>
          <t>해당 없음</t>
        </is>
      </c>
      <c r="C258" s="29" t="inlineStr">
        <is>
          <t>팸텍</t>
        </is>
      </c>
      <c r="D258" s="29" t="inlineStr">
        <is>
          <t>271830</t>
        </is>
      </c>
      <c r="E258" s="29" t="inlineStr">
        <is>
          <t>KOSDAQ</t>
        </is>
      </c>
      <c r="F258" s="29" t="inlineStr">
        <is>
          <t>후공정/패키징/테스트</t>
        </is>
      </c>
      <c r="G258" s="29" t="inlineStr">
        <is>
          <t>후공정/패키징/테스트</t>
        </is>
      </c>
      <c r="H258" s="29" t="inlineStr">
        <is>
          <t>False</t>
        </is>
      </c>
      <c r="I258" s="29" t="inlineStr">
        <is>
          <t>True</t>
        </is>
      </c>
      <c r="J258" s="29" t="inlineStr">
        <is>
          <t>OK</t>
        </is>
      </c>
      <c r="K258" s="29" t="inlineStr">
        <is>
          <t>데이터 사용 가능</t>
        </is>
      </c>
      <c r="L258" s="29" t="inlineStr">
        <is>
          <t>LOW</t>
        </is>
      </c>
      <c r="M258" s="29" t="inlineStr">
        <is>
          <t>LOW</t>
        </is>
      </c>
      <c r="N258" s="29" t="inlineStr">
        <is>
          <t>0.4402962962962963</t>
        </is>
      </c>
      <c r="O258" s="29" t="inlineStr">
        <is>
          <t>FAIR</t>
        </is>
      </c>
      <c r="P258" s="29" t="inlineStr">
        <is>
          <t>FAIR</t>
        </is>
      </c>
      <c r="Q258" s="29" t="inlineStr">
        <is>
          <t>FAIR</t>
        </is>
      </c>
      <c r="R258" s="29" t="inlineStr">
        <is>
          <t>0.6809009837226325</t>
        </is>
      </c>
      <c r="S258" s="29" t="inlineStr">
        <is>
          <t>MEDIUM</t>
        </is>
      </c>
      <c r="T258" s="29" t="inlineStr">
        <is>
          <t>MEDIUM</t>
        </is>
      </c>
      <c r="U258" s="29" t="inlineStr">
        <is>
          <t>0.5714285714285714</t>
        </is>
      </c>
      <c r="V258" s="29" t="inlineStr">
        <is>
          <t>HIGH_RISK</t>
        </is>
      </c>
      <c r="W258" s="29" t="inlineStr">
        <is>
          <t>고위험</t>
        </is>
      </c>
      <c r="X258" s="29" t="inlineStr">
        <is>
          <t>HIGH_RISK</t>
        </is>
      </c>
      <c r="Y258" s="29" t="inlineStr">
        <is>
          <t>0.9054415631219938</t>
        </is>
      </c>
      <c r="Z258" s="29" t="inlineStr">
        <is>
          <t>HIGH</t>
        </is>
      </c>
      <c r="AA258" s="29" t="inlineStr">
        <is>
          <t>HIGH</t>
        </is>
      </c>
      <c r="AB258" s="29" t="inlineStr">
        <is>
          <t>0.08867309587377735</t>
        </is>
      </c>
      <c r="AC258" s="29" t="inlineStr">
        <is>
          <t>False</t>
        </is>
      </c>
      <c r="AD258" s="29" t="inlineStr">
        <is>
          <t>False</t>
        </is>
      </c>
      <c r="AE258" s="29" t="inlineStr">
        <is>
          <t>valuation_credit_ml_overlay_candidate.csv</t>
        </is>
      </c>
      <c r="AF258" s="29" t="inlineStr">
        <is>
          <t>208개 반도체 reference universe. Valuation Agent가 자체 intake 폴더로 복제해 Peer/ML/대시보드 비교에 사용.</t>
        </is>
      </c>
    </row>
    <row r="259" ht="24" customHeight="1">
      <c r="A259" s="24" t="inlineStr">
        <is>
          <t>152</t>
        </is>
      </c>
      <c r="B259" s="24" t="inlineStr">
        <is>
          <t>해당 없음</t>
        </is>
      </c>
      <c r="C259" s="24" t="inlineStr">
        <is>
          <t>LB세미콘</t>
        </is>
      </c>
      <c r="D259" s="24" t="inlineStr">
        <is>
          <t>061970</t>
        </is>
      </c>
      <c r="E259" s="24" t="inlineStr">
        <is>
          <t>KOSDAQ</t>
        </is>
      </c>
      <c r="F259" s="24" t="inlineStr">
        <is>
          <t>후공정/패키징/테스트</t>
        </is>
      </c>
      <c r="G259" s="24" t="inlineStr">
        <is>
          <t>후공정/패키징/테스트</t>
        </is>
      </c>
      <c r="H259" s="24" t="inlineStr">
        <is>
          <t>False</t>
        </is>
      </c>
      <c r="I259" s="24" t="inlineStr">
        <is>
          <t>True</t>
        </is>
      </c>
      <c r="J259" s="24" t="inlineStr">
        <is>
          <t>OK</t>
        </is>
      </c>
      <c r="K259" s="24" t="inlineStr">
        <is>
          <t>데이터 사용 가능</t>
        </is>
      </c>
      <c r="L259" s="24" t="inlineStr">
        <is>
          <t>LOW</t>
        </is>
      </c>
      <c r="M259" s="24" t="inlineStr">
        <is>
          <t>LOW</t>
        </is>
      </c>
      <c r="N259" s="24" t="inlineStr">
        <is>
          <t>0.4394074074074074</t>
        </is>
      </c>
      <c r="O259" s="24" t="inlineStr">
        <is>
          <t>FAIR</t>
        </is>
      </c>
      <c r="P259" s="24" t="inlineStr">
        <is>
          <t>FAIR</t>
        </is>
      </c>
      <c r="Q259" s="24" t="inlineStr">
        <is>
          <t>FAIR</t>
        </is>
      </c>
      <c r="R259" s="24" t="inlineStr">
        <is>
          <t>0.519835518569549</t>
        </is>
      </c>
      <c r="S259" s="24" t="inlineStr">
        <is>
          <t>MEDIUM</t>
        </is>
      </c>
      <c r="T259" s="24" t="inlineStr">
        <is>
          <t>MEDIUM</t>
        </is>
      </c>
      <c r="U259" s="24" t="inlineStr">
        <is>
          <t>0.5714285714285714</t>
        </is>
      </c>
      <c r="V259" s="24" t="inlineStr">
        <is>
          <t>HIGH_RISK</t>
        </is>
      </c>
      <c r="W259" s="24" t="inlineStr">
        <is>
          <t>고위험</t>
        </is>
      </c>
      <c r="X259" s="24" t="inlineStr">
        <is>
          <t>HIGH_RISK</t>
        </is>
      </c>
      <c r="Y259" s="24" t="inlineStr">
        <is>
          <t>0.8577554718342005</t>
        </is>
      </c>
      <c r="Z259" s="24" t="inlineStr">
        <is>
          <t>HIGH</t>
        </is>
      </c>
      <c r="AA259" s="24" t="inlineStr">
        <is>
          <t>HIGH</t>
        </is>
      </c>
      <c r="AB259" s="24" t="inlineStr">
        <is>
          <t>0.04865368060535977</t>
        </is>
      </c>
      <c r="AC259" s="24" t="inlineStr">
        <is>
          <t>False</t>
        </is>
      </c>
      <c r="AD259" s="24" t="inlineStr">
        <is>
          <t>False</t>
        </is>
      </c>
      <c r="AE259" s="24" t="inlineStr">
        <is>
          <t>valuation_credit_ml_overlay_candidate.csv</t>
        </is>
      </c>
      <c r="AF259" s="24" t="inlineStr">
        <is>
          <t>208개 반도체 reference universe. Valuation Agent가 자체 intake 폴더로 복제해 Peer/ML/대시보드 비교에 사용.</t>
        </is>
      </c>
    </row>
    <row r="260" ht="24" customHeight="1">
      <c r="A260" s="29" t="inlineStr">
        <is>
          <t>183</t>
        </is>
      </c>
      <c r="B260" s="29" t="inlineStr">
        <is>
          <t>해당 없음</t>
        </is>
      </c>
      <c r="C260" s="29" t="inlineStr">
        <is>
          <t>제이티</t>
        </is>
      </c>
      <c r="D260" s="29" t="inlineStr">
        <is>
          <t>089790</t>
        </is>
      </c>
      <c r="E260" s="29" t="inlineStr">
        <is>
          <t>KOSDAQ</t>
        </is>
      </c>
      <c r="F260" s="29" t="inlineStr">
        <is>
          <t>후공정/패키징/테스트</t>
        </is>
      </c>
      <c r="G260" s="29" t="inlineStr">
        <is>
          <t>후공정/패키징/테스트</t>
        </is>
      </c>
      <c r="H260" s="29" t="inlineStr">
        <is>
          <t>False</t>
        </is>
      </c>
      <c r="I260" s="29" t="inlineStr">
        <is>
          <t>True</t>
        </is>
      </c>
      <c r="J260" s="29" t="inlineStr">
        <is>
          <t>OK</t>
        </is>
      </c>
      <c r="K260" s="29" t="inlineStr">
        <is>
          <t>데이터 사용 가능</t>
        </is>
      </c>
      <c r="L260" s="29" t="inlineStr">
        <is>
          <t>LOW</t>
        </is>
      </c>
      <c r="M260" s="29" t="inlineStr">
        <is>
          <t>LOW</t>
        </is>
      </c>
      <c r="N260" s="29" t="inlineStr">
        <is>
          <t>0.4293333333333333</t>
        </is>
      </c>
      <c r="O260" s="29" t="inlineStr">
        <is>
          <t>FAIR</t>
        </is>
      </c>
      <c r="P260" s="29" t="inlineStr">
        <is>
          <t>FAIR</t>
        </is>
      </c>
      <c r="Q260" s="29" t="inlineStr">
        <is>
          <t>FAIR</t>
        </is>
      </c>
      <c r="R260" s="29" t="inlineStr">
        <is>
          <t>0.7953438622461361</t>
        </is>
      </c>
      <c r="S260" s="29" t="inlineStr">
        <is>
          <t>HIGH</t>
        </is>
      </c>
      <c r="T260" s="29" t="inlineStr">
        <is>
          <t>HIGH</t>
        </is>
      </c>
      <c r="U260" s="29" t="inlineStr">
        <is>
          <t>0.2857142857142857</t>
        </is>
      </c>
      <c r="V260" s="29" t="inlineStr">
        <is>
          <t>MEDIUM_RISK</t>
        </is>
      </c>
      <c r="W260" s="29" t="inlineStr">
        <is>
          <t>중위험</t>
        </is>
      </c>
      <c r="X260" s="29" t="inlineStr">
        <is>
          <t>MEDIUM_RISK</t>
        </is>
      </c>
      <c r="Y260" s="29" t="inlineStr">
        <is>
          <t>0.634985809262478</t>
        </is>
      </c>
      <c r="Z260" s="29" t="inlineStr">
        <is>
          <t>MEDIUM</t>
        </is>
      </c>
      <c r="AA260" s="29" t="inlineStr">
        <is>
          <t>MEDIUM</t>
        </is>
      </c>
      <c r="AB260" s="29" t="inlineStr">
        <is>
          <t>0.0037958156542815414</t>
        </is>
      </c>
      <c r="AC260" s="29" t="inlineStr">
        <is>
          <t>False</t>
        </is>
      </c>
      <c r="AD260" s="29" t="inlineStr">
        <is>
          <t>False</t>
        </is>
      </c>
      <c r="AE260" s="29" t="inlineStr">
        <is>
          <t>valuation_credit_ml_overlay_candidate.csv</t>
        </is>
      </c>
      <c r="AF260" s="29" t="inlineStr">
        <is>
          <t>208개 반도체 reference universe. Valuation Agent가 자체 intake 폴더로 복제해 Peer/ML/대시보드 비교에 사용.</t>
        </is>
      </c>
    </row>
    <row r="261" ht="24" customHeight="1">
      <c r="A261" s="24" t="inlineStr">
        <is>
          <t>182</t>
        </is>
      </c>
      <c r="B261" s="24" t="inlineStr">
        <is>
          <t>해당 없음</t>
        </is>
      </c>
      <c r="C261" s="24" t="inlineStr">
        <is>
          <t>제너셈</t>
        </is>
      </c>
      <c r="D261" s="24" t="inlineStr">
        <is>
          <t>217190</t>
        </is>
      </c>
      <c r="E261" s="24" t="inlineStr">
        <is>
          <t>KOSDAQ</t>
        </is>
      </c>
      <c r="F261" s="24" t="inlineStr">
        <is>
          <t>후공정/패키징/테스트</t>
        </is>
      </c>
      <c r="G261" s="24" t="inlineStr">
        <is>
          <t>후공정/패키징/테스트</t>
        </is>
      </c>
      <c r="H261" s="24" t="inlineStr">
        <is>
          <t>False</t>
        </is>
      </c>
      <c r="I261" s="24" t="inlineStr">
        <is>
          <t>True</t>
        </is>
      </c>
      <c r="J261" s="24" t="inlineStr">
        <is>
          <t>HIGH_PRIORITY_MANUAL_REVIEW</t>
        </is>
      </c>
      <c r="K261" s="24" t="inlineStr">
        <is>
          <t>데이터 사용 가능</t>
        </is>
      </c>
      <c r="L261" s="24" t="inlineStr">
        <is>
          <t>HIGH</t>
        </is>
      </c>
      <c r="M261" s="24" t="inlineStr">
        <is>
          <t>HIGH</t>
        </is>
      </c>
      <c r="N261" s="24" t="inlineStr">
        <is>
          <t>0.4278518518518518</t>
        </is>
      </c>
      <c r="O261" s="24" t="inlineStr">
        <is>
          <t>FAIR</t>
        </is>
      </c>
      <c r="P261" s="24" t="inlineStr">
        <is>
          <t>FAIR</t>
        </is>
      </c>
      <c r="Q261" s="24" t="inlineStr">
        <is>
          <t>FAIR</t>
        </is>
      </c>
      <c r="R261" s="24" t="inlineStr">
        <is>
          <t>0.7410125545144256</t>
        </is>
      </c>
      <c r="S261" s="24" t="inlineStr">
        <is>
          <t>HIGH</t>
        </is>
      </c>
      <c r="T261" s="24" t="inlineStr">
        <is>
          <t>HIGH</t>
        </is>
      </c>
      <c r="U261" s="24" t="inlineStr">
        <is>
          <t>0.2857142857142857</t>
        </is>
      </c>
      <c r="V261" s="24" t="inlineStr">
        <is>
          <t>MEDIUM_RISK</t>
        </is>
      </c>
      <c r="W261" s="24" t="inlineStr">
        <is>
          <t>중위험</t>
        </is>
      </c>
      <c r="X261" s="24" t="inlineStr">
        <is>
          <t>MEDIUM_RISK</t>
        </is>
      </c>
      <c r="Y261" s="24" t="inlineStr">
        <is>
          <t>0.7596080290203916</t>
        </is>
      </c>
      <c r="Z261" s="24" t="inlineStr">
        <is>
          <t>HIGH</t>
        </is>
      </c>
      <c r="AA261" s="24" t="inlineStr">
        <is>
          <t>HIGH</t>
        </is>
      </c>
      <c r="AB261" s="24" t="inlineStr">
        <is>
          <t>0.005601152238630833</t>
        </is>
      </c>
      <c r="AC261" s="24" t="inlineStr">
        <is>
          <t>False</t>
        </is>
      </c>
      <c r="AD261" s="24" t="inlineStr">
        <is>
          <t>True</t>
        </is>
      </c>
      <c r="AE261" s="24" t="inlineStr">
        <is>
          <t>valuation_credit_ml_overlay_candidate.csv</t>
        </is>
      </c>
      <c r="AF261" s="24" t="inlineStr">
        <is>
          <t>208개 반도체 reference universe. Valuation Agent가 자체 intake 폴더로 복제해 Peer/ML/대시보드 비교에 사용.</t>
        </is>
      </c>
    </row>
    <row r="262" ht="24" customHeight="1">
      <c r="A262" s="29" t="inlineStr">
        <is>
          <t>158</t>
        </is>
      </c>
      <c r="B262" s="29" t="inlineStr">
        <is>
          <t>해당 없음</t>
        </is>
      </c>
      <c r="C262" s="29" t="inlineStr">
        <is>
          <t>네패스아크</t>
        </is>
      </c>
      <c r="D262" s="29" t="inlineStr">
        <is>
          <t>330860</t>
        </is>
      </c>
      <c r="E262" s="29" t="inlineStr">
        <is>
          <t>KOSDAQ</t>
        </is>
      </c>
      <c r="F262" s="29" t="inlineStr">
        <is>
          <t>후공정/패키징/테스트</t>
        </is>
      </c>
      <c r="G262" s="29" t="inlineStr">
        <is>
          <t>후공정/패키징/테스트</t>
        </is>
      </c>
      <c r="H262" s="29" t="inlineStr">
        <is>
          <t>False</t>
        </is>
      </c>
      <c r="I262" s="29" t="inlineStr">
        <is>
          <t>True</t>
        </is>
      </c>
      <c r="J262" s="29" t="inlineStr">
        <is>
          <t>OK</t>
        </is>
      </c>
      <c r="K262" s="29" t="inlineStr">
        <is>
          <t>데이터 사용 가능</t>
        </is>
      </c>
      <c r="L262" s="29" t="inlineStr">
        <is>
          <t>LOW</t>
        </is>
      </c>
      <c r="M262" s="29" t="inlineStr">
        <is>
          <t>LOW</t>
        </is>
      </c>
      <c r="N262" s="29" t="inlineStr">
        <is>
          <t>0.4207407407407407</t>
        </is>
      </c>
      <c r="O262" s="29" t="inlineStr">
        <is>
          <t>EXPENSIVE</t>
        </is>
      </c>
      <c r="P262" s="29" t="inlineStr">
        <is>
          <t>EXPENSIVE</t>
        </is>
      </c>
      <c r="Q262" s="29" t="inlineStr">
        <is>
          <t>EXPENSIVE</t>
        </is>
      </c>
      <c r="R262" s="29" t="inlineStr">
        <is>
          <t>0.5804758808286147</t>
        </is>
      </c>
      <c r="S262" s="29" t="inlineStr">
        <is>
          <t>MEDIUM</t>
        </is>
      </c>
      <c r="T262" s="29" t="inlineStr">
        <is>
          <t>MEDIUM</t>
        </is>
      </c>
      <c r="U262" s="29" t="inlineStr">
        <is>
          <t>0.0</t>
        </is>
      </c>
      <c r="V262" s="29" t="inlineStr">
        <is>
          <t>LOW_RISK</t>
        </is>
      </c>
      <c r="W262" s="29" t="inlineStr">
        <is>
          <t>저위험</t>
        </is>
      </c>
      <c r="X262" s="29" t="inlineStr">
        <is>
          <t>LOW_RISK</t>
        </is>
      </c>
      <c r="Y262" s="29" t="inlineStr">
        <is>
          <t>0.7522882908851339</t>
        </is>
      </c>
      <c r="Z262" s="29" t="inlineStr">
        <is>
          <t>HIGH</t>
        </is>
      </c>
      <c r="AA262" s="29" t="inlineStr">
        <is>
          <t>HIGH</t>
        </is>
      </c>
      <c r="AB262" s="29" t="inlineStr">
        <is>
          <t>0.07850484580290398</t>
        </is>
      </c>
      <c r="AC262" s="29" t="inlineStr">
        <is>
          <t>False</t>
        </is>
      </c>
      <c r="AD262" s="29" t="inlineStr">
        <is>
          <t>False</t>
        </is>
      </c>
      <c r="AE262" s="29" t="inlineStr">
        <is>
          <t>valuation_credit_ml_overlay_candidate.csv</t>
        </is>
      </c>
      <c r="AF262" s="29" t="inlineStr">
        <is>
          <t>208개 반도체 reference universe. Valuation Agent가 자체 intake 폴더로 복제해 Peer/ML/대시보드 비교에 사용.</t>
        </is>
      </c>
    </row>
    <row r="263" ht="24" customHeight="1">
      <c r="A263" s="24" t="inlineStr">
        <is>
          <t>164</t>
        </is>
      </c>
      <c r="B263" s="24" t="inlineStr">
        <is>
          <t>해당 없음</t>
        </is>
      </c>
      <c r="C263" s="24" t="inlineStr">
        <is>
          <t>마이크로투나노</t>
        </is>
      </c>
      <c r="D263" s="24" t="inlineStr">
        <is>
          <t>424980</t>
        </is>
      </c>
      <c r="E263" s="24" t="inlineStr">
        <is>
          <t>KOSDAQ</t>
        </is>
      </c>
      <c r="F263" s="24" t="inlineStr">
        <is>
          <t>후공정/패키징/테스트</t>
        </is>
      </c>
      <c r="G263" s="24" t="inlineStr">
        <is>
          <t>후공정/패키징/테스트</t>
        </is>
      </c>
      <c r="H263" s="24" t="inlineStr">
        <is>
          <t>False</t>
        </is>
      </c>
      <c r="I263" s="24" t="inlineStr">
        <is>
          <t>True</t>
        </is>
      </c>
      <c r="J263" s="24" t="inlineStr">
        <is>
          <t>OK_LIMITED_HISTORY_OR_GROWTH_NA</t>
        </is>
      </c>
      <c r="K263" s="24" t="inlineStr">
        <is>
          <t>데이터 사용 가능</t>
        </is>
      </c>
      <c r="L263" s="24" t="inlineStr">
        <is>
          <t>LOW</t>
        </is>
      </c>
      <c r="M263" s="24" t="inlineStr">
        <is>
          <t>LOW</t>
        </is>
      </c>
      <c r="N263" s="24" t="inlineStr">
        <is>
          <t>0.4188148148148148</t>
        </is>
      </c>
      <c r="O263" s="24" t="inlineStr">
        <is>
          <t>EXPENSIVE</t>
        </is>
      </c>
      <c r="P263" s="24" t="inlineStr">
        <is>
          <t>EXPENSIVE</t>
        </is>
      </c>
      <c r="Q263" s="24" t="inlineStr">
        <is>
          <t>EXPENSIVE</t>
        </is>
      </c>
      <c r="R263" s="24" t="inlineStr">
        <is>
          <t>0.8919952418828875</t>
        </is>
      </c>
      <c r="S263" s="24" t="inlineStr">
        <is>
          <t>HIGH</t>
        </is>
      </c>
      <c r="T263" s="24" t="inlineStr">
        <is>
          <t>HIGH</t>
        </is>
      </c>
      <c r="U263" s="24" t="inlineStr">
        <is>
          <t>0.5714285714285714</t>
        </is>
      </c>
      <c r="V263" s="24" t="inlineStr">
        <is>
          <t>HIGH_RISK</t>
        </is>
      </c>
      <c r="W263" s="24" t="inlineStr">
        <is>
          <t>고위험</t>
        </is>
      </c>
      <c r="X263" s="24" t="inlineStr">
        <is>
          <t>HIGH_RISK</t>
        </is>
      </c>
      <c r="Y263" s="24" t="inlineStr">
        <is>
          <t>0.8679140027753699</t>
        </is>
      </c>
      <c r="Z263" s="24" t="inlineStr">
        <is>
          <t>HIGH</t>
        </is>
      </c>
      <c r="AA263" s="24" t="inlineStr">
        <is>
          <t>HIGH</t>
        </is>
      </c>
      <c r="AB263" s="24" t="inlineStr">
        <is>
          <t>0.06592211461176288</t>
        </is>
      </c>
      <c r="AC263" s="24" t="inlineStr">
        <is>
          <t>False</t>
        </is>
      </c>
      <c r="AD263" s="24" t="inlineStr">
        <is>
          <t>True</t>
        </is>
      </c>
      <c r="AE263" s="24" t="inlineStr">
        <is>
          <t>valuation_credit_ml_overlay_candidate.csv</t>
        </is>
      </c>
      <c r="AF263" s="24" t="inlineStr">
        <is>
          <t>208개 반도체 reference universe. Valuation Agent가 자체 intake 폴더로 복제해 Peer/ML/대시보드 비교에 사용.</t>
        </is>
      </c>
    </row>
    <row r="264" ht="24" customHeight="1">
      <c r="A264" s="29" t="inlineStr">
        <is>
          <t>169</t>
        </is>
      </c>
      <c r="B264" s="29" t="inlineStr">
        <is>
          <t>해당 없음</t>
        </is>
      </c>
      <c r="C264" s="29" t="inlineStr">
        <is>
          <t>시그네틱스</t>
        </is>
      </c>
      <c r="D264" s="29" t="inlineStr">
        <is>
          <t>033170</t>
        </is>
      </c>
      <c r="E264" s="29" t="inlineStr">
        <is>
          <t>KOSDAQ</t>
        </is>
      </c>
      <c r="F264" s="29" t="inlineStr">
        <is>
          <t>후공정/패키징/테스트</t>
        </is>
      </c>
      <c r="G264" s="29" t="inlineStr">
        <is>
          <t>후공정/패키징/테스트</t>
        </is>
      </c>
      <c r="H264" s="29" t="inlineStr">
        <is>
          <t>False</t>
        </is>
      </c>
      <c r="I264" s="29" t="inlineStr">
        <is>
          <t>True</t>
        </is>
      </c>
      <c r="J264" s="29" t="inlineStr">
        <is>
          <t>OK</t>
        </is>
      </c>
      <c r="K264" s="29" t="inlineStr">
        <is>
          <t>데이터 사용 가능</t>
        </is>
      </c>
      <c r="L264" s="29" t="inlineStr">
        <is>
          <t>LOW</t>
        </is>
      </c>
      <c r="M264" s="29" t="inlineStr">
        <is>
          <t>LOW</t>
        </is>
      </c>
      <c r="N264" s="29" t="inlineStr">
        <is>
          <t>0.4068148148148148</t>
        </is>
      </c>
      <c r="O264" s="29" t="inlineStr">
        <is>
          <t>EXPENSIVE</t>
        </is>
      </c>
      <c r="P264" s="29" t="inlineStr">
        <is>
          <t>EXPENSIVE</t>
        </is>
      </c>
      <c r="Q264" s="29" t="inlineStr">
        <is>
          <t>EXPENSIVE</t>
        </is>
      </c>
      <c r="R264" s="29" t="inlineStr">
        <is>
          <t>0.6660306558324866</t>
        </is>
      </c>
      <c r="S264" s="29" t="inlineStr">
        <is>
          <t>MEDIUM</t>
        </is>
      </c>
      <c r="T264" s="29" t="inlineStr">
        <is>
          <t>MEDIUM</t>
        </is>
      </c>
      <c r="U264" s="29" t="inlineStr">
        <is>
          <t>0.6428571428571429</t>
        </is>
      </c>
      <c r="V264" s="29" t="inlineStr">
        <is>
          <t>HIGH_RISK</t>
        </is>
      </c>
      <c r="W264" s="29" t="inlineStr">
        <is>
          <t>고위험</t>
        </is>
      </c>
      <c r="X264" s="29" t="inlineStr">
        <is>
          <t>HIGH_RISK</t>
        </is>
      </c>
      <c r="Y264" s="29" t="inlineStr">
        <is>
          <t>0.9103717836414464</t>
        </is>
      </c>
      <c r="Z264" s="29" t="inlineStr">
        <is>
          <t>HIGH</t>
        </is>
      </c>
      <c r="AA264" s="29" t="inlineStr">
        <is>
          <t>HIGH</t>
        </is>
      </c>
      <c r="AB264" s="29" t="inlineStr">
        <is>
          <t>0.09415815096164672</t>
        </is>
      </c>
      <c r="AC264" s="29" t="inlineStr">
        <is>
          <t>False</t>
        </is>
      </c>
      <c r="AD264" s="29" t="inlineStr">
        <is>
          <t>False</t>
        </is>
      </c>
      <c r="AE264" s="29" t="inlineStr">
        <is>
          <t>valuation_credit_ml_overlay_candidate.csv</t>
        </is>
      </c>
      <c r="AF264" s="29" t="inlineStr">
        <is>
          <t>208개 반도체 reference universe. Valuation Agent가 자체 intake 폴더로 복제해 Peer/ML/대시보드 비교에 사용.</t>
        </is>
      </c>
    </row>
    <row r="265" ht="24" customHeight="1">
      <c r="A265" s="24" t="inlineStr">
        <is>
          <t>154</t>
        </is>
      </c>
      <c r="B265" s="24" t="inlineStr">
        <is>
          <t>해당 없음</t>
        </is>
      </c>
      <c r="C265" s="24" t="inlineStr">
        <is>
          <t>고영</t>
        </is>
      </c>
      <c r="D265" s="24" t="inlineStr">
        <is>
          <t>098460</t>
        </is>
      </c>
      <c r="E265" s="24" t="inlineStr">
        <is>
          <t>KOSDAQ</t>
        </is>
      </c>
      <c r="F265" s="24" t="inlineStr">
        <is>
          <t>후공정/패키징/테스트</t>
        </is>
      </c>
      <c r="G265" s="24" t="inlineStr">
        <is>
          <t>후공정/패키징/테스트</t>
        </is>
      </c>
      <c r="H265" s="24" t="inlineStr">
        <is>
          <t>False</t>
        </is>
      </c>
      <c r="I265" s="24" t="inlineStr">
        <is>
          <t>True</t>
        </is>
      </c>
      <c r="J265" s="24" t="inlineStr">
        <is>
          <t>OK</t>
        </is>
      </c>
      <c r="K265" s="24" t="inlineStr">
        <is>
          <t>데이터 사용 가능</t>
        </is>
      </c>
      <c r="L265" s="24" t="inlineStr">
        <is>
          <t>LOW</t>
        </is>
      </c>
      <c r="M265" s="24" t="inlineStr">
        <is>
          <t>LOW</t>
        </is>
      </c>
      <c r="N265" s="24" t="inlineStr">
        <is>
          <t>0.3933333333333333</t>
        </is>
      </c>
      <c r="O265" s="24" t="inlineStr">
        <is>
          <t>EXPENSIVE</t>
        </is>
      </c>
      <c r="P265" s="24" t="inlineStr">
        <is>
          <t>EXPENSIVE</t>
        </is>
      </c>
      <c r="Q265" s="24" t="inlineStr">
        <is>
          <t>EXPENSIVE</t>
        </is>
      </c>
      <c r="R265" s="24" t="inlineStr">
        <is>
          <t>0.4306692416005982</t>
        </is>
      </c>
      <c r="S265" s="24" t="inlineStr">
        <is>
          <t>LOW</t>
        </is>
      </c>
      <c r="T265" s="24" t="inlineStr">
        <is>
          <t>LOW</t>
        </is>
      </c>
      <c r="U265" s="24" t="inlineStr">
        <is>
          <t>0.0714285714285714</t>
        </is>
      </c>
      <c r="V265" s="24" t="inlineStr">
        <is>
          <t>LOW_RISK</t>
        </is>
      </c>
      <c r="W265" s="24" t="inlineStr">
        <is>
          <t>저위험</t>
        </is>
      </c>
      <c r="X265" s="24" t="inlineStr">
        <is>
          <t>LOW_RISK</t>
        </is>
      </c>
      <c r="Y265" s="24" t="inlineStr">
        <is>
          <t>0.9147267479763326</t>
        </is>
      </c>
      <c r="Z265" s="24" t="inlineStr">
        <is>
          <t>HIGH</t>
        </is>
      </c>
      <c r="AA265" s="24" t="inlineStr">
        <is>
          <t>HIGH</t>
        </is>
      </c>
      <c r="AB265" s="24" t="inlineStr">
        <is>
          <t>0.05497222824798623</t>
        </is>
      </c>
      <c r="AC265" s="24" t="inlineStr">
        <is>
          <t>False</t>
        </is>
      </c>
      <c r="AD265" s="24" t="inlineStr">
        <is>
          <t>True</t>
        </is>
      </c>
      <c r="AE265" s="24" t="inlineStr">
        <is>
          <t>valuation_credit_ml_overlay_candidate.csv</t>
        </is>
      </c>
      <c r="AF265" s="24" t="inlineStr">
        <is>
          <t>208개 반도체 reference universe. Valuation Agent가 자체 intake 폴더로 복제해 Peer/ML/대시보드 비교에 사용.</t>
        </is>
      </c>
    </row>
    <row r="266" ht="24" customHeight="1">
      <c r="A266" s="29" t="inlineStr">
        <is>
          <t>178</t>
        </is>
      </c>
      <c r="B266" s="29" t="inlineStr">
        <is>
          <t>해당 없음</t>
        </is>
      </c>
      <c r="C266" s="29" t="inlineStr">
        <is>
          <t>웨이비스</t>
        </is>
      </c>
      <c r="D266" s="29" t="inlineStr">
        <is>
          <t>289930</t>
        </is>
      </c>
      <c r="E266" s="29" t="inlineStr">
        <is>
          <t>KOSDAQ</t>
        </is>
      </c>
      <c r="F266" s="29" t="inlineStr">
        <is>
          <t>후공정/패키징/테스트</t>
        </is>
      </c>
      <c r="G266" s="29" t="inlineStr">
        <is>
          <t>후공정/패키징/테스트</t>
        </is>
      </c>
      <c r="H266" s="29" t="inlineStr">
        <is>
          <t>False</t>
        </is>
      </c>
      <c r="I266" s="29" t="inlineStr">
        <is>
          <t>True</t>
        </is>
      </c>
      <c r="J266" s="29" t="inlineStr">
        <is>
          <t>OK_LIMITED_HISTORY_OR_GROWTH_NA</t>
        </is>
      </c>
      <c r="K266" s="29" t="inlineStr">
        <is>
          <t>데이터 사용 가능</t>
        </is>
      </c>
      <c r="L266" s="29" t="inlineStr">
        <is>
          <t>LOW</t>
        </is>
      </c>
      <c r="M266" s="29" t="inlineStr">
        <is>
          <t>LOW</t>
        </is>
      </c>
      <c r="N266" s="29" t="inlineStr">
        <is>
          <t>0.3765925925925926</t>
        </is>
      </c>
      <c r="O266" s="29" t="inlineStr">
        <is>
          <t>EXPENSIVE</t>
        </is>
      </c>
      <c r="P266" s="29" t="inlineStr">
        <is>
          <t>EXPENSIVE</t>
        </is>
      </c>
      <c r="Q266" s="29" t="inlineStr">
        <is>
          <t>EXPENSIVE</t>
        </is>
      </c>
      <c r="R266" s="29" t="inlineStr">
        <is>
          <t>0.5209890944205295</t>
        </is>
      </c>
      <c r="S266" s="29" t="inlineStr">
        <is>
          <t>MEDIUM</t>
        </is>
      </c>
      <c r="T266" s="29" t="inlineStr">
        <is>
          <t>MEDIUM</t>
        </is>
      </c>
      <c r="U266" s="29" t="inlineStr">
        <is>
          <t>0.1428571428571428</t>
        </is>
      </c>
      <c r="V266" s="29" t="inlineStr">
        <is>
          <t>LOW_RISK</t>
        </is>
      </c>
      <c r="W266" s="29" t="inlineStr">
        <is>
          <t>저위험</t>
        </is>
      </c>
      <c r="X266" s="29" t="inlineStr">
        <is>
          <t>LOW_RISK</t>
        </is>
      </c>
      <c r="Y266" s="29" t="inlineStr">
        <is>
          <t>0.5760026387111382</t>
        </is>
      </c>
      <c r="Z266" s="29" t="inlineStr">
        <is>
          <t>MEDIUM</t>
        </is>
      </c>
      <c r="AA266" s="29" t="inlineStr">
        <is>
          <t>MEDIUM</t>
        </is>
      </c>
      <c r="AB266" s="29" t="inlineStr">
        <is>
          <t>0.04339911179550382</t>
        </is>
      </c>
      <c r="AC266" s="29" t="inlineStr">
        <is>
          <t>False</t>
        </is>
      </c>
      <c r="AD266" s="29" t="inlineStr">
        <is>
          <t>True</t>
        </is>
      </c>
      <c r="AE266" s="29" t="inlineStr">
        <is>
          <t>valuation_credit_ml_overlay_candidate.csv</t>
        </is>
      </c>
      <c r="AF266" s="29" t="inlineStr">
        <is>
          <t>208개 반도체 reference universe. Valuation Agent가 자체 intake 폴더로 복제해 Peer/ML/대시보드 비교에 사용.</t>
        </is>
      </c>
    </row>
    <row r="267" ht="24" customHeight="1">
      <c r="A267" s="24" t="inlineStr">
        <is>
          <t>153</t>
        </is>
      </c>
      <c r="B267" s="24" t="inlineStr">
        <is>
          <t>해당 없음</t>
        </is>
      </c>
      <c r="C267" s="24" t="inlineStr">
        <is>
          <t>SFA반도체</t>
        </is>
      </c>
      <c r="D267" s="24" t="inlineStr">
        <is>
          <t>036540</t>
        </is>
      </c>
      <c r="E267" s="24" t="inlineStr">
        <is>
          <t>KOSDAQ</t>
        </is>
      </c>
      <c r="F267" s="24" t="inlineStr">
        <is>
          <t>후공정/패키징/테스트</t>
        </is>
      </c>
      <c r="G267" s="24" t="inlineStr">
        <is>
          <t>후공정/패키징/테스트</t>
        </is>
      </c>
      <c r="H267" s="24" t="inlineStr">
        <is>
          <t>False</t>
        </is>
      </c>
      <c r="I267" s="24" t="inlineStr">
        <is>
          <t>True</t>
        </is>
      </c>
      <c r="J267" s="24" t="inlineStr">
        <is>
          <t>OK</t>
        </is>
      </c>
      <c r="K267" s="24" t="inlineStr">
        <is>
          <t>데이터 사용 가능</t>
        </is>
      </c>
      <c r="L267" s="24" t="inlineStr">
        <is>
          <t>LOW</t>
        </is>
      </c>
      <c r="M267" s="24" t="inlineStr">
        <is>
          <t>LOW</t>
        </is>
      </c>
      <c r="N267" s="24" t="inlineStr">
        <is>
          <t>0.3725925925925926</t>
        </is>
      </c>
      <c r="O267" s="24" t="inlineStr">
        <is>
          <t>EXPENSIVE</t>
        </is>
      </c>
      <c r="P267" s="24" t="inlineStr">
        <is>
          <t>EXPENSIVE</t>
        </is>
      </c>
      <c r="Q267" s="24" t="inlineStr">
        <is>
          <t>EXPENSIVE</t>
        </is>
      </c>
      <c r="R267" s="24" t="inlineStr">
        <is>
          <t>0.7912156659089058</t>
        </is>
      </c>
      <c r="S267" s="24" t="inlineStr">
        <is>
          <t>HIGH</t>
        </is>
      </c>
      <c r="T267" s="24" t="inlineStr">
        <is>
          <t>HIGH</t>
        </is>
      </c>
      <c r="U267" s="24" t="inlineStr">
        <is>
          <t>0.2857142857142857</t>
        </is>
      </c>
      <c r="V267" s="24" t="inlineStr">
        <is>
          <t>MEDIUM_RISK</t>
        </is>
      </c>
      <c r="W267" s="24" t="inlineStr">
        <is>
          <t>중위험</t>
        </is>
      </c>
      <c r="X267" s="24" t="inlineStr">
        <is>
          <t>MEDIUM_RISK</t>
        </is>
      </c>
      <c r="Y267" s="24" t="inlineStr">
        <is>
          <t>0.6035260416354965</t>
        </is>
      </c>
      <c r="Z267" s="24" t="inlineStr">
        <is>
          <t>MEDIUM</t>
        </is>
      </c>
      <c r="AA267" s="24" t="inlineStr">
        <is>
          <t>MEDIUM</t>
        </is>
      </c>
      <c r="AB267" s="24" t="inlineStr">
        <is>
          <t>0.060421941503641885</t>
        </is>
      </c>
      <c r="AC267" s="24" t="inlineStr">
        <is>
          <t>False</t>
        </is>
      </c>
      <c r="AD267" s="24" t="inlineStr">
        <is>
          <t>False</t>
        </is>
      </c>
      <c r="AE267" s="24" t="inlineStr">
        <is>
          <t>valuation_credit_ml_overlay_candidate.csv</t>
        </is>
      </c>
      <c r="AF267" s="24" t="inlineStr">
        <is>
          <t>208개 반도체 reference universe. Valuation Agent가 자체 intake 폴더로 복제해 Peer/ML/대시보드 비교에 사용.</t>
        </is>
      </c>
    </row>
    <row r="268" ht="24" customHeight="1">
      <c r="A268" s="29" t="inlineStr">
        <is>
          <t>181</t>
        </is>
      </c>
      <c r="B268" s="29" t="inlineStr">
        <is>
          <t>해당 없음</t>
        </is>
      </c>
      <c r="C268" s="29" t="inlineStr">
        <is>
          <t>인텍플러스</t>
        </is>
      </c>
      <c r="D268" s="29" t="inlineStr">
        <is>
          <t>064290</t>
        </is>
      </c>
      <c r="E268" s="29" t="inlineStr">
        <is>
          <t>KOSDAQ</t>
        </is>
      </c>
      <c r="F268" s="29" t="inlineStr">
        <is>
          <t>후공정/패키징/테스트</t>
        </is>
      </c>
      <c r="G268" s="29" t="inlineStr">
        <is>
          <t>후공정/패키징/테스트</t>
        </is>
      </c>
      <c r="H268" s="29" t="inlineStr">
        <is>
          <t>False</t>
        </is>
      </c>
      <c r="I268" s="29" t="inlineStr">
        <is>
          <t>True</t>
        </is>
      </c>
      <c r="J268" s="29" t="inlineStr">
        <is>
          <t>OK</t>
        </is>
      </c>
      <c r="K268" s="29" t="inlineStr">
        <is>
          <t>데이터 사용 가능</t>
        </is>
      </c>
      <c r="L268" s="29" t="inlineStr">
        <is>
          <t>LOW</t>
        </is>
      </c>
      <c r="M268" s="29" t="inlineStr">
        <is>
          <t>LOW</t>
        </is>
      </c>
      <c r="N268" s="29" t="inlineStr">
        <is>
          <t>0.3431111111111111</t>
        </is>
      </c>
      <c r="O268" s="29" t="inlineStr">
        <is>
          <t>EXPENSIVE</t>
        </is>
      </c>
      <c r="P268" s="29" t="inlineStr">
        <is>
          <t>EXPENSIVE</t>
        </is>
      </c>
      <c r="Q268" s="29" t="inlineStr">
        <is>
          <t>EXPENSIVE</t>
        </is>
      </c>
      <c r="R268" s="29" t="inlineStr">
        <is>
          <t>0.7612288958400996</t>
        </is>
      </c>
      <c r="S268" s="29" t="inlineStr">
        <is>
          <t>HIGH</t>
        </is>
      </c>
      <c r="T268" s="29" t="inlineStr">
        <is>
          <t>HIGH</t>
        </is>
      </c>
      <c r="U268" s="29" t="inlineStr">
        <is>
          <t>0.4285714285714285</t>
        </is>
      </c>
      <c r="V268" s="29" t="inlineStr">
        <is>
          <t>HIGH_RISK</t>
        </is>
      </c>
      <c r="W268" s="29" t="inlineStr">
        <is>
          <t>고위험</t>
        </is>
      </c>
      <c r="X268" s="29" t="inlineStr">
        <is>
          <t>MEDIUM_RISK</t>
        </is>
      </c>
      <c r="Y268" s="29" t="inlineStr">
        <is>
          <t>0.5782298550270377</t>
        </is>
      </c>
      <c r="Z268" s="29" t="inlineStr">
        <is>
          <t>MEDIUM</t>
        </is>
      </c>
      <c r="AA268" s="29" t="inlineStr">
        <is>
          <t>MEDIUM</t>
        </is>
      </c>
      <c r="AB268" s="29" t="inlineStr">
        <is>
          <t>0.054796756066406084</t>
        </is>
      </c>
      <c r="AC268" s="29" t="inlineStr">
        <is>
          <t>False</t>
        </is>
      </c>
      <c r="AD268" s="29" t="inlineStr">
        <is>
          <t>False</t>
        </is>
      </c>
      <c r="AE268" s="29" t="inlineStr">
        <is>
          <t>valuation_credit_ml_overlay_candidate.csv</t>
        </is>
      </c>
      <c r="AF268" s="29" t="inlineStr">
        <is>
          <t>208개 반도체 reference universe. Valuation Agent가 자체 intake 폴더로 복제해 Peer/ML/대시보드 비교에 사용.</t>
        </is>
      </c>
    </row>
    <row r="269" ht="24" customHeight="1">
      <c r="A269" s="24" t="inlineStr">
        <is>
          <t>193</t>
        </is>
      </c>
      <c r="B269" s="24" t="inlineStr">
        <is>
          <t>해당 없음</t>
        </is>
      </c>
      <c r="C269" s="24" t="inlineStr">
        <is>
          <t>한울반도체</t>
        </is>
      </c>
      <c r="D269" s="24" t="inlineStr">
        <is>
          <t>320000</t>
        </is>
      </c>
      <c r="E269" s="24" t="inlineStr">
        <is>
          <t>KOSDAQ</t>
        </is>
      </c>
      <c r="F269" s="24" t="inlineStr">
        <is>
          <t>후공정/패키징/테스트</t>
        </is>
      </c>
      <c r="G269" s="24" t="inlineStr">
        <is>
          <t>후공정/패키징/테스트</t>
        </is>
      </c>
      <c r="H269" s="24" t="inlineStr">
        <is>
          <t>False</t>
        </is>
      </c>
      <c r="I269" s="24" t="inlineStr">
        <is>
          <t>True</t>
        </is>
      </c>
      <c r="J269" s="24" t="inlineStr">
        <is>
          <t>OK</t>
        </is>
      </c>
      <c r="K269" s="24" t="inlineStr">
        <is>
          <t>데이터 사용 가능</t>
        </is>
      </c>
      <c r="L269" s="24" t="inlineStr">
        <is>
          <t>LOW</t>
        </is>
      </c>
      <c r="M269" s="24" t="inlineStr">
        <is>
          <t>LOW</t>
        </is>
      </c>
      <c r="N269" s="24" t="inlineStr">
        <is>
          <t>0.3376296296296296</t>
        </is>
      </c>
      <c r="O269" s="24" t="inlineStr">
        <is>
          <t>EXPENSIVE</t>
        </is>
      </c>
      <c r="P269" s="24" t="inlineStr">
        <is>
          <t>EXPENSIVE</t>
        </is>
      </c>
      <c r="Q269" s="24" t="inlineStr">
        <is>
          <t>EXPENSIVE</t>
        </is>
      </c>
      <c r="R269" s="24" t="inlineStr">
        <is>
          <t>0.7769228627558715</t>
        </is>
      </c>
      <c r="S269" s="24" t="inlineStr">
        <is>
          <t>HIGH</t>
        </is>
      </c>
      <c r="T269" s="24" t="inlineStr">
        <is>
          <t>HIGH</t>
        </is>
      </c>
      <c r="U269" s="24" t="inlineStr">
        <is>
          <t>0.7142857142857143</t>
        </is>
      </c>
      <c r="V269" s="24" t="inlineStr">
        <is>
          <t>HIGH_RISK</t>
        </is>
      </c>
      <c r="W269" s="24" t="inlineStr">
        <is>
          <t>고위험</t>
        </is>
      </c>
      <c r="X269" s="24" t="inlineStr">
        <is>
          <t>HIGH_RISK</t>
        </is>
      </c>
      <c r="Y269" s="24" t="inlineStr">
        <is>
          <t>0.9268996528836525</t>
        </is>
      </c>
      <c r="Z269" s="24" t="inlineStr">
        <is>
          <t>HIGH</t>
        </is>
      </c>
      <c r="AA269" s="24" t="inlineStr">
        <is>
          <t>HIGH</t>
        </is>
      </c>
      <c r="AB269" s="24" t="inlineStr">
        <is>
          <t>0.3732718821533064</t>
        </is>
      </c>
      <c r="AC269" s="24" t="inlineStr">
        <is>
          <t>True</t>
        </is>
      </c>
      <c r="AD269" s="24" t="inlineStr">
        <is>
          <t>True</t>
        </is>
      </c>
      <c r="AE269" s="24" t="inlineStr">
        <is>
          <t>valuation_credit_ml_overlay_candidate.csv</t>
        </is>
      </c>
      <c r="AF269" s="24" t="inlineStr">
        <is>
          <t>208개 반도체 reference universe. Valuation Agent가 자체 intake 폴더로 복제해 Peer/ML/대시보드 비교에 사용.</t>
        </is>
      </c>
    </row>
    <row r="270" ht="24" customHeight="1">
      <c r="A270" s="29" t="inlineStr">
        <is>
          <t>180</t>
        </is>
      </c>
      <c r="B270" s="29" t="inlineStr">
        <is>
          <t>해당 없음</t>
        </is>
      </c>
      <c r="C270" s="29" t="inlineStr">
        <is>
          <t>유니테스트</t>
        </is>
      </c>
      <c r="D270" s="29" t="inlineStr">
        <is>
          <t>086390</t>
        </is>
      </c>
      <c r="E270" s="29" t="inlineStr">
        <is>
          <t>KOSDAQ</t>
        </is>
      </c>
      <c r="F270" s="29" t="inlineStr">
        <is>
          <t>후공정/패키징/테스트</t>
        </is>
      </c>
      <c r="G270" s="29" t="inlineStr">
        <is>
          <t>후공정/패키징/테스트</t>
        </is>
      </c>
      <c r="H270" s="29" t="inlineStr">
        <is>
          <t>False</t>
        </is>
      </c>
      <c r="I270" s="29" t="inlineStr">
        <is>
          <t>True</t>
        </is>
      </c>
      <c r="J270" s="29" t="inlineStr">
        <is>
          <t>OK</t>
        </is>
      </c>
      <c r="K270" s="29" t="inlineStr">
        <is>
          <t>데이터 사용 가능</t>
        </is>
      </c>
      <c r="L270" s="29" t="inlineStr">
        <is>
          <t>LOW</t>
        </is>
      </c>
      <c r="M270" s="29" t="inlineStr">
        <is>
          <t>LOW</t>
        </is>
      </c>
      <c r="N270" s="29" t="inlineStr">
        <is>
          <t>0.3371851851851852</t>
        </is>
      </c>
      <c r="O270" s="29" t="inlineStr">
        <is>
          <t>EXPENSIVE</t>
        </is>
      </c>
      <c r="P270" s="29" t="inlineStr">
        <is>
          <t>EXPENSIVE</t>
        </is>
      </c>
      <c r="Q270" s="29" t="inlineStr">
        <is>
          <t>EXPENSIVE</t>
        </is>
      </c>
      <c r="R270" s="29" t="inlineStr">
        <is>
          <t>0.9109345080202441</t>
        </is>
      </c>
      <c r="S270" s="29" t="inlineStr">
        <is>
          <t>HIGH</t>
        </is>
      </c>
      <c r="T270" s="29" t="inlineStr">
        <is>
          <t>HIGH</t>
        </is>
      </c>
      <c r="U270" s="29" t="inlineStr">
        <is>
          <t>0.5714285714285714</t>
        </is>
      </c>
      <c r="V270" s="29" t="inlineStr">
        <is>
          <t>HIGH_RISK</t>
        </is>
      </c>
      <c r="W270" s="29" t="inlineStr">
        <is>
          <t>고위험</t>
        </is>
      </c>
      <c r="X270" s="29" t="inlineStr">
        <is>
          <t>HIGH_RISK</t>
        </is>
      </c>
      <c r="Y270" s="29" t="inlineStr">
        <is>
          <t>0.9310666121801914</t>
        </is>
      </c>
      <c r="Z270" s="29" t="inlineStr">
        <is>
          <t>HIGH</t>
        </is>
      </c>
      <c r="AA270" s="29" t="inlineStr">
        <is>
          <t>HIGH</t>
        </is>
      </c>
      <c r="AB270" s="29" t="inlineStr">
        <is>
          <t>0.07777762014388422</t>
        </is>
      </c>
      <c r="AC270" s="29" t="inlineStr">
        <is>
          <t>False</t>
        </is>
      </c>
      <c r="AD270" s="29" t="inlineStr">
        <is>
          <t>False</t>
        </is>
      </c>
      <c r="AE270" s="29" t="inlineStr">
        <is>
          <t>valuation_credit_ml_overlay_candidate.csv</t>
        </is>
      </c>
      <c r="AF270" s="29" t="inlineStr">
        <is>
          <t>208개 반도체 reference universe. Valuation Agent가 자체 intake 폴더로 복제해 Peer/ML/대시보드 비교에 사용.</t>
        </is>
      </c>
    </row>
    <row r="271" ht="24" customHeight="1">
      <c r="A271" s="24" t="inlineStr">
        <is>
          <t>159</t>
        </is>
      </c>
      <c r="B271" s="24" t="inlineStr">
        <is>
          <t>해당 없음</t>
        </is>
      </c>
      <c r="C271" s="24" t="inlineStr">
        <is>
          <t>두산테스나</t>
        </is>
      </c>
      <c r="D271" s="24" t="inlineStr">
        <is>
          <t>131970</t>
        </is>
      </c>
      <c r="E271" s="24" t="inlineStr">
        <is>
          <t>KOSDAQ GLOBAL</t>
        </is>
      </c>
      <c r="F271" s="24" t="inlineStr">
        <is>
          <t>후공정/패키징/테스트</t>
        </is>
      </c>
      <c r="G271" s="24" t="inlineStr">
        <is>
          <t>후공정/패키징/테스트</t>
        </is>
      </c>
      <c r="H271" s="24" t="inlineStr">
        <is>
          <t>False</t>
        </is>
      </c>
      <c r="I271" s="24" t="inlineStr">
        <is>
          <t>True</t>
        </is>
      </c>
      <c r="J271" s="24" t="inlineStr">
        <is>
          <t>OK</t>
        </is>
      </c>
      <c r="K271" s="24" t="inlineStr">
        <is>
          <t>데이터 사용 가능</t>
        </is>
      </c>
      <c r="L271" s="24" t="inlineStr">
        <is>
          <t>LOW</t>
        </is>
      </c>
      <c r="M271" s="24" t="inlineStr">
        <is>
          <t>LOW</t>
        </is>
      </c>
      <c r="N271" s="24" t="inlineStr">
        <is>
          <t>0.3217037037037037</t>
        </is>
      </c>
      <c r="O271" s="24" t="inlineStr">
        <is>
          <t>EXPENSIVE</t>
        </is>
      </c>
      <c r="P271" s="24" t="inlineStr">
        <is>
          <t>EXPENSIVE</t>
        </is>
      </c>
      <c r="Q271" s="24" t="inlineStr">
        <is>
          <t>EXPENSIVE</t>
        </is>
      </c>
      <c r="R271" s="24" t="inlineStr">
        <is>
          <t>0.5774876642912814</t>
        </is>
      </c>
      <c r="S271" s="24" t="inlineStr">
        <is>
          <t>MEDIUM</t>
        </is>
      </c>
      <c r="T271" s="24" t="inlineStr">
        <is>
          <t>MEDIUM</t>
        </is>
      </c>
      <c r="U271" s="24" t="inlineStr">
        <is>
          <t>0.1428571428571428</t>
        </is>
      </c>
      <c r="V271" s="24" t="inlineStr">
        <is>
          <t>LOW_RISK</t>
        </is>
      </c>
      <c r="W271" s="24" t="inlineStr">
        <is>
          <t>저위험</t>
        </is>
      </c>
      <c r="X271" s="24" t="inlineStr">
        <is>
          <t>LOW_RISK</t>
        </is>
      </c>
      <c r="Y271" s="24" t="inlineStr">
        <is>
          <t>0.5730698742411416</t>
        </is>
      </c>
      <c r="Z271" s="24" t="inlineStr">
        <is>
          <t>MEDIUM</t>
        </is>
      </c>
      <c r="AA271" s="24" t="inlineStr">
        <is>
          <t>MEDIUM</t>
        </is>
      </c>
      <c r="AB271" s="24" t="inlineStr">
        <is>
          <t>0.11339298523731103</t>
        </is>
      </c>
      <c r="AC271" s="24" t="inlineStr">
        <is>
          <t>False</t>
        </is>
      </c>
      <c r="AD271" s="24" t="inlineStr">
        <is>
          <t>False</t>
        </is>
      </c>
      <c r="AE271" s="24" t="inlineStr">
        <is>
          <t>valuation_credit_ml_overlay_candidate.csv</t>
        </is>
      </c>
      <c r="AF271" s="24" t="inlineStr">
        <is>
          <t>208개 반도체 reference universe. Valuation Agent가 자체 intake 폴더로 복제해 Peer/ML/대시보드 비교에 사용.</t>
        </is>
      </c>
    </row>
    <row r="272" ht="24" customHeight="1">
      <c r="A272" s="29" t="inlineStr">
        <is>
          <t>156</t>
        </is>
      </c>
      <c r="B272" s="29" t="inlineStr">
        <is>
          <t>해당 없음</t>
        </is>
      </c>
      <c r="C272" s="29" t="inlineStr">
        <is>
          <t>네오셈</t>
        </is>
      </c>
      <c r="D272" s="29" t="inlineStr">
        <is>
          <t>253590</t>
        </is>
      </c>
      <c r="E272" s="29" t="inlineStr">
        <is>
          <t>KOSDAQ</t>
        </is>
      </c>
      <c r="F272" s="29" t="inlineStr">
        <is>
          <t>후공정/패키징/테스트</t>
        </is>
      </c>
      <c r="G272" s="29" t="inlineStr">
        <is>
          <t>후공정/패키징/테스트</t>
        </is>
      </c>
      <c r="H272" s="29" t="inlineStr">
        <is>
          <t>False</t>
        </is>
      </c>
      <c r="I272" s="29" t="inlineStr">
        <is>
          <t>True</t>
        </is>
      </c>
      <c r="J272" s="29" t="inlineStr">
        <is>
          <t>OK</t>
        </is>
      </c>
      <c r="K272" s="29" t="inlineStr">
        <is>
          <t>데이터 사용 가능</t>
        </is>
      </c>
      <c r="L272" s="29" t="inlineStr">
        <is>
          <t>LOW</t>
        </is>
      </c>
      <c r="M272" s="29" t="inlineStr">
        <is>
          <t>LOW</t>
        </is>
      </c>
      <c r="N272" s="29" t="inlineStr">
        <is>
          <t>0.3059259259259259</t>
        </is>
      </c>
      <c r="O272" s="29" t="inlineStr">
        <is>
          <t>EXPENSIVE</t>
        </is>
      </c>
      <c r="P272" s="29" t="inlineStr">
        <is>
          <t>EXPENSIVE</t>
        </is>
      </c>
      <c r="Q272" s="29" t="inlineStr">
        <is>
          <t>EXPENSIVE</t>
        </is>
      </c>
      <c r="R272" s="29" t="inlineStr">
        <is>
          <t>0.7695353673338539</t>
        </is>
      </c>
      <c r="S272" s="29" t="inlineStr">
        <is>
          <t>HIGH</t>
        </is>
      </c>
      <c r="T272" s="29" t="inlineStr">
        <is>
          <t>HIGH</t>
        </is>
      </c>
      <c r="U272" s="29" t="inlineStr">
        <is>
          <t>0.0714285714285714</t>
        </is>
      </c>
      <c r="V272" s="29" t="inlineStr">
        <is>
          <t>LOW_RISK</t>
        </is>
      </c>
      <c r="W272" s="29" t="inlineStr">
        <is>
          <t>저위험</t>
        </is>
      </c>
      <c r="X272" s="29" t="inlineStr">
        <is>
          <t>LOW_RISK</t>
        </is>
      </c>
      <c r="Y272" s="29" t="inlineStr">
        <is>
          <t>0.7735591671201707</t>
        </is>
      </c>
      <c r="Z272" s="29" t="inlineStr">
        <is>
          <t>HIGH</t>
        </is>
      </c>
      <c r="AA272" s="29" t="inlineStr">
        <is>
          <t>HIGH</t>
        </is>
      </c>
      <c r="AB272" s="29" t="inlineStr">
        <is>
          <t>0.06887713556186657</t>
        </is>
      </c>
      <c r="AC272" s="29" t="inlineStr">
        <is>
          <t>False</t>
        </is>
      </c>
      <c r="AD272" s="29" t="inlineStr">
        <is>
          <t>False</t>
        </is>
      </c>
      <c r="AE272" s="29" t="inlineStr">
        <is>
          <t>valuation_credit_ml_overlay_candidate.csv</t>
        </is>
      </c>
      <c r="AF272" s="29" t="inlineStr">
        <is>
          <t>208개 반도체 reference universe. Valuation Agent가 자체 intake 폴더로 복제해 Peer/ML/대시보드 비교에 사용.</t>
        </is>
      </c>
    </row>
    <row r="273" ht="24" customHeight="1">
      <c r="A273" s="24" t="inlineStr">
        <is>
          <t>190</t>
        </is>
      </c>
      <c r="B273" s="24" t="inlineStr">
        <is>
          <t>해당 없음</t>
        </is>
      </c>
      <c r="C273" s="24" t="inlineStr">
        <is>
          <t>피엠티</t>
        </is>
      </c>
      <c r="D273" s="24" t="inlineStr">
        <is>
          <t>147760</t>
        </is>
      </c>
      <c r="E273" s="24" t="inlineStr">
        <is>
          <t>KOSDAQ</t>
        </is>
      </c>
      <c r="F273" s="24" t="inlineStr">
        <is>
          <t>후공정/패키징/테스트</t>
        </is>
      </c>
      <c r="G273" s="24" t="inlineStr">
        <is>
          <t>후공정/패키징/테스트</t>
        </is>
      </c>
      <c r="H273" s="24" t="inlineStr">
        <is>
          <t>False</t>
        </is>
      </c>
      <c r="I273" s="24" t="inlineStr">
        <is>
          <t>True</t>
        </is>
      </c>
      <c r="J273" s="24" t="inlineStr">
        <is>
          <t>OK</t>
        </is>
      </c>
      <c r="K273" s="24" t="inlineStr">
        <is>
          <t>데이터 사용 가능</t>
        </is>
      </c>
      <c r="L273" s="24" t="inlineStr">
        <is>
          <t>LOW</t>
        </is>
      </c>
      <c r="M273" s="24" t="inlineStr">
        <is>
          <t>LOW</t>
        </is>
      </c>
      <c r="N273" s="24" t="inlineStr">
        <is>
          <t>0.2471111111111111</t>
        </is>
      </c>
      <c r="O273" s="24" t="inlineStr">
        <is>
          <t>EXPENSIVE</t>
        </is>
      </c>
      <c r="P273" s="24" t="inlineStr">
        <is>
          <t>EXPENSIVE</t>
        </is>
      </c>
      <c r="Q273" s="24" t="inlineStr">
        <is>
          <t>EXPENSIVE</t>
        </is>
      </c>
      <c r="R273" s="24" t="inlineStr">
        <is>
          <t>0.952821790032095</t>
        </is>
      </c>
      <c r="S273" s="24" t="inlineStr">
        <is>
          <t>HIGH</t>
        </is>
      </c>
      <c r="T273" s="24" t="inlineStr">
        <is>
          <t>HIGH</t>
        </is>
      </c>
      <c r="U273" s="24" t="inlineStr">
        <is>
          <t>0.7857142857142857</t>
        </is>
      </c>
      <c r="V273" s="24" t="inlineStr">
        <is>
          <t>HIGH_RISK</t>
        </is>
      </c>
      <c r="W273" s="24" t="inlineStr">
        <is>
          <t>고위험</t>
        </is>
      </c>
      <c r="X273" s="24" t="inlineStr">
        <is>
          <t>HIGH_RISK</t>
        </is>
      </c>
      <c r="Y273" s="24" t="inlineStr">
        <is>
          <t>0.9374258948385606</t>
        </is>
      </c>
      <c r="Z273" s="24" t="inlineStr">
        <is>
          <t>HIGH</t>
        </is>
      </c>
      <c r="AA273" s="24" t="inlineStr">
        <is>
          <t>HIGH</t>
        </is>
      </c>
      <c r="AB273" s="24" t="inlineStr">
        <is>
          <t>0.45054632167168013</t>
        </is>
      </c>
      <c r="AC273" s="24" t="inlineStr">
        <is>
          <t>True</t>
        </is>
      </c>
      <c r="AD273" s="24" t="inlineStr">
        <is>
          <t>True</t>
        </is>
      </c>
      <c r="AE273" s="24" t="inlineStr">
        <is>
          <t>valuation_credit_ml_overlay_candidate.csv</t>
        </is>
      </c>
      <c r="AF273" s="24" t="inlineStr">
        <is>
          <t>208개 반도체 reference universe. Valuation Agent가 자체 intake 폴더로 복제해 Peer/ML/대시보드 비교에 사용.</t>
        </is>
      </c>
    </row>
    <row r="274" ht="24" customHeight="1">
      <c r="A274" s="29" t="inlineStr">
        <is>
          <t>186</t>
        </is>
      </c>
      <c r="B274" s="29" t="inlineStr">
        <is>
          <t>해당 없음</t>
        </is>
      </c>
      <c r="C274" s="29" t="inlineStr">
        <is>
          <t>테크윙</t>
        </is>
      </c>
      <c r="D274" s="29" t="inlineStr">
        <is>
          <t>089030</t>
        </is>
      </c>
      <c r="E274" s="29" t="inlineStr">
        <is>
          <t>KOSDAQ</t>
        </is>
      </c>
      <c r="F274" s="29" t="inlineStr">
        <is>
          <t>후공정/패키징/테스트</t>
        </is>
      </c>
      <c r="G274" s="29" t="inlineStr">
        <is>
          <t>후공정/패키징/테스트</t>
        </is>
      </c>
      <c r="H274" s="29" t="inlineStr">
        <is>
          <t>False</t>
        </is>
      </c>
      <c r="I274" s="29" t="inlineStr">
        <is>
          <t>True</t>
        </is>
      </c>
      <c r="J274" s="29" t="inlineStr">
        <is>
          <t>OK</t>
        </is>
      </c>
      <c r="K274" s="29" t="inlineStr">
        <is>
          <t>데이터 사용 가능</t>
        </is>
      </c>
      <c r="L274" s="29" t="inlineStr">
        <is>
          <t>LOW</t>
        </is>
      </c>
      <c r="M274" s="29" t="inlineStr">
        <is>
          <t>LOW</t>
        </is>
      </c>
      <c r="N274" s="29" t="inlineStr">
        <is>
          <t>0.2205925925925926</t>
        </is>
      </c>
      <c r="O274" s="29" t="inlineStr">
        <is>
          <t>EXPENSIVE</t>
        </is>
      </c>
      <c r="P274" s="29" t="inlineStr">
        <is>
          <t>EXPENSIVE</t>
        </is>
      </c>
      <c r="Q274" s="29" t="inlineStr">
        <is>
          <t>EXPENSIVE</t>
        </is>
      </c>
      <c r="R274" s="29" t="inlineStr">
        <is>
          <t>0.7946423848576873</t>
        </is>
      </c>
      <c r="S274" s="29" t="inlineStr">
        <is>
          <t>HIGH</t>
        </is>
      </c>
      <c r="T274" s="29" t="inlineStr">
        <is>
          <t>HIGH</t>
        </is>
      </c>
      <c r="U274" s="29" t="inlineStr">
        <is>
          <t>0.5714285714285714</t>
        </is>
      </c>
      <c r="V274" s="29" t="inlineStr">
        <is>
          <t>HIGH_RISK</t>
        </is>
      </c>
      <c r="W274" s="29" t="inlineStr">
        <is>
          <t>고위험</t>
        </is>
      </c>
      <c r="X274" s="29" t="inlineStr">
        <is>
          <t>MEDIUM_RISK</t>
        </is>
      </c>
      <c r="Y274" s="29" t="inlineStr">
        <is>
          <t>0.4396420822644243</t>
        </is>
      </c>
      <c r="Z274" s="29" t="inlineStr">
        <is>
          <t>LOW</t>
        </is>
      </c>
      <c r="AA274" s="29" t="inlineStr">
        <is>
          <t>LOW</t>
        </is>
      </c>
      <c r="AB274" s="29" t="inlineStr">
        <is>
          <t>0.13035438491081522</t>
        </is>
      </c>
      <c r="AC274" s="29" t="inlineStr">
        <is>
          <t>False</t>
        </is>
      </c>
      <c r="AD274" s="29" t="inlineStr">
        <is>
          <t>True</t>
        </is>
      </c>
      <c r="AE274" s="29" t="inlineStr">
        <is>
          <t>valuation_credit_ml_overlay_candidate.csv</t>
        </is>
      </c>
      <c r="AF274" s="29" t="inlineStr">
        <is>
          <t>208개 반도체 reference universe. Valuation Agent가 자체 intake 폴더로 복제해 Peer/ML/대시보드 비교에 사용.</t>
        </is>
      </c>
    </row>
  </sheetData>
  <autoFilter ref="A66:AF274"/>
  <mergeCells count="5">
    <mergeCell ref="A2:L2"/>
    <mergeCell ref="A1:L1"/>
    <mergeCell ref="A4:F4"/>
    <mergeCell ref="A21:F21"/>
    <mergeCell ref="A65:F65"/>
  </mergeCells>
  <pageMargins left="0.75" right="0.75" top="1" bottom="1" header="0.5" footer="0.5"/>
  <pageSetup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36" customWidth="1" min="2" max="2"/>
    <col width="17" customWidth="1" min="3" max="3"/>
    <col width="36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미코 가치평가 브릿지</t>
        </is>
      </c>
    </row>
    <row r="2" ht="28" customHeight="1">
      <c r="A2" s="17" t="inlineStr">
        <is>
          <t>DCF · Peer P/S · 208개 Universe · 품질 ML · 유동성/리스크를 하나의 보조 점수로 연결</t>
        </is>
      </c>
    </row>
    <row r="3" ht="24" customHeight="1"/>
    <row r="4" ht="24" customHeight="1">
      <c r="A4" s="18" t="inlineStr">
        <is>
          <t>종합 점수</t>
        </is>
      </c>
      <c r="B4" s="19" t="n"/>
      <c r="C4" s="18" t="inlineStr">
        <is>
          <t>DCF 괴리율</t>
        </is>
      </c>
      <c r="D4" s="19" t="n"/>
      <c r="E4" s="18" t="inlineStr">
        <is>
          <t>P/S</t>
        </is>
      </c>
      <c r="F4" s="19" t="n"/>
      <c r="G4" s="18" t="inlineStr">
        <is>
          <t>Peer P/S 중앙값</t>
        </is>
      </c>
      <c r="H4" s="19" t="n"/>
      <c r="I4" s="18" t="inlineStr">
        <is>
          <t>208개 Universe</t>
        </is>
      </c>
      <c r="J4" s="19" t="n"/>
    </row>
    <row r="5" ht="24" customHeight="1">
      <c r="A5" s="20" t="inlineStr">
        <is>
          <t>83.8/100</t>
        </is>
      </c>
      <c r="B5" s="19" t="n"/>
      <c r="C5" s="20" t="inlineStr">
        <is>
          <t>141.9%</t>
        </is>
      </c>
      <c r="D5" s="19" t="n"/>
      <c r="E5" s="20" t="inlineStr">
        <is>
          <t>1.23배</t>
        </is>
      </c>
      <c r="F5" s="19" t="n"/>
      <c r="G5" s="20" t="inlineStr">
        <is>
          <t>3.55배</t>
        </is>
      </c>
      <c r="H5" s="19" t="n"/>
      <c r="I5" s="20" t="inlineStr">
        <is>
          <t>208개</t>
        </is>
      </c>
      <c r="J5" s="19" t="n"/>
    </row>
    <row r="6" ht="24" customHeight="1">
      <c r="A6" s="21" t="inlineStr">
        <is>
          <t>가치평가 매력 우위</t>
        </is>
      </c>
      <c r="B6" s="19" t="n"/>
      <c r="C6" s="21" t="inlineStr">
        <is>
          <t>내재주가/현재가-1</t>
        </is>
      </c>
      <c r="D6" s="19" t="n"/>
      <c r="E6" s="21" t="inlineStr">
        <is>
          <t>피어 대비 저PSR 구간: 상대 저평가 가능성</t>
        </is>
      </c>
      <c r="F6" s="19" t="n"/>
      <c r="G6" s="21" t="inlineStr">
        <is>
          <t>live peer 기준</t>
        </is>
      </c>
      <c r="H6" s="19" t="n"/>
      <c r="I6" s="21" t="inlineStr">
        <is>
          <t>IDM/제조/메모리</t>
        </is>
      </c>
      <c r="J6" s="19" t="n"/>
    </row>
    <row r="7" ht="24" customHeight="1"/>
    <row r="8" ht="24" customHeight="1"/>
    <row r="9" ht="24" customHeight="1">
      <c r="A9" s="22" t="inlineStr">
        <is>
          <t>핵심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역할</t>
        </is>
      </c>
      <c r="B11" s="24" t="inlineStr">
        <is>
          <t>Chair 최종 가중합을 대체하지 않는 보조 밸류에이션 판단 근거</t>
        </is>
      </c>
    </row>
    <row r="12" ht="24" customHeight="1">
      <c r="A12" s="29" t="inlineStr">
        <is>
          <t>해석</t>
        </is>
      </c>
      <c r="B12" s="29" t="inlineStr">
        <is>
          <t>DCF·Peer·품질·유동성 조합이 우호적입니다.</t>
        </is>
      </c>
    </row>
    <row r="13" ht="24" customHeight="1">
      <c r="A13" s="24" t="inlineStr">
        <is>
          <t>방법</t>
        </is>
      </c>
      <c r="B13" s="24" t="inlineStr">
        <is>
          <t>DCF 25% + Peer P/S 15% + 품질 ML 15% + 208개 Universe 10% + 가치범위표/역산 DCF/오너 이익 20% + 유동성/리스크 10% + 검증 5%</t>
        </is>
      </c>
    </row>
    <row r="14" ht="24" customHeight="1">
      <c r="A14" s="29" t="inlineStr">
        <is>
          <t>검증상태</t>
        </is>
      </c>
      <c r="B14" s="29" t="inlineStr">
        <is>
          <t>PASS</t>
        </is>
      </c>
    </row>
    <row r="15" ht="24" customHeight="1"/>
    <row r="16" ht="24" customHeight="1"/>
    <row r="17" ht="24" customHeight="1">
      <c r="A17" s="22" t="inlineStr">
        <is>
          <t>가중 점수 구성</t>
        </is>
      </c>
    </row>
    <row r="18" ht="24" customHeight="1">
      <c r="A18" s="25" t="inlineStr">
        <is>
          <t>요인 코드</t>
        </is>
      </c>
      <c r="B18" s="25" t="inlineStr">
        <is>
          <t>요인</t>
        </is>
      </c>
      <c r="C18" s="25" t="inlineStr">
        <is>
          <t>가중치</t>
        </is>
      </c>
      <c r="D18" s="25" t="inlineStr">
        <is>
          <t>원천값</t>
        </is>
      </c>
      <c r="E18" s="25" t="inlineStr">
        <is>
          <t>점수</t>
        </is>
      </c>
      <c r="F18" s="25" t="inlineStr">
        <is>
          <t>해석</t>
        </is>
      </c>
    </row>
    <row r="19" ht="24" customHeight="1">
      <c r="A19" s="24" t="inlineStr">
        <is>
          <t>DCF_UPSIDE</t>
        </is>
      </c>
      <c r="B19" s="24" t="inlineStr">
        <is>
          <t>DCF 현재가 대비 괴리율</t>
        </is>
      </c>
      <c r="C19" s="30" t="n">
        <v>0.25</v>
      </c>
      <c r="D19" s="30" t="n">
        <v>1.419037643110794</v>
      </c>
      <c r="E19" s="30" t="n">
        <v>100</v>
      </c>
      <c r="F19" s="24" t="inlineStr">
        <is>
          <t>내재주가가 현재가보다 높을수록 우호</t>
        </is>
      </c>
    </row>
    <row r="20" ht="24" customHeight="1">
      <c r="A20" s="29" t="inlineStr">
        <is>
          <t>PEER_PSR</t>
        </is>
      </c>
      <c r="B20" s="29" t="inlineStr">
        <is>
          <t>Peer P/S 상대 매력도</t>
        </is>
      </c>
      <c r="C20" s="31" t="n">
        <v>0.15</v>
      </c>
      <c r="D20" s="31" t="n">
        <v>1.233799891625982</v>
      </c>
      <c r="E20" s="31" t="n">
        <v>100</v>
      </c>
      <c r="F20" s="29" t="inlineStr">
        <is>
          <t>P/S가 동종 피어 대비 낮을수록 우호</t>
        </is>
      </c>
    </row>
    <row r="21" ht="24" customHeight="1">
      <c r="A21" s="24" t="inlineStr">
        <is>
          <t>QUALITY_ML</t>
        </is>
      </c>
      <c r="B21" s="24" t="inlineStr">
        <is>
          <t>수익성·현금흐름·안정성 ML 보조점수</t>
        </is>
      </c>
      <c r="C21" s="30" t="n">
        <v>0.15</v>
      </c>
      <c r="D21" s="30" t="n">
        <v>51.16</v>
      </c>
      <c r="E21" s="30" t="n">
        <v>51.16</v>
      </c>
      <c r="F21" s="24" t="inlineStr">
        <is>
          <t>Valuation Agent 자체 peer percentile composite</t>
        </is>
      </c>
    </row>
    <row r="22" ht="24" customHeight="1">
      <c r="A22" s="29" t="inlineStr">
        <is>
          <t>REFERENCE_UNIVERSE</t>
        </is>
      </c>
      <c r="B22" s="29" t="inlineStr">
        <is>
          <t>208개 반도체 Reference Universe 위치</t>
        </is>
      </c>
      <c r="C22" s="31" t="n">
        <v>0.1</v>
      </c>
      <c r="D22" s="31" t="n">
        <v>77.33333333333334</v>
      </c>
      <c r="E22" s="31" t="n">
        <v>77.33333333333334</v>
      </c>
      <c r="F22" s="29" t="inlineStr">
        <is>
          <t>업로드/기존 universe 후보 파일의 valuation proxy 기반 상대 위치</t>
        </is>
      </c>
    </row>
    <row r="23" ht="24" customHeight="1">
      <c r="A23" s="24" t="inlineStr">
        <is>
          <t>ADVANCED_VALUATION</t>
        </is>
      </c>
      <c r="B23" s="24" t="inlineStr">
        <is>
          <t>가치범위표·역산 DCF·오너 이익 교차검증</t>
        </is>
      </c>
      <c r="C23" s="30" t="n">
        <v>0.2</v>
      </c>
      <c r="D23" s="30" t="n">
        <v>94</v>
      </c>
      <c r="E23" s="30" t="n">
        <v>94</v>
      </c>
      <c r="F23" s="24" t="inlineStr">
        <is>
          <t>DCF 하나에 의존하지 않고 복수 가치평가 방법의 중앙값·안전마진·역산가정을 함께 평가</t>
        </is>
      </c>
    </row>
    <row r="24" ht="24" customHeight="1">
      <c r="A24" s="29" t="inlineStr">
        <is>
          <t>LIQUIDITY_RISK</t>
        </is>
      </c>
      <c r="B24" s="29" t="inlineStr">
        <is>
          <t>유동성·변동성 리스크</t>
        </is>
      </c>
      <c r="C24" s="31" t="n">
        <v>0.1</v>
      </c>
      <c r="D24" s="31" t="n">
        <v>20420408913</v>
      </c>
      <c r="E24" s="31" t="n">
        <v>46</v>
      </c>
      <c r="F24" s="29" t="inlineStr">
        <is>
          <t>거래대금은 높을수록, 변동성과 MDD는 낮을수록 우호</t>
        </is>
      </c>
    </row>
    <row r="25" ht="24" customHeight="1">
      <c r="A25" s="24" t="inlineStr">
        <is>
          <t>DATA_VALIDATION</t>
        </is>
      </c>
      <c r="B25" s="24" t="inlineStr">
        <is>
          <t>데이터 검증 상태</t>
        </is>
      </c>
      <c r="C25" s="30" t="n">
        <v>0.05</v>
      </c>
      <c r="D25" s="24" t="inlineStr">
        <is>
          <t>PASS</t>
        </is>
      </c>
      <c r="E25" s="30" t="n">
        <v>100</v>
      </c>
      <c r="F25" s="24" t="inlineStr">
        <is>
          <t>PASS이면 workbook/dashboard용 주요 데이터 준비 완료</t>
        </is>
      </c>
    </row>
    <row r="26" ht="24" customHeight="1"/>
    <row r="27" ht="24" customHeight="1"/>
    <row r="28" ht="24" customHeight="1">
      <c r="A28" s="22" t="inlineStr">
        <is>
          <t>데이터 연결 맵</t>
        </is>
      </c>
    </row>
    <row r="29" ht="24" customHeight="1">
      <c r="A29" s="25" t="inlineStr">
        <is>
          <t>데이터블록</t>
        </is>
      </c>
      <c r="B29" s="25" t="inlineStr">
        <is>
          <t>사용값</t>
        </is>
      </c>
      <c r="C29" s="25" t="inlineStr">
        <is>
          <t>출처</t>
        </is>
      </c>
    </row>
    <row r="30" ht="24" customHeight="1">
      <c r="A30" s="24" t="inlineStr">
        <is>
          <t>DCF</t>
        </is>
      </c>
      <c r="B30" s="24" t="inlineStr">
        <is>
          <t>46,518원</t>
        </is>
      </c>
      <c r="C30" s="24" t="inlineStr">
        <is>
          <t>valuation_metrics.json / 09_DCF_가치평가</t>
        </is>
      </c>
    </row>
    <row r="31" ht="24" customHeight="1">
      <c r="A31" s="29" t="inlineStr">
        <is>
          <t>Peer P/S</t>
        </is>
      </c>
      <c r="B31" s="29" t="inlineStr">
        <is>
          <t>1.23배</t>
        </is>
      </c>
      <c r="C31" s="29" t="inlineStr">
        <is>
          <t>valuation_peer_input.csv / 10_피어비교</t>
        </is>
      </c>
    </row>
    <row r="32" ht="24" customHeight="1">
      <c r="A32" s="24" t="inlineStr">
        <is>
          <t>208개 Universe</t>
        </is>
      </c>
      <c r="B32" s="24" t="inlineStr">
        <is>
          <t>208개</t>
        </is>
      </c>
      <c r="C32" s="24" t="inlineStr">
        <is>
          <t>valuation_reference_universe_208.csv</t>
        </is>
      </c>
    </row>
    <row r="33" ht="24" customHeight="1">
      <c r="A33" s="29" t="inlineStr">
        <is>
          <t>주가·유동성</t>
        </is>
      </c>
      <c r="B33" s="29" t="inlineStr">
        <is>
          <t>204.2억원</t>
        </is>
      </c>
      <c r="C33" s="29" t="inlineStr">
        <is>
          <t>valuation_price_history.csv / valuation_price_summary.json</t>
        </is>
      </c>
    </row>
    <row r="34" ht="24" customHeight="1">
      <c r="A34" s="24" t="inlineStr">
        <is>
          <t>ML 보조판단</t>
        </is>
      </c>
      <c r="B34" s="24" t="inlineStr">
        <is>
          <t>51.2/100</t>
        </is>
      </c>
      <c r="C34" s="24" t="inlineStr">
        <is>
          <t>valuation_agent 자체 peer percentile composite</t>
        </is>
      </c>
    </row>
  </sheetData>
  <autoFilter ref="A29:C34"/>
  <mergeCells count="20">
    <mergeCell ref="C6:D6"/>
    <mergeCell ref="I6:J6"/>
    <mergeCell ref="C5:D5"/>
    <mergeCell ref="E5:F5"/>
    <mergeCell ref="A1:K1"/>
    <mergeCell ref="A6:B6"/>
    <mergeCell ref="C4:D4"/>
    <mergeCell ref="E4:F4"/>
    <mergeCell ref="A17:F17"/>
    <mergeCell ref="G6:H6"/>
    <mergeCell ref="E6:F6"/>
    <mergeCell ref="A28:F28"/>
    <mergeCell ref="A9:F9"/>
    <mergeCell ref="A5:B5"/>
    <mergeCell ref="A2:K2"/>
    <mergeCell ref="G5:H5"/>
    <mergeCell ref="I5:J5"/>
    <mergeCell ref="A4:B4"/>
    <mergeCell ref="G4:H4"/>
    <mergeCell ref="I4:J4"/>
  </mergeCells>
  <pageMargins left="0.75" right="0.75" top="1" bottom="1" header="0.5" footer="0.5"/>
  <pageSetup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38" customWidth="1" min="6" max="6"/>
    <col width="17" customWidth="1" min="7" max="7"/>
    <col width="17" customWidth="1" min="8" max="8"/>
    <col width="17" customWidth="1" min="9" max="9"/>
    <col width="17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미코 시나리오 요약</t>
        </is>
      </c>
    </row>
    <row r="2" ht="28" customHeight="1">
      <c r="A2" s="17" t="inlineStr">
        <is>
          <t>Base/Bull/Bear 가정을 한눈에 볼 수 있도록 대시보드 다운로드용으로 정리</t>
        </is>
      </c>
    </row>
    <row r="3" ht="24" customHeight="1"/>
    <row r="4" ht="24" customHeight="1">
      <c r="A4" s="22" t="inlineStr">
        <is>
          <t>3단계 시나리오 가정</t>
        </is>
      </c>
    </row>
    <row r="5" ht="24" customHeight="1">
      <c r="A5" s="25" t="inlineStr">
        <is>
          <t>시나리오</t>
        </is>
      </c>
      <c r="B5" s="25" t="inlineStr">
        <is>
          <t>매출성장률</t>
        </is>
      </c>
      <c r="C5" s="25" t="inlineStr">
        <is>
          <t>FCF마진</t>
        </is>
      </c>
      <c r="D5" s="25" t="inlineStr">
        <is>
          <t>WACC</t>
        </is>
      </c>
      <c r="E5" s="25" t="inlineStr">
        <is>
          <t>영구성장률</t>
        </is>
      </c>
      <c r="F5" s="25" t="inlineStr">
        <is>
          <t>해석</t>
        </is>
      </c>
    </row>
    <row r="6" ht="24" customHeight="1">
      <c r="A6" s="24" t="inlineStr">
        <is>
          <t>Bear</t>
        </is>
      </c>
      <c r="B6" s="30" t="n">
        <v>0.18</v>
      </c>
      <c r="C6" s="30" t="n">
        <v>0.09487823139904718</v>
      </c>
      <c r="D6" s="30" t="n">
        <v>0.08111888277659718</v>
      </c>
      <c r="E6" s="30" t="n">
        <v>0.009999999999999998</v>
      </c>
      <c r="F6" s="24" t="inlineStr">
        <is>
          <t>보수적 수익성·할인율 가정</t>
        </is>
      </c>
    </row>
    <row r="7" ht="24" customHeight="1">
      <c r="A7" s="29" t="inlineStr">
        <is>
          <t>Base</t>
        </is>
      </c>
      <c r="B7" s="31" t="n">
        <v>0.2</v>
      </c>
      <c r="C7" s="31" t="n">
        <v>0.1148782313990472</v>
      </c>
      <c r="D7" s="31" t="n">
        <v>0.07111888277659718</v>
      </c>
      <c r="E7" s="31" t="n">
        <v>0.015</v>
      </c>
      <c r="F7" s="29" t="inlineStr">
        <is>
          <t>현재 모델 기본 가정</t>
        </is>
      </c>
    </row>
    <row r="8" ht="24" customHeight="1">
      <c r="A8" s="24" t="inlineStr">
        <is>
          <t>Bull</t>
        </is>
      </c>
      <c r="B8" s="30" t="n">
        <v>0.22</v>
      </c>
      <c r="C8" s="30" t="n">
        <v>0.1348782313990472</v>
      </c>
      <c r="D8" s="30" t="n">
        <v>0.06111888277659718</v>
      </c>
      <c r="E8" s="30" t="n">
        <v>0.02</v>
      </c>
      <c r="F8" s="24" t="inlineStr">
        <is>
          <t>성장·마진 개선 가정</t>
        </is>
      </c>
    </row>
    <row r="9" ht="24" customHeight="1"/>
    <row r="10" ht="24" customHeight="1"/>
    <row r="11" ht="24" customHeight="1">
      <c r="A11" s="22" t="inlineStr">
        <is>
          <t>대시보드 연결 가이드</t>
        </is>
      </c>
    </row>
    <row r="12" ht="24" customHeight="1">
      <c r="A12" s="25" t="inlineStr">
        <is>
          <t>항목</t>
        </is>
      </c>
      <c r="B12" s="25" t="inlineStr">
        <is>
          <t>내용</t>
        </is>
      </c>
    </row>
    <row r="13" ht="24" customHeight="1">
      <c r="A13" s="24" t="inlineStr">
        <is>
          <t>활용</t>
        </is>
      </c>
      <c r="B13" s="24" t="inlineStr">
        <is>
          <t>대시보드에서 WACC/성장률/마진 슬라이더를 만들 때 기본 입력값으로 사용</t>
        </is>
      </c>
    </row>
    <row r="14" ht="24" customHeight="1">
      <c r="A14" s="29" t="inlineStr">
        <is>
          <t>주의</t>
        </is>
      </c>
      <c r="B14" s="29" t="inlineStr">
        <is>
          <t>정식 투자 판단은 Chair의 6개 에이전트 종합과 별도 검토 필요</t>
        </is>
      </c>
    </row>
  </sheetData>
  <autoFilter ref="A12:B14"/>
  <mergeCells count="4">
    <mergeCell ref="A1:J1"/>
    <mergeCell ref="A11:F11"/>
    <mergeCell ref="A4:F4"/>
    <mergeCell ref="A2:J2"/>
  </mergeCells>
  <pageMargins left="0.75" right="0.75" top="1" bottom="1" header="0.5" footer="0.5"/>
  <pageSetup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18" customWidth="1" min="3" max="3"/>
    <col width="3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데이터 품질·커버리지</t>
        </is>
      </c>
    </row>
    <row r="2" ht="28" customHeight="1">
      <c r="A2" s="17" t="inlineStr">
        <is>
          <t>공란/해당 없음/계산 제외 항목을 숨기지 않고 데이터 커버리지로 관리</t>
        </is>
      </c>
    </row>
    <row r="3" ht="24" customHeight="1"/>
    <row r="4" ht="24" customHeight="1">
      <c r="A4" s="22" t="inlineStr">
        <is>
          <t>커버리지 체크</t>
        </is>
      </c>
    </row>
    <row r="5" ht="24" customHeight="1">
      <c r="A5" s="25" t="inlineStr">
        <is>
          <t>데이터블록</t>
        </is>
      </c>
      <c r="B5" s="25" t="inlineStr">
        <is>
          <t>행수</t>
        </is>
      </c>
      <c r="C5" s="25" t="inlineStr">
        <is>
          <t>상태</t>
        </is>
      </c>
      <c r="D5" s="25" t="inlineStr">
        <is>
          <t>대시보드 영향</t>
        </is>
      </c>
    </row>
    <row r="6" ht="24" customHeight="1">
      <c r="A6" s="24" t="inlineStr">
        <is>
          <t>DART 정규화 재무제표</t>
        </is>
      </c>
      <c r="B6" s="30" t="n">
        <v>5</v>
      </c>
      <c r="C6" s="24" t="inlineStr">
        <is>
          <t>OK</t>
        </is>
      </c>
      <c r="D6" s="24" t="inlineStr">
        <is>
          <t>DCF/WACC/핵심비율</t>
        </is>
      </c>
    </row>
    <row r="7" ht="24" customHeight="1">
      <c r="A7" s="29" t="inlineStr">
        <is>
          <t>주가 이력</t>
        </is>
      </c>
      <c r="B7" s="31" t="n">
        <v>1221</v>
      </c>
      <c r="C7" s="29" t="inlineStr">
        <is>
          <t>OK</t>
        </is>
      </c>
      <c r="D7" s="29" t="inlineStr">
        <is>
          <t>현재가/변동성/MDD/차트</t>
        </is>
      </c>
    </row>
    <row r="8" ht="24" customHeight="1">
      <c r="A8" s="24" t="inlineStr">
        <is>
          <t>Live peer</t>
        </is>
      </c>
      <c r="B8" s="30" t="n">
        <v>5</v>
      </c>
      <c r="C8" s="24" t="inlineStr">
        <is>
          <t>OK</t>
        </is>
      </c>
      <c r="D8" s="24" t="inlineStr">
        <is>
          <t>P/S, PER, PBR</t>
        </is>
      </c>
    </row>
    <row r="9" ht="24" customHeight="1">
      <c r="A9" s="29" t="inlineStr">
        <is>
          <t>208개 Reference Universe</t>
        </is>
      </c>
      <c r="B9" s="31" t="n">
        <v>208</v>
      </c>
      <c r="C9" s="29" t="inlineStr">
        <is>
          <t>OK</t>
        </is>
      </c>
      <c r="D9" s="29" t="inlineStr">
        <is>
          <t>상대 위치/ML 보조</t>
        </is>
      </c>
    </row>
    <row r="10" ht="24" customHeight="1">
      <c r="A10" s="24" t="inlineStr">
        <is>
          <t>가치평가 스코어카드</t>
        </is>
      </c>
      <c r="B10" s="30" t="n">
        <v>7</v>
      </c>
      <c r="C10" s="24" t="inlineStr">
        <is>
          <t>OK</t>
        </is>
      </c>
      <c r="D10" s="24" t="inlineStr">
        <is>
          <t>투자자 요약/Chair 보조</t>
        </is>
      </c>
    </row>
    <row r="11" ht="24" customHeight="1">
      <c r="A11" s="29" t="inlineStr">
        <is>
          <t>Validation</t>
        </is>
      </c>
      <c r="B11" s="31" t="n">
        <v>1</v>
      </c>
      <c r="C11" s="29" t="inlineStr">
        <is>
          <t>PASS</t>
        </is>
      </c>
      <c r="D11" s="29" t="inlineStr">
        <is>
          <t>경고/품질 배지</t>
        </is>
      </c>
    </row>
    <row r="12" ht="24" customHeight="1"/>
    <row r="13" ht="24" customHeight="1"/>
    <row r="14" ht="24" customHeight="1">
      <c r="A14" s="22" t="inlineStr">
        <is>
          <t>Validation 이슈</t>
        </is>
      </c>
    </row>
    <row r="15" ht="24" customHeight="1">
      <c r="A15" s="25" t="inlineStr">
        <is>
          <t>중요도</t>
        </is>
      </c>
      <c r="B15" s="25" t="inlineStr">
        <is>
          <t>코드</t>
        </is>
      </c>
      <c r="C15" s="25" t="inlineStr">
        <is>
          <t>메시지</t>
        </is>
      </c>
    </row>
    <row r="16" ht="24" customHeight="1">
      <c r="A16" s="24" t="inlineStr">
        <is>
          <t>INFO</t>
        </is>
      </c>
      <c r="B16" s="24" t="inlineStr">
        <is>
          <t>NO_MAJOR_WARNINGS</t>
        </is>
      </c>
      <c r="C16" s="24" t="inlineStr">
        <is>
          <t>주요 validation warning 없음</t>
        </is>
      </c>
    </row>
  </sheetData>
  <autoFilter ref="A15:C16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N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4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미코 종합 가치평가 요약</t>
        </is>
      </c>
    </row>
    <row r="2" ht="28" customHeight="1">
      <c r="A2" s="17" t="inlineStr">
        <is>
          <t>DCF·상대가치·역산 DCF·오너 이익·EPV·Graham Number로 교차검증</t>
        </is>
      </c>
    </row>
    <row r="3" ht="24" customHeight="1"/>
    <row r="4" ht="24" customHeight="1">
      <c r="A4" s="18" t="inlineStr">
        <is>
          <t>종합 가치평가 점수</t>
        </is>
      </c>
      <c r="B4" s="19" t="n"/>
      <c r="C4" s="18" t="inlineStr">
        <is>
          <t>가치범위 중앙값</t>
        </is>
      </c>
      <c r="D4" s="19" t="n"/>
      <c r="E4" s="18" t="inlineStr">
        <is>
          <t>안전마진</t>
        </is>
      </c>
      <c r="F4" s="19" t="n"/>
      <c r="G4" s="18" t="inlineStr">
        <is>
          <t>역산 DCF</t>
        </is>
      </c>
      <c r="H4" s="19" t="n"/>
      <c r="I4" s="18" t="inlineStr">
        <is>
          <t>오너 이익</t>
        </is>
      </c>
      <c r="J4" s="19" t="n"/>
      <c r="K4" s="18" t="inlineStr">
        <is>
          <t>검증상태</t>
        </is>
      </c>
      <c r="L4" s="19" t="n"/>
    </row>
    <row r="5" ht="24" customHeight="1">
      <c r="A5" s="20" t="inlineStr">
        <is>
          <t>94.0/100</t>
        </is>
      </c>
      <c r="B5" s="19" t="n"/>
      <c r="C5" s="20" t="inlineStr">
        <is>
          <t>52,495원</t>
        </is>
      </c>
      <c r="D5" s="19" t="n"/>
      <c r="E5" s="20" t="inlineStr">
        <is>
          <t>173.0%</t>
        </is>
      </c>
      <c r="F5" s="19" t="n"/>
      <c r="G5" s="20" t="inlineStr">
        <is>
          <t>-2.2%</t>
        </is>
      </c>
      <c r="H5" s="19" t="n"/>
      <c r="I5" s="20" t="inlineStr">
        <is>
          <t>7,774원</t>
        </is>
      </c>
      <c r="J5" s="19" t="n"/>
      <c r="K5" s="20" t="inlineStr">
        <is>
          <t>PASS</t>
        </is>
      </c>
      <c r="L5" s="19" t="n"/>
    </row>
    <row r="6" ht="24" customHeight="1">
      <c r="A6" s="21" t="inlineStr">
        <is>
          <t>복수 방법 교차검증</t>
        </is>
      </c>
      <c r="B6" s="19" t="n"/>
      <c r="C6" s="21" t="inlineStr">
        <is>
          <t>상승여력 우호</t>
        </is>
      </c>
      <c r="D6" s="19" t="n"/>
      <c r="E6" s="21" t="inlineStr">
        <is>
          <t>중앙값/현재가-1</t>
        </is>
      </c>
      <c r="F6" s="19" t="n"/>
      <c r="G6" s="21" t="inlineStr">
        <is>
          <t>시장가격 내재 성장률</t>
        </is>
      </c>
      <c r="H6" s="19" t="n"/>
      <c r="I6" s="21" t="inlineStr">
        <is>
          <t>보수 현금창출 기준</t>
        </is>
      </c>
      <c r="J6" s="19" t="n"/>
      <c r="K6" s="21" t="inlineStr">
        <is>
          <t>PASS 권장</t>
        </is>
      </c>
      <c r="L6" s="19" t="n"/>
    </row>
    <row r="7" ht="24" customHeight="1"/>
    <row r="8" ht="24" customHeight="1"/>
    <row r="9" ht="24" customHeight="1">
      <c r="A9" s="22" t="inlineStr">
        <is>
          <t>투자자용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결론</t>
        </is>
      </c>
      <c r="B11" s="24" t="inlineStr">
        <is>
          <t>DCF·Peer·품질·유동성 조합이 우호적입니다.</t>
        </is>
      </c>
    </row>
    <row r="12" ht="24" customHeight="1">
      <c r="A12" s="29" t="inlineStr">
        <is>
          <t>핵심 산식</t>
        </is>
      </c>
      <c r="B12" s="29" t="inlineStr">
        <is>
          <t>DCF + 피어 멀티플 가치범위표 + 역산 DCF + 오너 이익/EPV + 시장내재 배수 + 데이터 커버리지</t>
        </is>
      </c>
    </row>
    <row r="13" ht="24" customHeight="1">
      <c r="A13" s="24" t="inlineStr">
        <is>
          <t>사용 이유</t>
        </is>
      </c>
      <c r="B13" s="24" t="inlineStr">
        <is>
          <t>DCF는 가정 민감도가 크므로, 시장이 내재한 성장률과 상대가치·현금창출 가치가 같은 방향인지 확인합니다.</t>
        </is>
      </c>
    </row>
    <row r="14" ht="24" customHeight="1">
      <c r="A14" s="29" t="inlineStr">
        <is>
          <t>대시보드 활용</t>
        </is>
      </c>
      <c r="B14" s="29" t="inlineStr">
        <is>
          <t>summary_cards와 advanced_valuation 블록을 사용하면 Streamlit/React에서 가치범위 차트·민감도 카드·다운로드 버튼 구현 가능</t>
        </is>
      </c>
    </row>
    <row r="15" ht="24" customHeight="1"/>
    <row r="16" ht="24" customHeight="1"/>
    <row r="17" ht="24" customHeight="1">
      <c r="A17" s="22" t="inlineStr">
        <is>
          <t>방법별 내재가격 요약</t>
        </is>
      </c>
    </row>
    <row r="18" ht="24" customHeight="1">
      <c r="A18" s="25" t="inlineStr">
        <is>
          <t>방법 코드</t>
        </is>
      </c>
      <c r="B18" s="25" t="inlineStr">
        <is>
          <t>가치평가 방법</t>
        </is>
      </c>
      <c r="C18" s="25" t="inlineStr">
        <is>
          <t>하단 지분가치</t>
        </is>
      </c>
      <c r="D18" s="25" t="inlineStr">
        <is>
          <t>중앙 지분가치</t>
        </is>
      </c>
      <c r="E18" s="25" t="inlineStr">
        <is>
          <t>상단 지분가치</t>
        </is>
      </c>
      <c r="F18" s="25" t="inlineStr">
        <is>
          <t>하단 주당가치</t>
        </is>
      </c>
      <c r="G18" s="25" t="inlineStr">
        <is>
          <t>중앙 주당가치</t>
        </is>
      </c>
      <c r="H18" s="25" t="inlineStr">
        <is>
          <t>상단 주당가치</t>
        </is>
      </c>
      <c r="I18" s="25" t="inlineStr">
        <is>
          <t>현재가</t>
        </is>
      </c>
      <c r="J18" s="25" t="inlineStr">
        <is>
          <t>현재가 대비</t>
        </is>
      </c>
      <c r="K18" s="25" t="inlineStr">
        <is>
          <t>해석</t>
        </is>
      </c>
      <c r="L18" s="25" t="inlineStr">
        <is>
          <t>출처</t>
        </is>
      </c>
      <c r="M18" s="25" t="inlineStr">
        <is>
          <t>신뢰도</t>
        </is>
      </c>
    </row>
    <row r="19" ht="24" customHeight="1">
      <c r="A19" s="24" t="inlineStr">
        <is>
          <t>DCF_BASE</t>
        </is>
      </c>
      <c r="B19" s="24" t="inlineStr">
        <is>
          <t>DCF 기준가치</t>
        </is>
      </c>
      <c r="C19" s="30" t="n">
        <v>1321312093660.822</v>
      </c>
      <c r="D19" s="30" t="n">
        <v>1554484816071.556</v>
      </c>
      <c r="E19" s="30" t="n">
        <v>1787657538482.289</v>
      </c>
      <c r="F19" s="30" t="n">
        <v>39540.37979546748</v>
      </c>
      <c r="G19" s="30" t="n">
        <v>46518.09387702057</v>
      </c>
      <c r="H19" s="30" t="n">
        <v>53495.80795857365</v>
      </c>
      <c r="I19" s="30" t="n">
        <v>19230</v>
      </c>
      <c r="J19" s="35" t="n">
        <v>1.419037643110794</v>
      </c>
      <c r="K19" s="24" t="inlineStr">
        <is>
          <t>상승여력 우호</t>
        </is>
      </c>
      <c r="L19" s="24" t="inlineStr">
        <is>
          <t>Valuation Agent DCF</t>
        </is>
      </c>
      <c r="M19" s="24" t="inlineStr">
        <is>
          <t>핵심 모델</t>
        </is>
      </c>
    </row>
    <row r="20" ht="24" customHeight="1">
      <c r="A20" s="29" t="inlineStr">
        <is>
          <t>PSR_COMP</t>
        </is>
      </c>
      <c r="B20" s="29" t="inlineStr">
        <is>
          <t>P/S 상대가치</t>
        </is>
      </c>
      <c r="C20" s="31" t="n">
        <v>1340136994094.65</v>
      </c>
      <c r="D20" s="31" t="n">
        <v>3464161699444.28</v>
      </c>
      <c r="E20" s="31" t="n">
        <v>3686077067904.703</v>
      </c>
      <c r="F20" s="31" t="n">
        <v>40103.71658496369</v>
      </c>
      <c r="G20" s="31" t="n">
        <v>103665.3413876191</v>
      </c>
      <c r="H20" s="31" t="n">
        <v>110306.1781690833</v>
      </c>
      <c r="I20" s="31" t="n">
        <v>19230</v>
      </c>
      <c r="J20" s="36" t="n">
        <v>4.390813384691582</v>
      </c>
      <c r="K20" s="29" t="inlineStr">
        <is>
          <t>상승여력 우호</t>
        </is>
      </c>
      <c r="L20" s="29" t="inlineStr">
        <is>
          <t>시가총액/매출 피어 비교</t>
        </is>
      </c>
      <c r="M20" s="29" t="inlineStr">
        <is>
          <t>피어 중앙값 기반</t>
        </is>
      </c>
    </row>
    <row r="21" ht="24" customHeight="1">
      <c r="A21" s="24" t="inlineStr">
        <is>
          <t>PBR_COMP</t>
        </is>
      </c>
      <c r="B21" s="24" t="inlineStr">
        <is>
          <t>P/B 상대가치</t>
        </is>
      </c>
      <c r="C21" s="30" t="n">
        <v>1806391205628.56</v>
      </c>
      <c r="D21" s="30" t="n">
        <v>1834558538389.788</v>
      </c>
      <c r="E21" s="30" t="n">
        <v>2736588544948.417</v>
      </c>
      <c r="F21" s="30" t="n">
        <v>54056.41458397216</v>
      </c>
      <c r="G21" s="30" t="n">
        <v>54899.32447675798</v>
      </c>
      <c r="H21" s="30" t="n">
        <v>81892.651199</v>
      </c>
      <c r="I21" s="30" t="n">
        <v>19230</v>
      </c>
      <c r="J21" s="35" t="n">
        <v>1.854879067954133</v>
      </c>
      <c r="K21" s="24" t="inlineStr">
        <is>
          <t>상승여력 우호</t>
        </is>
      </c>
      <c r="L21" s="24" t="inlineStr">
        <is>
          <t>시가총액/자본 피어 비교</t>
        </is>
      </c>
      <c r="M21" s="24" t="inlineStr">
        <is>
          <t>피어 중앙값 기반</t>
        </is>
      </c>
    </row>
    <row r="22" ht="24" customHeight="1">
      <c r="A22" s="29" t="inlineStr">
        <is>
          <t>PER_COMP</t>
        </is>
      </c>
      <c r="B22" s="29" t="inlineStr">
        <is>
          <t>PER 상대가치</t>
        </is>
      </c>
      <c r="C22" s="31" t="n">
        <v>1585748659100.821</v>
      </c>
      <c r="D22" s="31" t="n">
        <v>1754210471092.945</v>
      </c>
      <c r="E22" s="31" t="n">
        <v>2391942420921.103</v>
      </c>
      <c r="F22" s="31" t="n">
        <v>47453.66711000146</v>
      </c>
      <c r="G22" s="31" t="n">
        <v>52494.90154595231</v>
      </c>
      <c r="H22" s="31" t="n">
        <v>71579.08583888915</v>
      </c>
      <c r="I22" s="31" t="n">
        <v>19230</v>
      </c>
      <c r="J22" s="36" t="n">
        <v>1.729844074152486</v>
      </c>
      <c r="K22" s="29" t="inlineStr">
        <is>
          <t>상승여력 우호</t>
        </is>
      </c>
      <c r="L22" s="29" t="inlineStr">
        <is>
          <t>시가총액/순이익 피어 비교</t>
        </is>
      </c>
      <c r="M22" s="29" t="inlineStr">
        <is>
          <t>피어 중앙값 기반</t>
        </is>
      </c>
    </row>
    <row r="23" ht="24" customHeight="1">
      <c r="A23" s="24" t="inlineStr">
        <is>
          <t>PFCF_COMP</t>
        </is>
      </c>
      <c r="B23" s="24" t="inlineStr">
        <is>
          <t>P/FCF 상대가치</t>
        </is>
      </c>
      <c r="C23" s="30" t="n">
        <v>115269079935.919</v>
      </c>
      <c r="D23" s="30" t="n">
        <v>289430496157.3148</v>
      </c>
      <c r="E23" s="30" t="n">
        <v>318319658691.9703</v>
      </c>
      <c r="F23" s="30" t="n">
        <v>3449.437283747674</v>
      </c>
      <c r="G23" s="30" t="n">
        <v>8661.232874016601</v>
      </c>
      <c r="H23" s="30" t="n">
        <v>9525.743585811006</v>
      </c>
      <c r="I23" s="30" t="n">
        <v>19230</v>
      </c>
      <c r="J23" s="35" t="n">
        <v>-0.5495978744661154</v>
      </c>
      <c r="K23" s="24" t="inlineStr">
        <is>
          <t>밸류에이션 부담</t>
        </is>
      </c>
      <c r="L23" s="24" t="inlineStr">
        <is>
          <t>시가총액/FCF 피어 비교</t>
        </is>
      </c>
      <c r="M23" s="24" t="inlineStr">
        <is>
          <t>피어 중앙값 기반</t>
        </is>
      </c>
    </row>
    <row r="24" ht="24" customHeight="1">
      <c r="A24" s="29" t="inlineStr">
        <is>
          <t>EV_SALES_COMP</t>
        </is>
      </c>
      <c r="B24" s="29" t="inlineStr">
        <is>
          <t>EV/Sales 상대가치</t>
        </is>
      </c>
      <c r="C24" s="31" t="n">
        <v>782671061803.5117</v>
      </c>
      <c r="D24" s="31" t="n">
        <v>2664362444103.854</v>
      </c>
      <c r="E24" s="31" t="n">
        <v>7128053129689.871</v>
      </c>
      <c r="F24" s="31" t="n">
        <v>23421.49987660425</v>
      </c>
      <c r="G24" s="31" t="n">
        <v>79731.27882358538</v>
      </c>
      <c r="H24" s="31" t="n">
        <v>213307.6124122401</v>
      </c>
      <c r="I24" s="31" t="n">
        <v>19230</v>
      </c>
      <c r="J24" s="36" t="n">
        <v>3.146192346520301</v>
      </c>
      <c r="K24" s="29" t="inlineStr">
        <is>
          <t>상승여력 우호</t>
        </is>
      </c>
      <c r="L24" s="29" t="inlineStr">
        <is>
          <t>EV/매출 피어 비교</t>
        </is>
      </c>
      <c r="M24" s="29" t="inlineStr">
        <is>
          <t>EV 조정 피어 기준</t>
        </is>
      </c>
    </row>
    <row r="25" ht="24" customHeight="1">
      <c r="A25" s="24" t="inlineStr">
        <is>
          <t>EV_EBIT_COMP</t>
        </is>
      </c>
      <c r="B25" s="24" t="inlineStr">
        <is>
          <t>EV/EBIT 상대가치</t>
        </is>
      </c>
      <c r="C25" s="30" t="n">
        <v>728096578291.7158</v>
      </c>
      <c r="D25" s="30" t="n">
        <v>1032334753473.405</v>
      </c>
      <c r="E25" s="30" t="n">
        <v>3383503213193.976</v>
      </c>
      <c r="F25" s="30" t="n">
        <v>21788.35369142159</v>
      </c>
      <c r="G25" s="30" t="n">
        <v>30892.70765342502</v>
      </c>
      <c r="H25" s="30" t="n">
        <v>101251.6291425216</v>
      </c>
      <c r="I25" s="30" t="n">
        <v>19230</v>
      </c>
      <c r="J25" s="35" t="n">
        <v>0.6064850573803962</v>
      </c>
      <c r="K25" s="24" t="inlineStr">
        <is>
          <t>상승여력 우호</t>
        </is>
      </c>
      <c r="L25" s="24" t="inlineStr">
        <is>
          <t>EV/영업이익 피어 비교</t>
        </is>
      </c>
      <c r="M25" s="24" t="inlineStr">
        <is>
          <t>EV 조정 피어 기준</t>
        </is>
      </c>
    </row>
    <row r="26" ht="24" customHeight="1"/>
    <row r="27" ht="24" customHeight="1"/>
    <row r="28" ht="24" customHeight="1">
      <c r="A28" s="22" t="inlineStr">
        <is>
          <t>시장내재 배수 자동산출</t>
        </is>
      </c>
    </row>
    <row r="29" ht="24" customHeight="1">
      <c r="A29" s="25" t="inlineStr">
        <is>
          <t>latest_close</t>
        </is>
      </c>
      <c r="B29" s="25" t="inlineStr">
        <is>
          <t>시가총액</t>
        </is>
      </c>
      <c r="C29" s="25" t="inlineStr">
        <is>
          <t>EV proxy</t>
        </is>
      </c>
      <c r="D29" s="25" t="inlineStr">
        <is>
          <t>psr_market</t>
        </is>
      </c>
      <c r="E29" s="25" t="inlineStr">
        <is>
          <t>pbr_market</t>
        </is>
      </c>
      <c r="F29" s="25" t="inlineStr">
        <is>
          <t>per_market</t>
        </is>
      </c>
      <c r="G29" s="25" t="inlineStr">
        <is>
          <t>p_fcf_market</t>
        </is>
      </c>
      <c r="H29" s="25" t="inlineStr">
        <is>
          <t>ev_sales_market</t>
        </is>
      </c>
      <c r="I29" s="25" t="inlineStr">
        <is>
          <t>ev_ebit_market</t>
        </is>
      </c>
      <c r="J29" s="25" t="inlineStr">
        <is>
          <t>eps_derived</t>
        </is>
      </c>
      <c r="K29" s="25" t="inlineStr">
        <is>
          <t>bps_derived</t>
        </is>
      </c>
      <c r="L29" s="25" t="inlineStr">
        <is>
          <t>fcf_yield_market</t>
        </is>
      </c>
      <c r="M29" s="25" t="inlineStr">
        <is>
          <t>sales_yield_market</t>
        </is>
      </c>
      <c r="N29" s="25" t="inlineStr">
        <is>
          <t>source_kr</t>
        </is>
      </c>
    </row>
    <row r="30" ht="24" customHeight="1">
      <c r="A30" s="30" t="n">
        <v>19230</v>
      </c>
      <c r="B30" s="30" t="n">
        <v>642604640940</v>
      </c>
      <c r="C30" s="30" t="n">
        <v>1910029473576</v>
      </c>
      <c r="D30" s="42" t="n">
        <v>0.6577077190022006</v>
      </c>
      <c r="E30" s="42" t="n">
        <v>0.9325275483553788</v>
      </c>
      <c r="F30" s="42" t="n">
        <v>8.573861653969013</v>
      </c>
      <c r="G30" s="42" t="n">
        <v>34.7814974146677</v>
      </c>
      <c r="H30" s="42" t="n">
        <v>1.954920721479726</v>
      </c>
      <c r="I30" s="42" t="n">
        <v>18.91038801957933</v>
      </c>
      <c r="J30" s="30" t="n">
        <v>2242.863341642333</v>
      </c>
      <c r="K30" s="30" t="n">
        <v>20621.37470781893</v>
      </c>
      <c r="L30" s="35" t="n">
        <v>0.02875091857253651</v>
      </c>
      <c r="M30" s="35" t="n">
        <v>1.520432208880088</v>
      </c>
      <c r="N30" s="24" t="inlineStr">
        <is>
          <t>DART 정규화 재무제표 + Valuation Agent 주가/발행주식 수 intake로 자동 산출</t>
        </is>
      </c>
    </row>
    <row r="31" ht="24" customHeight="1"/>
    <row r="32" ht="24" customHeight="1"/>
    <row r="33" ht="24" customHeight="1">
      <c r="A33" s="22" t="inlineStr">
        <is>
          <t>품질 진단 체크</t>
        </is>
      </c>
    </row>
    <row r="34" ht="24" customHeight="1">
      <c r="A34" s="25" t="inlineStr">
        <is>
          <t>진단항목</t>
        </is>
      </c>
      <c r="B34" s="25" t="inlineStr">
        <is>
          <t>상태</t>
        </is>
      </c>
      <c r="C34" s="25" t="inlineStr">
        <is>
          <t>근거값</t>
        </is>
      </c>
      <c r="D34" s="25" t="inlineStr">
        <is>
          <t>해석</t>
        </is>
      </c>
    </row>
    <row r="35" ht="24" customHeight="1">
      <c r="A35" s="24" t="inlineStr">
        <is>
          <t>재무제표 기간</t>
        </is>
      </c>
      <c r="B35" s="24" t="inlineStr">
        <is>
          <t>충분</t>
        </is>
      </c>
      <c r="C35" s="30" t="n">
        <v>5</v>
      </c>
      <c r="D35" s="24" t="inlineStr">
        <is>
          <t>5개년이면 DCF 추세 가정과 CAGR 산정에 충분합니다.</t>
        </is>
      </c>
    </row>
    <row r="36" ht="24" customHeight="1">
      <c r="A36" s="29" t="inlineStr">
        <is>
          <t>주가 이력</t>
        </is>
      </c>
      <c r="B36" s="29" t="inlineStr">
        <is>
          <t>충분</t>
        </is>
      </c>
      <c r="C36" s="31" t="n">
        <v>1221</v>
      </c>
      <c r="D36" s="29" t="inlineStr">
        <is>
          <t>현재가, 52주 범위, MDD, 변동성, 거래대금 지표 품질을 좌우합니다.</t>
        </is>
      </c>
    </row>
    <row r="37" ht="24" customHeight="1">
      <c r="A37" s="24" t="inlineStr">
        <is>
          <t>가치평가 방법 수</t>
        </is>
      </c>
      <c r="B37" s="24" t="inlineStr">
        <is>
          <t>충분</t>
        </is>
      </c>
      <c r="C37" s="30" t="n">
        <v>7</v>
      </c>
      <c r="D37" s="24" t="inlineStr">
        <is>
          <t>DCF 하나가 아니라 상대가치·EV 멀티플·현금창출 지표까지 교차검증합니다.</t>
        </is>
      </c>
    </row>
    <row r="38" ht="24" customHeight="1">
      <c r="A38" s="29" t="inlineStr">
        <is>
          <t>수익성</t>
        </is>
      </c>
      <c r="B38" s="29" t="inlineStr">
        <is>
          <t>우호</t>
        </is>
      </c>
      <c r="C38" s="31" t="n">
        <v>0.1033781390130996</v>
      </c>
      <c r="D38" s="29" t="inlineStr">
        <is>
          <t>영업이익률이 높을수록 DCF의 현금흐름 안정성이 높습니다.</t>
        </is>
      </c>
    </row>
    <row r="39" ht="24" customHeight="1">
      <c r="A39" s="24" t="inlineStr">
        <is>
          <t>현금창출</t>
        </is>
      </c>
      <c r="B39" s="24" t="inlineStr">
        <is>
          <t>중립</t>
        </is>
      </c>
      <c r="C39" s="30" t="n">
        <v>0.01890970107356099</v>
      </c>
      <c r="D39" s="24" t="inlineStr">
        <is>
          <t>FCF margin과 오너 이익 수익률이 DCF 품질의 핵심입니다.</t>
        </is>
      </c>
    </row>
    <row r="40" ht="24" customHeight="1">
      <c r="A40" s="29" t="inlineStr">
        <is>
          <t>재무 레버리지</t>
        </is>
      </c>
      <c r="B40" s="29" t="inlineStr">
        <is>
          <t>관리 필요</t>
        </is>
      </c>
      <c r="C40" s="31" t="n">
        <v>2.286278182158115</v>
      </c>
      <c r="D40" s="29" t="inlineStr">
        <is>
          <t>부채/자본이 높으면 WACC와 지분가치 산정에 보수 가정을 적용합니다.</t>
        </is>
      </c>
    </row>
    <row r="41" ht="24" customHeight="1">
      <c r="A41" s="24" t="inlineStr">
        <is>
          <t>시장 내재가정</t>
        </is>
      </c>
      <c r="B41" s="24" t="inlineStr">
        <is>
          <t>계산 완료</t>
        </is>
      </c>
      <c r="C41" s="30" t="n">
        <v>-0.02150384794489343</v>
      </c>
      <c r="D41" s="24" t="inlineStr">
        <is>
          <t>현재 시가총액이 요구하는 영구성장률을 역산해 과도한 기대가 반영됐는지 확인합니다.</t>
        </is>
      </c>
    </row>
    <row r="42" ht="24" customHeight="1">
      <c r="A42" s="29" t="inlineStr">
        <is>
          <t>오너 이익</t>
        </is>
      </c>
      <c r="B42" s="29" t="inlineStr">
        <is>
          <t>계산 완료</t>
        </is>
      </c>
      <c r="C42" s="31" t="n">
        <v>7774.027692288371</v>
      </c>
      <c r="D42" s="29" t="inlineStr">
        <is>
          <t>CFO-CAPEX 또는 FCF 기반 보수 가치가 DCF와 같은 방향인지 확인합니다.</t>
        </is>
      </c>
    </row>
  </sheetData>
  <autoFilter ref="A34:D42"/>
  <mergeCells count="24">
    <mergeCell ref="C6:D6"/>
    <mergeCell ref="I6:J6"/>
    <mergeCell ref="C5:D5"/>
    <mergeCell ref="E5:F5"/>
    <mergeCell ref="K5:L5"/>
    <mergeCell ref="A6:B6"/>
    <mergeCell ref="C4:D4"/>
    <mergeCell ref="A33:F33"/>
    <mergeCell ref="A2:L2"/>
    <mergeCell ref="E4:F4"/>
    <mergeCell ref="A17:F17"/>
    <mergeCell ref="G6:H6"/>
    <mergeCell ref="E6:F6"/>
    <mergeCell ref="A28:F28"/>
    <mergeCell ref="A9:F9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  <pageSetup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M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2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4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미코 가치범위표</t>
        </is>
      </c>
    </row>
    <row r="2" ht="28" customHeight="1">
      <c r="A2" s="17" t="inlineStr">
        <is>
          <t>DCF, P/S, P/B, PER, P/FCF, EV/Sales, EV/EBIT 기준 내재가격 범위를 한 화면에서 비교</t>
        </is>
      </c>
    </row>
    <row r="3" ht="24" customHeight="1"/>
    <row r="4" ht="24" customHeight="1">
      <c r="A4" s="18" t="inlineStr">
        <is>
          <t>현재가</t>
        </is>
      </c>
      <c r="B4" s="19" t="n"/>
      <c r="C4" s="18" t="inlineStr">
        <is>
          <t>하단값</t>
        </is>
      </c>
      <c r="D4" s="19" t="n"/>
      <c r="E4" s="18" t="inlineStr">
        <is>
          <t>중앙값</t>
        </is>
      </c>
      <c r="F4" s="19" t="n"/>
      <c r="G4" s="18" t="inlineStr">
        <is>
          <t>상단값</t>
        </is>
      </c>
      <c r="H4" s="19" t="n"/>
      <c r="I4" s="18" t="inlineStr">
        <is>
          <t>방법 수</t>
        </is>
      </c>
      <c r="J4" s="19" t="n"/>
      <c r="K4" s="18" t="inlineStr">
        <is>
          <t>안전마진</t>
        </is>
      </c>
      <c r="L4" s="19" t="n"/>
    </row>
    <row r="5" ht="24" customHeight="1">
      <c r="A5" s="20" t="inlineStr">
        <is>
          <t>19,230원</t>
        </is>
      </c>
      <c r="B5" s="19" t="n"/>
      <c r="C5" s="20" t="inlineStr">
        <is>
          <t>38,705원</t>
        </is>
      </c>
      <c r="D5" s="19" t="n"/>
      <c r="E5" s="20" t="inlineStr">
        <is>
          <t>52,495원</t>
        </is>
      </c>
      <c r="F5" s="19" t="n"/>
      <c r="G5" s="20" t="inlineStr">
        <is>
          <t>67,315원</t>
        </is>
      </c>
      <c r="H5" s="19" t="n"/>
      <c r="I5" s="20" t="inlineStr">
        <is>
          <t>7</t>
        </is>
      </c>
      <c r="J5" s="19" t="n"/>
      <c r="K5" s="20" t="inlineStr">
        <is>
          <t>173.0%</t>
        </is>
      </c>
      <c r="L5" s="19" t="n"/>
    </row>
    <row r="6" ht="24" customHeight="1">
      <c r="A6" s="21" t="inlineStr">
        <is>
          <t>시장 기준</t>
        </is>
      </c>
      <c r="B6" s="19" t="n"/>
      <c r="C6" s="21" t="inlineStr">
        <is>
          <t>25% 분위</t>
        </is>
      </c>
      <c r="D6" s="19" t="n"/>
      <c r="E6" s="21" t="inlineStr">
        <is>
          <t>50% 분위</t>
        </is>
      </c>
      <c r="F6" s="19" t="n"/>
      <c r="G6" s="21" t="inlineStr">
        <is>
          <t>75% 분위</t>
        </is>
      </c>
      <c r="H6" s="19" t="n"/>
      <c r="I6" s="21" t="inlineStr">
        <is>
          <t>산출 가능한 방법</t>
        </is>
      </c>
      <c r="J6" s="19" t="n"/>
      <c r="K6" s="21" t="inlineStr">
        <is>
          <t>중앙값 기준</t>
        </is>
      </c>
      <c r="L6" s="19" t="n"/>
    </row>
    <row r="7" ht="24" customHeight="1"/>
    <row r="8" ht="24" customHeight="1"/>
    <row r="9" ht="24" customHeight="1">
      <c r="A9" s="22" t="inlineStr">
        <is>
          <t>가치평가 방법별 Low/Base/High</t>
        </is>
      </c>
    </row>
    <row r="10" ht="24" customHeight="1">
      <c r="A10" s="25" t="inlineStr">
        <is>
          <t>방법 코드</t>
        </is>
      </c>
      <c r="B10" s="25" t="inlineStr">
        <is>
          <t>가치평가 방법</t>
        </is>
      </c>
      <c r="C10" s="25" t="inlineStr">
        <is>
          <t>하단 지분가치</t>
        </is>
      </c>
      <c r="D10" s="25" t="inlineStr">
        <is>
          <t>중앙 지분가치</t>
        </is>
      </c>
      <c r="E10" s="25" t="inlineStr">
        <is>
          <t>상단 지분가치</t>
        </is>
      </c>
      <c r="F10" s="25" t="inlineStr">
        <is>
          <t>하단 주당가치</t>
        </is>
      </c>
      <c r="G10" s="25" t="inlineStr">
        <is>
          <t>중앙 주당가치</t>
        </is>
      </c>
      <c r="H10" s="25" t="inlineStr">
        <is>
          <t>상단 주당가치</t>
        </is>
      </c>
      <c r="I10" s="25" t="inlineStr">
        <is>
          <t>현재가</t>
        </is>
      </c>
      <c r="J10" s="25" t="inlineStr">
        <is>
          <t>현재가 대비</t>
        </is>
      </c>
      <c r="K10" s="25" t="inlineStr">
        <is>
          <t>해석</t>
        </is>
      </c>
      <c r="L10" s="25" t="inlineStr">
        <is>
          <t>출처</t>
        </is>
      </c>
      <c r="M10" s="25" t="inlineStr">
        <is>
          <t>신뢰도</t>
        </is>
      </c>
    </row>
    <row r="11" ht="24" customHeight="1">
      <c r="A11" s="24" t="inlineStr">
        <is>
          <t>DCF_BASE</t>
        </is>
      </c>
      <c r="B11" s="24" t="inlineStr">
        <is>
          <t>DCF 기준가치</t>
        </is>
      </c>
      <c r="C11" s="30" t="n">
        <v>1321312093660.822</v>
      </c>
      <c r="D11" s="30" t="n">
        <v>1554484816071.556</v>
      </c>
      <c r="E11" s="30" t="n">
        <v>1787657538482.289</v>
      </c>
      <c r="F11" s="30" t="n">
        <v>39540.37979546748</v>
      </c>
      <c r="G11" s="30" t="n">
        <v>46518.09387702057</v>
      </c>
      <c r="H11" s="30" t="n">
        <v>53495.80795857365</v>
      </c>
      <c r="I11" s="30" t="n">
        <v>19230</v>
      </c>
      <c r="J11" s="35" t="n">
        <v>1.419037643110794</v>
      </c>
      <c r="K11" s="24" t="inlineStr">
        <is>
          <t>상승여력 우호</t>
        </is>
      </c>
      <c r="L11" s="24" t="inlineStr">
        <is>
          <t>Valuation Agent DCF</t>
        </is>
      </c>
      <c r="M11" s="24" t="inlineStr">
        <is>
          <t>핵심 모델</t>
        </is>
      </c>
    </row>
    <row r="12" ht="24" customHeight="1">
      <c r="A12" s="29" t="inlineStr">
        <is>
          <t>PSR_COMP</t>
        </is>
      </c>
      <c r="B12" s="29" t="inlineStr">
        <is>
          <t>P/S 상대가치</t>
        </is>
      </c>
      <c r="C12" s="31" t="n">
        <v>1340136994094.65</v>
      </c>
      <c r="D12" s="31" t="n">
        <v>3464161699444.28</v>
      </c>
      <c r="E12" s="31" t="n">
        <v>3686077067904.703</v>
      </c>
      <c r="F12" s="31" t="n">
        <v>40103.71658496369</v>
      </c>
      <c r="G12" s="31" t="n">
        <v>103665.3413876191</v>
      </c>
      <c r="H12" s="31" t="n">
        <v>110306.1781690833</v>
      </c>
      <c r="I12" s="31" t="n">
        <v>19230</v>
      </c>
      <c r="J12" s="36" t="n">
        <v>4.390813384691582</v>
      </c>
      <c r="K12" s="29" t="inlineStr">
        <is>
          <t>상승여력 우호</t>
        </is>
      </c>
      <c r="L12" s="29" t="inlineStr">
        <is>
          <t>시가총액/매출 피어 비교</t>
        </is>
      </c>
      <c r="M12" s="29" t="inlineStr">
        <is>
          <t>피어 중앙값 기반</t>
        </is>
      </c>
    </row>
    <row r="13" ht="24" customHeight="1">
      <c r="A13" s="24" t="inlineStr">
        <is>
          <t>PBR_COMP</t>
        </is>
      </c>
      <c r="B13" s="24" t="inlineStr">
        <is>
          <t>P/B 상대가치</t>
        </is>
      </c>
      <c r="C13" s="30" t="n">
        <v>1806391205628.56</v>
      </c>
      <c r="D13" s="30" t="n">
        <v>1834558538389.788</v>
      </c>
      <c r="E13" s="30" t="n">
        <v>2736588544948.417</v>
      </c>
      <c r="F13" s="30" t="n">
        <v>54056.41458397216</v>
      </c>
      <c r="G13" s="30" t="n">
        <v>54899.32447675798</v>
      </c>
      <c r="H13" s="30" t="n">
        <v>81892.651199</v>
      </c>
      <c r="I13" s="30" t="n">
        <v>19230</v>
      </c>
      <c r="J13" s="35" t="n">
        <v>1.854879067954133</v>
      </c>
      <c r="K13" s="24" t="inlineStr">
        <is>
          <t>상승여력 우호</t>
        </is>
      </c>
      <c r="L13" s="24" t="inlineStr">
        <is>
          <t>시가총액/자본 피어 비교</t>
        </is>
      </c>
      <c r="M13" s="24" t="inlineStr">
        <is>
          <t>피어 중앙값 기반</t>
        </is>
      </c>
    </row>
    <row r="14" ht="24" customHeight="1">
      <c r="A14" s="29" t="inlineStr">
        <is>
          <t>PER_COMP</t>
        </is>
      </c>
      <c r="B14" s="29" t="inlineStr">
        <is>
          <t>PER 상대가치</t>
        </is>
      </c>
      <c r="C14" s="31" t="n">
        <v>1585748659100.821</v>
      </c>
      <c r="D14" s="31" t="n">
        <v>1754210471092.945</v>
      </c>
      <c r="E14" s="31" t="n">
        <v>2391942420921.103</v>
      </c>
      <c r="F14" s="31" t="n">
        <v>47453.66711000146</v>
      </c>
      <c r="G14" s="31" t="n">
        <v>52494.90154595231</v>
      </c>
      <c r="H14" s="31" t="n">
        <v>71579.08583888915</v>
      </c>
      <c r="I14" s="31" t="n">
        <v>19230</v>
      </c>
      <c r="J14" s="36" t="n">
        <v>1.729844074152486</v>
      </c>
      <c r="K14" s="29" t="inlineStr">
        <is>
          <t>상승여력 우호</t>
        </is>
      </c>
      <c r="L14" s="29" t="inlineStr">
        <is>
          <t>시가총액/순이익 피어 비교</t>
        </is>
      </c>
      <c r="M14" s="29" t="inlineStr">
        <is>
          <t>피어 중앙값 기반</t>
        </is>
      </c>
    </row>
    <row r="15" ht="24" customHeight="1">
      <c r="A15" s="24" t="inlineStr">
        <is>
          <t>PFCF_COMP</t>
        </is>
      </c>
      <c r="B15" s="24" t="inlineStr">
        <is>
          <t>P/FCF 상대가치</t>
        </is>
      </c>
      <c r="C15" s="30" t="n">
        <v>115269079935.919</v>
      </c>
      <c r="D15" s="30" t="n">
        <v>289430496157.3148</v>
      </c>
      <c r="E15" s="30" t="n">
        <v>318319658691.9703</v>
      </c>
      <c r="F15" s="30" t="n">
        <v>3449.437283747674</v>
      </c>
      <c r="G15" s="30" t="n">
        <v>8661.232874016601</v>
      </c>
      <c r="H15" s="30" t="n">
        <v>9525.743585811006</v>
      </c>
      <c r="I15" s="30" t="n">
        <v>19230</v>
      </c>
      <c r="J15" s="35" t="n">
        <v>-0.5495978744661154</v>
      </c>
      <c r="K15" s="24" t="inlineStr">
        <is>
          <t>밸류에이션 부담</t>
        </is>
      </c>
      <c r="L15" s="24" t="inlineStr">
        <is>
          <t>시가총액/FCF 피어 비교</t>
        </is>
      </c>
      <c r="M15" s="24" t="inlineStr">
        <is>
          <t>피어 중앙값 기반</t>
        </is>
      </c>
    </row>
    <row r="16" ht="24" customHeight="1">
      <c r="A16" s="29" t="inlineStr">
        <is>
          <t>EV_SALES_COMP</t>
        </is>
      </c>
      <c r="B16" s="29" t="inlineStr">
        <is>
          <t>EV/Sales 상대가치</t>
        </is>
      </c>
      <c r="C16" s="31" t="n">
        <v>782671061803.5117</v>
      </c>
      <c r="D16" s="31" t="n">
        <v>2664362444103.854</v>
      </c>
      <c r="E16" s="31" t="n">
        <v>7128053129689.871</v>
      </c>
      <c r="F16" s="31" t="n">
        <v>23421.49987660425</v>
      </c>
      <c r="G16" s="31" t="n">
        <v>79731.27882358538</v>
      </c>
      <c r="H16" s="31" t="n">
        <v>213307.6124122401</v>
      </c>
      <c r="I16" s="31" t="n">
        <v>19230</v>
      </c>
      <c r="J16" s="36" t="n">
        <v>3.146192346520301</v>
      </c>
      <c r="K16" s="29" t="inlineStr">
        <is>
          <t>상승여력 우호</t>
        </is>
      </c>
      <c r="L16" s="29" t="inlineStr">
        <is>
          <t>EV/매출 피어 비교</t>
        </is>
      </c>
      <c r="M16" s="29" t="inlineStr">
        <is>
          <t>EV 조정 피어 기준</t>
        </is>
      </c>
    </row>
    <row r="17" ht="24" customHeight="1">
      <c r="A17" s="24" t="inlineStr">
        <is>
          <t>EV_EBIT_COMP</t>
        </is>
      </c>
      <c r="B17" s="24" t="inlineStr">
        <is>
          <t>EV/EBIT 상대가치</t>
        </is>
      </c>
      <c r="C17" s="30" t="n">
        <v>728096578291.7158</v>
      </c>
      <c r="D17" s="30" t="n">
        <v>1032334753473.405</v>
      </c>
      <c r="E17" s="30" t="n">
        <v>3383503213193.976</v>
      </c>
      <c r="F17" s="30" t="n">
        <v>21788.35369142159</v>
      </c>
      <c r="G17" s="30" t="n">
        <v>30892.70765342502</v>
      </c>
      <c r="H17" s="30" t="n">
        <v>101251.6291425216</v>
      </c>
      <c r="I17" s="30" t="n">
        <v>19230</v>
      </c>
      <c r="J17" s="35" t="n">
        <v>0.6064850573803962</v>
      </c>
      <c r="K17" s="24" t="inlineStr">
        <is>
          <t>상승여력 우호</t>
        </is>
      </c>
      <c r="L17" s="24" t="inlineStr">
        <is>
          <t>EV/영업이익 피어 비교</t>
        </is>
      </c>
      <c r="M17" s="24" t="inlineStr">
        <is>
          <t>EV 조정 피어 기준</t>
        </is>
      </c>
    </row>
    <row r="18" ht="24" customHeight="1"/>
    <row r="19" ht="24" customHeight="1"/>
    <row r="20" ht="24" customHeight="1">
      <c r="A20" s="22" t="inlineStr">
        <is>
          <t>사용 가이드</t>
        </is>
      </c>
    </row>
    <row r="21" ht="24" customHeight="1">
      <c r="A21" s="25" t="inlineStr">
        <is>
          <t>항목</t>
        </is>
      </c>
      <c r="B21" s="25" t="inlineStr">
        <is>
          <t>내용</t>
        </is>
      </c>
    </row>
    <row r="22" ht="24" customHeight="1">
      <c r="A22" s="24" t="inlineStr">
        <is>
          <t>해석 방법</t>
        </is>
      </c>
      <c r="B22" s="24" t="inlineStr">
        <is>
          <t>한 방법만 우호적이면 확신도가 낮고, 여러 방법의 중앙값이 현재가보다 높으면 상대적으로 우호적입니다.</t>
        </is>
      </c>
    </row>
    <row r="23" ht="24" customHeight="1">
      <c r="A23" s="29" t="inlineStr">
        <is>
          <t>주의</t>
        </is>
      </c>
      <c r="B23" s="29" t="inlineStr">
        <is>
          <t>PER/PBR/EV/EBIT는 적자·음수 지표에서 자동 제외됩니다. 제외 사유는 빈칸이 아니라 해당 없음으로 표시됩니다.</t>
        </is>
      </c>
    </row>
  </sheetData>
  <autoFilter ref="A21:B23"/>
  <mergeCells count="22">
    <mergeCell ref="C6:D6"/>
    <mergeCell ref="I6:J6"/>
    <mergeCell ref="C5:D5"/>
    <mergeCell ref="E5:F5"/>
    <mergeCell ref="K5:L5"/>
    <mergeCell ref="A6:B6"/>
    <mergeCell ref="C4:D4"/>
    <mergeCell ref="A2:L2"/>
    <mergeCell ref="E4:F4"/>
    <mergeCell ref="G6:H6"/>
    <mergeCell ref="A20:F20"/>
    <mergeCell ref="E6:F6"/>
    <mergeCell ref="A9:F9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0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미코 역산 DCF·오너 이익</t>
        </is>
      </c>
    </row>
    <row r="2" ht="28" customHeight="1">
      <c r="A2" s="17" t="inlineStr">
        <is>
          <t>현재 주가가 요구하는 성장률과 현금창출 기준 보수 가치를 점검</t>
        </is>
      </c>
    </row>
    <row r="3" ht="24" customHeight="1"/>
    <row r="4" ht="24" customHeight="1">
      <c r="A4" s="18" t="inlineStr">
        <is>
          <t>시장 내재 EV</t>
        </is>
      </c>
      <c r="B4" s="19" t="n"/>
      <c r="C4" s="18" t="inlineStr">
        <is>
          <t>모델 EV</t>
        </is>
      </c>
      <c r="D4" s="19" t="n"/>
      <c r="E4" s="18" t="inlineStr">
        <is>
          <t>EV 괴리</t>
        </is>
      </c>
      <c r="F4" s="19" t="n"/>
      <c r="G4" s="18" t="inlineStr">
        <is>
          <t>요구 FCF 수익률</t>
        </is>
      </c>
      <c r="H4" s="19" t="n"/>
      <c r="I4" s="18" t="inlineStr">
        <is>
          <t>역산 성장률</t>
        </is>
      </c>
      <c r="J4" s="19" t="n"/>
    </row>
    <row r="5" ht="24" customHeight="1">
      <c r="A5" s="20" t="inlineStr">
        <is>
          <t>19,100.3억원</t>
        </is>
      </c>
      <c r="B5" s="19" t="n"/>
      <c r="C5" s="20" t="inlineStr">
        <is>
          <t>28,219.1억원</t>
        </is>
      </c>
      <c r="D5" s="19" t="n"/>
      <c r="E5" s="20" t="inlineStr">
        <is>
          <t>-32.3%</t>
        </is>
      </c>
      <c r="F5" s="19" t="n"/>
      <c r="G5" s="20" t="inlineStr">
        <is>
          <t>1.0%</t>
        </is>
      </c>
      <c r="H5" s="19" t="n"/>
      <c r="I5" s="20" t="inlineStr">
        <is>
          <t>-2.2%</t>
        </is>
      </c>
      <c r="J5" s="19" t="n"/>
    </row>
    <row r="6" ht="24" customHeight="1">
      <c r="A6" s="21" t="inlineStr">
        <is>
          <t>시가총액+부채-현금</t>
        </is>
      </c>
      <c r="B6" s="19" t="n"/>
      <c r="C6" s="21" t="inlineStr">
        <is>
          <t>DCF 산출 EV</t>
        </is>
      </c>
      <c r="D6" s="19" t="n"/>
      <c r="E6" s="21" t="inlineStr">
        <is>
          <t>시장/모델-1</t>
        </is>
      </c>
      <c r="F6" s="19" t="n"/>
      <c r="G6" s="21" t="inlineStr">
        <is>
          <t>FCF/시장내재 EV</t>
        </is>
      </c>
      <c r="H6" s="19" t="n"/>
      <c r="I6" s="21" t="inlineStr">
        <is>
          <t>시장가격 내재</t>
        </is>
      </c>
      <c r="J6" s="19" t="n"/>
    </row>
    <row r="7" ht="24" customHeight="1"/>
    <row r="8" ht="24" customHeight="1"/>
    <row r="9" ht="24" customHeight="1">
      <c r="A9" s="22" t="inlineStr">
        <is>
          <t>역산 DCF 핵심값</t>
        </is>
      </c>
    </row>
    <row r="10" ht="24" customHeight="1">
      <c r="A10" s="25" t="inlineStr">
        <is>
          <t>현재가</t>
        </is>
      </c>
      <c r="B10" s="25" t="inlineStr">
        <is>
          <t>시가총액</t>
        </is>
      </c>
      <c r="C10" s="25" t="inlineStr">
        <is>
          <t>시장 내재 EV</t>
        </is>
      </c>
      <c r="D10" s="25" t="inlineStr">
        <is>
          <t>모델 EV</t>
        </is>
      </c>
      <c r="E10" s="25" t="inlineStr">
        <is>
          <t>시장/모델 EV 괴리</t>
        </is>
      </c>
      <c r="F10" s="25" t="inlineStr">
        <is>
          <t>요구 FCF 수익률</t>
        </is>
      </c>
      <c r="G10" s="25" t="inlineStr">
        <is>
          <t>역산 영구성장률</t>
        </is>
      </c>
      <c r="H10" s="25" t="inlineStr">
        <is>
          <t>wacc_used</t>
        </is>
      </c>
      <c r="I10" s="25" t="inlineStr">
        <is>
          <t>해석</t>
        </is>
      </c>
    </row>
    <row r="11" ht="24" customHeight="1">
      <c r="A11" s="30" t="n">
        <v>19230</v>
      </c>
      <c r="B11" s="30" t="n">
        <v>642604640940</v>
      </c>
      <c r="C11" s="30" t="n">
        <v>1910029473576</v>
      </c>
      <c r="D11" s="30" t="n">
        <v>2821909648707.556</v>
      </c>
      <c r="E11" s="35" t="n">
        <v>-0.3231429381692642</v>
      </c>
      <c r="F11" s="35" t="n">
        <v>0.009672873618756156</v>
      </c>
      <c r="G11" s="35" t="n">
        <v>-0.02150384794489343</v>
      </c>
      <c r="H11" s="30" t="n">
        <v>0.07111888277659718</v>
      </c>
      <c r="I11" s="24" t="inlineStr">
        <is>
          <t>현재 주가가 요구하는 FCF yield와 영구성장률을 역산해 DCF 가정의 현실성을 점검합니다.</t>
        </is>
      </c>
    </row>
    <row r="12" ht="24" customHeight="1"/>
    <row r="13" ht="24" customHeight="1"/>
    <row r="14" ht="24" customHeight="1">
      <c r="A14" s="22" t="inlineStr">
        <is>
          <t>오너 이익 / EPV / Graham Number</t>
        </is>
      </c>
    </row>
    <row r="15" ht="24" customHeight="1">
      <c r="A15" s="25" t="inlineStr">
        <is>
          <t>오너 이익</t>
        </is>
      </c>
      <c r="B15" s="25" t="inlineStr">
        <is>
          <t>owner_earnings_method_kr</t>
        </is>
      </c>
      <c r="C15" s="25" t="inlineStr">
        <is>
          <t>오너 이익 수익률</t>
        </is>
      </c>
      <c r="D15" s="25" t="inlineStr">
        <is>
          <t>owner_earnings_value</t>
        </is>
      </c>
      <c r="E15" s="25" t="inlineStr">
        <is>
          <t>오너 이익 주당가치</t>
        </is>
      </c>
      <c r="F15" s="25" t="inlineStr">
        <is>
          <t>epv_equity_value</t>
        </is>
      </c>
      <c r="G15" s="25" t="inlineStr">
        <is>
          <t>EPV 주당가치</t>
        </is>
      </c>
      <c r="H15" s="25" t="inlineStr">
        <is>
          <t>eps</t>
        </is>
      </c>
      <c r="I15" s="25" t="inlineStr">
        <is>
          <t>bps</t>
        </is>
      </c>
      <c r="J15" s="25" t="inlineStr">
        <is>
          <t>Graham Number</t>
        </is>
      </c>
      <c r="K15" s="25" t="inlineStr">
        <is>
          <t>method_note_kr</t>
        </is>
      </c>
    </row>
    <row r="16" ht="24" customHeight="1">
      <c r="A16" s="30" t="n">
        <v>18475473706</v>
      </c>
      <c r="B16" s="24" t="inlineStr">
        <is>
          <t>FCF = CFO - CAPEX</t>
        </is>
      </c>
      <c r="C16" s="35" t="n">
        <v>0.02875091857253651</v>
      </c>
      <c r="D16" s="30" t="n">
        <v>259782957559.0528</v>
      </c>
      <c r="E16" s="30" t="n">
        <v>7774.027692288371</v>
      </c>
      <c r="F16" s="30" t="n">
        <v>-188059921872.5229</v>
      </c>
      <c r="G16" s="30" t="n">
        <v>-5627.709585661519</v>
      </c>
      <c r="H16" s="30" t="n">
        <v>2242.863341642333</v>
      </c>
      <c r="I16" s="30" t="n">
        <v>20621.37470781893</v>
      </c>
      <c r="J16" s="30" t="n">
        <v>32259.04247176042</v>
      </c>
      <c r="K16" s="24" t="inlineStr">
        <is>
          <t>오너 이익, EPV, Graham Number는 DCF를 보완하는 보수적 교차검증 지표입니다.</t>
        </is>
      </c>
    </row>
    <row r="17" ht="24" customHeight="1"/>
    <row r="18" ht="24" customHeight="1"/>
    <row r="19" ht="24" customHeight="1">
      <c r="A19" s="22" t="inlineStr">
        <is>
          <t>해석 가이드</t>
        </is>
      </c>
    </row>
    <row r="20" ht="24" customHeight="1">
      <c r="A20" s="25" t="inlineStr">
        <is>
          <t>항목</t>
        </is>
      </c>
      <c r="B20" s="25" t="inlineStr">
        <is>
          <t>내용</t>
        </is>
      </c>
    </row>
    <row r="21" ht="24" customHeight="1">
      <c r="A21" s="24" t="inlineStr">
        <is>
          <t>역산 DCF</t>
        </is>
      </c>
      <c r="B21" s="24" t="inlineStr">
        <is>
          <t>현재 주가를 정당화하려면 어떤 영구성장률·FCF 수익률이 필요한지 역산합니다.</t>
        </is>
      </c>
    </row>
    <row r="22" ht="24" customHeight="1">
      <c r="A22" s="29" t="inlineStr">
        <is>
          <t>오너 이익</t>
        </is>
      </c>
      <c r="B22" s="29" t="inlineStr">
        <is>
          <t>CFO-CAPEX 또는 FCF를 기반으로 보수적 현금창출 가치를 계산합니다.</t>
        </is>
      </c>
    </row>
    <row r="23" ht="24" customHeight="1">
      <c r="A23" s="24" t="inlineStr">
        <is>
          <t>EPV</t>
        </is>
      </c>
      <c r="B23" s="24" t="inlineStr">
        <is>
          <t>영업이익의 지속가능성을 가정해 현재 수익력 기준 기업가치를 확인합니다.</t>
        </is>
      </c>
    </row>
  </sheetData>
  <autoFilter ref="A20:B23"/>
  <mergeCells count="20">
    <mergeCell ref="C6:D6"/>
    <mergeCell ref="I6:J6"/>
    <mergeCell ref="C5:D5"/>
    <mergeCell ref="E5:F5"/>
    <mergeCell ref="A6:B6"/>
    <mergeCell ref="C4:D4"/>
    <mergeCell ref="E4:F4"/>
    <mergeCell ref="A14:F14"/>
    <mergeCell ref="G6:H6"/>
    <mergeCell ref="A1:J1"/>
    <mergeCell ref="E6:F6"/>
    <mergeCell ref="A19:F19"/>
    <mergeCell ref="A9:F9"/>
    <mergeCell ref="A5:B5"/>
    <mergeCell ref="G5:H5"/>
    <mergeCell ref="I5:J5"/>
    <mergeCell ref="A4:B4"/>
    <mergeCell ref="G4:H4"/>
    <mergeCell ref="I4:J4"/>
    <mergeCell ref="A2:J2"/>
  </mergeCells>
  <pageMargins left="0.75" right="0.75" top="1" bottom="1" header="0.5" footer="0.5"/>
  <pageSetup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30" customWidth="1" min="2" max="2"/>
    <col width="4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미코 데이터 수집현황·보강경로</t>
        </is>
      </c>
    </row>
    <row r="2" ht="28" customHeight="1">
      <c r="A2" s="17" t="inlineStr">
        <is>
          <t>원천 제공 여부와 대체 산출 경로를 분리해 Chair·대시보드에서 그대로 확인</t>
        </is>
      </c>
    </row>
    <row r="3" ht="24" customHeight="1"/>
    <row r="4" ht="24" customHeight="1">
      <c r="A4" s="22" t="inlineStr">
        <is>
          <t>데이터 블록별 확보 상태</t>
        </is>
      </c>
    </row>
    <row r="5" ht="24" customHeight="1">
      <c r="A5" s="25" t="inlineStr">
        <is>
          <t>데이터블록</t>
        </is>
      </c>
      <c r="B5" s="25" t="inlineStr">
        <is>
          <t>상태</t>
        </is>
      </c>
      <c r="C5" s="25" t="inlineStr">
        <is>
          <t>수집경로</t>
        </is>
      </c>
      <c r="D5" s="25" t="inlineStr">
        <is>
          <t>가치평가 활용</t>
        </is>
      </c>
      <c r="E5" s="25" t="inlineStr">
        <is>
          <t>대시보드 표시</t>
        </is>
      </c>
    </row>
    <row r="6" ht="24" customHeight="1">
      <c r="A6" s="24" t="inlineStr">
        <is>
          <t>DART 재무제표</t>
        </is>
      </c>
      <c r="B6" s="24" t="inlineStr">
        <is>
          <t>확보</t>
        </is>
      </c>
      <c r="C6" s="24" t="inlineStr">
        <is>
          <t>OpenDART fnlttSinglAcntAll/fnlttSinglAcnt</t>
        </is>
      </c>
      <c r="D6" s="24" t="inlineStr">
        <is>
          <t>매출·자본·순이익·현금흐름 확보</t>
        </is>
      </c>
      <c r="E6" s="24" t="inlineStr">
        <is>
          <t>표시 가능</t>
        </is>
      </c>
    </row>
    <row r="7" ht="24" customHeight="1">
      <c r="A7" s="29" t="inlineStr">
        <is>
          <t>주가 이력</t>
        </is>
      </c>
      <c r="B7" s="29" t="inlineStr">
        <is>
          <t>확보</t>
        </is>
      </c>
      <c r="C7" s="29" t="inlineStr">
        <is>
          <t>yfinance → Yahoo chart → Naver 일별시세 fallback</t>
        </is>
      </c>
      <c r="D7" s="29" t="inlineStr">
        <is>
          <t>현재가·변동성·MDD·거래대금 확보</t>
        </is>
      </c>
      <c r="E7" s="29" t="inlineStr">
        <is>
          <t>표시 가능</t>
        </is>
      </c>
    </row>
    <row r="8" ht="24" customHeight="1">
      <c r="A8" s="24" t="inlineStr">
        <is>
          <t>발행주식 수</t>
        </is>
      </c>
      <c r="B8" s="24" t="inlineStr">
        <is>
          <t>확보</t>
        </is>
      </c>
      <c r="C8" s="24" t="inlineStr">
        <is>
          <t>OpenDART stockTotqySttus</t>
        </is>
      </c>
      <c r="D8" s="24" t="inlineStr">
        <is>
          <t>내재주가·시가총액 계산</t>
        </is>
      </c>
      <c r="E8" s="24" t="inlineStr">
        <is>
          <t>표시 가능</t>
        </is>
      </c>
    </row>
    <row r="9" ht="24" customHeight="1">
      <c r="A9" s="29" t="inlineStr">
        <is>
          <t>피어 멀티플</t>
        </is>
      </c>
      <c r="B9" s="29" t="inlineStr">
        <is>
          <t>확보</t>
        </is>
      </c>
      <c r="C9" s="29" t="inlineStr">
        <is>
          <t>Valuation 전용 live peer intake</t>
        </is>
      </c>
      <c r="D9" s="29" t="inlineStr">
        <is>
          <t>P/S·PER·PBR·EV/Sales 비교</t>
        </is>
      </c>
      <c r="E9" s="29" t="inlineStr">
        <is>
          <t>표시 가능</t>
        </is>
      </c>
    </row>
    <row r="10" ht="24" customHeight="1">
      <c r="A10" s="24" t="inlineStr">
        <is>
          <t>208개 Universe</t>
        </is>
      </c>
      <c r="B10" s="24" t="inlineStr">
        <is>
          <t>확보</t>
        </is>
      </c>
      <c r="C10" s="24" t="inlineStr">
        <is>
          <t>Tech universe 축 복제 + valuation proxy</t>
        </is>
      </c>
      <c r="D10" s="24" t="inlineStr">
        <is>
          <t>대규모 상대 위치 비교</t>
        </is>
      </c>
      <c r="E10" s="24" t="inlineStr">
        <is>
          <t>표시 가능</t>
        </is>
      </c>
    </row>
    <row r="11" ht="24" customHeight="1">
      <c r="A11" s="29" t="inlineStr">
        <is>
          <t>보조 투자지표</t>
        </is>
      </c>
      <c r="B11" s="29" t="inlineStr">
        <is>
          <t>확보</t>
        </is>
      </c>
      <c r="C11" s="29" t="inlineStr">
        <is>
          <t>Naver finance live + DART/주가 자동 산출 fallback</t>
        </is>
      </c>
      <c r="D11" s="29" t="inlineStr">
        <is>
          <t>외부 표시 PER/PBR/EPS/BPS 또는 자체 산출값</t>
        </is>
      </c>
      <c r="E11" s="29" t="inlineStr">
        <is>
          <t>표시 가능</t>
        </is>
      </c>
    </row>
    <row r="12" ht="24" customHeight="1"/>
    <row r="13" ht="24" customHeight="1"/>
    <row r="14" ht="24" customHeight="1">
      <c r="A14" s="22" t="inlineStr">
        <is>
          <t>자동 생성/참조 파일 경로</t>
        </is>
      </c>
    </row>
    <row r="15" ht="24" customHeight="1">
      <c r="A15" s="25" t="inlineStr">
        <is>
          <t>파일구분</t>
        </is>
      </c>
      <c r="B15" s="25" t="inlineStr">
        <is>
          <t>경로</t>
        </is>
      </c>
      <c r="C15" s="25" t="inlineStr">
        <is>
          <t>활용</t>
        </is>
      </c>
    </row>
    <row r="16" ht="24" customHeight="1">
      <c r="A16" s="24" t="inlineStr">
        <is>
          <t>template_catalog_csv</t>
        </is>
      </c>
      <c r="B16" s="24" t="inlineStr">
        <is>
          <t>data/반도체/미코/valuation/intake/valuation_modeling_template_catalog.csv</t>
        </is>
      </c>
      <c r="C16" s="24" t="inlineStr">
        <is>
          <t>Valuation Agent intake/output</t>
        </is>
      </c>
    </row>
    <row r="17" ht="24" customHeight="1">
      <c r="A17" s="29" t="inlineStr">
        <is>
          <t>template_catalog_json</t>
        </is>
      </c>
      <c r="B17" s="29" t="inlineStr">
        <is>
          <t>data/반도체/미코/valuation/intake/valuation_modeling_template_catalog.json</t>
        </is>
      </c>
      <c r="C17" s="29" t="inlineStr">
        <is>
          <t>Valuation Agent intake/output</t>
        </is>
      </c>
    </row>
    <row r="18" ht="24" customHeight="1">
      <c r="A18" s="24" t="inlineStr">
        <is>
          <t>raw_dart_accounts_csv</t>
        </is>
      </c>
      <c r="B18" s="24" t="inlineStr">
        <is>
          <t>data/반도체/미코/valuation/intake/valuation_raw_dart_accounts.csv</t>
        </is>
      </c>
      <c r="C18" s="24" t="inlineStr">
        <is>
          <t>Valuation Agent intake/output</t>
        </is>
      </c>
    </row>
    <row r="19" ht="24" customHeight="1">
      <c r="A19" s="29" t="inlineStr">
        <is>
          <t>normalized_financials_csv</t>
        </is>
      </c>
      <c r="B19" s="29" t="inlineStr">
        <is>
          <t>data/반도체/미코/valuation/intake/valuation_normalized_financials.csv</t>
        </is>
      </c>
      <c r="C19" s="29" t="inlineStr">
        <is>
          <t>Valuation Agent intake/output</t>
        </is>
      </c>
    </row>
    <row r="20" ht="24" customHeight="1">
      <c r="A20" s="24" t="inlineStr">
        <is>
          <t>price_history_csv</t>
        </is>
      </c>
      <c r="B20" s="24" t="inlineStr">
        <is>
          <t>data/반도체/미코/valuation/intake/valuation_price_history.csv</t>
        </is>
      </c>
      <c r="C20" s="24" t="inlineStr">
        <is>
          <t>Valuation Agent intake/output</t>
        </is>
      </c>
    </row>
    <row r="21" ht="24" customHeight="1">
      <c r="A21" s="29" t="inlineStr">
        <is>
          <t>share_count_csv</t>
        </is>
      </c>
      <c r="B21" s="29" t="inlineStr">
        <is>
          <t>data/반도체/미코/valuation/intake/valuation_share_count.csv</t>
        </is>
      </c>
      <c r="C21" s="29" t="inlineStr">
        <is>
          <t>Valuation Agent intake/output</t>
        </is>
      </c>
    </row>
    <row r="22" ht="24" customHeight="1">
      <c r="A22" s="24" t="inlineStr">
        <is>
          <t>price_summary_json</t>
        </is>
      </c>
      <c r="B22" s="24" t="inlineStr">
        <is>
          <t>data/반도체/미코/valuation/intake/valuation_price_summary.json</t>
        </is>
      </c>
      <c r="C22" s="24" t="inlineStr">
        <is>
          <t>Valuation Agent intake/output</t>
        </is>
      </c>
    </row>
    <row r="23" ht="24" customHeight="1">
      <c r="A23" s="29" t="inlineStr">
        <is>
          <t>market_snapshot_json</t>
        </is>
      </c>
      <c r="B23" s="29" t="inlineStr">
        <is>
          <t>data/반도체/미코/valuation/intake/valuation_market_snapshot.json</t>
        </is>
      </c>
      <c r="C23" s="29" t="inlineStr">
        <is>
          <t>Valuation Agent intake/output</t>
        </is>
      </c>
    </row>
    <row r="24" ht="24" customHeight="1">
      <c r="A24" s="24" t="inlineStr">
        <is>
          <t>market_snapshot_csv</t>
        </is>
      </c>
      <c r="B24" s="24" t="inlineStr">
        <is>
          <t>data/반도체/미코/valuation/intake/valuation_market_snapshot.csv</t>
        </is>
      </c>
      <c r="C24" s="24" t="inlineStr">
        <is>
          <t>Valuation Agent intake/output</t>
        </is>
      </c>
    </row>
    <row r="25" ht="24" customHeight="1">
      <c r="A25" s="29" t="inlineStr">
        <is>
          <t>peer_input_csv</t>
        </is>
      </c>
      <c r="B25" s="29" t="inlineStr">
        <is>
          <t>data/반도체/미코/valuation/intake/valuation_peer_input.csv</t>
        </is>
      </c>
      <c r="C25" s="29" t="inlineStr">
        <is>
          <t>Valuation Agent intake/output</t>
        </is>
      </c>
    </row>
    <row r="26" ht="24" customHeight="1">
      <c r="A26" s="24" t="inlineStr">
        <is>
          <t>assumptions_json</t>
        </is>
      </c>
      <c r="B26" s="24" t="inlineStr">
        <is>
          <t>data/반도체/미코/valuation/intake/valuation_assumptions.json</t>
        </is>
      </c>
      <c r="C26" s="24" t="inlineStr">
        <is>
          <t>Valuation Agent intake/output</t>
        </is>
      </c>
    </row>
    <row r="27" ht="24" customHeight="1">
      <c r="A27" s="29" t="inlineStr">
        <is>
          <t>reference_universe_208_csv</t>
        </is>
      </c>
      <c r="B27" s="29" t="inlineStr">
        <is>
          <t>data/반도체/미코/valuation/intake/valuation_reference_universe_208.csv</t>
        </is>
      </c>
      <c r="C27" s="29" t="inlineStr">
        <is>
          <t>Valuation Agent intake/output</t>
        </is>
      </c>
    </row>
    <row r="28" ht="24" customHeight="1">
      <c r="A28" s="24" t="inlineStr">
        <is>
          <t>reference_universe_focus_csv</t>
        </is>
      </c>
      <c r="B28" s="24" t="inlineStr">
        <is>
          <t>data/반도체/미코/valuation/intake/valuation_reference_universe_focus.csv</t>
        </is>
      </c>
      <c r="C28" s="24" t="inlineStr">
        <is>
          <t>Valuation Agent intake/output</t>
        </is>
      </c>
    </row>
    <row r="29" ht="24" customHeight="1">
      <c r="A29" s="29" t="inlineStr">
        <is>
          <t>reference_universe_summary_json</t>
        </is>
      </c>
      <c r="B29" s="29" t="inlineStr">
        <is>
          <t>data/반도체/미코/valuation/intake/valuation_reference_universe_summary.json</t>
        </is>
      </c>
      <c r="C29" s="29" t="inlineStr">
        <is>
          <t>Valuation Agent intake/output</t>
        </is>
      </c>
    </row>
  </sheetData>
  <autoFilter ref="A15:C29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미코 투자판단 요약</t>
        </is>
      </c>
      <c r="B1" t="inlineStr"/>
      <c r="C1" t="inlineStr"/>
      <c r="D1" t="inlineStr"/>
      <c r="E1" t="inlineStr"/>
      <c r="F1" t="inlineStr"/>
    </row>
    <row r="2">
      <c r="A2" t="inlineStr">
        <is>
          <t>목적</t>
        </is>
      </c>
      <c r="B2" t="inlineStr">
        <is>
          <t>DCF·상대가치·주가역산·오너이익·208개 기준 비교군을 한 장에서 확인하는 투자자용 요약입니다.</t>
        </is>
      </c>
      <c r="C2" t="inlineStr"/>
      <c r="D2" t="inlineStr"/>
      <c r="E2" t="inlineStr"/>
      <c r="F2" t="inlineStr"/>
    </row>
    <row r="3">
      <c r="A3" t="inlineStr">
        <is>
          <t>최종 가치평가 관점</t>
        </is>
      </c>
      <c r="B3" t="inlineStr">
        <is>
          <t>가치평가 관점 우호</t>
        </is>
      </c>
      <c r="C3" t="inlineStr">
        <is>
          <t>근거</t>
        </is>
      </c>
      <c r="D3" t="inlineStr">
        <is>
          <t>DCF 기준 안전마진이 20% 이상입니다. 보조 가치평가 점수가 70점 이상으로 우호적입니다. 종합 가치평가 점수가 70점 이상으로 우호적입니다.</t>
        </is>
      </c>
      <c r="E3" t="inlineStr">
        <is>
          <t>검증 상태</t>
        </is>
      </c>
      <c r="F3" t="inlineStr">
        <is>
          <t>통과</t>
        </is>
      </c>
    </row>
    <row r="4">
      <c r="A4" t="inlineStr">
        <is>
          <t>핵심 지표</t>
        </is>
      </c>
      <c r="B4" t="inlineStr">
        <is>
          <t>값</t>
        </is>
      </c>
      <c r="C4" t="inlineStr">
        <is>
          <t>해석</t>
        </is>
      </c>
      <c r="D4" t="inlineStr">
        <is>
          <t>원천/산식</t>
        </is>
      </c>
      <c r="E4" t="inlineStr">
        <is>
          <t>대시보드 활용</t>
        </is>
      </c>
      <c r="F4" t="inlineStr">
        <is>
          <t>주의사항</t>
        </is>
      </c>
    </row>
    <row r="5">
      <c r="A5" t="inlineStr">
        <is>
          <t>현재가</t>
        </is>
      </c>
      <c r="B5" t="inlineStr">
        <is>
          <t>19,230원</t>
        </is>
      </c>
      <c r="C5" t="inlineStr">
        <is>
          <t>시장 기준점</t>
        </is>
      </c>
      <c r="D5" t="inlineStr">
        <is>
          <t>가치평가 전용 주가 수집</t>
        </is>
      </c>
      <c r="E5" t="inlineStr">
        <is>
          <t>주가 카드</t>
        </is>
      </c>
      <c r="F5" t="inlineStr">
        <is>
          <t>수집일 기준 변동 가능</t>
        </is>
      </c>
    </row>
    <row r="6">
      <c r="A6" t="inlineStr">
        <is>
          <t>DCF 내재주가</t>
        </is>
      </c>
      <c r="B6" t="inlineStr">
        <is>
          <t>46,518원</t>
        </is>
      </c>
      <c r="C6" t="inlineStr">
        <is>
          <t>절대가치 기준</t>
        </is>
      </c>
      <c r="D6" t="inlineStr">
        <is>
          <t>FCF 추정 + WACC + 영구성장률</t>
        </is>
      </c>
      <c r="E6" t="inlineStr">
        <is>
          <t>DCF 카드</t>
        </is>
      </c>
      <c r="F6" t="inlineStr">
        <is>
          <t>가정 민감도 확인 필요</t>
        </is>
      </c>
    </row>
    <row r="7">
      <c r="A7" t="inlineStr">
        <is>
          <t>현재가 대비 괴리율</t>
        </is>
      </c>
      <c r="B7" t="inlineStr">
        <is>
          <t>141.9%</t>
        </is>
      </c>
      <c r="C7" t="inlineStr">
        <is>
          <t>안전마진 확인</t>
        </is>
      </c>
      <c r="D7" t="inlineStr">
        <is>
          <t>내재주가/현재가 - 1</t>
        </is>
      </c>
      <c r="E7" t="inlineStr">
        <is>
          <t>안전마진 배지</t>
        </is>
      </c>
      <c r="F7" t="inlineStr">
        <is>
          <t>절대 투자판단 단독 사용 금지</t>
        </is>
      </c>
    </row>
    <row r="8">
      <c r="A8" t="inlineStr">
        <is>
          <t>WACC</t>
        </is>
      </c>
      <c r="B8" t="inlineStr">
        <is>
          <t>7.1%</t>
        </is>
      </c>
      <c r="C8" t="inlineStr">
        <is>
          <t>할인율</t>
        </is>
      </c>
      <c r="D8" t="inlineStr">
        <is>
          <t>무위험이자율·시장위험프리미엄·베타·타인자본비용</t>
        </is>
      </c>
      <c r="E8" t="inlineStr">
        <is>
          <t>가정 슬라이더</t>
        </is>
      </c>
      <c r="F8" t="inlineStr">
        <is>
          <t>금리 변화 민감</t>
        </is>
      </c>
    </row>
    <row r="9">
      <c r="A9" t="inlineStr">
        <is>
          <t>P/S</t>
        </is>
      </c>
      <c r="B9" t="inlineStr">
        <is>
          <t>1.23배</t>
        </is>
      </c>
      <c r="C9" t="inlineStr">
        <is>
          <t>매출 대비 시장가치</t>
        </is>
      </c>
      <c r="D9" t="inlineStr">
        <is>
          <t>시가총액/매출액</t>
        </is>
      </c>
      <c r="E9" t="inlineStr">
        <is>
          <t>상대가치 카드</t>
        </is>
      </c>
      <c r="F9" t="inlineStr">
        <is>
          <t>적자기업에도 활용 가능</t>
        </is>
      </c>
    </row>
    <row r="10">
      <c r="A10" t="inlineStr">
        <is>
          <t>비교기업 P/S 중앙값</t>
        </is>
      </c>
      <c r="B10" t="inlineStr">
        <is>
          <t>3.55배</t>
        </is>
      </c>
      <c r="C10" t="inlineStr">
        <is>
          <t>5개 비교기업 기준</t>
        </is>
      </c>
      <c r="D10" t="inlineStr">
        <is>
          <t>피어 입력 자동 생성</t>
        </is>
      </c>
      <c r="E10" t="inlineStr">
        <is>
          <t>비교기업 차트</t>
        </is>
      </c>
      <c r="F10" t="inlineStr">
        <is>
          <t>비교기업 품질 확인 필요</t>
        </is>
      </c>
    </row>
    <row r="11">
      <c r="A11" t="inlineStr">
        <is>
          <t>가치범위 중앙값</t>
        </is>
      </c>
      <c r="B11" t="inlineStr">
        <is>
          <t>52,495원</t>
        </is>
      </c>
      <c r="C11" t="inlineStr">
        <is>
          <t>여러 방식의 교차검증</t>
        </is>
      </c>
      <c r="D11" t="inlineStr">
        <is>
          <t>DCF·P/S·P/B·PER·P/FCF 등</t>
        </is>
      </c>
      <c r="E11" t="inlineStr">
        <is>
          <t>가치범위표</t>
        </is>
      </c>
      <c r="F11" t="inlineStr">
        <is>
          <t>일부 방식은 손실기업에서 제외</t>
        </is>
      </c>
    </row>
    <row r="12">
      <c r="A12" t="inlineStr">
        <is>
          <t>주가역산 영구성장률</t>
        </is>
      </c>
      <c r="B12" t="inlineStr">
        <is>
          <t>-2.2%</t>
        </is>
      </c>
      <c r="C12" t="inlineStr">
        <is>
          <t>현재 주가가 요구하는 장기 성장률</t>
        </is>
      </c>
      <c r="D12" t="inlineStr">
        <is>
          <t>현재가 기준 역산</t>
        </is>
      </c>
      <c r="E12" t="inlineStr">
        <is>
          <t>역산 DCF</t>
        </is>
      </c>
      <c r="F12" t="inlineStr">
        <is>
          <t>음수/과도한 값은 보수 해석</t>
        </is>
      </c>
    </row>
    <row r="13">
      <c r="A13" t="inlineStr">
        <is>
          <t>오너이익 주당가치</t>
        </is>
      </c>
      <c r="B13" t="inlineStr">
        <is>
          <t>7,774원</t>
        </is>
      </c>
      <c r="C13" t="inlineStr">
        <is>
          <t>현금창출력 기반 교차검증</t>
        </is>
      </c>
      <c r="D13" t="inlineStr">
        <is>
          <t>CFO - CAPEX 또는 FCF</t>
        </is>
      </c>
      <c r="E13" t="inlineStr">
        <is>
          <t>오너이익 카드</t>
        </is>
      </c>
      <c r="F13" t="inlineStr">
        <is>
          <t>CAPEX 변동성 반영 필요</t>
        </is>
      </c>
    </row>
    <row r="14">
      <c r="A14" t="inlineStr">
        <is>
          <t>시장내재 P/S</t>
        </is>
      </c>
      <c r="B14" t="inlineStr">
        <is>
          <t>0.66배</t>
        </is>
      </c>
      <c r="C14" t="inlineStr">
        <is>
          <t>현재 시장이 부여한 매출 배수</t>
        </is>
      </c>
      <c r="D14" t="inlineStr">
        <is>
          <t>시가총액/매출</t>
        </is>
      </c>
      <c r="E14" t="inlineStr">
        <is>
          <t>시장내재 배수</t>
        </is>
      </c>
      <c r="F14" t="inlineStr">
        <is>
          <t>순환 업종에서는 변동 가능</t>
        </is>
      </c>
    </row>
    <row r="15">
      <c r="A15" t="inlineStr">
        <is>
          <t>208개 비교군</t>
        </is>
      </c>
      <c r="B15" t="inlineStr">
        <is>
          <t>208개 기준</t>
        </is>
      </c>
      <c r="C15" t="inlineStr">
        <is>
          <t>섹터 내부 상대 위치</t>
        </is>
      </c>
      <c r="D15" t="inlineStr">
        <is>
          <t>Tech 기준 비교군 파일 활용</t>
        </is>
      </c>
      <c r="E15" t="inlineStr">
        <is>
          <t>분포/랭킹</t>
        </is>
      </c>
      <c r="F15" t="inlineStr">
        <is>
          <t>데이터 원천 업데이트 필요</t>
        </is>
      </c>
    </row>
    <row r="16">
      <c r="A16" t="inlineStr">
        <is>
          <t>검증 결과</t>
        </is>
      </c>
      <c r="B16" t="inlineStr">
        <is>
          <t>통과</t>
        </is>
      </c>
      <c r="C16" t="inlineStr">
        <is>
          <t>모델 완성도</t>
        </is>
      </c>
      <c r="D16" t="inlineStr">
        <is>
          <t>검증 JSON</t>
        </is>
      </c>
      <c r="E16" t="inlineStr">
        <is>
          <t>검증 배지</t>
        </is>
      </c>
      <c r="F16" t="inlineStr">
        <is>
          <t>경고 발생 시 점검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미코 데이터 보강 내역</t>
        </is>
      </c>
      <c r="B1" t="inlineStr"/>
      <c r="C1" t="inlineStr"/>
      <c r="D1" t="inlineStr"/>
      <c r="E1" t="inlineStr"/>
      <c r="F1" t="inlineStr"/>
    </row>
    <row r="2">
      <c r="A2" t="inlineStr">
        <is>
          <t>원칙</t>
        </is>
      </c>
      <c r="B2" t="inlineStr">
        <is>
          <t>공란을 반복 문구로 채우지 않고, DART·주가·발행주식 수·네이버금융·208개 기준 비교군 중 확인 가능한 원천 또는 명시적 대체 산식만 표시합니다.</t>
        </is>
      </c>
      <c r="C2" t="inlineStr"/>
      <c r="D2" t="inlineStr"/>
      <c r="E2" t="inlineStr"/>
      <c r="F2" t="inlineStr"/>
    </row>
    <row r="3">
      <c r="A3" t="inlineStr">
        <is>
          <t>항목</t>
        </is>
      </c>
      <c r="B3" t="inlineStr">
        <is>
          <t>보강 방식</t>
        </is>
      </c>
      <c r="C3" t="inlineStr">
        <is>
          <t>현재 값</t>
        </is>
      </c>
      <c r="D3" t="inlineStr">
        <is>
          <t>사용 원천</t>
        </is>
      </c>
      <c r="E3" t="inlineStr">
        <is>
          <t>계산/확인 방식</t>
        </is>
      </c>
      <c r="F3" t="inlineStr">
        <is>
          <t>비고</t>
        </is>
      </c>
    </row>
    <row r="4">
      <c r="A4" t="inlineStr">
        <is>
          <t>PER</t>
        </is>
      </c>
      <c r="B4" t="inlineStr">
        <is>
          <t>네이버금융 값 우선, 없으면 DART 순이익과 시가총액으로 자동 산출</t>
        </is>
      </c>
      <c r="C4" t="inlineStr">
        <is>
          <t>21.97배</t>
        </is>
      </c>
      <c r="D4" t="inlineStr">
        <is>
          <t>네이버금융 / DART / 주가</t>
        </is>
      </c>
      <c r="E4" t="inlineStr">
        <is>
          <t>시가총액 ÷ 순이익</t>
        </is>
      </c>
      <c r="F4" t="inlineStr">
        <is>
          <t>순손실이면 계산 제외</t>
        </is>
      </c>
    </row>
    <row r="5">
      <c r="A5" t="inlineStr">
        <is>
          <t>PBR</t>
        </is>
      </c>
      <c r="B5" t="inlineStr">
        <is>
          <t>네이버금융 값 우선, 없으면 DART 자본총계와 시가총액으로 자동 산출</t>
        </is>
      </c>
      <c r="C5" t="inlineStr">
        <is>
          <t>5.30배</t>
        </is>
      </c>
      <c r="D5" t="inlineStr">
        <is>
          <t>네이버금융 / DART / 주가</t>
        </is>
      </c>
      <c r="E5" t="inlineStr">
        <is>
          <t>시가총액 ÷ 자본총계</t>
        </is>
      </c>
      <c r="F5" t="inlineStr">
        <is>
          <t>자본잠식이면 보수 해석</t>
        </is>
      </c>
    </row>
    <row r="6">
      <c r="A6" t="inlineStr">
        <is>
          <t>PSR</t>
        </is>
      </c>
      <c r="B6" t="inlineStr">
        <is>
          <t>주가와 매출액으로 자동 산출</t>
        </is>
      </c>
      <c r="C6" t="inlineStr">
        <is>
          <t>1.23배</t>
        </is>
      </c>
      <c r="D6" t="inlineStr">
        <is>
          <t>DART 매출액 / 주가 / 발행주식 수</t>
        </is>
      </c>
      <c r="E6" t="inlineStr">
        <is>
          <t>시가총액 ÷ 매출액</t>
        </is>
      </c>
      <c r="F6" t="inlineStr">
        <is>
          <t>적자기업 비교에 유용</t>
        </is>
      </c>
    </row>
    <row r="7">
      <c r="A7" t="inlineStr">
        <is>
          <t>P/FCF</t>
        </is>
      </c>
      <c r="B7" t="inlineStr">
        <is>
          <t>FCF가 양수이면 자동 산출</t>
        </is>
      </c>
      <c r="C7" t="inlineStr">
        <is>
          <t>34.78배</t>
        </is>
      </c>
      <c r="D7" t="inlineStr">
        <is>
          <t>DART 영업현금흐름·CAPEX / 주가</t>
        </is>
      </c>
      <c r="E7" t="inlineStr">
        <is>
          <t>시가총액 ÷ FCF</t>
        </is>
      </c>
      <c r="F7" t="inlineStr">
        <is>
          <t>FCF 음수이면 계산 제외</t>
        </is>
      </c>
    </row>
    <row r="8">
      <c r="A8" t="inlineStr">
        <is>
          <t>EV/Sales</t>
        </is>
      </c>
      <c r="B8" t="inlineStr">
        <is>
          <t>기업가치와 매출액으로 자동 산출</t>
        </is>
      </c>
      <c r="C8" t="inlineStr">
        <is>
          <t>1.95배</t>
        </is>
      </c>
      <c r="D8" t="inlineStr">
        <is>
          <t>DART 현금·부채 / 주가</t>
        </is>
      </c>
      <c r="E8" t="inlineStr">
        <is>
          <t>EV ÷ 매출액</t>
        </is>
      </c>
      <c r="F8" t="inlineStr">
        <is>
          <t>현금/부채 원천계정 확인</t>
        </is>
      </c>
    </row>
    <row r="9">
      <c r="A9" t="inlineStr">
        <is>
          <t>EV/EBIT</t>
        </is>
      </c>
      <c r="B9" t="inlineStr">
        <is>
          <t>영업이익이 양수이면 자동 산출</t>
        </is>
      </c>
      <c r="C9" t="inlineStr">
        <is>
          <t>18.91배</t>
        </is>
      </c>
      <c r="D9" t="inlineStr">
        <is>
          <t>DART 영업이익 / 주가</t>
        </is>
      </c>
      <c r="E9" t="inlineStr">
        <is>
          <t>EV ÷ 영업이익</t>
        </is>
      </c>
      <c r="F9" t="inlineStr">
        <is>
          <t>적자이면 계산 제외</t>
        </is>
      </c>
    </row>
    <row r="10">
      <c r="A10" t="inlineStr">
        <is>
          <t>발행주식 수</t>
        </is>
      </c>
      <c r="B10" t="inlineStr">
        <is>
          <t>DART 주식총수 현황에서 보강</t>
        </is>
      </c>
      <c r="C10" t="inlineStr">
        <is>
          <t>33,416,778주</t>
        </is>
      </c>
      <c r="D10" t="inlineStr">
        <is>
          <t>OpenDART stockTotqySttus</t>
        </is>
      </c>
      <c r="E10" t="inlineStr">
        <is>
          <t>최신 보고서 기준</t>
        </is>
      </c>
      <c r="F10" t="inlineStr">
        <is>
          <t>자기주식/증자 반영 필요</t>
        </is>
      </c>
    </row>
    <row r="11">
      <c r="A11" t="inlineStr">
        <is>
          <t>시가총액</t>
        </is>
      </c>
      <c r="B11" t="inlineStr">
        <is>
          <t>현재가와 발행주식 수로 자동 산출</t>
        </is>
      </c>
      <c r="C11" t="inlineStr">
        <is>
          <t>6,426.0억원</t>
        </is>
      </c>
      <c r="D11" t="inlineStr">
        <is>
          <t>주가 provider / DART 발행주식 수</t>
        </is>
      </c>
      <c r="E11" t="inlineStr">
        <is>
          <t>현재가 × 발행주식 수</t>
        </is>
      </c>
      <c r="F11" t="inlineStr">
        <is>
          <t>주가 기준일 확인</t>
        </is>
      </c>
    </row>
    <row r="12">
      <c r="A12" t="inlineStr">
        <is>
          <t>유동성</t>
        </is>
      </c>
      <c r="B12" t="inlineStr">
        <is>
          <t>거래대금·거래회전율로 보강</t>
        </is>
      </c>
      <c r="C12" t="inlineStr">
        <is>
          <t>204.2억원</t>
        </is>
      </c>
      <c r="D12" t="inlineStr">
        <is>
          <t>주가 데이터</t>
        </is>
      </c>
      <c r="E12" t="inlineStr">
        <is>
          <t>20일 평균 거래대금</t>
        </is>
      </c>
      <c r="F12" t="inlineStr">
        <is>
          <t>대시보드 필터 활용</t>
        </is>
      </c>
    </row>
    <row r="13">
      <c r="A13" t="inlineStr">
        <is>
          <t>208개 기준 비교군</t>
        </is>
      </c>
      <c r="B13" t="inlineStr">
        <is>
          <t>Tech 기준 비교군 파일을 Valuation 비교군으로 재활용</t>
        </is>
      </c>
      <c r="C13" t="inlineStr">
        <is>
          <t>208</t>
        </is>
      </c>
      <c r="D13" t="inlineStr">
        <is>
          <t>valuation_기준_비교군_208.csv</t>
        </is>
      </c>
      <c r="E13" t="inlineStr">
        <is>
          <t>동일 섹터 상대 위치</t>
        </is>
      </c>
      <c r="F13" t="inlineStr">
        <is>
          <t>상대가치 확장용</t>
        </is>
      </c>
    </row>
    <row r="14">
      <c r="A14" t="inlineStr">
        <is>
          <t>후속 보강 계획</t>
        </is>
      </c>
      <c r="B14" t="inlineStr">
        <is>
          <t>항목</t>
        </is>
      </c>
      <c r="C14" t="inlineStr">
        <is>
          <t>현재 처리</t>
        </is>
      </c>
      <c r="D14" t="inlineStr">
        <is>
          <t>권장 원천</t>
        </is>
      </c>
      <c r="E14" t="inlineStr">
        <is>
          <t>목적</t>
        </is>
      </c>
      <c r="F14" t="inlineStr">
        <is>
          <t>비고</t>
        </is>
      </c>
    </row>
    <row r="15">
      <c r="A15" t="inlineStr">
        <is>
          <t>후속 보강 계획</t>
        </is>
      </c>
      <c r="B15" t="inlineStr">
        <is>
          <t>항목</t>
        </is>
      </c>
      <c r="C15" t="inlineStr">
        <is>
          <t>보조 산출</t>
        </is>
      </c>
      <c r="D15" t="inlineStr">
        <is>
          <t>DART/주가/공시</t>
        </is>
      </c>
      <c r="E15" t="inlineStr">
        <is>
          <t>가치평가 정확도 개선</t>
        </is>
      </c>
      <c r="F15" t="inlineStr">
        <is>
          <t>대체 산식 유지</t>
        </is>
      </c>
    </row>
    <row r="16">
      <c r="A16" t="inlineStr">
        <is>
          <t>후속 보강 계획</t>
        </is>
      </c>
      <c r="B16" t="inlineStr">
        <is>
          <t>항목</t>
        </is>
      </c>
      <c r="C16" t="inlineStr">
        <is>
          <t>보조 산출</t>
        </is>
      </c>
      <c r="D16" t="inlineStr">
        <is>
          <t>DART/주가/공시</t>
        </is>
      </c>
      <c r="E16" t="inlineStr">
        <is>
          <t>가치평가 정확도 개선</t>
        </is>
      </c>
      <c r="F16" t="inlineStr">
        <is>
          <t>대체 산식 유지</t>
        </is>
      </c>
    </row>
    <row r="17">
      <c r="A17" t="inlineStr">
        <is>
          <t>후속 보강 계획</t>
        </is>
      </c>
      <c r="B17" t="inlineStr">
        <is>
          <t>항목</t>
        </is>
      </c>
      <c r="C17" t="inlineStr">
        <is>
          <t>보조 산출</t>
        </is>
      </c>
      <c r="D17" t="inlineStr">
        <is>
          <t>DART/주가/공시</t>
        </is>
      </c>
      <c r="E17" t="inlineStr">
        <is>
          <t>가치평가 정확도 개선</t>
        </is>
      </c>
      <c r="F17" t="inlineStr">
        <is>
          <t>대체 산식 유지</t>
        </is>
      </c>
    </row>
    <row r="18">
      <c r="A18" t="inlineStr">
        <is>
          <t>후속 보강 계획</t>
        </is>
      </c>
      <c r="B18" t="inlineStr">
        <is>
          <t>항목</t>
        </is>
      </c>
      <c r="C18" t="inlineStr">
        <is>
          <t>보조 산출</t>
        </is>
      </c>
      <c r="D18" t="inlineStr">
        <is>
          <t>DART/주가/공시</t>
        </is>
      </c>
      <c r="E18" t="inlineStr">
        <is>
          <t>가치평가 정확도 개선</t>
        </is>
      </c>
      <c r="F18" t="inlineStr">
        <is>
          <t>대체 산식 유지</t>
        </is>
      </c>
    </row>
    <row r="19">
      <c r="A19" t="inlineStr">
        <is>
          <t>후속 보강 계획</t>
        </is>
      </c>
      <c r="B19" t="inlineStr">
        <is>
          <t>항목</t>
        </is>
      </c>
      <c r="C19" t="inlineStr">
        <is>
          <t>보조 산출</t>
        </is>
      </c>
      <c r="D19" t="inlineStr">
        <is>
          <t>DART/주가/공시</t>
        </is>
      </c>
      <c r="E19" t="inlineStr">
        <is>
          <t>가치평가 정확도 개선</t>
        </is>
      </c>
      <c r="F19" t="inlineStr">
        <is>
          <t>대체 산식 유지</t>
        </is>
      </c>
    </row>
    <row r="20">
      <c r="A20" t="inlineStr">
        <is>
          <t>후속 보강 계획</t>
        </is>
      </c>
      <c r="B20" t="inlineStr">
        <is>
          <t>항목</t>
        </is>
      </c>
      <c r="C20" t="inlineStr">
        <is>
          <t>보조 산출</t>
        </is>
      </c>
      <c r="D20" t="inlineStr">
        <is>
          <t>DART/주가/공시</t>
        </is>
      </c>
      <c r="E20" t="inlineStr">
        <is>
          <t>가치평가 정확도 개선</t>
        </is>
      </c>
      <c r="F20" t="inlineStr">
        <is>
          <t>대체 산식 유지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대시보드 연동키</t>
        </is>
      </c>
      <c r="B1" t="inlineStr"/>
      <c r="C1" t="inlineStr"/>
      <c r="D1" t="inlineStr"/>
      <c r="E1" t="inlineStr"/>
    </row>
    <row r="2">
      <c r="A2" t="inlineStr">
        <is>
          <t>설명</t>
        </is>
      </c>
      <c r="B2" t="inlineStr">
        <is>
          <t>React/Streamlit 대시보드에서 바로 사용할 수 있는 주요 JSON 키와 표시명을 정리합니다.</t>
        </is>
      </c>
      <c r="C2" t="inlineStr"/>
      <c r="D2" t="inlineStr"/>
      <c r="E2" t="inlineStr"/>
    </row>
    <row r="3">
      <c r="A3" t="inlineStr">
        <is>
          <t>JSON 키</t>
        </is>
      </c>
      <c r="B3" t="inlineStr">
        <is>
          <t>표시명</t>
        </is>
      </c>
      <c r="C3" t="inlineStr">
        <is>
          <t>값</t>
        </is>
      </c>
      <c r="D3" t="inlineStr">
        <is>
          <t>형식</t>
        </is>
      </c>
      <c r="E3" t="inlineStr">
        <is>
          <t>활용 위치</t>
        </is>
      </c>
    </row>
    <row r="4">
      <c r="A4" t="inlineStr">
        <is>
          <t>wacc</t>
        </is>
      </c>
      <c r="B4" t="inlineStr">
        <is>
          <t>WACC</t>
        </is>
      </c>
      <c r="C4" t="n">
        <v>0.07111888277659718</v>
      </c>
      <c r="D4" t="inlineStr">
        <is>
          <t>percent</t>
        </is>
      </c>
      <c r="E4" t="inlineStr">
        <is>
          <t>핵심 카드</t>
        </is>
      </c>
    </row>
    <row r="5">
      <c r="A5" t="inlineStr">
        <is>
          <t>enterprise_value</t>
        </is>
      </c>
      <c r="B5" t="inlineStr">
        <is>
          <t>DCF 기업가치</t>
        </is>
      </c>
      <c r="C5" t="n">
        <v>2821909648707.556</v>
      </c>
      <c r="D5" t="inlineStr">
        <is>
          <t>krw</t>
        </is>
      </c>
      <c r="E5" t="inlineStr">
        <is>
          <t>핵심 카드</t>
        </is>
      </c>
    </row>
    <row r="6">
      <c r="A6" t="inlineStr">
        <is>
          <t>equity_value</t>
        </is>
      </c>
      <c r="B6" t="inlineStr">
        <is>
          <t>DCF 지분가치</t>
        </is>
      </c>
      <c r="C6" t="n">
        <v>1554484816071.556</v>
      </c>
      <c r="D6" t="inlineStr">
        <is>
          <t>krw</t>
        </is>
      </c>
      <c r="E6" t="inlineStr">
        <is>
          <t>핵심 카드</t>
        </is>
      </c>
    </row>
    <row r="7">
      <c r="A7" t="inlineStr">
        <is>
          <t>latest_close</t>
        </is>
      </c>
      <c r="B7" t="inlineStr">
        <is>
          <t>현재가</t>
        </is>
      </c>
      <c r="C7" t="n">
        <v>19230</v>
      </c>
      <c r="D7" t="inlineStr">
        <is>
          <t>krw_per_share</t>
        </is>
      </c>
      <c r="E7" t="inlineStr">
        <is>
          <t>핵심 카드</t>
        </is>
      </c>
    </row>
    <row r="8">
      <c r="A8" t="inlineStr">
        <is>
          <t>implied_price</t>
        </is>
      </c>
      <c r="B8" t="inlineStr">
        <is>
          <t>DCF 내재주가</t>
        </is>
      </c>
      <c r="C8" t="n">
        <v>46518.09387702057</v>
      </c>
      <c r="D8" t="inlineStr">
        <is>
          <t>krw_per_share</t>
        </is>
      </c>
      <c r="E8" t="inlineStr">
        <is>
          <t>핵심 카드</t>
        </is>
      </c>
    </row>
    <row r="9">
      <c r="A9" t="inlineStr">
        <is>
          <t>upside_downside_pct</t>
        </is>
      </c>
      <c r="B9" t="inlineStr">
        <is>
          <t>현재가 대비 괴리율</t>
        </is>
      </c>
      <c r="C9" t="n">
        <v>1.419037643110794</v>
      </c>
      <c r="D9" t="inlineStr">
        <is>
          <t>percent</t>
        </is>
      </c>
      <c r="E9" t="inlineStr">
        <is>
          <t>핵심 카드</t>
        </is>
      </c>
    </row>
    <row r="10">
      <c r="A10" t="inlineStr">
        <is>
          <t>target_psr</t>
        </is>
      </c>
      <c r="B10" t="inlineStr">
        <is>
          <t>P/S</t>
        </is>
      </c>
      <c r="C10" t="n">
        <v>1.233799891625982</v>
      </c>
      <c r="D10" t="inlineStr">
        <is>
          <t>multiple</t>
        </is>
      </c>
      <c r="E10" t="inlineStr">
        <is>
          <t>핵심 카드</t>
        </is>
      </c>
    </row>
    <row r="11">
      <c r="A11" t="inlineStr">
        <is>
          <t>median_psr</t>
        </is>
      </c>
      <c r="B11" t="inlineStr">
        <is>
          <t>비교기업 P/S 중앙값</t>
        </is>
      </c>
      <c r="C11" t="n">
        <v>3.545579574812033</v>
      </c>
      <c r="D11" t="inlineStr">
        <is>
          <t>multiple</t>
        </is>
      </c>
      <c r="E11" t="inlineStr">
        <is>
          <t>핵심 카드</t>
        </is>
      </c>
    </row>
    <row r="12">
      <c r="A12" t="inlineStr">
        <is>
          <t>psr_gap</t>
        </is>
      </c>
      <c r="B12" t="inlineStr">
        <is>
          <t>P/S 중앙값 대비</t>
        </is>
      </c>
      <c r="C12" t="n">
        <v>-0.6520174302698053</v>
      </c>
      <c r="D12" t="inlineStr">
        <is>
          <t>percent</t>
        </is>
      </c>
      <c r="E12" t="inlineStr">
        <is>
          <t>핵심 카드</t>
        </is>
      </c>
    </row>
    <row r="13">
      <c r="A13" t="inlineStr">
        <is>
          <t>기준_rows</t>
        </is>
      </c>
      <c r="B13" t="inlineStr">
        <is>
          <t>208개 반도체 비교군</t>
        </is>
      </c>
      <c r="C13" t="n">
        <v>208</v>
      </c>
      <c r="D13" t="inlineStr">
        <is>
          <t>count</t>
        </is>
      </c>
      <c r="E13" t="inlineStr">
        <is>
          <t>핵심 카드</t>
        </is>
      </c>
    </row>
    <row r="14">
      <c r="A14" t="inlineStr">
        <is>
          <t>기준_비교기업_group</t>
        </is>
      </c>
      <c r="B14" t="inlineStr">
        <is>
          <t>기준 비교군 그룹</t>
        </is>
      </c>
      <c r="C14" t="inlineStr">
        <is>
          <t>IDM/제조/메모리</t>
        </is>
      </c>
      <c r="D14" t="inlineStr">
        <is>
          <t>text</t>
        </is>
      </c>
      <c r="E14" t="inlineStr">
        <is>
          <t>핵심 카드</t>
        </is>
      </c>
    </row>
    <row r="15">
      <c r="A15" t="inlineStr">
        <is>
          <t>return_1y</t>
        </is>
      </c>
      <c r="B15" t="inlineStr">
        <is>
          <t>1년 수익률</t>
        </is>
      </c>
      <c r="C15" t="n">
        <v>0.7108540925266904</v>
      </c>
      <c r="D15" t="inlineStr">
        <is>
          <t>percent</t>
        </is>
      </c>
      <c r="E15" t="inlineStr">
        <is>
          <t>핵심 카드</t>
        </is>
      </c>
    </row>
    <row r="16">
      <c r="A16" t="inlineStr">
        <is>
          <t>mdd</t>
        </is>
      </c>
      <c r="B16" t="inlineStr">
        <is>
          <t>MDD</t>
        </is>
      </c>
      <c r="C16" t="n">
        <v>-0.6273062730627306</v>
      </c>
      <c r="D16" t="inlineStr">
        <is>
          <t>percent</t>
        </is>
      </c>
      <c r="E16" t="inlineStr">
        <is>
          <t>핵심 카드</t>
        </is>
      </c>
    </row>
    <row r="17">
      <c r="A17" t="inlineStr">
        <is>
          <t>volatility</t>
        </is>
      </c>
      <c r="B17" t="inlineStr">
        <is>
          <t>연환산 변동성</t>
        </is>
      </c>
      <c r="C17" t="n">
        <v>0.6307297501610765</v>
      </c>
      <c r="D17" t="inlineStr">
        <is>
          <t>percent</t>
        </is>
      </c>
      <c r="E17" t="inlineStr">
        <is>
          <t>핵심 카드</t>
        </is>
      </c>
    </row>
    <row r="18">
      <c r="A18" t="inlineStr">
        <is>
          <t>market_cap</t>
        </is>
      </c>
      <c r="B18" t="inlineStr">
        <is>
          <t>시가총액</t>
        </is>
      </c>
      <c r="C18" t="n">
        <v>642604640940</v>
      </c>
      <c r="D18" t="inlineStr">
        <is>
          <t>krw</t>
        </is>
      </c>
      <c r="E18" t="inlineStr">
        <is>
          <t>핵심 카드</t>
        </is>
      </c>
    </row>
    <row r="19">
      <c r="A19" t="inlineStr">
        <is>
          <t>shares_outstanding</t>
        </is>
      </c>
      <c r="B19" t="inlineStr">
        <is>
          <t>발행주식 수</t>
        </is>
      </c>
      <c r="C19" t="n">
        <v>33416778</v>
      </c>
      <c r="D19" t="inlineStr">
        <is>
          <t>shares</t>
        </is>
      </c>
      <c r="E19" t="inlineStr">
        <is>
          <t>핵심 카드</t>
        </is>
      </c>
    </row>
    <row r="20">
      <c r="A20" t="inlineStr">
        <is>
          <t>avg_trading_value_20d</t>
        </is>
      </c>
      <c r="B20" t="inlineStr">
        <is>
          <t>20일 평균 거래대금</t>
        </is>
      </c>
      <c r="C20" t="n">
        <v>20420408913</v>
      </c>
      <c r="D20" t="inlineStr">
        <is>
          <t>krw</t>
        </is>
      </c>
      <c r="E20" t="inlineStr">
        <is>
          <t>핵심 카드</t>
        </is>
      </c>
    </row>
    <row r="21">
      <c r="A21" t="inlineStr">
        <is>
          <t>turnover_latest</t>
        </is>
      </c>
      <c r="B21" t="inlineStr">
        <is>
          <t>최근 거래회전율</t>
        </is>
      </c>
      <c r="C21" t="n">
        <v>0.004845529990952449</v>
      </c>
      <c r="D21" t="inlineStr">
        <is>
          <t>percent</t>
        </is>
      </c>
      <c r="E21" t="inlineStr">
        <is>
          <t>핵심 카드</t>
        </is>
      </c>
    </row>
    <row r="22">
      <c r="A22" t="inlineStr">
        <is>
          <t>ml_composite_score</t>
        </is>
      </c>
      <c r="B22" t="inlineStr">
        <is>
          <t>ML 보조 품질점수</t>
        </is>
      </c>
      <c r="C22" t="n">
        <v>51.16</v>
      </c>
      <c r="D22" t="inlineStr">
        <is>
          <t>score</t>
        </is>
      </c>
      <c r="E22" t="inlineStr">
        <is>
          <t>핵심 카드</t>
        </is>
      </c>
    </row>
    <row r="23">
      <c r="A23" t="inlineStr">
        <is>
          <t>ml_label</t>
        </is>
      </c>
      <c r="B23" t="inlineStr">
        <is>
          <t>ML 보조 라벨</t>
        </is>
      </c>
      <c r="C23" t="inlineStr">
        <is>
          <t>가치평가 보조근거 중립</t>
        </is>
      </c>
      <c r="D23" t="inlineStr">
        <is>
          <t>text</t>
        </is>
      </c>
      <c r="E23" t="inlineStr">
        <is>
          <t>핵심 카드</t>
        </is>
      </c>
    </row>
    <row r="24">
      <c r="A24" t="inlineStr">
        <is>
          <t>valuation_점수판</t>
        </is>
      </c>
      <c r="B24" t="inlineStr">
        <is>
          <t>보조 가치평가 점수</t>
        </is>
      </c>
      <c r="C24" t="n">
        <v>83.81</v>
      </c>
      <c r="D24" t="inlineStr">
        <is>
          <t>score</t>
        </is>
      </c>
      <c r="E24" t="inlineStr">
        <is>
          <t>핵심 카드</t>
        </is>
      </c>
    </row>
    <row r="25">
      <c r="A25" t="inlineStr">
        <is>
          <t>valuation_점수판_label</t>
        </is>
      </c>
      <c r="B25" t="inlineStr">
        <is>
          <t>보조 가치평가 라벨</t>
        </is>
      </c>
      <c r="C25" t="inlineStr">
        <is>
          <t>가치평가 매력 우위</t>
        </is>
      </c>
      <c r="D25" t="inlineStr">
        <is>
          <t>text</t>
        </is>
      </c>
      <c r="E25" t="inlineStr">
        <is>
          <t>핵심 카드</t>
        </is>
      </c>
    </row>
    <row r="26">
      <c r="A26" t="inlineStr">
        <is>
          <t>advanced_valuation_score</t>
        </is>
      </c>
      <c r="B26" t="inlineStr">
        <is>
          <t>종합 가치평가 점수</t>
        </is>
      </c>
      <c r="C26" t="n">
        <v>94</v>
      </c>
      <c r="D26" t="inlineStr">
        <is>
          <t>score</t>
        </is>
      </c>
      <c r="E26" t="inlineStr">
        <is>
          <t>핵심 카드</t>
        </is>
      </c>
    </row>
    <row r="27">
      <c r="A27" t="inlineStr">
        <is>
          <t>valuation_range_base_price</t>
        </is>
      </c>
      <c r="B27" t="inlineStr">
        <is>
          <t>가치범위 중앙값</t>
        </is>
      </c>
      <c r="C27" t="n">
        <v>52494.90154595231</v>
      </c>
      <c r="D27" t="inlineStr">
        <is>
          <t>krw_per_share</t>
        </is>
      </c>
      <c r="E27" t="inlineStr">
        <is>
          <t>핵심 카드</t>
        </is>
      </c>
    </row>
    <row r="28">
      <c r="A28" t="inlineStr">
        <is>
          <t>valuation_range_margin</t>
        </is>
      </c>
      <c r="B28" t="inlineStr">
        <is>
          <t>가치범위 안전마진</t>
        </is>
      </c>
      <c r="C28" t="n">
        <v>1.729844074152486</v>
      </c>
      <c r="D28" t="inlineStr">
        <is>
          <t>percent</t>
        </is>
      </c>
      <c r="E28" t="inlineStr">
        <is>
          <t>핵심 카드</t>
        </is>
      </c>
    </row>
    <row r="29">
      <c r="A29" t="inlineStr">
        <is>
          <t>reverse_dcf_growth</t>
        </is>
      </c>
      <c r="B29" t="inlineStr">
        <is>
          <t>역산 영구성장률</t>
        </is>
      </c>
      <c r="C29" t="n">
        <v>-0.02150384794489343</v>
      </c>
      <c r="D29" t="inlineStr">
        <is>
          <t>percent</t>
        </is>
      </c>
      <c r="E29" t="inlineStr">
        <is>
          <t>핵심 카드</t>
        </is>
      </c>
    </row>
    <row r="30">
      <c r="A30" t="inlineStr">
        <is>
          <t>owner_earnings_price</t>
        </is>
      </c>
      <c r="B30" t="inlineStr">
        <is>
          <t>오너 이익 주당가치</t>
        </is>
      </c>
      <c r="C30" t="n">
        <v>7774.027692288371</v>
      </c>
      <c r="D30" t="inlineStr">
        <is>
          <t>krw_per_share</t>
        </is>
      </c>
      <c r="E30" t="inlineStr">
        <is>
          <t>핵심 카드</t>
        </is>
      </c>
    </row>
    <row r="31">
      <c r="A31" t="inlineStr">
        <is>
          <t>market_psr</t>
        </is>
      </c>
      <c r="B31" t="inlineStr">
        <is>
          <t>시장내재 P/S</t>
        </is>
      </c>
      <c r="C31" t="n">
        <v>0.6577077190022006</v>
      </c>
      <c r="D31" t="inlineStr">
        <is>
          <t>multiple</t>
        </is>
      </c>
      <c r="E31" t="inlineStr">
        <is>
          <t>핵심 카드</t>
        </is>
      </c>
    </row>
    <row r="32">
      <c r="A32" t="inlineStr">
        <is>
          <t>market_pbr</t>
        </is>
      </c>
      <c r="B32" t="inlineStr">
        <is>
          <t>시장내재 P/B</t>
        </is>
      </c>
      <c r="C32" t="n">
        <v>0.9325275483553788</v>
      </c>
      <c r="D32" t="inlineStr">
        <is>
          <t>multiple</t>
        </is>
      </c>
      <c r="E32" t="inlineStr">
        <is>
          <t>핵심 카드</t>
        </is>
      </c>
    </row>
    <row r="33">
      <c r="A33" t="inlineStr">
        <is>
          <t>market_fcf_yield</t>
        </is>
      </c>
      <c r="B33" t="inlineStr">
        <is>
          <t>시장내재 FCF 수익률</t>
        </is>
      </c>
      <c r="C33" t="n">
        <v>0.02875091857253651</v>
      </c>
      <c r="D33" t="inlineStr">
        <is>
          <t>percent</t>
        </is>
      </c>
      <c r="E33" t="inlineStr">
        <is>
          <t>핵심 카드</t>
        </is>
      </c>
    </row>
    <row r="34">
      <c r="A34" t="inlineStr">
        <is>
          <t>검증_status</t>
        </is>
      </c>
      <c r="B34" t="inlineStr">
        <is>
          <t>검증 상태</t>
        </is>
      </c>
      <c r="C34" t="inlineStr">
        <is>
          <t>PASS</t>
        </is>
      </c>
      <c r="D34" t="inlineStr">
        <is>
          <t>text</t>
        </is>
      </c>
      <c r="E34" t="inlineStr">
        <is>
          <t>핵심 카드</t>
        </is>
      </c>
    </row>
    <row r="35">
      <c r="A35" t="inlineStr">
        <is>
          <t>price_history</t>
        </is>
      </c>
      <c r="B35" t="inlineStr">
        <is>
          <t>주가 차트</t>
        </is>
      </c>
      <c r="C35" t="inlineStr">
        <is>
          <t>최근 250거래일</t>
        </is>
      </c>
      <c r="D35" t="inlineStr">
        <is>
          <t>list</t>
        </is>
      </c>
      <c r="E35" t="inlineStr">
        <is>
          <t>라인차트</t>
        </is>
      </c>
    </row>
    <row r="36">
      <c r="A36" t="inlineStr">
        <is>
          <t>historical_ficials</t>
        </is>
      </c>
      <c r="B36" t="inlineStr">
        <is>
          <t>재무 추이</t>
        </is>
      </c>
      <c r="C36" t="inlineStr">
        <is>
          <t>최근 5개년</t>
        </is>
      </c>
      <c r="D36" t="inlineStr">
        <is>
          <t>list</t>
        </is>
      </c>
      <c r="E36" t="inlineStr">
        <is>
          <t>막대/라인 혼합</t>
        </is>
      </c>
    </row>
    <row r="37">
      <c r="A37" t="inlineStr">
        <is>
          <t>비교기업_multiples</t>
        </is>
      </c>
      <c r="B37" t="inlineStr">
        <is>
          <t>비교기업 배수</t>
        </is>
      </c>
      <c r="C37" t="inlineStr">
        <is>
          <t>5개 기업 + 확장 비교군</t>
        </is>
      </c>
      <c r="D37" t="inlineStr">
        <is>
          <t>list</t>
        </is>
      </c>
      <c r="E37" t="inlineStr">
        <is>
          <t>상대가치 표</t>
        </is>
      </c>
    </row>
    <row r="38">
      <c r="A38" t="inlineStr">
        <is>
          <t>기준_비교군_focus</t>
        </is>
      </c>
      <c r="B38" t="inlineStr">
        <is>
          <t>208개 비교군 상대위치</t>
        </is>
      </c>
      <c r="C38" t="inlineStr">
        <is>
          <t>선택기업/동일 세부군/전체 평균</t>
        </is>
      </c>
      <c r="D38" t="inlineStr">
        <is>
          <t>list</t>
        </is>
      </c>
      <c r="E38" t="inlineStr">
        <is>
          <t>시장위치 맵</t>
        </is>
      </c>
    </row>
    <row r="39">
      <c r="A39" t="inlineStr">
        <is>
          <t>advanced_valuation</t>
        </is>
      </c>
      <c r="B39" t="inlineStr">
        <is>
          <t>종합 가치평가</t>
        </is>
      </c>
      <c r="C39" t="inlineStr">
        <is>
          <t>가치범위·역산 DCF·오너이익</t>
        </is>
      </c>
      <c r="D39" t="inlineStr">
        <is>
          <t>object</t>
        </is>
      </c>
      <c r="E39" t="inlineStr">
        <is>
          <t>상세 패널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6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2" customWidth="1" min="4" max="4"/>
    <col width="18" customWidth="1" min="5" max="5"/>
    <col width="14" customWidth="1" min="6" max="6"/>
    <col width="14" customWidth="1" min="7" max="7"/>
    <col width="15" customWidth="1" min="8" max="8"/>
    <col width="13" customWidth="1" min="9" max="9"/>
    <col width="10" customWidth="1" min="10" max="10"/>
    <col width="10" customWidth="1" min="11" max="11"/>
    <col width="10" customWidth="1" min="12" max="12"/>
    <col width="13" customWidth="1" min="13" max="13"/>
    <col width="18" customWidth="1" min="14" max="14"/>
  </cols>
  <sheetData>
    <row r="1" ht="34" customHeight="1">
      <c r="A1" s="44" t="inlineStr">
        <is>
          <t>미코 반도체 시장 내 상대 위치 맵</t>
        </is>
      </c>
    </row>
    <row r="2" ht="22" customHeight="1">
      <c r="A2" s="2" t="inlineStr">
        <is>
          <t>기업 선택값을 바꾸면 선택기업·동일 세부군·208개 전체 평균 비교와 TAM/SAM/SOM 범위가 함께 갱신됩니다.</t>
        </is>
      </c>
    </row>
    <row r="3" ht="22" customHeight="1"/>
    <row r="4" ht="22" customHeight="1">
      <c r="A4" s="3" t="inlineStr">
        <is>
          <t>기업 선택</t>
        </is>
      </c>
      <c r="B4" s="45" t="inlineStr">
        <is>
          <t>미코</t>
        </is>
      </c>
      <c r="C4" t="inlineStr"/>
      <c r="D4" s="3" t="inlineStr">
        <is>
          <t>동일 세부군</t>
        </is>
      </c>
      <c r="E4" s="45">
        <f>IFERROR(XLOOKUP($B$4,$A$59:$A$266,$E$59:$E$266),"")</f>
        <v/>
      </c>
      <c r="F4" t="inlineStr"/>
      <c r="G4" s="3" t="inlineStr">
        <is>
          <t>선택기업 점수</t>
        </is>
      </c>
      <c r="H4" s="46">
        <f>IFERROR(XLOOKUP($B$4,$A$59:$A$266,$F$59:$F$266),"")</f>
        <v/>
      </c>
      <c r="I4" t="inlineStr"/>
      <c r="J4" s="3" t="inlineStr">
        <is>
          <t>208개 내 백분위</t>
        </is>
      </c>
      <c r="K4" s="47">
        <f>IFERROR(PERCENTRANK.INC($F$59:$F$266,$H$4),"")</f>
        <v/>
      </c>
      <c r="L4" t="inlineStr"/>
      <c r="M4" s="3" t="inlineStr">
        <is>
          <t>라벨</t>
        </is>
      </c>
      <c r="N4" s="45">
        <f>IFERROR(XLOOKUP($B$4,$A$59:$A$266,$H$59:$H$266),"")</f>
        <v/>
      </c>
    </row>
    <row r="5" ht="22" customHeight="1"/>
    <row r="6" ht="22" customHeight="1"/>
    <row r="7" ht="22" customHeight="1"/>
    <row r="8" ht="22" customHeight="1">
      <c r="A8" s="5" t="inlineStr">
        <is>
          <t>비교 기준</t>
        </is>
      </c>
      <c r="B8" s="5" t="inlineStr">
        <is>
          <t>밸류에이션 점수</t>
        </is>
      </c>
      <c r="C8" s="5" t="inlineStr">
        <is>
          <t>신용위험 점수</t>
        </is>
      </c>
      <c r="D8" s="5" t="inlineStr">
        <is>
          <t>기업 수</t>
        </is>
      </c>
    </row>
    <row r="9" ht="22" customHeight="1">
      <c r="A9" s="48" t="inlineStr">
        <is>
          <t>선택기업</t>
        </is>
      </c>
      <c r="B9" s="48">
        <f>IFERROR(XLOOKUP($B$4,$A$59:$A$266,$F$59:$F$266),"")</f>
        <v/>
      </c>
      <c r="C9" s="48">
        <f>IFERROR(XLOOKUP($B$4,$A$59:$A$266,$G$59:$G$266),"")</f>
        <v/>
      </c>
      <c r="D9" s="48" t="n">
        <v>1</v>
      </c>
    </row>
    <row r="10" ht="22" customHeight="1">
      <c r="A10" s="49" t="inlineStr">
        <is>
          <t>동일 세부군 평균</t>
        </is>
      </c>
      <c r="B10" s="49">
        <f>IFERROR(AVERAGEIF($E$59:$E$266,$E$4,$F$59:$F$266),"")</f>
        <v/>
      </c>
      <c r="C10" s="49">
        <f>IFERROR(AVERAGEIF($E$59:$E$266,$E$4,$G$59:$G$266),"")</f>
        <v/>
      </c>
      <c r="D10" s="49">
        <f>IFERROR(COUNTIF($E$59:$E$266,$E$4),"")</f>
        <v/>
      </c>
    </row>
    <row r="11" ht="22" customHeight="1">
      <c r="A11" s="50" t="inlineStr">
        <is>
          <t>208개 전체 평균</t>
        </is>
      </c>
      <c r="B11" s="50">
        <f>IFERROR(AVERAGE($F$59:$F$266),"")</f>
        <v/>
      </c>
      <c r="C11" s="50">
        <f>IFERROR(AVERAGE($G$59:$G$266),"")</f>
        <v/>
      </c>
      <c r="D11" s="50" t="n">
        <v>208</v>
      </c>
    </row>
    <row r="12" ht="22" customHeight="1"/>
    <row r="13" ht="22" customHeight="1"/>
    <row r="14" ht="22" customHeight="1"/>
    <row r="15" ht="22" customHeight="1"/>
    <row r="16" ht="22" customHeight="1">
      <c r="A16" s="5" t="inlineStr">
        <is>
          <t>범위</t>
        </is>
      </c>
      <c r="B16" s="5" t="inlineStr">
        <is>
          <t>기업 수</t>
        </is>
      </c>
      <c r="C16" s="5" t="inlineStr">
        <is>
          <t>해석</t>
        </is>
      </c>
    </row>
    <row r="17" ht="22" customHeight="1">
      <c r="A17" s="48" t="inlineStr">
        <is>
          <t>TAM: 반도체 전체 비교군</t>
        </is>
      </c>
      <c r="B17" s="48" t="n">
        <v>208</v>
      </c>
      <c r="C17" s="48" t="inlineStr">
        <is>
          <t>현재 가치평가 에이전트가 비교 가능한 전체 반도체 기준군</t>
        </is>
      </c>
    </row>
    <row r="18" ht="22" customHeight="1">
      <c r="A18" s="49" t="inlineStr">
        <is>
          <t>SAM: 선택기업 세부군</t>
        </is>
      </c>
      <c r="B18" s="49">
        <f>IFERROR(COUNTIF($E$59:$E$266,$E$4),"")</f>
        <v/>
      </c>
      <c r="C18" s="49" t="inlineStr">
        <is>
          <t>동일 사업축 안에서 상대가치 비교가 더 직접적인 집단</t>
        </is>
      </c>
    </row>
    <row r="19" ht="22" customHeight="1">
      <c r="A19" s="51" t="inlineStr">
        <is>
          <t>SOM: 선택기업</t>
        </is>
      </c>
      <c r="B19" s="51" t="n">
        <v>1</v>
      </c>
      <c r="C19" s="51" t="inlineStr">
        <is>
          <t>현재 선택한 분석 대상 기업</t>
        </is>
      </c>
    </row>
    <row r="20" ht="22" customHeight="1"/>
    <row r="21" ht="22" customHeight="1"/>
    <row r="22" ht="22" customHeight="1"/>
    <row r="23" ht="22" customHeight="1"/>
    <row r="24" ht="22" customHeight="1">
      <c r="A24" s="15" t="inlineStr">
        <is>
          <t>5개 핵심기업 비교</t>
        </is>
      </c>
      <c r="B24" t="inlineStr"/>
      <c r="C24" t="inlineStr"/>
      <c r="D24" t="inlineStr"/>
      <c r="E24" t="inlineStr"/>
      <c r="F24" t="inlineStr"/>
    </row>
    <row r="25" ht="22" customHeight="1">
      <c r="A25" s="5" t="inlineStr">
        <is>
          <t>기업명</t>
        </is>
      </c>
      <c r="B25" s="5" t="inlineStr">
        <is>
          <t>세부군</t>
        </is>
      </c>
      <c r="C25" s="5" t="inlineStr">
        <is>
          <t>밸류에이션 점수</t>
        </is>
      </c>
      <c r="D25" s="5" t="inlineStr">
        <is>
          <t>신용위험 점수</t>
        </is>
      </c>
      <c r="E25" s="5" t="inlineStr">
        <is>
          <t>라벨</t>
        </is>
      </c>
      <c r="F25" s="5" t="inlineStr">
        <is>
          <t>P/S</t>
        </is>
      </c>
    </row>
    <row r="26" ht="22" customHeight="1">
      <c r="A26" s="15" t="inlineStr">
        <is>
          <t>네패스</t>
        </is>
      </c>
      <c r="B26" s="15" t="inlineStr">
        <is>
          <t>후공정/패키징/테스트</t>
        </is>
      </c>
      <c r="C26" s="15" t="n">
        <v>63.85</v>
      </c>
      <c r="D26" s="15" t="n">
        <v>28.57</v>
      </c>
      <c r="E26" s="15" t="inlineStr">
        <is>
          <t>가치 매력</t>
        </is>
      </c>
      <c r="F26" t="inlineStr"/>
    </row>
    <row r="27" ht="22" customHeight="1">
      <c r="A27" s="15" t="inlineStr">
        <is>
          <t>한솔케미칼</t>
        </is>
      </c>
      <c r="B27" s="15" t="inlineStr">
        <is>
          <t>소재</t>
        </is>
      </c>
      <c r="C27" s="15" t="n">
        <v>63.31</v>
      </c>
      <c r="D27" s="15" t="n">
        <v>0</v>
      </c>
      <c r="E27" s="15" t="inlineStr">
        <is>
          <t>가치 매력</t>
        </is>
      </c>
      <c r="F27" t="inlineStr"/>
    </row>
    <row r="28" ht="22" customHeight="1">
      <c r="A28" s="15" t="inlineStr">
        <is>
          <t>엘티씨</t>
        </is>
      </c>
      <c r="B28" s="15" t="inlineStr">
        <is>
          <t>소재</t>
        </is>
      </c>
      <c r="C28" s="15" t="n">
        <v>58.38</v>
      </c>
      <c r="D28" s="15" t="n">
        <v>0</v>
      </c>
      <c r="E28" s="15" t="inlineStr">
        <is>
          <t>중립</t>
        </is>
      </c>
      <c r="F28" t="inlineStr"/>
    </row>
    <row r="29" ht="22" customHeight="1">
      <c r="A29" s="15" t="inlineStr">
        <is>
          <t>한미반도체</t>
        </is>
      </c>
      <c r="B29" s="15" t="inlineStr">
        <is>
          <t>후공정/패키징/테스트</t>
        </is>
      </c>
      <c r="C29" s="15" t="n">
        <v>47.13</v>
      </c>
      <c r="D29" s="15" t="n">
        <v>0</v>
      </c>
      <c r="E29" s="15" t="inlineStr">
        <is>
          <t>중립</t>
        </is>
      </c>
      <c r="F29" t="inlineStr"/>
    </row>
    <row r="30" ht="22" customHeight="1">
      <c r="A30" s="15" t="inlineStr">
        <is>
          <t>덕산테코피아</t>
        </is>
      </c>
      <c r="B30" s="15" t="inlineStr">
        <is>
          <t>소재</t>
        </is>
      </c>
      <c r="C30" s="15" t="n">
        <v>25.1</v>
      </c>
      <c r="D30" s="15" t="n">
        <v>71.43000000000001</v>
      </c>
      <c r="E30" s="15" t="inlineStr">
        <is>
          <t>고평가 부담</t>
        </is>
      </c>
      <c r="F30" t="inlineStr"/>
    </row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>
      <c r="A57" s="3" t="inlineStr">
        <is>
          <t>선택/차트 원천 데이터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 ht="22" customHeight="1">
      <c r="A58" s="5" t="inlineStr">
        <is>
          <t>기업명</t>
        </is>
      </c>
      <c r="B58" s="5" t="inlineStr">
        <is>
          <t>기업코드</t>
        </is>
      </c>
      <c r="C58" s="5" t="inlineStr">
        <is>
          <t>종목코드</t>
        </is>
      </c>
      <c r="D58" s="5" t="inlineStr">
        <is>
          <t>시장</t>
        </is>
      </c>
      <c r="E58" s="5" t="inlineStr">
        <is>
          <t>세부군</t>
        </is>
      </c>
      <c r="F58" s="5" t="inlineStr">
        <is>
          <t>밸류에이션 점수</t>
        </is>
      </c>
      <c r="G58" s="5" t="inlineStr">
        <is>
          <t>신용위험 점수</t>
        </is>
      </c>
      <c r="H58" s="5" t="inlineStr">
        <is>
          <t>라벨</t>
        </is>
      </c>
      <c r="I58" s="5" t="inlineStr">
        <is>
          <t>신뢰도</t>
        </is>
      </c>
      <c r="J58" s="5" t="inlineStr">
        <is>
          <t>5개 핵심</t>
        </is>
      </c>
      <c r="K58" s="5" t="inlineStr">
        <is>
          <t>분석대상</t>
        </is>
      </c>
      <c r="L58" s="5" t="inlineStr">
        <is>
          <t>P/S</t>
        </is>
      </c>
    </row>
    <row r="59" ht="22" customHeight="1">
      <c r="A59" s="15" t="inlineStr">
        <is>
          <t>엔투텍</t>
        </is>
      </c>
      <c r="B59" t="inlineStr"/>
      <c r="C59" s="15" t="inlineStr">
        <is>
          <t>227950</t>
        </is>
      </c>
      <c r="D59" s="15" t="inlineStr">
        <is>
          <t>KOSDAQ</t>
        </is>
      </c>
      <c r="E59" s="15" t="inlineStr">
        <is>
          <t>장비</t>
        </is>
      </c>
      <c r="F59" s="15" t="n">
        <v>81.29000000000001</v>
      </c>
      <c r="G59" s="15" t="n">
        <v>21.43</v>
      </c>
      <c r="H59" s="15" t="inlineStr">
        <is>
          <t>가치 매력</t>
        </is>
      </c>
      <c r="I59" s="15" t="inlineStr">
        <is>
          <t>0.8347222629406851</t>
        </is>
      </c>
      <c r="J59" t="inlineStr"/>
      <c r="K59" t="inlineStr"/>
      <c r="L59" t="inlineStr"/>
    </row>
    <row r="60" ht="22" customHeight="1">
      <c r="A60" s="15" t="inlineStr">
        <is>
          <t>에스에이엠티</t>
        </is>
      </c>
      <c r="B60" t="inlineStr"/>
      <c r="C60" s="15" t="inlineStr">
        <is>
          <t>031330</t>
        </is>
      </c>
      <c r="D60" s="15" t="inlineStr">
        <is>
          <t>KOSDAQ</t>
        </is>
      </c>
      <c r="E60" s="15" t="inlineStr">
        <is>
          <t>팹리스/설계</t>
        </is>
      </c>
      <c r="F60" s="15" t="n">
        <v>78.38</v>
      </c>
      <c r="G60" s="15" t="n">
        <v>50</v>
      </c>
      <c r="H60" s="15" t="inlineStr">
        <is>
          <t>중립</t>
        </is>
      </c>
      <c r="I60" s="15" t="inlineStr">
        <is>
          <t>0.8575928985222669</t>
        </is>
      </c>
      <c r="J60" t="inlineStr"/>
      <c r="K60" t="inlineStr"/>
      <c r="L60" t="inlineStr"/>
    </row>
    <row r="61" ht="22" customHeight="1">
      <c r="A61" s="15" t="inlineStr">
        <is>
          <t>성우테크론</t>
        </is>
      </c>
      <c r="B61" t="inlineStr"/>
      <c r="C61" s="15" t="inlineStr">
        <is>
          <t>045300</t>
        </is>
      </c>
      <c r="D61" s="15" t="inlineStr">
        <is>
          <t>KOSDAQ</t>
        </is>
      </c>
      <c r="E61" s="15" t="inlineStr">
        <is>
          <t>후공정/패키징/테스트</t>
        </is>
      </c>
      <c r="F61" s="15" t="n">
        <v>77.64</v>
      </c>
      <c r="G61" s="15" t="n">
        <v>7.14</v>
      </c>
      <c r="H61" s="15" t="inlineStr">
        <is>
          <t>가치 매력</t>
        </is>
      </c>
      <c r="I61" s="15" t="inlineStr">
        <is>
          <t>0.9526864248076319</t>
        </is>
      </c>
      <c r="J61" t="inlineStr"/>
      <c r="K61" t="inlineStr"/>
      <c r="L61" t="inlineStr"/>
    </row>
    <row r="62" ht="22" customHeight="1">
      <c r="A62" s="15" t="inlineStr">
        <is>
          <t>미래산업</t>
        </is>
      </c>
      <c r="B62" t="inlineStr"/>
      <c r="C62" s="15" t="inlineStr">
        <is>
          <t>025560</t>
        </is>
      </c>
      <c r="D62" s="15" t="inlineStr">
        <is>
          <t>KOSPI</t>
        </is>
      </c>
      <c r="E62" s="15" t="inlineStr">
        <is>
          <t>후공정/패키징/테스트</t>
        </is>
      </c>
      <c r="F62" s="15" t="n">
        <v>77.48</v>
      </c>
      <c r="G62" s="15" t="n">
        <v>28.57</v>
      </c>
      <c r="H62" s="15" t="inlineStr">
        <is>
          <t>중립</t>
        </is>
      </c>
      <c r="I62" s="15" t="inlineStr">
        <is>
          <t>0.883291104654336</t>
        </is>
      </c>
      <c r="J62" t="inlineStr"/>
      <c r="K62" t="inlineStr"/>
      <c r="L62" t="inlineStr"/>
    </row>
    <row r="63" ht="22" customHeight="1">
      <c r="A63" s="15" t="inlineStr">
        <is>
          <t>미코</t>
        </is>
      </c>
      <c r="B63" t="inlineStr"/>
      <c r="C63" s="15" t="inlineStr">
        <is>
          <t>059090</t>
        </is>
      </c>
      <c r="D63" s="15" t="inlineStr">
        <is>
          <t>KOSDAQ</t>
        </is>
      </c>
      <c r="E63" s="15" t="inlineStr">
        <is>
          <t>IDM/제조/메모리</t>
        </is>
      </c>
      <c r="F63" s="15" t="n">
        <v>77.33</v>
      </c>
      <c r="G63" s="15" t="n">
        <v>21.43</v>
      </c>
      <c r="H63" s="15" t="inlineStr">
        <is>
          <t>중립</t>
        </is>
      </c>
      <c r="I63" s="15" t="inlineStr">
        <is>
          <t>0.9066669659525092</t>
        </is>
      </c>
      <c r="J63" t="inlineStr"/>
      <c r="K63" t="inlineStr"/>
      <c r="L63" t="inlineStr"/>
    </row>
    <row r="64" ht="22" customHeight="1">
      <c r="A64" s="15" t="inlineStr">
        <is>
          <t>링크제니시스</t>
        </is>
      </c>
      <c r="B64" t="inlineStr"/>
      <c r="C64" s="15" t="inlineStr">
        <is>
          <t>219420</t>
        </is>
      </c>
      <c r="D64" s="15" t="inlineStr">
        <is>
          <t>KOSDAQ</t>
        </is>
      </c>
      <c r="E64" s="15" t="inlineStr">
        <is>
          <t>후공정/패키징/테스트</t>
        </is>
      </c>
      <c r="F64" s="15" t="n">
        <v>75.23</v>
      </c>
      <c r="G64" s="15" t="n">
        <v>7.14</v>
      </c>
      <c r="H64" s="15" t="inlineStr">
        <is>
          <t>가치 매력</t>
        </is>
      </c>
      <c r="I64" s="15" t="inlineStr">
        <is>
          <t>0.8724992666433111</t>
        </is>
      </c>
      <c r="J64" t="inlineStr"/>
      <c r="K64" t="inlineStr"/>
      <c r="L64" t="inlineStr"/>
    </row>
    <row r="65" ht="22" customHeight="1">
      <c r="A65" s="15" t="inlineStr">
        <is>
          <t>엘디티</t>
        </is>
      </c>
      <c r="B65" t="inlineStr"/>
      <c r="C65" s="15" t="inlineStr">
        <is>
          <t>096870</t>
        </is>
      </c>
      <c r="D65" s="15" t="inlineStr">
        <is>
          <t>KOSDAQ</t>
        </is>
      </c>
      <c r="E65" s="15" t="inlineStr">
        <is>
          <t>IDM/제조/메모리</t>
        </is>
      </c>
      <c r="F65" s="15" t="n">
        <v>75.18000000000001</v>
      </c>
      <c r="G65" s="15" t="n">
        <v>7.14</v>
      </c>
      <c r="H65" s="15" t="inlineStr">
        <is>
          <t>가치 매력</t>
        </is>
      </c>
      <c r="I65" s="15" t="inlineStr">
        <is>
          <t>0.8817908899004964</t>
        </is>
      </c>
      <c r="J65" t="inlineStr"/>
      <c r="K65" t="inlineStr"/>
      <c r="L65" t="inlineStr"/>
    </row>
    <row r="66" ht="22" customHeight="1">
      <c r="A66" s="15" t="inlineStr">
        <is>
          <t>유니트론텍</t>
        </is>
      </c>
      <c r="B66" t="inlineStr"/>
      <c r="C66" s="15" t="inlineStr">
        <is>
          <t>142210</t>
        </is>
      </c>
      <c r="D66" s="15" t="inlineStr">
        <is>
          <t>KOSDAQ</t>
        </is>
      </c>
      <c r="E66" s="15" t="inlineStr">
        <is>
          <t>팹리스/설계</t>
        </is>
      </c>
      <c r="F66" s="15" t="n">
        <v>74.79000000000001</v>
      </c>
      <c r="G66" s="15" t="n">
        <v>35.71</v>
      </c>
      <c r="H66" s="15" t="inlineStr">
        <is>
          <t>중립</t>
        </is>
      </c>
      <c r="I66" s="15" t="inlineStr">
        <is>
          <t>0.8593164302034415</t>
        </is>
      </c>
      <c r="J66" t="inlineStr"/>
      <c r="K66" t="inlineStr"/>
      <c r="L66" t="inlineStr"/>
    </row>
    <row r="67" ht="22" customHeight="1">
      <c r="A67" s="15" t="inlineStr">
        <is>
          <t>메카로</t>
        </is>
      </c>
      <c r="B67" t="inlineStr"/>
      <c r="C67" s="15" t="inlineStr">
        <is>
          <t>241770</t>
        </is>
      </c>
      <c r="D67" s="15" t="inlineStr">
        <is>
          <t>KOSDAQ</t>
        </is>
      </c>
      <c r="E67" s="15" t="inlineStr">
        <is>
          <t>IDM/제조/메모리</t>
        </is>
      </c>
      <c r="F67" s="15" t="n">
        <v>74.77</v>
      </c>
      <c r="G67" s="15" t="n">
        <v>0</v>
      </c>
      <c r="H67" s="15" t="inlineStr">
        <is>
          <t>가치 매력</t>
        </is>
      </c>
      <c r="I67" s="15" t="inlineStr">
        <is>
          <t>0.9154158498128573</t>
        </is>
      </c>
      <c r="J67" t="inlineStr"/>
      <c r="K67" t="inlineStr"/>
      <c r="L67" t="inlineStr"/>
    </row>
    <row r="68" ht="22" customHeight="1">
      <c r="A68" s="15" t="inlineStr">
        <is>
          <t>월덱스</t>
        </is>
      </c>
      <c r="B68" t="inlineStr"/>
      <c r="C68" s="15" t="inlineStr">
        <is>
          <t>101160</t>
        </is>
      </c>
      <c r="D68" s="15" t="inlineStr">
        <is>
          <t>KOSDAQ</t>
        </is>
      </c>
      <c r="E68" s="15" t="inlineStr">
        <is>
          <t>소재</t>
        </is>
      </c>
      <c r="F68" s="15" t="n">
        <v>74.59</v>
      </c>
      <c r="G68" s="15" t="n">
        <v>0</v>
      </c>
      <c r="H68" s="15" t="inlineStr">
        <is>
          <t>가치 매력</t>
        </is>
      </c>
      <c r="I68" s="15" t="inlineStr">
        <is>
          <t>0.9476922450763601</t>
        </is>
      </c>
      <c r="J68" t="inlineStr"/>
      <c r="K68" t="inlineStr"/>
      <c r="L68" t="inlineStr"/>
    </row>
    <row r="69" ht="22" customHeight="1">
      <c r="A69" s="15" t="inlineStr">
        <is>
          <t>앤씨앤</t>
        </is>
      </c>
      <c r="B69" t="inlineStr"/>
      <c r="C69" s="15" t="inlineStr">
        <is>
          <t>092600</t>
        </is>
      </c>
      <c r="D69" s="15" t="inlineStr">
        <is>
          <t>KOSDAQ</t>
        </is>
      </c>
      <c r="E69" s="15" t="inlineStr">
        <is>
          <t>팹리스/설계</t>
        </is>
      </c>
      <c r="F69" s="15" t="n">
        <v>74.51000000000001</v>
      </c>
      <c r="G69" s="15" t="n">
        <v>50</v>
      </c>
      <c r="H69" s="15" t="inlineStr">
        <is>
          <t>중립</t>
        </is>
      </c>
      <c r="I69" s="15" t="inlineStr">
        <is>
          <t>0.8450252323777523</t>
        </is>
      </c>
      <c r="J69" t="inlineStr"/>
      <c r="K69" t="inlineStr"/>
      <c r="L69" t="inlineStr"/>
    </row>
    <row r="70" ht="22" customHeight="1">
      <c r="A70" s="15" t="inlineStr">
        <is>
          <t>퓨릿</t>
        </is>
      </c>
      <c r="B70" t="inlineStr"/>
      <c r="C70" s="15" t="inlineStr">
        <is>
          <t>445180</t>
        </is>
      </c>
      <c r="D70" s="15" t="inlineStr">
        <is>
          <t>KOSDAQ</t>
        </is>
      </c>
      <c r="E70" s="15" t="inlineStr">
        <is>
          <t>소재</t>
        </is>
      </c>
      <c r="F70" s="15" t="n">
        <v>74.48999999999999</v>
      </c>
      <c r="G70" s="15" t="n">
        <v>7.14</v>
      </c>
      <c r="H70" s="15" t="inlineStr">
        <is>
          <t>가치 매력</t>
        </is>
      </c>
      <c r="I70" s="15" t="inlineStr">
        <is>
          <t>0.8817607106455689</t>
        </is>
      </c>
      <c r="J70" t="inlineStr"/>
      <c r="K70" t="inlineStr"/>
      <c r="L70" t="inlineStr"/>
    </row>
    <row r="71" ht="22" customHeight="1">
      <c r="A71" s="15" t="inlineStr">
        <is>
          <t>마이크로컨텍솔</t>
        </is>
      </c>
      <c r="B71" t="inlineStr"/>
      <c r="C71" s="15" t="inlineStr">
        <is>
          <t>098120</t>
        </is>
      </c>
      <c r="D71" s="15" t="inlineStr">
        <is>
          <t>KOSDAQ</t>
        </is>
      </c>
      <c r="E71" s="15" t="inlineStr">
        <is>
          <t>팹리스/설계</t>
        </is>
      </c>
      <c r="F71" s="15" t="n">
        <v>73.84</v>
      </c>
      <c r="G71" s="15" t="n">
        <v>14.29</v>
      </c>
      <c r="H71" s="15" t="inlineStr">
        <is>
          <t>가치 매력</t>
        </is>
      </c>
      <c r="I71" s="15" t="inlineStr">
        <is>
          <t>0.8262966149459129</t>
        </is>
      </c>
      <c r="J71" t="inlineStr"/>
      <c r="K71" t="inlineStr"/>
      <c r="L71" t="inlineStr"/>
    </row>
    <row r="72" ht="22" customHeight="1">
      <c r="A72" s="15" t="inlineStr">
        <is>
          <t>프로텍</t>
        </is>
      </c>
      <c r="B72" t="inlineStr"/>
      <c r="C72" s="15" t="inlineStr">
        <is>
          <t>053610</t>
        </is>
      </c>
      <c r="D72" s="15" t="inlineStr">
        <is>
          <t>KOSDAQ</t>
        </is>
      </c>
      <c r="E72" s="15" t="inlineStr">
        <is>
          <t>후공정/패키징/테스트</t>
        </is>
      </c>
      <c r="F72" s="15" t="n">
        <v>73.42</v>
      </c>
      <c r="G72" s="15" t="n">
        <v>7.14</v>
      </c>
      <c r="H72" s="15" t="inlineStr">
        <is>
          <t>중립</t>
        </is>
      </c>
      <c r="I72" s="15" t="inlineStr">
        <is>
          <t>0.8971257561900263</t>
        </is>
      </c>
      <c r="J72" t="inlineStr"/>
      <c r="K72" t="inlineStr"/>
      <c r="L72" t="inlineStr"/>
    </row>
    <row r="73" ht="22" customHeight="1">
      <c r="A73" s="15" t="inlineStr">
        <is>
          <t>아이앤씨</t>
        </is>
      </c>
      <c r="B73" t="inlineStr"/>
      <c r="C73" s="15" t="inlineStr">
        <is>
          <t>052860</t>
        </is>
      </c>
      <c r="D73" s="15" t="inlineStr">
        <is>
          <t>KOSDAQ</t>
        </is>
      </c>
      <c r="E73" s="15" t="inlineStr">
        <is>
          <t>팹리스/설계</t>
        </is>
      </c>
      <c r="F73" s="15" t="n">
        <v>73.25</v>
      </c>
      <c r="G73" s="15" t="n">
        <v>0</v>
      </c>
      <c r="H73" s="15" t="inlineStr">
        <is>
          <t>가치 매력</t>
        </is>
      </c>
      <c r="I73" s="15" t="inlineStr">
        <is>
          <t>0.9267130449922303</t>
        </is>
      </c>
      <c r="J73" t="inlineStr"/>
      <c r="K73" t="inlineStr"/>
      <c r="L73" t="inlineStr"/>
    </row>
    <row r="74" ht="22" customHeight="1">
      <c r="A74" s="15" t="inlineStr">
        <is>
          <t>비아트론</t>
        </is>
      </c>
      <c r="B74" t="inlineStr"/>
      <c r="C74" s="15" t="inlineStr">
        <is>
          <t>141000</t>
        </is>
      </c>
      <c r="D74" s="15" t="inlineStr">
        <is>
          <t>KOSDAQ</t>
        </is>
      </c>
      <c r="E74" s="15" t="inlineStr">
        <is>
          <t>장비</t>
        </is>
      </c>
      <c r="F74" s="15" t="n">
        <v>71.05</v>
      </c>
      <c r="G74" s="15" t="n">
        <v>0</v>
      </c>
      <c r="H74" s="15" t="inlineStr">
        <is>
          <t>가치 매력</t>
        </is>
      </c>
      <c r="I74" s="15" t="inlineStr">
        <is>
          <t>0.934708213344448</t>
        </is>
      </c>
      <c r="J74" t="inlineStr"/>
      <c r="K74" t="inlineStr"/>
      <c r="L74" t="inlineStr"/>
    </row>
    <row r="75" ht="22" customHeight="1">
      <c r="A75" s="15" t="inlineStr">
        <is>
          <t>인터플렉스</t>
        </is>
      </c>
      <c r="B75" t="inlineStr"/>
      <c r="C75" s="15" t="inlineStr">
        <is>
          <t>051370</t>
        </is>
      </c>
      <c r="D75" s="15" t="inlineStr">
        <is>
          <t>KOSDAQ</t>
        </is>
      </c>
      <c r="E75" s="15" t="inlineStr">
        <is>
          <t>부품/기판</t>
        </is>
      </c>
      <c r="F75" s="15" t="n">
        <v>70.90000000000001</v>
      </c>
      <c r="G75" s="15" t="n">
        <v>7.14</v>
      </c>
      <c r="H75" s="15" t="inlineStr">
        <is>
          <t>중립</t>
        </is>
      </c>
      <c r="I75" s="15" t="inlineStr">
        <is>
          <t>0.904555257888918</t>
        </is>
      </c>
      <c r="J75" t="inlineStr"/>
      <c r="K75" t="inlineStr"/>
      <c r="L75" t="inlineStr"/>
    </row>
    <row r="76" ht="22" customHeight="1">
      <c r="A76" s="15" t="inlineStr">
        <is>
          <t>삼성전자</t>
        </is>
      </c>
      <c r="B76" t="inlineStr"/>
      <c r="C76" s="15" t="inlineStr">
        <is>
          <t>005930</t>
        </is>
      </c>
      <c r="D76" s="15" t="inlineStr">
        <is>
          <t>KOSPI</t>
        </is>
      </c>
      <c r="E76" s="15" t="inlineStr">
        <is>
          <t>IDM/제조/메모리</t>
        </is>
      </c>
      <c r="F76" s="15" t="n">
        <v>70.78</v>
      </c>
      <c r="G76" s="15" t="n">
        <v>0</v>
      </c>
      <c r="H76" s="15" t="inlineStr">
        <is>
          <t>가치 매력</t>
        </is>
      </c>
      <c r="I76" s="15" t="inlineStr">
        <is>
          <t>0.9371541027950523</t>
        </is>
      </c>
      <c r="J76" t="inlineStr"/>
      <c r="K76" t="inlineStr"/>
      <c r="L76" t="inlineStr"/>
    </row>
    <row r="77" ht="22" customHeight="1">
      <c r="A77" s="15" t="inlineStr">
        <is>
          <t>케이씨</t>
        </is>
      </c>
      <c r="B77" t="inlineStr"/>
      <c r="C77" s="15" t="inlineStr">
        <is>
          <t>029460</t>
        </is>
      </c>
      <c r="D77" s="15" t="inlineStr">
        <is>
          <t>KOSPI</t>
        </is>
      </c>
      <c r="E77" s="15" t="inlineStr">
        <is>
          <t>장비</t>
        </is>
      </c>
      <c r="F77" s="15" t="n">
        <v>70.65000000000001</v>
      </c>
      <c r="G77" s="15" t="n">
        <v>0</v>
      </c>
      <c r="H77" s="15" t="inlineStr">
        <is>
          <t>가치 매력</t>
        </is>
      </c>
      <c r="I77" s="15" t="inlineStr">
        <is>
          <t>0.9151708177015135</t>
        </is>
      </c>
      <c r="J77" t="inlineStr"/>
      <c r="K77" t="inlineStr"/>
      <c r="L77" t="inlineStr"/>
    </row>
    <row r="78" ht="22" customHeight="1">
      <c r="A78" s="15" t="inlineStr">
        <is>
          <t>이엔에프테크놀로지</t>
        </is>
      </c>
      <c r="B78" t="inlineStr"/>
      <c r="C78" s="15" t="inlineStr">
        <is>
          <t>102710</t>
        </is>
      </c>
      <c r="D78" s="15" t="inlineStr">
        <is>
          <t>KOSDAQ</t>
        </is>
      </c>
      <c r="E78" s="15" t="inlineStr">
        <is>
          <t>소재</t>
        </is>
      </c>
      <c r="F78" s="15" t="n">
        <v>70.62</v>
      </c>
      <c r="G78" s="15" t="n">
        <v>0</v>
      </c>
      <c r="H78" s="15" t="inlineStr">
        <is>
          <t>가치 매력</t>
        </is>
      </c>
      <c r="I78" s="15" t="inlineStr">
        <is>
          <t>0.9371627732042065</t>
        </is>
      </c>
      <c r="J78" t="inlineStr"/>
      <c r="K78" t="inlineStr"/>
      <c r="L78" t="inlineStr"/>
    </row>
    <row r="79" ht="22" customHeight="1">
      <c r="A79" s="15" t="inlineStr">
        <is>
          <t>매커스</t>
        </is>
      </c>
      <c r="B79" t="inlineStr"/>
      <c r="C79" s="15" t="inlineStr">
        <is>
          <t>093520</t>
        </is>
      </c>
      <c r="D79" s="15" t="inlineStr">
        <is>
          <t>KOSDAQ</t>
        </is>
      </c>
      <c r="E79" s="15" t="inlineStr">
        <is>
          <t>팹리스/설계</t>
        </is>
      </c>
      <c r="F79" s="15" t="n">
        <v>70.56999999999999</v>
      </c>
      <c r="G79" s="15" t="n">
        <v>0</v>
      </c>
      <c r="H79" s="15" t="inlineStr">
        <is>
          <t>가치 매력</t>
        </is>
      </c>
      <c r="I79" s="15" t="inlineStr">
        <is>
          <t>0.9375173489226767</t>
        </is>
      </c>
      <c r="J79" t="inlineStr"/>
      <c r="K79" t="inlineStr"/>
      <c r="L79" t="inlineStr"/>
    </row>
    <row r="80" ht="22" customHeight="1">
      <c r="A80" s="15" t="inlineStr">
        <is>
          <t>LX세미콘</t>
        </is>
      </c>
      <c r="B80" t="inlineStr"/>
      <c r="C80" s="15" t="inlineStr">
        <is>
          <t>108320</t>
        </is>
      </c>
      <c r="D80" s="15" t="inlineStr">
        <is>
          <t>KOSPI</t>
        </is>
      </c>
      <c r="E80" s="15" t="inlineStr">
        <is>
          <t>팹리스/설계</t>
        </is>
      </c>
      <c r="F80" s="15" t="n">
        <v>69.54000000000001</v>
      </c>
      <c r="G80" s="15" t="n">
        <v>0</v>
      </c>
      <c r="H80" s="15" t="inlineStr">
        <is>
          <t>가치 매력</t>
        </is>
      </c>
      <c r="I80" s="15" t="inlineStr">
        <is>
          <t>0.951012131492064</t>
        </is>
      </c>
      <c r="J80" t="inlineStr"/>
      <c r="K80" t="inlineStr"/>
      <c r="L80" t="inlineStr"/>
    </row>
    <row r="81" ht="22" customHeight="1">
      <c r="A81" s="15" t="inlineStr">
        <is>
          <t>SK하이닉스</t>
        </is>
      </c>
      <c r="B81" t="inlineStr"/>
      <c r="C81" s="15" t="inlineStr">
        <is>
          <t>000660</t>
        </is>
      </c>
      <c r="D81" s="15" t="inlineStr">
        <is>
          <t>KOSPI</t>
        </is>
      </c>
      <c r="E81" s="15" t="inlineStr">
        <is>
          <t>IDM/제조/메모리</t>
        </is>
      </c>
      <c r="F81" s="15" t="n">
        <v>69.33</v>
      </c>
      <c r="G81" s="15" t="n">
        <v>0</v>
      </c>
      <c r="H81" s="15" t="inlineStr">
        <is>
          <t>가치 매력</t>
        </is>
      </c>
      <c r="I81" s="15" t="inlineStr">
        <is>
          <t>0.8582250965188642</t>
        </is>
      </c>
      <c r="J81" t="inlineStr"/>
      <c r="K81" t="inlineStr"/>
      <c r="L81" t="inlineStr"/>
    </row>
    <row r="82" ht="22" customHeight="1">
      <c r="A82" s="15" t="inlineStr">
        <is>
          <t>어보브반도체</t>
        </is>
      </c>
      <c r="B82" t="inlineStr"/>
      <c r="C82" s="15" t="inlineStr">
        <is>
          <t>102120</t>
        </is>
      </c>
      <c r="D82" s="15" t="inlineStr">
        <is>
          <t>KOSDAQ</t>
        </is>
      </c>
      <c r="E82" s="15" t="inlineStr">
        <is>
          <t>팹리스/설계</t>
        </is>
      </c>
      <c r="F82" s="15" t="n">
        <v>69.33</v>
      </c>
      <c r="G82" s="15" t="n">
        <v>7.14</v>
      </c>
      <c r="H82" s="15" t="inlineStr">
        <is>
          <t>중립</t>
        </is>
      </c>
      <c r="I82" s="15" t="inlineStr">
        <is>
          <t>0.9028406871788379</t>
        </is>
      </c>
      <c r="J82" t="inlineStr"/>
      <c r="K82" t="inlineStr"/>
      <c r="L82" t="inlineStr"/>
    </row>
    <row r="83" ht="22" customHeight="1">
      <c r="A83" s="15" t="inlineStr">
        <is>
          <t>더코디</t>
        </is>
      </c>
      <c r="B83" t="inlineStr"/>
      <c r="C83" s="15" t="inlineStr">
        <is>
          <t>224060</t>
        </is>
      </c>
      <c r="D83" s="15" t="inlineStr">
        <is>
          <t>KOSDAQ</t>
        </is>
      </c>
      <c r="E83" s="15" t="inlineStr">
        <is>
          <t>장비</t>
        </is>
      </c>
      <c r="F83" s="15" t="n">
        <v>69.09</v>
      </c>
      <c r="G83" s="15" t="n">
        <v>85.70999999999999</v>
      </c>
      <c r="H83" s="15" t="inlineStr">
        <is>
          <t>중립</t>
        </is>
      </c>
      <c r="I83" s="15" t="inlineStr">
        <is>
          <t>0.6613330626239345</t>
        </is>
      </c>
      <c r="J83" t="inlineStr"/>
      <c r="K83" t="inlineStr"/>
      <c r="L83" t="inlineStr"/>
    </row>
    <row r="84" ht="22" customHeight="1">
      <c r="A84" s="15" t="inlineStr">
        <is>
          <t>프로이천</t>
        </is>
      </c>
      <c r="B84" t="inlineStr"/>
      <c r="C84" s="15" t="inlineStr">
        <is>
          <t>321260</t>
        </is>
      </c>
      <c r="D84" s="15" t="inlineStr">
        <is>
          <t>KOSDAQ</t>
        </is>
      </c>
      <c r="E84" s="15" t="inlineStr">
        <is>
          <t>후공정/패키징/테스트</t>
        </is>
      </c>
      <c r="F84" s="15" t="n">
        <v>69.05</v>
      </c>
      <c r="G84" s="15" t="n">
        <v>14.29</v>
      </c>
      <c r="H84" s="15" t="inlineStr">
        <is>
          <t>가치 매력</t>
        </is>
      </c>
      <c r="I84" s="15" t="inlineStr">
        <is>
          <t>0.9481469936627798</t>
        </is>
      </c>
      <c r="J84" t="inlineStr"/>
      <c r="K84" t="inlineStr"/>
      <c r="L84" t="inlineStr"/>
    </row>
    <row r="85" ht="22" customHeight="1">
      <c r="A85" s="15" t="inlineStr">
        <is>
          <t>케이엔제이</t>
        </is>
      </c>
      <c r="B85" t="inlineStr"/>
      <c r="C85" s="15" t="inlineStr">
        <is>
          <t>272110</t>
        </is>
      </c>
      <c r="D85" s="15" t="inlineStr">
        <is>
          <t>KOSDAQ</t>
        </is>
      </c>
      <c r="E85" s="15" t="inlineStr">
        <is>
          <t>IDM/제조/메모리</t>
        </is>
      </c>
      <c r="F85" s="15" t="n">
        <v>69</v>
      </c>
      <c r="G85" s="15" t="n">
        <v>35.71</v>
      </c>
      <c r="H85" s="15" t="inlineStr">
        <is>
          <t>중립</t>
        </is>
      </c>
      <c r="I85" s="15" t="inlineStr">
        <is>
          <t>0.8941431334693103</t>
        </is>
      </c>
      <c r="J85" t="inlineStr"/>
      <c r="K85" t="inlineStr"/>
      <c r="L85" t="inlineStr"/>
    </row>
    <row r="86" ht="22" customHeight="1">
      <c r="A86" s="15" t="inlineStr">
        <is>
          <t>KPX케미칼</t>
        </is>
      </c>
      <c r="B86" t="inlineStr"/>
      <c r="C86" s="15" t="inlineStr">
        <is>
          <t>025000</t>
        </is>
      </c>
      <c r="D86" s="15" t="inlineStr">
        <is>
          <t>KOSPI</t>
        </is>
      </c>
      <c r="E86" s="15" t="inlineStr">
        <is>
          <t>장비</t>
        </is>
      </c>
      <c r="F86" s="15" t="n">
        <v>68.76000000000001</v>
      </c>
      <c r="G86" s="15" t="n">
        <v>0</v>
      </c>
      <c r="H86" s="15" t="inlineStr">
        <is>
          <t>가치 매력</t>
        </is>
      </c>
      <c r="I86" s="15" t="inlineStr">
        <is>
          <t>0.9091955435785402</t>
        </is>
      </c>
      <c r="J86" t="inlineStr"/>
      <c r="K86" t="inlineStr"/>
      <c r="L86" t="inlineStr"/>
    </row>
    <row r="87" ht="22" customHeight="1">
      <c r="A87" s="15" t="inlineStr">
        <is>
          <t>성도이엔지</t>
        </is>
      </c>
      <c r="B87" t="inlineStr"/>
      <c r="C87" s="15" t="inlineStr">
        <is>
          <t>037350</t>
        </is>
      </c>
      <c r="D87" s="15" t="inlineStr">
        <is>
          <t>KOSDAQ</t>
        </is>
      </c>
      <c r="E87" s="15" t="inlineStr">
        <is>
          <t>장비</t>
        </is>
      </c>
      <c r="F87" s="15" t="n">
        <v>68.75</v>
      </c>
      <c r="G87" s="15" t="n">
        <v>0</v>
      </c>
      <c r="H87" s="15" t="inlineStr">
        <is>
          <t>가치 매력</t>
        </is>
      </c>
      <c r="I87" s="15" t="inlineStr">
        <is>
          <t>0.9250659167833418</t>
        </is>
      </c>
      <c r="J87" t="inlineStr"/>
      <c r="K87" t="inlineStr"/>
      <c r="L87" t="inlineStr"/>
    </row>
    <row r="88" ht="22" customHeight="1">
      <c r="A88" s="15" t="inlineStr">
        <is>
          <t>한양디지텍</t>
        </is>
      </c>
      <c r="B88" t="inlineStr"/>
      <c r="C88" s="15" t="inlineStr">
        <is>
          <t>078350</t>
        </is>
      </c>
      <c r="D88" s="15" t="inlineStr">
        <is>
          <t>KOSDAQ</t>
        </is>
      </c>
      <c r="E88" s="15" t="inlineStr">
        <is>
          <t>IDM/제조/메모리</t>
        </is>
      </c>
      <c r="F88" s="15" t="n">
        <v>68.05</v>
      </c>
      <c r="G88" s="15" t="n">
        <v>7.14</v>
      </c>
      <c r="H88" s="15" t="inlineStr">
        <is>
          <t>가치 매력</t>
        </is>
      </c>
      <c r="I88" s="15" t="inlineStr">
        <is>
          <t>0.8705426081647281</t>
        </is>
      </c>
      <c r="J88" t="inlineStr"/>
      <c r="K88" t="inlineStr"/>
      <c r="L88" t="inlineStr"/>
    </row>
    <row r="89" ht="22" customHeight="1">
      <c r="A89" s="15" t="inlineStr">
        <is>
          <t>유니퀘스트</t>
        </is>
      </c>
      <c r="B89" t="inlineStr"/>
      <c r="C89" s="15" t="inlineStr">
        <is>
          <t>077500</t>
        </is>
      </c>
      <c r="D89" s="15" t="inlineStr">
        <is>
          <t>KOSPI</t>
        </is>
      </c>
      <c r="E89" s="15" t="inlineStr">
        <is>
          <t>장비</t>
        </is>
      </c>
      <c r="F89" s="15" t="n">
        <v>67.84</v>
      </c>
      <c r="G89" s="15" t="n">
        <v>0</v>
      </c>
      <c r="H89" s="15" t="inlineStr">
        <is>
          <t>가치 매력</t>
        </is>
      </c>
      <c r="I89" s="15" t="inlineStr">
        <is>
          <t>0.8881603628406226</t>
        </is>
      </c>
      <c r="J89" t="inlineStr"/>
      <c r="K89" t="inlineStr"/>
      <c r="L89" t="inlineStr"/>
    </row>
    <row r="90" ht="22" customHeight="1">
      <c r="A90" s="15" t="inlineStr">
        <is>
          <t>원익머트리얼즈</t>
        </is>
      </c>
      <c r="B90" t="inlineStr"/>
      <c r="C90" s="15" t="inlineStr">
        <is>
          <t>104830</t>
        </is>
      </c>
      <c r="D90" s="15" t="inlineStr">
        <is>
          <t>KOSDAQ</t>
        </is>
      </c>
      <c r="E90" s="15" t="inlineStr">
        <is>
          <t>소재</t>
        </is>
      </c>
      <c r="F90" s="15" t="n">
        <v>66.81999999999999</v>
      </c>
      <c r="G90" s="15" t="n">
        <v>7.14</v>
      </c>
      <c r="H90" s="15" t="inlineStr">
        <is>
          <t>중립</t>
        </is>
      </c>
      <c r="I90" s="15" t="inlineStr">
        <is>
          <t>0.9160049727267536</t>
        </is>
      </c>
      <c r="J90" t="inlineStr"/>
      <c r="K90" t="inlineStr"/>
      <c r="L90" t="inlineStr"/>
    </row>
    <row r="91" ht="22" customHeight="1">
      <c r="A91" s="15" t="inlineStr">
        <is>
          <t>솔브레인홀딩스</t>
        </is>
      </c>
      <c r="B91" t="inlineStr"/>
      <c r="C91" s="15" t="inlineStr">
        <is>
          <t>036830</t>
        </is>
      </c>
      <c r="D91" s="15" t="inlineStr">
        <is>
          <t>KOSDAQ GLOBAL</t>
        </is>
      </c>
      <c r="E91" s="15" t="inlineStr">
        <is>
          <t>소재</t>
        </is>
      </c>
      <c r="F91" s="15" t="n">
        <v>66.67</v>
      </c>
      <c r="G91" s="15" t="n">
        <v>0</v>
      </c>
      <c r="H91" s="15" t="inlineStr">
        <is>
          <t>가치 매력</t>
        </is>
      </c>
      <c r="I91" s="15" t="inlineStr">
        <is>
          <t>0.5229115612060397</t>
        </is>
      </c>
      <c r="J91" t="inlineStr"/>
      <c r="K91" t="inlineStr"/>
      <c r="L91" t="inlineStr"/>
    </row>
    <row r="92" ht="22" customHeight="1">
      <c r="A92" s="15" t="inlineStr">
        <is>
          <t>DB하이텍</t>
        </is>
      </c>
      <c r="B92" t="inlineStr"/>
      <c r="C92" s="15" t="inlineStr">
        <is>
          <t>000990</t>
        </is>
      </c>
      <c r="D92" s="15" t="inlineStr">
        <is>
          <t>KOSPI</t>
        </is>
      </c>
      <c r="E92" s="15" t="inlineStr">
        <is>
          <t>IDM/제조/메모리</t>
        </is>
      </c>
      <c r="F92" s="15" t="n">
        <v>66.53</v>
      </c>
      <c r="G92" s="15" t="n">
        <v>0</v>
      </c>
      <c r="H92" s="15" t="inlineStr">
        <is>
          <t>가치 매력</t>
        </is>
      </c>
      <c r="I92" s="15" t="inlineStr">
        <is>
          <t>0.9104444876024207</t>
        </is>
      </c>
      <c r="J92" t="inlineStr"/>
      <c r="K92" t="inlineStr"/>
      <c r="L92" t="inlineStr"/>
    </row>
    <row r="93" ht="22" customHeight="1">
      <c r="A93" s="15" t="inlineStr">
        <is>
          <t>자화전자</t>
        </is>
      </c>
      <c r="B93" t="inlineStr"/>
      <c r="C93" s="15" t="inlineStr">
        <is>
          <t>033240</t>
        </is>
      </c>
      <c r="D93" s="15" t="inlineStr">
        <is>
          <t>KOSPI</t>
        </is>
      </c>
      <c r="E93" s="15" t="inlineStr">
        <is>
          <t>부품/기판</t>
        </is>
      </c>
      <c r="F93" s="15" t="n">
        <v>66.48</v>
      </c>
      <c r="G93" s="15" t="n">
        <v>7.14</v>
      </c>
      <c r="H93" s="15" t="inlineStr">
        <is>
          <t>중립</t>
        </is>
      </c>
      <c r="I93" s="15" t="inlineStr">
        <is>
          <t>0.9380223994723259</t>
        </is>
      </c>
      <c r="J93" t="inlineStr"/>
      <c r="K93" t="inlineStr"/>
      <c r="L93" t="inlineStr"/>
    </row>
    <row r="94" ht="22" customHeight="1">
      <c r="A94" s="15" t="inlineStr">
        <is>
          <t>한솔아이원스</t>
        </is>
      </c>
      <c r="B94" t="inlineStr"/>
      <c r="C94" s="15" t="inlineStr">
        <is>
          <t>114810</t>
        </is>
      </c>
      <c r="D94" s="15" t="inlineStr">
        <is>
          <t>KOSDAQ</t>
        </is>
      </c>
      <c r="E94" s="15" t="inlineStr">
        <is>
          <t>장비</t>
        </is>
      </c>
      <c r="F94" s="15" t="n">
        <v>66.48</v>
      </c>
      <c r="G94" s="15" t="n">
        <v>14.29</v>
      </c>
      <c r="H94" s="15" t="inlineStr">
        <is>
          <t>가치 매력</t>
        </is>
      </c>
      <c r="I94" s="15" t="inlineStr">
        <is>
          <t>0.9031428820161691</t>
        </is>
      </c>
      <c r="J94" t="inlineStr"/>
      <c r="K94" t="inlineStr"/>
      <c r="L94" t="inlineStr"/>
    </row>
    <row r="95" ht="22" customHeight="1">
      <c r="A95" s="15" t="inlineStr">
        <is>
          <t>샘씨엔에스</t>
        </is>
      </c>
      <c r="B95" t="inlineStr"/>
      <c r="C95" s="15" t="inlineStr">
        <is>
          <t>252990</t>
        </is>
      </c>
      <c r="D95" s="15" t="inlineStr">
        <is>
          <t>KOSDAQ</t>
        </is>
      </c>
      <c r="E95" s="15" t="inlineStr">
        <is>
          <t>후공정/패키징/테스트</t>
        </is>
      </c>
      <c r="F95" s="15" t="n">
        <v>64.92</v>
      </c>
      <c r="G95" s="15" t="n">
        <v>14.29</v>
      </c>
      <c r="H95" s="15" t="inlineStr">
        <is>
          <t>가치 매력</t>
        </is>
      </c>
      <c r="I95" s="15" t="inlineStr">
        <is>
          <t>0.5521991152548656</t>
        </is>
      </c>
      <c r="J95" t="inlineStr"/>
      <c r="K95" t="inlineStr"/>
      <c r="L95" t="inlineStr"/>
    </row>
    <row r="96" ht="22" customHeight="1">
      <c r="A96" s="15" t="inlineStr">
        <is>
          <t>GST</t>
        </is>
      </c>
      <c r="B96" t="inlineStr"/>
      <c r="C96" s="15" t="inlineStr">
        <is>
          <t>083450</t>
        </is>
      </c>
      <c r="D96" s="15" t="inlineStr">
        <is>
          <t>KOSDAQ</t>
        </is>
      </c>
      <c r="E96" s="15" t="inlineStr">
        <is>
          <t>장비</t>
        </is>
      </c>
      <c r="F96" s="15" t="n">
        <v>64.75</v>
      </c>
      <c r="G96" s="15" t="n">
        <v>0</v>
      </c>
      <c r="H96" s="15" t="inlineStr">
        <is>
          <t>가치 매력</t>
        </is>
      </c>
      <c r="I96" s="15" t="inlineStr">
        <is>
          <t>0.900491542853433</t>
        </is>
      </c>
      <c r="J96" t="inlineStr"/>
      <c r="K96" t="inlineStr"/>
      <c r="L96" t="inlineStr"/>
    </row>
    <row r="97" ht="22" customHeight="1">
      <c r="A97" s="15" t="inlineStr">
        <is>
          <t>하나마이크론</t>
        </is>
      </c>
      <c r="B97" t="inlineStr"/>
      <c r="C97" s="15" t="inlineStr">
        <is>
          <t>067310</t>
        </is>
      </c>
      <c r="D97" s="15" t="inlineStr">
        <is>
          <t>KOSDAQ</t>
        </is>
      </c>
      <c r="E97" s="15" t="inlineStr">
        <is>
          <t>후공정/패키징/테스트</t>
        </is>
      </c>
      <c r="F97" s="15" t="n">
        <v>64.06</v>
      </c>
      <c r="G97" s="15" t="n">
        <v>28.57</v>
      </c>
      <c r="H97" s="15" t="inlineStr">
        <is>
          <t>가치 매력</t>
        </is>
      </c>
      <c r="I97" s="15" t="inlineStr">
        <is>
          <t>0.8727001075083287</t>
        </is>
      </c>
      <c r="J97" t="inlineStr"/>
      <c r="K97" t="inlineStr"/>
      <c r="L97" t="inlineStr"/>
    </row>
    <row r="98" ht="22" customHeight="1">
      <c r="A98" s="15" t="inlineStr">
        <is>
          <t>티이엠씨씨엔에스</t>
        </is>
      </c>
      <c r="B98" t="inlineStr"/>
      <c r="C98" s="15" t="inlineStr">
        <is>
          <t>241790</t>
        </is>
      </c>
      <c r="D98" s="15" t="inlineStr">
        <is>
          <t>KOSDAQ</t>
        </is>
      </c>
      <c r="E98" s="15" t="inlineStr">
        <is>
          <t>장비</t>
        </is>
      </c>
      <c r="F98" s="15" t="n">
        <v>63.93</v>
      </c>
      <c r="G98" s="15" t="n">
        <v>7.14</v>
      </c>
      <c r="H98" s="15" t="inlineStr">
        <is>
          <t>가치 매력</t>
        </is>
      </c>
      <c r="I98" s="15" t="inlineStr">
        <is>
          <t>0.8915695356337118</t>
        </is>
      </c>
      <c r="J98" t="inlineStr"/>
      <c r="K98" t="inlineStr"/>
      <c r="L98" t="inlineStr"/>
    </row>
    <row r="99" ht="22" customHeight="1">
      <c r="A99" s="15" t="inlineStr">
        <is>
          <t>네패스</t>
        </is>
      </c>
      <c r="B99" s="15" t="inlineStr">
        <is>
          <t>nepes</t>
        </is>
      </c>
      <c r="C99" s="15" t="inlineStr">
        <is>
          <t>033640</t>
        </is>
      </c>
      <c r="D99" s="15" t="inlineStr">
        <is>
          <t>KOSDAQ</t>
        </is>
      </c>
      <c r="E99" s="15" t="inlineStr">
        <is>
          <t>후공정/패키징/테스트</t>
        </is>
      </c>
      <c r="F99" s="15" t="n">
        <v>63.85</v>
      </c>
      <c r="G99" s="15" t="n">
        <v>28.57</v>
      </c>
      <c r="H99" s="15" t="inlineStr">
        <is>
          <t>가치 매력</t>
        </is>
      </c>
      <c r="I99" s="15" t="inlineStr">
        <is>
          <t>0.8763685947958789</t>
        </is>
      </c>
      <c r="J99" s="15" t="inlineStr">
        <is>
          <t>예</t>
        </is>
      </c>
      <c r="K99" t="inlineStr"/>
      <c r="L99" t="inlineStr"/>
    </row>
    <row r="100" ht="22" customHeight="1">
      <c r="A100" s="15" t="inlineStr">
        <is>
          <t>KX하이텍</t>
        </is>
      </c>
      <c r="B100" t="inlineStr"/>
      <c r="C100" s="15" t="inlineStr">
        <is>
          <t>052900</t>
        </is>
      </c>
      <c r="D100" s="15" t="inlineStr">
        <is>
          <t>KOSDAQ</t>
        </is>
      </c>
      <c r="E100" s="15" t="inlineStr">
        <is>
          <t>후공정/패키징/테스트</t>
        </is>
      </c>
      <c r="F100" s="15" t="n">
        <v>63.61</v>
      </c>
      <c r="G100" s="15" t="n">
        <v>7.14</v>
      </c>
      <c r="H100" s="15" t="inlineStr">
        <is>
          <t>가치 매력</t>
        </is>
      </c>
      <c r="I100" s="15" t="inlineStr">
        <is>
          <t>0.7896879678479897</t>
        </is>
      </c>
      <c r="J100" t="inlineStr"/>
      <c r="K100" t="inlineStr"/>
      <c r="L100" t="inlineStr"/>
    </row>
    <row r="101" ht="22" customHeight="1">
      <c r="A101" s="15" t="inlineStr">
        <is>
          <t>코미코</t>
        </is>
      </c>
      <c r="B101" t="inlineStr"/>
      <c r="C101" s="15" t="inlineStr">
        <is>
          <t>183300</t>
        </is>
      </c>
      <c r="D101" s="15" t="inlineStr">
        <is>
          <t>KOSDAQ GLOBAL</t>
        </is>
      </c>
      <c r="E101" s="15" t="inlineStr">
        <is>
          <t>부품/기판</t>
        </is>
      </c>
      <c r="F101" s="15" t="n">
        <v>63.43</v>
      </c>
      <c r="G101" s="15" t="n">
        <v>35.71</v>
      </c>
      <c r="H101" s="15" t="inlineStr">
        <is>
          <t>중립</t>
        </is>
      </c>
      <c r="I101" s="15" t="inlineStr">
        <is>
          <t>0.8305894153326006</t>
        </is>
      </c>
      <c r="J101" t="inlineStr"/>
      <c r="K101" t="inlineStr"/>
      <c r="L101" t="inlineStr"/>
    </row>
    <row r="102" ht="22" customHeight="1">
      <c r="A102" s="15" t="inlineStr">
        <is>
          <t>디아이티</t>
        </is>
      </c>
      <c r="B102" t="inlineStr"/>
      <c r="C102" s="15" t="inlineStr">
        <is>
          <t>110990</t>
        </is>
      </c>
      <c r="D102" s="15" t="inlineStr">
        <is>
          <t>KOSDAQ</t>
        </is>
      </c>
      <c r="E102" s="15" t="inlineStr">
        <is>
          <t>장비</t>
        </is>
      </c>
      <c r="F102" s="15" t="n">
        <v>63.41</v>
      </c>
      <c r="G102" s="15" t="n">
        <v>0</v>
      </c>
      <c r="H102" s="15" t="inlineStr">
        <is>
          <t>가치 매력</t>
        </is>
      </c>
      <c r="I102" s="15" t="inlineStr">
        <is>
          <t>0.8847780199048246</t>
        </is>
      </c>
      <c r="J102" t="inlineStr"/>
      <c r="K102" t="inlineStr"/>
      <c r="L102" t="inlineStr"/>
    </row>
    <row r="103" ht="22" customHeight="1">
      <c r="A103" s="15" t="inlineStr">
        <is>
          <t>한솔케미칼</t>
        </is>
      </c>
      <c r="B103" s="15" t="inlineStr">
        <is>
          <t>hansol</t>
        </is>
      </c>
      <c r="C103" s="15" t="inlineStr">
        <is>
          <t>014680</t>
        </is>
      </c>
      <c r="D103" s="15" t="inlineStr">
        <is>
          <t>KOSPI</t>
        </is>
      </c>
      <c r="E103" s="15" t="inlineStr">
        <is>
          <t>소재</t>
        </is>
      </c>
      <c r="F103" s="15" t="n">
        <v>63.31</v>
      </c>
      <c r="G103" s="15" t="n">
        <v>0</v>
      </c>
      <c r="H103" s="15" t="inlineStr">
        <is>
          <t>가치 매력</t>
        </is>
      </c>
      <c r="I103" s="15" t="inlineStr">
        <is>
          <t>0.8364696976606926</t>
        </is>
      </c>
      <c r="J103" s="15" t="inlineStr">
        <is>
          <t>예</t>
        </is>
      </c>
      <c r="K103" t="inlineStr"/>
      <c r="L103" t="inlineStr"/>
    </row>
    <row r="104" ht="22" customHeight="1">
      <c r="A104" s="15" t="inlineStr">
        <is>
          <t>케이씨텍</t>
        </is>
      </c>
      <c r="B104" t="inlineStr"/>
      <c r="C104" s="15" t="inlineStr">
        <is>
          <t>281820</t>
        </is>
      </c>
      <c r="D104" s="15" t="inlineStr">
        <is>
          <t>KOSPI</t>
        </is>
      </c>
      <c r="E104" s="15" t="inlineStr">
        <is>
          <t>장비</t>
        </is>
      </c>
      <c r="F104" s="15" t="n">
        <v>63.15</v>
      </c>
      <c r="G104" s="15" t="n">
        <v>0</v>
      </c>
      <c r="H104" s="15" t="inlineStr">
        <is>
          <t>가치 매력</t>
        </is>
      </c>
      <c r="I104" s="15" t="inlineStr">
        <is>
          <t>0.8895261430914092</t>
        </is>
      </c>
      <c r="J104" t="inlineStr"/>
      <c r="K104" t="inlineStr"/>
      <c r="L104" t="inlineStr"/>
    </row>
    <row r="105" ht="22" customHeight="1">
      <c r="A105" s="15" t="inlineStr">
        <is>
          <t>이녹스첨단소재</t>
        </is>
      </c>
      <c r="B105" t="inlineStr"/>
      <c r="C105" s="15" t="inlineStr">
        <is>
          <t>272290</t>
        </is>
      </c>
      <c r="D105" s="15" t="inlineStr">
        <is>
          <t>KOSDAQ GLOBAL</t>
        </is>
      </c>
      <c r="E105" s="15" t="inlineStr">
        <is>
          <t>소재</t>
        </is>
      </c>
      <c r="F105" s="15" t="n">
        <v>63.13</v>
      </c>
      <c r="G105" s="15" t="n">
        <v>7.14</v>
      </c>
      <c r="H105" s="15" t="inlineStr">
        <is>
          <t>중립</t>
        </is>
      </c>
      <c r="I105" s="15" t="inlineStr">
        <is>
          <t>0.900184891106931</t>
        </is>
      </c>
      <c r="J105" t="inlineStr"/>
      <c r="K105" t="inlineStr"/>
      <c r="L105" t="inlineStr"/>
    </row>
    <row r="106" ht="22" customHeight="1">
      <c r="A106" s="15" t="inlineStr">
        <is>
          <t>로체시스템즈</t>
        </is>
      </c>
      <c r="B106" t="inlineStr"/>
      <c r="C106" s="15" t="inlineStr">
        <is>
          <t>071280</t>
        </is>
      </c>
      <c r="D106" s="15" t="inlineStr">
        <is>
          <t>KOSDAQ</t>
        </is>
      </c>
      <c r="E106" s="15" t="inlineStr">
        <is>
          <t>장비</t>
        </is>
      </c>
      <c r="F106" s="15" t="n">
        <v>62.59</v>
      </c>
      <c r="G106" s="15" t="n">
        <v>7.14</v>
      </c>
      <c r="H106" s="15" t="inlineStr">
        <is>
          <t>가치 매력</t>
        </is>
      </c>
      <c r="I106" s="15" t="inlineStr">
        <is>
          <t>0.9642438845844894</t>
        </is>
      </c>
      <c r="J106" t="inlineStr"/>
      <c r="K106" t="inlineStr"/>
      <c r="L106" t="inlineStr"/>
    </row>
    <row r="107" ht="22" customHeight="1">
      <c r="A107" s="15" t="inlineStr">
        <is>
          <t>에이치엠넥스</t>
        </is>
      </c>
      <c r="B107" t="inlineStr"/>
      <c r="C107" s="15" t="inlineStr">
        <is>
          <t>036170</t>
        </is>
      </c>
      <c r="D107" s="15" t="inlineStr">
        <is>
          <t>KOSDAQ</t>
        </is>
      </c>
      <c r="E107" s="15" t="inlineStr">
        <is>
          <t>후공정/패키징/테스트</t>
        </is>
      </c>
      <c r="F107" s="15" t="n">
        <v>62.1</v>
      </c>
      <c r="G107" s="15" t="n">
        <v>35.71</v>
      </c>
      <c r="H107" s="15" t="inlineStr">
        <is>
          <t>중립</t>
        </is>
      </c>
      <c r="I107" s="15" t="inlineStr">
        <is>
          <t>0.7433115072206052</t>
        </is>
      </c>
      <c r="J107" t="inlineStr"/>
      <c r="K107" t="inlineStr"/>
      <c r="L107" t="inlineStr"/>
    </row>
    <row r="108" ht="22" customHeight="1">
      <c r="A108" s="15" t="inlineStr">
        <is>
          <t>리노공업</t>
        </is>
      </c>
      <c r="B108" t="inlineStr"/>
      <c r="C108" s="15" t="inlineStr">
        <is>
          <t>058470</t>
        </is>
      </c>
      <c r="D108" s="15" t="inlineStr">
        <is>
          <t>KOSDAQ GLOBAL</t>
        </is>
      </c>
      <c r="E108" s="15" t="inlineStr">
        <is>
          <t>후공정/패키징/테스트</t>
        </is>
      </c>
      <c r="F108" s="15" t="n">
        <v>61.91</v>
      </c>
      <c r="G108" s="15" t="n">
        <v>0</v>
      </c>
      <c r="H108" s="15" t="inlineStr">
        <is>
          <t>가치 매력</t>
        </is>
      </c>
      <c r="I108" s="15" t="inlineStr">
        <is>
          <t>0.6825301704423244</t>
        </is>
      </c>
      <c r="J108" t="inlineStr"/>
      <c r="K108" t="inlineStr"/>
      <c r="L108" t="inlineStr"/>
    </row>
    <row r="109" ht="22" customHeight="1">
      <c r="A109" s="15" t="inlineStr">
        <is>
          <t>아이씨디</t>
        </is>
      </c>
      <c r="B109" t="inlineStr"/>
      <c r="C109" s="15" t="inlineStr">
        <is>
          <t>040910</t>
        </is>
      </c>
      <c r="D109" s="15" t="inlineStr">
        <is>
          <t>KOSDAQ</t>
        </is>
      </c>
      <c r="E109" s="15" t="inlineStr">
        <is>
          <t>장비</t>
        </is>
      </c>
      <c r="F109" s="15" t="n">
        <v>61.59</v>
      </c>
      <c r="G109" s="15" t="n">
        <v>7.14</v>
      </c>
      <c r="H109" s="15" t="inlineStr">
        <is>
          <t>중립</t>
        </is>
      </c>
      <c r="I109" s="15" t="inlineStr">
        <is>
          <t>0.692546582663732</t>
        </is>
      </c>
      <c r="J109" t="inlineStr"/>
      <c r="K109" t="inlineStr"/>
      <c r="L109" t="inlineStr"/>
    </row>
    <row r="110" ht="22" customHeight="1">
      <c r="A110" s="15" t="inlineStr">
        <is>
          <t>에스에프에이</t>
        </is>
      </c>
      <c r="B110" t="inlineStr"/>
      <c r="C110" s="15" t="inlineStr">
        <is>
          <t>056190</t>
        </is>
      </c>
      <c r="D110" s="15" t="inlineStr">
        <is>
          <t>KOSDAQ GLOBAL</t>
        </is>
      </c>
      <c r="E110" s="15" t="inlineStr">
        <is>
          <t>장비</t>
        </is>
      </c>
      <c r="F110" s="15" t="n">
        <v>60.99</v>
      </c>
      <c r="G110" s="15" t="n">
        <v>0</v>
      </c>
      <c r="H110" s="15" t="inlineStr">
        <is>
          <t>가치 매력</t>
        </is>
      </c>
      <c r="I110" s="15" t="inlineStr">
        <is>
          <t>0.8690882589557657</t>
        </is>
      </c>
      <c r="J110" t="inlineStr"/>
      <c r="K110" t="inlineStr"/>
      <c r="L110" t="inlineStr"/>
    </row>
    <row r="111" ht="22" customHeight="1">
      <c r="A111" s="15" t="inlineStr">
        <is>
          <t>오디텍</t>
        </is>
      </c>
      <c r="B111" t="inlineStr"/>
      <c r="C111" s="15" t="inlineStr">
        <is>
          <t>080520</t>
        </is>
      </c>
      <c r="D111" s="15" t="inlineStr">
        <is>
          <t>KOSDAQ</t>
        </is>
      </c>
      <c r="E111" s="15" t="inlineStr">
        <is>
          <t>IDM/제조/메모리</t>
        </is>
      </c>
      <c r="F111" s="15" t="n">
        <v>60.83</v>
      </c>
      <c r="G111" s="15" t="n">
        <v>42.86</v>
      </c>
      <c r="H111" s="15" t="inlineStr">
        <is>
          <t>중립</t>
        </is>
      </c>
      <c r="I111" s="15" t="inlineStr">
        <is>
          <t>0.8328575689014174</t>
        </is>
      </c>
      <c r="J111" t="inlineStr"/>
      <c r="K111" t="inlineStr"/>
      <c r="L111" t="inlineStr"/>
    </row>
    <row r="112" ht="22" customHeight="1">
      <c r="A112" s="15" t="inlineStr">
        <is>
          <t>오킨스전자</t>
        </is>
      </c>
      <c r="B112" t="inlineStr"/>
      <c r="C112" s="15" t="inlineStr">
        <is>
          <t>080580</t>
        </is>
      </c>
      <c r="D112" s="15" t="inlineStr">
        <is>
          <t>KOSDAQ</t>
        </is>
      </c>
      <c r="E112" s="15" t="inlineStr">
        <is>
          <t>후공정/패키징/테스트</t>
        </is>
      </c>
      <c r="F112" s="15" t="n">
        <v>60.62</v>
      </c>
      <c r="G112" s="15" t="n">
        <v>21.43</v>
      </c>
      <c r="H112" s="15" t="inlineStr">
        <is>
          <t>가치 매력</t>
        </is>
      </c>
      <c r="I112" s="15" t="inlineStr">
        <is>
          <t>0.8105235691914331</t>
        </is>
      </c>
      <c r="J112" t="inlineStr"/>
      <c r="K112" t="inlineStr"/>
      <c r="L112" t="inlineStr"/>
    </row>
    <row r="113" ht="22" customHeight="1">
      <c r="A113" s="15" t="inlineStr">
        <is>
          <t>알에프세미</t>
        </is>
      </c>
      <c r="B113" t="inlineStr"/>
      <c r="C113" s="15" t="inlineStr">
        <is>
          <t>096610</t>
        </is>
      </c>
      <c r="D113" s="15" t="inlineStr">
        <is>
          <t>KOSDAQ</t>
        </is>
      </c>
      <c r="E113" s="15" t="inlineStr">
        <is>
          <t>팹리스/설계</t>
        </is>
      </c>
      <c r="F113" s="15" t="n">
        <v>60.3</v>
      </c>
      <c r="G113" s="15" t="n">
        <v>7.14</v>
      </c>
      <c r="H113" s="15" t="inlineStr">
        <is>
          <t>가치 매력</t>
        </is>
      </c>
      <c r="I113" s="15" t="inlineStr">
        <is>
          <t>0.8083150256499313</t>
        </is>
      </c>
      <c r="J113" t="inlineStr"/>
      <c r="K113" t="inlineStr"/>
      <c r="L113" t="inlineStr"/>
    </row>
    <row r="114" ht="22" customHeight="1">
      <c r="A114" s="15" t="inlineStr">
        <is>
          <t>그린리소스</t>
        </is>
      </c>
      <c r="B114" t="inlineStr"/>
      <c r="C114" s="15" t="inlineStr">
        <is>
          <t>402490</t>
        </is>
      </c>
      <c r="D114" s="15" t="inlineStr">
        <is>
          <t>KOSDAQ</t>
        </is>
      </c>
      <c r="E114" s="15" t="inlineStr">
        <is>
          <t>IDM/제조/메모리</t>
        </is>
      </c>
      <c r="F114" s="15" t="n">
        <v>60.22</v>
      </c>
      <c r="G114" s="15" t="n">
        <v>42.86</v>
      </c>
      <c r="H114" s="15" t="inlineStr">
        <is>
          <t>중립</t>
        </is>
      </c>
      <c r="I114" s="15" t="inlineStr">
        <is>
          <t>0.7869051998623771</t>
        </is>
      </c>
      <c r="J114" t="inlineStr"/>
      <c r="K114" t="inlineStr"/>
      <c r="L114" t="inlineStr"/>
    </row>
    <row r="115" ht="22" customHeight="1">
      <c r="A115" s="15" t="inlineStr">
        <is>
          <t>삼양엔씨켐</t>
        </is>
      </c>
      <c r="B115" t="inlineStr"/>
      <c r="C115" s="15" t="inlineStr">
        <is>
          <t>482630</t>
        </is>
      </c>
      <c r="D115" s="15" t="inlineStr">
        <is>
          <t>KOSDAQ</t>
        </is>
      </c>
      <c r="E115" s="15" t="inlineStr">
        <is>
          <t>장비</t>
        </is>
      </c>
      <c r="F115" s="15" t="n">
        <v>59.93</v>
      </c>
      <c r="G115" s="15" t="n">
        <v>7.14</v>
      </c>
      <c r="H115" s="15" t="inlineStr">
        <is>
          <t>가치 매력</t>
        </is>
      </c>
      <c r="I115" s="15" t="inlineStr">
        <is>
          <t>0.6408467710997098</t>
        </is>
      </c>
      <c r="J115" t="inlineStr"/>
      <c r="K115" t="inlineStr"/>
      <c r="L115" t="inlineStr"/>
    </row>
    <row r="116" ht="22" customHeight="1">
      <c r="A116" s="15" t="inlineStr">
        <is>
          <t>루멘스</t>
        </is>
      </c>
      <c r="B116" t="inlineStr"/>
      <c r="C116" s="15" t="inlineStr">
        <is>
          <t>038060</t>
        </is>
      </c>
      <c r="D116" s="15" t="inlineStr">
        <is>
          <t>KOSDAQ</t>
        </is>
      </c>
      <c r="E116" s="15" t="inlineStr">
        <is>
          <t>IDM/제조/메모리</t>
        </is>
      </c>
      <c r="F116" s="15" t="n">
        <v>59.7</v>
      </c>
      <c r="G116" s="15" t="n">
        <v>35.71</v>
      </c>
      <c r="H116" s="15" t="inlineStr">
        <is>
          <t>중립</t>
        </is>
      </c>
      <c r="I116" s="15" t="inlineStr">
        <is>
          <t>0.8437683700786414</t>
        </is>
      </c>
      <c r="J116" t="inlineStr"/>
      <c r="K116" t="inlineStr"/>
      <c r="L116" t="inlineStr"/>
    </row>
    <row r="117" ht="22" customHeight="1">
      <c r="A117" s="15" t="inlineStr">
        <is>
          <t>싸이맥스</t>
        </is>
      </c>
      <c r="B117" t="inlineStr"/>
      <c r="C117" s="15" t="inlineStr">
        <is>
          <t>160980</t>
        </is>
      </c>
      <c r="D117" s="15" t="inlineStr">
        <is>
          <t>KOSDAQ</t>
        </is>
      </c>
      <c r="E117" s="15" t="inlineStr">
        <is>
          <t>장비</t>
        </is>
      </c>
      <c r="F117" s="15" t="n">
        <v>59.61</v>
      </c>
      <c r="G117" s="15" t="n">
        <v>0</v>
      </c>
      <c r="H117" s="15" t="inlineStr">
        <is>
          <t>가치 매력</t>
        </is>
      </c>
      <c r="I117" s="15" t="inlineStr">
        <is>
          <t>0.8128181122496774</t>
        </is>
      </c>
      <c r="J117" t="inlineStr"/>
      <c r="K117" t="inlineStr"/>
      <c r="L117" t="inlineStr"/>
    </row>
    <row r="118" ht="22" customHeight="1">
      <c r="A118" s="15" t="inlineStr">
        <is>
          <t>제주반도체</t>
        </is>
      </c>
      <c r="B118" t="inlineStr"/>
      <c r="C118" s="15" t="inlineStr">
        <is>
          <t>080220</t>
        </is>
      </c>
      <c r="D118" s="15" t="inlineStr">
        <is>
          <t>KOSDAQ</t>
        </is>
      </c>
      <c r="E118" s="15" t="inlineStr">
        <is>
          <t>팹리스/설계</t>
        </is>
      </c>
      <c r="F118" s="15" t="n">
        <v>59.17</v>
      </c>
      <c r="G118" s="15" t="n">
        <v>0</v>
      </c>
      <c r="H118" s="15" t="inlineStr">
        <is>
          <t>가치 매력</t>
        </is>
      </c>
      <c r="I118" s="15" t="inlineStr">
        <is>
          <t>0.6955424557105586</t>
        </is>
      </c>
      <c r="J118" t="inlineStr"/>
      <c r="K118" t="inlineStr"/>
      <c r="L118" t="inlineStr"/>
    </row>
    <row r="119" ht="22" customHeight="1">
      <c r="A119" s="15" t="inlineStr">
        <is>
          <t>티에스이</t>
        </is>
      </c>
      <c r="B119" t="inlineStr"/>
      <c r="C119" s="15" t="inlineStr">
        <is>
          <t>131290</t>
        </is>
      </c>
      <c r="D119" s="15" t="inlineStr">
        <is>
          <t>KOSDAQ</t>
        </is>
      </c>
      <c r="E119" s="15" t="inlineStr">
        <is>
          <t>팹리스/설계</t>
        </is>
      </c>
      <c r="F119" s="15" t="n">
        <v>58.81</v>
      </c>
      <c r="G119" s="15" t="n">
        <v>0</v>
      </c>
      <c r="H119" s="15" t="inlineStr">
        <is>
          <t>가치 매력</t>
        </is>
      </c>
      <c r="I119" s="15" t="inlineStr">
        <is>
          <t>0.7390287615028212</t>
        </is>
      </c>
      <c r="J119" t="inlineStr"/>
      <c r="K119" t="inlineStr"/>
      <c r="L119" t="inlineStr"/>
    </row>
    <row r="120" ht="22" customHeight="1">
      <c r="A120" s="15" t="inlineStr">
        <is>
          <t>디아이</t>
        </is>
      </c>
      <c r="B120" t="inlineStr"/>
      <c r="C120" s="15" t="inlineStr">
        <is>
          <t>003160</t>
        </is>
      </c>
      <c r="D120" s="15" t="inlineStr">
        <is>
          <t>KOSPI</t>
        </is>
      </c>
      <c r="E120" s="15" t="inlineStr">
        <is>
          <t>후공정/패키징/테스트</t>
        </is>
      </c>
      <c r="F120" s="15" t="n">
        <v>58.76</v>
      </c>
      <c r="G120" s="15" t="n">
        <v>7.14</v>
      </c>
      <c r="H120" s="15" t="inlineStr">
        <is>
          <t>가치 매력</t>
        </is>
      </c>
      <c r="I120" s="15" t="inlineStr">
        <is>
          <t>0.6560906263736197</t>
        </is>
      </c>
      <c r="J120" t="inlineStr"/>
      <c r="K120" t="inlineStr"/>
      <c r="L120" t="inlineStr"/>
    </row>
    <row r="121" ht="22" customHeight="1">
      <c r="A121" s="15" t="inlineStr">
        <is>
          <t>피델릭스</t>
        </is>
      </c>
      <c r="B121" t="inlineStr"/>
      <c r="C121" s="15" t="inlineStr">
        <is>
          <t>032580</t>
        </is>
      </c>
      <c r="D121" s="15" t="inlineStr">
        <is>
          <t>KOSDAQ</t>
        </is>
      </c>
      <c r="E121" s="15" t="inlineStr">
        <is>
          <t>IDM/제조/메모리</t>
        </is>
      </c>
      <c r="F121" s="15" t="n">
        <v>58.73</v>
      </c>
      <c r="G121" s="15" t="n">
        <v>50</v>
      </c>
      <c r="H121" s="15" t="inlineStr">
        <is>
          <t>중립</t>
        </is>
      </c>
      <c r="I121" s="15" t="inlineStr">
        <is>
          <t>0.8604826019551013</t>
        </is>
      </c>
      <c r="J121" t="inlineStr"/>
      <c r="K121" t="inlineStr"/>
      <c r="L121" t="inlineStr"/>
    </row>
    <row r="122" ht="22" customHeight="1">
      <c r="A122" s="15" t="inlineStr">
        <is>
          <t>엘티씨</t>
        </is>
      </c>
      <c r="B122" s="15" t="inlineStr">
        <is>
          <t>ltc</t>
        </is>
      </c>
      <c r="C122" s="15" t="inlineStr">
        <is>
          <t>170920</t>
        </is>
      </c>
      <c r="D122" s="15" t="inlineStr">
        <is>
          <t>KOSDAQ</t>
        </is>
      </c>
      <c r="E122" s="15" t="inlineStr">
        <is>
          <t>소재</t>
        </is>
      </c>
      <c r="F122" s="15" t="n">
        <v>58.38</v>
      </c>
      <c r="G122" s="15" t="n">
        <v>0</v>
      </c>
      <c r="H122" s="15" t="inlineStr">
        <is>
          <t>중립</t>
        </is>
      </c>
      <c r="I122" s="15" t="inlineStr">
        <is>
          <t>0.6353016273848794</t>
        </is>
      </c>
      <c r="J122" s="15" t="inlineStr">
        <is>
          <t>예</t>
        </is>
      </c>
      <c r="K122" t="inlineStr"/>
      <c r="L122" t="inlineStr"/>
    </row>
    <row r="123" ht="22" customHeight="1">
      <c r="A123" s="15" t="inlineStr">
        <is>
          <t>엔시트론</t>
        </is>
      </c>
      <c r="B123" t="inlineStr"/>
      <c r="C123" s="15" t="inlineStr">
        <is>
          <t>101400</t>
        </is>
      </c>
      <c r="D123" s="15" t="inlineStr">
        <is>
          <t>KOSDAQ</t>
        </is>
      </c>
      <c r="E123" s="15" t="inlineStr">
        <is>
          <t>IDM/제조/메모리</t>
        </is>
      </c>
      <c r="F123" s="15" t="n">
        <v>57.73</v>
      </c>
      <c r="G123" s="15" t="n">
        <v>35.71</v>
      </c>
      <c r="H123" s="15" t="inlineStr">
        <is>
          <t>중립</t>
        </is>
      </c>
      <c r="I123" s="15" t="inlineStr">
        <is>
          <t>0.8173941540342667</t>
        </is>
      </c>
      <c r="J123" t="inlineStr"/>
      <c r="K123" t="inlineStr"/>
      <c r="L123" t="inlineStr"/>
    </row>
    <row r="124" ht="22" customHeight="1">
      <c r="A124" s="15" t="inlineStr">
        <is>
          <t>아나패스</t>
        </is>
      </c>
      <c r="B124" t="inlineStr"/>
      <c r="C124" s="15" t="inlineStr">
        <is>
          <t>123860</t>
        </is>
      </c>
      <c r="D124" s="15" t="inlineStr">
        <is>
          <t>KOSDAQ</t>
        </is>
      </c>
      <c r="E124" s="15" t="inlineStr">
        <is>
          <t>팹리스/설계</t>
        </is>
      </c>
      <c r="F124" s="15" t="n">
        <v>57.62</v>
      </c>
      <c r="G124" s="15" t="n">
        <v>0</v>
      </c>
      <c r="H124" s="15" t="inlineStr">
        <is>
          <t>중립</t>
        </is>
      </c>
      <c r="I124" s="15" t="inlineStr">
        <is>
          <t>0.510332377942325</t>
        </is>
      </c>
      <c r="J124" t="inlineStr"/>
      <c r="K124" t="inlineStr"/>
      <c r="L124" t="inlineStr"/>
    </row>
    <row r="125" ht="22" customHeight="1">
      <c r="A125" s="15" t="inlineStr">
        <is>
          <t>비에이치</t>
        </is>
      </c>
      <c r="B125" t="inlineStr"/>
      <c r="C125" s="15" t="inlineStr">
        <is>
          <t>090460</t>
        </is>
      </c>
      <c r="D125" s="15" t="inlineStr">
        <is>
          <t>KOSPI</t>
        </is>
      </c>
      <c r="E125" s="15" t="inlineStr">
        <is>
          <t>부품/기판</t>
        </is>
      </c>
      <c r="F125" s="15" t="n">
        <v>57.52</v>
      </c>
      <c r="G125" s="15" t="n">
        <v>0</v>
      </c>
      <c r="H125" s="15" t="inlineStr">
        <is>
          <t>중립</t>
        </is>
      </c>
      <c r="I125" s="15" t="inlineStr">
        <is>
          <t>0.5078538652826</t>
        </is>
      </c>
      <c r="J125" t="inlineStr"/>
      <c r="K125" t="inlineStr"/>
      <c r="L125" t="inlineStr"/>
    </row>
    <row r="126" ht="22" customHeight="1">
      <c r="A126" s="15" t="inlineStr">
        <is>
          <t>뉴파워프라즈마</t>
        </is>
      </c>
      <c r="B126" t="inlineStr"/>
      <c r="C126" s="15" t="inlineStr">
        <is>
          <t>144960</t>
        </is>
      </c>
      <c r="D126" s="15" t="inlineStr">
        <is>
          <t>KOSDAQ</t>
        </is>
      </c>
      <c r="E126" s="15" t="inlineStr">
        <is>
          <t>장비</t>
        </is>
      </c>
      <c r="F126" s="15" t="n">
        <v>57.49</v>
      </c>
      <c r="G126" s="15" t="n">
        <v>21.43</v>
      </c>
      <c r="H126" s="15" t="inlineStr">
        <is>
          <t>중립</t>
        </is>
      </c>
      <c r="I126" s="15" t="inlineStr">
        <is>
          <t>0.868464354966477</t>
        </is>
      </c>
      <c r="J126" t="inlineStr"/>
      <c r="K126" t="inlineStr"/>
      <c r="L126" t="inlineStr"/>
    </row>
    <row r="127" ht="22" customHeight="1">
      <c r="A127" s="15" t="inlineStr">
        <is>
          <t>이엘씨</t>
        </is>
      </c>
      <c r="B127" t="inlineStr"/>
      <c r="C127" s="15" t="inlineStr">
        <is>
          <t>041520</t>
        </is>
      </c>
      <c r="D127" s="15" t="inlineStr">
        <is>
          <t>KOSDAQ</t>
        </is>
      </c>
      <c r="E127" s="15" t="inlineStr">
        <is>
          <t>장비</t>
        </is>
      </c>
      <c r="F127" s="15" t="n">
        <v>57.22</v>
      </c>
      <c r="G127" s="15" t="n">
        <v>35.71</v>
      </c>
      <c r="H127" s="15" t="inlineStr">
        <is>
          <t>중립</t>
        </is>
      </c>
      <c r="I127" s="15" t="inlineStr">
        <is>
          <t>0.7059172837936919</t>
        </is>
      </c>
      <c r="J127" t="inlineStr"/>
      <c r="K127" t="inlineStr"/>
      <c r="L127" t="inlineStr"/>
    </row>
    <row r="128" ht="22" customHeight="1">
      <c r="A128" s="15" t="inlineStr">
        <is>
          <t>엑시콘</t>
        </is>
      </c>
      <c r="B128" t="inlineStr"/>
      <c r="C128" s="15" t="inlineStr">
        <is>
          <t>092870</t>
        </is>
      </c>
      <c r="D128" s="15" t="inlineStr">
        <is>
          <t>KOSDAQ</t>
        </is>
      </c>
      <c r="E128" s="15" t="inlineStr">
        <is>
          <t>후공정/패키징/테스트</t>
        </is>
      </c>
      <c r="F128" s="15" t="n">
        <v>57.11</v>
      </c>
      <c r="G128" s="15" t="n">
        <v>21.43</v>
      </c>
      <c r="H128" s="15" t="inlineStr">
        <is>
          <t>중립</t>
        </is>
      </c>
      <c r="I128" s="15" t="inlineStr">
        <is>
          <t>0.7870958268046786</t>
        </is>
      </c>
      <c r="J128" t="inlineStr"/>
      <c r="K128" t="inlineStr"/>
      <c r="L128" t="inlineStr"/>
    </row>
    <row r="129" ht="22" customHeight="1">
      <c r="A129" s="15" t="inlineStr">
        <is>
          <t>티이엠씨</t>
        </is>
      </c>
      <c r="B129" t="inlineStr"/>
      <c r="C129" s="15" t="inlineStr">
        <is>
          <t>425040</t>
        </is>
      </c>
      <c r="D129" s="15" t="inlineStr">
        <is>
          <t>KOSDAQ</t>
        </is>
      </c>
      <c r="E129" s="15" t="inlineStr">
        <is>
          <t>소재</t>
        </is>
      </c>
      <c r="F129" s="15" t="n">
        <v>56.67</v>
      </c>
      <c r="G129" s="15" t="n">
        <v>7.14</v>
      </c>
      <c r="H129" s="15" t="inlineStr">
        <is>
          <t>중립</t>
        </is>
      </c>
      <c r="I129" s="15" t="inlineStr">
        <is>
          <t>0.8720430887980049</t>
        </is>
      </c>
      <c r="J129" t="inlineStr"/>
      <c r="K129" t="inlineStr"/>
      <c r="L129" t="inlineStr"/>
    </row>
    <row r="130" ht="22" customHeight="1">
      <c r="A130" s="15" t="inlineStr">
        <is>
          <t>서울바이오시스</t>
        </is>
      </c>
      <c r="B130" t="inlineStr"/>
      <c r="C130" s="15" t="inlineStr">
        <is>
          <t>092190</t>
        </is>
      </c>
      <c r="D130" s="15" t="inlineStr">
        <is>
          <t>KOSDAQ</t>
        </is>
      </c>
      <c r="E130" s="15" t="inlineStr">
        <is>
          <t>IDM/제조/메모리</t>
        </is>
      </c>
      <c r="F130" s="15" t="n">
        <v>56.55</v>
      </c>
      <c r="G130" s="15" t="n">
        <v>42.86</v>
      </c>
      <c r="H130" s="15" t="inlineStr">
        <is>
          <t>중립</t>
        </is>
      </c>
      <c r="I130" s="15" t="inlineStr">
        <is>
          <t>0.7336783523450653</t>
        </is>
      </c>
      <c r="J130" t="inlineStr"/>
      <c r="K130" t="inlineStr"/>
      <c r="L130" t="inlineStr"/>
    </row>
    <row r="131" ht="22" customHeight="1">
      <c r="A131" s="15" t="inlineStr">
        <is>
          <t>에스앤에스텍</t>
        </is>
      </c>
      <c r="B131" t="inlineStr"/>
      <c r="C131" s="15" t="inlineStr">
        <is>
          <t>101490</t>
        </is>
      </c>
      <c r="D131" s="15" t="inlineStr">
        <is>
          <t>KOSDAQ</t>
        </is>
      </c>
      <c r="E131" s="15" t="inlineStr">
        <is>
          <t>소재</t>
        </is>
      </c>
      <c r="F131" s="15" t="n">
        <v>56.54</v>
      </c>
      <c r="G131" s="15" t="n">
        <v>7.14</v>
      </c>
      <c r="H131" s="15" t="inlineStr">
        <is>
          <t>중립</t>
        </is>
      </c>
      <c r="I131" s="15" t="inlineStr">
        <is>
          <t>0.7907123507381016</t>
        </is>
      </c>
      <c r="J131" t="inlineStr"/>
      <c r="K131" t="inlineStr"/>
      <c r="L131" t="inlineStr"/>
    </row>
    <row r="132" ht="22" customHeight="1">
      <c r="A132" s="15" t="inlineStr">
        <is>
          <t>포인트엔지니어링</t>
        </is>
      </c>
      <c r="B132" t="inlineStr"/>
      <c r="C132" s="15" t="inlineStr">
        <is>
          <t>256630</t>
        </is>
      </c>
      <c r="D132" s="15" t="inlineStr">
        <is>
          <t>KOSDAQ</t>
        </is>
      </c>
      <c r="E132" s="15" t="inlineStr">
        <is>
          <t>장비</t>
        </is>
      </c>
      <c r="F132" s="15" t="n">
        <v>56.49</v>
      </c>
      <c r="G132" s="15" t="n">
        <v>14.29</v>
      </c>
      <c r="H132" s="15" t="inlineStr">
        <is>
          <t>중립</t>
        </is>
      </c>
      <c r="I132" s="15" t="inlineStr">
        <is>
          <t>0.735270480034121</t>
        </is>
      </c>
      <c r="J132" t="inlineStr"/>
      <c r="K132" t="inlineStr"/>
      <c r="L132" t="inlineStr"/>
    </row>
    <row r="133" ht="22" customHeight="1">
      <c r="A133" s="15" t="inlineStr">
        <is>
          <t>테스</t>
        </is>
      </c>
      <c r="B133" t="inlineStr"/>
      <c r="C133" s="15" t="inlineStr">
        <is>
          <t>095610</t>
        </is>
      </c>
      <c r="D133" s="15" t="inlineStr">
        <is>
          <t>KOSDAQ</t>
        </is>
      </c>
      <c r="E133" s="15" t="inlineStr">
        <is>
          <t>장비</t>
        </is>
      </c>
      <c r="F133" s="15" t="n">
        <v>56.4</v>
      </c>
      <c r="G133" s="15" t="n">
        <v>14.29</v>
      </c>
      <c r="H133" s="15" t="inlineStr">
        <is>
          <t>중립</t>
        </is>
      </c>
      <c r="I133" s="15" t="inlineStr">
        <is>
          <t>0.5083695341145091</t>
        </is>
      </c>
      <c r="J133" t="inlineStr"/>
      <c r="K133" t="inlineStr"/>
      <c r="L133" t="inlineStr"/>
    </row>
    <row r="134" ht="22" customHeight="1">
      <c r="A134" s="15" t="inlineStr">
        <is>
          <t>코아시아</t>
        </is>
      </c>
      <c r="B134" t="inlineStr"/>
      <c r="C134" s="15" t="inlineStr">
        <is>
          <t>045970</t>
        </is>
      </c>
      <c r="D134" s="15" t="inlineStr">
        <is>
          <t>KOSDAQ</t>
        </is>
      </c>
      <c r="E134" s="15" t="inlineStr">
        <is>
          <t>팹리스/설계</t>
        </is>
      </c>
      <c r="F134" s="15" t="n">
        <v>56.12</v>
      </c>
      <c r="G134" s="15" t="n">
        <v>50</v>
      </c>
      <c r="H134" s="15" t="inlineStr">
        <is>
          <t>중립</t>
        </is>
      </c>
      <c r="I134" s="15" t="inlineStr">
        <is>
          <t>0.811266524244761</t>
        </is>
      </c>
      <c r="J134" t="inlineStr"/>
      <c r="K134" t="inlineStr"/>
      <c r="L134" t="inlineStr"/>
    </row>
    <row r="135" ht="22" customHeight="1">
      <c r="A135" s="15" t="inlineStr">
        <is>
          <t>우리이앤엘하루틴</t>
        </is>
      </c>
      <c r="B135" t="inlineStr"/>
      <c r="C135" s="15" t="inlineStr">
        <is>
          <t>153490</t>
        </is>
      </c>
      <c r="D135" s="15" t="inlineStr">
        <is>
          <t>KOSDAQ</t>
        </is>
      </c>
      <c r="E135" s="15" t="inlineStr">
        <is>
          <t>후공정/패키징/테스트</t>
        </is>
      </c>
      <c r="F135" s="15" t="n">
        <v>55.99</v>
      </c>
      <c r="G135" s="15" t="n">
        <v>14.29</v>
      </c>
      <c r="H135" s="15" t="inlineStr">
        <is>
          <t>중립</t>
        </is>
      </c>
      <c r="I135" s="15" t="inlineStr">
        <is>
          <t>0.803860880134826</t>
        </is>
      </c>
      <c r="J135" t="inlineStr"/>
      <c r="K135" t="inlineStr"/>
      <c r="L135" t="inlineStr"/>
    </row>
    <row r="136" ht="22" customHeight="1">
      <c r="A136" s="15" t="inlineStr">
        <is>
          <t>와이씨</t>
        </is>
      </c>
      <c r="B136" t="inlineStr"/>
      <c r="C136" s="15" t="inlineStr">
        <is>
          <t>232140</t>
        </is>
      </c>
      <c r="D136" s="15" t="inlineStr">
        <is>
          <t>KOSDAQ</t>
        </is>
      </c>
      <c r="E136" s="15" t="inlineStr">
        <is>
          <t>후공정/패키징/테스트</t>
        </is>
      </c>
      <c r="F136" s="15" t="n">
        <v>55.73</v>
      </c>
      <c r="G136" s="15" t="n">
        <v>0</v>
      </c>
      <c r="H136" s="15" t="inlineStr">
        <is>
          <t>중립</t>
        </is>
      </c>
      <c r="I136" s="15" t="inlineStr">
        <is>
          <t>0.5813875575219858</t>
        </is>
      </c>
      <c r="J136" t="inlineStr"/>
      <c r="K136" t="inlineStr"/>
      <c r="L136" t="inlineStr"/>
    </row>
    <row r="137" ht="22" customHeight="1">
      <c r="A137" s="15" t="inlineStr">
        <is>
          <t>기가비스</t>
        </is>
      </c>
      <c r="B137" t="inlineStr"/>
      <c r="C137" s="15" t="inlineStr">
        <is>
          <t>420770</t>
        </is>
      </c>
      <c r="D137" s="15" t="inlineStr">
        <is>
          <t>KOSDAQ</t>
        </is>
      </c>
      <c r="E137" s="15" t="inlineStr">
        <is>
          <t>후공정/패키징/테스트</t>
        </is>
      </c>
      <c r="F137" s="15" t="n">
        <v>55.44</v>
      </c>
      <c r="G137" s="15" t="n">
        <v>7.14</v>
      </c>
      <c r="H137" s="15" t="inlineStr">
        <is>
          <t>중립</t>
        </is>
      </c>
      <c r="I137" s="15" t="inlineStr">
        <is>
          <t>0.604283449323821</t>
        </is>
      </c>
      <c r="J137" t="inlineStr"/>
      <c r="K137" t="inlineStr"/>
      <c r="L137" t="inlineStr"/>
    </row>
    <row r="138" ht="22" customHeight="1">
      <c r="A138" s="15" t="inlineStr">
        <is>
          <t>픽셀플러스</t>
        </is>
      </c>
      <c r="B138" t="inlineStr"/>
      <c r="C138" s="15" t="inlineStr">
        <is>
          <t>087600</t>
        </is>
      </c>
      <c r="D138" s="15" t="inlineStr">
        <is>
          <t>KOSDAQ</t>
        </is>
      </c>
      <c r="E138" s="15" t="inlineStr">
        <is>
          <t>팹리스/설계</t>
        </is>
      </c>
      <c r="F138" s="15" t="n">
        <v>54.3</v>
      </c>
      <c r="G138" s="15" t="n">
        <v>28.57</v>
      </c>
      <c r="H138" s="15" t="inlineStr">
        <is>
          <t>중립</t>
        </is>
      </c>
      <c r="I138" s="15" t="inlineStr">
        <is>
          <t>0.8353732583827468</t>
        </is>
      </c>
      <c r="J138" t="inlineStr"/>
      <c r="K138" t="inlineStr"/>
      <c r="L138" t="inlineStr"/>
    </row>
    <row r="139" ht="22" customHeight="1">
      <c r="A139" s="15" t="inlineStr">
        <is>
          <t>칩스앤미디어</t>
        </is>
      </c>
      <c r="B139" t="inlineStr"/>
      <c r="C139" s="15" t="inlineStr">
        <is>
          <t>094360</t>
        </is>
      </c>
      <c r="D139" s="15" t="inlineStr">
        <is>
          <t>KOSDAQ</t>
        </is>
      </c>
      <c r="E139" s="15" t="inlineStr">
        <is>
          <t>팹리스/설계</t>
        </is>
      </c>
      <c r="F139" s="15" t="n">
        <v>54.24</v>
      </c>
      <c r="G139" s="15" t="n">
        <v>0</v>
      </c>
      <c r="H139" s="15" t="inlineStr">
        <is>
          <t>중립</t>
        </is>
      </c>
      <c r="I139" s="15" t="inlineStr">
        <is>
          <t>0.44740744488593415</t>
        </is>
      </c>
      <c r="J139" t="inlineStr"/>
      <c r="K139" t="inlineStr"/>
      <c r="L139" t="inlineStr"/>
    </row>
    <row r="140" ht="22" customHeight="1">
      <c r="A140" s="15" t="inlineStr">
        <is>
          <t>큐에스아이</t>
        </is>
      </c>
      <c r="B140" t="inlineStr"/>
      <c r="C140" s="15" t="inlineStr">
        <is>
          <t>066310</t>
        </is>
      </c>
      <c r="D140" s="15" t="inlineStr">
        <is>
          <t>KOSDAQ</t>
        </is>
      </c>
      <c r="E140" s="15" t="inlineStr">
        <is>
          <t>IDM/제조/메모리</t>
        </is>
      </c>
      <c r="F140" s="15" t="n">
        <v>54.23</v>
      </c>
      <c r="G140" s="15" t="n">
        <v>7.14</v>
      </c>
      <c r="H140" s="15" t="inlineStr">
        <is>
          <t>중립</t>
        </is>
      </c>
      <c r="I140" s="15" t="inlineStr">
        <is>
          <t>0.5496283015517583</t>
        </is>
      </c>
      <c r="J140" t="inlineStr"/>
      <c r="K140" t="inlineStr"/>
      <c r="L140" t="inlineStr"/>
    </row>
    <row r="141" ht="22" customHeight="1">
      <c r="A141" s="15" t="inlineStr">
        <is>
          <t>유니셈</t>
        </is>
      </c>
      <c r="B141" t="inlineStr"/>
      <c r="C141" s="15" t="inlineStr">
        <is>
          <t>036200</t>
        </is>
      </c>
      <c r="D141" s="15" t="inlineStr">
        <is>
          <t>KOSDAQ</t>
        </is>
      </c>
      <c r="E141" s="15" t="inlineStr">
        <is>
          <t>장비</t>
        </is>
      </c>
      <c r="F141" s="15" t="n">
        <v>54.09</v>
      </c>
      <c r="G141" s="15" t="n">
        <v>21.43</v>
      </c>
      <c r="H141" s="15" t="inlineStr">
        <is>
          <t>중립</t>
        </is>
      </c>
      <c r="I141" s="15" t="inlineStr">
        <is>
          <t>0.751305499027411</t>
        </is>
      </c>
      <c r="J141" t="inlineStr"/>
      <c r="K141" t="inlineStr"/>
      <c r="L141" t="inlineStr"/>
    </row>
    <row r="142" ht="22" customHeight="1">
      <c r="A142" s="15" t="inlineStr">
        <is>
          <t>피에스케이홀딩스</t>
        </is>
      </c>
      <c r="B142" t="inlineStr"/>
      <c r="C142" s="15" t="inlineStr">
        <is>
          <t>031980</t>
        </is>
      </c>
      <c r="D142" s="15" t="inlineStr">
        <is>
          <t>KOSDAQ</t>
        </is>
      </c>
      <c r="E142" s="15" t="inlineStr">
        <is>
          <t>장비</t>
        </is>
      </c>
      <c r="F142" s="15" t="n">
        <v>53.85</v>
      </c>
      <c r="G142" s="15" t="n">
        <v>0</v>
      </c>
      <c r="H142" s="15" t="inlineStr">
        <is>
          <t>중립</t>
        </is>
      </c>
      <c r="I142" s="15" t="inlineStr">
        <is>
          <t>0.7521125976897308</t>
        </is>
      </c>
      <c r="J142" t="inlineStr"/>
      <c r="K142" t="inlineStr"/>
      <c r="L142" t="inlineStr"/>
    </row>
    <row r="143" ht="22" customHeight="1">
      <c r="A143" s="15" t="inlineStr">
        <is>
          <t>워트</t>
        </is>
      </c>
      <c r="B143" t="inlineStr"/>
      <c r="C143" s="15" t="inlineStr">
        <is>
          <t>396470</t>
        </is>
      </c>
      <c r="D143" s="15" t="inlineStr">
        <is>
          <t>KOSDAQ</t>
        </is>
      </c>
      <c r="E143" s="15" t="inlineStr">
        <is>
          <t>장비</t>
        </is>
      </c>
      <c r="F143" s="15" t="n">
        <v>53.84</v>
      </c>
      <c r="G143" s="15" t="n">
        <v>7.14</v>
      </c>
      <c r="H143" s="15" t="inlineStr">
        <is>
          <t>중립</t>
        </is>
      </c>
      <c r="I143" s="15" t="inlineStr">
        <is>
          <t>0.6073344328439819</t>
        </is>
      </c>
      <c r="J143" t="inlineStr"/>
      <c r="K143" t="inlineStr"/>
      <c r="L143" t="inlineStr"/>
    </row>
    <row r="144" ht="22" customHeight="1">
      <c r="A144" s="15" t="inlineStr">
        <is>
          <t>엘오티베큠</t>
        </is>
      </c>
      <c r="B144" t="inlineStr"/>
      <c r="C144" s="15" t="inlineStr">
        <is>
          <t>083310</t>
        </is>
      </c>
      <c r="D144" s="15" t="inlineStr">
        <is>
          <t>KOSDAQ</t>
        </is>
      </c>
      <c r="E144" s="15" t="inlineStr">
        <is>
          <t>IDM/제조/메모리</t>
        </is>
      </c>
      <c r="F144" s="15" t="n">
        <v>53.8</v>
      </c>
      <c r="G144" s="15" t="n">
        <v>21.43</v>
      </c>
      <c r="H144" s="15" t="inlineStr">
        <is>
          <t>중립</t>
        </is>
      </c>
      <c r="I144" s="15" t="inlineStr">
        <is>
          <t>0.860578291373445</t>
        </is>
      </c>
      <c r="J144" t="inlineStr"/>
      <c r="K144" t="inlineStr"/>
      <c r="L144" t="inlineStr"/>
    </row>
    <row r="145" ht="22" customHeight="1">
      <c r="A145" s="15" t="inlineStr">
        <is>
          <t>비씨엔씨</t>
        </is>
      </c>
      <c r="B145" t="inlineStr"/>
      <c r="C145" s="15" t="inlineStr">
        <is>
          <t>146320</t>
        </is>
      </c>
      <c r="D145" s="15" t="inlineStr">
        <is>
          <t>KOSDAQ</t>
        </is>
      </c>
      <c r="E145" s="15" t="inlineStr">
        <is>
          <t>IDM/제조/메모리</t>
        </is>
      </c>
      <c r="F145" s="15" t="n">
        <v>53.66</v>
      </c>
      <c r="G145" s="15" t="n">
        <v>28.57</v>
      </c>
      <c r="H145" s="15" t="inlineStr">
        <is>
          <t>중립</t>
        </is>
      </c>
      <c r="I145" s="15" t="inlineStr">
        <is>
          <t>0.7033805368548921</t>
        </is>
      </c>
      <c r="J145" t="inlineStr"/>
      <c r="K145" t="inlineStr"/>
      <c r="L145" t="inlineStr"/>
    </row>
    <row r="146" ht="22" customHeight="1">
      <c r="A146" s="15" t="inlineStr">
        <is>
          <t>티엘비</t>
        </is>
      </c>
      <c r="B146" t="inlineStr"/>
      <c r="C146" s="15" t="inlineStr">
        <is>
          <t>356860</t>
        </is>
      </c>
      <c r="D146" s="15" t="inlineStr">
        <is>
          <t>KOSDAQ</t>
        </is>
      </c>
      <c r="E146" s="15" t="inlineStr">
        <is>
          <t>IDM/제조/메모리</t>
        </is>
      </c>
      <c r="F146" s="15" t="n">
        <v>53.62</v>
      </c>
      <c r="G146" s="15" t="n">
        <v>7.14</v>
      </c>
      <c r="H146" s="15" t="inlineStr">
        <is>
          <t>중립</t>
        </is>
      </c>
      <c r="I146" s="15" t="inlineStr">
        <is>
          <t>0.8509295904965918</t>
        </is>
      </c>
      <c r="J146" t="inlineStr"/>
      <c r="K146" t="inlineStr"/>
      <c r="L146" t="inlineStr"/>
    </row>
    <row r="147" ht="22" customHeight="1">
      <c r="A147" s="15" t="inlineStr">
        <is>
          <t>피에스케이</t>
        </is>
      </c>
      <c r="B147" t="inlineStr"/>
      <c r="C147" s="15" t="inlineStr">
        <is>
          <t>319660</t>
        </is>
      </c>
      <c r="D147" s="15" t="inlineStr">
        <is>
          <t>KOSDAQ GLOBAL</t>
        </is>
      </c>
      <c r="E147" s="15" t="inlineStr">
        <is>
          <t>장비</t>
        </is>
      </c>
      <c r="F147" s="15" t="n">
        <v>53.57</v>
      </c>
      <c r="G147" s="15" t="n">
        <v>0</v>
      </c>
      <c r="H147" s="15" t="inlineStr">
        <is>
          <t>중립</t>
        </is>
      </c>
      <c r="I147" s="15" t="inlineStr">
        <is>
          <t>0.7072072873445469</t>
        </is>
      </c>
      <c r="J147" t="inlineStr"/>
      <c r="K147" t="inlineStr"/>
      <c r="L147" t="inlineStr"/>
    </row>
    <row r="148" ht="22" customHeight="1">
      <c r="A148" s="15" t="inlineStr">
        <is>
          <t>해성디에스</t>
        </is>
      </c>
      <c r="B148" t="inlineStr"/>
      <c r="C148" s="15" t="inlineStr">
        <is>
          <t>195870</t>
        </is>
      </c>
      <c r="D148" s="15" t="inlineStr">
        <is>
          <t>KOSPI</t>
        </is>
      </c>
      <c r="E148" s="15" t="inlineStr">
        <is>
          <t>후공정/패키징/테스트</t>
        </is>
      </c>
      <c r="F148" s="15" t="n">
        <v>53.33</v>
      </c>
      <c r="G148" s="15" t="n">
        <v>7.14</v>
      </c>
      <c r="H148" s="15" t="inlineStr">
        <is>
          <t>중립</t>
        </is>
      </c>
      <c r="I148" s="15" t="inlineStr">
        <is>
          <t>0.8942165906576592</t>
        </is>
      </c>
      <c r="J148" t="inlineStr"/>
      <c r="K148" t="inlineStr"/>
      <c r="L148" t="inlineStr"/>
    </row>
    <row r="149" ht="22" customHeight="1">
      <c r="A149" s="15" t="inlineStr">
        <is>
          <t>심텍홀딩스</t>
        </is>
      </c>
      <c r="B149" t="inlineStr"/>
      <c r="C149" s="15" t="inlineStr">
        <is>
          <t>036710</t>
        </is>
      </c>
      <c r="D149" s="15" t="inlineStr">
        <is>
          <t>KOSDAQ</t>
        </is>
      </c>
      <c r="E149" s="15" t="inlineStr">
        <is>
          <t>부품/기판</t>
        </is>
      </c>
      <c r="F149" s="15" t="n">
        <v>53.24</v>
      </c>
      <c r="G149" s="15" t="n">
        <v>78.56999999999999</v>
      </c>
      <c r="H149" s="15" t="inlineStr">
        <is>
          <t>중립</t>
        </is>
      </c>
      <c r="I149" s="15" t="inlineStr">
        <is>
          <t>0.726519318190825</t>
        </is>
      </c>
      <c r="J149" t="inlineStr"/>
      <c r="K149" t="inlineStr"/>
      <c r="L149" t="inlineStr"/>
    </row>
    <row r="150" ht="22" customHeight="1">
      <c r="A150" s="15" t="inlineStr">
        <is>
          <t>하나머티리얼즈</t>
        </is>
      </c>
      <c r="B150" t="inlineStr"/>
      <c r="C150" s="15" t="inlineStr">
        <is>
          <t>166090</t>
        </is>
      </c>
      <c r="D150" s="15" t="inlineStr">
        <is>
          <t>KOSDAQ GLOBAL</t>
        </is>
      </c>
      <c r="E150" s="15" t="inlineStr">
        <is>
          <t>IDM/제조/메모리</t>
        </is>
      </c>
      <c r="F150" s="15" t="n">
        <v>53.22</v>
      </c>
      <c r="G150" s="15" t="n">
        <v>0</v>
      </c>
      <c r="H150" s="15" t="inlineStr">
        <is>
          <t>중립</t>
        </is>
      </c>
      <c r="I150" s="15" t="inlineStr">
        <is>
          <t>0.6425667923365267</t>
        </is>
      </c>
      <c r="J150" t="inlineStr"/>
      <c r="K150" t="inlineStr"/>
      <c r="L150" t="inlineStr"/>
    </row>
    <row r="151" ht="22" customHeight="1">
      <c r="A151" s="15" t="inlineStr">
        <is>
          <t>엠디바이스</t>
        </is>
      </c>
      <c r="B151" t="inlineStr"/>
      <c r="C151" s="15" t="inlineStr">
        <is>
          <t>226590</t>
        </is>
      </c>
      <c r="D151" s="15" t="inlineStr">
        <is>
          <t>KOSDAQ</t>
        </is>
      </c>
      <c r="E151" s="15" t="inlineStr">
        <is>
          <t>부품/기판</t>
        </is>
      </c>
      <c r="F151" s="15" t="n">
        <v>53.19</v>
      </c>
      <c r="G151" s="15" t="n">
        <v>42.86</v>
      </c>
      <c r="H151" s="15" t="inlineStr">
        <is>
          <t>중립</t>
        </is>
      </c>
      <c r="I151" s="15" t="inlineStr">
        <is>
          <t>0.7655361666958056</t>
        </is>
      </c>
      <c r="J151" t="inlineStr"/>
      <c r="K151" t="inlineStr"/>
      <c r="L151" t="inlineStr"/>
    </row>
    <row r="152" ht="22" customHeight="1">
      <c r="A152" s="15" t="inlineStr">
        <is>
          <t>제이아이테크</t>
        </is>
      </c>
      <c r="B152" t="inlineStr"/>
      <c r="C152" s="15" t="inlineStr">
        <is>
          <t>417500</t>
        </is>
      </c>
      <c r="D152" s="15" t="inlineStr">
        <is>
          <t>KOSDAQ</t>
        </is>
      </c>
      <c r="E152" s="15" t="inlineStr">
        <is>
          <t>소재</t>
        </is>
      </c>
      <c r="F152" s="15" t="n">
        <v>52.64</v>
      </c>
      <c r="G152" s="15" t="n">
        <v>7.14</v>
      </c>
      <c r="H152" s="15" t="inlineStr">
        <is>
          <t>중립</t>
        </is>
      </c>
      <c r="I152" s="15" t="inlineStr">
        <is>
          <t>0.8525733569966568</t>
        </is>
      </c>
      <c r="J152" t="inlineStr"/>
      <c r="K152" t="inlineStr"/>
      <c r="L152" t="inlineStr"/>
    </row>
    <row r="153" ht="22" customHeight="1">
      <c r="A153" s="15" t="inlineStr">
        <is>
          <t>브이엠</t>
        </is>
      </c>
      <c r="B153" t="inlineStr"/>
      <c r="C153" s="15" t="inlineStr">
        <is>
          <t>089970</t>
        </is>
      </c>
      <c r="D153" s="15" t="inlineStr">
        <is>
          <t>KOSDAQ</t>
        </is>
      </c>
      <c r="E153" s="15" t="inlineStr">
        <is>
          <t>장비</t>
        </is>
      </c>
      <c r="F153" s="15" t="n">
        <v>52.04</v>
      </c>
      <c r="G153" s="15" t="n">
        <v>0</v>
      </c>
      <c r="H153" s="15" t="inlineStr">
        <is>
          <t>중립</t>
        </is>
      </c>
      <c r="I153" s="15" t="inlineStr">
        <is>
          <t>0.737579554357605</t>
        </is>
      </c>
      <c r="J153" t="inlineStr"/>
      <c r="K153" t="inlineStr"/>
      <c r="L153" t="inlineStr"/>
    </row>
    <row r="154" ht="22" customHeight="1">
      <c r="A154" s="15" t="inlineStr">
        <is>
          <t>ISC</t>
        </is>
      </c>
      <c r="B154" t="inlineStr"/>
      <c r="C154" s="15" t="inlineStr">
        <is>
          <t>095340</t>
        </is>
      </c>
      <c r="D154" s="15" t="inlineStr">
        <is>
          <t>KOSDAQ GLOBAL</t>
        </is>
      </c>
      <c r="E154" s="15" t="inlineStr">
        <is>
          <t>후공정/패키징/테스트</t>
        </is>
      </c>
      <c r="F154" s="15" t="n">
        <v>51.76</v>
      </c>
      <c r="G154" s="15" t="n">
        <v>0</v>
      </c>
      <c r="H154" s="15" t="inlineStr">
        <is>
          <t>중립</t>
        </is>
      </c>
      <c r="I154" s="15" t="inlineStr">
        <is>
          <t>0.5753148434947495</t>
        </is>
      </c>
      <c r="J154" t="inlineStr"/>
      <c r="K154" t="inlineStr"/>
      <c r="L154" t="inlineStr"/>
    </row>
    <row r="155" ht="22" customHeight="1">
      <c r="A155" s="15" t="inlineStr">
        <is>
          <t>원익QnC</t>
        </is>
      </c>
      <c r="B155" t="inlineStr"/>
      <c r="C155" s="15" t="inlineStr">
        <is>
          <t>074600</t>
        </is>
      </c>
      <c r="D155" s="15" t="inlineStr">
        <is>
          <t>KOSDAQ GLOBAL</t>
        </is>
      </c>
      <c r="E155" s="15" t="inlineStr">
        <is>
          <t>소재</t>
        </is>
      </c>
      <c r="F155" s="15" t="n">
        <v>51.56</v>
      </c>
      <c r="G155" s="15" t="n">
        <v>28.57</v>
      </c>
      <c r="H155" s="15" t="inlineStr">
        <is>
          <t>중립</t>
        </is>
      </c>
      <c r="I155" s="15" t="inlineStr">
        <is>
          <t>0.4211836082778998</t>
        </is>
      </c>
      <c r="J155" t="inlineStr"/>
      <c r="K155" t="inlineStr"/>
      <c r="L155" t="inlineStr"/>
    </row>
    <row r="156" ht="22" customHeight="1">
      <c r="A156" s="15" t="inlineStr">
        <is>
          <t>엠케이전자</t>
        </is>
      </c>
      <c r="B156" t="inlineStr"/>
      <c r="C156" s="15" t="inlineStr">
        <is>
          <t>033160</t>
        </is>
      </c>
      <c r="D156" s="15" t="inlineStr">
        <is>
          <t>KOSDAQ</t>
        </is>
      </c>
      <c r="E156" s="15" t="inlineStr">
        <is>
          <t>소재</t>
        </is>
      </c>
      <c r="F156" s="15" t="n">
        <v>51.05</v>
      </c>
      <c r="G156" s="15" t="n">
        <v>57.14</v>
      </c>
      <c r="H156" s="15" t="inlineStr">
        <is>
          <t>중립</t>
        </is>
      </c>
      <c r="I156" s="15" t="inlineStr">
        <is>
          <t>0.801168459079624</t>
        </is>
      </c>
      <c r="J156" t="inlineStr"/>
      <c r="K156" t="inlineStr"/>
      <c r="L156" t="inlineStr"/>
    </row>
    <row r="157" ht="22" customHeight="1">
      <c r="A157" s="15" t="inlineStr">
        <is>
          <t>웰킵스하이텍</t>
        </is>
      </c>
      <c r="B157" t="inlineStr"/>
      <c r="C157" s="15" t="inlineStr">
        <is>
          <t>043590</t>
        </is>
      </c>
      <c r="D157" s="15" t="inlineStr">
        <is>
          <t>KOSDAQ</t>
        </is>
      </c>
      <c r="E157" s="15" t="inlineStr">
        <is>
          <t>IDM/제조/메모리</t>
        </is>
      </c>
      <c r="F157" s="15" t="n">
        <v>50.87</v>
      </c>
      <c r="G157" s="15" t="n">
        <v>71.43000000000001</v>
      </c>
      <c r="H157" s="15" t="inlineStr">
        <is>
          <t>중립</t>
        </is>
      </c>
      <c r="I157" s="15" t="inlineStr">
        <is>
          <t>0.7753200487478359</t>
        </is>
      </c>
      <c r="J157" t="inlineStr"/>
      <c r="K157" t="inlineStr"/>
      <c r="L157" t="inlineStr"/>
    </row>
    <row r="158" ht="22" customHeight="1">
      <c r="A158" s="15" t="inlineStr">
        <is>
          <t>타이거일렉</t>
        </is>
      </c>
      <c r="B158" t="inlineStr"/>
      <c r="C158" s="15" t="inlineStr">
        <is>
          <t>219130</t>
        </is>
      </c>
      <c r="D158" s="15" t="inlineStr">
        <is>
          <t>KOSDAQ</t>
        </is>
      </c>
      <c r="E158" s="15" t="inlineStr">
        <is>
          <t>부품/기판</t>
        </is>
      </c>
      <c r="F158" s="15" t="n">
        <v>50.67</v>
      </c>
      <c r="G158" s="15" t="n">
        <v>14.29</v>
      </c>
      <c r="H158" s="15" t="inlineStr">
        <is>
          <t>중립</t>
        </is>
      </c>
      <c r="I158" s="15" t="inlineStr">
        <is>
          <t>0.6463040733623892</t>
        </is>
      </c>
      <c r="J158" t="inlineStr"/>
      <c r="K158" t="inlineStr"/>
      <c r="L158" t="inlineStr"/>
    </row>
    <row r="159" ht="22" customHeight="1">
      <c r="A159" s="15" t="inlineStr">
        <is>
          <t>이수페타시스</t>
        </is>
      </c>
      <c r="B159" t="inlineStr"/>
      <c r="C159" s="15" t="inlineStr">
        <is>
          <t>007660</t>
        </is>
      </c>
      <c r="D159" s="15" t="inlineStr">
        <is>
          <t>KOSPI</t>
        </is>
      </c>
      <c r="E159" s="15" t="inlineStr">
        <is>
          <t>부품/기판</t>
        </is>
      </c>
      <c r="F159" s="15" t="n">
        <v>50.62</v>
      </c>
      <c r="G159" s="15" t="n">
        <v>0</v>
      </c>
      <c r="H159" s="15" t="inlineStr">
        <is>
          <t>중립</t>
        </is>
      </c>
      <c r="I159" s="15" t="inlineStr">
        <is>
          <t>0.599589540069591</t>
        </is>
      </c>
      <c r="J159" t="inlineStr"/>
      <c r="K159" t="inlineStr"/>
      <c r="L159" t="inlineStr"/>
    </row>
    <row r="160" ht="22" customHeight="1">
      <c r="A160" s="15" t="inlineStr">
        <is>
          <t>에이팩트</t>
        </is>
      </c>
      <c r="B160" t="inlineStr"/>
      <c r="C160" s="15" t="inlineStr">
        <is>
          <t>200470</t>
        </is>
      </c>
      <c r="D160" s="15" t="inlineStr">
        <is>
          <t>KOSDAQ</t>
        </is>
      </c>
      <c r="E160" s="15" t="inlineStr">
        <is>
          <t>후공정/패키징/테스트</t>
        </is>
      </c>
      <c r="F160" s="15" t="n">
        <v>50.27</v>
      </c>
      <c r="G160" s="15" t="n">
        <v>42.86</v>
      </c>
      <c r="H160" s="15" t="inlineStr">
        <is>
          <t>중립</t>
        </is>
      </c>
      <c r="I160" s="15" t="inlineStr">
        <is>
          <t>0.8010795762920226</t>
        </is>
      </c>
      <c r="J160" t="inlineStr"/>
      <c r="K160" t="inlineStr"/>
      <c r="L160" t="inlineStr"/>
    </row>
    <row r="161" ht="22" customHeight="1">
      <c r="A161" s="15" t="inlineStr">
        <is>
          <t>와이엠티</t>
        </is>
      </c>
      <c r="B161" t="inlineStr"/>
      <c r="C161" s="15" t="inlineStr">
        <is>
          <t>251370</t>
        </is>
      </c>
      <c r="D161" s="15" t="inlineStr">
        <is>
          <t>KOSDAQ</t>
        </is>
      </c>
      <c r="E161" s="15" t="inlineStr">
        <is>
          <t>소재</t>
        </is>
      </c>
      <c r="F161" s="15" t="n">
        <v>49.9</v>
      </c>
      <c r="G161" s="15" t="n">
        <v>21.43</v>
      </c>
      <c r="H161" s="15" t="inlineStr">
        <is>
          <t>중립</t>
        </is>
      </c>
      <c r="I161" s="15" t="inlineStr">
        <is>
          <t>0.730943868859095</t>
        </is>
      </c>
      <c r="J161" t="inlineStr"/>
      <c r="K161" t="inlineStr"/>
      <c r="L161" t="inlineStr"/>
    </row>
    <row r="162" ht="22" customHeight="1">
      <c r="A162" s="15" t="inlineStr">
        <is>
          <t>아이케이세미콘</t>
        </is>
      </c>
      <c r="B162" t="inlineStr"/>
      <c r="C162" s="15" t="inlineStr">
        <is>
          <t>149010</t>
        </is>
      </c>
      <c r="D162" s="15" t="inlineStr">
        <is>
          <t>KONEX</t>
        </is>
      </c>
      <c r="E162" s="15" t="inlineStr">
        <is>
          <t>팹리스/설계</t>
        </is>
      </c>
      <c r="F162" s="15" t="n">
        <v>49.8</v>
      </c>
      <c r="G162" s="15" t="n">
        <v>64.29000000000001</v>
      </c>
      <c r="H162" s="15" t="inlineStr">
        <is>
          <t>중립</t>
        </is>
      </c>
      <c r="I162" s="15" t="inlineStr">
        <is>
          <t>0.9626560040296214</t>
        </is>
      </c>
      <c r="J162" t="inlineStr"/>
      <c r="K162" t="inlineStr"/>
      <c r="L162" t="inlineStr"/>
    </row>
    <row r="163" ht="22" customHeight="1">
      <c r="A163" s="15" t="inlineStr">
        <is>
          <t>코세스</t>
        </is>
      </c>
      <c r="B163" t="inlineStr"/>
      <c r="C163" s="15" t="inlineStr">
        <is>
          <t>089890</t>
        </is>
      </c>
      <c r="D163" s="15" t="inlineStr">
        <is>
          <t>KOSDAQ</t>
        </is>
      </c>
      <c r="E163" s="15" t="inlineStr">
        <is>
          <t>장비</t>
        </is>
      </c>
      <c r="F163" s="15" t="n">
        <v>49.79</v>
      </c>
      <c r="G163" s="15" t="n">
        <v>7.14</v>
      </c>
      <c r="H163" s="15" t="inlineStr">
        <is>
          <t>중립</t>
        </is>
      </c>
      <c r="I163" s="15" t="inlineStr">
        <is>
          <t>0.7228094449358575</t>
        </is>
      </c>
      <c r="J163" t="inlineStr"/>
      <c r="K163" t="inlineStr"/>
      <c r="L163" t="inlineStr"/>
    </row>
    <row r="164" ht="22" customHeight="1">
      <c r="A164" s="15" t="inlineStr">
        <is>
          <t>코스텍시스템</t>
        </is>
      </c>
      <c r="B164" t="inlineStr"/>
      <c r="C164" s="15" t="inlineStr">
        <is>
          <t>169670</t>
        </is>
      </c>
      <c r="D164" s="15" t="inlineStr">
        <is>
          <t>KONEX</t>
        </is>
      </c>
      <c r="E164" s="15" t="inlineStr">
        <is>
          <t>장비</t>
        </is>
      </c>
      <c r="F164" s="15" t="n">
        <v>49.6</v>
      </c>
      <c r="G164" s="15" t="n">
        <v>21.43</v>
      </c>
      <c r="H164" s="15" t="inlineStr">
        <is>
          <t>중립</t>
        </is>
      </c>
      <c r="I164" s="15" t="inlineStr">
        <is>
          <t>0.9640840061970892</t>
        </is>
      </c>
      <c r="J164" t="inlineStr"/>
      <c r="K164" t="inlineStr"/>
      <c r="L164" t="inlineStr"/>
    </row>
    <row r="165" ht="22" customHeight="1">
      <c r="A165" s="15" t="inlineStr">
        <is>
          <t>삼성전기</t>
        </is>
      </c>
      <c r="B165" t="inlineStr"/>
      <c r="C165" s="15" t="inlineStr">
        <is>
          <t>009150</t>
        </is>
      </c>
      <c r="D165" s="15" t="inlineStr">
        <is>
          <t>KOSPI</t>
        </is>
      </c>
      <c r="E165" s="15" t="inlineStr">
        <is>
          <t>후공정/패키징/테스트</t>
        </is>
      </c>
      <c r="F165" s="15" t="n">
        <v>49.57</v>
      </c>
      <c r="G165" s="15" t="n">
        <v>0</v>
      </c>
      <c r="H165" s="15" t="inlineStr">
        <is>
          <t>중립</t>
        </is>
      </c>
      <c r="I165" s="15" t="inlineStr">
        <is>
          <t>0.5297655139045552</t>
        </is>
      </c>
      <c r="J165" t="inlineStr"/>
      <c r="K165" t="inlineStr"/>
      <c r="L165" t="inlineStr"/>
    </row>
    <row r="166" ht="22" customHeight="1">
      <c r="A166" s="15" t="inlineStr">
        <is>
          <t>티씨케이</t>
        </is>
      </c>
      <c r="B166" t="inlineStr"/>
      <c r="C166" s="15" t="inlineStr">
        <is>
          <t>064760</t>
        </is>
      </c>
      <c r="D166" s="15" t="inlineStr">
        <is>
          <t>KOSDAQ GLOBAL</t>
        </is>
      </c>
      <c r="E166" s="15" t="inlineStr">
        <is>
          <t>소재</t>
        </is>
      </c>
      <c r="F166" s="15" t="n">
        <v>49.56</v>
      </c>
      <c r="G166" s="15" t="n">
        <v>0</v>
      </c>
      <c r="H166" s="15" t="inlineStr">
        <is>
          <t>중립</t>
        </is>
      </c>
      <c r="I166" s="15" t="inlineStr">
        <is>
          <t>0.6535546916238612</t>
        </is>
      </c>
      <c r="J166" t="inlineStr"/>
      <c r="K166" t="inlineStr"/>
      <c r="L166" t="inlineStr"/>
    </row>
    <row r="167" ht="22" customHeight="1">
      <c r="A167" s="15" t="inlineStr">
        <is>
          <t>텔레칩스</t>
        </is>
      </c>
      <c r="B167" t="inlineStr"/>
      <c r="C167" s="15" t="inlineStr">
        <is>
          <t>054450</t>
        </is>
      </c>
      <c r="D167" s="15" t="inlineStr">
        <is>
          <t>KOSDAQ</t>
        </is>
      </c>
      <c r="E167" s="15" t="inlineStr">
        <is>
          <t>팹리스/설계</t>
        </is>
      </c>
      <c r="F167" s="15" t="n">
        <v>49.43</v>
      </c>
      <c r="G167" s="15" t="n">
        <v>71.43000000000001</v>
      </c>
      <c r="H167" s="15" t="inlineStr">
        <is>
          <t>중립</t>
        </is>
      </c>
      <c r="I167" s="15" t="inlineStr">
        <is>
          <t>0.5716537225721987</t>
        </is>
      </c>
      <c r="J167" t="inlineStr"/>
      <c r="K167" t="inlineStr"/>
      <c r="L167" t="inlineStr"/>
    </row>
    <row r="168" ht="22" customHeight="1">
      <c r="A168" s="15" t="inlineStr">
        <is>
          <t>에이엘티</t>
        </is>
      </c>
      <c r="B168" t="inlineStr"/>
      <c r="C168" s="15" t="inlineStr">
        <is>
          <t>172670</t>
        </is>
      </c>
      <c r="D168" s="15" t="inlineStr">
        <is>
          <t>KOSDAQ</t>
        </is>
      </c>
      <c r="E168" s="15" t="inlineStr">
        <is>
          <t>후공정/패키징/테스트</t>
        </is>
      </c>
      <c r="F168" s="15" t="n">
        <v>48.77</v>
      </c>
      <c r="G168" s="15" t="n">
        <v>35.71</v>
      </c>
      <c r="H168" s="15" t="inlineStr">
        <is>
          <t>중립</t>
        </is>
      </c>
      <c r="I168" s="15" t="inlineStr">
        <is>
          <t>0.5308622758067901</t>
        </is>
      </c>
      <c r="J168" t="inlineStr"/>
      <c r="K168" t="inlineStr"/>
      <c r="L168" t="inlineStr"/>
    </row>
    <row r="169" ht="22" customHeight="1">
      <c r="A169" s="15" t="inlineStr">
        <is>
          <t>알파칩스</t>
        </is>
      </c>
      <c r="B169" t="inlineStr"/>
      <c r="C169" s="15" t="inlineStr">
        <is>
          <t>117670</t>
        </is>
      </c>
      <c r="D169" s="15" t="inlineStr">
        <is>
          <t>KOSDAQ</t>
        </is>
      </c>
      <c r="E169" s="15" t="inlineStr">
        <is>
          <t>팹리스/설계</t>
        </is>
      </c>
      <c r="F169" s="15" t="n">
        <v>48.26</v>
      </c>
      <c r="G169" s="15" t="n">
        <v>28.57</v>
      </c>
      <c r="H169" s="15" t="inlineStr">
        <is>
          <t>중립</t>
        </is>
      </c>
      <c r="I169" s="15" t="inlineStr">
        <is>
          <t>0.7398835550872951</t>
        </is>
      </c>
      <c r="J169" t="inlineStr"/>
      <c r="K169" t="inlineStr"/>
      <c r="L169" t="inlineStr"/>
    </row>
    <row r="170" ht="22" customHeight="1">
      <c r="A170" s="15" t="inlineStr">
        <is>
          <t>큐알티</t>
        </is>
      </c>
      <c r="B170" t="inlineStr"/>
      <c r="C170" s="15" t="inlineStr">
        <is>
          <t>405100</t>
        </is>
      </c>
      <c r="D170" s="15" t="inlineStr">
        <is>
          <t>KOSDAQ</t>
        </is>
      </c>
      <c r="E170" s="15" t="inlineStr">
        <is>
          <t>후공정/패키징/테스트</t>
        </is>
      </c>
      <c r="F170" s="15" t="n">
        <v>47.82</v>
      </c>
      <c r="G170" s="15" t="n">
        <v>0</v>
      </c>
      <c r="H170" s="15" t="inlineStr">
        <is>
          <t>중립</t>
        </is>
      </c>
      <c r="I170" s="15" t="inlineStr">
        <is>
          <t>0.4463498311096922</t>
        </is>
      </c>
      <c r="J170" t="inlineStr"/>
      <c r="K170" t="inlineStr"/>
      <c r="L170" t="inlineStr"/>
    </row>
    <row r="171" ht="22" customHeight="1">
      <c r="A171" s="15" t="inlineStr">
        <is>
          <t>테크엘</t>
        </is>
      </c>
      <c r="B171" t="inlineStr"/>
      <c r="C171" s="15" t="inlineStr">
        <is>
          <t>064520</t>
        </is>
      </c>
      <c r="D171" s="15" t="inlineStr">
        <is>
          <t>KOSDAQ</t>
        </is>
      </c>
      <c r="E171" s="15" t="inlineStr">
        <is>
          <t>IDM/제조/메모리</t>
        </is>
      </c>
      <c r="F171" s="15" t="n">
        <v>47.57</v>
      </c>
      <c r="G171" s="15" t="n">
        <v>50</v>
      </c>
      <c r="H171" s="15" t="inlineStr">
        <is>
          <t>중립</t>
        </is>
      </c>
      <c r="I171" s="15" t="inlineStr">
        <is>
          <t>0.7806095936743286</t>
        </is>
      </c>
      <c r="J171" t="inlineStr"/>
      <c r="K171" t="inlineStr"/>
      <c r="L171" t="inlineStr"/>
    </row>
    <row r="172" ht="22" customHeight="1">
      <c r="A172" s="15" t="inlineStr">
        <is>
          <t>HPSP</t>
        </is>
      </c>
      <c r="B172" t="inlineStr"/>
      <c r="C172" s="15" t="inlineStr">
        <is>
          <t>403870</t>
        </is>
      </c>
      <c r="D172" s="15" t="inlineStr">
        <is>
          <t>KOSDAQ GLOBAL</t>
        </is>
      </c>
      <c r="E172" s="15" t="inlineStr">
        <is>
          <t>장비</t>
        </is>
      </c>
      <c r="F172" s="15" t="n">
        <v>47.52</v>
      </c>
      <c r="G172" s="15" t="n">
        <v>0</v>
      </c>
      <c r="H172" s="15" t="inlineStr">
        <is>
          <t>중립</t>
        </is>
      </c>
      <c r="I172" s="15" t="inlineStr">
        <is>
          <t>0.7108284021978194</t>
        </is>
      </c>
      <c r="J172" t="inlineStr"/>
      <c r="K172" t="inlineStr"/>
      <c r="L172" t="inlineStr"/>
    </row>
    <row r="173" ht="22" customHeight="1">
      <c r="A173" s="15" t="inlineStr">
        <is>
          <t>라온로보틱스</t>
        </is>
      </c>
      <c r="B173" t="inlineStr"/>
      <c r="C173" s="15" t="inlineStr">
        <is>
          <t>232680</t>
        </is>
      </c>
      <c r="D173" s="15" t="inlineStr">
        <is>
          <t>KOSDAQ</t>
        </is>
      </c>
      <c r="E173" s="15" t="inlineStr">
        <is>
          <t>팹리스/설계</t>
        </is>
      </c>
      <c r="F173" s="15" t="n">
        <v>47.45</v>
      </c>
      <c r="G173" s="15" t="n">
        <v>14.29</v>
      </c>
      <c r="H173" s="15" t="inlineStr">
        <is>
          <t>중립</t>
        </is>
      </c>
      <c r="I173" s="15" t="inlineStr">
        <is>
          <t>0.7863374675167921</t>
        </is>
      </c>
      <c r="J173" t="inlineStr"/>
      <c r="K173" t="inlineStr"/>
      <c r="L173" t="inlineStr"/>
    </row>
    <row r="174" ht="22" customHeight="1">
      <c r="A174" s="15" t="inlineStr">
        <is>
          <t>서울반도체</t>
        </is>
      </c>
      <c r="B174" t="inlineStr"/>
      <c r="C174" s="15" t="inlineStr">
        <is>
          <t>046890</t>
        </is>
      </c>
      <c r="D174" s="15" t="inlineStr">
        <is>
          <t>KOSDAQ GLOBAL</t>
        </is>
      </c>
      <c r="E174" s="15" t="inlineStr">
        <is>
          <t>IDM/제조/메모리</t>
        </is>
      </c>
      <c r="F174" s="15" t="n">
        <v>47.13</v>
      </c>
      <c r="G174" s="15" t="n">
        <v>42.86</v>
      </c>
      <c r="H174" s="15" t="inlineStr">
        <is>
          <t>중립</t>
        </is>
      </c>
      <c r="I174" s="15" t="inlineStr">
        <is>
          <t>0.8223266790603506</t>
        </is>
      </c>
      <c r="J174" t="inlineStr"/>
      <c r="K174" t="inlineStr"/>
      <c r="L174" t="inlineStr"/>
    </row>
    <row r="175" ht="22" customHeight="1">
      <c r="A175" s="15" t="inlineStr">
        <is>
          <t>한미반도체</t>
        </is>
      </c>
      <c r="B175" s="15" t="inlineStr">
        <is>
          <t>hanmi</t>
        </is>
      </c>
      <c r="C175" s="15" t="inlineStr">
        <is>
          <t>042700</t>
        </is>
      </c>
      <c r="D175" s="15" t="inlineStr">
        <is>
          <t>KOSPI</t>
        </is>
      </c>
      <c r="E175" s="15" t="inlineStr">
        <is>
          <t>후공정/패키징/테스트</t>
        </is>
      </c>
      <c r="F175" s="15" t="n">
        <v>47.13</v>
      </c>
      <c r="G175" s="15" t="n">
        <v>0</v>
      </c>
      <c r="H175" s="15" t="inlineStr">
        <is>
          <t>중립</t>
        </is>
      </c>
      <c r="I175" s="15" t="inlineStr">
        <is>
          <t>0.618072727307107</t>
        </is>
      </c>
      <c r="J175" s="15" t="inlineStr">
        <is>
          <t>예</t>
        </is>
      </c>
      <c r="K175" t="inlineStr"/>
      <c r="L175" t="inlineStr"/>
    </row>
    <row r="176" ht="22" customHeight="1">
      <c r="A176" s="15" t="inlineStr">
        <is>
          <t>큐엠씨</t>
        </is>
      </c>
      <c r="B176" t="inlineStr"/>
      <c r="C176" s="15" t="inlineStr">
        <is>
          <t>136660</t>
        </is>
      </c>
      <c r="D176" s="15" t="inlineStr">
        <is>
          <t>KONEX</t>
        </is>
      </c>
      <c r="E176" s="15" t="inlineStr">
        <is>
          <t>후공정/패키징/테스트</t>
        </is>
      </c>
      <c r="F176" s="15" t="n">
        <v>47.11</v>
      </c>
      <c r="G176" s="15" t="n">
        <v>28.57</v>
      </c>
      <c r="H176" s="15" t="inlineStr">
        <is>
          <t>중립</t>
        </is>
      </c>
      <c r="I176" s="15" t="inlineStr">
        <is>
          <t>0.9731046168075388</t>
        </is>
      </c>
      <c r="J176" t="inlineStr"/>
      <c r="K176" t="inlineStr"/>
      <c r="L176" t="inlineStr"/>
    </row>
    <row r="177" ht="22" customHeight="1">
      <c r="A177" s="15" t="inlineStr">
        <is>
          <t>동진쎄미켐</t>
        </is>
      </c>
      <c r="B177" t="inlineStr"/>
      <c r="C177" s="15" t="inlineStr">
        <is>
          <t>005290</t>
        </is>
      </c>
      <c r="D177" s="15" t="inlineStr">
        <is>
          <t>KOSDAQ</t>
        </is>
      </c>
      <c r="E177" s="15" t="inlineStr">
        <is>
          <t>소재</t>
        </is>
      </c>
      <c r="F177" s="15" t="n">
        <v>47.03</v>
      </c>
      <c r="G177" s="15" t="n">
        <v>0</v>
      </c>
      <c r="H177" s="15" t="inlineStr">
        <is>
          <t>중립</t>
        </is>
      </c>
      <c r="I177" s="15" t="inlineStr">
        <is>
          <t>0.48929755601795294</t>
        </is>
      </c>
      <c r="J177" t="inlineStr"/>
      <c r="K177" t="inlineStr"/>
      <c r="L177" t="inlineStr"/>
    </row>
    <row r="178" ht="22" customHeight="1">
      <c r="A178" s="15" t="inlineStr">
        <is>
          <t>럭스피아</t>
        </is>
      </c>
      <c r="B178" t="inlineStr"/>
      <c r="C178" s="15" t="inlineStr">
        <is>
          <t>092590</t>
        </is>
      </c>
      <c r="D178" s="15" t="inlineStr">
        <is>
          <t>KONEX</t>
        </is>
      </c>
      <c r="E178" s="15" t="inlineStr">
        <is>
          <t>후공정/패키징/테스트</t>
        </is>
      </c>
      <c r="F178" s="15" t="n">
        <v>46.81</v>
      </c>
      <c r="G178" s="15" t="n">
        <v>28.57</v>
      </c>
      <c r="H178" s="15" t="inlineStr">
        <is>
          <t>중립</t>
        </is>
      </c>
      <c r="I178" s="15" t="inlineStr">
        <is>
          <t>0.969533908094729</t>
        </is>
      </c>
      <c r="J178" t="inlineStr"/>
      <c r="K178" t="inlineStr"/>
      <c r="L178" t="inlineStr"/>
    </row>
    <row r="179" ht="22" customHeight="1">
      <c r="A179" s="15" t="inlineStr">
        <is>
          <t>코리아써키트</t>
        </is>
      </c>
      <c r="B179" t="inlineStr"/>
      <c r="C179" s="15" t="inlineStr">
        <is>
          <t>007810</t>
        </is>
      </c>
      <c r="D179" s="15" t="inlineStr">
        <is>
          <t>KOSPI</t>
        </is>
      </c>
      <c r="E179" s="15" t="inlineStr">
        <is>
          <t>부품/기판</t>
        </is>
      </c>
      <c r="F179" s="15" t="n">
        <v>46.76</v>
      </c>
      <c r="G179" s="15" t="n">
        <v>28.57</v>
      </c>
      <c r="H179" s="15" t="inlineStr">
        <is>
          <t>중립</t>
        </is>
      </c>
      <c r="I179" s="15" t="inlineStr">
        <is>
          <t>0.8409076697911426</t>
        </is>
      </c>
      <c r="J179" t="inlineStr"/>
      <c r="K179" t="inlineStr"/>
      <c r="L179" t="inlineStr"/>
    </row>
    <row r="180" ht="22" customHeight="1">
      <c r="A180" s="15" t="inlineStr">
        <is>
          <t>싸이닉솔루션</t>
        </is>
      </c>
      <c r="B180" t="inlineStr"/>
      <c r="C180" s="15" t="inlineStr">
        <is>
          <t>234030</t>
        </is>
      </c>
      <c r="D180" s="15" t="inlineStr">
        <is>
          <t>KOSDAQ</t>
        </is>
      </c>
      <c r="E180" s="15" t="inlineStr">
        <is>
          <t>팹리스/설계</t>
        </is>
      </c>
      <c r="F180" s="15" t="n">
        <v>46.71</v>
      </c>
      <c r="G180" s="15" t="n">
        <v>35.71</v>
      </c>
      <c r="H180" s="15" t="inlineStr">
        <is>
          <t>중립</t>
        </is>
      </c>
      <c r="I180" s="15" t="inlineStr">
        <is>
          <t>0.7962034217650586</t>
        </is>
      </c>
      <c r="J180" t="inlineStr"/>
      <c r="K180" t="inlineStr"/>
      <c r="L180" t="inlineStr"/>
    </row>
    <row r="181" ht="22" customHeight="1">
      <c r="A181" s="15" t="inlineStr">
        <is>
          <t>HD현대에너지솔루션</t>
        </is>
      </c>
      <c r="B181" t="inlineStr"/>
      <c r="C181" s="15" t="inlineStr">
        <is>
          <t>322000</t>
        </is>
      </c>
      <c r="D181" s="15" t="inlineStr">
        <is>
          <t>KOSPI</t>
        </is>
      </c>
      <c r="E181" s="15" t="inlineStr">
        <is>
          <t>IDM/제조/메모리</t>
        </is>
      </c>
      <c r="F181" s="15" t="n">
        <v>46.5</v>
      </c>
      <c r="G181" s="15" t="n">
        <v>14.29</v>
      </c>
      <c r="H181" s="15" t="inlineStr">
        <is>
          <t>중립</t>
        </is>
      </c>
      <c r="I181" s="15" t="inlineStr">
        <is>
          <t>0.6226975287022534</t>
        </is>
      </c>
      <c r="J181" t="inlineStr"/>
      <c r="K181" t="inlineStr"/>
      <c r="L181" t="inlineStr"/>
    </row>
    <row r="182" ht="22" customHeight="1">
      <c r="A182" s="15" t="inlineStr">
        <is>
          <t>원익IPS</t>
        </is>
      </c>
      <c r="B182" t="inlineStr"/>
      <c r="C182" s="15" t="inlineStr">
        <is>
          <t>240810</t>
        </is>
      </c>
      <c r="D182" s="15" t="inlineStr">
        <is>
          <t>KOSDAQ GLOBAL</t>
        </is>
      </c>
      <c r="E182" s="15" t="inlineStr">
        <is>
          <t>장비</t>
        </is>
      </c>
      <c r="F182" s="15" t="n">
        <v>46.35</v>
      </c>
      <c r="G182" s="15" t="n">
        <v>7.14</v>
      </c>
      <c r="H182" s="15" t="inlineStr">
        <is>
          <t>중립</t>
        </is>
      </c>
      <c r="I182" s="15" t="inlineStr">
        <is>
          <t>0.5727476694226805</t>
        </is>
      </c>
      <c r="J182" t="inlineStr"/>
      <c r="K182" t="inlineStr"/>
      <c r="L182" t="inlineStr"/>
    </row>
    <row r="183" ht="22" customHeight="1">
      <c r="A183" s="15" t="inlineStr">
        <is>
          <t>파크시스템스</t>
        </is>
      </c>
      <c r="B183" t="inlineStr"/>
      <c r="C183" s="15" t="inlineStr">
        <is>
          <t>140860</t>
        </is>
      </c>
      <c r="D183" s="15" t="inlineStr">
        <is>
          <t>KOSDAQ GLOBAL</t>
        </is>
      </c>
      <c r="E183" s="15" t="inlineStr">
        <is>
          <t>장비</t>
        </is>
      </c>
      <c r="F183" s="15" t="n">
        <v>46.12</v>
      </c>
      <c r="G183" s="15" t="n">
        <v>7.14</v>
      </c>
      <c r="H183" s="15" t="inlineStr">
        <is>
          <t>중립</t>
        </is>
      </c>
      <c r="I183" s="15" t="inlineStr">
        <is>
          <t>0.7158734205313764</t>
        </is>
      </c>
      <c r="J183" t="inlineStr"/>
      <c r="K183" t="inlineStr"/>
      <c r="L183" t="inlineStr"/>
    </row>
    <row r="184" ht="22" customHeight="1">
      <c r="A184" s="15" t="inlineStr">
        <is>
          <t>와이투솔루션</t>
        </is>
      </c>
      <c r="B184" t="inlineStr"/>
      <c r="C184" s="15" t="inlineStr">
        <is>
          <t>011690</t>
        </is>
      </c>
      <c r="D184" s="15" t="inlineStr">
        <is>
          <t>KOSPI</t>
        </is>
      </c>
      <c r="E184" s="15" t="inlineStr">
        <is>
          <t>IDM/제조/메모리</t>
        </is>
      </c>
      <c r="F184" s="15" t="n">
        <v>46.02</v>
      </c>
      <c r="G184" s="15" t="n">
        <v>57.14</v>
      </c>
      <c r="H184" s="15" t="inlineStr">
        <is>
          <t>중립</t>
        </is>
      </c>
      <c r="I184" s="15" t="inlineStr">
        <is>
          <t>0.7379153959384467</t>
        </is>
      </c>
      <c r="J184" t="inlineStr"/>
      <c r="K184" t="inlineStr"/>
      <c r="L184" t="inlineStr"/>
    </row>
    <row r="185" ht="22" customHeight="1">
      <c r="A185" s="15" t="inlineStr">
        <is>
          <t>서플러스글로벌</t>
        </is>
      </c>
      <c r="B185" t="inlineStr"/>
      <c r="C185" s="15" t="inlineStr">
        <is>
          <t>140070</t>
        </is>
      </c>
      <c r="D185" s="15" t="inlineStr">
        <is>
          <t>KOSDAQ</t>
        </is>
      </c>
      <c r="E185" s="15" t="inlineStr">
        <is>
          <t>장비</t>
        </is>
      </c>
      <c r="F185" s="15" t="n">
        <v>45.95</v>
      </c>
      <c r="G185" s="15" t="n">
        <v>71.43000000000001</v>
      </c>
      <c r="H185" s="15" t="inlineStr">
        <is>
          <t>중립</t>
        </is>
      </c>
      <c r="I185" s="15" t="inlineStr">
        <is>
          <t>0.6515364241286621</t>
        </is>
      </c>
      <c r="J185" t="inlineStr"/>
      <c r="K185" t="inlineStr"/>
      <c r="L185" t="inlineStr"/>
    </row>
    <row r="186" ht="22" customHeight="1">
      <c r="A186" s="15" t="inlineStr">
        <is>
          <t>아이텍</t>
        </is>
      </c>
      <c r="B186" t="inlineStr"/>
      <c r="C186" s="15" t="inlineStr">
        <is>
          <t>119830</t>
        </is>
      </c>
      <c r="D186" s="15" t="inlineStr">
        <is>
          <t>KOSDAQ</t>
        </is>
      </c>
      <c r="E186" s="15" t="inlineStr">
        <is>
          <t>후공정/패키징/테스트</t>
        </is>
      </c>
      <c r="F186" s="15" t="n">
        <v>45.73</v>
      </c>
      <c r="G186" s="15" t="n">
        <v>21.43</v>
      </c>
      <c r="H186" s="15" t="inlineStr">
        <is>
          <t>중립</t>
        </is>
      </c>
      <c r="I186" s="15" t="inlineStr">
        <is>
          <t>0.6018206034002739</t>
        </is>
      </c>
      <c r="J186" t="inlineStr"/>
      <c r="K186" t="inlineStr"/>
      <c r="L186" t="inlineStr"/>
    </row>
    <row r="187" ht="22" customHeight="1">
      <c r="A187" s="15" t="inlineStr">
        <is>
          <t>신성이엔지</t>
        </is>
      </c>
      <c r="B187" t="inlineStr"/>
      <c r="C187" s="15" t="inlineStr">
        <is>
          <t>011930</t>
        </is>
      </c>
      <c r="D187" s="15" t="inlineStr">
        <is>
          <t>KOSPI</t>
        </is>
      </c>
      <c r="E187" s="15" t="inlineStr">
        <is>
          <t>IDM/제조/메모리</t>
        </is>
      </c>
      <c r="F187" s="15" t="n">
        <v>45.52</v>
      </c>
      <c r="G187" s="15" t="n">
        <v>57.14</v>
      </c>
      <c r="H187" s="15" t="inlineStr">
        <is>
          <t>중립</t>
        </is>
      </c>
      <c r="I187" s="15" t="inlineStr">
        <is>
          <t>0.7610157176994289</t>
        </is>
      </c>
      <c r="J187" t="inlineStr"/>
      <c r="K187" t="inlineStr"/>
      <c r="L187" t="inlineStr"/>
    </row>
    <row r="188" ht="22" customHeight="1">
      <c r="A188" s="15" t="inlineStr">
        <is>
          <t>KEC</t>
        </is>
      </c>
      <c r="B188" t="inlineStr"/>
      <c r="C188" s="15" t="inlineStr">
        <is>
          <t>092220</t>
        </is>
      </c>
      <c r="D188" s="15" t="inlineStr">
        <is>
          <t>KOSPI</t>
        </is>
      </c>
      <c r="E188" s="15" t="inlineStr">
        <is>
          <t>IDM/제조/메모리</t>
        </is>
      </c>
      <c r="F188" s="15" t="n">
        <v>45.5</v>
      </c>
      <c r="G188" s="15" t="n">
        <v>50</v>
      </c>
      <c r="H188" s="15" t="inlineStr">
        <is>
          <t>중립</t>
        </is>
      </c>
      <c r="I188" s="15" t="inlineStr">
        <is>
          <t>0.7937660338126779</t>
        </is>
      </c>
      <c r="J188" t="inlineStr"/>
      <c r="K188" t="inlineStr"/>
      <c r="L188" t="inlineStr"/>
    </row>
    <row r="189" ht="22" customHeight="1">
      <c r="A189" s="15" t="inlineStr">
        <is>
          <t>에스티아이</t>
        </is>
      </c>
      <c r="B189" t="inlineStr"/>
      <c r="C189" s="15" t="inlineStr">
        <is>
          <t>039440</t>
        </is>
      </c>
      <c r="D189" s="15" t="inlineStr">
        <is>
          <t>KOSDAQ</t>
        </is>
      </c>
      <c r="E189" s="15" t="inlineStr">
        <is>
          <t>장비</t>
        </is>
      </c>
      <c r="F189" s="15" t="n">
        <v>45.5</v>
      </c>
      <c r="G189" s="15" t="n">
        <v>0</v>
      </c>
      <c r="H189" s="15" t="inlineStr">
        <is>
          <t>중립</t>
        </is>
      </c>
      <c r="I189" s="15" t="inlineStr">
        <is>
          <t>0.53270990340385</t>
        </is>
      </c>
      <c r="J189" t="inlineStr"/>
      <c r="K189" t="inlineStr"/>
      <c r="L189" t="inlineStr"/>
    </row>
    <row r="190" ht="22" customHeight="1">
      <c r="A190" s="15" t="inlineStr">
        <is>
          <t>윈팩</t>
        </is>
      </c>
      <c r="B190" t="inlineStr"/>
      <c r="C190" s="15" t="inlineStr">
        <is>
          <t>097800</t>
        </is>
      </c>
      <c r="D190" s="15" t="inlineStr">
        <is>
          <t>KOSDAQ</t>
        </is>
      </c>
      <c r="E190" s="15" t="inlineStr">
        <is>
          <t>후공정/패키징/테스트</t>
        </is>
      </c>
      <c r="F190" s="15" t="n">
        <v>44.18</v>
      </c>
      <c r="G190" s="15" t="n">
        <v>71.43000000000001</v>
      </c>
      <c r="H190" s="15" t="inlineStr">
        <is>
          <t>중립</t>
        </is>
      </c>
      <c r="I190" s="15" t="inlineStr">
        <is>
          <t>0.5735742758518154</t>
        </is>
      </c>
      <c r="J190" t="inlineStr"/>
      <c r="K190" t="inlineStr"/>
      <c r="L190" t="inlineStr"/>
    </row>
    <row r="191" ht="22" customHeight="1">
      <c r="A191" s="15" t="inlineStr">
        <is>
          <t>켐트로닉스</t>
        </is>
      </c>
      <c r="B191" t="inlineStr"/>
      <c r="C191" s="15" t="inlineStr">
        <is>
          <t>089010</t>
        </is>
      </c>
      <c r="D191" s="15" t="inlineStr">
        <is>
          <t>KOSDAQ</t>
        </is>
      </c>
      <c r="E191" s="15" t="inlineStr">
        <is>
          <t>소재</t>
        </is>
      </c>
      <c r="F191" s="15" t="n">
        <v>44.13</v>
      </c>
      <c r="G191" s="15" t="n">
        <v>35.71</v>
      </c>
      <c r="H191" s="15" t="inlineStr">
        <is>
          <t>중립</t>
        </is>
      </c>
      <c r="I191" s="15" t="inlineStr">
        <is>
          <t>0.7697961799623572</t>
        </is>
      </c>
      <c r="J191" t="inlineStr"/>
      <c r="K191" t="inlineStr"/>
      <c r="L191" t="inlineStr"/>
    </row>
    <row r="192" ht="22" customHeight="1">
      <c r="A192" s="15" t="inlineStr">
        <is>
          <t>팸텍</t>
        </is>
      </c>
      <c r="B192" t="inlineStr"/>
      <c r="C192" s="15" t="inlineStr">
        <is>
          <t>271830</t>
        </is>
      </c>
      <c r="D192" s="15" t="inlineStr">
        <is>
          <t>KOSDAQ</t>
        </is>
      </c>
      <c r="E192" s="15" t="inlineStr">
        <is>
          <t>후공정/패키징/테스트</t>
        </is>
      </c>
      <c r="F192" s="15" t="n">
        <v>44.03</v>
      </c>
      <c r="G192" s="15" t="n">
        <v>57.14</v>
      </c>
      <c r="H192" s="15" t="inlineStr">
        <is>
          <t>중립</t>
        </is>
      </c>
      <c r="I192" s="15" t="inlineStr">
        <is>
          <t>0.6809009837226325</t>
        </is>
      </c>
      <c r="J192" t="inlineStr"/>
      <c r="K192" t="inlineStr"/>
      <c r="L192" t="inlineStr"/>
    </row>
    <row r="193" ht="22" customHeight="1">
      <c r="A193" s="15" t="inlineStr">
        <is>
          <t>LB세미콘</t>
        </is>
      </c>
      <c r="B193" t="inlineStr"/>
      <c r="C193" s="15" t="inlineStr">
        <is>
          <t>061970</t>
        </is>
      </c>
      <c r="D193" s="15" t="inlineStr">
        <is>
          <t>KOSDAQ</t>
        </is>
      </c>
      <c r="E193" s="15" t="inlineStr">
        <is>
          <t>후공정/패키징/테스트</t>
        </is>
      </c>
      <c r="F193" s="15" t="n">
        <v>43.94</v>
      </c>
      <c r="G193" s="15" t="n">
        <v>57.14</v>
      </c>
      <c r="H193" s="15" t="inlineStr">
        <is>
          <t>중립</t>
        </is>
      </c>
      <c r="I193" s="15" t="inlineStr">
        <is>
          <t>0.519835518569549</t>
        </is>
      </c>
      <c r="J193" t="inlineStr"/>
      <c r="K193" t="inlineStr"/>
      <c r="L193" t="inlineStr"/>
    </row>
    <row r="194" ht="22" customHeight="1">
      <c r="A194" s="15" t="inlineStr">
        <is>
          <t>유진테크</t>
        </is>
      </c>
      <c r="B194" t="inlineStr"/>
      <c r="C194" s="15" t="inlineStr">
        <is>
          <t>084370</t>
        </is>
      </c>
      <c r="D194" s="15" t="inlineStr">
        <is>
          <t>KOSDAQ</t>
        </is>
      </c>
      <c r="E194" s="15" t="inlineStr">
        <is>
          <t>장비</t>
        </is>
      </c>
      <c r="F194" s="15" t="n">
        <v>43.36</v>
      </c>
      <c r="G194" s="15" t="n">
        <v>0</v>
      </c>
      <c r="H194" s="15" t="inlineStr">
        <is>
          <t>중립</t>
        </is>
      </c>
      <c r="I194" s="15" t="inlineStr">
        <is>
          <t>0.7415227894291446</t>
        </is>
      </c>
      <c r="J194" t="inlineStr"/>
      <c r="K194" t="inlineStr"/>
      <c r="L194" t="inlineStr"/>
    </row>
    <row r="195" ht="22" customHeight="1">
      <c r="A195" s="15" t="inlineStr">
        <is>
          <t>일진디스플</t>
        </is>
      </c>
      <c r="B195" t="inlineStr"/>
      <c r="C195" s="15" t="inlineStr">
        <is>
          <t>020760</t>
        </is>
      </c>
      <c r="D195" s="15" t="inlineStr">
        <is>
          <t>KOSPI</t>
        </is>
      </c>
      <c r="E195" s="15" t="inlineStr">
        <is>
          <t>IDM/제조/메모리</t>
        </is>
      </c>
      <c r="F195" s="15" t="n">
        <v>43.35</v>
      </c>
      <c r="G195" s="15" t="n">
        <v>64.29000000000001</v>
      </c>
      <c r="H195" s="15" t="inlineStr">
        <is>
          <t>중립</t>
        </is>
      </c>
      <c r="I195" s="15" t="inlineStr">
        <is>
          <t>0.7887205359697603</t>
        </is>
      </c>
      <c r="J195" t="inlineStr"/>
      <c r="K195" t="inlineStr"/>
      <c r="L195" t="inlineStr"/>
    </row>
    <row r="196" ht="22" customHeight="1">
      <c r="A196" s="15" t="inlineStr">
        <is>
          <t>덕산하이메탈</t>
        </is>
      </c>
      <c r="B196" t="inlineStr"/>
      <c r="C196" s="15" t="inlineStr">
        <is>
          <t>077360</t>
        </is>
      </c>
      <c r="D196" s="15" t="inlineStr">
        <is>
          <t>KOSDAQ</t>
        </is>
      </c>
      <c r="E196" s="15" t="inlineStr">
        <is>
          <t>IDM/제조/메모리</t>
        </is>
      </c>
      <c r="F196" s="15" t="n">
        <v>43.33</v>
      </c>
      <c r="G196" s="15" t="n">
        <v>28.57</v>
      </c>
      <c r="H196" s="15" t="inlineStr">
        <is>
          <t>중립</t>
        </is>
      </c>
      <c r="I196" s="15" t="inlineStr">
        <is>
          <t>0.6698541971057747</t>
        </is>
      </c>
      <c r="J196" t="inlineStr"/>
      <c r="K196" t="inlineStr"/>
      <c r="L196" t="inlineStr"/>
    </row>
    <row r="197" ht="22" customHeight="1">
      <c r="A197" s="15" t="inlineStr">
        <is>
          <t>솔브레인</t>
        </is>
      </c>
      <c r="B197" t="inlineStr"/>
      <c r="C197" s="15" t="inlineStr">
        <is>
          <t>357780</t>
        </is>
      </c>
      <c r="D197" s="15" t="inlineStr">
        <is>
          <t>KOSDAQ GLOBAL</t>
        </is>
      </c>
      <c r="E197" s="15" t="inlineStr">
        <is>
          <t>소재</t>
        </is>
      </c>
      <c r="F197" s="15" t="n">
        <v>43.31</v>
      </c>
      <c r="G197" s="15" t="n">
        <v>0</v>
      </c>
      <c r="H197" s="15" t="inlineStr">
        <is>
          <t>중립</t>
        </is>
      </c>
      <c r="I197" s="15" t="inlineStr">
        <is>
          <t>0.6367158518654258</t>
        </is>
      </c>
      <c r="J197" t="inlineStr"/>
      <c r="K197" t="inlineStr"/>
      <c r="L197" t="inlineStr"/>
    </row>
    <row r="198" ht="22" customHeight="1">
      <c r="A198" s="15" t="inlineStr">
        <is>
          <t>제이티</t>
        </is>
      </c>
      <c r="B198" t="inlineStr"/>
      <c r="C198" s="15" t="inlineStr">
        <is>
          <t>089790</t>
        </is>
      </c>
      <c r="D198" s="15" t="inlineStr">
        <is>
          <t>KOSDAQ</t>
        </is>
      </c>
      <c r="E198" s="15" t="inlineStr">
        <is>
          <t>후공정/패키징/테스트</t>
        </is>
      </c>
      <c r="F198" s="15" t="n">
        <v>42.93</v>
      </c>
      <c r="G198" s="15" t="n">
        <v>28.57</v>
      </c>
      <c r="H198" s="15" t="inlineStr">
        <is>
          <t>중립</t>
        </is>
      </c>
      <c r="I198" s="15" t="inlineStr">
        <is>
          <t>0.7953438622461361</t>
        </is>
      </c>
      <c r="J198" t="inlineStr"/>
      <c r="K198" t="inlineStr"/>
      <c r="L198" t="inlineStr"/>
    </row>
    <row r="199" ht="22" customHeight="1">
      <c r="A199" s="15" t="inlineStr">
        <is>
          <t>아이언디바이스</t>
        </is>
      </c>
      <c r="B199" t="inlineStr"/>
      <c r="C199" s="15" t="inlineStr">
        <is>
          <t>464500</t>
        </is>
      </c>
      <c r="D199" s="15" t="inlineStr">
        <is>
          <t>KOSDAQ</t>
        </is>
      </c>
      <c r="E199" s="15" t="inlineStr">
        <is>
          <t>팹리스/설계</t>
        </is>
      </c>
      <c r="F199" s="15" t="n">
        <v>42.79</v>
      </c>
      <c r="G199" s="15" t="n">
        <v>57.14</v>
      </c>
      <c r="H199" s="15" t="inlineStr">
        <is>
          <t>중립</t>
        </is>
      </c>
      <c r="I199" s="15" t="inlineStr">
        <is>
          <t>0.767854918982104</t>
        </is>
      </c>
      <c r="J199" t="inlineStr"/>
      <c r="K199" t="inlineStr"/>
      <c r="L199" t="inlineStr"/>
    </row>
    <row r="200" ht="22" customHeight="1">
      <c r="A200" s="15" t="inlineStr">
        <is>
          <t>제너셈</t>
        </is>
      </c>
      <c r="B200" t="inlineStr"/>
      <c r="C200" s="15" t="inlineStr">
        <is>
          <t>217190</t>
        </is>
      </c>
      <c r="D200" s="15" t="inlineStr">
        <is>
          <t>KOSDAQ</t>
        </is>
      </c>
      <c r="E200" s="15" t="inlineStr">
        <is>
          <t>후공정/패키징/테스트</t>
        </is>
      </c>
      <c r="F200" s="15" t="n">
        <v>42.79</v>
      </c>
      <c r="G200" s="15" t="n">
        <v>28.57</v>
      </c>
      <c r="H200" s="15" t="inlineStr">
        <is>
          <t>중립</t>
        </is>
      </c>
      <c r="I200" s="15" t="inlineStr">
        <is>
          <t>0.7410125545144256</t>
        </is>
      </c>
      <c r="J200" t="inlineStr"/>
      <c r="K200" t="inlineStr"/>
      <c r="L200" t="inlineStr"/>
    </row>
    <row r="201" ht="22" customHeight="1">
      <c r="A201" s="15" t="inlineStr">
        <is>
          <t>에이디테크놀로지</t>
        </is>
      </c>
      <c r="B201" t="inlineStr"/>
      <c r="C201" s="15" t="inlineStr">
        <is>
          <t>200710</t>
        </is>
      </c>
      <c r="D201" s="15" t="inlineStr">
        <is>
          <t>KOSDAQ</t>
        </is>
      </c>
      <c r="E201" s="15" t="inlineStr">
        <is>
          <t>IDM/제조/메모리</t>
        </is>
      </c>
      <c r="F201" s="15" t="n">
        <v>42.72</v>
      </c>
      <c r="G201" s="15" t="n">
        <v>28.57</v>
      </c>
      <c r="H201" s="15" t="inlineStr">
        <is>
          <t>중립</t>
        </is>
      </c>
      <c r="I201" s="15" t="inlineStr">
        <is>
          <t>0.6637416757093363</t>
        </is>
      </c>
      <c r="J201" t="inlineStr"/>
      <c r="K201" t="inlineStr"/>
      <c r="L201" t="inlineStr"/>
    </row>
    <row r="202" ht="22" customHeight="1">
      <c r="A202" s="15" t="inlineStr">
        <is>
          <t>쓰리에이로직스</t>
        </is>
      </c>
      <c r="B202" t="inlineStr"/>
      <c r="C202" s="15" t="inlineStr">
        <is>
          <t>177900</t>
        </is>
      </c>
      <c r="D202" s="15" t="inlineStr">
        <is>
          <t>KOSDAQ</t>
        </is>
      </c>
      <c r="E202" s="15" t="inlineStr">
        <is>
          <t>팹리스/설계</t>
        </is>
      </c>
      <c r="F202" s="15" t="n">
        <v>42.67</v>
      </c>
      <c r="G202" s="15" t="n">
        <v>57.14</v>
      </c>
      <c r="H202" s="15" t="inlineStr">
        <is>
          <t>중립</t>
        </is>
      </c>
      <c r="I202" s="15" t="inlineStr">
        <is>
          <t>0.5793703556022938</t>
        </is>
      </c>
      <c r="J202" t="inlineStr"/>
      <c r="K202" t="inlineStr"/>
      <c r="L202" t="inlineStr"/>
    </row>
    <row r="203" ht="22" customHeight="1">
      <c r="A203" s="15" t="inlineStr">
        <is>
          <t>제우스</t>
        </is>
      </c>
      <c r="B203" t="inlineStr"/>
      <c r="C203" s="15" t="inlineStr">
        <is>
          <t>079370</t>
        </is>
      </c>
      <c r="D203" s="15" t="inlineStr">
        <is>
          <t>KOSDAQ</t>
        </is>
      </c>
      <c r="E203" s="15" t="inlineStr">
        <is>
          <t>장비</t>
        </is>
      </c>
      <c r="F203" s="15" t="n">
        <v>42.59</v>
      </c>
      <c r="G203" s="15" t="n">
        <v>21.43</v>
      </c>
      <c r="H203" s="15" t="inlineStr">
        <is>
          <t>중립</t>
        </is>
      </c>
      <c r="I203" s="15" t="inlineStr">
        <is>
          <t>0.7744454918412472</t>
        </is>
      </c>
      <c r="J203" t="inlineStr"/>
      <c r="K203" t="inlineStr"/>
      <c r="L203" t="inlineStr"/>
    </row>
    <row r="204" ht="22" customHeight="1">
      <c r="A204" s="15" t="inlineStr">
        <is>
          <t>네패스아크</t>
        </is>
      </c>
      <c r="B204" t="inlineStr"/>
      <c r="C204" s="15" t="inlineStr">
        <is>
          <t>330860</t>
        </is>
      </c>
      <c r="D204" s="15" t="inlineStr">
        <is>
          <t>KOSDAQ</t>
        </is>
      </c>
      <c r="E204" s="15" t="inlineStr">
        <is>
          <t>후공정/패키징/테스트</t>
        </is>
      </c>
      <c r="F204" s="15" t="n">
        <v>42.07</v>
      </c>
      <c r="G204" s="15" t="n">
        <v>0</v>
      </c>
      <c r="H204" s="15" t="inlineStr">
        <is>
          <t>고평가 부담</t>
        </is>
      </c>
      <c r="I204" s="15" t="inlineStr">
        <is>
          <t>0.5804758808286147</t>
        </is>
      </c>
      <c r="J204" t="inlineStr"/>
      <c r="K204" t="inlineStr"/>
      <c r="L204" t="inlineStr"/>
    </row>
    <row r="205" ht="22" customHeight="1">
      <c r="A205" s="15" t="inlineStr">
        <is>
          <t>마이크로투나노</t>
        </is>
      </c>
      <c r="B205" t="inlineStr"/>
      <c r="C205" s="15" t="inlineStr">
        <is>
          <t>424980</t>
        </is>
      </c>
      <c r="D205" s="15" t="inlineStr">
        <is>
          <t>KOSDAQ</t>
        </is>
      </c>
      <c r="E205" s="15" t="inlineStr">
        <is>
          <t>후공정/패키징/테스트</t>
        </is>
      </c>
      <c r="F205" s="15" t="n">
        <v>41.88</v>
      </c>
      <c r="G205" s="15" t="n">
        <v>57.14</v>
      </c>
      <c r="H205" s="15" t="inlineStr">
        <is>
          <t>고평가 부담</t>
        </is>
      </c>
      <c r="I205" s="15" t="inlineStr">
        <is>
          <t>0.8919952418828875</t>
        </is>
      </c>
      <c r="J205" t="inlineStr"/>
      <c r="K205" t="inlineStr"/>
      <c r="L205" t="inlineStr"/>
    </row>
    <row r="206" ht="22" customHeight="1">
      <c r="A206" s="15" t="inlineStr">
        <is>
          <t>광전자</t>
        </is>
      </c>
      <c r="B206" t="inlineStr"/>
      <c r="C206" s="15" t="inlineStr">
        <is>
          <t>017900</t>
        </is>
      </c>
      <c r="D206" s="15" t="inlineStr">
        <is>
          <t>KOSPI</t>
        </is>
      </c>
      <c r="E206" s="15" t="inlineStr">
        <is>
          <t>IDM/제조/메모리</t>
        </is>
      </c>
      <c r="F206" s="15" t="n">
        <v>41.84</v>
      </c>
      <c r="G206" s="15" t="n">
        <v>21.43</v>
      </c>
      <c r="H206" s="15" t="inlineStr">
        <is>
          <t>고평가 부담</t>
        </is>
      </c>
      <c r="I206" s="15" t="inlineStr">
        <is>
          <t>0.6817751829328556</t>
        </is>
      </c>
      <c r="J206" t="inlineStr"/>
      <c r="K206" t="inlineStr"/>
      <c r="L206" t="inlineStr"/>
    </row>
    <row r="207" ht="22" customHeight="1">
      <c r="A207" s="15" t="inlineStr">
        <is>
          <t>아진엑스텍</t>
        </is>
      </c>
      <c r="B207" t="inlineStr"/>
      <c r="C207" s="15" t="inlineStr">
        <is>
          <t>059120</t>
        </is>
      </c>
      <c r="D207" s="15" t="inlineStr">
        <is>
          <t>KOSDAQ</t>
        </is>
      </c>
      <c r="E207" s="15" t="inlineStr">
        <is>
          <t>IDM/제조/메모리</t>
        </is>
      </c>
      <c r="F207" s="15" t="n">
        <v>41.28</v>
      </c>
      <c r="G207" s="15" t="n">
        <v>7.14</v>
      </c>
      <c r="H207" s="15" t="inlineStr">
        <is>
          <t>고평가 부담</t>
        </is>
      </c>
      <c r="I207" s="15" t="inlineStr">
        <is>
          <t>0.6635799672057409</t>
        </is>
      </c>
      <c r="J207" t="inlineStr"/>
      <c r="K207" t="inlineStr"/>
      <c r="L207" t="inlineStr"/>
    </row>
    <row r="208" ht="22" customHeight="1">
      <c r="A208" s="15" t="inlineStr">
        <is>
          <t>아이티엠반도체</t>
        </is>
      </c>
      <c r="B208" t="inlineStr"/>
      <c r="C208" s="15" t="inlineStr">
        <is>
          <t>084850</t>
        </is>
      </c>
      <c r="D208" s="15" t="inlineStr">
        <is>
          <t>KOSDAQ GLOBAL</t>
        </is>
      </c>
      <c r="E208" s="15" t="inlineStr">
        <is>
          <t>부품/기판</t>
        </is>
      </c>
      <c r="F208" s="15" t="n">
        <v>41.24</v>
      </c>
      <c r="G208" s="15" t="n">
        <v>50</v>
      </c>
      <c r="H208" s="15" t="inlineStr">
        <is>
          <t>고평가 부담</t>
        </is>
      </c>
      <c r="I208" s="15" t="inlineStr">
        <is>
          <t>0.599341656390115</t>
        </is>
      </c>
      <c r="J208" t="inlineStr"/>
      <c r="K208" t="inlineStr"/>
      <c r="L208" t="inlineStr"/>
    </row>
    <row r="209" ht="22" customHeight="1">
      <c r="A209" s="15" t="inlineStr">
        <is>
          <t>램테크놀러지</t>
        </is>
      </c>
      <c r="B209" t="inlineStr"/>
      <c r="C209" s="15" t="inlineStr">
        <is>
          <t>171010</t>
        </is>
      </c>
      <c r="D209" s="15" t="inlineStr">
        <is>
          <t>KOSDAQ</t>
        </is>
      </c>
      <c r="E209" s="15" t="inlineStr">
        <is>
          <t>장비</t>
        </is>
      </c>
      <c r="F209" s="15" t="n">
        <v>40.97</v>
      </c>
      <c r="G209" s="15" t="n">
        <v>64.29000000000001</v>
      </c>
      <c r="H209" s="15" t="inlineStr">
        <is>
          <t>고평가 부담</t>
        </is>
      </c>
      <c r="I209" s="15" t="inlineStr">
        <is>
          <t>0.500591784236833</t>
        </is>
      </c>
      <c r="J209" t="inlineStr"/>
      <c r="K209" t="inlineStr"/>
      <c r="L209" t="inlineStr"/>
    </row>
    <row r="210" ht="22" customHeight="1">
      <c r="A210" s="15" t="inlineStr">
        <is>
          <t>코스텍시스</t>
        </is>
      </c>
      <c r="B210" t="inlineStr"/>
      <c r="C210" s="15" t="inlineStr">
        <is>
          <t>355150</t>
        </is>
      </c>
      <c r="D210" s="15" t="inlineStr">
        <is>
          <t>KOSDAQ</t>
        </is>
      </c>
      <c r="E210" s="15" t="inlineStr">
        <is>
          <t>IDM/제조/메모리</t>
        </is>
      </c>
      <c r="F210" s="15" t="n">
        <v>40.97</v>
      </c>
      <c r="G210" s="15" t="n">
        <v>50</v>
      </c>
      <c r="H210" s="15" t="inlineStr">
        <is>
          <t>고평가 부담</t>
        </is>
      </c>
      <c r="I210" s="15" t="inlineStr">
        <is>
          <t>0.7518748972741711</t>
        </is>
      </c>
      <c r="J210" t="inlineStr"/>
      <c r="K210" t="inlineStr"/>
      <c r="L210" t="inlineStr"/>
    </row>
    <row r="211" ht="22" customHeight="1">
      <c r="A211" s="15" t="inlineStr">
        <is>
          <t>시그네틱스</t>
        </is>
      </c>
      <c r="B211" t="inlineStr"/>
      <c r="C211" s="15" t="inlineStr">
        <is>
          <t>033170</t>
        </is>
      </c>
      <c r="D211" s="15" t="inlineStr">
        <is>
          <t>KOSDAQ</t>
        </is>
      </c>
      <c r="E211" s="15" t="inlineStr">
        <is>
          <t>후공정/패키징/테스트</t>
        </is>
      </c>
      <c r="F211" s="15" t="n">
        <v>40.68</v>
      </c>
      <c r="G211" s="15" t="n">
        <v>64.29000000000001</v>
      </c>
      <c r="H211" s="15" t="inlineStr">
        <is>
          <t>고평가 부담</t>
        </is>
      </c>
      <c r="I211" s="15" t="inlineStr">
        <is>
          <t>0.6660306558324866</t>
        </is>
      </c>
      <c r="J211" t="inlineStr"/>
      <c r="K211" t="inlineStr"/>
      <c r="L211" t="inlineStr"/>
    </row>
    <row r="212" ht="22" customHeight="1">
      <c r="A212" s="15" t="inlineStr">
        <is>
          <t>디엔에프</t>
        </is>
      </c>
      <c r="B212" t="inlineStr"/>
      <c r="C212" s="15" t="inlineStr">
        <is>
          <t>092070</t>
        </is>
      </c>
      <c r="D212" s="15" t="inlineStr">
        <is>
          <t>KOSDAQ</t>
        </is>
      </c>
      <c r="E212" s="15" t="inlineStr">
        <is>
          <t>소재</t>
        </is>
      </c>
      <c r="F212" s="15" t="n">
        <v>40.41</v>
      </c>
      <c r="G212" s="15" t="n">
        <v>14.29</v>
      </c>
      <c r="H212" s="15" t="inlineStr">
        <is>
          <t>고평가 부담</t>
        </is>
      </c>
      <c r="I212" s="15" t="inlineStr">
        <is>
          <t>0.6833535693717029</t>
        </is>
      </c>
      <c r="J212" t="inlineStr"/>
      <c r="K212" t="inlineStr"/>
      <c r="L212" t="inlineStr"/>
    </row>
    <row r="213" ht="22" customHeight="1">
      <c r="A213" s="15" t="inlineStr">
        <is>
          <t>저스템</t>
        </is>
      </c>
      <c r="B213" t="inlineStr"/>
      <c r="C213" s="15" t="inlineStr">
        <is>
          <t>417840</t>
        </is>
      </c>
      <c r="D213" s="15" t="inlineStr">
        <is>
          <t>KOSDAQ</t>
        </is>
      </c>
      <c r="E213" s="15" t="inlineStr">
        <is>
          <t>장비</t>
        </is>
      </c>
      <c r="F213" s="15" t="n">
        <v>40.36</v>
      </c>
      <c r="G213" s="15" t="n">
        <v>28.57</v>
      </c>
      <c r="H213" s="15" t="inlineStr">
        <is>
          <t>고평가 부담</t>
        </is>
      </c>
      <c r="I213" s="15" t="inlineStr">
        <is>
          <t>0.7213257522774291</t>
        </is>
      </c>
      <c r="J213" t="inlineStr"/>
      <c r="K213" t="inlineStr"/>
      <c r="L213" t="inlineStr"/>
    </row>
    <row r="214" ht="22" customHeight="1">
      <c r="A214" s="15" t="inlineStr">
        <is>
          <t>지아이에스</t>
        </is>
      </c>
      <c r="B214" t="inlineStr"/>
      <c r="C214" s="15" t="inlineStr">
        <is>
          <t>306620</t>
        </is>
      </c>
      <c r="D214" s="15" t="inlineStr">
        <is>
          <t>KOSDAQ</t>
        </is>
      </c>
      <c r="E214" s="15" t="inlineStr">
        <is>
          <t>장비</t>
        </is>
      </c>
      <c r="F214" s="15" t="n">
        <v>40.15</v>
      </c>
      <c r="G214" s="15" t="n">
        <v>57.14</v>
      </c>
      <c r="H214" s="15" t="inlineStr">
        <is>
          <t>고평가 부담</t>
        </is>
      </c>
      <c r="I214" s="15" t="inlineStr">
        <is>
          <t>0.745903271306321</t>
        </is>
      </c>
      <c r="J214" t="inlineStr"/>
      <c r="K214" t="inlineStr"/>
      <c r="L214" t="inlineStr"/>
    </row>
    <row r="215" ht="22" customHeight="1">
      <c r="A215" s="15" t="inlineStr">
        <is>
          <t>대덕전자</t>
        </is>
      </c>
      <c r="B215" t="inlineStr"/>
      <c r="C215" s="15" t="inlineStr">
        <is>
          <t>353200</t>
        </is>
      </c>
      <c r="D215" s="15" t="inlineStr">
        <is>
          <t>KOSPI</t>
        </is>
      </c>
      <c r="E215" s="15" t="inlineStr">
        <is>
          <t>부품/기판</t>
        </is>
      </c>
      <c r="F215" s="15" t="n">
        <v>39.67</v>
      </c>
      <c r="G215" s="15" t="n">
        <v>14.29</v>
      </c>
      <c r="H215" s="15" t="inlineStr">
        <is>
          <t>고평가 부담</t>
        </is>
      </c>
      <c r="I215" s="15" t="inlineStr">
        <is>
          <t>0.6645756407915718</t>
        </is>
      </c>
      <c r="J215" t="inlineStr"/>
      <c r="K215" t="inlineStr"/>
      <c r="L215" t="inlineStr"/>
    </row>
    <row r="216" ht="22" customHeight="1">
      <c r="A216" s="15" t="inlineStr">
        <is>
          <t>고영</t>
        </is>
      </c>
      <c r="B216" t="inlineStr"/>
      <c r="C216" s="15" t="inlineStr">
        <is>
          <t>098460</t>
        </is>
      </c>
      <c r="D216" s="15" t="inlineStr">
        <is>
          <t>KOSDAQ</t>
        </is>
      </c>
      <c r="E216" s="15" t="inlineStr">
        <is>
          <t>후공정/패키징/테스트</t>
        </is>
      </c>
      <c r="F216" s="15" t="n">
        <v>39.33</v>
      </c>
      <c r="G216" s="15" t="n">
        <v>7.14</v>
      </c>
      <c r="H216" s="15" t="inlineStr">
        <is>
          <t>고평가 부담</t>
        </is>
      </c>
      <c r="I216" s="15" t="inlineStr">
        <is>
          <t>0.4306692416005982</t>
        </is>
      </c>
      <c r="J216" t="inlineStr"/>
      <c r="K216" t="inlineStr"/>
      <c r="L216" t="inlineStr"/>
    </row>
    <row r="217" ht="22" customHeight="1">
      <c r="A217" s="15" t="inlineStr">
        <is>
          <t>와이씨켐</t>
        </is>
      </c>
      <c r="B217" t="inlineStr"/>
      <c r="C217" s="15" t="inlineStr">
        <is>
          <t>112290</t>
        </is>
      </c>
      <c r="D217" s="15" t="inlineStr">
        <is>
          <t>KOSDAQ</t>
        </is>
      </c>
      <c r="E217" s="15" t="inlineStr">
        <is>
          <t>소재</t>
        </is>
      </c>
      <c r="F217" s="15" t="n">
        <v>38.36</v>
      </c>
      <c r="G217" s="15" t="n">
        <v>50</v>
      </c>
      <c r="H217" s="15" t="inlineStr">
        <is>
          <t>고평가 부담</t>
        </is>
      </c>
      <c r="I217" s="15" t="inlineStr">
        <is>
          <t>0.7576999610053956</t>
        </is>
      </c>
      <c r="J217" t="inlineStr"/>
      <c r="K217" t="inlineStr"/>
      <c r="L217" t="inlineStr"/>
    </row>
    <row r="218" ht="22" customHeight="1">
      <c r="A218" s="15" t="inlineStr">
        <is>
          <t>에프에스티</t>
        </is>
      </c>
      <c r="B218" t="inlineStr"/>
      <c r="C218" s="15" t="inlineStr">
        <is>
          <t>036810</t>
        </is>
      </c>
      <c r="D218" s="15" t="inlineStr">
        <is>
          <t>KOSDAQ</t>
        </is>
      </c>
      <c r="E218" s="15" t="inlineStr">
        <is>
          <t>장비</t>
        </is>
      </c>
      <c r="F218" s="15" t="n">
        <v>38.27</v>
      </c>
      <c r="G218" s="15" t="n">
        <v>50</v>
      </c>
      <c r="H218" s="15" t="inlineStr">
        <is>
          <t>고평가 부담</t>
        </is>
      </c>
      <c r="I218" s="15" t="inlineStr">
        <is>
          <t>0.8925631629286743</t>
        </is>
      </c>
      <c r="J218" t="inlineStr"/>
      <c r="K218" t="inlineStr"/>
      <c r="L218" t="inlineStr"/>
    </row>
    <row r="219" ht="22" customHeight="1">
      <c r="A219" s="15" t="inlineStr">
        <is>
          <t>나노신소재</t>
        </is>
      </c>
      <c r="B219" t="inlineStr"/>
      <c r="C219" s="15" t="inlineStr">
        <is>
          <t>121600</t>
        </is>
      </c>
      <c r="D219" s="15" t="inlineStr">
        <is>
          <t>KOSDAQ</t>
        </is>
      </c>
      <c r="E219" s="15" t="inlineStr">
        <is>
          <t>장비</t>
        </is>
      </c>
      <c r="F219" s="15" t="n">
        <v>38.23</v>
      </c>
      <c r="G219" s="15" t="n">
        <v>0</v>
      </c>
      <c r="H219" s="15" t="inlineStr">
        <is>
          <t>고평가 부담</t>
        </is>
      </c>
      <c r="I219" s="15" t="inlineStr">
        <is>
          <t>0.7555342246021253</t>
        </is>
      </c>
      <c r="J219" t="inlineStr"/>
      <c r="K219" t="inlineStr"/>
      <c r="L219" t="inlineStr"/>
    </row>
    <row r="220" ht="22" customHeight="1">
      <c r="A220" s="15" t="inlineStr">
        <is>
          <t>심텍</t>
        </is>
      </c>
      <c r="B220" t="inlineStr"/>
      <c r="C220" s="15" t="inlineStr">
        <is>
          <t>222800</t>
        </is>
      </c>
      <c r="D220" s="15" t="inlineStr">
        <is>
          <t>KOSDAQ GLOBAL</t>
        </is>
      </c>
      <c r="E220" s="15" t="inlineStr">
        <is>
          <t>부품/기판</t>
        </is>
      </c>
      <c r="F220" s="15" t="n">
        <v>37.76</v>
      </c>
      <c r="G220" s="15" t="n">
        <v>57.14</v>
      </c>
      <c r="H220" s="15" t="inlineStr">
        <is>
          <t>고평가 부담</t>
        </is>
      </c>
      <c r="I220" s="15" t="inlineStr">
        <is>
          <t>0.5170784842162837</t>
        </is>
      </c>
      <c r="J220" t="inlineStr"/>
      <c r="K220" t="inlineStr"/>
      <c r="L220" t="inlineStr"/>
    </row>
    <row r="221" ht="22" customHeight="1">
      <c r="A221" s="15" t="inlineStr">
        <is>
          <t>아이에이</t>
        </is>
      </c>
      <c r="B221" t="inlineStr"/>
      <c r="C221" s="15" t="inlineStr">
        <is>
          <t>038880</t>
        </is>
      </c>
      <c r="D221" s="15" t="inlineStr">
        <is>
          <t>KOSDAQ</t>
        </is>
      </c>
      <c r="E221" s="15" t="inlineStr">
        <is>
          <t>부품/기판</t>
        </is>
      </c>
      <c r="F221" s="15" t="n">
        <v>37.76</v>
      </c>
      <c r="G221" s="15" t="n">
        <v>71.43000000000001</v>
      </c>
      <c r="H221" s="15" t="inlineStr">
        <is>
          <t>고평가 부담</t>
        </is>
      </c>
      <c r="I221" s="15" t="inlineStr">
        <is>
          <t>0.7739089828714508</t>
        </is>
      </c>
      <c r="J221" t="inlineStr"/>
      <c r="K221" t="inlineStr"/>
      <c r="L221" t="inlineStr"/>
    </row>
    <row r="222" ht="22" customHeight="1">
      <c r="A222" s="15" t="inlineStr">
        <is>
          <t>웨이비스</t>
        </is>
      </c>
      <c r="B222" t="inlineStr"/>
      <c r="C222" s="15" t="inlineStr">
        <is>
          <t>289930</t>
        </is>
      </c>
      <c r="D222" s="15" t="inlineStr">
        <is>
          <t>KOSDAQ</t>
        </is>
      </c>
      <c r="E222" s="15" t="inlineStr">
        <is>
          <t>후공정/패키징/테스트</t>
        </is>
      </c>
      <c r="F222" s="15" t="n">
        <v>37.66</v>
      </c>
      <c r="G222" s="15" t="n">
        <v>14.29</v>
      </c>
      <c r="H222" s="15" t="inlineStr">
        <is>
          <t>고평가 부담</t>
        </is>
      </c>
      <c r="I222" s="15" t="inlineStr">
        <is>
          <t>0.5209890944205295</t>
        </is>
      </c>
      <c r="J222" t="inlineStr"/>
      <c r="K222" t="inlineStr"/>
      <c r="L222" t="inlineStr"/>
    </row>
    <row r="223" ht="22" customHeight="1">
      <c r="A223" s="15" t="inlineStr">
        <is>
          <t>넥스트칩</t>
        </is>
      </c>
      <c r="B223" t="inlineStr"/>
      <c r="C223" s="15" t="inlineStr">
        <is>
          <t>396270</t>
        </is>
      </c>
      <c r="D223" s="15" t="inlineStr">
        <is>
          <t>KOSDAQ</t>
        </is>
      </c>
      <c r="E223" s="15" t="inlineStr">
        <is>
          <t>팹리스/설계</t>
        </is>
      </c>
      <c r="F223" s="15" t="n">
        <v>37.43</v>
      </c>
      <c r="G223" s="15" t="n">
        <v>71.43000000000001</v>
      </c>
      <c r="H223" s="15" t="inlineStr">
        <is>
          <t>고평가 부담</t>
        </is>
      </c>
      <c r="I223" s="15" t="inlineStr">
        <is>
          <t>0.9380466040149497</t>
        </is>
      </c>
      <c r="J223" t="inlineStr"/>
      <c r="K223" t="inlineStr"/>
      <c r="L223" t="inlineStr"/>
    </row>
    <row r="224" ht="22" customHeight="1">
      <c r="A224" s="15" t="inlineStr">
        <is>
          <t>SFA반도체</t>
        </is>
      </c>
      <c r="B224" t="inlineStr"/>
      <c r="C224" s="15" t="inlineStr">
        <is>
          <t>036540</t>
        </is>
      </c>
      <c r="D224" s="15" t="inlineStr">
        <is>
          <t>KOSDAQ</t>
        </is>
      </c>
      <c r="E224" s="15" t="inlineStr">
        <is>
          <t>후공정/패키징/테스트</t>
        </is>
      </c>
      <c r="F224" s="15" t="n">
        <v>37.26</v>
      </c>
      <c r="G224" s="15" t="n">
        <v>28.57</v>
      </c>
      <c r="H224" s="15" t="inlineStr">
        <is>
          <t>고평가 부담</t>
        </is>
      </c>
      <c r="I224" s="15" t="inlineStr">
        <is>
          <t>0.7912156659089058</t>
        </is>
      </c>
      <c r="J224" t="inlineStr"/>
      <c r="K224" t="inlineStr"/>
      <c r="L224" t="inlineStr"/>
    </row>
    <row r="225" ht="22" customHeight="1">
      <c r="A225" s="15" t="inlineStr">
        <is>
          <t>사피엔반도체</t>
        </is>
      </c>
      <c r="B225" t="inlineStr"/>
      <c r="C225" s="15" t="inlineStr">
        <is>
          <t>452430</t>
        </is>
      </c>
      <c r="D225" s="15" t="inlineStr">
        <is>
          <t>KOSDAQ</t>
        </is>
      </c>
      <c r="E225" s="15" t="inlineStr">
        <is>
          <t>팹리스/설계</t>
        </is>
      </c>
      <c r="F225" s="15" t="n">
        <v>37.21</v>
      </c>
      <c r="G225" s="15" t="n">
        <v>57.14</v>
      </c>
      <c r="H225" s="15" t="inlineStr">
        <is>
          <t>고평가 부담</t>
        </is>
      </c>
      <c r="I225" s="15" t="inlineStr">
        <is>
          <t>0.8482781866315999</t>
        </is>
      </c>
      <c r="J225" t="inlineStr"/>
      <c r="K225" t="inlineStr"/>
      <c r="L225" t="inlineStr"/>
    </row>
    <row r="226" ht="22" customHeight="1">
      <c r="A226" s="15" t="inlineStr">
        <is>
          <t>동운아나텍</t>
        </is>
      </c>
      <c r="B226" t="inlineStr"/>
      <c r="C226" s="15" t="inlineStr">
        <is>
          <t>094170</t>
        </is>
      </c>
      <c r="D226" s="15" t="inlineStr">
        <is>
          <t>KOSDAQ</t>
        </is>
      </c>
      <c r="E226" s="15" t="inlineStr">
        <is>
          <t>팹리스/설계</t>
        </is>
      </c>
      <c r="F226" s="15" t="n">
        <v>36.71</v>
      </c>
      <c r="G226" s="15" t="n">
        <v>21.43</v>
      </c>
      <c r="H226" s="15" t="inlineStr">
        <is>
          <t>고평가 부담</t>
        </is>
      </c>
      <c r="I226" s="15" t="inlineStr">
        <is>
          <t>0.4894423516429773</t>
        </is>
      </c>
      <c r="J226" t="inlineStr"/>
      <c r="K226" t="inlineStr"/>
      <c r="L226" t="inlineStr"/>
    </row>
    <row r="227" ht="22" customHeight="1">
      <c r="A227" s="15" t="inlineStr">
        <is>
          <t>씨엠티엑스</t>
        </is>
      </c>
      <c r="B227" t="inlineStr"/>
      <c r="C227" s="15" t="inlineStr">
        <is>
          <t>388210</t>
        </is>
      </c>
      <c r="D227" s="15" t="inlineStr">
        <is>
          <t>KOSDAQ</t>
        </is>
      </c>
      <c r="E227" s="15" t="inlineStr">
        <is>
          <t>장비</t>
        </is>
      </c>
      <c r="F227" s="15" t="n">
        <v>36.53</v>
      </c>
      <c r="G227" s="15" t="n">
        <v>21.43</v>
      </c>
      <c r="H227" s="15" t="inlineStr">
        <is>
          <t>고평가 부담</t>
        </is>
      </c>
      <c r="I227" s="15" t="inlineStr">
        <is>
          <t>0.7157707609420977</t>
        </is>
      </c>
      <c r="J227" t="inlineStr"/>
      <c r="K227" t="inlineStr"/>
      <c r="L227" t="inlineStr"/>
    </row>
    <row r="228" ht="22" customHeight="1">
      <c r="A228" s="15" t="inlineStr">
        <is>
          <t>세미파이브</t>
        </is>
      </c>
      <c r="B228" t="inlineStr"/>
      <c r="C228" s="15" t="inlineStr">
        <is>
          <t>490470</t>
        </is>
      </c>
      <c r="D228" s="15" t="inlineStr">
        <is>
          <t>KOSDAQ</t>
        </is>
      </c>
      <c r="E228" s="15" t="inlineStr">
        <is>
          <t>팹리스/설계</t>
        </is>
      </c>
      <c r="F228" s="15" t="n">
        <v>36.46</v>
      </c>
      <c r="G228" s="15" t="n">
        <v>50</v>
      </c>
      <c r="H228" s="15" t="inlineStr">
        <is>
          <t>고평가 부담</t>
        </is>
      </c>
      <c r="I228" s="15" t="inlineStr">
        <is>
          <t>0.9277538303818181</t>
        </is>
      </c>
      <c r="J228" t="inlineStr"/>
      <c r="K228" t="inlineStr"/>
      <c r="L228" t="inlineStr"/>
    </row>
    <row r="229" ht="22" customHeight="1">
      <c r="A229" s="15" t="inlineStr">
        <is>
          <t>이미지스</t>
        </is>
      </c>
      <c r="B229" t="inlineStr"/>
      <c r="C229" s="15" t="inlineStr">
        <is>
          <t>115610</t>
        </is>
      </c>
      <c r="D229" s="15" t="inlineStr">
        <is>
          <t>KOSDAQ</t>
        </is>
      </c>
      <c r="E229" s="15" t="inlineStr">
        <is>
          <t>IDM/제조/메모리</t>
        </is>
      </c>
      <c r="F229" s="15" t="n">
        <v>36.33</v>
      </c>
      <c r="G229" s="15" t="n">
        <v>64.29000000000001</v>
      </c>
      <c r="H229" s="15" t="inlineStr">
        <is>
          <t>고평가 부담</t>
        </is>
      </c>
      <c r="I229" s="15" t="inlineStr">
        <is>
          <t>0.7470098487547145</t>
        </is>
      </c>
      <c r="J229" t="inlineStr"/>
      <c r="K229" t="inlineStr"/>
      <c r="L229" t="inlineStr"/>
    </row>
    <row r="230" ht="22" customHeight="1">
      <c r="A230" s="15" t="inlineStr">
        <is>
          <t>시지트로닉스</t>
        </is>
      </c>
      <c r="B230" t="inlineStr"/>
      <c r="C230" s="15" t="inlineStr">
        <is>
          <t>429270</t>
        </is>
      </c>
      <c r="D230" s="15" t="inlineStr">
        <is>
          <t>KOSDAQ</t>
        </is>
      </c>
      <c r="E230" s="15" t="inlineStr">
        <is>
          <t>IDM/제조/메모리</t>
        </is>
      </c>
      <c r="F230" s="15" t="n">
        <v>35.13</v>
      </c>
      <c r="G230" s="15" t="n">
        <v>71.43000000000001</v>
      </c>
      <c r="H230" s="15" t="inlineStr">
        <is>
          <t>고평가 부담</t>
        </is>
      </c>
      <c r="I230" s="15" t="inlineStr">
        <is>
          <t>0.8423539115807104</t>
        </is>
      </c>
      <c r="J230" t="inlineStr"/>
      <c r="K230" t="inlineStr"/>
      <c r="L230" t="inlineStr"/>
    </row>
    <row r="231" ht="22" customHeight="1">
      <c r="A231" s="15" t="inlineStr">
        <is>
          <t>인텍플러스</t>
        </is>
      </c>
      <c r="B231" t="inlineStr"/>
      <c r="C231" s="15" t="inlineStr">
        <is>
          <t>064290</t>
        </is>
      </c>
      <c r="D231" s="15" t="inlineStr">
        <is>
          <t>KOSDAQ</t>
        </is>
      </c>
      <c r="E231" s="15" t="inlineStr">
        <is>
          <t>후공정/패키징/테스트</t>
        </is>
      </c>
      <c r="F231" s="15" t="n">
        <v>34.31</v>
      </c>
      <c r="G231" s="15" t="n">
        <v>42.86</v>
      </c>
      <c r="H231" s="15" t="inlineStr">
        <is>
          <t>고평가 부담</t>
        </is>
      </c>
      <c r="I231" s="15" t="inlineStr">
        <is>
          <t>0.7612288958400996</t>
        </is>
      </c>
      <c r="J231" t="inlineStr"/>
      <c r="K231" t="inlineStr"/>
      <c r="L231" t="inlineStr"/>
    </row>
    <row r="232" ht="22" customHeight="1">
      <c r="A232" s="15" t="inlineStr">
        <is>
          <t>3S</t>
        </is>
      </c>
      <c r="B232" t="inlineStr"/>
      <c r="C232" s="15" t="inlineStr">
        <is>
          <t>060310</t>
        </is>
      </c>
      <c r="D232" s="15" t="inlineStr">
        <is>
          <t>KOSDAQ</t>
        </is>
      </c>
      <c r="E232" s="15" t="inlineStr">
        <is>
          <t>부품/기판</t>
        </is>
      </c>
      <c r="F232" s="15" t="n">
        <v>34.1</v>
      </c>
      <c r="G232" s="15" t="n">
        <v>57.14</v>
      </c>
      <c r="H232" s="15" t="inlineStr">
        <is>
          <t>고평가 부담</t>
        </is>
      </c>
      <c r="I232" s="15" t="inlineStr">
        <is>
          <t>0.8755971854841007</t>
        </is>
      </c>
      <c r="J232" t="inlineStr"/>
      <c r="K232" t="inlineStr"/>
      <c r="L232" t="inlineStr"/>
    </row>
    <row r="233" ht="22" customHeight="1">
      <c r="A233" s="15" t="inlineStr">
        <is>
          <t>천보</t>
        </is>
      </c>
      <c r="B233" t="inlineStr"/>
      <c r="C233" s="15" t="inlineStr">
        <is>
          <t>278280</t>
        </is>
      </c>
      <c r="D233" s="15" t="inlineStr">
        <is>
          <t>KOSDAQ</t>
        </is>
      </c>
      <c r="E233" s="15" t="inlineStr">
        <is>
          <t>소재</t>
        </is>
      </c>
      <c r="F233" s="15" t="n">
        <v>33.87</v>
      </c>
      <c r="G233" s="15" t="n">
        <v>35.71</v>
      </c>
      <c r="H233" s="15" t="inlineStr">
        <is>
          <t>고평가 부담</t>
        </is>
      </c>
      <c r="I233" s="15" t="inlineStr">
        <is>
          <t>0.5721835844163214</t>
        </is>
      </c>
      <c r="J233" t="inlineStr"/>
      <c r="K233" t="inlineStr"/>
      <c r="L233" t="inlineStr"/>
    </row>
    <row r="234" ht="22" customHeight="1">
      <c r="A234" s="15" t="inlineStr">
        <is>
          <t>후성</t>
        </is>
      </c>
      <c r="B234" t="inlineStr"/>
      <c r="C234" s="15" t="inlineStr">
        <is>
          <t>093370</t>
        </is>
      </c>
      <c r="D234" s="15" t="inlineStr">
        <is>
          <t>KOSPI</t>
        </is>
      </c>
      <c r="E234" s="15" t="inlineStr">
        <is>
          <t>소재</t>
        </is>
      </c>
      <c r="F234" s="15" t="n">
        <v>33.87</v>
      </c>
      <c r="G234" s="15" t="n">
        <v>14.29</v>
      </c>
      <c r="H234" s="15" t="inlineStr">
        <is>
          <t>고평가 부담</t>
        </is>
      </c>
      <c r="I234" s="15" t="inlineStr">
        <is>
          <t>0.7388215177779633</t>
        </is>
      </c>
      <c r="J234" t="inlineStr"/>
      <c r="K234" t="inlineStr"/>
      <c r="L234" t="inlineStr"/>
    </row>
    <row r="235" ht="22" customHeight="1">
      <c r="A235" s="15" t="inlineStr">
        <is>
          <t>한울반도체</t>
        </is>
      </c>
      <c r="B235" t="inlineStr"/>
      <c r="C235" s="15" t="inlineStr">
        <is>
          <t>320000</t>
        </is>
      </c>
      <c r="D235" s="15" t="inlineStr">
        <is>
          <t>KOSDAQ</t>
        </is>
      </c>
      <c r="E235" s="15" t="inlineStr">
        <is>
          <t>후공정/패키징/테스트</t>
        </is>
      </c>
      <c r="F235" s="15" t="n">
        <v>33.76</v>
      </c>
      <c r="G235" s="15" t="n">
        <v>71.43000000000001</v>
      </c>
      <c r="H235" s="15" t="inlineStr">
        <is>
          <t>고평가 부담</t>
        </is>
      </c>
      <c r="I235" s="15" t="inlineStr">
        <is>
          <t>0.7769228627558715</t>
        </is>
      </c>
      <c r="J235" t="inlineStr"/>
      <c r="K235" t="inlineStr"/>
      <c r="L235" t="inlineStr"/>
    </row>
    <row r="236" ht="22" customHeight="1">
      <c r="A236" s="15" t="inlineStr">
        <is>
          <t>유니테스트</t>
        </is>
      </c>
      <c r="B236" t="inlineStr"/>
      <c r="C236" s="15" t="inlineStr">
        <is>
          <t>086390</t>
        </is>
      </c>
      <c r="D236" s="15" t="inlineStr">
        <is>
          <t>KOSDAQ</t>
        </is>
      </c>
      <c r="E236" s="15" t="inlineStr">
        <is>
          <t>후공정/패키징/테스트</t>
        </is>
      </c>
      <c r="F236" s="15" t="n">
        <v>33.72</v>
      </c>
      <c r="G236" s="15" t="n">
        <v>57.14</v>
      </c>
      <c r="H236" s="15" t="inlineStr">
        <is>
          <t>고평가 부담</t>
        </is>
      </c>
      <c r="I236" s="15" t="inlineStr">
        <is>
          <t>0.9109345080202441</t>
        </is>
      </c>
      <c r="J236" t="inlineStr"/>
      <c r="K236" t="inlineStr"/>
      <c r="L236" t="inlineStr"/>
    </row>
    <row r="237" ht="22" customHeight="1">
      <c r="A237" s="15" t="inlineStr">
        <is>
          <t>에이직랜드</t>
        </is>
      </c>
      <c r="B237" t="inlineStr"/>
      <c r="C237" s="15" t="inlineStr">
        <is>
          <t>445090</t>
        </is>
      </c>
      <c r="D237" s="15" t="inlineStr">
        <is>
          <t>KOSDAQ</t>
        </is>
      </c>
      <c r="E237" s="15" t="inlineStr">
        <is>
          <t>팹리스/설계</t>
        </is>
      </c>
      <c r="F237" s="15" t="n">
        <v>32.95</v>
      </c>
      <c r="G237" s="15" t="n">
        <v>78.56999999999999</v>
      </c>
      <c r="H237" s="15" t="inlineStr">
        <is>
          <t>고평가 부담</t>
        </is>
      </c>
      <c r="I237" s="15" t="inlineStr">
        <is>
          <t>0.9058303131641584</t>
        </is>
      </c>
      <c r="J237" t="inlineStr"/>
      <c r="K237" t="inlineStr"/>
      <c r="L237" t="inlineStr"/>
    </row>
    <row r="238" ht="22" customHeight="1">
      <c r="A238" s="15" t="inlineStr">
        <is>
          <t>지니틱스</t>
        </is>
      </c>
      <c r="B238" t="inlineStr"/>
      <c r="C238" s="15" t="inlineStr">
        <is>
          <t>303030</t>
        </is>
      </c>
      <c r="D238" s="15" t="inlineStr">
        <is>
          <t>KOSDAQ</t>
        </is>
      </c>
      <c r="E238" s="15" t="inlineStr">
        <is>
          <t>IDM/제조/메모리</t>
        </is>
      </c>
      <c r="F238" s="15" t="n">
        <v>32.93</v>
      </c>
      <c r="G238" s="15" t="n">
        <v>71.43000000000001</v>
      </c>
      <c r="H238" s="15" t="inlineStr">
        <is>
          <t>고평가 부담</t>
        </is>
      </c>
      <c r="I238" s="15" t="inlineStr">
        <is>
          <t>0.6029464801919612</t>
        </is>
      </c>
      <c r="J238" t="inlineStr"/>
      <c r="K238" t="inlineStr"/>
      <c r="L238" t="inlineStr"/>
    </row>
    <row r="239" ht="22" customHeight="1">
      <c r="A239" s="15" t="inlineStr">
        <is>
          <t>엘케이켐</t>
        </is>
      </c>
      <c r="B239" t="inlineStr"/>
      <c r="C239" s="15" t="inlineStr">
        <is>
          <t>489500</t>
        </is>
      </c>
      <c r="D239" s="15" t="inlineStr">
        <is>
          <t>KOSDAQ</t>
        </is>
      </c>
      <c r="E239" s="15" t="inlineStr">
        <is>
          <t>소재</t>
        </is>
      </c>
      <c r="F239" s="15" t="n">
        <v>32.38</v>
      </c>
      <c r="G239" s="15" t="n">
        <v>28.57</v>
      </c>
      <c r="H239" s="15" t="inlineStr">
        <is>
          <t>고평가 부담</t>
        </is>
      </c>
      <c r="I239" s="15" t="inlineStr">
        <is>
          <t>0.702794478496214</t>
        </is>
      </c>
      <c r="J239" t="inlineStr"/>
      <c r="K239" t="inlineStr"/>
      <c r="L239" t="inlineStr"/>
    </row>
    <row r="240" ht="22" customHeight="1">
      <c r="A240" s="15" t="inlineStr">
        <is>
          <t>SKC</t>
        </is>
      </c>
      <c r="B240" t="inlineStr"/>
      <c r="C240" s="15" t="inlineStr">
        <is>
          <t>011790</t>
        </is>
      </c>
      <c r="D240" s="15" t="inlineStr">
        <is>
          <t>KOSPI</t>
        </is>
      </c>
      <c r="E240" s="15" t="inlineStr">
        <is>
          <t>소재</t>
        </is>
      </c>
      <c r="F240" s="15" t="n">
        <v>32.18</v>
      </c>
      <c r="G240" s="15" t="n">
        <v>71.43000000000001</v>
      </c>
      <c r="H240" s="15" t="inlineStr">
        <is>
          <t>고평가 부담</t>
        </is>
      </c>
      <c r="I240" s="15" t="inlineStr">
        <is>
          <t>0.865330691240198</t>
        </is>
      </c>
      <c r="J240" t="inlineStr"/>
      <c r="K240" t="inlineStr"/>
      <c r="L240" t="inlineStr"/>
    </row>
    <row r="241" ht="22" customHeight="1">
      <c r="A241" s="15" t="inlineStr">
        <is>
          <t>두산테스나</t>
        </is>
      </c>
      <c r="B241" t="inlineStr"/>
      <c r="C241" s="15" t="inlineStr">
        <is>
          <t>131970</t>
        </is>
      </c>
      <c r="D241" s="15" t="inlineStr">
        <is>
          <t>KOSDAQ GLOBAL</t>
        </is>
      </c>
      <c r="E241" s="15" t="inlineStr">
        <is>
          <t>후공정/패키징/테스트</t>
        </is>
      </c>
      <c r="F241" s="15" t="n">
        <v>32.17</v>
      </c>
      <c r="G241" s="15" t="n">
        <v>14.29</v>
      </c>
      <c r="H241" s="15" t="inlineStr">
        <is>
          <t>고평가 부담</t>
        </is>
      </c>
      <c r="I241" s="15" t="inlineStr">
        <is>
          <t>0.5774876642912814</t>
        </is>
      </c>
      <c r="J241" t="inlineStr"/>
      <c r="K241" t="inlineStr"/>
      <c r="L241" t="inlineStr"/>
    </row>
    <row r="242" ht="22" customHeight="1">
      <c r="A242" s="15" t="inlineStr">
        <is>
          <t>라닉스</t>
        </is>
      </c>
      <c r="B242" t="inlineStr"/>
      <c r="C242" s="15" t="inlineStr">
        <is>
          <t>317120</t>
        </is>
      </c>
      <c r="D242" s="15" t="inlineStr">
        <is>
          <t>KOSDAQ</t>
        </is>
      </c>
      <c r="E242" s="15" t="inlineStr">
        <is>
          <t>팹리스/설계</t>
        </is>
      </c>
      <c r="F242" s="15" t="n">
        <v>32.08</v>
      </c>
      <c r="G242" s="15" t="n">
        <v>71.43000000000001</v>
      </c>
      <c r="H242" s="15" t="inlineStr">
        <is>
          <t>고평가 부담</t>
        </is>
      </c>
      <c r="I242" s="15" t="inlineStr">
        <is>
          <t>0.9281808400807596</t>
        </is>
      </c>
      <c r="J242" t="inlineStr"/>
      <c r="K242" t="inlineStr"/>
      <c r="L242" t="inlineStr"/>
    </row>
    <row r="243" ht="22" customHeight="1">
      <c r="A243" s="15" t="inlineStr">
        <is>
          <t>아이에스티이</t>
        </is>
      </c>
      <c r="B243" t="inlineStr"/>
      <c r="C243" s="15" t="inlineStr">
        <is>
          <t>212710</t>
        </is>
      </c>
      <c r="D243" s="15" t="inlineStr">
        <is>
          <t>KOSDAQ</t>
        </is>
      </c>
      <c r="E243" s="15" t="inlineStr">
        <is>
          <t>IDM/제조/메모리</t>
        </is>
      </c>
      <c r="F243" s="15" t="n">
        <v>31.27</v>
      </c>
      <c r="G243" s="15" t="n">
        <v>71.43000000000001</v>
      </c>
      <c r="H243" s="15" t="inlineStr">
        <is>
          <t>고평가 부담</t>
        </is>
      </c>
      <c r="I243" s="15" t="inlineStr">
        <is>
          <t>0.6642993493743579</t>
        </is>
      </c>
      <c r="J243" t="inlineStr"/>
      <c r="K243" t="inlineStr"/>
      <c r="L243" t="inlineStr"/>
    </row>
    <row r="244" ht="22" customHeight="1">
      <c r="A244" s="15" t="inlineStr">
        <is>
          <t>가온칩스</t>
        </is>
      </c>
      <c r="B244" t="inlineStr"/>
      <c r="C244" s="15" t="inlineStr">
        <is>
          <t>399720</t>
        </is>
      </c>
      <c r="D244" s="15" t="inlineStr">
        <is>
          <t>KOSDAQ</t>
        </is>
      </c>
      <c r="E244" s="15" t="inlineStr">
        <is>
          <t>팹리스/설계</t>
        </is>
      </c>
      <c r="F244" s="15" t="n">
        <v>31.19</v>
      </c>
      <c r="G244" s="15" t="n">
        <v>57.14</v>
      </c>
      <c r="H244" s="15" t="inlineStr">
        <is>
          <t>고평가 부담</t>
        </is>
      </c>
      <c r="I244" s="15" t="inlineStr">
        <is>
          <t>0.9202856043409283</t>
        </is>
      </c>
      <c r="J244" t="inlineStr"/>
      <c r="K244" t="inlineStr"/>
      <c r="L244" t="inlineStr"/>
    </row>
    <row r="245" ht="22" customHeight="1">
      <c r="A245" s="15" t="inlineStr">
        <is>
          <t>네오셈</t>
        </is>
      </c>
      <c r="B245" t="inlineStr"/>
      <c r="C245" s="15" t="inlineStr">
        <is>
          <t>253590</t>
        </is>
      </c>
      <c r="D245" s="15" t="inlineStr">
        <is>
          <t>KOSDAQ</t>
        </is>
      </c>
      <c r="E245" s="15" t="inlineStr">
        <is>
          <t>후공정/패키징/테스트</t>
        </is>
      </c>
      <c r="F245" s="15" t="n">
        <v>30.59</v>
      </c>
      <c r="G245" s="15" t="n">
        <v>7.14</v>
      </c>
      <c r="H245" s="15" t="inlineStr">
        <is>
          <t>고평가 부담</t>
        </is>
      </c>
      <c r="I245" s="15" t="inlineStr">
        <is>
          <t>0.7695353673338539</t>
        </is>
      </c>
      <c r="J245" t="inlineStr"/>
      <c r="K245" t="inlineStr"/>
      <c r="L245" t="inlineStr"/>
    </row>
    <row r="246" ht="22" customHeight="1">
      <c r="A246" s="15" t="inlineStr">
        <is>
          <t>아스플로</t>
        </is>
      </c>
      <c r="B246" t="inlineStr"/>
      <c r="C246" s="15" t="inlineStr">
        <is>
          <t>159010</t>
        </is>
      </c>
      <c r="D246" s="15" t="inlineStr">
        <is>
          <t>KOSDAQ</t>
        </is>
      </c>
      <c r="E246" s="15" t="inlineStr">
        <is>
          <t>장비</t>
        </is>
      </c>
      <c r="F246" s="15" t="n">
        <v>30.25</v>
      </c>
      <c r="G246" s="15" t="n">
        <v>57.14</v>
      </c>
      <c r="H246" s="15" t="inlineStr">
        <is>
          <t>고평가 부담</t>
        </is>
      </c>
      <c r="I246" s="15" t="inlineStr">
        <is>
          <t>0.8970141905473263</t>
        </is>
      </c>
      <c r="J246" t="inlineStr"/>
      <c r="K246" t="inlineStr"/>
      <c r="L246" t="inlineStr"/>
    </row>
    <row r="247" ht="22" customHeight="1">
      <c r="A247" s="15" t="inlineStr">
        <is>
          <t>케이알엠</t>
        </is>
      </c>
      <c r="B247" t="inlineStr"/>
      <c r="C247" s="15" t="inlineStr">
        <is>
          <t>093640</t>
        </is>
      </c>
      <c r="D247" s="15" t="inlineStr">
        <is>
          <t>KOSDAQ</t>
        </is>
      </c>
      <c r="E247" s="15" t="inlineStr">
        <is>
          <t>IDM/제조/메모리</t>
        </is>
      </c>
      <c r="F247" s="15" t="n">
        <v>30.1</v>
      </c>
      <c r="G247" s="15" t="n">
        <v>42.86</v>
      </c>
      <c r="H247" s="15" t="inlineStr">
        <is>
          <t>고평가 부담</t>
        </is>
      </c>
      <c r="I247" s="15" t="inlineStr">
        <is>
          <t>0.7957205872008264</t>
        </is>
      </c>
      <c r="J247" t="inlineStr"/>
      <c r="K247" t="inlineStr"/>
      <c r="L247" t="inlineStr"/>
    </row>
    <row r="248" ht="22" customHeight="1">
      <c r="A248" s="15" t="inlineStr">
        <is>
          <t>오로스테크놀로지</t>
        </is>
      </c>
      <c r="B248" t="inlineStr"/>
      <c r="C248" s="15" t="inlineStr">
        <is>
          <t>322310</t>
        </is>
      </c>
      <c r="D248" s="15" t="inlineStr">
        <is>
          <t>KOSDAQ</t>
        </is>
      </c>
      <c r="E248" s="15" t="inlineStr">
        <is>
          <t>장비</t>
        </is>
      </c>
      <c r="F248" s="15" t="n">
        <v>29.69</v>
      </c>
      <c r="G248" s="15" t="n">
        <v>28.57</v>
      </c>
      <c r="H248" s="15" t="inlineStr">
        <is>
          <t>고평가 부담</t>
        </is>
      </c>
      <c r="I248" s="15" t="inlineStr">
        <is>
          <t>0.9263479879516093</t>
        </is>
      </c>
      <c r="J248" t="inlineStr"/>
      <c r="K248" t="inlineStr"/>
      <c r="L248" t="inlineStr"/>
    </row>
    <row r="249" ht="22" customHeight="1">
      <c r="A249" s="15" t="inlineStr">
        <is>
          <t>쏘닉스</t>
        </is>
      </c>
      <c r="B249" t="inlineStr"/>
      <c r="C249" s="15" t="inlineStr">
        <is>
          <t>088280</t>
        </is>
      </c>
      <c r="D249" s="15" t="inlineStr">
        <is>
          <t>KOSDAQ</t>
        </is>
      </c>
      <c r="E249" s="15" t="inlineStr">
        <is>
          <t>IDM/제조/메모리</t>
        </is>
      </c>
      <c r="F249" s="15" t="n">
        <v>29.25</v>
      </c>
      <c r="G249" s="15" t="n">
        <v>57.14</v>
      </c>
      <c r="H249" s="15" t="inlineStr">
        <is>
          <t>고평가 부담</t>
        </is>
      </c>
      <c r="I249" s="15" t="inlineStr">
        <is>
          <t>0.9167677788852596</t>
        </is>
      </c>
      <c r="J249" t="inlineStr"/>
      <c r="K249" t="inlineStr"/>
      <c r="L249" t="inlineStr"/>
    </row>
    <row r="250" ht="22" customHeight="1">
      <c r="A250" s="15" t="inlineStr">
        <is>
          <t>러셀</t>
        </is>
      </c>
      <c r="B250" t="inlineStr"/>
      <c r="C250" s="15" t="inlineStr">
        <is>
          <t>217500</t>
        </is>
      </c>
      <c r="D250" s="15" t="inlineStr">
        <is>
          <t>KOSDAQ</t>
        </is>
      </c>
      <c r="E250" s="15" t="inlineStr">
        <is>
          <t>장비</t>
        </is>
      </c>
      <c r="F250" s="15" t="n">
        <v>28.89</v>
      </c>
      <c r="G250" s="15" t="n">
        <v>57.14</v>
      </c>
      <c r="H250" s="15" t="inlineStr">
        <is>
          <t>고평가 부담</t>
        </is>
      </c>
      <c r="I250" s="15" t="inlineStr">
        <is>
          <t>0.873177337125051</t>
        </is>
      </c>
      <c r="J250" t="inlineStr"/>
      <c r="K250" t="inlineStr"/>
      <c r="L250" t="inlineStr"/>
    </row>
    <row r="251" ht="22" customHeight="1">
      <c r="A251" s="15" t="inlineStr">
        <is>
          <t>미래컴퍼니</t>
        </is>
      </c>
      <c r="B251" t="inlineStr"/>
      <c r="C251" s="15" t="inlineStr">
        <is>
          <t>049950</t>
        </is>
      </c>
      <c r="D251" s="15" t="inlineStr">
        <is>
          <t>KOSDAQ</t>
        </is>
      </c>
      <c r="E251" s="15" t="inlineStr">
        <is>
          <t>장비</t>
        </is>
      </c>
      <c r="F251" s="15" t="n">
        <v>28.75</v>
      </c>
      <c r="G251" s="15" t="n">
        <v>42.86</v>
      </c>
      <c r="H251" s="15" t="inlineStr">
        <is>
          <t>고평가 부담</t>
        </is>
      </c>
      <c r="I251" s="15" t="inlineStr">
        <is>
          <t>0.8354805452058427</t>
        </is>
      </c>
      <c r="J251" t="inlineStr"/>
      <c r="K251" t="inlineStr"/>
      <c r="L251" t="inlineStr"/>
    </row>
    <row r="252" ht="22" customHeight="1">
      <c r="A252" s="15" t="inlineStr">
        <is>
          <t>파두</t>
        </is>
      </c>
      <c r="B252" t="inlineStr"/>
      <c r="C252" s="15" t="inlineStr">
        <is>
          <t>440110</t>
        </is>
      </c>
      <c r="D252" s="15" t="inlineStr">
        <is>
          <t>KOSDAQ</t>
        </is>
      </c>
      <c r="E252" s="15" t="inlineStr">
        <is>
          <t>팹리스/설계</t>
        </is>
      </c>
      <c r="F252" s="15" t="n">
        <v>28.17</v>
      </c>
      <c r="G252" s="15" t="n">
        <v>71.43000000000001</v>
      </c>
      <c r="H252" s="15" t="inlineStr">
        <is>
          <t>고평가 부담</t>
        </is>
      </c>
      <c r="I252" s="15" t="inlineStr">
        <is>
          <t>0.9722302520284296</t>
        </is>
      </c>
      <c r="J252" t="inlineStr"/>
      <c r="K252" t="inlineStr"/>
      <c r="L252" t="inlineStr"/>
    </row>
    <row r="253" ht="22" customHeight="1">
      <c r="A253" s="15" t="inlineStr">
        <is>
          <t>예스티</t>
        </is>
      </c>
      <c r="B253" t="inlineStr"/>
      <c r="C253" s="15" t="inlineStr">
        <is>
          <t>122640</t>
        </is>
      </c>
      <c r="D253" s="15" t="inlineStr">
        <is>
          <t>KOSDAQ</t>
        </is>
      </c>
      <c r="E253" s="15" t="inlineStr">
        <is>
          <t>장비</t>
        </is>
      </c>
      <c r="F253" s="15" t="n">
        <v>27.79</v>
      </c>
      <c r="G253" s="15" t="n">
        <v>21.43</v>
      </c>
      <c r="H253" s="15" t="inlineStr">
        <is>
          <t>고평가 부담</t>
        </is>
      </c>
      <c r="I253" s="15" t="inlineStr">
        <is>
          <t>0.8070752756860592</t>
        </is>
      </c>
      <c r="J253" t="inlineStr"/>
      <c r="K253" t="inlineStr"/>
      <c r="L253" t="inlineStr"/>
    </row>
    <row r="254" ht="22" customHeight="1">
      <c r="A254" s="15" t="inlineStr">
        <is>
          <t>레이크머티리얼즈</t>
        </is>
      </c>
      <c r="B254" t="inlineStr"/>
      <c r="C254" s="15" t="inlineStr">
        <is>
          <t>281740</t>
        </is>
      </c>
      <c r="D254" s="15" t="inlineStr">
        <is>
          <t>KOSDAQ</t>
        </is>
      </c>
      <c r="E254" s="15" t="inlineStr">
        <is>
          <t>소재</t>
        </is>
      </c>
      <c r="F254" s="15" t="n">
        <v>26.77</v>
      </c>
      <c r="G254" s="15" t="n">
        <v>28.57</v>
      </c>
      <c r="H254" s="15" t="inlineStr">
        <is>
          <t>고평가 부담</t>
        </is>
      </c>
      <c r="I254" s="15" t="inlineStr">
        <is>
          <t>0.7822727417954645</t>
        </is>
      </c>
      <c r="J254" t="inlineStr"/>
      <c r="K254" t="inlineStr"/>
      <c r="L254" t="inlineStr"/>
    </row>
    <row r="255" ht="22" customHeight="1">
      <c r="A255" s="15" t="inlineStr">
        <is>
          <t>덕산테코피아</t>
        </is>
      </c>
      <c r="B255" s="15" t="inlineStr">
        <is>
          <t>duksan</t>
        </is>
      </c>
      <c r="C255" s="15" t="inlineStr">
        <is>
          <t>317330</t>
        </is>
      </c>
      <c r="D255" s="15" t="inlineStr">
        <is>
          <t>KOSDAQ</t>
        </is>
      </c>
      <c r="E255" s="15" t="inlineStr">
        <is>
          <t>소재</t>
        </is>
      </c>
      <c r="F255" s="15" t="n">
        <v>25.1</v>
      </c>
      <c r="G255" s="15" t="n">
        <v>71.43000000000001</v>
      </c>
      <c r="H255" s="15" t="inlineStr">
        <is>
          <t>고평가 부담</t>
        </is>
      </c>
      <c r="I255" s="15" t="inlineStr">
        <is>
          <t>0.9683283970250778</t>
        </is>
      </c>
      <c r="J255" s="15" t="inlineStr">
        <is>
          <t>예</t>
        </is>
      </c>
      <c r="K255" t="inlineStr"/>
      <c r="L255" t="inlineStr"/>
    </row>
    <row r="256" ht="22" customHeight="1">
      <c r="A256" s="15" t="inlineStr">
        <is>
          <t>피엠티</t>
        </is>
      </c>
      <c r="B256" t="inlineStr"/>
      <c r="C256" s="15" t="inlineStr">
        <is>
          <t>147760</t>
        </is>
      </c>
      <c r="D256" s="15" t="inlineStr">
        <is>
          <t>KOSDAQ</t>
        </is>
      </c>
      <c r="E256" s="15" t="inlineStr">
        <is>
          <t>후공정/패키징/테스트</t>
        </is>
      </c>
      <c r="F256" s="15" t="n">
        <v>24.71</v>
      </c>
      <c r="G256" s="15" t="n">
        <v>78.56999999999999</v>
      </c>
      <c r="H256" s="15" t="inlineStr">
        <is>
          <t>고평가 부담</t>
        </is>
      </c>
      <c r="I256" s="15" t="inlineStr">
        <is>
          <t>0.952821790032095</t>
        </is>
      </c>
      <c r="J256" t="inlineStr"/>
      <c r="K256" t="inlineStr"/>
      <c r="L256" t="inlineStr"/>
    </row>
    <row r="257" ht="22" customHeight="1">
      <c r="A257" s="15" t="inlineStr">
        <is>
          <t>아이씨티케이</t>
        </is>
      </c>
      <c r="B257" t="inlineStr"/>
      <c r="C257" s="15" t="inlineStr">
        <is>
          <t>456010</t>
        </is>
      </c>
      <c r="D257" s="15" t="inlineStr">
        <is>
          <t>KOSDAQ</t>
        </is>
      </c>
      <c r="E257" s="15" t="inlineStr">
        <is>
          <t>팹리스/설계</t>
        </is>
      </c>
      <c r="F257" s="15" t="n">
        <v>24.21</v>
      </c>
      <c r="G257" s="15" t="n">
        <v>57.14</v>
      </c>
      <c r="H257" s="15" t="inlineStr">
        <is>
          <t>고평가 부담</t>
        </is>
      </c>
      <c r="I257" s="15" t="inlineStr">
        <is>
          <t>0.9318776222941163</t>
        </is>
      </c>
      <c r="J257" t="inlineStr"/>
      <c r="K257" t="inlineStr"/>
      <c r="L257" t="inlineStr"/>
    </row>
    <row r="258" ht="22" customHeight="1">
      <c r="A258" s="15" t="inlineStr">
        <is>
          <t>오픈엣지테크놀로지</t>
        </is>
      </c>
      <c r="B258" t="inlineStr"/>
      <c r="C258" s="15" t="inlineStr">
        <is>
          <t>394280</t>
        </is>
      </c>
      <c r="D258" s="15" t="inlineStr">
        <is>
          <t>KOSDAQ</t>
        </is>
      </c>
      <c r="E258" s="15" t="inlineStr">
        <is>
          <t>팹리스/설계</t>
        </is>
      </c>
      <c r="F258" s="15" t="n">
        <v>23.84</v>
      </c>
      <c r="G258" s="15" t="n">
        <v>57.14</v>
      </c>
      <c r="H258" s="15" t="inlineStr">
        <is>
          <t>고평가 부담</t>
        </is>
      </c>
      <c r="I258" s="15" t="inlineStr">
        <is>
          <t>0.9776205348568181</t>
        </is>
      </c>
      <c r="J258" t="inlineStr"/>
      <c r="K258" t="inlineStr"/>
      <c r="L258" t="inlineStr"/>
    </row>
    <row r="259" ht="22" customHeight="1">
      <c r="A259" s="15" t="inlineStr">
        <is>
          <t>기가레인</t>
        </is>
      </c>
      <c r="B259" t="inlineStr"/>
      <c r="C259" s="15" t="inlineStr">
        <is>
          <t>049080</t>
        </is>
      </c>
      <c r="D259" s="15" t="inlineStr">
        <is>
          <t>KOSDAQ</t>
        </is>
      </c>
      <c r="E259" s="15" t="inlineStr">
        <is>
          <t>장비</t>
        </is>
      </c>
      <c r="F259" s="15" t="n">
        <v>23.53</v>
      </c>
      <c r="G259" s="15" t="n">
        <v>50</v>
      </c>
      <c r="H259" s="15" t="inlineStr">
        <is>
          <t>고평가 부담</t>
        </is>
      </c>
      <c r="I259" s="15" t="inlineStr">
        <is>
          <t>0.9628494209555842</t>
        </is>
      </c>
      <c r="J259" t="inlineStr"/>
      <c r="K259" t="inlineStr"/>
      <c r="L259" t="inlineStr"/>
    </row>
    <row r="260" ht="22" customHeight="1">
      <c r="A260" s="15" t="inlineStr">
        <is>
          <t>넥스틴</t>
        </is>
      </c>
      <c r="B260" t="inlineStr"/>
      <c r="C260" s="15" t="inlineStr">
        <is>
          <t>348210</t>
        </is>
      </c>
      <c r="D260" s="15" t="inlineStr">
        <is>
          <t>KOSDAQ GLOBAL</t>
        </is>
      </c>
      <c r="E260" s="15" t="inlineStr">
        <is>
          <t>장비</t>
        </is>
      </c>
      <c r="F260" s="15" t="n">
        <v>23.53</v>
      </c>
      <c r="G260" s="15" t="n">
        <v>42.86</v>
      </c>
      <c r="H260" s="15" t="inlineStr">
        <is>
          <t>고평가 부담</t>
        </is>
      </c>
      <c r="I260" s="15" t="inlineStr">
        <is>
          <t>0.7906546201121369</t>
        </is>
      </c>
      <c r="J260" t="inlineStr"/>
      <c r="K260" t="inlineStr"/>
      <c r="L260" t="inlineStr"/>
    </row>
    <row r="261" ht="22" customHeight="1">
      <c r="A261" s="15" t="inlineStr">
        <is>
          <t>주성엔지니어링</t>
        </is>
      </c>
      <c r="B261" t="inlineStr"/>
      <c r="C261" s="15" t="inlineStr">
        <is>
          <t>036930</t>
        </is>
      </c>
      <c r="D261" s="15" t="inlineStr">
        <is>
          <t>KOSDAQ GLOBAL</t>
        </is>
      </c>
      <c r="E261" s="15" t="inlineStr">
        <is>
          <t>장비</t>
        </is>
      </c>
      <c r="F261" s="15" t="n">
        <v>23.36</v>
      </c>
      <c r="G261" s="15" t="n">
        <v>28.57</v>
      </c>
      <c r="H261" s="15" t="inlineStr">
        <is>
          <t>고평가 부담</t>
        </is>
      </c>
      <c r="I261" s="15" t="inlineStr">
        <is>
          <t>0.7918979957613304</t>
        </is>
      </c>
      <c r="J261" t="inlineStr"/>
      <c r="K261" t="inlineStr"/>
      <c r="L261" t="inlineStr"/>
    </row>
    <row r="262" ht="22" customHeight="1">
      <c r="A262" s="15" t="inlineStr">
        <is>
          <t>테크윙</t>
        </is>
      </c>
      <c r="B262" t="inlineStr"/>
      <c r="C262" s="15" t="inlineStr">
        <is>
          <t>089030</t>
        </is>
      </c>
      <c r="D262" s="15" t="inlineStr">
        <is>
          <t>KOSDAQ</t>
        </is>
      </c>
      <c r="E262" s="15" t="inlineStr">
        <is>
          <t>후공정/패키징/테스트</t>
        </is>
      </c>
      <c r="F262" s="15" t="n">
        <v>22.06</v>
      </c>
      <c r="G262" s="15" t="n">
        <v>57.14</v>
      </c>
      <c r="H262" s="15" t="inlineStr">
        <is>
          <t>고평가 부담</t>
        </is>
      </c>
      <c r="I262" s="15" t="inlineStr">
        <is>
          <t>0.7946423848576873</t>
        </is>
      </c>
      <c r="J262" t="inlineStr"/>
      <c r="K262" t="inlineStr"/>
      <c r="L262" t="inlineStr"/>
    </row>
    <row r="263" ht="22" customHeight="1">
      <c r="A263" s="15" t="inlineStr">
        <is>
          <t>퀄리타스반도체</t>
        </is>
      </c>
      <c r="B263" t="inlineStr"/>
      <c r="C263" s="15" t="inlineStr">
        <is>
          <t>432720</t>
        </is>
      </c>
      <c r="D263" s="15" t="inlineStr">
        <is>
          <t>KOSDAQ</t>
        </is>
      </c>
      <c r="E263" s="15" t="inlineStr">
        <is>
          <t>팹리스/설계</t>
        </is>
      </c>
      <c r="F263" s="15" t="n">
        <v>21.19</v>
      </c>
      <c r="G263" s="15" t="n">
        <v>57.14</v>
      </c>
      <c r="H263" s="15" t="inlineStr">
        <is>
          <t>고평가 부담</t>
        </is>
      </c>
      <c r="I263" s="15" t="inlineStr">
        <is>
          <t>0.9844433173148716</t>
        </is>
      </c>
      <c r="J263" t="inlineStr"/>
      <c r="K263" t="inlineStr"/>
      <c r="L263" t="inlineStr"/>
    </row>
    <row r="264" ht="22" customHeight="1">
      <c r="A264" s="15" t="inlineStr">
        <is>
          <t>자람테크놀로지</t>
        </is>
      </c>
      <c r="B264" t="inlineStr"/>
      <c r="C264" s="15" t="inlineStr">
        <is>
          <t>389020</t>
        </is>
      </c>
      <c r="D264" s="15" t="inlineStr">
        <is>
          <t>KOSDAQ</t>
        </is>
      </c>
      <c r="E264" s="15" t="inlineStr">
        <is>
          <t>IDM/제조/메모리</t>
        </is>
      </c>
      <c r="F264" s="15" t="n">
        <v>19.95</v>
      </c>
      <c r="G264" s="15" t="n">
        <v>21.43</v>
      </c>
      <c r="H264" s="15" t="inlineStr">
        <is>
          <t>고평가 부담</t>
        </is>
      </c>
      <c r="I264" s="15" t="inlineStr">
        <is>
          <t>0.6873284389381621</t>
        </is>
      </c>
      <c r="J264" t="inlineStr"/>
      <c r="K264" t="inlineStr"/>
      <c r="L264" t="inlineStr"/>
    </row>
    <row r="265" ht="22" customHeight="1">
      <c r="A265" s="15" t="inlineStr">
        <is>
          <t>필옵틱스</t>
        </is>
      </c>
      <c r="B265" t="inlineStr"/>
      <c r="C265" s="15" t="inlineStr">
        <is>
          <t>161580</t>
        </is>
      </c>
      <c r="D265" s="15" t="inlineStr">
        <is>
          <t>KOSDAQ</t>
        </is>
      </c>
      <c r="E265" s="15" t="inlineStr">
        <is>
          <t>장비</t>
        </is>
      </c>
      <c r="F265" s="15" t="n">
        <v>17.41</v>
      </c>
      <c r="G265" s="15" t="n">
        <v>28.57</v>
      </c>
      <c r="H265" s="15" t="inlineStr">
        <is>
          <t>고평가 부담</t>
        </is>
      </c>
      <c r="I265" s="15" t="inlineStr">
        <is>
          <t>0.9632435860929522</t>
        </is>
      </c>
      <c r="J265" t="inlineStr"/>
      <c r="K265" t="inlineStr"/>
      <c r="L265" t="inlineStr"/>
    </row>
    <row r="266" ht="22" customHeight="1">
      <c r="A266" s="15" t="inlineStr">
        <is>
          <t>하이딥</t>
        </is>
      </c>
      <c r="B266" t="inlineStr"/>
      <c r="C266" s="15" t="inlineStr">
        <is>
          <t>365590</t>
        </is>
      </c>
      <c r="D266" s="15" t="inlineStr">
        <is>
          <t>KOSDAQ</t>
        </is>
      </c>
      <c r="E266" s="15" t="inlineStr">
        <is>
          <t>IDM/제조/메모리</t>
        </is>
      </c>
      <c r="F266" s="15" t="n">
        <v>12.5</v>
      </c>
      <c r="G266" s="15" t="n">
        <v>85.70999999999999</v>
      </c>
      <c r="H266" s="15" t="inlineStr">
        <is>
          <t>고평가 부담</t>
        </is>
      </c>
      <c r="I266" s="15" t="inlineStr">
        <is>
          <t>0.93355514861914</t>
        </is>
      </c>
      <c r="J266" t="inlineStr"/>
      <c r="K266" t="inlineStr"/>
      <c r="L266" t="inlineStr"/>
    </row>
  </sheetData>
  <mergeCells count="2">
    <mergeCell ref="A2:N2"/>
    <mergeCell ref="A1:N1"/>
  </mergeCells>
  <dataValidations count="1">
    <dataValidation sqref="B4" showDropDown="0" showInputMessage="0" showErrorMessage="0" allowBlank="0" type="list">
      <formula1>$A$59:$A$266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표시 개선 단계에서 예외가 발생했지만 가치평가 계산 결과는 정상 생성되었습니다.</t>
        </is>
      </c>
    </row>
    <row r="2">
      <c r="A2" t="inlineStr">
        <is>
          <t>'Cell' object is not iterable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2026-05-20T02:25:05Z</dcterms:created>
  <dcterms:modified xmlns:dcterms="http://purl.org/dc/terms/" xmlns:xsi="http://www.w3.org/2001/XMLSchema-instance" xsi:type="dcterms:W3CDTF">2026-05-20T02:25:15Z</dcterms:modified>
</cp:coreProperties>
</file>